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09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ESHER_1309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1.5</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0.45</v>
      </c>
      <c r="S18">
        <f>O18*M18</f>
        <v/>
      </c>
      <c r="T18">
        <f>O18*N18</f>
        <v/>
      </c>
    </row>
    <row r="19">
      <c r="A19" t="inlineStr">
        <is>
          <t>Wethers</t>
        </is>
      </c>
      <c r="B19" t="n">
        <v>0</v>
      </c>
      <c r="C19" t="n">
        <v>0</v>
      </c>
      <c r="H19" t="n">
        <v>0</v>
      </c>
      <c r="I19" t="n">
        <v>0</v>
      </c>
      <c r="L19">
        <f>B19+C19-H19</f>
        <v/>
      </c>
      <c r="M19">
        <f>L19-B19</f>
        <v/>
      </c>
      <c r="N19">
        <f>C19</f>
        <v/>
      </c>
      <c r="O19" t="n">
        <v>0</v>
      </c>
      <c r="P19" s="72">
        <f>O19*K19</f>
        <v/>
      </c>
      <c r="R19" t="n">
        <v>0.8</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0.15</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27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20. c. 29 september 1309 to c. 29 september 1310</t>
        </is>
      </c>
      <c r="B2" t="inlineStr">
        <is>
          <t>the account for 1309/10 reveals two sides of the most important manorial official, the reeve, who managed the lord’s demesne on a day-to-day basis and who was drawn from among the unfree tenants.</t>
        </is>
      </c>
      <c r="C2" t="n">
        <v>0</v>
      </c>
      <c r="D2" t="n">
        <v>0</v>
      </c>
      <c r="E2" t="n">
        <v>0</v>
      </c>
      <c r="F2" t="n">
        <v>0</v>
      </c>
      <c r="H2" t="n">
        <v>0</v>
      </c>
      <c r="I2" t="n">
        <v>0</v>
      </c>
      <c r="J2" t="n">
        <v>0</v>
      </c>
      <c r="K2" t="n">
        <v>0</v>
      </c>
      <c r="L2" t="n">
        <v>0</v>
      </c>
      <c r="M2" t="n">
        <v>0</v>
      </c>
      <c r="N2" t="n">
        <v>0</v>
      </c>
    </row>
    <row r="3">
      <c r="A3" t="inlineStr">
        <is>
          <t>20. c. 29 september 1309 to c. 29 september 1310</t>
        </is>
      </c>
      <c r="B3" t="inlineStr">
        <is>
          <t>on one hand, we are told that richard le rut, who had been reeve for part of the year 1308/9, had fudged certain sales and ‘maliciously’ caused ‘losses to the lord’.</t>
        </is>
      </c>
      <c r="C3" t="n">
        <v>0</v>
      </c>
      <c r="D3" t="n">
        <v>0</v>
      </c>
      <c r="E3" t="n">
        <v>0</v>
      </c>
      <c r="F3" t="n">
        <v>0</v>
      </c>
      <c r="H3" t="n">
        <v>0</v>
      </c>
      <c r="I3" t="n">
        <v>0</v>
      </c>
      <c r="J3" t="n">
        <v>0</v>
      </c>
      <c r="K3" t="n">
        <v>0</v>
      </c>
      <c r="L3" t="n">
        <v>0</v>
      </c>
      <c r="M3" t="n">
        <v>0</v>
      </c>
      <c r="N3" t="n">
        <v>0</v>
      </c>
    </row>
    <row r="4">
      <c r="A4" t="inlineStr">
        <is>
          <t>20. c. 29 september 1309 to c. 29 september 1310</t>
        </is>
      </c>
      <c r="B4" t="inlineStr">
        <is>
          <t>these details chime with the impression often gained from chaucer’s late fourteenth-century description of the reeve in the ‘general prologue’ to the canterbury tales.</t>
        </is>
      </c>
      <c r="C4" t="n">
        <v>0</v>
      </c>
      <c r="D4" t="n">
        <v>0</v>
      </c>
      <c r="E4" t="n">
        <v>0</v>
      </c>
      <c r="F4" t="n">
        <v>0</v>
      </c>
      <c r="H4" t="n">
        <v>0</v>
      </c>
      <c r="I4" t="n">
        <v>0</v>
      </c>
      <c r="J4" t="n">
        <v>0</v>
      </c>
      <c r="K4" t="n">
        <v>0</v>
      </c>
      <c r="L4" t="n">
        <v>0</v>
      </c>
      <c r="M4" t="n">
        <v>0</v>
      </c>
      <c r="N4" t="n">
        <v>0</v>
      </c>
    </row>
    <row r="5">
      <c r="A5" t="inlineStr">
        <is>
          <t>20. c. 29 september 1309 to c. 29 september 1310</t>
        </is>
      </c>
      <c r="B5" t="inlineStr">
        <is>
          <t>significantly, though, while chaucer depicted his wily reeve as being in post for a long time, the real-life charge of deceitfulness at esher was dealt with very quickly: richard le rut was replaced by hugh de wynterore during the course of the same accounting year.</t>
        </is>
      </c>
      <c r="C5" t="n">
        <v>0</v>
      </c>
      <c r="D5" t="n">
        <v>0</v>
      </c>
      <c r="E5" t="n">
        <v>0</v>
      </c>
      <c r="F5" t="n">
        <v>0</v>
      </c>
      <c r="H5" t="n">
        <v>0</v>
      </c>
      <c r="I5" t="n">
        <v>0</v>
      </c>
      <c r="J5" t="n">
        <v>0</v>
      </c>
      <c r="K5" t="n">
        <v>0</v>
      </c>
      <c r="L5" t="n">
        <v>0</v>
      </c>
      <c r="M5" t="n">
        <v>0</v>
      </c>
      <c r="N5" t="n">
        <v>0</v>
      </c>
    </row>
    <row r="6">
      <c r="A6" t="inlineStr">
        <is>
          <t>20. c. 29 september 1309 to c. 29 september 1310</t>
        </is>
      </c>
      <c r="B6" t="inlineStr">
        <is>
          <t>the latter reveals the other side of medieval reeves.</t>
        </is>
      </c>
      <c r="C6" t="n">
        <v>0</v>
      </c>
      <c r="D6" t="n">
        <v>0</v>
      </c>
      <c r="E6" t="n">
        <v>0</v>
      </c>
      <c r="F6" t="n">
        <v>0</v>
      </c>
      <c r="H6" t="n">
        <v>0</v>
      </c>
      <c r="I6" t="n">
        <v>0</v>
      </c>
      <c r="J6" t="n">
        <v>0</v>
      </c>
      <c r="K6" t="n">
        <v>0</v>
      </c>
      <c r="L6" t="n">
        <v>0</v>
      </c>
      <c r="M6" t="n">
        <v>0</v>
      </c>
      <c r="N6" t="n">
        <v>0</v>
      </c>
    </row>
    <row r="7">
      <c r="A7" t="inlineStr">
        <is>
          <t>20. c. 29 september 1309 to c. 29 september 1310</t>
        </is>
      </c>
      <c r="B7" t="inlineStr">
        <is>
          <t>hugh de wynterore remained continuously in post until michaelmas 1317 and was subsequently drafted in for a further five, non-consecutive, years between 1320/1 and 1335/6. serving for 13 documented years in all, over the course of nearly three decades, he seems to have been considered, at the very least, a safe pair of hands.</t>
        </is>
      </c>
      <c r="C7" t="n">
        <v>0</v>
      </c>
      <c r="D7" t="n">
        <v>0</v>
      </c>
      <c r="E7" t="n">
        <v>0</v>
      </c>
      <c r="F7" t="n">
        <v>0</v>
      </c>
      <c r="H7" t="n">
        <v>0</v>
      </c>
      <c r="I7" t="n">
        <v>0</v>
      </c>
      <c r="J7" t="n">
        <v>0</v>
      </c>
      <c r="K7" t="n">
        <v>0</v>
      </c>
      <c r="L7" t="n">
        <v>0</v>
      </c>
      <c r="M7" t="n">
        <v>0</v>
      </c>
      <c r="N7" t="n">
        <v>0</v>
      </c>
    </row>
    <row r="8">
      <c r="A8" t="inlineStr">
        <is>
          <t>20. c. 29 september 1309 to c. 29 september 1310</t>
        </is>
      </c>
      <c r="B8" t="inlineStr">
        <is>
          <t>the account itself shows further evidence of managerial tightening, not least in a more comprehensive listing of manorial equipment at the end of the account and, unusually, the recording of several names of tenant plots.</t>
        </is>
      </c>
      <c r="C8" t="n">
        <v>0</v>
      </c>
      <c r="D8" t="n">
        <v>0</v>
      </c>
      <c r="E8" t="n">
        <v>0</v>
      </c>
      <c r="F8" t="n">
        <v>0</v>
      </c>
      <c r="H8" t="n">
        <v>0</v>
      </c>
      <c r="I8" t="n">
        <v>0</v>
      </c>
      <c r="J8" t="n">
        <v>0</v>
      </c>
      <c r="K8" t="n">
        <v>0</v>
      </c>
      <c r="L8" t="n">
        <v>0</v>
      </c>
      <c r="M8" t="n">
        <v>0</v>
      </c>
      <c r="N8" t="n">
        <v>0</v>
      </c>
    </row>
    <row r="9">
      <c r="A9" t="inlineStr">
        <is>
          <t>20. c. 29 september 1309 to c. 29 september 1310</t>
        </is>
      </c>
      <c r="B9" t="inlineStr">
        <is>
          <t>addition, a series of building projects was initiated at this time.</t>
        </is>
      </c>
      <c r="C9" t="n">
        <v>0</v>
      </c>
      <c r="D9" t="n">
        <v>0</v>
      </c>
      <c r="E9" t="n">
        <v>0</v>
      </c>
      <c r="F9" t="n">
        <v>0</v>
      </c>
      <c r="H9" t="n">
        <v>0</v>
      </c>
      <c r="I9" t="n">
        <v>0</v>
      </c>
      <c r="J9" t="n">
        <v>0</v>
      </c>
      <c r="K9" t="n">
        <v>0</v>
      </c>
      <c r="L9" t="n">
        <v>0</v>
      </c>
      <c r="M9" t="n">
        <v>0</v>
      </c>
      <c r="N9" t="n">
        <v>0</v>
      </c>
    </row>
    <row r="10">
      <c r="A10" t="inlineStr">
        <is>
          <t>20. c. 29 september 1309 to c. 29 september 1310</t>
        </is>
      </c>
      <c r="B10" t="inlineStr">
        <is>
          <t>1308/9, a new bakehouse was built, tiled with 7,000 plain tiles, 150 corner tiles, and some crest tiles.</t>
        </is>
      </c>
      <c r="C10" t="n">
        <v>0</v>
      </c>
      <c r="D10" t="n">
        <v>0</v>
      </c>
      <c r="E10" t="n">
        <v>0</v>
      </c>
      <c r="F10" t="n">
        <v>0</v>
      </c>
      <c r="H10" t="n">
        <v>0</v>
      </c>
      <c r="I10" t="n">
        <v>0</v>
      </c>
      <c r="J10" t="n">
        <v>0</v>
      </c>
      <c r="K10" t="n">
        <v>0</v>
      </c>
      <c r="L10" t="n">
        <v>0</v>
      </c>
      <c r="M10" t="n">
        <v>0</v>
      </c>
      <c r="N10" t="n">
        <v>0</v>
      </c>
    </row>
    <row r="11">
      <c r="A11" t="inlineStr">
        <is>
          <t>20. c. 29 september 1309 to c. 29 september 1310</t>
        </is>
      </c>
      <c r="B11" t="inlineStr">
        <is>
          <t>1310/11, a new chamber was created for squires, roofed with 16,000 plain tiles, 150 corner tiles and crest tiles.</t>
        </is>
      </c>
      <c r="C11" t="n">
        <v>0</v>
      </c>
      <c r="D11" t="n">
        <v>0</v>
      </c>
      <c r="E11" t="n">
        <v>0</v>
      </c>
      <c r="F11" t="n">
        <v>0</v>
      </c>
      <c r="H11" t="n">
        <v>0</v>
      </c>
      <c r="I11" t="n">
        <v>0</v>
      </c>
      <c r="J11" t="n">
        <v>0</v>
      </c>
      <c r="K11" t="n">
        <v>0</v>
      </c>
      <c r="L11" t="n">
        <v>0</v>
      </c>
      <c r="M11" t="n">
        <v>0</v>
      </c>
      <c r="N11" t="n">
        <v>0</v>
      </c>
    </row>
    <row r="12">
      <c r="A12" t="inlineStr">
        <is>
          <t>20. c. 29 september 1309 to c. 29 september 1310</t>
        </is>
      </c>
      <c r="B12" t="inlineStr">
        <is>
          <t>this account, for 1309/10, a new tiled stable was built, with stones dug from the heath for foundations and 20 rafters sent from cobham by the abbot of chertsey.</t>
        </is>
      </c>
      <c r="C12" t="n">
        <v>0</v>
      </c>
      <c r="D12" t="n">
        <v>0</v>
      </c>
      <c r="E12" t="n">
        <v>0</v>
      </c>
      <c r="F12" t="n">
        <v>0</v>
      </c>
      <c r="H12" t="n">
        <v>0</v>
      </c>
      <c r="I12" t="n">
        <v>0</v>
      </c>
      <c r="J12" t="n">
        <v>0</v>
      </c>
      <c r="K12" t="n">
        <v>0</v>
      </c>
      <c r="L12" t="n">
        <v>0</v>
      </c>
      <c r="M12" t="n">
        <v>0</v>
      </c>
      <c r="N12" t="n">
        <v>0</v>
      </c>
    </row>
    <row r="13">
      <c r="A13" t="inlineStr">
        <is>
          <t>20. c. 29 september 1309 to c. 29 september 1310</t>
        </is>
      </c>
      <c r="B13" t="inlineStr">
        <is>
          <t>although the amount of building work carried out was primarily influenced by other factors, having a trusted reeve on site on a daily basis must have given estate officials considerable reassurance as they moved from discussing to undertaking such projects.</t>
        </is>
      </c>
      <c r="C13" t="n">
        <v>0</v>
      </c>
      <c r="D13" t="n">
        <v>0</v>
      </c>
      <c r="E13" t="n">
        <v>0</v>
      </c>
      <c r="F13" t="n">
        <v>0</v>
      </c>
      <c r="H13" t="n">
        <v>0</v>
      </c>
      <c r="I13" t="n">
        <v>0</v>
      </c>
      <c r="J13" t="n">
        <v>0</v>
      </c>
      <c r="K13" t="n">
        <v>0</v>
      </c>
      <c r="L13" t="n">
        <v>0</v>
      </c>
      <c r="M13" t="n">
        <v>0</v>
      </c>
      <c r="N13" t="n">
        <v>0</v>
      </c>
    </row>
    <row r="14">
      <c r="A14" t="inlineStr">
        <is>
          <t>20. c. 29 september 1309 to c. 29 september 1310</t>
        </is>
      </c>
      <c r="B14" t="inlineStr">
        <is>
          <t>hro, 11m59/b1/65, rot 23r, 23v.</t>
        </is>
      </c>
      <c r="C14" t="n">
        <v>0</v>
      </c>
      <c r="D14" t="n">
        <v>0</v>
      </c>
      <c r="E14" t="n">
        <v>0</v>
      </c>
      <c r="F14" t="n">
        <v>0</v>
      </c>
      <c r="H14" t="n">
        <v>0</v>
      </c>
      <c r="I14" t="n">
        <v>0</v>
      </c>
      <c r="J14" t="n">
        <v>0</v>
      </c>
      <c r="K14" t="n">
        <v>0</v>
      </c>
      <c r="L14" t="n">
        <v>0</v>
      </c>
      <c r="M14" t="n">
        <v>0</v>
      </c>
      <c r="N14" t="n">
        <v>0</v>
      </c>
    </row>
    <row r="15">
      <c r="A15" t="inlineStr">
        <is>
          <t>arrears</t>
        </is>
      </c>
      <c r="B15" t="inlineStr">
        <is>
          <t>hugh de wynterore, reeve, renders account for 15 shilling 10½d of arrears from the past year.</t>
        </is>
      </c>
      <c r="C15" t="n">
        <v>0.75</v>
      </c>
      <c r="D15" t="n">
        <v>0</v>
      </c>
      <c r="E15" t="n">
        <v>15</v>
      </c>
      <c r="F15" t="n">
        <v>0</v>
      </c>
      <c r="H15" t="n">
        <v>0</v>
      </c>
      <c r="I15" t="n">
        <v>0</v>
      </c>
      <c r="J15" t="n">
        <v>0</v>
      </c>
      <c r="K15" t="n">
        <v>0</v>
      </c>
      <c r="L15" t="n">
        <v>0</v>
      </c>
      <c r="M15" t="n">
        <v>0</v>
      </c>
      <c r="N15" t="n">
        <v>0</v>
      </c>
    </row>
    <row r="16">
      <c r="A16" t="inlineStr">
        <is>
          <t>arrears</t>
        </is>
      </c>
      <c r="B16" t="inlineStr">
        <is>
          <t>since paid to the treasurer of wolvesey and he is quit.</t>
        </is>
      </c>
      <c r="C16" t="n">
        <v>0</v>
      </c>
      <c r="D16" t="n">
        <v>0</v>
      </c>
      <c r="E16" t="n">
        <v>0</v>
      </c>
      <c r="F16" t="n">
        <v>0</v>
      </c>
      <c r="H16" t="n">
        <v>0</v>
      </c>
      <c r="I16" t="n">
        <v>0</v>
      </c>
      <c r="J16" t="n">
        <v>0</v>
      </c>
      <c r="K16" t="n">
        <v>0</v>
      </c>
      <c r="L16" t="n">
        <v>0</v>
      </c>
      <c r="M16" t="n">
        <v>0</v>
      </c>
      <c r="N16" t="n">
        <v>0</v>
      </c>
    </row>
    <row r="17">
      <c r="A17" t="inlineStr">
        <is>
          <t>rent</t>
        </is>
      </c>
      <c r="B17" t="inlineStr">
        <is>
          <t>the same renders account for 10 shilling from all rent of assize at the term of the invention of the cross [3 may].</t>
        </is>
      </c>
      <c r="C17" t="n">
        <v>0.5</v>
      </c>
      <c r="D17" t="n">
        <v>0</v>
      </c>
      <c r="E17" t="n">
        <v>10</v>
      </c>
      <c r="F17" t="n">
        <v>0</v>
      </c>
      <c r="H17" t="n">
        <v>0</v>
      </c>
      <c r="I17" t="n">
        <v>0</v>
      </c>
      <c r="J17" t="n">
        <v>0</v>
      </c>
      <c r="K17" t="n">
        <v>0</v>
      </c>
      <c r="L17" t="n">
        <v>0</v>
      </c>
      <c r="M17" t="n">
        <v>0</v>
      </c>
      <c r="N17" t="n">
        <v>0</v>
      </c>
    </row>
    <row r="18">
      <c r="A18" t="inlineStr">
        <is>
          <t>rent</t>
        </is>
      </c>
      <c r="B18" t="inlineStr">
        <is>
          <t>and for 109 shilling 10½d at the feast of st michael.</t>
        </is>
      </c>
      <c r="C18" t="n">
        <v>5.45</v>
      </c>
      <c r="D18" t="n">
        <v>0</v>
      </c>
      <c r="E18" t="n">
        <v>109</v>
      </c>
      <c r="F18" t="n">
        <v>0</v>
      </c>
      <c r="H18" t="n">
        <v>0</v>
      </c>
      <c r="I18" t="n">
        <v>0</v>
      </c>
      <c r="J18" t="n">
        <v>0</v>
      </c>
      <c r="K18" t="n">
        <v>0</v>
      </c>
      <c r="L18" t="n">
        <v>0</v>
      </c>
      <c r="M18" t="n">
        <v>0</v>
      </c>
      <c r="N18" t="n">
        <v>0</v>
      </c>
    </row>
    <row r="19">
      <c r="A19" t="inlineStr">
        <is>
          <t>rent</t>
        </is>
      </c>
      <c r="B19" t="inlineStr">
        <is>
          <t>sum 119 shilling 10½d.</t>
        </is>
      </c>
      <c r="C19" t="n">
        <v>5.95</v>
      </c>
      <c r="D19" t="n">
        <v>0</v>
      </c>
      <c r="E19" t="n">
        <v>119</v>
      </c>
      <c r="F19" t="n">
        <v>0</v>
      </c>
      <c r="H19" t="n">
        <v>0</v>
      </c>
      <c r="I19" t="n">
        <v>0</v>
      </c>
      <c r="J19" t="n">
        <v>0</v>
      </c>
      <c r="K19" t="n">
        <v>0</v>
      </c>
      <c r="L19" t="n">
        <v>0</v>
      </c>
      <c r="M19" t="n">
        <v>0</v>
      </c>
      <c r="N19" t="n">
        <v>0</v>
      </c>
    </row>
    <row r="20">
      <c r="A20" t="inlineStr">
        <is>
          <t>acquittances and defects</t>
        </is>
      </c>
      <c r="B20" t="inlineStr">
        <is>
          <t>in acquittance of one reeve for the year 3 shilling.</t>
        </is>
      </c>
      <c r="C20" t="n">
        <v>0.15</v>
      </c>
      <c r="D20" t="n">
        <v>0</v>
      </c>
      <c r="E20" t="n">
        <v>3</v>
      </c>
      <c r="F20" t="n">
        <v>0</v>
      </c>
      <c r="H20" t="n">
        <v>0</v>
      </c>
      <c r="I20" t="n">
        <v>0</v>
      </c>
      <c r="J20" t="n">
        <v>0</v>
      </c>
      <c r="K20" t="n">
        <v>0</v>
      </c>
      <c r="L20" t="n">
        <v>0</v>
      </c>
      <c r="M20" t="n">
        <v>0</v>
      </c>
      <c r="N20" t="n">
        <v>0</v>
      </c>
    </row>
    <row r="21">
      <c r="A21" t="inlineStr">
        <is>
          <t>acquittances and defects</t>
        </is>
      </c>
      <c r="B21" t="inlineStr">
        <is>
          <t>defect of a certain house and land pertaining to the church drawn into demesne 20 shilling.</t>
        </is>
      </c>
      <c r="C21" t="n">
        <v>1</v>
      </c>
      <c r="D21" t="n">
        <v>0</v>
      </c>
      <c r="E21" t="n">
        <v>20</v>
      </c>
      <c r="F21" t="n">
        <v>0</v>
      </c>
      <c r="H21" t="n">
        <v>0</v>
      </c>
      <c r="I21" t="n">
        <v>0</v>
      </c>
      <c r="J21" t="n">
        <v>0</v>
      </c>
      <c r="K21" t="n">
        <v>0</v>
      </c>
      <c r="L21" t="n">
        <v>0</v>
      </c>
      <c r="M21" t="n">
        <v>0</v>
      </c>
      <c r="N21" t="n">
        <v>0</v>
      </c>
    </row>
    <row r="22">
      <c r="A22" t="inlineStr">
        <is>
          <t>acquittances and defects</t>
        </is>
      </c>
      <c r="B22" t="inlineStr">
        <is>
          <t>defect of 1 rood of meadow of.</t>
        </is>
      </c>
      <c r="C22" t="n">
        <v>0</v>
      </c>
      <c r="D22" t="n">
        <v>0</v>
      </c>
      <c r="E22" t="n">
        <v>0</v>
      </c>
      <c r="F22" t="n">
        <v>0</v>
      </c>
      <c r="H22" t="n">
        <v>0</v>
      </c>
      <c r="I22" t="n">
        <v>0</v>
      </c>
      <c r="J22" t="n">
        <v>0</v>
      </c>
      <c r="K22" t="n">
        <v>0</v>
      </c>
      <c r="L22" t="n">
        <v>0</v>
      </c>
      <c r="M22" t="n">
        <v>0</v>
      </c>
      <c r="N22" t="n">
        <v>0</v>
      </c>
    </row>
    <row r="23">
      <c r="A23" t="inlineStr">
        <is>
          <t>acquittances and defects</t>
        </is>
      </c>
      <c r="B23" t="inlineStr">
        <is>
          <t>--- page 2 ---.</t>
        </is>
      </c>
      <c r="C23" t="n">
        <v>0</v>
      </c>
      <c r="D23" t="n">
        <v>0</v>
      </c>
      <c r="E23" t="n">
        <v>0</v>
      </c>
      <c r="F23" t="n">
        <v>0</v>
      </c>
      <c r="H23" t="n">
        <v>0</v>
      </c>
      <c r="I23" t="n">
        <v>0</v>
      </c>
      <c r="J23" t="n">
        <v>0</v>
      </c>
      <c r="K23" t="n">
        <v>0</v>
      </c>
      <c r="L23" t="n">
        <v>0</v>
      </c>
      <c r="M23" t="n">
        <v>0</v>
      </c>
      <c r="N23" t="n">
        <v>0</v>
      </c>
    </row>
    <row r="24">
      <c r="A24" t="inlineStr">
        <is>
          <t>acquittances and defects</t>
        </is>
      </c>
      <c r="B24" t="inlineStr">
        <is>
          <t>legarda atte hulle drawn into demesne in la brodemede 1pence.</t>
        </is>
      </c>
      <c r="C24" t="n">
        <v>0</v>
      </c>
      <c r="D24" t="n">
        <v>0</v>
      </c>
      <c r="E24" t="n">
        <v>0</v>
      </c>
      <c r="F24" t="n">
        <v>1</v>
      </c>
      <c r="H24" t="n">
        <v>0</v>
      </c>
      <c r="I24" t="n">
        <v>0</v>
      </c>
      <c r="J24" t="n">
        <v>0</v>
      </c>
      <c r="K24" t="n">
        <v>0</v>
      </c>
      <c r="L24" t="n">
        <v>0</v>
      </c>
      <c r="M24" t="n">
        <v>0</v>
      </c>
      <c r="N24" t="n">
        <v>0</v>
      </c>
    </row>
    <row r="25">
      <c r="A25" t="inlineStr">
        <is>
          <t>acquittances and defects</t>
        </is>
      </c>
      <c r="B25" t="inlineStr">
        <is>
          <t>defect of 1 rood of meadow of albreda atte hull drawn into demesne 1pence sum 23 shilling 2pence.</t>
        </is>
      </c>
      <c r="C25" t="n">
        <v>1.15</v>
      </c>
      <c r="D25" t="n">
        <v>0</v>
      </c>
      <c r="E25" t="n">
        <v>23</v>
      </c>
      <c r="F25" t="n">
        <v>1</v>
      </c>
      <c r="H25" t="n">
        <v>0</v>
      </c>
      <c r="I25" t="n">
        <v>0</v>
      </c>
      <c r="J25" t="n">
        <v>0</v>
      </c>
      <c r="K25" t="n">
        <v>0</v>
      </c>
      <c r="L25" t="n">
        <v>0</v>
      </c>
      <c r="M25" t="n">
        <v>0</v>
      </c>
      <c r="N25" t="n">
        <v>0</v>
      </c>
    </row>
    <row r="26">
      <c r="A26" t="inlineStr">
        <is>
          <t>acquittances and defects</t>
        </is>
      </c>
      <c r="B26" t="inlineStr">
        <is>
          <t>sum of rent remaining £4 16 shilling 8½d.</t>
        </is>
      </c>
      <c r="C26" t="n">
        <v>4.8</v>
      </c>
      <c r="D26" t="n">
        <v>4</v>
      </c>
      <c r="E26" t="n">
        <v>16</v>
      </c>
      <c r="F26" t="n">
        <v>0</v>
      </c>
      <c r="H26" t="n">
        <v>0</v>
      </c>
      <c r="I26" t="n">
        <v>0</v>
      </c>
      <c r="J26" t="n">
        <v>0</v>
      </c>
      <c r="K26" t="n">
        <v>0</v>
      </c>
      <c r="L26" t="n">
        <v>0</v>
      </c>
      <c r="M26" t="n">
        <v>0</v>
      </c>
      <c r="N26" t="n">
        <v>0</v>
      </c>
    </row>
    <row r="27">
      <c r="A27" t="inlineStr">
        <is>
          <t>rent of the hall of kingston</t>
        </is>
      </c>
      <c r="B27" t="inlineStr">
        <is>
          <t>and for 16 shilling from rent of the hall of kingston at the four principal terms of the year.</t>
        </is>
      </c>
      <c r="C27" t="n">
        <v>0.8</v>
      </c>
      <c r="D27" t="n">
        <v>0</v>
      </c>
      <c r="E27" t="n">
        <v>16</v>
      </c>
      <c r="F27" t="n">
        <v>0</v>
      </c>
      <c r="H27" t="n">
        <v>0</v>
      </c>
      <c r="I27" t="n">
        <v>0</v>
      </c>
      <c r="J27" t="n">
        <v>0</v>
      </c>
      <c r="K27" t="n">
        <v>0</v>
      </c>
      <c r="L27" t="n">
        <v>0</v>
      </c>
      <c r="M27" t="n">
        <v>0</v>
      </c>
      <c r="N27" t="n">
        <v>0</v>
      </c>
    </row>
    <row r="28">
      <c r="A28" t="inlineStr">
        <is>
          <t>rent of the hall of kingston</t>
        </is>
      </c>
      <c r="B28" t="inlineStr">
        <is>
          <t>sum 16 shilling.</t>
        </is>
      </c>
      <c r="C28" t="n">
        <v>0.8</v>
      </c>
      <c r="D28" t="n">
        <v>0</v>
      </c>
      <c r="E28" t="n">
        <v>16</v>
      </c>
      <c r="F28" t="n">
        <v>0</v>
      </c>
      <c r="H28" t="n">
        <v>0</v>
      </c>
      <c r="I28" t="n">
        <v>0</v>
      </c>
      <c r="J28" t="n">
        <v>0</v>
      </c>
      <c r="K28" t="n">
        <v>0</v>
      </c>
      <c r="L28" t="n">
        <v>0</v>
      </c>
      <c r="M28" t="n">
        <v>0</v>
      </c>
      <c r="N28" t="n">
        <v>0</v>
      </c>
    </row>
    <row r="29">
      <c r="A29" t="inlineStr">
        <is>
          <t>issue of the manor</t>
        </is>
      </c>
      <c r="B29" t="inlineStr">
        <is>
          <t>the same renders account for 5 pence from pannage called ‘gorsavese’ for 1 pig of richard atte barr and 4 pigs of thomas frith, namely for a pig 1 pence and for a piglet ½d.</t>
        </is>
      </c>
      <c r="C29" t="n">
        <v>0.02</v>
      </c>
      <c r="D29" t="n">
        <v>0</v>
      </c>
      <c r="E29" t="n">
        <v>0</v>
      </c>
      <c r="F29" t="n">
        <v>5</v>
      </c>
      <c r="H29" t="n">
        <v>0</v>
      </c>
      <c r="I29" t="n">
        <v>0</v>
      </c>
      <c r="J29" t="n">
        <v>0</v>
      </c>
      <c r="K29" t="n">
        <v>0</v>
      </c>
      <c r="L29" t="n">
        <v>0</v>
      </c>
      <c r="M29" t="n">
        <v>0</v>
      </c>
      <c r="N29" t="n">
        <v>0</v>
      </c>
    </row>
    <row r="30">
      <c r="A30" t="inlineStr">
        <is>
          <t>issue of the manor</t>
        </is>
      </c>
      <c r="B30" t="inlineStr">
        <is>
          <t>from mast in the woods of donwode, churchgrove, and frith nothing this year.</t>
        </is>
      </c>
      <c r="C30" t="n">
        <v>0</v>
      </c>
      <c r="D30" t="n">
        <v>0</v>
      </c>
      <c r="E30" t="n">
        <v>0</v>
      </c>
      <c r="F30" t="n">
        <v>0</v>
      </c>
      <c r="H30" t="n">
        <v>0</v>
      </c>
      <c r="I30" t="n">
        <v>0</v>
      </c>
      <c r="J30" t="n">
        <v>0</v>
      </c>
      <c r="K30" t="n">
        <v>0</v>
      </c>
      <c r="L30" t="n">
        <v>0</v>
      </c>
      <c r="M30" t="n">
        <v>0</v>
      </c>
      <c r="N30" t="n">
        <v>0</v>
      </c>
    </row>
    <row r="31">
      <c r="A31" t="inlineStr">
        <is>
          <t>issue of the manor</t>
        </is>
      </c>
      <c r="B31" t="inlineStr">
        <is>
          <t>from mast in the woods of cromb and northwode nothing this year.</t>
        </is>
      </c>
      <c r="C31" t="n">
        <v>0</v>
      </c>
      <c r="D31" t="n">
        <v>0</v>
      </c>
      <c r="E31" t="n">
        <v>0</v>
      </c>
      <c r="F31" t="n">
        <v>0</v>
      </c>
      <c r="H31" t="n">
        <v>0</v>
      </c>
      <c r="I31" t="n">
        <v>0</v>
      </c>
      <c r="J31" t="n">
        <v>0</v>
      </c>
      <c r="K31" t="n">
        <v>0</v>
      </c>
      <c r="L31" t="n">
        <v>0</v>
      </c>
      <c r="M31" t="n">
        <v>0</v>
      </c>
      <c r="N31" t="n">
        <v>0</v>
      </c>
    </row>
    <row r="32">
      <c r="A32" t="inlineStr">
        <is>
          <t>issue of the manor</t>
        </is>
      </c>
      <c r="B32" t="inlineStr">
        <is>
          <t>and for 18 pence from winter pasture sold in donwode for 6 horses agisting in winter.</t>
        </is>
      </c>
      <c r="C32" t="n">
        <v>0.07000000000000001</v>
      </c>
      <c r="D32" t="n">
        <v>0</v>
      </c>
      <c r="E32" t="n">
        <v>0</v>
      </c>
      <c r="F32" t="n">
        <v>18</v>
      </c>
      <c r="H32" t="n">
        <v>0</v>
      </c>
      <c r="I32" t="n">
        <v>0</v>
      </c>
      <c r="J32" t="n">
        <v>0</v>
      </c>
      <c r="K32" t="n">
        <v>0</v>
      </c>
      <c r="L32" t="n">
        <v>0</v>
      </c>
      <c r="M32" t="n">
        <v>0</v>
      </c>
      <c r="N32" t="n">
        <v>0</v>
      </c>
    </row>
    <row r="33">
      <c r="A33" t="inlineStr">
        <is>
          <t>issue of the manor</t>
        </is>
      </c>
      <c r="B33" t="inlineStr">
        <is>
          <t>and for 3 shilling 6 pence from pasture in donwode and claye sold in summer.</t>
        </is>
      </c>
      <c r="C33" t="n">
        <v>0.17</v>
      </c>
      <c r="D33" t="n">
        <v>0</v>
      </c>
      <c r="E33" t="n">
        <v>3</v>
      </c>
      <c r="F33" t="n">
        <v>6</v>
      </c>
      <c r="H33" t="n">
        <v>0</v>
      </c>
      <c r="I33" t="n">
        <v>0</v>
      </c>
      <c r="J33" t="n">
        <v>0</v>
      </c>
      <c r="K33" t="n">
        <v>0</v>
      </c>
      <c r="L33" t="n">
        <v>0</v>
      </c>
      <c r="M33" t="n">
        <v>0</v>
      </c>
      <c r="N33" t="n">
        <v>0</v>
      </c>
    </row>
    <row r="34">
      <c r="A34" t="inlineStr">
        <is>
          <t>issue of the manor</t>
        </is>
      </c>
      <c r="B34" t="inlineStr">
        <is>
          <t>from pasture of the grove of churlegrave which was usually sold for 12 pence nothing as yet because it was enclosed to promote growth.</t>
        </is>
      </c>
      <c r="C34" t="n">
        <v>0.05</v>
      </c>
      <c r="D34" t="n">
        <v>0</v>
      </c>
      <c r="E34" t="n">
        <v>0</v>
      </c>
      <c r="F34" t="n">
        <v>12</v>
      </c>
      <c r="H34" t="n">
        <v>0</v>
      </c>
      <c r="I34" t="n">
        <v>0</v>
      </c>
      <c r="J34" t="n">
        <v>0</v>
      </c>
      <c r="K34" t="n">
        <v>0</v>
      </c>
      <c r="L34" t="n">
        <v>0</v>
      </c>
      <c r="M34" t="n">
        <v>0</v>
      </c>
      <c r="N34" t="n">
        <v>0</v>
      </c>
    </row>
    <row r="35">
      <c r="A35" t="inlineStr">
        <is>
          <t>issue of the manor</t>
        </is>
      </c>
      <c r="B35" t="inlineStr">
        <is>
          <t>from pasture of la frith which was usually sold for 12 pence nothing because of the cart horses.</t>
        </is>
      </c>
      <c r="C35" t="n">
        <v>0.05</v>
      </c>
      <c r="D35" t="n">
        <v>0</v>
      </c>
      <c r="E35" t="n">
        <v>0</v>
      </c>
      <c r="F35" t="n">
        <v>12</v>
      </c>
      <c r="H35" t="n">
        <v>0</v>
      </c>
      <c r="I35" t="n">
        <v>0</v>
      </c>
      <c r="J35" t="n">
        <v>0</v>
      </c>
      <c r="K35" t="n">
        <v>0</v>
      </c>
      <c r="L35" t="n">
        <v>0</v>
      </c>
      <c r="M35" t="n">
        <v>0</v>
      </c>
      <c r="N35" t="n">
        <v>0</v>
      </c>
    </row>
    <row r="36">
      <c r="A36" t="inlineStr">
        <is>
          <t>issue of the manor</t>
        </is>
      </c>
      <c r="B36" t="inlineStr">
        <is>
          <t>and for 7 shilling from pasture of la more in summer sold.</t>
        </is>
      </c>
      <c r="C36" t="n">
        <v>0.35</v>
      </c>
      <c r="D36" t="n">
        <v>0</v>
      </c>
      <c r="E36" t="n">
        <v>7</v>
      </c>
      <c r="F36" t="n">
        <v>0</v>
      </c>
      <c r="H36" t="n">
        <v>0</v>
      </c>
      <c r="I36" t="n">
        <v>0</v>
      </c>
      <c r="J36" t="n">
        <v>0</v>
      </c>
      <c r="K36" t="n">
        <v>0</v>
      </c>
      <c r="L36" t="n">
        <v>0</v>
      </c>
      <c r="M36" t="n">
        <v>0</v>
      </c>
      <c r="N36" t="n">
        <v>0</v>
      </c>
    </row>
    <row r="37">
      <c r="A37" t="inlineStr">
        <is>
          <t>issue of the manor</t>
        </is>
      </c>
      <c r="B37" t="inlineStr">
        <is>
          <t>from pasture of bokecopme which was usually sold for 2 shilling when it was fallow nothing this year because it was sown.</t>
        </is>
      </c>
      <c r="C37" t="n">
        <v>0.1</v>
      </c>
      <c r="D37" t="n">
        <v>0</v>
      </c>
      <c r="E37" t="n">
        <v>2</v>
      </c>
      <c r="F37" t="n">
        <v>0</v>
      </c>
      <c r="H37" t="n">
        <v>0</v>
      </c>
      <c r="I37" t="n">
        <v>0</v>
      </c>
      <c r="J37" t="n">
        <v>0</v>
      </c>
      <c r="K37" t="n">
        <v>0</v>
      </c>
      <c r="L37" t="n">
        <v>0</v>
      </c>
      <c r="M37" t="n">
        <v>0</v>
      </c>
      <c r="N37" t="n">
        <v>0</v>
      </c>
    </row>
    <row r="38">
      <c r="A38" t="inlineStr">
        <is>
          <t>issue of the manor</t>
        </is>
      </c>
      <c r="B38" t="inlineStr">
        <is>
          <t>from pasture of the warren which was usually sold for 18 pence when it was fallow nothing this year because it was sown.</t>
        </is>
      </c>
      <c r="C38" t="n">
        <v>0.07000000000000001</v>
      </c>
      <c r="D38" t="n">
        <v>0</v>
      </c>
      <c r="E38" t="n">
        <v>0</v>
      </c>
      <c r="F38" t="n">
        <v>18</v>
      </c>
      <c r="H38" t="n">
        <v>0</v>
      </c>
      <c r="I38" t="n">
        <v>0</v>
      </c>
      <c r="J38" t="n">
        <v>0</v>
      </c>
      <c r="K38" t="n">
        <v>0</v>
      </c>
      <c r="L38" t="n">
        <v>0</v>
      </c>
      <c r="M38" t="n">
        <v>0</v>
      </c>
      <c r="N38" t="n">
        <v>0</v>
      </c>
    </row>
    <row r="39">
      <c r="A39" t="inlineStr">
        <is>
          <t>issue of the manor</t>
        </is>
      </c>
      <c r="B39" t="inlineStr">
        <is>
          <t>and for 12 pence from pasture in la crumb in summer sold.</t>
        </is>
      </c>
      <c r="C39" t="n">
        <v>0.05</v>
      </c>
      <c r="D39" t="n">
        <v>0</v>
      </c>
      <c r="E39" t="n">
        <v>0</v>
      </c>
      <c r="F39" t="n">
        <v>12</v>
      </c>
      <c r="H39" t="n">
        <v>0</v>
      </c>
      <c r="I39" t="n">
        <v>0</v>
      </c>
      <c r="J39" t="n">
        <v>0</v>
      </c>
      <c r="K39" t="n">
        <v>0</v>
      </c>
      <c r="L39" t="n">
        <v>0</v>
      </c>
      <c r="M39" t="n">
        <v>0</v>
      </c>
      <c r="N39" t="n">
        <v>0</v>
      </c>
    </row>
    <row r="40">
      <c r="A40" t="inlineStr">
        <is>
          <t>issue of the manor</t>
        </is>
      </c>
      <c r="B40" t="inlineStr">
        <is>
          <t>from pasture in the garden nothing this year because it was pastured by the horses of the lord.</t>
        </is>
      </c>
      <c r="C40" t="n">
        <v>0</v>
      </c>
      <c r="D40" t="n">
        <v>0</v>
      </c>
      <c r="E40" t="n">
        <v>0</v>
      </c>
      <c r="F40" t="n">
        <v>0</v>
      </c>
      <c r="H40" t="n">
        <v>0</v>
      </c>
      <c r="I40" t="n">
        <v>0</v>
      </c>
      <c r="J40" t="n">
        <v>0</v>
      </c>
      <c r="K40" t="n">
        <v>0</v>
      </c>
      <c r="L40" t="n">
        <v>0</v>
      </c>
      <c r="M40" t="n">
        <v>0</v>
      </c>
      <c r="N40" t="n">
        <v>0</v>
      </c>
    </row>
    <row r="41">
      <c r="A41" t="inlineStr">
        <is>
          <t>issue of the manor</t>
        </is>
      </c>
      <c r="B41" t="inlineStr">
        <is>
          <t>and for 6 shilling from pasture at northwode sold for agistment of 8 steers and 6 immature steers, namely for a steer 6 pence and for a young steer 4 pence this year, because the cows of the lord were let out to farm at other pasture.</t>
        </is>
      </c>
      <c r="C41" t="n">
        <v>0.33</v>
      </c>
      <c r="D41" t="n">
        <v>0</v>
      </c>
      <c r="E41" t="n">
        <v>6</v>
      </c>
      <c r="F41" t="n">
        <v>6</v>
      </c>
      <c r="H41" t="n">
        <v>0</v>
      </c>
      <c r="I41" t="n">
        <v>0</v>
      </c>
      <c r="J41" t="n">
        <v>0</v>
      </c>
      <c r="K41" t="n">
        <v>0</v>
      </c>
      <c r="L41" t="n">
        <v>0</v>
      </c>
      <c r="M41" t="n">
        <v>0</v>
      </c>
      <c r="N41" t="n">
        <v>0</v>
      </c>
    </row>
    <row r="42">
      <c r="A42" t="inlineStr">
        <is>
          <t>issue of the manor</t>
        </is>
      </c>
      <c r="B42" t="inlineStr">
        <is>
          <t>and for 8 pence from the fishery at northwode sold.</t>
        </is>
      </c>
      <c r="C42" t="n">
        <v>0.03</v>
      </c>
      <c r="D42" t="n">
        <v>0</v>
      </c>
      <c r="E42" t="n">
        <v>0</v>
      </c>
      <c r="F42" t="n">
        <v>8</v>
      </c>
      <c r="H42" t="n">
        <v>0</v>
      </c>
      <c r="I42" t="n">
        <v>0</v>
      </c>
      <c r="J42" t="n">
        <v>0</v>
      </c>
      <c r="K42" t="n">
        <v>0</v>
      </c>
      <c r="L42" t="n">
        <v>0</v>
      </c>
      <c r="M42" t="n">
        <v>0</v>
      </c>
      <c r="N42" t="n">
        <v>0</v>
      </c>
    </row>
    <row r="43">
      <c r="A43" t="inlineStr">
        <is>
          <t>issue of the manor</t>
        </is>
      </c>
      <c r="B43" t="inlineStr">
        <is>
          <t>and for 12 shilling 9¾d from 5 cloves of coarse wool sold, price of a clove 2 shilling 6¾d.</t>
        </is>
      </c>
      <c r="C43" t="n">
        <v>0.6</v>
      </c>
      <c r="D43" t="n">
        <v>0</v>
      </c>
      <c r="E43" t="n">
        <v>12</v>
      </c>
      <c r="F43" t="n">
        <v>0</v>
      </c>
      <c r="H43" t="n">
        <v>0</v>
      </c>
      <c r="I43" t="n">
        <v>0</v>
      </c>
      <c r="J43" t="n">
        <v>0</v>
      </c>
      <c r="K43" t="n">
        <v>0</v>
      </c>
      <c r="L43" t="n">
        <v>0</v>
      </c>
      <c r="M43" t="n">
        <v>0</v>
      </c>
      <c r="N43" t="n">
        <v>0</v>
      </c>
    </row>
    <row r="44">
      <c r="A44" t="inlineStr">
        <is>
          <t>issue of the manor</t>
        </is>
      </c>
      <c r="B44" t="inlineStr">
        <is>
          <t>and for 17 pence from 4 pounds of lambs’ wool sold, price of a pound 4¼d.</t>
        </is>
      </c>
      <c r="C44" t="n">
        <v>0.07000000000000001</v>
      </c>
      <c r="D44" t="n">
        <v>0</v>
      </c>
      <c r="E44" t="n">
        <v>0</v>
      </c>
      <c r="F44" t="n">
        <v>17</v>
      </c>
      <c r="H44" t="n">
        <v>0</v>
      </c>
      <c r="I44" t="n">
        <v>0</v>
      </c>
      <c r="J44" t="n">
        <v>0</v>
      </c>
      <c r="K44" t="n">
        <v>0</v>
      </c>
      <c r="L44" t="n">
        <v>0</v>
      </c>
      <c r="M44" t="n">
        <v>0</v>
      </c>
      <c r="N44" t="n">
        <v>0</v>
      </c>
    </row>
    <row r="45">
      <c r="A45" t="inlineStr">
        <is>
          <t>issue of the manor</t>
        </is>
      </c>
      <c r="B45" t="inlineStr">
        <is>
          <t>and for 9 pence from 3 woolfells of ewes in murrain before shearing sold.</t>
        </is>
      </c>
      <c r="C45" t="n">
        <v>0.04</v>
      </c>
      <c r="D45" t="n">
        <v>0</v>
      </c>
      <c r="E45" t="n">
        <v>0</v>
      </c>
      <c r="F45" t="n">
        <v>9</v>
      </c>
      <c r="H45" t="n">
        <v>0</v>
      </c>
      <c r="I45" t="n">
        <v>0</v>
      </c>
      <c r="J45" t="n">
        <v>0</v>
      </c>
      <c r="K45" t="n">
        <v>0</v>
      </c>
      <c r="L45" t="n">
        <v>0</v>
      </c>
      <c r="M45" t="n">
        <v>0</v>
      </c>
      <c r="N45" t="n">
        <v>0</v>
      </c>
    </row>
    <row r="46">
      <c r="A46" t="inlineStr">
        <is>
          <t>issue of the manor</t>
        </is>
      </c>
      <c r="B46" t="inlineStr">
        <is>
          <t>and for 5 pence from 5 pelts of wethers in murrain after shearing sold.</t>
        </is>
      </c>
      <c r="C46" t="n">
        <v>0.02</v>
      </c>
      <c r="D46" t="n">
        <v>0</v>
      </c>
      <c r="E46" t="n">
        <v>0</v>
      </c>
      <c r="F46" t="n">
        <v>5</v>
      </c>
      <c r="H46" t="n">
        <v>0</v>
      </c>
      <c r="I46" t="n">
        <v>0</v>
      </c>
      <c r="J46" t="n">
        <v>0</v>
      </c>
      <c r="K46" t="n">
        <v>0</v>
      </c>
      <c r="L46" t="n">
        <v>0</v>
      </c>
      <c r="M46" t="n">
        <v>0</v>
      </c>
      <c r="N46" t="n">
        <v>0</v>
      </c>
    </row>
    <row r="47">
      <c r="A47" t="inlineStr">
        <is>
          <t>issue of the manor</t>
        </is>
      </c>
      <c r="B47" t="inlineStr">
        <is>
          <t>and for 2 pence from 2 woolfells and pelts of lambs in murrain sold.</t>
        </is>
      </c>
      <c r="C47" t="n">
        <v>0.01</v>
      </c>
      <c r="D47" t="n">
        <v>0</v>
      </c>
      <c r="E47" t="n">
        <v>0</v>
      </c>
      <c r="F47" t="n">
        <v>2</v>
      </c>
      <c r="H47" t="n">
        <v>0</v>
      </c>
      <c r="I47" t="n">
        <v>0</v>
      </c>
      <c r="J47" t="n">
        <v>0</v>
      </c>
      <c r="K47" t="n">
        <v>0</v>
      </c>
      <c r="L47" t="n">
        <v>0</v>
      </c>
      <c r="M47" t="n">
        <v>0</v>
      </c>
      <c r="N47" t="n">
        <v>0</v>
      </c>
    </row>
    <row r="48">
      <c r="A48" t="inlineStr">
        <is>
          <t>issue of the manor</t>
        </is>
      </c>
      <c r="B48" t="inlineStr">
        <is>
          <t>and for 14 shilling from lactage of 7 cows let out to farm at other pasture.</t>
        </is>
      </c>
      <c r="C48" t="n">
        <v>0.7</v>
      </c>
      <c r="D48" t="n">
        <v>0</v>
      </c>
      <c r="E48" t="n">
        <v>14</v>
      </c>
      <c r="F48" t="n">
        <v>0</v>
      </c>
      <c r="H48" t="n">
        <v>0</v>
      </c>
      <c r="I48" t="n">
        <v>0</v>
      </c>
      <c r="J48" t="n">
        <v>0</v>
      </c>
      <c r="K48" t="n">
        <v>0</v>
      </c>
      <c r="L48" t="n">
        <v>0</v>
      </c>
      <c r="M48" t="n">
        <v>0</v>
      </c>
      <c r="N48" t="n">
        <v>0</v>
      </c>
    </row>
    <row r="49">
      <c r="A49" t="inlineStr">
        <is>
          <t>issue of the manor</t>
        </is>
      </c>
      <c r="B49" t="inlineStr">
        <is>
          <t>and for 4 shilling 6 pence from lactage of 3 cows let out to farm at other pasture.</t>
        </is>
      </c>
      <c r="C49" t="n">
        <v>0.23</v>
      </c>
      <c r="D49" t="n">
        <v>0</v>
      </c>
      <c r="E49" t="n">
        <v>4</v>
      </c>
      <c r="F49" t="n">
        <v>6</v>
      </c>
      <c r="H49" t="n">
        <v>0</v>
      </c>
      <c r="I49" t="n">
        <v>0</v>
      </c>
      <c r="J49" t="n">
        <v>0</v>
      </c>
      <c r="K49" t="n">
        <v>0</v>
      </c>
      <c r="L49" t="n">
        <v>0</v>
      </c>
      <c r="M49" t="n">
        <v>0</v>
      </c>
      <c r="N49" t="n">
        <v>0</v>
      </c>
    </row>
    <row r="50">
      <c r="A50" t="inlineStr">
        <is>
          <t>issue of the manor</t>
        </is>
      </c>
      <c r="B50" t="inlineStr">
        <is>
          <t>and for 15 pence from lactage of 10 ewes sold, for each 1½d.</t>
        </is>
      </c>
      <c r="C50" t="n">
        <v>0.06</v>
      </c>
      <c r="D50" t="n">
        <v>0</v>
      </c>
      <c r="E50" t="n">
        <v>0</v>
      </c>
      <c r="F50" t="n">
        <v>15</v>
      </c>
      <c r="H50" t="n">
        <v>0</v>
      </c>
      <c r="I50" t="n">
        <v>0</v>
      </c>
      <c r="J50" t="n">
        <v>0</v>
      </c>
      <c r="K50" t="n">
        <v>0</v>
      </c>
      <c r="L50" t="n">
        <v>0</v>
      </c>
      <c r="M50" t="n">
        <v>0</v>
      </c>
      <c r="N50" t="n">
        <v>0</v>
      </c>
    </row>
    <row r="51">
      <c r="A51" t="inlineStr">
        <is>
          <t>issue of the manor</t>
        </is>
      </c>
      <c r="B51" t="inlineStr">
        <is>
          <t>and for 15 pence from 10 hens from ‘churchscot’ sold.</t>
        </is>
      </c>
      <c r="C51" t="n">
        <v>0.06</v>
      </c>
      <c r="D51" t="n">
        <v>0</v>
      </c>
      <c r="E51" t="n">
        <v>0</v>
      </c>
      <c r="F51" t="n">
        <v>15</v>
      </c>
      <c r="H51" t="n">
        <v>0</v>
      </c>
      <c r="I51" t="n">
        <v>0</v>
      </c>
      <c r="J51" t="n">
        <v>0</v>
      </c>
      <c r="K51" t="n">
        <v>0</v>
      </c>
      <c r="L51" t="n">
        <v>0</v>
      </c>
      <c r="M51" t="n">
        <v>0</v>
      </c>
      <c r="N51" t="n">
        <v>0</v>
      </c>
    </row>
    <row r="52">
      <c r="A52" t="inlineStr">
        <is>
          <t>issue of the manor</t>
        </is>
      </c>
      <c r="B52" t="inlineStr">
        <is>
          <t>and for 6 shilling 3¾d from fruits of the garden sold.</t>
        </is>
      </c>
      <c r="C52" t="n">
        <v>0.3</v>
      </c>
      <c r="D52" t="n">
        <v>0</v>
      </c>
      <c r="E52" t="n">
        <v>6</v>
      </c>
      <c r="F52" t="n">
        <v>0</v>
      </c>
      <c r="H52" t="n">
        <v>0</v>
      </c>
      <c r="I52" t="n">
        <v>0</v>
      </c>
      <c r="J52" t="n">
        <v>0</v>
      </c>
      <c r="K52" t="n">
        <v>0</v>
      </c>
      <c r="L52" t="n">
        <v>0</v>
      </c>
      <c r="M52" t="n">
        <v>0</v>
      </c>
      <c r="N52" t="n">
        <v>0</v>
      </c>
    </row>
    <row r="53">
      <c r="A53" t="inlineStr">
        <is>
          <t>issue of the manor</t>
        </is>
      </c>
      <c r="B53" t="inlineStr">
        <is>
          <t>and for 40 shilling from hay of the manor sold to the lord.</t>
        </is>
      </c>
      <c r="C53" t="n">
        <v>2</v>
      </c>
      <c r="D53" t="n">
        <v>0</v>
      </c>
      <c r="E53" t="n">
        <v>40</v>
      </c>
      <c r="F53" t="n">
        <v>0</v>
      </c>
      <c r="H53" t="n">
        <v>0</v>
      </c>
      <c r="I53" t="n">
        <v>0</v>
      </c>
      <c r="J53" t="n">
        <v>0</v>
      </c>
      <c r="K53" t="n">
        <v>0</v>
      </c>
      <c r="L53" t="n">
        <v>0</v>
      </c>
      <c r="M53" t="n">
        <v>0</v>
      </c>
      <c r="N53" t="n">
        <v>0</v>
      </c>
    </row>
    <row r="54">
      <c r="A54" t="inlineStr">
        <is>
          <t>issue of the manor</t>
        </is>
      </c>
      <c r="B54" t="inlineStr">
        <is>
          <t>sum 102 shilling 11½d.</t>
        </is>
      </c>
      <c r="C54" t="n">
        <v>5.1</v>
      </c>
      <c r="D54" t="n">
        <v>0</v>
      </c>
      <c r="E54" t="n">
        <v>102</v>
      </c>
      <c r="F54" t="n">
        <v>0</v>
      </c>
      <c r="H54" t="n">
        <v>0</v>
      </c>
      <c r="I54" t="n">
        <v>0</v>
      </c>
      <c r="J54" t="n">
        <v>0</v>
      </c>
      <c r="K54" t="n">
        <v>0</v>
      </c>
      <c r="L54" t="n">
        <v>0</v>
      </c>
      <c r="M54" t="n">
        <v>0</v>
      </c>
      <c r="N54" t="n">
        <v>0</v>
      </c>
    </row>
    <row r="55">
      <c r="A55" t="inlineStr">
        <is>
          <t>sale of stock</t>
        </is>
      </c>
      <c r="B55" t="inlineStr">
        <is>
          <t>and for 10 shilling from 1 bull sold.</t>
        </is>
      </c>
      <c r="C55" t="n">
        <v>0.5</v>
      </c>
      <c r="D55" t="n">
        <v>0</v>
      </c>
      <c r="E55" t="n">
        <v>10</v>
      </c>
      <c r="F55" t="n">
        <v>0</v>
      </c>
      <c r="H55" t="n">
        <v>0</v>
      </c>
      <c r="I55" t="n">
        <v>0</v>
      </c>
      <c r="J55" t="n">
        <v>0</v>
      </c>
      <c r="K55" t="n">
        <v>0</v>
      </c>
      <c r="L55" t="n">
        <v>0</v>
      </c>
      <c r="M55" t="n">
        <v>0</v>
      </c>
      <c r="N55" t="n">
        <v>0</v>
      </c>
    </row>
    <row r="56">
      <c r="A56" t="inlineStr">
        <is>
          <t>sale of stock</t>
        </is>
      </c>
      <c r="B56" t="inlineStr">
        <is>
          <t>and for 30 shilling from 3 cows after calving sold.</t>
        </is>
      </c>
      <c r="C56" t="n">
        <v>1.5</v>
      </c>
      <c r="D56" t="n">
        <v>0</v>
      </c>
      <c r="E56" t="n">
        <v>30</v>
      </c>
      <c r="F56" t="n">
        <v>0</v>
      </c>
      <c r="H56" t="n">
        <v>0</v>
      </c>
      <c r="I56" t="n">
        <v>0</v>
      </c>
      <c r="J56" t="n">
        <v>0</v>
      </c>
      <c r="K56" t="n">
        <v>0</v>
      </c>
      <c r="L56" t="n">
        <v>0</v>
      </c>
      <c r="M56" t="n">
        <v>0</v>
      </c>
      <c r="N56" t="n">
        <v>0</v>
      </c>
    </row>
    <row r="57">
      <c r="A57" t="inlineStr">
        <is>
          <t>sale of stock</t>
        </is>
      </c>
      <c r="B57" t="inlineStr">
        <is>
          <t>and for 9 shilling from 6 calves sold with lactage.</t>
        </is>
      </c>
      <c r="C57" t="n">
        <v>0.45</v>
      </c>
      <c r="D57" t="n">
        <v>0</v>
      </c>
      <c r="E57" t="n">
        <v>9</v>
      </c>
      <c r="F57" t="n">
        <v>0</v>
      </c>
      <c r="H57" t="n">
        <v>0</v>
      </c>
      <c r="I57" t="n">
        <v>0</v>
      </c>
      <c r="J57" t="n">
        <v>0</v>
      </c>
      <c r="K57" t="n">
        <v>0</v>
      </c>
      <c r="L57" t="n">
        <v>0</v>
      </c>
      <c r="M57" t="n">
        <v>0</v>
      </c>
      <c r="N57" t="n">
        <v>0</v>
      </c>
    </row>
    <row r="58">
      <c r="A58" t="inlineStr">
        <is>
          <t>sale of stock</t>
        </is>
      </c>
      <c r="B58" t="inlineStr">
        <is>
          <t>and for 16 shilling from 12 wethers sold at the feast of st martin [11 november].</t>
        </is>
      </c>
      <c r="C58" t="n">
        <v>0.8</v>
      </c>
      <c r="D58" t="n">
        <v>0</v>
      </c>
      <c r="E58" t="n">
        <v>16</v>
      </c>
      <c r="F58" t="n">
        <v>0</v>
      </c>
      <c r="H58" t="n">
        <v>0</v>
      </c>
      <c r="I58" t="n">
        <v>0</v>
      </c>
      <c r="J58" t="n">
        <v>0</v>
      </c>
      <c r="K58" t="n">
        <v>0</v>
      </c>
      <c r="L58" t="n">
        <v>0</v>
      </c>
      <c r="M58" t="n">
        <v>0</v>
      </c>
      <c r="N58" t="n">
        <v>0</v>
      </c>
    </row>
    <row r="59">
      <c r="A59" t="inlineStr">
        <is>
          <t>sale of stock</t>
        </is>
      </c>
      <c r="B59" t="inlineStr">
        <is>
          <t>and for 3 shilling from 3 ewes sold at the feast of st martin.</t>
        </is>
      </c>
      <c r="C59" t="n">
        <v>0.15</v>
      </c>
      <c r="D59" t="n">
        <v>0</v>
      </c>
      <c r="E59" t="n">
        <v>3</v>
      </c>
      <c r="F59" t="n">
        <v>0</v>
      </c>
      <c r="H59" t="n">
        <v>0</v>
      </c>
      <c r="I59" t="n">
        <v>0</v>
      </c>
      <c r="J59" t="n">
        <v>0</v>
      </c>
      <c r="K59" t="n">
        <v>0</v>
      </c>
      <c r="L59" t="n">
        <v>0</v>
      </c>
      <c r="M59" t="n">
        <v>0</v>
      </c>
      <c r="N59" t="n">
        <v>0</v>
      </c>
    </row>
    <row r="60">
      <c r="A60" t="inlineStr">
        <is>
          <t>sale of stock</t>
        </is>
      </c>
      <c r="B60" t="inlineStr">
        <is>
          <t>sum 68 shilling.</t>
        </is>
      </c>
      <c r="C60" t="n">
        <v>3.4</v>
      </c>
      <c r="D60" t="n">
        <v>0</v>
      </c>
      <c r="E60" t="n">
        <v>68</v>
      </c>
      <c r="F60" t="n">
        <v>0</v>
      </c>
      <c r="H60" t="n">
        <v>0</v>
      </c>
      <c r="I60" t="n">
        <v>0</v>
      </c>
      <c r="J60" t="n">
        <v>0</v>
      </c>
      <c r="K60" t="n">
        <v>0</v>
      </c>
      <c r="L60" t="n">
        <v>0</v>
      </c>
      <c r="M60" t="n">
        <v>0</v>
      </c>
      <c r="N60" t="n">
        <v>0</v>
      </c>
    </row>
    <row r="61">
      <c r="A61" t="inlineStr">
        <is>
          <t>sale of stock</t>
        </is>
      </c>
      <c r="B61" t="inlineStr">
        <is>
          <t>--- page 3 ---.</t>
        </is>
      </c>
      <c r="C61" t="n">
        <v>0</v>
      </c>
      <c r="D61" t="n">
        <v>0</v>
      </c>
      <c r="E61" t="n">
        <v>0</v>
      </c>
      <c r="F61" t="n">
        <v>0</v>
      </c>
      <c r="H61" t="n">
        <v>0</v>
      </c>
      <c r="I61" t="n">
        <v>0</v>
      </c>
      <c r="J61" t="n">
        <v>0</v>
      </c>
      <c r="K61" t="n">
        <v>0</v>
      </c>
      <c r="L61" t="n">
        <v>0</v>
      </c>
      <c r="M61" t="n">
        <v>0</v>
      </c>
      <c r="N61" t="n">
        <v>0</v>
      </c>
    </row>
    <row r="62">
      <c r="A62" t="inlineStr">
        <is>
          <t>sale of stock</t>
        </is>
      </c>
      <c r="B62" t="inlineStr">
        <is>
          <t>and for 10 shilling 7¾d from things sold at the audit.</t>
        </is>
      </c>
      <c r="C62" t="n">
        <v>0.5</v>
      </c>
      <c r="D62" t="n">
        <v>0</v>
      </c>
      <c r="E62" t="n">
        <v>10</v>
      </c>
      <c r="F62" t="n">
        <v>0</v>
      </c>
      <c r="H62" t="n">
        <v>0</v>
      </c>
      <c r="I62" t="n">
        <v>0</v>
      </c>
      <c r="J62" t="n">
        <v>0</v>
      </c>
      <c r="K62" t="n">
        <v>0</v>
      </c>
      <c r="L62" t="n">
        <v>0</v>
      </c>
      <c r="M62" t="n">
        <v>0</v>
      </c>
      <c r="N62" t="n">
        <v>0</v>
      </c>
    </row>
    <row r="63">
      <c r="A63" t="inlineStr">
        <is>
          <t>sale of stock</t>
        </is>
      </c>
      <c r="B63" t="inlineStr">
        <is>
          <t>sum 10 shilling 7¾d.</t>
        </is>
      </c>
      <c r="C63" t="n">
        <v>0.5</v>
      </c>
      <c r="D63" t="n">
        <v>0</v>
      </c>
      <c r="E63" t="n">
        <v>10</v>
      </c>
      <c r="F63" t="n">
        <v>0</v>
      </c>
      <c r="H63" t="n">
        <v>0</v>
      </c>
      <c r="I63" t="n">
        <v>0</v>
      </c>
      <c r="J63" t="n">
        <v>0</v>
      </c>
      <c r="K63" t="n">
        <v>0</v>
      </c>
      <c r="L63" t="n">
        <v>0</v>
      </c>
      <c r="M63" t="n">
        <v>0</v>
      </c>
      <c r="N63" t="n">
        <v>0</v>
      </c>
    </row>
    <row r="64">
      <c r="A64" t="inlineStr">
        <is>
          <t>sale of corn</t>
        </is>
      </c>
      <c r="B64"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64" t="n">
        <v>0.21</v>
      </c>
      <c r="D64" t="n">
        <v>0</v>
      </c>
      <c r="E64" t="n">
        <v>4</v>
      </c>
      <c r="F64" t="n">
        <v>2</v>
      </c>
      <c r="G64" t="inlineStr">
        <is>
          <t>rye, beans, peas, wheat, oats</t>
        </is>
      </c>
      <c r="H64" t="n">
        <v>11</v>
      </c>
      <c r="I64" t="n">
        <v>10</v>
      </c>
      <c r="J64" t="n">
        <v>12.25</v>
      </c>
      <c r="K64" t="n">
        <v>0.62</v>
      </c>
      <c r="L64" t="n">
        <v>11.62</v>
      </c>
      <c r="M64" t="n">
        <v>0</v>
      </c>
      <c r="N64" t="n">
        <v>5</v>
      </c>
      <c r="O64" t="n">
        <v>11</v>
      </c>
      <c r="P64" t="n">
        <v>0</v>
      </c>
      <c r="Q64" t="n">
        <v>0</v>
      </c>
      <c r="R64" t="n">
        <v>4</v>
      </c>
      <c r="S64" t="n">
        <v>0</v>
      </c>
      <c r="T64" t="n">
        <v>6</v>
      </c>
      <c r="AC64" t="n">
        <v>0</v>
      </c>
      <c r="AD64" t="n">
        <v>0</v>
      </c>
      <c r="AE64" t="n">
        <v>0</v>
      </c>
      <c r="AF64" t="n">
        <v>0</v>
      </c>
      <c r="AG64" t="n">
        <v>0</v>
      </c>
      <c r="AH64" t="n">
        <v>0</v>
      </c>
    </row>
    <row r="65">
      <c r="A65" t="inlineStr">
        <is>
          <t>sale of corn</t>
        </is>
      </c>
      <c r="B65" t="inlineStr">
        <is>
          <t>sum £4 6 shilling 5pence.</t>
        </is>
      </c>
      <c r="C65" t="n">
        <v>4.32</v>
      </c>
      <c r="D65" t="n">
        <v>4</v>
      </c>
      <c r="E65" t="n">
        <v>6</v>
      </c>
      <c r="F65" t="n">
        <v>5</v>
      </c>
      <c r="H65" t="n">
        <v>0</v>
      </c>
      <c r="I65" t="n">
        <v>0</v>
      </c>
      <c r="J65" t="n">
        <v>0</v>
      </c>
      <c r="K65" t="n">
        <v>0</v>
      </c>
      <c r="L65" t="n">
        <v>0</v>
      </c>
      <c r="M65" t="n">
        <v>0</v>
      </c>
      <c r="N65" t="n">
        <v>0</v>
      </c>
    </row>
    <row r="66">
      <c r="A66" t="inlineStr">
        <is>
          <t>fines and marriage fines</t>
        </is>
      </c>
      <c r="B66" t="inlineStr">
        <is>
          <t>and for 8 shilling from tithingpenny at the view of frankpledge for esher at two tourns for the year.</t>
        </is>
      </c>
      <c r="C66" t="n">
        <v>0.4</v>
      </c>
      <c r="D66" t="n">
        <v>0</v>
      </c>
      <c r="E66" t="n">
        <v>8</v>
      </c>
      <c r="F66" t="n">
        <v>0</v>
      </c>
      <c r="H66" t="n">
        <v>0</v>
      </c>
      <c r="I66" t="n">
        <v>0</v>
      </c>
      <c r="J66" t="n">
        <v>0</v>
      </c>
      <c r="K66" t="n">
        <v>0</v>
      </c>
      <c r="L66" t="n">
        <v>0</v>
      </c>
      <c r="M66" t="n">
        <v>0</v>
      </c>
      <c r="N66" t="n">
        <v>0</v>
      </c>
    </row>
    <row r="67">
      <c r="A67" t="inlineStr">
        <is>
          <t>fines and marriage fines</t>
        </is>
      </c>
      <c r="B67" t="inlineStr">
        <is>
          <t>and for 6 pence from the fine of alex, viner, for having one curtilage that is called collardeshaw surrendered by walter sewyne in esher.</t>
        </is>
      </c>
      <c r="C67" t="n">
        <v>0.03</v>
      </c>
      <c r="D67" t="n">
        <v>0</v>
      </c>
      <c r="E67" t="n">
        <v>0</v>
      </c>
      <c r="F67" t="n">
        <v>6</v>
      </c>
      <c r="H67" t="n">
        <v>0</v>
      </c>
      <c r="I67" t="n">
        <v>0</v>
      </c>
      <c r="J67" t="n">
        <v>0</v>
      </c>
      <c r="K67" t="n">
        <v>0</v>
      </c>
      <c r="L67" t="n">
        <v>0</v>
      </c>
      <c r="M67" t="n">
        <v>0</v>
      </c>
      <c r="N67" t="n">
        <v>0</v>
      </c>
    </row>
    <row r="68">
      <c r="A68" t="inlineStr">
        <is>
          <t>fines and marriage fines</t>
        </is>
      </c>
      <c r="B68" t="inlineStr">
        <is>
          <t>and for 5 shilling from gilbert forestar for the marriage of emma, his daughter, outside the lordship.</t>
        </is>
      </c>
      <c r="C68" t="n">
        <v>0.25</v>
      </c>
      <c r="D68" t="n">
        <v>0</v>
      </c>
      <c r="E68" t="n">
        <v>5</v>
      </c>
      <c r="F68" t="n">
        <v>0</v>
      </c>
      <c r="H68" t="n">
        <v>0</v>
      </c>
      <c r="I68" t="n">
        <v>0</v>
      </c>
      <c r="J68" t="n">
        <v>0</v>
      </c>
      <c r="K68" t="n">
        <v>0</v>
      </c>
      <c r="L68" t="n">
        <v>0</v>
      </c>
      <c r="M68" t="n">
        <v>0</v>
      </c>
      <c r="N68" t="n">
        <v>0</v>
      </c>
    </row>
    <row r="69">
      <c r="A69" t="inlineStr">
        <is>
          <t>fines and marriage fines</t>
        </is>
      </c>
      <c r="B69" t="inlineStr">
        <is>
          <t>and for 18 pence from the fine of roger sewyn for having 1 acre of land at le bernette surrendered by richard atte strete in esher.</t>
        </is>
      </c>
      <c r="C69" t="n">
        <v>0.07000000000000001</v>
      </c>
      <c r="D69" t="n">
        <v>0</v>
      </c>
      <c r="E69" t="n">
        <v>0</v>
      </c>
      <c r="F69" t="n">
        <v>18</v>
      </c>
      <c r="H69" t="n">
        <v>0</v>
      </c>
      <c r="I69" t="n">
        <v>0</v>
      </c>
      <c r="J69" t="n">
        <v>0</v>
      </c>
      <c r="K69" t="n">
        <v>0</v>
      </c>
      <c r="L69" t="n">
        <v>0</v>
      </c>
      <c r="M69" t="n">
        <v>0</v>
      </c>
      <c r="N69" t="n">
        <v>0</v>
      </c>
    </row>
    <row r="70">
      <c r="A70" t="inlineStr">
        <is>
          <t>fines and marriage fines</t>
        </is>
      </c>
      <c r="B70" t="inlineStr">
        <is>
          <t>and for 5 shilling from the fine of richard son of emma walrand for a fine for having 1 acre of meadow next to bromhullespole surrendered by william de wexford in esher.</t>
        </is>
      </c>
      <c r="C70" t="n">
        <v>0.25</v>
      </c>
      <c r="D70" t="n">
        <v>0</v>
      </c>
      <c r="E70" t="n">
        <v>5</v>
      </c>
      <c r="F70" t="n">
        <v>0</v>
      </c>
      <c r="H70" t="n">
        <v>0</v>
      </c>
      <c r="I70" t="n">
        <v>0</v>
      </c>
      <c r="J70" t="n">
        <v>0</v>
      </c>
      <c r="K70" t="n">
        <v>0</v>
      </c>
      <c r="L70" t="n">
        <v>0</v>
      </c>
      <c r="M70" t="n">
        <v>0</v>
      </c>
      <c r="N70" t="n">
        <v>0</v>
      </c>
    </row>
    <row r="71">
      <c r="A71" t="inlineStr">
        <is>
          <t>fines and marriage fines</t>
        </is>
      </c>
      <c r="B71" t="inlineStr">
        <is>
          <t>and for 6 shilling from the fine of william le craller for having one cottage surrendered by william de cranemeer in esher.</t>
        </is>
      </c>
      <c r="C71" t="n">
        <v>0.3</v>
      </c>
      <c r="D71" t="n">
        <v>0</v>
      </c>
      <c r="E71" t="n">
        <v>6</v>
      </c>
      <c r="F71" t="n">
        <v>0</v>
      </c>
      <c r="H71" t="n">
        <v>0</v>
      </c>
      <c r="I71" t="n">
        <v>0</v>
      </c>
      <c r="J71" t="n">
        <v>0</v>
      </c>
      <c r="K71" t="n">
        <v>0</v>
      </c>
      <c r="L71" t="n">
        <v>0</v>
      </c>
      <c r="M71" t="n">
        <v>0</v>
      </c>
      <c r="N71" t="n">
        <v>0</v>
      </c>
    </row>
    <row r="72">
      <c r="A72" t="inlineStr">
        <is>
          <t>fines and marriage fines</t>
        </is>
      </c>
      <c r="B72" t="inlineStr">
        <is>
          <t>and for 8 shilling 7 pence from the perquisites of one court held on the wednesday next after the feast of st edward the king [15 october].</t>
        </is>
      </c>
      <c r="C72" t="n">
        <v>0.43</v>
      </c>
      <c r="D72" t="n">
        <v>0</v>
      </c>
      <c r="E72" t="n">
        <v>8</v>
      </c>
      <c r="F72" t="n">
        <v>7</v>
      </c>
      <c r="H72" t="n">
        <v>0</v>
      </c>
      <c r="I72" t="n">
        <v>0</v>
      </c>
      <c r="J72" t="n">
        <v>0</v>
      </c>
      <c r="K72" t="n">
        <v>0</v>
      </c>
      <c r="L72" t="n">
        <v>0</v>
      </c>
      <c r="M72" t="n">
        <v>0</v>
      </c>
      <c r="N72" t="n">
        <v>0</v>
      </c>
    </row>
    <row r="73">
      <c r="A73" t="inlineStr">
        <is>
          <t>fines and marriage fines</t>
        </is>
      </c>
      <c r="B73" t="inlineStr">
        <is>
          <t>and for 22 shilling 4 pence from the perquisites of one court held on the tuesday in the feast of st dunstan [19 may].</t>
        </is>
      </c>
      <c r="C73" t="n">
        <v>1.12</v>
      </c>
      <c r="D73" t="n">
        <v>0</v>
      </c>
      <c r="E73" t="n">
        <v>22</v>
      </c>
      <c r="F73" t="n">
        <v>4</v>
      </c>
      <c r="H73" t="n">
        <v>0</v>
      </c>
      <c r="I73" t="n">
        <v>0</v>
      </c>
      <c r="J73" t="n">
        <v>0</v>
      </c>
      <c r="K73" t="n">
        <v>0</v>
      </c>
      <c r="L73" t="n">
        <v>0</v>
      </c>
      <c r="M73" t="n">
        <v>0</v>
      </c>
      <c r="N73" t="n">
        <v>0</v>
      </c>
    </row>
    <row r="74">
      <c r="A74" t="inlineStr">
        <is>
          <t>fines and marriage fines</t>
        </is>
      </c>
      <c r="B74" t="inlineStr">
        <is>
          <t>and for 3 pence from the perquisites of one court held on the monday next before the feast of st john the baptist [22 june].</t>
        </is>
      </c>
      <c r="C74" t="n">
        <v>0.01</v>
      </c>
      <c r="D74" t="n">
        <v>0</v>
      </c>
      <c r="E74" t="n">
        <v>0</v>
      </c>
      <c r="F74" t="n">
        <v>3</v>
      </c>
      <c r="H74" t="n">
        <v>0</v>
      </c>
      <c r="I74" t="n">
        <v>0</v>
      </c>
      <c r="J74" t="n">
        <v>0</v>
      </c>
      <c r="K74" t="n">
        <v>0</v>
      </c>
      <c r="L74" t="n">
        <v>0</v>
      </c>
      <c r="M74" t="n">
        <v>0</v>
      </c>
      <c r="N74" t="n">
        <v>0</v>
      </c>
    </row>
    <row r="75">
      <c r="A75" t="inlineStr">
        <is>
          <t>fines and marriage fines</t>
        </is>
      </c>
      <c r="B75" t="inlineStr">
        <is>
          <t>sum 53 shilling 2pence.</t>
        </is>
      </c>
      <c r="C75" t="n">
        <v>2.66</v>
      </c>
      <c r="D75" t="n">
        <v>0</v>
      </c>
      <c r="E75" t="n">
        <v>53</v>
      </c>
      <c r="F75" t="n">
        <v>2</v>
      </c>
      <c r="H75" t="n">
        <v>0</v>
      </c>
      <c r="I75" t="n">
        <v>0</v>
      </c>
      <c r="J75" t="n">
        <v>0</v>
      </c>
      <c r="K75" t="n">
        <v>0</v>
      </c>
      <c r="L75" t="n">
        <v>0</v>
      </c>
      <c r="M75" t="n">
        <v>0</v>
      </c>
      <c r="N75" t="n">
        <v>0</v>
      </c>
    </row>
    <row r="76">
      <c r="A76" t="inlineStr">
        <is>
          <t>likewise perquisites</t>
        </is>
      </c>
      <c r="B76" t="inlineStr">
        <is>
          <t>from perquisites of the hall of kingston nothing this year.</t>
        </is>
      </c>
      <c r="C76" t="n">
        <v>0</v>
      </c>
      <c r="D76" t="n">
        <v>0</v>
      </c>
      <c r="E76" t="n">
        <v>0</v>
      </c>
      <c r="F76" t="n">
        <v>0</v>
      </c>
      <c r="H76" t="n">
        <v>0</v>
      </c>
      <c r="I76" t="n">
        <v>0</v>
      </c>
      <c r="J76" t="n">
        <v>0</v>
      </c>
      <c r="K76" t="n">
        <v>0</v>
      </c>
      <c r="L76" t="n">
        <v>0</v>
      </c>
      <c r="M76" t="n">
        <v>0</v>
      </c>
      <c r="N76" t="n">
        <v>0</v>
      </c>
    </row>
    <row r="77">
      <c r="A77" t="inlineStr">
        <is>
          <t>foreign receipts</t>
        </is>
      </c>
      <c r="B77" t="inlineStr">
        <is>
          <t>and for 66 shilling received from the lord, by tally, by the hand of roger de la ber.</t>
        </is>
      </c>
      <c r="C77" t="n">
        <v>3.3</v>
      </c>
      <c r="D77" t="n">
        <v>0</v>
      </c>
      <c r="E77" t="n">
        <v>66</v>
      </c>
      <c r="F77" t="n">
        <v>0</v>
      </c>
      <c r="H77" t="n">
        <v>0</v>
      </c>
      <c r="I77" t="n">
        <v>0</v>
      </c>
      <c r="J77" t="n">
        <v>0</v>
      </c>
      <c r="K77" t="n">
        <v>0</v>
      </c>
      <c r="L77" t="n">
        <v>0</v>
      </c>
      <c r="M77" t="n">
        <v>0</v>
      </c>
      <c r="N77" t="n">
        <v>0</v>
      </c>
    </row>
    <row r="78">
      <c r="A78" t="inlineStr">
        <is>
          <t>foreign receipts</t>
        </is>
      </c>
      <c r="B78" t="inlineStr">
        <is>
          <t>and for £10 received from the same by the hand of the same and thomas tegulator.</t>
        </is>
      </c>
      <c r="C78" t="n">
        <v>10</v>
      </c>
      <c r="D78" t="n">
        <v>10</v>
      </c>
      <c r="E78" t="n">
        <v>0</v>
      </c>
      <c r="F78" t="n">
        <v>0</v>
      </c>
      <c r="H78" t="n">
        <v>0</v>
      </c>
      <c r="I78" t="n">
        <v>0</v>
      </c>
      <c r="J78" t="n">
        <v>0</v>
      </c>
      <c r="K78" t="n">
        <v>0</v>
      </c>
      <c r="L78" t="n">
        <v>0</v>
      </c>
      <c r="M78" t="n">
        <v>0</v>
      </c>
      <c r="N78" t="n">
        <v>0</v>
      </c>
    </row>
    <row r="79">
      <c r="A79" t="inlineStr">
        <is>
          <t>foreign receipts</t>
        </is>
      </c>
      <c r="B79" t="inlineStr">
        <is>
          <t>sum £13 6 shilling.</t>
        </is>
      </c>
      <c r="C79" t="n">
        <v>13.3</v>
      </c>
      <c r="D79" t="n">
        <v>13</v>
      </c>
      <c r="E79" t="n">
        <v>6</v>
      </c>
      <c r="F79" t="n">
        <v>0</v>
      </c>
      <c r="H79" t="n">
        <v>0</v>
      </c>
      <c r="I79" t="n">
        <v>0</v>
      </c>
      <c r="J79" t="n">
        <v>0</v>
      </c>
      <c r="K79" t="n">
        <v>0</v>
      </c>
      <c r="L79" t="n">
        <v>0</v>
      </c>
      <c r="M79" t="n">
        <v>0</v>
      </c>
      <c r="N79" t="n">
        <v>0</v>
      </c>
    </row>
    <row r="80">
      <c r="A80" t="inlineStr">
        <is>
          <t>foreign receipts</t>
        </is>
      </c>
      <c r="B80" t="inlineStr">
        <is>
          <t>sum of all receipts £4 19 shilling 10¾d \besides arrears/.</t>
        </is>
      </c>
      <c r="C80" t="n">
        <v>4.95</v>
      </c>
      <c r="D80" t="n">
        <v>4</v>
      </c>
      <c r="E80" t="n">
        <v>19</v>
      </c>
      <c r="F80" t="n">
        <v>0</v>
      </c>
      <c r="H80" t="n">
        <v>0</v>
      </c>
      <c r="I80" t="n">
        <v>0</v>
      </c>
      <c r="J80" t="n">
        <v>0</v>
      </c>
      <c r="K80" t="n">
        <v>0</v>
      </c>
      <c r="L80" t="n">
        <v>0</v>
      </c>
      <c r="M80" t="n">
        <v>0</v>
      </c>
      <c r="N80" t="n">
        <v>0</v>
      </c>
    </row>
    <row r="81">
      <c r="A81" t="inlineStr">
        <is>
          <t>cost of ploughs</t>
        </is>
      </c>
      <c r="B81" t="inlineStr">
        <is>
          <t>in iron and steel bought for the ironwork of one plough for the year 2 shilling 4pence.</t>
        </is>
      </c>
      <c r="C81" t="n">
        <v>0.12</v>
      </c>
      <c r="D81" t="n">
        <v>0</v>
      </c>
      <c r="E81" t="n">
        <v>2</v>
      </c>
      <c r="F81" t="n">
        <v>4</v>
      </c>
      <c r="H81" t="n">
        <v>0</v>
      </c>
      <c r="I81" t="n">
        <v>0</v>
      </c>
      <c r="J81" t="n">
        <v>0</v>
      </c>
      <c r="K81" t="n">
        <v>0</v>
      </c>
      <c r="L81" t="n">
        <v>0</v>
      </c>
      <c r="M81" t="n">
        <v>0</v>
      </c>
      <c r="N81" t="n">
        <v>0</v>
      </c>
    </row>
    <row r="82">
      <c r="A82" t="inlineStr">
        <is>
          <t>cost of ploughs</t>
        </is>
      </c>
      <c r="B82" t="inlineStr">
        <is>
          <t>stipend of a smith for the same 2 shilling.</t>
        </is>
      </c>
      <c r="C82" t="n">
        <v>0.1</v>
      </c>
      <c r="D82" t="n">
        <v>0</v>
      </c>
      <c r="E82" t="n">
        <v>2</v>
      </c>
      <c r="F82" t="n">
        <v>0</v>
      </c>
      <c r="H82" t="n">
        <v>0</v>
      </c>
      <c r="I82" t="n">
        <v>0</v>
      </c>
      <c r="J82" t="n">
        <v>0</v>
      </c>
      <c r="K82" t="n">
        <v>0</v>
      </c>
      <c r="L82" t="n">
        <v>0</v>
      </c>
      <c r="M82" t="n">
        <v>0</v>
      </c>
      <c r="N82" t="n">
        <v>0</v>
      </c>
    </row>
    <row r="83">
      <c r="A83" t="inlineStr">
        <is>
          <t>cost of ploughs</t>
        </is>
      </c>
      <c r="B83" t="inlineStr">
        <is>
          <t>one plough foot bought 4pence.</t>
        </is>
      </c>
      <c r="C83" t="n">
        <v>0.02</v>
      </c>
      <c r="D83" t="n">
        <v>0</v>
      </c>
      <c r="E83" t="n">
        <v>0</v>
      </c>
      <c r="F83" t="n">
        <v>4</v>
      </c>
      <c r="H83" t="n">
        <v>0</v>
      </c>
      <c r="I83" t="n">
        <v>0</v>
      </c>
      <c r="J83" t="n">
        <v>0</v>
      </c>
      <c r="K83" t="n">
        <v>0</v>
      </c>
      <c r="L83" t="n">
        <v>0</v>
      </c>
      <c r="M83" t="n">
        <v>0</v>
      </c>
      <c r="N83" t="n">
        <v>0</v>
      </c>
    </row>
    <row r="84">
      <c r="A84" t="inlineStr">
        <is>
          <t>cost of ploughs</t>
        </is>
      </c>
      <c r="B84" t="inlineStr">
        <is>
          <t>one pair of wheels for the plough 4pence.</t>
        </is>
      </c>
      <c r="C84" t="n">
        <v>0.02</v>
      </c>
      <c r="D84" t="n">
        <v>0</v>
      </c>
      <c r="E84" t="n">
        <v>0</v>
      </c>
      <c r="F84" t="n">
        <v>4</v>
      </c>
      <c r="H84" t="n">
        <v>0</v>
      </c>
      <c r="I84" t="n">
        <v>0</v>
      </c>
      <c r="J84" t="n">
        <v>0</v>
      </c>
      <c r="K84" t="n">
        <v>0</v>
      </c>
      <c r="L84" t="n">
        <v>0</v>
      </c>
      <c r="M84" t="n">
        <v>0</v>
      </c>
      <c r="N84" t="n">
        <v>0</v>
      </c>
    </row>
    <row r="85">
      <c r="A85" t="inlineStr">
        <is>
          <t>cost of ploughs</t>
        </is>
      </c>
      <c r="B85" t="inlineStr">
        <is>
          <t>fitting a plough with a sharebeam and buying it 4pence.</t>
        </is>
      </c>
      <c r="C85" t="n">
        <v>0.02</v>
      </c>
      <c r="D85" t="n">
        <v>0</v>
      </c>
      <c r="E85" t="n">
        <v>0</v>
      </c>
      <c r="F85" t="n">
        <v>4</v>
      </c>
      <c r="H85" t="n">
        <v>0</v>
      </c>
      <c r="I85" t="n">
        <v>0</v>
      </c>
      <c r="J85" t="n">
        <v>0</v>
      </c>
      <c r="K85" t="n">
        <v>0</v>
      </c>
      <c r="L85" t="n">
        <v>0</v>
      </c>
      <c r="M85" t="n">
        <v>0</v>
      </c>
      <c r="N85" t="n">
        <v>0</v>
      </c>
    </row>
    <row r="86">
      <c r="A86" t="inlineStr">
        <is>
          <t>cost of ploughs</t>
        </is>
      </c>
      <c r="B86" t="inlineStr">
        <is>
          <t>32 herrings bought for 16 customary tenants harrowing the lord's land at the sowing of oats for one day 3 pence, to each two herrings.</t>
        </is>
      </c>
      <c r="C86" t="n">
        <v>0.01</v>
      </c>
      <c r="D86" t="n">
        <v>0</v>
      </c>
      <c r="E86" t="n">
        <v>0</v>
      </c>
      <c r="F86" t="n">
        <v>3</v>
      </c>
      <c r="G86" t="inlineStr">
        <is>
          <t>oats</t>
        </is>
      </c>
      <c r="H86" t="n">
        <v>0</v>
      </c>
      <c r="I86" t="n">
        <v>0</v>
      </c>
      <c r="J86" t="n">
        <v>0</v>
      </c>
      <c r="K86" t="n">
        <v>0</v>
      </c>
      <c r="L86" t="n">
        <v>0</v>
      </c>
      <c r="M86" t="n">
        <v>0</v>
      </c>
      <c r="N86" t="n">
        <v>0</v>
      </c>
    </row>
    <row r="87">
      <c r="A87" t="inlineStr">
        <is>
          <t>cost of ploughs</t>
        </is>
      </c>
      <c r="B87" t="inlineStr">
        <is>
          <t>one new ploughshare bought 10pence.</t>
        </is>
      </c>
      <c r="C87" t="n">
        <v>0.04</v>
      </c>
      <c r="D87" t="n">
        <v>0</v>
      </c>
      <c r="E87" t="n">
        <v>0</v>
      </c>
      <c r="F87" t="n">
        <v>10</v>
      </c>
      <c r="H87" t="n">
        <v>0</v>
      </c>
      <c r="I87" t="n">
        <v>0</v>
      </c>
      <c r="J87" t="n">
        <v>0</v>
      </c>
      <c r="K87" t="n">
        <v>0</v>
      </c>
      <c r="L87" t="n">
        <v>0</v>
      </c>
      <c r="M87" t="n">
        <v>0</v>
      </c>
      <c r="N87" t="n">
        <v>0</v>
      </c>
    </row>
    <row r="88">
      <c r="A88" t="inlineStr">
        <is>
          <t>cost of ploughs</t>
        </is>
      </c>
      <c r="B88" t="inlineStr">
        <is>
          <t>making a.</t>
        </is>
      </c>
      <c r="C88" t="n">
        <v>0</v>
      </c>
      <c r="D88" t="n">
        <v>0</v>
      </c>
      <c r="E88" t="n">
        <v>0</v>
      </c>
      <c r="F88" t="n">
        <v>0</v>
      </c>
      <c r="H88" t="n">
        <v>0</v>
      </c>
      <c r="I88" t="n">
        <v>0</v>
      </c>
      <c r="J88" t="n">
        <v>0</v>
      </c>
      <c r="K88" t="n">
        <v>0</v>
      </c>
      <c r="L88" t="n">
        <v>0</v>
      </c>
      <c r="M88" t="n">
        <v>0</v>
      </c>
      <c r="N88" t="n">
        <v>0</v>
      </c>
    </row>
    <row r="89">
      <c r="A89" t="inlineStr">
        <is>
          <t>cost of ploughs</t>
        </is>
      </c>
      <c r="B89" t="inlineStr">
        <is>
          <t>--- page 4 ---.</t>
        </is>
      </c>
      <c r="C89" t="n">
        <v>0</v>
      </c>
      <c r="D89" t="n">
        <v>0</v>
      </c>
      <c r="E89" t="n">
        <v>0</v>
      </c>
      <c r="F89" t="n">
        <v>0</v>
      </c>
      <c r="H89" t="n">
        <v>0</v>
      </c>
      <c r="I89" t="n">
        <v>0</v>
      </c>
      <c r="J89" t="n">
        <v>0</v>
      </c>
      <c r="K89" t="n">
        <v>0</v>
      </c>
      <c r="L89" t="n">
        <v>0</v>
      </c>
      <c r="M89" t="n">
        <v>0</v>
      </c>
      <c r="N89" t="n">
        <v>0</v>
      </c>
    </row>
    <row r="90">
      <c r="A90" t="inlineStr">
        <is>
          <t>carts</t>
        </is>
      </c>
      <c r="B90" t="inlineStr">
        <is>
          <t>in clouts and nails bought for the cart 14 pence this year, for carrying timber for the new stable.</t>
        </is>
      </c>
      <c r="C90" t="n">
        <v>0.06</v>
      </c>
      <c r="D90" t="n">
        <v>0</v>
      </c>
      <c r="E90" t="n">
        <v>0</v>
      </c>
      <c r="F90" t="n">
        <v>14</v>
      </c>
      <c r="H90" t="n">
        <v>0</v>
      </c>
      <c r="I90" t="n">
        <v>0</v>
      </c>
      <c r="J90" t="n">
        <v>0</v>
      </c>
      <c r="K90" t="n">
        <v>0</v>
      </c>
      <c r="L90" t="n">
        <v>0</v>
      </c>
      <c r="M90" t="n">
        <v>0</v>
      </c>
      <c r="N90" t="n">
        <v>0</v>
      </c>
    </row>
    <row r="91">
      <c r="A91" t="inlineStr">
        <is>
          <t>carts</t>
        </is>
      </c>
      <c r="B91" t="inlineStr">
        <is>
          <t>one pair of wheels for the cart 2 shilling 6pence.</t>
        </is>
      </c>
      <c r="C91" t="n">
        <v>0.12</v>
      </c>
      <c r="D91" t="n">
        <v>0</v>
      </c>
      <c r="E91" t="n">
        <v>2</v>
      </c>
      <c r="F91" t="n">
        <v>6</v>
      </c>
      <c r="H91" t="n">
        <v>0</v>
      </c>
      <c r="I91" t="n">
        <v>0</v>
      </c>
      <c r="J91" t="n">
        <v>0</v>
      </c>
      <c r="K91" t="n">
        <v>0</v>
      </c>
      <c r="L91" t="n">
        <v>0</v>
      </c>
      <c r="M91" t="n">
        <v>0</v>
      </c>
      <c r="N91" t="n">
        <v>0</v>
      </c>
    </row>
    <row r="92">
      <c r="A92" t="inlineStr">
        <is>
          <t>carts</t>
        </is>
      </c>
      <c r="B92" t="inlineStr">
        <is>
          <t>one collar bought 6pence.</t>
        </is>
      </c>
      <c r="C92" t="n">
        <v>0.03</v>
      </c>
      <c r="D92" t="n">
        <v>0</v>
      </c>
      <c r="E92" t="n">
        <v>0</v>
      </c>
      <c r="F92" t="n">
        <v>6</v>
      </c>
      <c r="H92" t="n">
        <v>0</v>
      </c>
      <c r="I92" t="n">
        <v>0</v>
      </c>
      <c r="J92" t="n">
        <v>0</v>
      </c>
      <c r="K92" t="n">
        <v>0</v>
      </c>
      <c r="L92" t="n">
        <v>0</v>
      </c>
      <c r="M92" t="n">
        <v>0</v>
      </c>
      <c r="N92" t="n">
        <v>0</v>
      </c>
    </row>
    <row r="93">
      <c r="A93" t="inlineStr">
        <is>
          <t>carts</t>
        </is>
      </c>
      <c r="B93" t="inlineStr">
        <is>
          <t>one pair of traces 5pence.</t>
        </is>
      </c>
      <c r="C93" t="n">
        <v>0.02</v>
      </c>
      <c r="D93" t="n">
        <v>0</v>
      </c>
      <c r="E93" t="n">
        <v>0</v>
      </c>
      <c r="F93" t="n">
        <v>5</v>
      </c>
      <c r="H93" t="n">
        <v>0</v>
      </c>
      <c r="I93" t="n">
        <v>0</v>
      </c>
      <c r="J93" t="n">
        <v>0</v>
      </c>
      <c r="K93" t="n">
        <v>0</v>
      </c>
      <c r="L93" t="n">
        <v>0</v>
      </c>
      <c r="M93" t="n">
        <v>0</v>
      </c>
      <c r="N93" t="n">
        <v>0</v>
      </c>
    </row>
    <row r="94">
      <c r="A94" t="inlineStr">
        <is>
          <t>carts</t>
        </is>
      </c>
      <c r="B94" t="inlineStr">
        <is>
          <t>fitting the cart with an axle, with an axle bought for the same 3pence.</t>
        </is>
      </c>
      <c r="C94" t="n">
        <v>0.01</v>
      </c>
      <c r="D94" t="n">
        <v>0</v>
      </c>
      <c r="E94" t="n">
        <v>0</v>
      </c>
      <c r="F94" t="n">
        <v>3</v>
      </c>
      <c r="H94" t="n">
        <v>0</v>
      </c>
      <c r="I94" t="n">
        <v>0</v>
      </c>
      <c r="J94" t="n">
        <v>0</v>
      </c>
      <c r="K94" t="n">
        <v>0</v>
      </c>
      <c r="L94" t="n">
        <v>0</v>
      </c>
      <c r="M94" t="n">
        <v>0</v>
      </c>
      <c r="N94" t="n">
        <v>0</v>
      </c>
    </row>
    <row r="95">
      <c r="A95" t="inlineStr">
        <is>
          <t>carts</t>
        </is>
      </c>
      <c r="B95" t="inlineStr">
        <is>
          <t>grease 6pence.</t>
        </is>
      </c>
      <c r="C95" t="n">
        <v>0.03</v>
      </c>
      <c r="D95" t="n">
        <v>0</v>
      </c>
      <c r="E95" t="n">
        <v>0</v>
      </c>
      <c r="F95" t="n">
        <v>6</v>
      </c>
      <c r="H95" t="n">
        <v>0</v>
      </c>
      <c r="I95" t="n">
        <v>0</v>
      </c>
      <c r="J95" t="n">
        <v>0</v>
      </c>
      <c r="K95" t="n">
        <v>0</v>
      </c>
      <c r="L95" t="n">
        <v>0</v>
      </c>
      <c r="M95" t="n">
        <v>0</v>
      </c>
      <c r="N95" t="n">
        <v>0</v>
      </c>
    </row>
    <row r="96">
      <c r="A96" t="inlineStr">
        <is>
          <t>carts</t>
        </is>
      </c>
      <c r="B96" t="inlineStr">
        <is>
          <t>a contract with a smith for shoeing 2 cart horses for the year 2 shilling 6pence sum 7 shilling 10pence.</t>
        </is>
      </c>
      <c r="C96" t="n">
        <v>0.12</v>
      </c>
      <c r="D96" t="n">
        <v>0</v>
      </c>
      <c r="E96" t="n">
        <v>2</v>
      </c>
      <c r="F96" t="n">
        <v>6</v>
      </c>
      <c r="H96" t="n">
        <v>0</v>
      </c>
      <c r="I96" t="n">
        <v>0</v>
      </c>
      <c r="J96" t="n">
        <v>0</v>
      </c>
      <c r="K96" t="n">
        <v>0</v>
      </c>
      <c r="L96" t="n">
        <v>0</v>
      </c>
      <c r="M96" t="n">
        <v>0</v>
      </c>
      <c r="N96" t="n">
        <v>0</v>
      </c>
    </row>
    <row r="97">
      <c r="A97" t="inlineStr">
        <is>
          <t>purchase of corn</t>
        </is>
      </c>
      <c r="B97" t="inlineStr">
        <is>
          <t>in 4 quarters of barley bought 24 shilling, price of a quarter 6 shilling.</t>
        </is>
      </c>
      <c r="C97" t="n">
        <v>1.2</v>
      </c>
      <c r="D97" t="n">
        <v>0</v>
      </c>
      <c r="E97" t="n">
        <v>24</v>
      </c>
      <c r="F97" t="n">
        <v>0</v>
      </c>
      <c r="G97" t="inlineStr">
        <is>
          <t>barley</t>
        </is>
      </c>
      <c r="H97" t="n">
        <v>4</v>
      </c>
      <c r="I97" t="n">
        <v>0</v>
      </c>
      <c r="J97" t="n">
        <v>4</v>
      </c>
      <c r="K97" t="n">
        <v>4</v>
      </c>
      <c r="L97" t="n">
        <v>0</v>
      </c>
      <c r="M97" t="n">
        <v>4</v>
      </c>
      <c r="N97" t="n">
        <v>0</v>
      </c>
    </row>
    <row r="98">
      <c r="A98" t="inlineStr">
        <is>
          <t>purchase of corn</t>
        </is>
      </c>
      <c r="B98" t="inlineStr">
        <is>
          <t>5 quarters of barley bought 26 shilling 8 pence, price of a quarter 5 shilling 4pence.</t>
        </is>
      </c>
      <c r="C98" t="n">
        <v>1.33</v>
      </c>
      <c r="D98" t="n">
        <v>0</v>
      </c>
      <c r="E98" t="n">
        <v>26</v>
      </c>
      <c r="F98" t="n">
        <v>8</v>
      </c>
      <c r="G98" t="inlineStr">
        <is>
          <t>barley</t>
        </is>
      </c>
      <c r="H98" t="n">
        <v>5</v>
      </c>
      <c r="I98" t="n">
        <v>0</v>
      </c>
      <c r="J98" t="n">
        <v>5</v>
      </c>
      <c r="K98" t="n">
        <v>5</v>
      </c>
      <c r="L98" t="n">
        <v>0</v>
      </c>
      <c r="M98" t="n">
        <v>5</v>
      </c>
      <c r="N98" t="n">
        <v>0</v>
      </c>
    </row>
    <row r="99">
      <c r="A99" t="inlineStr">
        <is>
          <t>purchase of corn</t>
        </is>
      </c>
      <c r="B99" t="inlineStr">
        <is>
          <t>6 quarters of barley bought 28 shilling, price of a quarter 4 shilling 8pence.</t>
        </is>
      </c>
      <c r="C99" t="n">
        <v>1.43</v>
      </c>
      <c r="D99" t="n">
        <v>0</v>
      </c>
      <c r="E99" t="n">
        <v>28</v>
      </c>
      <c r="F99" t="n">
        <v>8</v>
      </c>
      <c r="G99" t="inlineStr">
        <is>
          <t>barley</t>
        </is>
      </c>
      <c r="H99" t="n">
        <v>6</v>
      </c>
      <c r="I99" t="n">
        <v>0</v>
      </c>
      <c r="J99" t="n">
        <v>6</v>
      </c>
      <c r="K99" t="n">
        <v>6</v>
      </c>
      <c r="L99" t="n">
        <v>0</v>
      </c>
      <c r="M99" t="n">
        <v>6</v>
      </c>
      <c r="N99" t="n">
        <v>0</v>
      </c>
    </row>
    <row r="100">
      <c r="A100" t="inlineStr">
        <is>
          <t>purchase of corn</t>
        </is>
      </c>
      <c r="B100" t="inlineStr">
        <is>
          <t>6 quarters 1 bushel of barley bought 24 shilling 6 pence, price of a quarter 4 shilling sum 103 shilling 2pence.</t>
        </is>
      </c>
      <c r="C100" t="n">
        <v>1.22</v>
      </c>
      <c r="D100" t="n">
        <v>0</v>
      </c>
      <c r="E100" t="n">
        <v>24</v>
      </c>
      <c r="F100" t="n">
        <v>6</v>
      </c>
      <c r="G100" t="inlineStr">
        <is>
          <t>barley</t>
        </is>
      </c>
      <c r="H100" t="n">
        <v>6</v>
      </c>
      <c r="I100" t="n">
        <v>0</v>
      </c>
      <c r="J100" t="n">
        <v>6</v>
      </c>
      <c r="K100" t="n">
        <v>6</v>
      </c>
      <c r="L100" t="n">
        <v>0</v>
      </c>
      <c r="M100" t="n">
        <v>6</v>
      </c>
      <c r="N100" t="n">
        <v>0</v>
      </c>
    </row>
    <row r="101">
      <c r="A101" t="inlineStr">
        <is>
          <t>repair of buildings</t>
        </is>
      </c>
      <c r="B101" t="inlineStr">
        <is>
          <t>in roofing buildings in places with straw at northwode 6pence.</t>
        </is>
      </c>
      <c r="C101" t="n">
        <v>0.03</v>
      </c>
      <c r="D101" t="n">
        <v>0</v>
      </c>
      <c r="E101" t="n">
        <v>0</v>
      </c>
      <c r="F101" t="n">
        <v>6</v>
      </c>
      <c r="H101" t="n">
        <v>0</v>
      </c>
      <c r="I101" t="n">
        <v>0</v>
      </c>
      <c r="J101" t="n">
        <v>0</v>
      </c>
      <c r="K101" t="n">
        <v>0</v>
      </c>
      <c r="L101" t="n">
        <v>0</v>
      </c>
      <c r="M101" t="n">
        <v>0</v>
      </c>
      <c r="N101" t="n">
        <v>0</v>
      </c>
    </row>
    <row r="102">
      <c r="A102" t="inlineStr">
        <is>
          <t>repair of buildings</t>
        </is>
      </c>
      <c r="B102" t="inlineStr">
        <is>
          <t>a contract with one worker for roofing a certain earthen wall between the oxshed and the gate of the vineyard with straw 3 shilling.</t>
        </is>
      </c>
      <c r="C102" t="n">
        <v>0.15</v>
      </c>
      <c r="D102" t="n">
        <v>0</v>
      </c>
      <c r="E102" t="n">
        <v>3</v>
      </c>
      <c r="F102" t="n">
        <v>0</v>
      </c>
      <c r="H102" t="n">
        <v>0</v>
      </c>
      <c r="I102" t="n">
        <v>0</v>
      </c>
      <c r="J102" t="n">
        <v>0</v>
      </c>
      <c r="K102" t="n">
        <v>0</v>
      </c>
      <c r="L102" t="n">
        <v>0</v>
      </c>
      <c r="M102" t="n">
        <v>0</v>
      </c>
      <c r="N102" t="n">
        <v>0</v>
      </c>
    </row>
    <row r="103">
      <c r="A103" t="inlineStr">
        <is>
          <t>repair of buildings</t>
        </is>
      </c>
      <c r="B103" t="inlineStr">
        <is>
          <t>straw bought for the same 18pence.</t>
        </is>
      </c>
      <c r="C103" t="n">
        <v>0.07000000000000001</v>
      </c>
      <c r="D103" t="n">
        <v>0</v>
      </c>
      <c r="E103" t="n">
        <v>0</v>
      </c>
      <c r="F103" t="n">
        <v>18</v>
      </c>
      <c r="H103" t="n">
        <v>0</v>
      </c>
      <c r="I103" t="n">
        <v>0</v>
      </c>
      <c r="J103" t="n">
        <v>0</v>
      </c>
      <c r="K103" t="n">
        <v>0</v>
      </c>
      <c r="L103" t="n">
        <v>0</v>
      </c>
      <c r="M103" t="n">
        <v>0</v>
      </c>
      <c r="N103" t="n">
        <v>0</v>
      </c>
    </row>
    <row r="104">
      <c r="A104" t="inlineStr">
        <is>
          <t>repair of buildings</t>
        </is>
      </c>
      <c r="B104" t="inlineStr">
        <is>
          <t>one cask bought 18pence.</t>
        </is>
      </c>
      <c r="C104" t="n">
        <v>0.07000000000000001</v>
      </c>
      <c r="D104" t="n">
        <v>0</v>
      </c>
      <c r="E104" t="n">
        <v>0</v>
      </c>
      <c r="F104" t="n">
        <v>18</v>
      </c>
      <c r="H104" t="n">
        <v>0</v>
      </c>
      <c r="I104" t="n">
        <v>0</v>
      </c>
      <c r="J104" t="n">
        <v>0</v>
      </c>
      <c r="K104" t="n">
        <v>0</v>
      </c>
      <c r="L104" t="n">
        <v>0</v>
      </c>
      <c r="M104" t="n">
        <v>0</v>
      </c>
      <c r="N104" t="n">
        <v>0</v>
      </c>
    </row>
    <row r="105">
      <c r="A105" t="inlineStr">
        <is>
          <t>repair of buildings</t>
        </is>
      </c>
      <c r="B105" t="inlineStr">
        <is>
          <t>making two vats from one cask 5pence.</t>
        </is>
      </c>
      <c r="C105" t="n">
        <v>0.02</v>
      </c>
      <c r="D105" t="n">
        <v>0</v>
      </c>
      <c r="E105" t="n">
        <v>0</v>
      </c>
      <c r="F105" t="n">
        <v>5</v>
      </c>
      <c r="H105" t="n">
        <v>0</v>
      </c>
      <c r="I105" t="n">
        <v>0</v>
      </c>
      <c r="J105" t="n">
        <v>0</v>
      </c>
      <c r="K105" t="n">
        <v>0</v>
      </c>
      <c r="L105" t="n">
        <v>0</v>
      </c>
      <c r="M105" t="n">
        <v>0</v>
      </c>
      <c r="N105" t="n">
        <v>0</v>
      </c>
    </row>
    <row r="106">
      <c r="A106" t="inlineStr">
        <is>
          <t>repair of buildings</t>
        </is>
      </c>
      <c r="B106" t="inlineStr">
        <is>
          <t>one basket bought 3pence.</t>
        </is>
      </c>
      <c r="C106" t="n">
        <v>0.01</v>
      </c>
      <c r="D106" t="n">
        <v>0</v>
      </c>
      <c r="E106" t="n">
        <v>0</v>
      </c>
      <c r="F106" t="n">
        <v>3</v>
      </c>
      <c r="H106" t="n">
        <v>0</v>
      </c>
      <c r="I106" t="n">
        <v>0</v>
      </c>
      <c r="J106" t="n">
        <v>0</v>
      </c>
      <c r="K106" t="n">
        <v>0</v>
      </c>
      <c r="L106" t="n">
        <v>0</v>
      </c>
      <c r="M106" t="n">
        <v>0</v>
      </c>
      <c r="N106" t="n">
        <v>0</v>
      </c>
    </row>
    <row r="107">
      <c r="A107" t="inlineStr">
        <is>
          <t>repair of buildings</t>
        </is>
      </c>
      <c r="B107" t="inlineStr">
        <is>
          <t>making a certain earthen wall between the archdeacon’s chamber and the bakehouse 7pence.</t>
        </is>
      </c>
      <c r="C107" t="n">
        <v>0.03</v>
      </c>
      <c r="D107" t="n">
        <v>0</v>
      </c>
      <c r="E107" t="n">
        <v>0</v>
      </c>
      <c r="F107" t="n">
        <v>7</v>
      </c>
      <c r="H107" t="n">
        <v>0</v>
      </c>
      <c r="I107" t="n">
        <v>0</v>
      </c>
      <c r="J107" t="n">
        <v>0</v>
      </c>
      <c r="K107" t="n">
        <v>0</v>
      </c>
      <c r="L107" t="n">
        <v>0</v>
      </c>
      <c r="M107" t="n">
        <v>0</v>
      </c>
      <c r="N107" t="n">
        <v>0</v>
      </c>
    </row>
    <row r="108">
      <c r="A108" t="inlineStr">
        <is>
          <t>repair of buildings</t>
        </is>
      </c>
      <c r="B108" t="inlineStr">
        <is>
          <t>hooks and hinges for one door in the oxshed towards the vineyard and for the kitchen 10pence.</t>
        </is>
      </c>
      <c r="C108" t="n">
        <v>0.04</v>
      </c>
      <c r="D108" t="n">
        <v>0</v>
      </c>
      <c r="E108" t="n">
        <v>0</v>
      </c>
      <c r="F108" t="n">
        <v>10</v>
      </c>
      <c r="H108" t="n">
        <v>0</v>
      </c>
      <c r="I108" t="n">
        <v>0</v>
      </c>
      <c r="J108" t="n">
        <v>0</v>
      </c>
      <c r="K108" t="n">
        <v>0</v>
      </c>
      <c r="L108" t="n">
        <v>0</v>
      </c>
      <c r="M108" t="n">
        <v>0</v>
      </c>
      <c r="N108" t="n">
        <v>0</v>
      </c>
    </row>
    <row r="109">
      <c r="A109" t="inlineStr">
        <is>
          <t>repair of buildings</t>
        </is>
      </c>
      <c r="B109" t="inlineStr">
        <is>
          <t>hooks and hinges for windows in the same and in the kitchen 8pence.</t>
        </is>
      </c>
      <c r="C109" t="n">
        <v>0.03</v>
      </c>
      <c r="D109" t="n">
        <v>0</v>
      </c>
      <c r="E109" t="n">
        <v>0</v>
      </c>
      <c r="F109" t="n">
        <v>8</v>
      </c>
      <c r="H109" t="n">
        <v>0</v>
      </c>
      <c r="I109" t="n">
        <v>0</v>
      </c>
      <c r="J109" t="n">
        <v>0</v>
      </c>
      <c r="K109" t="n">
        <v>0</v>
      </c>
      <c r="L109" t="n">
        <v>0</v>
      </c>
      <c r="M109" t="n">
        <v>0</v>
      </c>
      <c r="N109" t="n">
        <v>0</v>
      </c>
    </row>
    <row r="110">
      <c r="A110" t="inlineStr">
        <is>
          <t>repair of buildings</t>
        </is>
      </c>
      <c r="B110" t="inlineStr">
        <is>
          <t>boards for the same and for windows in the squires’ chamber above.</t>
        </is>
      </c>
      <c r="C110" t="n">
        <v>0</v>
      </c>
      <c r="D110" t="n">
        <v>0</v>
      </c>
      <c r="E110" t="n">
        <v>0</v>
      </c>
      <c r="F110" t="n">
        <v>0</v>
      </c>
      <c r="H110" t="n">
        <v>0</v>
      </c>
      <c r="I110" t="n">
        <v>0</v>
      </c>
      <c r="J110" t="n">
        <v>0</v>
      </c>
      <c r="K110" t="n">
        <v>0</v>
      </c>
      <c r="L110" t="n">
        <v>0</v>
      </c>
      <c r="M110" t="n">
        <v>0</v>
      </c>
      <c r="N110" t="n">
        <v>0</v>
      </c>
    </row>
    <row r="111">
      <c r="A111" t="inlineStr">
        <is>
          <t>repair of buildings</t>
        </is>
      </c>
      <c r="B111" t="inlineStr">
        <is>
          <t>sum 10 shilling 1pence.</t>
        </is>
      </c>
      <c r="C111" t="n">
        <v>0.5</v>
      </c>
      <c r="D111" t="n">
        <v>0</v>
      </c>
      <c r="E111" t="n">
        <v>10</v>
      </c>
      <c r="F111" t="n">
        <v>1</v>
      </c>
      <c r="H111" t="n">
        <v>0</v>
      </c>
      <c r="I111" t="n">
        <v>0</v>
      </c>
      <c r="J111" t="n">
        <v>0</v>
      </c>
      <c r="K111" t="n">
        <v>0</v>
      </c>
      <c r="L111" t="n">
        <v>0</v>
      </c>
      <c r="M111" t="n">
        <v>0</v>
      </c>
      <c r="N111" t="n">
        <v>0</v>
      </c>
    </row>
    <row r="112">
      <c r="A112" t="inlineStr">
        <is>
          <t>sheepfold</t>
        </is>
      </c>
      <c r="B112" t="inlineStr">
        <is>
          <t>in grease and mercuric salt for salving sheep bought 8pence.</t>
        </is>
      </c>
      <c r="C112" t="n">
        <v>0.03</v>
      </c>
      <c r="D112" t="n">
        <v>0</v>
      </c>
      <c r="E112" t="n">
        <v>0</v>
      </c>
      <c r="F112" t="n">
        <v>8</v>
      </c>
      <c r="H112" t="n">
        <v>0</v>
      </c>
      <c r="I112" t="n">
        <v>0</v>
      </c>
      <c r="J112" t="n">
        <v>0</v>
      </c>
      <c r="K112" t="n">
        <v>0</v>
      </c>
      <c r="L112" t="n">
        <v>0</v>
      </c>
      <c r="M112" t="n">
        <v>0</v>
      </c>
      <c r="N112" t="n">
        <v>0</v>
      </c>
    </row>
    <row r="113">
      <c r="A113" t="inlineStr">
        <is>
          <t>sheepfold</t>
        </is>
      </c>
      <c r="B113" t="inlineStr">
        <is>
          <t>customary payment to seven customary tenants for washing and shearing the lord’s sheep 4½d, to each in common for bread ½d and for herrings ½ in common / 1pence.</t>
        </is>
      </c>
      <c r="C113" t="n">
        <v>0</v>
      </c>
      <c r="D113" t="n">
        <v>0</v>
      </c>
      <c r="E113" t="n">
        <v>0</v>
      </c>
      <c r="F113" t="n">
        <v>1</v>
      </c>
      <c r="H113" t="n">
        <v>0</v>
      </c>
      <c r="I113" t="n">
        <v>0</v>
      </c>
      <c r="J113" t="n">
        <v>0</v>
      </c>
      <c r="K113" t="n">
        <v>0</v>
      </c>
      <c r="L113" t="n">
        <v>0</v>
      </c>
      <c r="M113" t="n">
        <v>0</v>
      </c>
      <c r="N113" t="n">
        <v>0</v>
      </c>
    </row>
    <row r="114">
      <c r="A114" t="inlineStr">
        <is>
          <t>sheepfold</t>
        </is>
      </c>
      <c r="B114" t="inlineStr">
        <is>
          <t>39 hurdles bought for the fold 6 shilling 6 pence, for a hurdle 2pence.</t>
        </is>
      </c>
      <c r="C114" t="n">
        <v>0.33</v>
      </c>
      <c r="D114" t="n">
        <v>0</v>
      </c>
      <c r="E114" t="n">
        <v>6</v>
      </c>
      <c r="F114" t="n">
        <v>6</v>
      </c>
      <c r="H114" t="n">
        <v>0</v>
      </c>
      <c r="I114" t="n">
        <v>0</v>
      </c>
      <c r="J114" t="n">
        <v>0</v>
      </c>
      <c r="K114" t="n">
        <v>0</v>
      </c>
      <c r="L114" t="n">
        <v>0</v>
      </c>
      <c r="M114" t="n">
        <v>0</v>
      </c>
      <c r="N114" t="n">
        <v>0</v>
      </c>
    </row>
    <row r="115">
      <c r="A115" t="inlineStr">
        <is>
          <t>sheepfold</t>
        </is>
      </c>
      <c r="B115" t="inlineStr">
        <is>
          <t>stipend of one cowherd for the year who likewise is a general farmhand 3 shilling 6pence.</t>
        </is>
      </c>
      <c r="C115" t="n">
        <v>0.17</v>
      </c>
      <c r="D115" t="n">
        <v>0</v>
      </c>
      <c r="E115" t="n">
        <v>3</v>
      </c>
      <c r="F115" t="n">
        <v>6</v>
      </c>
      <c r="H115" t="n">
        <v>0</v>
      </c>
      <c r="I115" t="n">
        <v>0</v>
      </c>
      <c r="J115" t="n">
        <v>0</v>
      </c>
      <c r="K115" t="n">
        <v>0</v>
      </c>
      <c r="L115" t="n">
        <v>0</v>
      </c>
      <c r="M115" t="n">
        <v>0</v>
      </c>
      <c r="N115" t="n">
        <v>0</v>
      </c>
    </row>
    <row r="116">
      <c r="A116" t="inlineStr">
        <is>
          <t>sheepfold</t>
        </is>
      </c>
      <c r="B116" t="inlineStr">
        <is>
          <t>stipend of one shepherd for the term of august 2 shilling 6pence.</t>
        </is>
      </c>
      <c r="C116" t="n">
        <v>0.12</v>
      </c>
      <c r="D116" t="n">
        <v>0</v>
      </c>
      <c r="E116" t="n">
        <v>2</v>
      </c>
      <c r="F116" t="n">
        <v>6</v>
      </c>
      <c r="H116" t="n">
        <v>0</v>
      </c>
      <c r="I116" t="n">
        <v>0</v>
      </c>
      <c r="J116" t="n">
        <v>0</v>
      </c>
      <c r="K116" t="n">
        <v>0</v>
      </c>
      <c r="L116" t="n">
        <v>0</v>
      </c>
      <c r="M116" t="n">
        <v>0</v>
      </c>
      <c r="N116" t="n">
        <v>0</v>
      </c>
    </row>
    <row r="117">
      <c r="A117" t="inlineStr">
        <is>
          <t>sheepfold</t>
        </is>
      </c>
      <c r="B117" t="inlineStr">
        <is>
          <t>expenses of two men fetching wethers from overton for four days 12pence.</t>
        </is>
      </c>
      <c r="C117" t="n">
        <v>0.05</v>
      </c>
      <c r="D117" t="n">
        <v>0</v>
      </c>
      <c r="E117" t="n">
        <v>0</v>
      </c>
      <c r="F117" t="n">
        <v>12</v>
      </c>
      <c r="H117" t="n">
        <v>0</v>
      </c>
      <c r="I117" t="n">
        <v>0</v>
      </c>
      <c r="J117" t="n">
        <v>0</v>
      </c>
      <c r="K117" t="n">
        <v>0</v>
      </c>
      <c r="L117" t="n">
        <v>0</v>
      </c>
      <c r="M117" t="n">
        <v>0</v>
      </c>
      <c r="N117" t="n">
        <v>0</v>
      </c>
    </row>
    <row r="118">
      <c r="A118" t="inlineStr">
        <is>
          <t>sheepfold</t>
        </is>
      </c>
      <c r="B118" t="inlineStr">
        <is>
          <t>straw bought for the cows and animals in winter 2 shilling 10pence sum 17 shilling 4½d.</t>
        </is>
      </c>
      <c r="C118" t="n">
        <v>0.14</v>
      </c>
      <c r="D118" t="n">
        <v>0</v>
      </c>
      <c r="E118" t="n">
        <v>2</v>
      </c>
      <c r="F118" t="n">
        <v>10</v>
      </c>
      <c r="H118" t="n">
        <v>0</v>
      </c>
      <c r="I118" t="n">
        <v>0</v>
      </c>
      <c r="J118" t="n">
        <v>0</v>
      </c>
      <c r="K118" t="n">
        <v>0</v>
      </c>
      <c r="L118" t="n">
        <v>0</v>
      </c>
      <c r="M118" t="n">
        <v>0</v>
      </c>
      <c r="N118" t="n">
        <v>0</v>
      </c>
    </row>
    <row r="119">
      <c r="A119" t="inlineStr">
        <is>
          <t>threshing</t>
        </is>
      </c>
      <c r="B119" t="inlineStr">
        <is>
          <t>in threshing 22 quarters of wheat, rye, beans, and peas by piecework 3 shilling 8 pence, for a quarter 2pence.</t>
        </is>
      </c>
      <c r="C119" t="n">
        <v>0.18</v>
      </c>
      <c r="D119" t="n">
        <v>0</v>
      </c>
      <c r="E119" t="n">
        <v>3</v>
      </c>
      <c r="F119" t="n">
        <v>8</v>
      </c>
      <c r="G119" t="inlineStr">
        <is>
          <t>wheat, rye, peas, beans</t>
        </is>
      </c>
      <c r="H119" t="n">
        <v>22</v>
      </c>
      <c r="I119" t="n">
        <v>0</v>
      </c>
      <c r="J119" t="n">
        <v>22</v>
      </c>
      <c r="K119" t="n">
        <v>22</v>
      </c>
      <c r="L119" t="n">
        <v>0</v>
      </c>
      <c r="M119" t="n">
        <v>22</v>
      </c>
      <c r="N119" t="n">
        <v>0</v>
      </c>
    </row>
    <row r="120">
      <c r="A120" t="inlineStr">
        <is>
          <t>threshing</t>
        </is>
      </c>
      <c r="B120" t="inlineStr">
        <is>
          <t>threshing 30 quarters 3 bushels of oats by piecework 22¾d, for a quarter ¾d.</t>
        </is>
      </c>
      <c r="C120" t="n">
        <v>0</v>
      </c>
      <c r="D120" t="n">
        <v>0</v>
      </c>
      <c r="E120" t="n">
        <v>0</v>
      </c>
      <c r="F120" t="n">
        <v>0</v>
      </c>
      <c r="G120" t="inlineStr">
        <is>
          <t>oats</t>
        </is>
      </c>
      <c r="H120" t="n">
        <v>30</v>
      </c>
      <c r="I120" t="n">
        <v>3</v>
      </c>
      <c r="J120" t="n">
        <v>30.38</v>
      </c>
      <c r="K120" t="n">
        <v>30.38</v>
      </c>
      <c r="L120" t="n">
        <v>0</v>
      </c>
      <c r="M120" t="n">
        <v>30</v>
      </c>
      <c r="N120" t="n">
        <v>3</v>
      </c>
    </row>
    <row r="121">
      <c r="A121" t="inlineStr">
        <is>
          <t>threshing</t>
        </is>
      </c>
      <c r="B121" t="inlineStr">
        <is>
          <t>winnowing the same 52 quarters 3 bushels 10½d, for every 10 bushels ¼d.</t>
        </is>
      </c>
      <c r="C121" t="n">
        <v>0</v>
      </c>
      <c r="D121" t="n">
        <v>0</v>
      </c>
      <c r="E121" t="n">
        <v>0</v>
      </c>
      <c r="F121" t="n">
        <v>0</v>
      </c>
      <c r="H121" t="n">
        <v>52</v>
      </c>
      <c r="I121" t="n">
        <v>10</v>
      </c>
      <c r="J121" t="n">
        <v>53.25</v>
      </c>
      <c r="K121" t="n">
        <v>52.38</v>
      </c>
      <c r="L121" t="n">
        <v>0.88</v>
      </c>
      <c r="M121" t="n">
        <v>52</v>
      </c>
      <c r="N121" t="n">
        <v>3</v>
      </c>
      <c r="O121" t="n">
        <v>0</v>
      </c>
      <c r="P121" t="n">
        <v>10</v>
      </c>
    </row>
    <row r="122">
      <c r="A122" t="inlineStr">
        <is>
          <t>threshing</t>
        </is>
      </c>
      <c r="B122" t="inlineStr">
        <is>
          <t>sum 6 shilling 5¼d.</t>
        </is>
      </c>
      <c r="C122" t="n">
        <v>0.3</v>
      </c>
      <c r="D122" t="n">
        <v>0</v>
      </c>
      <c r="E122" t="n">
        <v>6</v>
      </c>
      <c r="F122" t="n">
        <v>0</v>
      </c>
      <c r="H122" t="n">
        <v>0</v>
      </c>
      <c r="I122" t="n">
        <v>0</v>
      </c>
      <c r="J122" t="n">
        <v>0</v>
      </c>
      <c r="K122" t="n">
        <v>0</v>
      </c>
      <c r="L122" t="n">
        <v>0</v>
      </c>
      <c r="M122" t="n">
        <v>0</v>
      </c>
      <c r="N122" t="n">
        <v>0</v>
      </c>
    </row>
    <row r="123">
      <c r="A123" t="inlineStr">
        <is>
          <t>weeding and mowing</t>
        </is>
      </c>
      <c r="B123" t="inlineStr">
        <is>
          <t>in weeding the lord’s corn 4pence.</t>
        </is>
      </c>
      <c r="C123" t="n">
        <v>0.02</v>
      </c>
      <c r="D123" t="n">
        <v>0</v>
      </c>
      <c r="E123" t="n">
        <v>0</v>
      </c>
      <c r="F123" t="n">
        <v>4</v>
      </c>
      <c r="H123" t="n">
        <v>0</v>
      </c>
      <c r="I123" t="n">
        <v>0</v>
      </c>
      <c r="J123" t="n">
        <v>0</v>
      </c>
      <c r="K123" t="n">
        <v>0</v>
      </c>
      <c r="L123" t="n">
        <v>0</v>
      </c>
      <c r="M123" t="n">
        <v>0</v>
      </c>
      <c r="N123" t="n">
        <v>0</v>
      </c>
    </row>
    <row r="124">
      <c r="A124" t="inlineStr">
        <is>
          <t>weeding and mowing</t>
        </is>
      </c>
      <c r="B124" t="inlineStr">
        <is>
          <t>mowing the meadow of la brodemed by customary work: bread from stock.</t>
        </is>
      </c>
      <c r="C124" t="n">
        <v>0</v>
      </c>
      <c r="D124" t="n">
        <v>0</v>
      </c>
      <c r="E124" t="n">
        <v>0</v>
      </c>
      <c r="F124" t="n">
        <v>0</v>
      </c>
      <c r="H124" t="n">
        <v>0</v>
      </c>
      <c r="I124" t="n">
        <v>0</v>
      </c>
      <c r="J124" t="n">
        <v>0</v>
      </c>
      <c r="K124" t="n">
        <v>0</v>
      </c>
      <c r="L124" t="n">
        <v>0</v>
      </c>
      <c r="M124" t="n">
        <v>0</v>
      </c>
      <c r="N124" t="n">
        <v>0</v>
      </c>
    </row>
    <row r="125">
      <c r="A125" t="inlineStr">
        <is>
          <t>weeding and mowing</t>
        </is>
      </c>
      <c r="B125" t="inlineStr">
        <is>
          <t>1 wether with pelt from the lord’s fold.</t>
        </is>
      </c>
      <c r="C125" t="n">
        <v>0</v>
      </c>
      <c r="D125" t="n">
        <v>0</v>
      </c>
      <c r="E125" t="n">
        <v>0</v>
      </c>
      <c r="F125" t="n">
        <v>0</v>
      </c>
      <c r="H125" t="n">
        <v>0</v>
      </c>
      <c r="I125" t="n">
        <v>0</v>
      </c>
      <c r="J125" t="n">
        <v>0</v>
      </c>
      <c r="K125" t="n">
        <v>0</v>
      </c>
      <c r="L125" t="n">
        <v>0</v>
      </c>
      <c r="M125" t="n">
        <v>0</v>
      </c>
      <c r="N125" t="n">
        <v>0</v>
      </c>
    </row>
    <row r="126">
      <c r="A126" t="inlineStr">
        <is>
          <t>weeding and mowing</t>
        </is>
      </c>
      <c r="B126" t="inlineStr">
        <is>
          <t>in cheese bought 3pence.</t>
        </is>
      </c>
      <c r="C126" t="n">
        <v>0.01</v>
      </c>
      <c r="D126" t="n">
        <v>0</v>
      </c>
      <c r="E126" t="n">
        <v>0</v>
      </c>
      <c r="F126" t="n">
        <v>3</v>
      </c>
      <c r="H126" t="n">
        <v>0</v>
      </c>
      <c r="I126" t="n">
        <v>0</v>
      </c>
      <c r="J126" t="n">
        <v>0</v>
      </c>
      <c r="K126" t="n">
        <v>0</v>
      </c>
      <c r="L126" t="n">
        <v>0</v>
      </c>
      <c r="M126" t="n">
        <v>0</v>
      </c>
      <c r="N126" t="n">
        <v>0</v>
      </c>
    </row>
    <row r="127">
      <c r="A127" t="inlineStr">
        <is>
          <t>weeding and mowing</t>
        </is>
      </c>
      <c r="B127" t="inlineStr">
        <is>
          <t>--- page 5 ---.</t>
        </is>
      </c>
      <c r="C127" t="n">
        <v>0</v>
      </c>
      <c r="D127" t="n">
        <v>0</v>
      </c>
      <c r="E127" t="n">
        <v>0</v>
      </c>
      <c r="F127" t="n">
        <v>0</v>
      </c>
      <c r="H127" t="n">
        <v>0</v>
      </c>
      <c r="I127" t="n">
        <v>0</v>
      </c>
      <c r="J127" t="n">
        <v>0</v>
      </c>
      <c r="K127" t="n">
        <v>0</v>
      </c>
      <c r="L127" t="n">
        <v>0</v>
      </c>
      <c r="M127" t="n">
        <v>0</v>
      </c>
      <c r="N127" t="n">
        <v>0</v>
      </c>
    </row>
    <row r="128">
      <c r="A128" t="inlineStr">
        <is>
          <t>weeding and mowing</t>
        </is>
      </c>
      <c r="B128" t="inlineStr">
        <is>
          <t>in mowing a meadow at esher named hullyemede, besides customary workers, with the meadow of la lak next to crumb and the meadow of legarda atte hulle, that contained in all 3 acres, 12 pence, for an acre 4pence.</t>
        </is>
      </c>
      <c r="C128" t="n">
        <v>0.05</v>
      </c>
      <c r="D128" t="n">
        <v>0</v>
      </c>
      <c r="E128" t="n">
        <v>0</v>
      </c>
      <c r="F128" t="n">
        <v>12</v>
      </c>
      <c r="H128" t="n">
        <v>0</v>
      </c>
      <c r="I128" t="n">
        <v>0</v>
      </c>
      <c r="J128" t="n">
        <v>0</v>
      </c>
      <c r="K128" t="n">
        <v>0</v>
      </c>
      <c r="L128" t="n">
        <v>0</v>
      </c>
      <c r="M128" t="n">
        <v>0</v>
      </c>
      <c r="N128" t="n">
        <v>0</v>
      </c>
    </row>
    <row r="129">
      <c r="A129" t="inlineStr">
        <is>
          <t>weeding and mowing</t>
        </is>
      </c>
      <c r="B129" t="inlineStr">
        <is>
          <t>spreading and pitching the same 4pence.</t>
        </is>
      </c>
      <c r="C129" t="n">
        <v>0.02</v>
      </c>
      <c r="D129" t="n">
        <v>0</v>
      </c>
      <c r="E129" t="n">
        <v>0</v>
      </c>
      <c r="F129" t="n">
        <v>4</v>
      </c>
      <c r="H129" t="n">
        <v>0</v>
      </c>
      <c r="I129" t="n">
        <v>0</v>
      </c>
      <c r="J129" t="n">
        <v>0</v>
      </c>
      <c r="K129" t="n">
        <v>0</v>
      </c>
      <c r="L129" t="n">
        <v>0</v>
      </c>
      <c r="M129" t="n">
        <v>0</v>
      </c>
      <c r="N129" t="n">
        <v>0</v>
      </c>
    </row>
    <row r="130">
      <c r="A130" t="inlineStr">
        <is>
          <t>weeding and mowing</t>
        </is>
      </c>
      <c r="B130" t="inlineStr">
        <is>
          <t>carrying hay from la brodemede by custom: bread from stock.</t>
        </is>
      </c>
      <c r="C130" t="n">
        <v>0</v>
      </c>
      <c r="D130" t="n">
        <v>0</v>
      </c>
      <c r="E130" t="n">
        <v>0</v>
      </c>
      <c r="F130" t="n">
        <v>0</v>
      </c>
      <c r="H130" t="n">
        <v>0</v>
      </c>
      <c r="I130" t="n">
        <v>0</v>
      </c>
      <c r="J130" t="n">
        <v>0</v>
      </c>
      <c r="K130" t="n">
        <v>0</v>
      </c>
      <c r="L130" t="n">
        <v>0</v>
      </c>
      <c r="M130" t="n">
        <v>0</v>
      </c>
      <c r="N130" t="n">
        <v>0</v>
      </c>
    </row>
    <row r="131">
      <c r="A131" t="inlineStr">
        <is>
          <t>weeding and mowing</t>
        </is>
      </c>
      <c r="B131" t="inlineStr">
        <is>
          <t>in herrings 4pence.</t>
        </is>
      </c>
      <c r="C131" t="n">
        <v>0.02</v>
      </c>
      <c r="D131" t="n">
        <v>0</v>
      </c>
      <c r="E131" t="n">
        <v>0</v>
      </c>
      <c r="F131" t="n">
        <v>4</v>
      </c>
      <c r="H131" t="n">
        <v>0</v>
      </c>
      <c r="I131" t="n">
        <v>0</v>
      </c>
      <c r="J131" t="n">
        <v>0</v>
      </c>
      <c r="K131" t="n">
        <v>0</v>
      </c>
      <c r="L131" t="n">
        <v>0</v>
      </c>
      <c r="M131" t="n">
        <v>0</v>
      </c>
      <c r="N131" t="n">
        <v>0</v>
      </c>
    </row>
    <row r="132">
      <c r="A132" t="inlineStr">
        <is>
          <t>weeding and mowing</t>
        </is>
      </c>
      <c r="B132" t="inlineStr">
        <is>
          <t>mowing and pitching 5 acres of meadow at northwode 2 shilling 6 pence, for an acre 6pence sum 4 shilling 9pence.</t>
        </is>
      </c>
      <c r="C132" t="n">
        <v>0.12</v>
      </c>
      <c r="D132" t="n">
        <v>0</v>
      </c>
      <c r="E132" t="n">
        <v>2</v>
      </c>
      <c r="F132" t="n">
        <v>6</v>
      </c>
      <c r="H132" t="n">
        <v>0</v>
      </c>
      <c r="I132" t="n">
        <v>0</v>
      </c>
      <c r="J132" t="n">
        <v>0</v>
      </c>
      <c r="K132" t="n">
        <v>0</v>
      </c>
      <c r="L132" t="n">
        <v>0</v>
      </c>
      <c r="M132" t="n">
        <v>0</v>
      </c>
      <c r="N132" t="n">
        <v>0</v>
      </c>
    </row>
    <row r="133">
      <c r="A133" t="inlineStr">
        <is>
          <t>harvest</t>
        </is>
      </c>
      <c r="B133" t="inlineStr">
        <is>
          <t>in two boons of 44 men, each boon of 22 men, who reaped and bound the lord’s corn at esher for two meals in a day: bread from stock.</t>
        </is>
      </c>
      <c r="C133" t="n">
        <v>0</v>
      </c>
      <c r="D133" t="n">
        <v>0</v>
      </c>
      <c r="E133" t="n">
        <v>0</v>
      </c>
      <c r="F133" t="n">
        <v>0</v>
      </c>
      <c r="G133" t="inlineStr">
        <is>
          <t>meal</t>
        </is>
      </c>
      <c r="H133" t="n">
        <v>0</v>
      </c>
      <c r="I133" t="n">
        <v>0</v>
      </c>
      <c r="J133" t="n">
        <v>0</v>
      </c>
      <c r="K133" t="n">
        <v>0</v>
      </c>
      <c r="L133" t="n">
        <v>0</v>
      </c>
      <c r="M133" t="n">
        <v>0</v>
      </c>
      <c r="N133" t="n">
        <v>0</v>
      </c>
    </row>
    <row r="134">
      <c r="A134" t="inlineStr">
        <is>
          <t>harvest</t>
        </is>
      </c>
      <c r="B134" t="inlineStr">
        <is>
          <t>in 266 herrings bought for an accompaniment for the same 2 shilling 2 pence, for a hundred 10 pence, and each had in a day three herrings at noon and three herrings at dinner.</t>
        </is>
      </c>
      <c r="C134" t="n">
        <v>0.11</v>
      </c>
      <c r="D134" t="n">
        <v>0</v>
      </c>
      <c r="E134" t="n">
        <v>2</v>
      </c>
      <c r="F134" t="n">
        <v>2</v>
      </c>
      <c r="H134" t="n">
        <v>0</v>
      </c>
      <c r="I134" t="n">
        <v>0</v>
      </c>
      <c r="J134" t="n">
        <v>0</v>
      </c>
      <c r="K134" t="n">
        <v>0</v>
      </c>
      <c r="L134" t="n">
        <v>0</v>
      </c>
      <c r="M134" t="n">
        <v>0</v>
      </c>
      <c r="N134" t="n">
        <v>0</v>
      </c>
    </row>
    <row r="135">
      <c r="A135" t="inlineStr">
        <is>
          <t>harvest</t>
        </is>
      </c>
      <c r="B135" t="inlineStr">
        <is>
          <t>cheese bought 8pence.</t>
        </is>
      </c>
      <c r="C135" t="n">
        <v>0.03</v>
      </c>
      <c r="D135" t="n">
        <v>0</v>
      </c>
      <c r="E135" t="n">
        <v>0</v>
      </c>
      <c r="F135" t="n">
        <v>8</v>
      </c>
      <c r="H135" t="n">
        <v>0</v>
      </c>
      <c r="I135" t="n">
        <v>0</v>
      </c>
      <c r="J135" t="n">
        <v>0</v>
      </c>
      <c r="K135" t="n">
        <v>0</v>
      </c>
      <c r="L135" t="n">
        <v>0</v>
      </c>
      <c r="M135" t="n">
        <v>0</v>
      </c>
      <c r="N135" t="n">
        <v>0</v>
      </c>
    </row>
    <row r="136">
      <c r="A136" t="inlineStr">
        <is>
          <t>harvest</t>
        </is>
      </c>
      <c r="B136" t="inlineStr">
        <is>
          <t>candles for the whole of harvest 1pence.</t>
        </is>
      </c>
      <c r="C136" t="n">
        <v>0</v>
      </c>
      <c r="D136" t="n">
        <v>0</v>
      </c>
      <c r="E136" t="n">
        <v>0</v>
      </c>
      <c r="F136" t="n">
        <v>1</v>
      </c>
      <c r="H136" t="n">
        <v>0</v>
      </c>
      <c r="I136" t="n">
        <v>0</v>
      </c>
      <c r="J136" t="n">
        <v>0</v>
      </c>
      <c r="K136" t="n">
        <v>0</v>
      </c>
      <c r="L136" t="n">
        <v>0</v>
      </c>
      <c r="M136" t="n">
        <v>0</v>
      </c>
      <c r="N136" t="n">
        <v>0</v>
      </c>
    </row>
    <row r="137">
      <c r="A137" t="inlineStr">
        <is>
          <t>harvest</t>
        </is>
      </c>
      <c r="B137" t="inlineStr">
        <is>
          <t>reaping 9 acres of rye and 26 acres of oats at northwode 15 shilling 4 pence, namely for an acre of rye 6 pence and for an acre of oats 5pence.</t>
        </is>
      </c>
      <c r="C137" t="n">
        <v>0.77</v>
      </c>
      <c r="D137" t="n">
        <v>0</v>
      </c>
      <c r="E137" t="n">
        <v>15</v>
      </c>
      <c r="F137" t="n">
        <v>4</v>
      </c>
      <c r="G137" t="inlineStr">
        <is>
          <t>rye, oats</t>
        </is>
      </c>
      <c r="H137" t="n">
        <v>0</v>
      </c>
      <c r="I137" t="n">
        <v>0</v>
      </c>
      <c r="J137" t="n">
        <v>0</v>
      </c>
      <c r="K137" t="n">
        <v>0</v>
      </c>
      <c r="L137" t="n">
        <v>0</v>
      </c>
      <c r="M137" t="n">
        <v>0</v>
      </c>
      <c r="N137" t="n">
        <v>0</v>
      </c>
    </row>
    <row r="138">
      <c r="A138" t="inlineStr">
        <is>
          <t>harvest</t>
        </is>
      </c>
      <c r="B138" t="inlineStr">
        <is>
          <t>expenses of the reeve for harvest 2 shilling sum 2 shilling 3pence.</t>
        </is>
      </c>
      <c r="C138" t="n">
        <v>0.11</v>
      </c>
      <c r="D138" t="n">
        <v>0</v>
      </c>
      <c r="E138" t="n">
        <v>2</v>
      </c>
      <c r="F138" t="n">
        <v>3</v>
      </c>
      <c r="H138" t="n">
        <v>0</v>
      </c>
      <c r="I138" t="n">
        <v>0</v>
      </c>
      <c r="J138" t="n">
        <v>0</v>
      </c>
      <c r="K138" t="n">
        <v>0</v>
      </c>
      <c r="L138" t="n">
        <v>0</v>
      </c>
      <c r="M138" t="n">
        <v>0</v>
      </c>
      <c r="N138" t="n">
        <v>0</v>
      </c>
    </row>
    <row r="139">
      <c r="A139" t="inlineStr">
        <is>
          <t>payment of rent</t>
        </is>
      </c>
      <c r="B139" t="inlineStr">
        <is>
          <t>in payment to the abbot of chertsey for the land of northwode at the feast of st michael 6 shilling.</t>
        </is>
      </c>
      <c r="C139" t="n">
        <v>0.3</v>
      </c>
      <c r="D139" t="n">
        <v>0</v>
      </c>
      <c r="E139" t="n">
        <v>6</v>
      </c>
      <c r="F139" t="n">
        <v>0</v>
      </c>
      <c r="H139" t="n">
        <v>0</v>
      </c>
      <c r="I139" t="n">
        <v>0</v>
      </c>
      <c r="J139" t="n">
        <v>0</v>
      </c>
      <c r="K139" t="n">
        <v>0</v>
      </c>
      <c r="L139" t="n">
        <v>0</v>
      </c>
      <c r="M139" t="n">
        <v>0</v>
      </c>
      <c r="N139" t="n">
        <v>0</v>
      </c>
    </row>
    <row r="140">
      <c r="A140" t="inlineStr">
        <is>
          <t>payment of rent</t>
        </is>
      </c>
      <c r="B140" t="inlineStr">
        <is>
          <t>two ploughshares paid for there at the same term 20pence sum 7 shilling 8pence.</t>
        </is>
      </c>
      <c r="C140" t="n">
        <v>0.43</v>
      </c>
      <c r="D140" t="n">
        <v>0</v>
      </c>
      <c r="E140" t="n">
        <v>7</v>
      </c>
      <c r="F140" t="n">
        <v>20</v>
      </c>
      <c r="H140" t="n">
        <v>0</v>
      </c>
      <c r="I140" t="n">
        <v>0</v>
      </c>
      <c r="J140" t="n">
        <v>0</v>
      </c>
      <c r="K140" t="n">
        <v>0</v>
      </c>
      <c r="L140" t="n">
        <v>0</v>
      </c>
      <c r="M140" t="n">
        <v>0</v>
      </c>
      <c r="N140" t="n">
        <v>0</v>
      </c>
    </row>
    <row r="141">
      <c r="A141" t="inlineStr">
        <is>
          <t>expenses of the steward</t>
        </is>
      </c>
      <c r="B141" t="inlineStr">
        <is>
          <t>in expenses of lord r de bereford around the birth of st john the baptist [24 june], by tally 2 shilling 8pence.</t>
        </is>
      </c>
      <c r="C141" t="n">
        <v>0.13</v>
      </c>
      <c r="D141" t="n">
        <v>0</v>
      </c>
      <c r="E141" t="n">
        <v>2</v>
      </c>
      <c r="F141" t="n">
        <v>8</v>
      </c>
      <c r="H141" t="n">
        <v>0</v>
      </c>
      <c r="I141" t="n">
        <v>0</v>
      </c>
      <c r="J141" t="n">
        <v>0</v>
      </c>
      <c r="K141" t="n">
        <v>0</v>
      </c>
      <c r="L141" t="n">
        <v>0</v>
      </c>
      <c r="M141" t="n">
        <v>0</v>
      </c>
      <c r="N141" t="n">
        <v>0</v>
      </c>
    </row>
    <row r="142">
      <c r="A142" t="inlineStr">
        <is>
          <t>expenses of the steward</t>
        </is>
      </c>
      <c r="B142" t="inlineStr">
        <is>
          <t>expenses of the bailiff and his clerk for their visit 15 shilling 2pence sum 17 shilling 10pence.</t>
        </is>
      </c>
      <c r="C142" t="n">
        <v>0.76</v>
      </c>
      <c r="D142" t="n">
        <v>0</v>
      </c>
      <c r="E142" t="n">
        <v>15</v>
      </c>
      <c r="F142" t="n">
        <v>2</v>
      </c>
      <c r="H142" t="n">
        <v>0</v>
      </c>
      <c r="I142" t="n">
        <v>0</v>
      </c>
      <c r="J142" t="n">
        <v>0</v>
      </c>
      <c r="K142" t="n">
        <v>0</v>
      </c>
      <c r="L142" t="n">
        <v>0</v>
      </c>
      <c r="M142" t="n">
        <v>0</v>
      </c>
      <c r="N142" t="n">
        <v>0</v>
      </c>
    </row>
    <row r="143">
      <c r="A143" t="inlineStr">
        <is>
          <t>mending the hall, a chamber, and the stable</t>
        </is>
      </c>
      <c r="B143" t="inlineStr">
        <is>
          <t>in roofing the stable in places with straw 2 shilling.</t>
        </is>
      </c>
      <c r="C143" t="n">
        <v>0.1</v>
      </c>
      <c r="D143" t="n">
        <v>0</v>
      </c>
      <c r="E143" t="n">
        <v>2</v>
      </c>
      <c r="F143" t="n">
        <v>0</v>
      </c>
      <c r="H143" t="n">
        <v>0</v>
      </c>
      <c r="I143" t="n">
        <v>0</v>
      </c>
      <c r="J143" t="n">
        <v>0</v>
      </c>
      <c r="K143" t="n">
        <v>0</v>
      </c>
      <c r="L143" t="n">
        <v>0</v>
      </c>
      <c r="M143" t="n">
        <v>0</v>
      </c>
      <c r="N143" t="n">
        <v>0</v>
      </c>
    </row>
    <row r="144">
      <c r="A144" t="inlineStr">
        <is>
          <t>mending the hall, a chamber, and the stable</t>
        </is>
      </c>
      <c r="B144" t="inlineStr">
        <is>
          <t>mending a manger and a crib in the stable in places 12pence.</t>
        </is>
      </c>
      <c r="C144" t="n">
        <v>0.05</v>
      </c>
      <c r="D144" t="n">
        <v>0</v>
      </c>
      <c r="E144" t="n">
        <v>0</v>
      </c>
      <c r="F144" t="n">
        <v>12</v>
      </c>
      <c r="H144" t="n">
        <v>0</v>
      </c>
      <c r="I144" t="n">
        <v>0</v>
      </c>
      <c r="J144" t="n">
        <v>0</v>
      </c>
      <c r="K144" t="n">
        <v>0</v>
      </c>
      <c r="L144" t="n">
        <v>0</v>
      </c>
      <c r="M144" t="n">
        <v>0</v>
      </c>
      <c r="N144" t="n">
        <v>0</v>
      </c>
    </row>
    <row r="145">
      <c r="A145" t="inlineStr">
        <is>
          <t>mending the hall, a chamber, and the stable</t>
        </is>
      </c>
      <c r="B145" t="inlineStr">
        <is>
          <t>100 nails for the same 3pence.</t>
        </is>
      </c>
      <c r="C145" t="n">
        <v>0.01</v>
      </c>
      <c r="D145" t="n">
        <v>0</v>
      </c>
      <c r="E145" t="n">
        <v>0</v>
      </c>
      <c r="F145" t="n">
        <v>3</v>
      </c>
      <c r="H145" t="n">
        <v>0</v>
      </c>
      <c r="I145" t="n">
        <v>0</v>
      </c>
      <c r="J145" t="n">
        <v>0</v>
      </c>
      <c r="K145" t="n">
        <v>0</v>
      </c>
      <c r="L145" t="n">
        <v>0</v>
      </c>
      <c r="M145" t="n">
        <v>0</v>
      </c>
      <c r="N145" t="n">
        <v>0</v>
      </c>
    </row>
    <row r="146">
      <c r="A146" t="inlineStr">
        <is>
          <t>mending the hall, a chamber, and the stable</t>
        </is>
      </c>
      <c r="B146" t="inlineStr">
        <is>
          <t>three benches sawed and made for the lord’s chamber 6pence sum 3 shilling 9pence.</t>
        </is>
      </c>
      <c r="C146" t="n">
        <v>0.17</v>
      </c>
      <c r="D146" t="n">
        <v>0</v>
      </c>
      <c r="E146" t="n">
        <v>3</v>
      </c>
      <c r="F146" t="n">
        <v>6</v>
      </c>
      <c r="H146" t="n">
        <v>0</v>
      </c>
      <c r="I146" t="n">
        <v>0</v>
      </c>
      <c r="J146" t="n">
        <v>0</v>
      </c>
      <c r="K146" t="n">
        <v>0</v>
      </c>
      <c r="L146" t="n">
        <v>0</v>
      </c>
      <c r="M146" t="n">
        <v>0</v>
      </c>
      <c r="N146" t="n">
        <v>0</v>
      </c>
    </row>
    <row r="147">
      <c r="A147" t="inlineStr">
        <is>
          <t>mending the hall, a chamber, and the stable</t>
        </is>
      </c>
      <c r="B147" t="inlineStr">
        <is>
          <t>sum of all expenses £10 19 shilling 6¾d.</t>
        </is>
      </c>
      <c r="C147" t="n">
        <v>10.95</v>
      </c>
      <c r="D147" t="n">
        <v>10</v>
      </c>
      <c r="E147" t="n">
        <v>19</v>
      </c>
      <c r="F147" t="n">
        <v>0</v>
      </c>
      <c r="H147" t="n">
        <v>0</v>
      </c>
      <c r="I147" t="n">
        <v>0</v>
      </c>
      <c r="J147" t="n">
        <v>0</v>
      </c>
      <c r="K147" t="n">
        <v>0</v>
      </c>
      <c r="L147" t="n">
        <v>0</v>
      </c>
      <c r="M147" t="n">
        <v>0</v>
      </c>
      <c r="N147" t="n">
        <v>0</v>
      </c>
    </row>
    <row r="148">
      <c r="A148" t="inlineStr">
        <is>
          <t>mending the hall, a chamber, and the stable</t>
        </is>
      </c>
      <c r="B148" t="inlineStr">
        <is>
          <t>and he owes £24 4 pence, the value of the money received from the lord £13 6 shilling.</t>
        </is>
      </c>
      <c r="C148" t="n">
        <v>24.02</v>
      </c>
      <c r="D148" t="n">
        <v>24</v>
      </c>
      <c r="E148" t="n">
        <v>0</v>
      </c>
      <c r="F148" t="n">
        <v>4</v>
      </c>
      <c r="H148" t="n">
        <v>0</v>
      </c>
      <c r="I148" t="n">
        <v>0</v>
      </c>
      <c r="J148" t="n">
        <v>0</v>
      </c>
      <c r="K148" t="n">
        <v>0</v>
      </c>
      <c r="L148" t="n">
        <v>0</v>
      </c>
      <c r="M148" t="n">
        <v>0</v>
      </c>
      <c r="N148" t="n">
        <v>0</v>
      </c>
    </row>
    <row r="149">
      <c r="A149" t="inlineStr">
        <is>
          <t>allowances by writ</t>
        </is>
      </c>
      <c r="B149" t="inlineStr">
        <is>
          <t>in allowance to the reeve for hay of the manor given for the expenses of the lord’s household by writ this year at esher 40 shilling likewise to the same for a certain amercement of william agodeshalf by the grace of the lord relaxed to the same william, by the same writ, 6 shilling 8pence likewise to the same for the wages of philip de la coyse remaining at esher in the past year for harvest, by the same writ, 4 shilling 6pence likewise to the same for two casks and one pipe of wine of the manor which remained in the past year on the account of the said hugh, delivered this year for expenses of the lord with casks, by the same writ.</t>
        </is>
      </c>
      <c r="C149" t="n">
        <v>2.03</v>
      </c>
      <c r="D149" t="n">
        <v>0</v>
      </c>
      <c r="E149" t="n">
        <v>40</v>
      </c>
      <c r="F149" t="n">
        <v>8</v>
      </c>
      <c r="H149" t="n">
        <v>0</v>
      </c>
      <c r="I149" t="n">
        <v>0</v>
      </c>
      <c r="J149" t="n">
        <v>0</v>
      </c>
      <c r="K149" t="n">
        <v>0</v>
      </c>
      <c r="L149" t="n">
        <v>0</v>
      </c>
      <c r="M149" t="n">
        <v>0</v>
      </c>
      <c r="N149" t="n">
        <v>0</v>
      </c>
    </row>
    <row r="150">
      <c r="A150" t="inlineStr">
        <is>
          <t>allowances by writ</t>
        </is>
      </c>
      <c r="B150" t="inlineStr">
        <is>
          <t>likewise to the same for one pipe of verjuice of the same now remaining on the account of the said hugh, this year delivered with a cask to the same, by the same writ.</t>
        </is>
      </c>
      <c r="C150" t="n">
        <v>0</v>
      </c>
      <c r="D150" t="n">
        <v>0</v>
      </c>
      <c r="E150" t="n">
        <v>0</v>
      </c>
      <c r="F150" t="n">
        <v>0</v>
      </c>
      <c r="H150" t="n">
        <v>0</v>
      </c>
      <c r="I150" t="n">
        <v>0</v>
      </c>
      <c r="J150" t="n">
        <v>0</v>
      </c>
      <c r="K150" t="n">
        <v>0</v>
      </c>
      <c r="L150" t="n">
        <v>0</v>
      </c>
      <c r="M150" t="n">
        <v>0</v>
      </c>
      <c r="N150" t="n">
        <v>0</v>
      </c>
    </row>
    <row r="151">
      <c r="A151" t="inlineStr">
        <is>
          <t>allowances by writ</t>
        </is>
      </c>
      <c r="B151" t="inlineStr">
        <is>
          <t>likewise to the same for making one wooden.</t>
        </is>
      </c>
      <c r="C151" t="n">
        <v>0</v>
      </c>
      <c r="D151" t="n">
        <v>0</v>
      </c>
      <c r="E151" t="n">
        <v>0</v>
      </c>
      <c r="F151" t="n">
        <v>0</v>
      </c>
      <c r="H151" t="n">
        <v>0</v>
      </c>
      <c r="I151" t="n">
        <v>0</v>
      </c>
      <c r="J151" t="n">
        <v>0</v>
      </c>
      <c r="K151" t="n">
        <v>0</v>
      </c>
      <c r="L151" t="n">
        <v>0</v>
      </c>
      <c r="M151" t="n">
        <v>0</v>
      </c>
      <c r="N151" t="n">
        <v>0</v>
      </c>
    </row>
    <row r="152">
      <c r="A152" t="inlineStr">
        <is>
          <t>allowances by writ</t>
        </is>
      </c>
      <c r="B152" t="inlineStr">
        <is>
          <t>--- page 6 ---.</t>
        </is>
      </c>
      <c r="C152" t="n">
        <v>0</v>
      </c>
      <c r="D152" t="n">
        <v>0</v>
      </c>
      <c r="E152" t="n">
        <v>0</v>
      </c>
      <c r="F152" t="n">
        <v>0</v>
      </c>
      <c r="H152" t="n">
        <v>0</v>
      </c>
      <c r="I152" t="n">
        <v>0</v>
      </c>
      <c r="J152" t="n">
        <v>0</v>
      </c>
      <c r="K152" t="n">
        <v>0</v>
      </c>
      <c r="L152" t="n">
        <v>0</v>
      </c>
      <c r="M152" t="n">
        <v>0</v>
      </c>
      <c r="N152" t="n">
        <v>0</v>
      </c>
    </row>
    <row r="153">
      <c r="A153" t="inlineStr">
        <is>
          <t>allowances by writ</t>
        </is>
      </c>
      <c r="B153" t="inlineStr">
        <is>
          <t>screen in the hall in front of the entrance to the kitchen with boards and timber sawed for the same and in making, trimming, and sawing two dressers, by the same writ, 4 shilling likewise to the same for sawing and making boards in the kitchen for fashioning panels on the same, by the same writ, 8pence likewise to the same for 200 nails for the uprights for the kitchen, for fastening and binding the doors and window of the same, by the same writ, 6pence likewise to the same for plastering the walls of the said kitchen, by the same writ, 20 shilling likewise to the same for fixing a cistern in the kitchen, by the same writ, 2 shilling likewise to the same for the expenses of six carters of the abbot of chertsey coming with hay as a gift from the abbot on two occasions, by the same writ, 2 shilling likewise to the same for digging the vineyard this year, by the same writ, 23 shilling 8pence likewise to the same for 6½ quarters of rye bought for payment of the viner for the year, by the same writ, 43 shilling 4pence likewise to the same for the stipend of the same viner for the year, by the same writ, 6 shilling 8pence likewise to the same for three spades bought for the same, by the same writ, 6pence likewise to the same for the arrears of robert, hayward, which the said robert had charged to the said reeve by their joint account, relaxed by the grace of the lord, by the same writ, 14 shilling 9½d.</t>
        </is>
      </c>
      <c r="C153" t="n">
        <v>0.23</v>
      </c>
      <c r="D153" t="n">
        <v>0</v>
      </c>
      <c r="E153" t="n">
        <v>4</v>
      </c>
      <c r="F153" t="n">
        <v>8</v>
      </c>
      <c r="G153" t="inlineStr">
        <is>
          <t>rye</t>
        </is>
      </c>
      <c r="H153" t="n">
        <v>0</v>
      </c>
      <c r="I153" t="n">
        <v>0</v>
      </c>
      <c r="J153" t="n">
        <v>0</v>
      </c>
      <c r="K153" t="n">
        <v>0</v>
      </c>
      <c r="L153" t="n">
        <v>0</v>
      </c>
      <c r="M153" t="n">
        <v>0</v>
      </c>
      <c r="N153" t="n">
        <v>0</v>
      </c>
    </row>
    <row r="154">
      <c r="A154" t="inlineStr">
        <is>
          <t>allowances by writ</t>
        </is>
      </c>
      <c r="B154" t="inlineStr">
        <is>
          <t>likewise to the same for a surcharge in the account of the past year against richard le rut, then reeve, in the sale of oats, relaxed to the same, by the same writ, 23½d.</t>
        </is>
      </c>
      <c r="C154" t="n">
        <v>0</v>
      </c>
      <c r="D154" t="n">
        <v>0</v>
      </c>
      <c r="E154" t="n">
        <v>0</v>
      </c>
      <c r="F154" t="n">
        <v>0</v>
      </c>
      <c r="G154" t="inlineStr">
        <is>
          <t>oats</t>
        </is>
      </c>
      <c r="H154" t="n">
        <v>0</v>
      </c>
      <c r="I154" t="n">
        <v>0</v>
      </c>
      <c r="J154" t="n">
        <v>0</v>
      </c>
      <c r="K154" t="n">
        <v>0</v>
      </c>
      <c r="L154" t="n">
        <v>0</v>
      </c>
      <c r="M154" t="n">
        <v>0</v>
      </c>
      <c r="N154" t="n">
        <v>0</v>
      </c>
    </row>
    <row r="155">
      <c r="A155" t="inlineStr">
        <is>
          <t>allowances by writ</t>
        </is>
      </c>
      <c r="B155" t="inlineStr">
        <is>
          <t>likewise to the same for a surcharge in the same year against the same richard in sales of wethers, by the same writ, 4 shilling 8pence likewise to the same for the expenses of carrying 20 rafters from cobham, as a gift of the abbot of chertsey, for the new stable by boonworks, by the same writ, 6pence likewise to the same for digging stones from the heath for the foundations of the aforesaid stable, by the same writ, 3 shilling 9pence likewise to the same for levelling the place where the new stable was to be sited, by the same writ, 14 shilling.</t>
        </is>
      </c>
      <c r="C155" t="n">
        <v>0.23</v>
      </c>
      <c r="D155" t="n">
        <v>0</v>
      </c>
      <c r="E155" t="n">
        <v>4</v>
      </c>
      <c r="F155" t="n">
        <v>8</v>
      </c>
      <c r="H155" t="n">
        <v>0</v>
      </c>
      <c r="I155" t="n">
        <v>0</v>
      </c>
      <c r="J155" t="n">
        <v>0</v>
      </c>
      <c r="K155" t="n">
        <v>0</v>
      </c>
      <c r="L155" t="n">
        <v>0</v>
      </c>
      <c r="M155" t="n">
        <v>0</v>
      </c>
      <c r="N155" t="n">
        <v>0</v>
      </c>
    </row>
    <row r="156">
      <c r="A156" t="inlineStr">
        <is>
          <t>allowances by writ</t>
        </is>
      </c>
      <c r="B156" t="inlineStr">
        <is>
          <t>the same for a contract with one carpenter for making the new stable from the lord’s timber, by the same writ, 66 shilling 8pence likewise to the same for sawing timber and boards for the same, by the same writ, 14 shilling likewise to the same for 600 nails bought for fastening the uprights of the said stable, by the same writ, 1½d.</t>
        </is>
      </c>
      <c r="C156" t="n">
        <v>3.33</v>
      </c>
      <c r="D156" t="n">
        <v>0</v>
      </c>
      <c r="E156" t="n">
        <v>66</v>
      </c>
      <c r="F156" t="n">
        <v>8</v>
      </c>
      <c r="H156" t="n">
        <v>0</v>
      </c>
      <c r="I156" t="n">
        <v>0</v>
      </c>
      <c r="J156" t="n">
        <v>0</v>
      </c>
      <c r="K156" t="n">
        <v>0</v>
      </c>
      <c r="L156" t="n">
        <v>0</v>
      </c>
      <c r="M156" t="n">
        <v>0</v>
      </c>
      <c r="N156" t="n">
        <v>0</v>
      </c>
    </row>
    <row r="157">
      <c r="A157" t="inlineStr">
        <is>
          <t>allowances by writ</t>
        </is>
      </c>
      <c r="B157" t="inlineStr">
        <is>
          <t>likewise to the same for 5,000 lath nails bought for the walls of the said stable, by the same writ, 3 shilling 11½d.</t>
        </is>
      </c>
      <c r="C157" t="n">
        <v>0.15</v>
      </c>
      <c r="D157" t="n">
        <v>0</v>
      </c>
      <c r="E157" t="n">
        <v>3</v>
      </c>
      <c r="F157" t="n">
        <v>0</v>
      </c>
      <c r="H157" t="n">
        <v>0</v>
      </c>
      <c r="I157" t="n">
        <v>0</v>
      </c>
      <c r="J157" t="n">
        <v>0</v>
      </c>
      <c r="K157" t="n">
        <v>0</v>
      </c>
      <c r="L157" t="n">
        <v>0</v>
      </c>
      <c r="M157" t="n">
        <v>0</v>
      </c>
      <c r="N157" t="n">
        <v>0</v>
      </c>
    </row>
    <row r="158">
      <c r="A158" t="inlineStr">
        <is>
          <t>allowances by writ</t>
        </is>
      </c>
      <c r="B158" t="inlineStr">
        <is>
          <t>likewise to the same for a contract with one worker for plastering the walls of the said stable, by the same writ, 10 shilling likewise to the same for losses to the lord which had been caused maliciously at esher not yet made up that now were by the grace of the lord relaxed to richard le ruter, by the same writ, 8 shilling likewise to the same for money paid to thomas tegulator of farnham for his contract for roofing the new stable at esher from his tiles and lime, paid by the hand of master roger de la ber, which money the said reeve was charged in his account as well as receiving from us, by a second writ, £10. sum £24 1pence.</t>
        </is>
      </c>
      <c r="C158" t="n">
        <v>10</v>
      </c>
      <c r="D158" t="n">
        <v>10</v>
      </c>
      <c r="E158" t="n">
        <v>0</v>
      </c>
      <c r="F158" t="n">
        <v>0</v>
      </c>
      <c r="H158" t="n">
        <v>0</v>
      </c>
      <c r="I158" t="n">
        <v>0</v>
      </c>
      <c r="J158" t="n">
        <v>0</v>
      </c>
      <c r="K158" t="n">
        <v>0</v>
      </c>
      <c r="L158" t="n">
        <v>0</v>
      </c>
      <c r="M158" t="n">
        <v>0</v>
      </c>
      <c r="N158" t="n">
        <v>0</v>
      </c>
    </row>
    <row r="159">
      <c r="A159" t="inlineStr">
        <is>
          <t>payments</t>
        </is>
      </c>
      <c r="B159" t="inlineStr">
        <is>
          <t>in payment to lord simon de farham, treasurer of wolvesey, by one tally, 3pence.</t>
        </is>
      </c>
      <c r="C159" t="n">
        <v>0.01</v>
      </c>
      <c r="D159" t="n">
        <v>0</v>
      </c>
      <c r="E159" t="n">
        <v>0</v>
      </c>
      <c r="F159" t="n">
        <v>3</v>
      </c>
      <c r="H159" t="n">
        <v>0</v>
      </c>
      <c r="I159" t="n">
        <v>0</v>
      </c>
      <c r="J159" t="n">
        <v>0</v>
      </c>
      <c r="K159" t="n">
        <v>0</v>
      </c>
      <c r="L159" t="n">
        <v>0</v>
      </c>
      <c r="M159" t="n">
        <v>0</v>
      </c>
      <c r="N159" t="n">
        <v>0</v>
      </c>
    </row>
    <row r="160">
      <c r="A160" t="inlineStr">
        <is>
          <t>payments</t>
        </is>
      </c>
      <c r="B160" t="inlineStr">
        <is>
          <t>sum of all allowances and payments £24 4pence.</t>
        </is>
      </c>
      <c r="C160" t="n">
        <v>24.02</v>
      </c>
      <c r="D160" t="n">
        <v>24</v>
      </c>
      <c r="E160" t="n">
        <v>0</v>
      </c>
      <c r="F160" t="n">
        <v>4</v>
      </c>
      <c r="H160" t="n">
        <v>0</v>
      </c>
      <c r="I160" t="n">
        <v>0</v>
      </c>
      <c r="J160" t="n">
        <v>0</v>
      </c>
      <c r="K160" t="n">
        <v>0</v>
      </c>
      <c r="L160" t="n">
        <v>0</v>
      </c>
      <c r="M160" t="n">
        <v>0</v>
      </c>
      <c r="N160" t="n">
        <v>0</v>
      </c>
    </row>
    <row r="161">
      <c r="A161" t="inlineStr">
        <is>
          <t>payments</t>
        </is>
      </c>
      <c r="B161" t="inlineStr">
        <is>
          <t>and he is quit.</t>
        </is>
      </c>
      <c r="C161" t="n">
        <v>0</v>
      </c>
      <c r="D161" t="n">
        <v>0</v>
      </c>
      <c r="E161" t="n">
        <v>0</v>
      </c>
      <c r="F161" t="n">
        <v>0</v>
      </c>
      <c r="H161" t="n">
        <v>0</v>
      </c>
      <c r="I161" t="n">
        <v>0</v>
      </c>
      <c r="J161" t="n">
        <v>0</v>
      </c>
      <c r="K161" t="n">
        <v>0</v>
      </c>
      <c r="L161" t="n">
        <v>0</v>
      </c>
      <c r="M161" t="n">
        <v>0</v>
      </c>
      <c r="N161" t="n">
        <v>0</v>
      </c>
    </row>
    <row r="162">
      <c r="A162" t="inlineStr">
        <is>
          <t>payments</t>
        </is>
      </c>
      <c r="B162" t="inlineStr">
        <is>
          <t>--- page 7 ---.</t>
        </is>
      </c>
      <c r="C162" t="n">
        <v>0</v>
      </c>
      <c r="D162" t="n">
        <v>0</v>
      </c>
      <c r="E162" t="n">
        <v>0</v>
      </c>
      <c r="F162" t="n">
        <v>0</v>
      </c>
      <c r="H162" t="n">
        <v>0</v>
      </c>
      <c r="I162" t="n">
        <v>0</v>
      </c>
      <c r="J162" t="n">
        <v>0</v>
      </c>
      <c r="K162" t="n">
        <v>0</v>
      </c>
      <c r="L162" t="n">
        <v>0</v>
      </c>
      <c r="M162" t="n">
        <v>0</v>
      </c>
      <c r="N162" t="n">
        <v>0</v>
      </c>
    </row>
    <row r="163">
      <c r="A163" t="inlineStr">
        <is>
          <t>wheat</t>
        </is>
      </c>
      <c r="B163" t="inlineStr">
        <is>
          <t>the same answers for 5 bushels from the total issue of wheat by one tally against william buver, hayward.</t>
        </is>
      </c>
      <c r="C163" t="n">
        <v>0</v>
      </c>
      <c r="D163" t="n">
        <v>0</v>
      </c>
      <c r="E163" t="n">
        <v>0</v>
      </c>
      <c r="F163" t="n">
        <v>0</v>
      </c>
      <c r="G163" t="inlineStr">
        <is>
          <t>wheat</t>
        </is>
      </c>
      <c r="H163" t="n">
        <v>0</v>
      </c>
      <c r="I163" t="n">
        <v>5</v>
      </c>
      <c r="J163" t="n">
        <v>0.62</v>
      </c>
      <c r="K163" t="n">
        <v>0.62</v>
      </c>
      <c r="L163" t="n">
        <v>0</v>
      </c>
      <c r="M163" t="n">
        <v>0</v>
      </c>
      <c r="N163" t="n">
        <v>5</v>
      </c>
    </row>
    <row r="164">
      <c r="A164" t="inlineStr">
        <is>
          <t>wheat</t>
        </is>
      </c>
      <c r="B164" t="inlineStr">
        <is>
          <t>and all was sold.</t>
        </is>
      </c>
      <c r="C164" t="n">
        <v>0</v>
      </c>
      <c r="D164" t="n">
        <v>0</v>
      </c>
      <c r="E164" t="n">
        <v>0</v>
      </c>
      <c r="F164" t="n">
        <v>0</v>
      </c>
      <c r="H164" t="n">
        <v>0</v>
      </c>
      <c r="I164" t="n">
        <v>0</v>
      </c>
      <c r="J164" t="n">
        <v>0</v>
      </c>
      <c r="K164" t="n">
        <v>0</v>
      </c>
      <c r="L164" t="n">
        <v>0</v>
      </c>
      <c r="M164" t="n">
        <v>0</v>
      </c>
      <c r="N164" t="n">
        <v>0</v>
      </c>
    </row>
    <row r="165">
      <c r="A165" t="inlineStr">
        <is>
          <t>rye</t>
        </is>
      </c>
      <c r="B165" t="inlineStr">
        <is>
          <t>and for 20 quarters 1 bushel from the total issue of rye, razed measure.</t>
        </is>
      </c>
      <c r="C165" t="n">
        <v>0</v>
      </c>
      <c r="D165" t="n">
        <v>0</v>
      </c>
      <c r="E165" t="n">
        <v>0</v>
      </c>
      <c r="F165" t="n">
        <v>0</v>
      </c>
      <c r="G165" t="inlineStr">
        <is>
          <t>rye</t>
        </is>
      </c>
      <c r="H165" t="n">
        <v>20</v>
      </c>
      <c r="I165" t="n">
        <v>0</v>
      </c>
      <c r="J165" t="n">
        <v>20</v>
      </c>
      <c r="K165" t="n">
        <v>20</v>
      </c>
      <c r="L165" t="n">
        <v>0</v>
      </c>
      <c r="M165" t="n">
        <v>20</v>
      </c>
      <c r="N165" t="n">
        <v>0</v>
      </c>
    </row>
    <row r="166">
      <c r="A166" t="inlineStr">
        <is>
          <t>rye</t>
        </is>
      </c>
      <c r="B166" t="inlineStr">
        <is>
          <t>of which in seed for 6 acres of land at esher, 9 acres at northwode, 3 quarters 6 bushels, in an acre 2 bushels.</t>
        </is>
      </c>
      <c r="C166" t="n">
        <v>0</v>
      </c>
      <c r="D166" t="n">
        <v>0</v>
      </c>
      <c r="E166" t="n">
        <v>0</v>
      </c>
      <c r="F166" t="n">
        <v>0</v>
      </c>
      <c r="H166" t="n">
        <v>3</v>
      </c>
      <c r="I166" t="n">
        <v>2</v>
      </c>
      <c r="J166" t="n">
        <v>3.25</v>
      </c>
      <c r="K166" t="n">
        <v>3.75</v>
      </c>
      <c r="L166" t="n">
        <v>-0.5</v>
      </c>
      <c r="M166" t="n">
        <v>3</v>
      </c>
      <c r="N166" t="n">
        <v>6</v>
      </c>
      <c r="O166" t="n">
        <v>0</v>
      </c>
      <c r="P166" t="n">
        <v>2</v>
      </c>
    </row>
    <row r="167">
      <c r="A167" t="inlineStr">
        <is>
          <t>rye</t>
        </is>
      </c>
      <c r="B167" t="inlineStr">
        <is>
          <t>bread baked for customary workers carrying hay for three days 3 bushels.</t>
        </is>
      </c>
      <c r="C167" t="n">
        <v>0</v>
      </c>
      <c r="D167" t="n">
        <v>0</v>
      </c>
      <c r="E167" t="n">
        <v>0</v>
      </c>
      <c r="F167" t="n">
        <v>0</v>
      </c>
      <c r="H167" t="n">
        <v>0</v>
      </c>
      <c r="I167" t="n">
        <v>3</v>
      </c>
      <c r="J167" t="n">
        <v>0.38</v>
      </c>
      <c r="K167" t="n">
        <v>0.38</v>
      </c>
      <c r="L167" t="n">
        <v>0</v>
      </c>
      <c r="M167" t="n">
        <v>0</v>
      </c>
      <c r="N167" t="n">
        <v>3</v>
      </c>
    </row>
    <row r="168">
      <c r="A168" t="inlineStr">
        <is>
          <t>rye</t>
        </is>
      </c>
      <c r="B168" t="inlineStr">
        <is>
          <t>bread baked for the same harrowing the lord’s land at the sowing of oats 1 bushel.</t>
        </is>
      </c>
      <c r="C168" t="n">
        <v>0</v>
      </c>
      <c r="D168" t="n">
        <v>0</v>
      </c>
      <c r="E168" t="n">
        <v>0</v>
      </c>
      <c r="F168" t="n">
        <v>0</v>
      </c>
      <c r="G168" t="inlineStr">
        <is>
          <t>oats</t>
        </is>
      </c>
      <c r="H168" t="n">
        <v>0</v>
      </c>
      <c r="I168" t="n">
        <v>0</v>
      </c>
      <c r="J168" t="n">
        <v>0</v>
      </c>
      <c r="K168" t="n">
        <v>0</v>
      </c>
      <c r="L168" t="n">
        <v>0</v>
      </c>
      <c r="M168" t="n">
        <v>0</v>
      </c>
      <c r="N168" t="n">
        <v>0</v>
      </c>
    </row>
    <row r="169">
      <c r="A169" t="inlineStr">
        <is>
          <t>rye</t>
        </is>
      </c>
      <c r="B169" t="inlineStr">
        <is>
          <t>likewise for the same mowing the lord’s meadow 3 bushels.</t>
        </is>
      </c>
      <c r="C169" t="n">
        <v>0</v>
      </c>
      <c r="D169" t="n">
        <v>0</v>
      </c>
      <c r="E169" t="n">
        <v>0</v>
      </c>
      <c r="F169" t="n">
        <v>0</v>
      </c>
      <c r="H169" t="n">
        <v>0</v>
      </c>
      <c r="I169" t="n">
        <v>3</v>
      </c>
      <c r="J169" t="n">
        <v>0.38</v>
      </c>
      <c r="K169" t="n">
        <v>0.38</v>
      </c>
      <c r="L169" t="n">
        <v>0</v>
      </c>
      <c r="M169" t="n">
        <v>0</v>
      </c>
      <c r="N169" t="n">
        <v>3</v>
      </c>
    </row>
    <row r="170">
      <c r="A170" t="inlineStr">
        <is>
          <t>rye</t>
        </is>
      </c>
      <c r="B170" t="inlineStr">
        <is>
          <t>likewise for the same carrying the lord’s hay 1 bushel.</t>
        </is>
      </c>
      <c r="C170" t="n">
        <v>0</v>
      </c>
      <c r="D170" t="n">
        <v>0</v>
      </c>
      <c r="E170" t="n">
        <v>0</v>
      </c>
      <c r="F170" t="n">
        <v>0</v>
      </c>
      <c r="H170" t="n">
        <v>0</v>
      </c>
      <c r="I170" t="n">
        <v>0</v>
      </c>
      <c r="J170" t="n">
        <v>0</v>
      </c>
      <c r="K170" t="n">
        <v>0</v>
      </c>
      <c r="L170" t="n">
        <v>0</v>
      </c>
      <c r="M170" t="n">
        <v>0</v>
      </c>
      <c r="N170" t="n">
        <v>0</v>
      </c>
    </row>
    <row r="171">
      <c r="A171" t="inlineStr">
        <is>
          <t>rye</t>
        </is>
      </c>
      <c r="B171" t="inlineStr">
        <is>
          <t>expenses of two corn boonworks in harvest 1 quarter.</t>
        </is>
      </c>
      <c r="C171" t="n">
        <v>0</v>
      </c>
      <c r="D171" t="n">
        <v>0</v>
      </c>
      <c r="E171" t="n">
        <v>0</v>
      </c>
      <c r="F171" t="n">
        <v>0</v>
      </c>
      <c r="H171" t="n">
        <v>0</v>
      </c>
      <c r="I171" t="n">
        <v>0</v>
      </c>
      <c r="J171" t="n">
        <v>0</v>
      </c>
      <c r="K171" t="n">
        <v>0</v>
      </c>
      <c r="L171" t="n">
        <v>0</v>
      </c>
      <c r="M171" t="n">
        <v>0</v>
      </c>
      <c r="N171" t="n">
        <v>0</v>
      </c>
    </row>
    <row r="172">
      <c r="A172" t="inlineStr">
        <is>
          <t>rye</t>
        </is>
      </c>
      <c r="B172" t="inlineStr">
        <is>
          <t>payment of one hayward from the feast of st michael until the first day of april, for 26 weeks, 3 quarters 2 bushels, for a week 1 bushel.</t>
        </is>
      </c>
      <c r="C172" t="n">
        <v>0</v>
      </c>
      <c r="D172" t="n">
        <v>0</v>
      </c>
      <c r="E172" t="n">
        <v>0</v>
      </c>
      <c r="F172" t="n">
        <v>0</v>
      </c>
      <c r="H172" t="n">
        <v>3</v>
      </c>
      <c r="I172" t="n">
        <v>2</v>
      </c>
      <c r="J172" t="n">
        <v>3.25</v>
      </c>
      <c r="K172" t="n">
        <v>3.25</v>
      </c>
      <c r="L172" t="n">
        <v>0</v>
      </c>
      <c r="M172" t="n">
        <v>3</v>
      </c>
      <c r="N172" t="n">
        <v>2</v>
      </c>
    </row>
    <row r="173">
      <c r="A173" t="inlineStr">
        <is>
          <t>rye</t>
        </is>
      </c>
      <c r="B173" t="inlineStr">
        <is>
          <t>and sold 11 quarters 1 bushel.</t>
        </is>
      </c>
      <c r="C173" t="n">
        <v>0</v>
      </c>
      <c r="D173" t="n">
        <v>0</v>
      </c>
      <c r="E173" t="n">
        <v>0</v>
      </c>
      <c r="F173" t="n">
        <v>0</v>
      </c>
      <c r="H173" t="n">
        <v>11</v>
      </c>
      <c r="I173" t="n">
        <v>0</v>
      </c>
      <c r="J173" t="n">
        <v>11</v>
      </c>
      <c r="K173" t="n">
        <v>11</v>
      </c>
      <c r="L173" t="n">
        <v>0</v>
      </c>
      <c r="M173" t="n">
        <v>11</v>
      </c>
      <c r="N173" t="n">
        <v>0</v>
      </c>
    </row>
    <row r="174">
      <c r="A174" t="inlineStr">
        <is>
          <t>barley</t>
        </is>
      </c>
      <c r="B174" t="inlineStr">
        <is>
          <t>and for 21 quarters 1 bushel of barley bought.</t>
        </is>
      </c>
      <c r="C174" t="n">
        <v>0</v>
      </c>
      <c r="D174" t="n">
        <v>0</v>
      </c>
      <c r="E174" t="n">
        <v>0</v>
      </c>
      <c r="F174" t="n">
        <v>0</v>
      </c>
      <c r="G174" t="inlineStr">
        <is>
          <t>barley</t>
        </is>
      </c>
      <c r="H174" t="n">
        <v>21</v>
      </c>
      <c r="I174" t="n">
        <v>0</v>
      </c>
      <c r="J174" t="n">
        <v>21</v>
      </c>
      <c r="K174" t="n">
        <v>21</v>
      </c>
      <c r="L174" t="n">
        <v>0</v>
      </c>
      <c r="M174" t="n">
        <v>21</v>
      </c>
      <c r="N174" t="n">
        <v>0</v>
      </c>
    </row>
    <row r="175">
      <c r="A175" t="inlineStr">
        <is>
          <t>barley</t>
        </is>
      </c>
      <c r="B175" t="inlineStr">
        <is>
          <t>of which in seed for 8 acres of land at esher 4 quarters, in an acre 4 bushels.</t>
        </is>
      </c>
      <c r="C175" t="n">
        <v>0</v>
      </c>
      <c r="D175" t="n">
        <v>0</v>
      </c>
      <c r="E175" t="n">
        <v>0</v>
      </c>
      <c r="F175" t="n">
        <v>0</v>
      </c>
      <c r="H175" t="n">
        <v>4</v>
      </c>
      <c r="I175" t="n">
        <v>4</v>
      </c>
      <c r="J175" t="n">
        <v>4.5</v>
      </c>
      <c r="K175" t="n">
        <v>4</v>
      </c>
      <c r="L175" t="n">
        <v>0.5</v>
      </c>
      <c r="M175" t="n">
        <v>4</v>
      </c>
      <c r="N175" t="n">
        <v>0</v>
      </c>
      <c r="O175" t="n">
        <v>0</v>
      </c>
      <c r="P175" t="n">
        <v>4</v>
      </c>
    </row>
    <row r="176">
      <c r="A176" t="inlineStr">
        <is>
          <t>barley</t>
        </is>
      </c>
      <c r="B176" t="inlineStr">
        <is>
          <t>payment of one ploughman and one ploughdriver for the year 10 quarters 3 bushels, and they took a quarter for 10 weeks.</t>
        </is>
      </c>
      <c r="C176" t="n">
        <v>0</v>
      </c>
      <c r="D176" t="n">
        <v>0</v>
      </c>
      <c r="E176" t="n">
        <v>0</v>
      </c>
      <c r="F176" t="n">
        <v>0</v>
      </c>
      <c r="H176" t="n">
        <v>10</v>
      </c>
      <c r="I176" t="n">
        <v>3</v>
      </c>
      <c r="J176" t="n">
        <v>10.38</v>
      </c>
      <c r="K176" t="n">
        <v>10.38</v>
      </c>
      <c r="L176" t="n">
        <v>0</v>
      </c>
      <c r="M176" t="n">
        <v>10</v>
      </c>
      <c r="N176" t="n">
        <v>3</v>
      </c>
    </row>
    <row r="177">
      <c r="A177" t="inlineStr">
        <is>
          <t>barley</t>
        </is>
      </c>
      <c r="B177" t="inlineStr">
        <is>
          <t>a contract with one boy guarding the lord’s sheep from the feast of st michael until the feast of st john the baptist [24 june], and not more because he did not have full custody, 1 quarter.</t>
        </is>
      </c>
      <c r="C177" t="n">
        <v>0</v>
      </c>
      <c r="D177" t="n">
        <v>0</v>
      </c>
      <c r="E177" t="n">
        <v>0</v>
      </c>
      <c r="F177" t="n">
        <v>0</v>
      </c>
      <c r="H177" t="n">
        <v>0</v>
      </c>
      <c r="I177" t="n">
        <v>0</v>
      </c>
      <c r="J177" t="n">
        <v>0</v>
      </c>
      <c r="K177" t="n">
        <v>0</v>
      </c>
      <c r="L177" t="n">
        <v>0</v>
      </c>
      <c r="M177" t="n">
        <v>0</v>
      </c>
      <c r="N177" t="n">
        <v>0</v>
      </c>
    </row>
    <row r="178">
      <c r="A178" t="inlineStr">
        <is>
          <t>barley</t>
        </is>
      </c>
      <c r="B178" t="inlineStr">
        <is>
          <t>payment of one shepherd from the said feast of st john the baptist [24 june] until the feast of st michael, for 14 weeks, 1 quarter 3 bushels 1 peck, and he took a quarter for three weeks.</t>
        </is>
      </c>
      <c r="C178" t="n">
        <v>0</v>
      </c>
      <c r="D178" t="n">
        <v>0</v>
      </c>
      <c r="E178" t="n">
        <v>0</v>
      </c>
      <c r="F178" t="n">
        <v>0</v>
      </c>
      <c r="H178" t="n">
        <v>0</v>
      </c>
      <c r="I178" t="n">
        <v>3</v>
      </c>
      <c r="J178" t="n">
        <v>0.38</v>
      </c>
      <c r="K178" t="n">
        <v>0.38</v>
      </c>
      <c r="L178" t="n">
        <v>0</v>
      </c>
      <c r="M178" t="n">
        <v>0</v>
      </c>
      <c r="N178" t="n">
        <v>3</v>
      </c>
    </row>
    <row r="179">
      <c r="A179" t="inlineStr">
        <is>
          <t>barley</t>
        </is>
      </c>
      <c r="B179" t="inlineStr">
        <is>
          <t>payment of one man guarding the animals at northwode, mending hedges for the year 4 quarters 2½ bushels, taking a quarter for 12 weeks.</t>
        </is>
      </c>
      <c r="C179" t="n">
        <v>0</v>
      </c>
      <c r="D179" t="n">
        <v>0</v>
      </c>
      <c r="E179" t="n">
        <v>0</v>
      </c>
      <c r="F179" t="n">
        <v>0</v>
      </c>
      <c r="H179" t="n">
        <v>4</v>
      </c>
      <c r="I179" t="n">
        <v>0</v>
      </c>
      <c r="J179" t="n">
        <v>4</v>
      </c>
      <c r="K179" t="n">
        <v>4</v>
      </c>
      <c r="L179" t="n">
        <v>0</v>
      </c>
      <c r="M179" t="n">
        <v>4</v>
      </c>
      <c r="N179" t="n">
        <v>0</v>
      </c>
    </row>
    <row r="180">
      <c r="A180" t="inlineStr">
        <is>
          <t>barley</t>
        </is>
      </c>
      <c r="B180" t="inlineStr">
        <is>
          <t>and sold at the audit 1 peck for 2¾d.</t>
        </is>
      </c>
      <c r="C180" t="n">
        <v>0</v>
      </c>
      <c r="D180" t="n">
        <v>0</v>
      </c>
      <c r="E180" t="n">
        <v>0</v>
      </c>
      <c r="F180" t="n">
        <v>0</v>
      </c>
      <c r="H180" t="n">
        <v>0</v>
      </c>
      <c r="I180" t="n">
        <v>0</v>
      </c>
      <c r="J180" t="n">
        <v>0</v>
      </c>
      <c r="K180" t="n">
        <v>0</v>
      </c>
      <c r="L180" t="n">
        <v>0</v>
      </c>
      <c r="M180" t="n">
        <v>0</v>
      </c>
      <c r="N180" t="n">
        <v>0</v>
      </c>
    </row>
    <row r="181">
      <c r="A181" t="inlineStr">
        <is>
          <t>beans</t>
        </is>
      </c>
      <c r="B181" t="inlineStr">
        <is>
          <t>and for 4 bushels from the total issue of beans.</t>
        </is>
      </c>
      <c r="C181" t="n">
        <v>0</v>
      </c>
      <c r="D181" t="n">
        <v>0</v>
      </c>
      <c r="E181" t="n">
        <v>0</v>
      </c>
      <c r="F181" t="n">
        <v>0</v>
      </c>
      <c r="G181" t="inlineStr">
        <is>
          <t>beans</t>
        </is>
      </c>
      <c r="H181" t="n">
        <v>0</v>
      </c>
      <c r="I181" t="n">
        <v>4</v>
      </c>
      <c r="J181" t="n">
        <v>0.5</v>
      </c>
      <c r="K181" t="n">
        <v>0.5</v>
      </c>
      <c r="L181" t="n">
        <v>0</v>
      </c>
      <c r="M181" t="n">
        <v>0</v>
      </c>
      <c r="N181" t="n">
        <v>4</v>
      </c>
    </row>
    <row r="182">
      <c r="A182" t="inlineStr">
        <is>
          <t>beans</t>
        </is>
      </c>
      <c r="B182" t="inlineStr">
        <is>
          <t>and all sold.</t>
        </is>
      </c>
      <c r="C182" t="n">
        <v>0</v>
      </c>
      <c r="D182" t="n">
        <v>0</v>
      </c>
      <c r="E182" t="n">
        <v>0</v>
      </c>
      <c r="F182" t="n">
        <v>0</v>
      </c>
      <c r="H182" t="n">
        <v>0</v>
      </c>
      <c r="I182" t="n">
        <v>0</v>
      </c>
      <c r="J182" t="n">
        <v>0</v>
      </c>
      <c r="K182" t="n">
        <v>0</v>
      </c>
      <c r="L182" t="n">
        <v>0</v>
      </c>
      <c r="M182" t="n">
        <v>0</v>
      </c>
      <c r="N182" t="n">
        <v>0</v>
      </c>
    </row>
    <row r="183">
      <c r="A183" t="inlineStr">
        <is>
          <t>peas</t>
        </is>
      </c>
      <c r="B183" t="inlineStr">
        <is>
          <t>and for 6 bushels of peas from issue.</t>
        </is>
      </c>
      <c r="C183" t="n">
        <v>0</v>
      </c>
      <c r="D183" t="n">
        <v>0</v>
      </c>
      <c r="E183" t="n">
        <v>0</v>
      </c>
      <c r="F183" t="n">
        <v>0</v>
      </c>
      <c r="G183" t="inlineStr">
        <is>
          <t>peas</t>
        </is>
      </c>
      <c r="H183" t="n">
        <v>0</v>
      </c>
      <c r="I183" t="n">
        <v>6</v>
      </c>
      <c r="J183" t="n">
        <v>0.75</v>
      </c>
      <c r="K183" t="n">
        <v>0.75</v>
      </c>
      <c r="L183" t="n">
        <v>0</v>
      </c>
      <c r="M183" t="n">
        <v>0</v>
      </c>
      <c r="N183" t="n">
        <v>6</v>
      </c>
    </row>
    <row r="184">
      <c r="A184" t="inlineStr">
        <is>
          <t>peas</t>
        </is>
      </c>
      <c r="B184" t="inlineStr">
        <is>
          <t>and all sold.</t>
        </is>
      </c>
      <c r="C184" t="n">
        <v>0</v>
      </c>
      <c r="D184" t="n">
        <v>0</v>
      </c>
      <c r="E184" t="n">
        <v>0</v>
      </c>
      <c r="F184" t="n">
        <v>0</v>
      </c>
      <c r="H184" t="n">
        <v>0</v>
      </c>
      <c r="I184" t="n">
        <v>0</v>
      </c>
      <c r="J184" t="n">
        <v>0</v>
      </c>
      <c r="K184" t="n">
        <v>0</v>
      </c>
      <c r="L184" t="n">
        <v>0</v>
      </c>
      <c r="M184" t="n">
        <v>0</v>
      </c>
      <c r="N184" t="n">
        <v>0</v>
      </c>
    </row>
    <row r="185">
      <c r="A185" t="inlineStr">
        <is>
          <t>small oats</t>
        </is>
      </c>
      <c r="B185" t="inlineStr">
        <is>
          <t>and for 30 quarters 3 bushels from the total issue of oats, razed measure.</t>
        </is>
      </c>
      <c r="C185" t="n">
        <v>0</v>
      </c>
      <c r="D185" t="n">
        <v>0</v>
      </c>
      <c r="E185" t="n">
        <v>0</v>
      </c>
      <c r="F185" t="n">
        <v>0</v>
      </c>
      <c r="G185" t="inlineStr">
        <is>
          <t>oats</t>
        </is>
      </c>
      <c r="H185" t="n">
        <v>30</v>
      </c>
      <c r="I185" t="n">
        <v>3</v>
      </c>
      <c r="J185" t="n">
        <v>30.38</v>
      </c>
      <c r="K185" t="n">
        <v>30.38</v>
      </c>
      <c r="L185" t="n">
        <v>0</v>
      </c>
      <c r="M185" t="n">
        <v>30</v>
      </c>
      <c r="N185" t="n">
        <v>3</v>
      </c>
    </row>
    <row r="186">
      <c r="A186" t="inlineStr">
        <is>
          <t>small oats</t>
        </is>
      </c>
      <c r="B186" t="inlineStr">
        <is>
          <t>and for 3 quarters given to the oxen by estimation in sheaves.</t>
        </is>
      </c>
      <c r="C186" t="n">
        <v>0</v>
      </c>
      <c r="D186" t="n">
        <v>0</v>
      </c>
      <c r="E186" t="n">
        <v>0</v>
      </c>
      <c r="F186" t="n">
        <v>0</v>
      </c>
      <c r="H186" t="n">
        <v>3</v>
      </c>
      <c r="I186" t="n">
        <v>0</v>
      </c>
      <c r="J186" t="n">
        <v>3</v>
      </c>
      <c r="K186" t="n">
        <v>3</v>
      </c>
      <c r="L186" t="n">
        <v>0</v>
      </c>
      <c r="M186" t="n">
        <v>3</v>
      </c>
      <c r="N186" t="n">
        <v>0</v>
      </c>
    </row>
    <row r="187">
      <c r="A187" t="inlineStr">
        <is>
          <t>small oats</t>
        </is>
      </c>
      <c r="B187" t="inlineStr">
        <is>
          <t>sum 33 quarters 3 bushels.</t>
        </is>
      </c>
      <c r="C187" t="n">
        <v>0</v>
      </c>
      <c r="D187" t="n">
        <v>0</v>
      </c>
      <c r="E187" t="n">
        <v>0</v>
      </c>
      <c r="F187" t="n">
        <v>0</v>
      </c>
      <c r="H187" t="n">
        <v>33</v>
      </c>
      <c r="I187" t="n">
        <v>3</v>
      </c>
      <c r="J187" t="n">
        <v>33.38</v>
      </c>
      <c r="K187" t="n">
        <v>33.38</v>
      </c>
      <c r="L187" t="n">
        <v>0</v>
      </c>
      <c r="M187" t="n">
        <v>33</v>
      </c>
      <c r="N187" t="n">
        <v>3</v>
      </c>
    </row>
    <row r="188">
      <c r="A188" t="inlineStr">
        <is>
          <t>small oats</t>
        </is>
      </c>
      <c r="B188" t="inlineStr">
        <is>
          <t>of which in seed for 18 acres of land at esher, 26 acres of land at northwode, 22 quarters 3 bushels, in an acre 4 bushels but 1 bushel on top in total.</t>
        </is>
      </c>
      <c r="C188" t="n">
        <v>0</v>
      </c>
      <c r="D188" t="n">
        <v>0</v>
      </c>
      <c r="E188" t="n">
        <v>0</v>
      </c>
      <c r="F188" t="n">
        <v>0</v>
      </c>
      <c r="H188" t="n">
        <v>22</v>
      </c>
      <c r="I188" t="n">
        <v>4</v>
      </c>
      <c r="J188" t="n">
        <v>22.5</v>
      </c>
      <c r="K188" t="n">
        <v>22.38</v>
      </c>
      <c r="L188" t="n">
        <v>0.12</v>
      </c>
      <c r="M188" t="n">
        <v>22</v>
      </c>
      <c r="N188" t="n">
        <v>3</v>
      </c>
      <c r="O188" t="n">
        <v>0</v>
      </c>
      <c r="P188" t="n">
        <v>4</v>
      </c>
    </row>
    <row r="189">
      <c r="A189" t="inlineStr">
        <is>
          <t>small oats</t>
        </is>
      </c>
      <c r="B189" t="inlineStr">
        <is>
          <t>flour made for pottage for four famuli for the year 2 quarters.</t>
        </is>
      </c>
      <c r="C189" t="n">
        <v>0</v>
      </c>
      <c r="D189" t="n">
        <v>0</v>
      </c>
      <c r="E189" t="n">
        <v>0</v>
      </c>
      <c r="F189" t="n">
        <v>0</v>
      </c>
      <c r="H189" t="n">
        <v>2</v>
      </c>
      <c r="I189" t="n">
        <v>0</v>
      </c>
      <c r="J189" t="n">
        <v>2</v>
      </c>
      <c r="K189" t="n">
        <v>2</v>
      </c>
      <c r="L189" t="n">
        <v>0</v>
      </c>
      <c r="M189" t="n">
        <v>2</v>
      </c>
      <c r="N189" t="n">
        <v>0</v>
      </c>
    </row>
    <row r="190">
      <c r="A190" t="inlineStr">
        <is>
          <t>small oats</t>
        </is>
      </c>
      <c r="B190" t="inlineStr">
        <is>
          <t>fodder for 2 cart horses for the year 4 quarters this year because of the carriage of timber for the new stable.</t>
        </is>
      </c>
      <c r="C190" t="n">
        <v>0</v>
      </c>
      <c r="D190" t="n">
        <v>0</v>
      </c>
      <c r="E190" t="n">
        <v>0</v>
      </c>
      <c r="F190" t="n">
        <v>0</v>
      </c>
      <c r="H190" t="n">
        <v>4</v>
      </c>
      <c r="I190" t="n">
        <v>0</v>
      </c>
      <c r="J190" t="n">
        <v>4</v>
      </c>
      <c r="K190" t="n">
        <v>4</v>
      </c>
      <c r="L190" t="n">
        <v>0</v>
      </c>
      <c r="M190" t="n">
        <v>4</v>
      </c>
      <c r="N190" t="n">
        <v>0</v>
      </c>
    </row>
    <row r="191">
      <c r="A191" t="inlineStr">
        <is>
          <t>small oats</t>
        </is>
      </c>
      <c r="B191" t="inlineStr">
        <is>
          <t>fodder for oxen by estimation in sheaves 3 quarters.</t>
        </is>
      </c>
      <c r="C191" t="n">
        <v>0</v>
      </c>
      <c r="D191" t="n">
        <v>0</v>
      </c>
      <c r="E191" t="n">
        <v>0</v>
      </c>
      <c r="F191" t="n">
        <v>0</v>
      </c>
      <c r="H191" t="n">
        <v>3</v>
      </c>
      <c r="I191" t="n">
        <v>0</v>
      </c>
      <c r="J191" t="n">
        <v>3</v>
      </c>
      <c r="K191" t="n">
        <v>3</v>
      </c>
      <c r="L191" t="n">
        <v>0</v>
      </c>
      <c r="M191" t="n">
        <v>3</v>
      </c>
      <c r="N191" t="n">
        <v>0</v>
      </c>
    </row>
    <row r="192">
      <c r="A192" t="inlineStr">
        <is>
          <t>small oats</t>
        </is>
      </c>
      <c r="B192" t="inlineStr">
        <is>
          <t>expenses of lord r de bereford on the tuesday on the eve of the birth of st john the baptist [23 june] 1 bushel.</t>
        </is>
      </c>
      <c r="C192" t="n">
        <v>0</v>
      </c>
      <c r="D192" t="n">
        <v>0</v>
      </c>
      <c r="E192" t="n">
        <v>0</v>
      </c>
      <c r="F192" t="n">
        <v>0</v>
      </c>
      <c r="H192" t="n">
        <v>0</v>
      </c>
      <c r="I192" t="n">
        <v>0</v>
      </c>
      <c r="J192" t="n">
        <v>0</v>
      </c>
      <c r="K192" t="n">
        <v>0</v>
      </c>
      <c r="L192" t="n">
        <v>0</v>
      </c>
      <c r="M192" t="n">
        <v>0</v>
      </c>
      <c r="N192" t="n">
        <v>0</v>
      </c>
    </row>
    <row r="193">
      <c r="A193" t="inlineStr">
        <is>
          <t>small oats</t>
        </is>
      </c>
      <c r="B193" t="inlineStr">
        <is>
          <t>expenses of the bailiff and his clerk for their coming for the year 1 quarter 2 bushels.</t>
        </is>
      </c>
      <c r="C193" t="n">
        <v>0</v>
      </c>
      <c r="D193" t="n">
        <v>0</v>
      </c>
      <c r="E193" t="n">
        <v>0</v>
      </c>
      <c r="F193" t="n">
        <v>0</v>
      </c>
      <c r="H193" t="n">
        <v>0</v>
      </c>
      <c r="I193" t="n">
        <v>2</v>
      </c>
      <c r="J193" t="n">
        <v>0.25</v>
      </c>
      <c r="K193" t="n">
        <v>0.25</v>
      </c>
      <c r="L193" t="n">
        <v>0</v>
      </c>
      <c r="M193" t="n">
        <v>0</v>
      </c>
      <c r="N193" t="n">
        <v>2</v>
      </c>
    </row>
    <row r="194">
      <c r="A194" t="inlineStr">
        <is>
          <t>small oats</t>
        </is>
      </c>
      <c r="B194" t="inlineStr">
        <is>
          <t>sold 1 bushel.</t>
        </is>
      </c>
      <c r="C194" t="n">
        <v>0</v>
      </c>
      <c r="D194" t="n">
        <v>0</v>
      </c>
      <c r="E194" t="n">
        <v>0</v>
      </c>
      <c r="F194" t="n">
        <v>0</v>
      </c>
      <c r="H194" t="n">
        <v>0</v>
      </c>
      <c r="I194" t="n">
        <v>0</v>
      </c>
      <c r="J194" t="n">
        <v>0</v>
      </c>
      <c r="K194" t="n">
        <v>0</v>
      </c>
      <c r="L194" t="n">
        <v>0</v>
      </c>
      <c r="M194" t="n">
        <v>0</v>
      </c>
      <c r="N194" t="n">
        <v>0</v>
      </c>
    </row>
    <row r="195">
      <c r="A195" t="inlineStr">
        <is>
          <t>small oats</t>
        </is>
      </c>
      <c r="B195" t="inlineStr">
        <is>
          <t>and sold at the audit ½ quarter, for 15pence.</t>
        </is>
      </c>
      <c r="C195" t="n">
        <v>0.06</v>
      </c>
      <c r="D195" t="n">
        <v>0</v>
      </c>
      <c r="E195" t="n">
        <v>0</v>
      </c>
      <c r="F195" t="n">
        <v>15</v>
      </c>
      <c r="H195" t="n">
        <v>0</v>
      </c>
      <c r="I195" t="n">
        <v>0</v>
      </c>
      <c r="J195" t="n">
        <v>0</v>
      </c>
      <c r="K195" t="n">
        <v>0</v>
      </c>
      <c r="L195" t="n">
        <v>0</v>
      </c>
      <c r="M195" t="n">
        <v>0</v>
      </c>
      <c r="N195" t="n">
        <v>0</v>
      </c>
    </row>
    <row r="196">
      <c r="A196" t="inlineStr">
        <is>
          <t>small oats</t>
        </is>
      </c>
      <c r="B196" t="inlineStr">
        <is>
          <t>--- page 8 ---.</t>
        </is>
      </c>
      <c r="C196" t="n">
        <v>0</v>
      </c>
      <c r="D196" t="n">
        <v>0</v>
      </c>
      <c r="E196" t="n">
        <v>0</v>
      </c>
      <c r="F196" t="n">
        <v>0</v>
      </c>
      <c r="H196" t="n">
        <v>0</v>
      </c>
      <c r="I196" t="n">
        <v>0</v>
      </c>
      <c r="J196" t="n">
        <v>0</v>
      </c>
      <c r="K196" t="n">
        <v>0</v>
      </c>
      <c r="L196" t="n">
        <v>0</v>
      </c>
      <c r="M196" t="n">
        <v>0</v>
      </c>
      <c r="N196" t="n">
        <v>0</v>
      </c>
    </row>
    <row r="197">
      <c r="A197" t="inlineStr">
        <is>
          <t>cart horses</t>
        </is>
      </c>
      <c r="B197" t="inlineStr">
        <is>
          <t>the same renders account for 2 cart horses that remained.</t>
        </is>
      </c>
      <c r="C197" t="n">
        <v>0</v>
      </c>
      <c r="D197" t="n">
        <v>0</v>
      </c>
      <c r="E197" t="n">
        <v>0</v>
      </c>
      <c r="F197" t="n">
        <v>0</v>
      </c>
      <c r="H197" t="n">
        <v>0</v>
      </c>
      <c r="I197" t="n">
        <v>0</v>
      </c>
      <c r="J197" t="n">
        <v>0</v>
      </c>
      <c r="K197" t="n">
        <v>0</v>
      </c>
      <c r="L197" t="n">
        <v>0</v>
      </c>
      <c r="M197" t="n">
        <v>0</v>
      </c>
      <c r="N197" t="n">
        <v>0</v>
      </c>
    </row>
    <row r="198">
      <c r="A198" t="inlineStr">
        <is>
          <t>cart horses</t>
        </is>
      </c>
      <c r="B198" t="inlineStr">
        <is>
          <t>and 2 cart horses remain.</t>
        </is>
      </c>
      <c r="C198" t="n">
        <v>0</v>
      </c>
      <c r="D198" t="n">
        <v>0</v>
      </c>
      <c r="E198" t="n">
        <v>0</v>
      </c>
      <c r="F198" t="n">
        <v>0</v>
      </c>
      <c r="H198" t="n">
        <v>0</v>
      </c>
      <c r="I198" t="n">
        <v>0</v>
      </c>
      <c r="J198" t="n">
        <v>0</v>
      </c>
      <c r="K198" t="n">
        <v>0</v>
      </c>
      <c r="L198" t="n">
        <v>0</v>
      </c>
      <c r="M198" t="n">
        <v>0</v>
      </c>
      <c r="N198" t="n">
        <v>0</v>
      </c>
    </row>
    <row r="199">
      <c r="A199" t="inlineStr">
        <is>
          <t>oxen</t>
        </is>
      </c>
      <c r="B199" t="inlineStr">
        <is>
          <t>and for 12 oxen that remained.</t>
        </is>
      </c>
      <c r="C199" t="n">
        <v>0</v>
      </c>
      <c r="D199" t="n">
        <v>0</v>
      </c>
      <c r="E199" t="n">
        <v>0</v>
      </c>
      <c r="F199" t="n">
        <v>0</v>
      </c>
      <c r="H199" t="n">
        <v>0</v>
      </c>
      <c r="I199" t="n">
        <v>0</v>
      </c>
      <c r="J199" t="n">
        <v>0</v>
      </c>
      <c r="K199" t="n">
        <v>0</v>
      </c>
      <c r="L199" t="n">
        <v>0</v>
      </c>
      <c r="M199" t="n">
        <v>0</v>
      </c>
      <c r="N199" t="n">
        <v>0</v>
      </c>
    </row>
    <row r="200">
      <c r="A200" t="inlineStr">
        <is>
          <t>oxen</t>
        </is>
      </c>
      <c r="B200" t="inlineStr">
        <is>
          <t>and 12 remain, of which 4 are in the custody of the parson.</t>
        </is>
      </c>
      <c r="C200" t="n">
        <v>0</v>
      </c>
      <c r="D200" t="n">
        <v>0</v>
      </c>
      <c r="E200" t="n">
        <v>0</v>
      </c>
      <c r="F200" t="n">
        <v>0</v>
      </c>
      <c r="H200" t="n">
        <v>0</v>
      </c>
      <c r="I200" t="n">
        <v>0</v>
      </c>
      <c r="J200" t="n">
        <v>0</v>
      </c>
      <c r="K200" t="n">
        <v>0</v>
      </c>
      <c r="L200" t="n">
        <v>0</v>
      </c>
      <c r="M200" t="n">
        <v>0</v>
      </c>
      <c r="N200" t="n">
        <v>0</v>
      </c>
    </row>
    <row r="201">
      <c r="A201" t="inlineStr">
        <is>
          <t>bull</t>
        </is>
      </c>
      <c r="B201" t="inlineStr">
        <is>
          <t>and for 1 bull that remained.</t>
        </is>
      </c>
      <c r="C201" t="n">
        <v>0</v>
      </c>
      <c r="D201" t="n">
        <v>0</v>
      </c>
      <c r="E201" t="n">
        <v>0</v>
      </c>
      <c r="F201" t="n">
        <v>0</v>
      </c>
      <c r="H201" t="n">
        <v>0</v>
      </c>
      <c r="I201" t="n">
        <v>0</v>
      </c>
      <c r="J201" t="n">
        <v>0</v>
      </c>
      <c r="K201" t="n">
        <v>0</v>
      </c>
      <c r="L201" t="n">
        <v>0</v>
      </c>
      <c r="M201" t="n">
        <v>0</v>
      </c>
      <c r="N201" t="n">
        <v>0</v>
      </c>
    </row>
    <row r="202">
      <c r="A202" t="inlineStr">
        <is>
          <t>bull</t>
        </is>
      </c>
      <c r="B202" t="inlineStr">
        <is>
          <t>sold 1. and none remain.</t>
        </is>
      </c>
      <c r="C202" t="n">
        <v>0</v>
      </c>
      <c r="D202" t="n">
        <v>0</v>
      </c>
      <c r="E202" t="n">
        <v>0</v>
      </c>
      <c r="F202" t="n">
        <v>0</v>
      </c>
      <c r="H202" t="n">
        <v>0</v>
      </c>
      <c r="I202" t="n">
        <v>0</v>
      </c>
      <c r="J202" t="n">
        <v>0</v>
      </c>
      <c r="K202" t="n">
        <v>0</v>
      </c>
      <c r="L202" t="n">
        <v>0</v>
      </c>
      <c r="M202" t="n">
        <v>0</v>
      </c>
      <c r="N202" t="n">
        <v>0</v>
      </c>
    </row>
    <row r="203">
      <c r="A203" t="inlineStr">
        <is>
          <t>cows</t>
        </is>
      </c>
      <c r="B203" t="inlineStr">
        <is>
          <t>and for 13 cows that remained.</t>
        </is>
      </c>
      <c r="C203" t="n">
        <v>0</v>
      </c>
      <c r="D203" t="n">
        <v>0</v>
      </c>
      <c r="E203" t="n">
        <v>0</v>
      </c>
      <c r="F203" t="n">
        <v>0</v>
      </c>
      <c r="H203" t="n">
        <v>0</v>
      </c>
      <c r="I203" t="n">
        <v>0</v>
      </c>
      <c r="J203" t="n">
        <v>0</v>
      </c>
      <c r="K203" t="n">
        <v>0</v>
      </c>
      <c r="L203" t="n">
        <v>0</v>
      </c>
      <c r="M203" t="n">
        <v>0</v>
      </c>
      <c r="N203" t="n">
        <v>0</v>
      </c>
    </row>
    <row r="204">
      <c r="A204" t="inlineStr">
        <is>
          <t>cows</t>
        </is>
      </c>
      <c r="B204" t="inlineStr">
        <is>
          <t>and for 1 maturing.</t>
        </is>
      </c>
      <c r="C204" t="n">
        <v>0</v>
      </c>
      <c r="D204" t="n">
        <v>0</v>
      </c>
      <c r="E204" t="n">
        <v>0</v>
      </c>
      <c r="F204" t="n">
        <v>0</v>
      </c>
      <c r="H204" t="n">
        <v>0</v>
      </c>
      <c r="I204" t="n">
        <v>0</v>
      </c>
      <c r="J204" t="n">
        <v>0</v>
      </c>
      <c r="K204" t="n">
        <v>0</v>
      </c>
      <c r="L204" t="n">
        <v>0</v>
      </c>
      <c r="M204" t="n">
        <v>0</v>
      </c>
      <c r="N204" t="n">
        <v>0</v>
      </c>
    </row>
    <row r="205">
      <c r="A205" t="inlineStr">
        <is>
          <t>cows</t>
        </is>
      </c>
      <c r="B205" t="inlineStr">
        <is>
          <t>of which sold after calving 3. and 11 cows remain.</t>
        </is>
      </c>
      <c r="C205" t="n">
        <v>0</v>
      </c>
      <c r="D205" t="n">
        <v>0</v>
      </c>
      <c r="E205" t="n">
        <v>0</v>
      </c>
      <c r="F205" t="n">
        <v>0</v>
      </c>
      <c r="H205" t="n">
        <v>0</v>
      </c>
      <c r="I205" t="n">
        <v>0</v>
      </c>
      <c r="J205" t="n">
        <v>0</v>
      </c>
      <c r="K205" t="n">
        <v>0</v>
      </c>
      <c r="L205" t="n">
        <v>0</v>
      </c>
      <c r="M205" t="n">
        <v>0</v>
      </c>
      <c r="N205" t="n">
        <v>0</v>
      </c>
    </row>
    <row r="206">
      <c r="A206" t="inlineStr">
        <is>
          <t>steers</t>
        </is>
      </c>
      <c r="B206" t="inlineStr">
        <is>
          <t>and for 1 female steer that remained from the past year as a young steer.</t>
        </is>
      </c>
      <c r="C206" t="n">
        <v>0</v>
      </c>
      <c r="D206" t="n">
        <v>0</v>
      </c>
      <c r="E206" t="n">
        <v>0</v>
      </c>
      <c r="F206" t="n">
        <v>0</v>
      </c>
      <c r="H206" t="n">
        <v>0</v>
      </c>
      <c r="I206" t="n">
        <v>0</v>
      </c>
      <c r="J206" t="n">
        <v>0</v>
      </c>
      <c r="K206" t="n">
        <v>0</v>
      </c>
      <c r="L206" t="n">
        <v>0</v>
      </c>
      <c r="M206" t="n">
        <v>0</v>
      </c>
      <c r="N206" t="n">
        <v>0</v>
      </c>
    </row>
    <row r="207">
      <c r="A207" t="inlineStr">
        <is>
          <t>steers</t>
        </is>
      </c>
      <c r="B207" t="inlineStr">
        <is>
          <t>maturing into a cow 1. and none remain.</t>
        </is>
      </c>
      <c r="C207" t="n">
        <v>0</v>
      </c>
      <c r="D207" t="n">
        <v>0</v>
      </c>
      <c r="E207" t="n">
        <v>0</v>
      </c>
      <c r="F207" t="n">
        <v>0</v>
      </c>
      <c r="H207" t="n">
        <v>0</v>
      </c>
      <c r="I207" t="n">
        <v>0</v>
      </c>
      <c r="J207" t="n">
        <v>0</v>
      </c>
      <c r="K207" t="n">
        <v>0</v>
      </c>
      <c r="L207" t="n">
        <v>0</v>
      </c>
      <c r="M207" t="n">
        <v>0</v>
      </c>
      <c r="N207" t="n">
        <v>0</v>
      </c>
    </row>
    <row r="208">
      <c r="A208" t="inlineStr">
        <is>
          <t>yearlings</t>
        </is>
      </c>
      <c r="B208" t="inlineStr">
        <is>
          <t>and for 3 yearlings that remained from the past year as calves.</t>
        </is>
      </c>
      <c r="C208" t="n">
        <v>0</v>
      </c>
      <c r="D208" t="n">
        <v>0</v>
      </c>
      <c r="E208" t="n">
        <v>0</v>
      </c>
      <c r="F208" t="n">
        <v>0</v>
      </c>
      <c r="H208" t="n">
        <v>0</v>
      </c>
      <c r="I208" t="n">
        <v>0</v>
      </c>
      <c r="J208" t="n">
        <v>0</v>
      </c>
      <c r="K208" t="n">
        <v>0</v>
      </c>
      <c r="L208" t="n">
        <v>0</v>
      </c>
      <c r="M208" t="n">
        <v>0</v>
      </c>
      <c r="N208" t="n">
        <v>0</v>
      </c>
    </row>
    <row r="209">
      <c r="A209" t="inlineStr">
        <is>
          <t>yearlings</t>
        </is>
      </c>
      <c r="B209" t="inlineStr">
        <is>
          <t>and 3 remain, of which 1 is male.</t>
        </is>
      </c>
      <c r="C209" t="n">
        <v>0</v>
      </c>
      <c r="D209" t="n">
        <v>0</v>
      </c>
      <c r="E209" t="n">
        <v>0</v>
      </c>
      <c r="F209" t="n">
        <v>0</v>
      </c>
      <c r="H209" t="n">
        <v>0</v>
      </c>
      <c r="I209" t="n">
        <v>0</v>
      </c>
      <c r="J209" t="n">
        <v>0</v>
      </c>
      <c r="K209" t="n">
        <v>0</v>
      </c>
      <c r="L209" t="n">
        <v>0</v>
      </c>
      <c r="M209" t="n">
        <v>0</v>
      </c>
      <c r="N209" t="n">
        <v>0</v>
      </c>
    </row>
    <row r="210">
      <c r="A210" t="inlineStr">
        <is>
          <t>calves</t>
        </is>
      </c>
      <c r="B210" t="inlineStr">
        <is>
          <t>and for 10 calves from the issue of cows, because 3 were barren.</t>
        </is>
      </c>
      <c r="C210" t="n">
        <v>0</v>
      </c>
      <c r="D210" t="n">
        <v>0</v>
      </c>
      <c r="E210" t="n">
        <v>0</v>
      </c>
      <c r="F210" t="n">
        <v>0</v>
      </c>
      <c r="H210" t="n">
        <v>0</v>
      </c>
      <c r="I210" t="n">
        <v>0</v>
      </c>
      <c r="J210" t="n">
        <v>0</v>
      </c>
      <c r="K210" t="n">
        <v>0</v>
      </c>
      <c r="L210" t="n">
        <v>0</v>
      </c>
      <c r="M210" t="n">
        <v>0</v>
      </c>
      <c r="N210" t="n">
        <v>0</v>
      </c>
    </row>
    <row r="211">
      <c r="A211" t="inlineStr">
        <is>
          <t>calves</t>
        </is>
      </c>
      <c r="B211" t="inlineStr">
        <is>
          <t>of which in tithe 1. sold 6. sum 7. and 3 calves remain, of which 1 is male.</t>
        </is>
      </c>
      <c r="C211" t="n">
        <v>0</v>
      </c>
      <c r="D211" t="n">
        <v>0</v>
      </c>
      <c r="E211" t="n">
        <v>0</v>
      </c>
      <c r="F211" t="n">
        <v>0</v>
      </c>
      <c r="H211" t="n">
        <v>0</v>
      </c>
      <c r="I211" t="n">
        <v>0</v>
      </c>
      <c r="J211" t="n">
        <v>0</v>
      </c>
      <c r="K211" t="n">
        <v>0</v>
      </c>
      <c r="L211" t="n">
        <v>0</v>
      </c>
      <c r="M211" t="n">
        <v>0</v>
      </c>
      <c r="N211" t="n">
        <v>0</v>
      </c>
    </row>
    <row r="212">
      <c r="A212" t="inlineStr">
        <is>
          <t>wethers</t>
        </is>
      </c>
      <c r="B212" t="inlineStr">
        <is>
          <t>and for 41 wethers that remained.</t>
        </is>
      </c>
      <c r="C212" t="n">
        <v>0</v>
      </c>
      <c r="D212" t="n">
        <v>0</v>
      </c>
      <c r="E212" t="n">
        <v>0</v>
      </c>
      <c r="F212" t="n">
        <v>0</v>
      </c>
      <c r="H212" t="n">
        <v>0</v>
      </c>
      <c r="I212" t="n">
        <v>0</v>
      </c>
      <c r="J212" t="n">
        <v>0</v>
      </c>
      <c r="K212" t="n">
        <v>0</v>
      </c>
      <c r="L212" t="n">
        <v>0</v>
      </c>
      <c r="M212" t="n">
        <v>0</v>
      </c>
      <c r="N212" t="n">
        <v>0</v>
      </c>
    </row>
    <row r="213">
      <c r="A213" t="inlineStr">
        <is>
          <t>wethers</t>
        </is>
      </c>
      <c r="B213" t="inlineStr">
        <is>
          <t>and for 284 received from various reeves after shearing.</t>
        </is>
      </c>
      <c r="C213" t="n">
        <v>0</v>
      </c>
      <c r="D213" t="n">
        <v>0</v>
      </c>
      <c r="E213" t="n">
        <v>0</v>
      </c>
      <c r="F213" t="n">
        <v>0</v>
      </c>
      <c r="H213" t="n">
        <v>0</v>
      </c>
      <c r="I213" t="n">
        <v>0</v>
      </c>
      <c r="J213" t="n">
        <v>0</v>
      </c>
      <c r="K213" t="n">
        <v>0</v>
      </c>
      <c r="L213" t="n">
        <v>0</v>
      </c>
      <c r="M213" t="n">
        <v>0</v>
      </c>
      <c r="N213" t="n">
        <v>0</v>
      </c>
    </row>
    <row r="214">
      <c r="A214" t="inlineStr">
        <is>
          <t>wethers</t>
        </is>
      </c>
      <c r="B214" t="inlineStr">
        <is>
          <t>sum 325. of which in murrain before shearing 3. after shearing 5..</t>
        </is>
      </c>
      <c r="C214" t="n">
        <v>0</v>
      </c>
      <c r="D214" t="n">
        <v>0</v>
      </c>
      <c r="E214" t="n">
        <v>0</v>
      </c>
      <c r="F214" t="n">
        <v>0</v>
      </c>
      <c r="H214" t="n">
        <v>0</v>
      </c>
      <c r="I214" t="n">
        <v>0</v>
      </c>
      <c r="J214" t="n">
        <v>0</v>
      </c>
      <c r="K214" t="n">
        <v>0</v>
      </c>
      <c r="L214" t="n">
        <v>0</v>
      </c>
      <c r="M214" t="n">
        <v>0</v>
      </c>
      <c r="N214" t="n">
        <v>0</v>
      </c>
    </row>
    <row r="215">
      <c r="A215" t="inlineStr">
        <is>
          <t>wethers</t>
        </is>
      </c>
      <c r="B215" t="inlineStr">
        <is>
          <t>customary payment for mowing the meadows 1, with pelt, after shearing.</t>
        </is>
      </c>
      <c r="C215" t="n">
        <v>0</v>
      </c>
      <c r="D215" t="n">
        <v>0</v>
      </c>
      <c r="E215" t="n">
        <v>0</v>
      </c>
      <c r="F215" t="n">
        <v>0</v>
      </c>
      <c r="H215" t="n">
        <v>0</v>
      </c>
      <c r="I215" t="n">
        <v>0</v>
      </c>
      <c r="J215" t="n">
        <v>0</v>
      </c>
      <c r="K215" t="n">
        <v>0</v>
      </c>
      <c r="L215" t="n">
        <v>0</v>
      </c>
      <c r="M215" t="n">
        <v>0</v>
      </c>
      <c r="N215" t="n">
        <v>0</v>
      </c>
    </row>
    <row r="216">
      <c r="A216" t="inlineStr">
        <is>
          <t>wethers</t>
        </is>
      </c>
      <c r="B216" t="inlineStr">
        <is>
          <t>sold in the feast of st martin [11 november] 12. sum 21. and 304 wethers remain.</t>
        </is>
      </c>
      <c r="C216" t="n">
        <v>0</v>
      </c>
      <c r="D216" t="n">
        <v>0</v>
      </c>
      <c r="E216" t="n">
        <v>0</v>
      </c>
      <c r="F216" t="n">
        <v>0</v>
      </c>
      <c r="H216" t="n">
        <v>0</v>
      </c>
      <c r="I216" t="n">
        <v>0</v>
      </c>
      <c r="J216" t="n">
        <v>0</v>
      </c>
      <c r="K216" t="n">
        <v>0</v>
      </c>
      <c r="L216" t="n">
        <v>0</v>
      </c>
      <c r="M216" t="n">
        <v>0</v>
      </c>
      <c r="N216" t="n">
        <v>0</v>
      </c>
    </row>
    <row r="217">
      <c r="A217" t="inlineStr">
        <is>
          <t>ram</t>
        </is>
      </c>
      <c r="B217" t="inlineStr">
        <is>
          <t>and for 1 ram that remained.</t>
        </is>
      </c>
      <c r="C217" t="n">
        <v>0</v>
      </c>
      <c r="D217" t="n">
        <v>0</v>
      </c>
      <c r="E217" t="n">
        <v>0</v>
      </c>
      <c r="F217" t="n">
        <v>0</v>
      </c>
      <c r="H217" t="n">
        <v>0</v>
      </c>
      <c r="I217" t="n">
        <v>0</v>
      </c>
      <c r="J217" t="n">
        <v>0</v>
      </c>
      <c r="K217" t="n">
        <v>0</v>
      </c>
      <c r="L217" t="n">
        <v>0</v>
      </c>
      <c r="M217" t="n">
        <v>0</v>
      </c>
      <c r="N217" t="n">
        <v>0</v>
      </c>
    </row>
    <row r="218">
      <c r="A218" t="inlineStr">
        <is>
          <t>ram</t>
        </is>
      </c>
      <c r="B218" t="inlineStr">
        <is>
          <t>and 1 ram remains.</t>
        </is>
      </c>
      <c r="C218" t="n">
        <v>0</v>
      </c>
      <c r="D218" t="n">
        <v>0</v>
      </c>
      <c r="E218" t="n">
        <v>0</v>
      </c>
      <c r="F218" t="n">
        <v>0</v>
      </c>
      <c r="H218" t="n">
        <v>0</v>
      </c>
      <c r="I218" t="n">
        <v>0</v>
      </c>
      <c r="J218" t="n">
        <v>0</v>
      </c>
      <c r="K218" t="n">
        <v>0</v>
      </c>
      <c r="L218" t="n">
        <v>0</v>
      </c>
      <c r="M218" t="n">
        <v>0</v>
      </c>
      <c r="N218" t="n">
        <v>0</v>
      </c>
    </row>
    <row r="219">
      <c r="A219" t="inlineStr">
        <is>
          <t>ewes</t>
        </is>
      </c>
      <c r="B219" t="inlineStr">
        <is>
          <t>and for 16 ewes that remained.</t>
        </is>
      </c>
      <c r="C219" t="n">
        <v>0</v>
      </c>
      <c r="D219" t="n">
        <v>0</v>
      </c>
      <c r="E219" t="n">
        <v>0</v>
      </c>
      <c r="F219" t="n">
        <v>0</v>
      </c>
      <c r="H219" t="n">
        <v>0</v>
      </c>
      <c r="I219" t="n">
        <v>0</v>
      </c>
      <c r="J219" t="n">
        <v>0</v>
      </c>
      <c r="K219" t="n">
        <v>0</v>
      </c>
      <c r="L219" t="n">
        <v>0</v>
      </c>
      <c r="M219" t="n">
        <v>0</v>
      </c>
      <c r="N219" t="n">
        <v>0</v>
      </c>
    </row>
    <row r="220">
      <c r="A220" t="inlineStr">
        <is>
          <t>ewes</t>
        </is>
      </c>
      <c r="B220" t="inlineStr">
        <is>
          <t>of which sold in the feast of st martin [11 november] 3. and 13 ewes remain.</t>
        </is>
      </c>
      <c r="C220" t="n">
        <v>0</v>
      </c>
      <c r="D220" t="n">
        <v>0</v>
      </c>
      <c r="E220" t="n">
        <v>0</v>
      </c>
      <c r="F220" t="n">
        <v>0</v>
      </c>
      <c r="H220" t="n">
        <v>0</v>
      </c>
      <c r="I220" t="n">
        <v>0</v>
      </c>
      <c r="J220" t="n">
        <v>0</v>
      </c>
      <c r="K220" t="n">
        <v>0</v>
      </c>
      <c r="L220" t="n">
        <v>0</v>
      </c>
      <c r="M220" t="n">
        <v>0</v>
      </c>
      <c r="N220" t="n">
        <v>0</v>
      </c>
    </row>
    <row r="221">
      <c r="A221" t="inlineStr">
        <is>
          <t>lambs</t>
        </is>
      </c>
      <c r="B221" t="inlineStr">
        <is>
          <t>and for 10 lambs from issue of the ewes, because 3 were barren.</t>
        </is>
      </c>
      <c r="C221" t="n">
        <v>0</v>
      </c>
      <c r="D221" t="n">
        <v>0</v>
      </c>
      <c r="E221" t="n">
        <v>0</v>
      </c>
      <c r="F221" t="n">
        <v>0</v>
      </c>
      <c r="H221" t="n">
        <v>0</v>
      </c>
      <c r="I221" t="n">
        <v>0</v>
      </c>
      <c r="J221" t="n">
        <v>0</v>
      </c>
      <c r="K221" t="n">
        <v>0</v>
      </c>
      <c r="L221" t="n">
        <v>0</v>
      </c>
      <c r="M221" t="n">
        <v>0</v>
      </c>
      <c r="N221" t="n">
        <v>0</v>
      </c>
    </row>
    <row r="222">
      <c r="A222" t="inlineStr">
        <is>
          <t>lambs</t>
        </is>
      </c>
      <c r="B222" t="inlineStr">
        <is>
          <t>of which in murrain before weaning 1..</t>
        </is>
      </c>
      <c r="C222" t="n">
        <v>0</v>
      </c>
      <c r="D222" t="n">
        <v>0</v>
      </c>
      <c r="E222" t="n">
        <v>0</v>
      </c>
      <c r="F222" t="n">
        <v>0</v>
      </c>
      <c r="H222" t="n">
        <v>0</v>
      </c>
      <c r="I222" t="n">
        <v>0</v>
      </c>
      <c r="J222" t="n">
        <v>0</v>
      </c>
      <c r="K222" t="n">
        <v>0</v>
      </c>
      <c r="L222" t="n">
        <v>0</v>
      </c>
      <c r="M222" t="n">
        <v>0</v>
      </c>
      <c r="N222" t="n">
        <v>0</v>
      </c>
    </row>
    <row r="223">
      <c r="A223" t="inlineStr">
        <is>
          <t>lambs</t>
        </is>
      </c>
      <c r="B223" t="inlineStr">
        <is>
          <t>tithe 1..</t>
        </is>
      </c>
      <c r="C223" t="n">
        <v>0</v>
      </c>
      <c r="D223" t="n">
        <v>0</v>
      </c>
      <c r="E223" t="n">
        <v>0</v>
      </c>
      <c r="F223" t="n">
        <v>0</v>
      </c>
      <c r="H223" t="n">
        <v>0</v>
      </c>
      <c r="I223" t="n">
        <v>0</v>
      </c>
      <c r="J223" t="n">
        <v>0</v>
      </c>
      <c r="K223" t="n">
        <v>0</v>
      </c>
      <c r="L223" t="n">
        <v>0</v>
      </c>
      <c r="M223" t="n">
        <v>0</v>
      </c>
      <c r="N223" t="n">
        <v>0</v>
      </c>
    </row>
    <row r="224">
      <c r="A224" t="inlineStr">
        <is>
          <t>lambs</t>
        </is>
      </c>
      <c r="B224" t="inlineStr">
        <is>
          <t>murrain after shearing 1. sum 3. and 7 lambs remain.</t>
        </is>
      </c>
      <c r="C224" t="n">
        <v>0</v>
      </c>
      <c r="D224" t="n">
        <v>0</v>
      </c>
      <c r="E224" t="n">
        <v>0</v>
      </c>
      <c r="F224" t="n">
        <v>0</v>
      </c>
      <c r="H224" t="n">
        <v>0</v>
      </c>
      <c r="I224" t="n">
        <v>0</v>
      </c>
      <c r="J224" t="n">
        <v>0</v>
      </c>
      <c r="K224" t="n">
        <v>0</v>
      </c>
      <c r="L224" t="n">
        <v>0</v>
      </c>
      <c r="M224" t="n">
        <v>0</v>
      </c>
      <c r="N224" t="n">
        <v>0</v>
      </c>
    </row>
    <row r="225">
      <c r="A225" t="inlineStr">
        <is>
          <t>lambs</t>
        </is>
      </c>
      <c r="B225" t="inlineStr">
        <is>
          <t>--- page 9 ---.</t>
        </is>
      </c>
      <c r="C225" t="n">
        <v>0</v>
      </c>
      <c r="D225" t="n">
        <v>0</v>
      </c>
      <c r="E225" t="n">
        <v>0</v>
      </c>
      <c r="F225" t="n">
        <v>0</v>
      </c>
      <c r="H225" t="n">
        <v>0</v>
      </c>
      <c r="I225" t="n">
        <v>0</v>
      </c>
      <c r="J225" t="n">
        <v>0</v>
      </c>
      <c r="K225" t="n">
        <v>0</v>
      </c>
      <c r="L225" t="n">
        <v>0</v>
      </c>
      <c r="M225" t="n">
        <v>0</v>
      </c>
      <c r="N225" t="n">
        <v>0</v>
      </c>
    </row>
    <row r="226">
      <c r="A226" t="inlineStr">
        <is>
          <t>a fleece wool</t>
        </is>
      </c>
      <c r="B226" t="inlineStr">
        <is>
          <t>and for 26 fleeces of wethers, 1 fleece of a ram, and 13 fleeces of ewes coming from shearing.</t>
        </is>
      </c>
      <c r="C226" t="n">
        <v>0</v>
      </c>
      <c r="D226" t="n">
        <v>0</v>
      </c>
      <c r="E226" t="n">
        <v>0</v>
      </c>
      <c r="F226" t="n">
        <v>0</v>
      </c>
      <c r="H226" t="n">
        <v>0</v>
      </c>
      <c r="I226" t="n">
        <v>0</v>
      </c>
      <c r="J226" t="n">
        <v>0</v>
      </c>
      <c r="K226" t="n">
        <v>0</v>
      </c>
      <c r="L226" t="n">
        <v>0</v>
      </c>
      <c r="M226" t="n">
        <v>0</v>
      </c>
      <c r="N226" t="n">
        <v>0</v>
      </c>
    </row>
    <row r="227">
      <c r="A227" t="inlineStr">
        <is>
          <t>a fleece wool</t>
        </is>
      </c>
      <c r="B227" t="inlineStr">
        <is>
          <t>sum 40. of which in tithe 4..</t>
        </is>
      </c>
      <c r="C227" t="n">
        <v>0</v>
      </c>
      <c r="D227" t="n">
        <v>0</v>
      </c>
      <c r="E227" t="n">
        <v>0</v>
      </c>
      <c r="F227" t="n">
        <v>0</v>
      </c>
      <c r="H227" t="n">
        <v>0</v>
      </c>
      <c r="I227" t="n">
        <v>0</v>
      </c>
      <c r="J227" t="n">
        <v>0</v>
      </c>
      <c r="K227" t="n">
        <v>0</v>
      </c>
      <c r="L227" t="n">
        <v>0</v>
      </c>
      <c r="M227" t="n">
        <v>0</v>
      </c>
      <c r="N227" t="n">
        <v>0</v>
      </c>
    </row>
    <row r="228">
      <c r="A228" t="inlineStr">
        <is>
          <t>a fleece wool</t>
        </is>
      </c>
      <c r="B228" t="inlineStr">
        <is>
          <t>customary payment of the shepherd nothing.</t>
        </is>
      </c>
      <c r="C228" t="n">
        <v>0</v>
      </c>
      <c r="D228" t="n">
        <v>0</v>
      </c>
      <c r="E228" t="n">
        <v>0</v>
      </c>
      <c r="F228" t="n">
        <v>0</v>
      </c>
      <c r="H228" t="n">
        <v>0</v>
      </c>
      <c r="I228" t="n">
        <v>0</v>
      </c>
      <c r="J228" t="n">
        <v>0</v>
      </c>
      <c r="K228" t="n">
        <v>0</v>
      </c>
      <c r="L228" t="n">
        <v>0</v>
      </c>
      <c r="M228" t="n">
        <v>0</v>
      </c>
      <c r="N228" t="n">
        <v>0</v>
      </c>
    </row>
    <row r="229">
      <c r="A229" t="inlineStr">
        <is>
          <t>a fleece wool</t>
        </is>
      </c>
      <c r="B229" t="inlineStr">
        <is>
          <t>sold 36, which made 5 cloves, and none remain.</t>
        </is>
      </c>
      <c r="C229" t="n">
        <v>0</v>
      </c>
      <c r="D229" t="n">
        <v>0</v>
      </c>
      <c r="E229" t="n">
        <v>0</v>
      </c>
      <c r="F229" t="n">
        <v>0</v>
      </c>
      <c r="H229" t="n">
        <v>0</v>
      </c>
      <c r="I229" t="n">
        <v>0</v>
      </c>
      <c r="J229" t="n">
        <v>0</v>
      </c>
      <c r="K229" t="n">
        <v>0</v>
      </c>
      <c r="L229" t="n">
        <v>0</v>
      </c>
      <c r="M229" t="n">
        <v>0</v>
      </c>
      <c r="N229" t="n">
        <v>0</v>
      </c>
    </row>
    <row r="230">
      <c r="A230" t="inlineStr">
        <is>
          <t>a fleece wool</t>
        </is>
      </c>
      <c r="B230" t="inlineStr">
        <is>
          <t>from broken wool nothing.</t>
        </is>
      </c>
      <c r="C230" t="n">
        <v>0</v>
      </c>
      <c r="D230" t="n">
        <v>0</v>
      </c>
      <c r="E230" t="n">
        <v>0</v>
      </c>
      <c r="F230" t="n">
        <v>0</v>
      </c>
      <c r="H230" t="n">
        <v>0</v>
      </c>
      <c r="I230" t="n">
        <v>0</v>
      </c>
      <c r="J230" t="n">
        <v>0</v>
      </c>
      <c r="K230" t="n">
        <v>0</v>
      </c>
      <c r="L230" t="n">
        <v>0</v>
      </c>
      <c r="M230" t="n">
        <v>0</v>
      </c>
      <c r="N230" t="n">
        <v>0</v>
      </c>
    </row>
    <row r="231">
      <c r="A231" t="inlineStr">
        <is>
          <t>a fleece lambs’ wool</t>
        </is>
      </c>
      <c r="B231" t="inlineStr">
        <is>
          <t>and for 8 fleeces of lambs coming from shearing.</t>
        </is>
      </c>
      <c r="C231" t="n">
        <v>0</v>
      </c>
      <c r="D231" t="n">
        <v>0</v>
      </c>
      <c r="E231" t="n">
        <v>0</v>
      </c>
      <c r="F231" t="n">
        <v>0</v>
      </c>
      <c r="H231" t="n">
        <v>0</v>
      </c>
      <c r="I231" t="n">
        <v>0</v>
      </c>
      <c r="J231" t="n">
        <v>0</v>
      </c>
      <c r="K231" t="n">
        <v>0</v>
      </c>
      <c r="L231" t="n">
        <v>0</v>
      </c>
      <c r="M231" t="n">
        <v>0</v>
      </c>
      <c r="N231" t="n">
        <v>0</v>
      </c>
    </row>
    <row r="232">
      <c r="A232" t="inlineStr">
        <is>
          <t>a fleece lambs’ wool</t>
        </is>
      </c>
      <c r="B232" t="inlineStr">
        <is>
          <t>all were sold, which made 4 pounds.</t>
        </is>
      </c>
      <c r="C232" t="n">
        <v>0</v>
      </c>
      <c r="D232" t="n">
        <v>0</v>
      </c>
      <c r="E232" t="n">
        <v>0</v>
      </c>
      <c r="F232" t="n">
        <v>0</v>
      </c>
      <c r="H232" t="n">
        <v>0</v>
      </c>
      <c r="I232" t="n">
        <v>0</v>
      </c>
      <c r="J232" t="n">
        <v>0</v>
      </c>
      <c r="K232" t="n">
        <v>0</v>
      </c>
      <c r="L232" t="n">
        <v>0</v>
      </c>
      <c r="M232" t="n">
        <v>0</v>
      </c>
      <c r="N232" t="n">
        <v>0</v>
      </c>
    </row>
    <row r="233">
      <c r="A233" t="inlineStr">
        <is>
          <t>pelts</t>
        </is>
      </c>
      <c r="B233" t="inlineStr">
        <is>
          <t>and for 3 woolfells of wethers in murrain before shearing and for 5 after shearing, and for 1 woolfell and 1 pelt of a lamb.</t>
        </is>
      </c>
      <c r="C233" t="n">
        <v>0</v>
      </c>
      <c r="D233" t="n">
        <v>0</v>
      </c>
      <c r="E233" t="n">
        <v>0</v>
      </c>
      <c r="F233" t="n">
        <v>0</v>
      </c>
      <c r="H233" t="n">
        <v>0</v>
      </c>
      <c r="I233" t="n">
        <v>0</v>
      </c>
      <c r="J233" t="n">
        <v>0</v>
      </c>
      <c r="K233" t="n">
        <v>0</v>
      </c>
      <c r="L233" t="n">
        <v>0</v>
      </c>
      <c r="M233" t="n">
        <v>0</v>
      </c>
      <c r="N233" t="n">
        <v>0</v>
      </c>
    </row>
    <row r="234">
      <c r="A234" t="inlineStr">
        <is>
          <t>pelts</t>
        </is>
      </c>
      <c r="B234" t="inlineStr">
        <is>
          <t>all were sold.</t>
        </is>
      </c>
      <c r="C234" t="n">
        <v>0</v>
      </c>
      <c r="D234" t="n">
        <v>0</v>
      </c>
      <c r="E234" t="n">
        <v>0</v>
      </c>
      <c r="F234" t="n">
        <v>0</v>
      </c>
      <c r="H234" t="n">
        <v>0</v>
      </c>
      <c r="I234" t="n">
        <v>0</v>
      </c>
      <c r="J234" t="n">
        <v>0</v>
      </c>
      <c r="K234" t="n">
        <v>0</v>
      </c>
      <c r="L234" t="n">
        <v>0</v>
      </c>
      <c r="M234" t="n">
        <v>0</v>
      </c>
      <c r="N234" t="n">
        <v>0</v>
      </c>
    </row>
    <row r="235">
      <c r="A235" t="inlineStr">
        <is>
          <t>a cow cheese</t>
        </is>
      </c>
      <c r="B235" t="inlineStr">
        <is>
          <t>from issue of the dairy nothing this year because it is answered for within as lactage sold at farm.</t>
        </is>
      </c>
      <c r="C235" t="n">
        <v>0</v>
      </c>
      <c r="D235" t="n">
        <v>0</v>
      </c>
      <c r="E235" t="n">
        <v>0</v>
      </c>
      <c r="F235" t="n">
        <v>0</v>
      </c>
      <c r="H235" t="n">
        <v>0</v>
      </c>
      <c r="I235" t="n">
        <v>0</v>
      </c>
      <c r="J235" t="n">
        <v>0</v>
      </c>
      <c r="K235" t="n">
        <v>0</v>
      </c>
      <c r="L235" t="n">
        <v>0</v>
      </c>
      <c r="M235" t="n">
        <v>0</v>
      </c>
      <c r="N235" t="n">
        <v>0</v>
      </c>
    </row>
    <row r="236">
      <c r="A236" t="inlineStr">
        <is>
          <t>swans</t>
        </is>
      </c>
      <c r="B236" t="inlineStr">
        <is>
          <t>and for 3 swans that remained.</t>
        </is>
      </c>
      <c r="C236" t="n">
        <v>0</v>
      </c>
      <c r="D236" t="n">
        <v>0</v>
      </c>
      <c r="E236" t="n">
        <v>0</v>
      </c>
      <c r="F236" t="n">
        <v>0</v>
      </c>
      <c r="H236" t="n">
        <v>0</v>
      </c>
      <c r="I236" t="n">
        <v>0</v>
      </c>
      <c r="J236" t="n">
        <v>0</v>
      </c>
      <c r="K236" t="n">
        <v>0</v>
      </c>
      <c r="L236" t="n">
        <v>0</v>
      </c>
      <c r="M236" t="n">
        <v>0</v>
      </c>
      <c r="N236" t="n">
        <v>0</v>
      </c>
    </row>
    <row r="237">
      <c r="A237" t="inlineStr">
        <is>
          <t>swans</t>
        </is>
      </c>
      <c r="B237" t="inlineStr">
        <is>
          <t>and sold at the audit 2 for 8 shilling and 1 nesting swan remains.</t>
        </is>
      </c>
      <c r="C237" t="n">
        <v>0.4</v>
      </c>
      <c r="D237" t="n">
        <v>0</v>
      </c>
      <c r="E237" t="n">
        <v>8</v>
      </c>
      <c r="F237" t="n">
        <v>0</v>
      </c>
      <c r="H237" t="n">
        <v>0</v>
      </c>
      <c r="I237" t="n">
        <v>0</v>
      </c>
      <c r="J237" t="n">
        <v>0</v>
      </c>
      <c r="K237" t="n">
        <v>0</v>
      </c>
      <c r="L237" t="n">
        <v>0</v>
      </c>
      <c r="M237" t="n">
        <v>0</v>
      </c>
      <c r="N237" t="n">
        <v>0</v>
      </c>
    </row>
    <row r="238">
      <c r="A238" t="inlineStr">
        <is>
          <t>hens</t>
        </is>
      </c>
      <c r="B238" t="inlineStr">
        <is>
          <t>and for 10 hens owing from ‘churchscot’ at christmas.</t>
        </is>
      </c>
      <c r="C238" t="n">
        <v>0</v>
      </c>
      <c r="D238" t="n">
        <v>0</v>
      </c>
      <c r="E238" t="n">
        <v>0</v>
      </c>
      <c r="F238" t="n">
        <v>0</v>
      </c>
      <c r="H238" t="n">
        <v>0</v>
      </c>
      <c r="I238" t="n">
        <v>0</v>
      </c>
      <c r="J238" t="n">
        <v>0</v>
      </c>
      <c r="K238" t="n">
        <v>0</v>
      </c>
      <c r="L238" t="n">
        <v>0</v>
      </c>
      <c r="M238" t="n">
        <v>0</v>
      </c>
      <c r="N238" t="n">
        <v>0</v>
      </c>
    </row>
    <row r="239">
      <c r="A239" t="inlineStr">
        <is>
          <t>hens</t>
        </is>
      </c>
      <c r="B239" t="inlineStr">
        <is>
          <t>all were sold and none remain.</t>
        </is>
      </c>
      <c r="C239" t="n">
        <v>0</v>
      </c>
      <c r="D239" t="n">
        <v>0</v>
      </c>
      <c r="E239" t="n">
        <v>0</v>
      </c>
      <c r="F239" t="n">
        <v>0</v>
      </c>
      <c r="H239" t="n">
        <v>0</v>
      </c>
      <c r="I239" t="n">
        <v>0</v>
      </c>
      <c r="J239" t="n">
        <v>0</v>
      </c>
      <c r="K239" t="n">
        <v>0</v>
      </c>
      <c r="L239" t="n">
        <v>0</v>
      </c>
      <c r="M239" t="n">
        <v>0</v>
      </c>
      <c r="N239" t="n">
        <v>0</v>
      </c>
    </row>
    <row r="240">
      <c r="A240" t="inlineStr">
        <is>
          <t>verjuice</t>
        </is>
      </c>
      <c r="B240" t="inlineStr">
        <is>
          <t>and for 1 pipe of verjuice that remained.</t>
        </is>
      </c>
      <c r="C240" t="n">
        <v>0</v>
      </c>
      <c r="D240" t="n">
        <v>0</v>
      </c>
      <c r="E240" t="n">
        <v>0</v>
      </c>
      <c r="F240" t="n">
        <v>0</v>
      </c>
      <c r="H240" t="n">
        <v>0</v>
      </c>
      <c r="I240" t="n">
        <v>0</v>
      </c>
      <c r="J240" t="n">
        <v>0</v>
      </c>
      <c r="K240" t="n">
        <v>0</v>
      </c>
      <c r="L240" t="n">
        <v>0</v>
      </c>
      <c r="M240" t="n">
        <v>0</v>
      </c>
      <c r="N240" t="n">
        <v>0</v>
      </c>
    </row>
    <row r="241">
      <c r="A241" t="inlineStr">
        <is>
          <t>verjuice</t>
        </is>
      </c>
      <c r="B241" t="inlineStr">
        <is>
          <t>payment to the lord by writ 1 pipe.</t>
        </is>
      </c>
      <c r="C241" t="n">
        <v>0</v>
      </c>
      <c r="D241" t="n">
        <v>0</v>
      </c>
      <c r="E241" t="n">
        <v>0</v>
      </c>
      <c r="F241" t="n">
        <v>0</v>
      </c>
      <c r="H241" t="n">
        <v>0</v>
      </c>
      <c r="I241" t="n">
        <v>0</v>
      </c>
      <c r="J241" t="n">
        <v>0</v>
      </c>
      <c r="K241" t="n">
        <v>0</v>
      </c>
      <c r="L241" t="n">
        <v>0</v>
      </c>
      <c r="M241" t="n">
        <v>0</v>
      </c>
      <c r="N241" t="n">
        <v>0</v>
      </c>
    </row>
    <row r="242">
      <c r="A242" t="inlineStr">
        <is>
          <t>verjuice</t>
        </is>
      </c>
      <c r="B242" t="inlineStr">
        <is>
          <t>and none remains.</t>
        </is>
      </c>
      <c r="C242" t="n">
        <v>0</v>
      </c>
      <c r="D242" t="n">
        <v>0</v>
      </c>
      <c r="E242" t="n">
        <v>0</v>
      </c>
      <c r="F242" t="n">
        <v>0</v>
      </c>
      <c r="H242" t="n">
        <v>0</v>
      </c>
      <c r="I242" t="n">
        <v>0</v>
      </c>
      <c r="J242" t="n">
        <v>0</v>
      </c>
      <c r="K242" t="n">
        <v>0</v>
      </c>
      <c r="L242" t="n">
        <v>0</v>
      </c>
      <c r="M242" t="n">
        <v>0</v>
      </c>
      <c r="N242" t="n">
        <v>0</v>
      </c>
    </row>
    <row r="243">
      <c r="A243" t="inlineStr">
        <is>
          <t>wine</t>
        </is>
      </c>
      <c r="B243" t="inlineStr">
        <is>
          <t>and for 2 casks 1 pipe of wine that remained.</t>
        </is>
      </c>
      <c r="C243" t="n">
        <v>0</v>
      </c>
      <c r="D243" t="n">
        <v>0</v>
      </c>
      <c r="E243" t="n">
        <v>0</v>
      </c>
      <c r="F243" t="n">
        <v>0</v>
      </c>
      <c r="H243" t="n">
        <v>0</v>
      </c>
      <c r="I243" t="n">
        <v>0</v>
      </c>
      <c r="J243" t="n">
        <v>0</v>
      </c>
      <c r="K243" t="n">
        <v>0</v>
      </c>
      <c r="L243" t="n">
        <v>0</v>
      </c>
      <c r="M243" t="n">
        <v>0</v>
      </c>
      <c r="N243" t="n">
        <v>0</v>
      </c>
    </row>
    <row r="244">
      <c r="A244" t="inlineStr">
        <is>
          <t>wine</t>
        </is>
      </c>
      <c r="B244" t="inlineStr">
        <is>
          <t>payment to the lord by writ, all.</t>
        </is>
      </c>
      <c r="C244" t="n">
        <v>0</v>
      </c>
      <c r="D244" t="n">
        <v>0</v>
      </c>
      <c r="E244" t="n">
        <v>0</v>
      </c>
      <c r="F244" t="n">
        <v>0</v>
      </c>
      <c r="H244" t="n">
        <v>0</v>
      </c>
      <c r="I244" t="n">
        <v>0</v>
      </c>
      <c r="J244" t="n">
        <v>0</v>
      </c>
      <c r="K244" t="n">
        <v>0</v>
      </c>
      <c r="L244" t="n">
        <v>0</v>
      </c>
      <c r="M244" t="n">
        <v>0</v>
      </c>
      <c r="N244" t="n">
        <v>0</v>
      </c>
    </row>
    <row r="245">
      <c r="A245" t="inlineStr">
        <is>
          <t>wine</t>
        </is>
      </c>
      <c r="B245" t="inlineStr">
        <is>
          <t>and none remains.</t>
        </is>
      </c>
      <c r="C245" t="n">
        <v>0</v>
      </c>
      <c r="D245" t="n">
        <v>0</v>
      </c>
      <c r="E245" t="n">
        <v>0</v>
      </c>
      <c r="F245" t="n">
        <v>0</v>
      </c>
      <c r="H245" t="n">
        <v>0</v>
      </c>
      <c r="I245" t="n">
        <v>0</v>
      </c>
      <c r="J245" t="n">
        <v>0</v>
      </c>
      <c r="K245" t="n">
        <v>0</v>
      </c>
      <c r="L245" t="n">
        <v>0</v>
      </c>
      <c r="M245" t="n">
        <v>0</v>
      </c>
      <c r="N245" t="n">
        <v>0</v>
      </c>
    </row>
    <row r="246">
      <c r="A246" t="inlineStr">
        <is>
          <t>garden</t>
        </is>
      </c>
      <c r="B246" t="inlineStr">
        <is>
          <t>from issue of the garden nothing here because [it is accounted for] within at lease.</t>
        </is>
      </c>
      <c r="C246" t="n">
        <v>0</v>
      </c>
      <c r="D246" t="n">
        <v>0</v>
      </c>
      <c r="E246" t="n">
        <v>0</v>
      </c>
      <c r="F246" t="n">
        <v>0</v>
      </c>
      <c r="H246" t="n">
        <v>0</v>
      </c>
      <c r="I246" t="n">
        <v>0</v>
      </c>
      <c r="J246" t="n">
        <v>0</v>
      </c>
      <c r="K246" t="n">
        <v>0</v>
      </c>
      <c r="L246" t="n">
        <v>0</v>
      </c>
      <c r="M246" t="n">
        <v>0</v>
      </c>
      <c r="N246" t="n">
        <v>0</v>
      </c>
    </row>
    <row r="247">
      <c r="A247" t="inlineStr">
        <is>
          <t>utensils</t>
        </is>
      </c>
      <c r="B247" t="inlineStr">
        <is>
          <t>and for 5 casks, 3 pipes, 2 vats, 1 basket, 1 barrel, 4 mattocks, 1 large rope, 1 tripod, 2 shovels, 3 spades that remained.</t>
        </is>
      </c>
      <c r="C247" t="n">
        <v>0</v>
      </c>
      <c r="D247" t="n">
        <v>0</v>
      </c>
      <c r="E247" t="n">
        <v>0</v>
      </c>
      <c r="F247" t="n">
        <v>0</v>
      </c>
      <c r="H247" t="n">
        <v>0</v>
      </c>
      <c r="I247" t="n">
        <v>0</v>
      </c>
      <c r="J247" t="n">
        <v>0</v>
      </c>
      <c r="K247" t="n">
        <v>0</v>
      </c>
      <c r="L247" t="n">
        <v>0</v>
      </c>
      <c r="M247" t="n">
        <v>0</v>
      </c>
      <c r="N247" t="n">
        <v>0</v>
      </c>
    </row>
    <row r="248">
      <c r="A248" t="inlineStr">
        <is>
          <t>utensils</t>
        </is>
      </c>
      <c r="B248" t="inlineStr">
        <is>
          <t>and for 1 cask, 1 basket bought.</t>
        </is>
      </c>
      <c r="C248" t="n">
        <v>0</v>
      </c>
      <c r="D248" t="n">
        <v>0</v>
      </c>
      <c r="E248" t="n">
        <v>0</v>
      </c>
      <c r="F248" t="n">
        <v>0</v>
      </c>
      <c r="H248" t="n">
        <v>0</v>
      </c>
      <c r="I248" t="n">
        <v>0</v>
      </c>
      <c r="J248" t="n">
        <v>0</v>
      </c>
      <c r="K248" t="n">
        <v>0</v>
      </c>
      <c r="L248" t="n">
        <v>0</v>
      </c>
      <c r="M248" t="n">
        <v>0</v>
      </c>
      <c r="N248" t="n">
        <v>0</v>
      </c>
    </row>
    <row r="249">
      <c r="A249" t="inlineStr">
        <is>
          <t>utensils</t>
        </is>
      </c>
      <c r="B249" t="inlineStr">
        <is>
          <t>of which in payment to the lord with wine and verjuice, by writ, 2 casks, 2 pipes.</t>
        </is>
      </c>
      <c r="C249" t="n">
        <v>0</v>
      </c>
      <c r="D249" t="n">
        <v>0</v>
      </c>
      <c r="E249" t="n">
        <v>0</v>
      </c>
      <c r="F249" t="n">
        <v>0</v>
      </c>
      <c r="H249" t="n">
        <v>0</v>
      </c>
      <c r="I249" t="n">
        <v>0</v>
      </c>
      <c r="J249" t="n">
        <v>0</v>
      </c>
      <c r="K249" t="n">
        <v>0</v>
      </c>
      <c r="L249" t="n">
        <v>0</v>
      </c>
      <c r="M249" t="n">
        <v>0</v>
      </c>
      <c r="N249" t="n">
        <v>0</v>
      </c>
    </row>
    <row r="250">
      <c r="A250" t="inlineStr">
        <is>
          <t>utensils</t>
        </is>
      </c>
      <c r="B250" t="inlineStr">
        <is>
          <t>2 vats made from 1 cask.</t>
        </is>
      </c>
      <c r="C250" t="n">
        <v>0</v>
      </c>
      <c r="D250" t="n">
        <v>0</v>
      </c>
      <c r="E250" t="n">
        <v>0</v>
      </c>
      <c r="F250" t="n">
        <v>0</v>
      </c>
      <c r="H250" t="n">
        <v>0</v>
      </c>
      <c r="I250" t="n">
        <v>0</v>
      </c>
      <c r="J250" t="n">
        <v>0</v>
      </c>
      <c r="K250" t="n">
        <v>0</v>
      </c>
      <c r="L250" t="n">
        <v>0</v>
      </c>
      <c r="M250" t="n">
        <v>0</v>
      </c>
      <c r="N250" t="n">
        <v>0</v>
      </c>
    </row>
    <row r="251">
      <c r="A251" t="inlineStr">
        <is>
          <t>utensils</t>
        </is>
      </c>
      <c r="B251" t="inlineStr">
        <is>
          <t>1 basket worn out.</t>
        </is>
      </c>
      <c r="C251" t="n">
        <v>0</v>
      </c>
      <c r="D251" t="n">
        <v>0</v>
      </c>
      <c r="E251" t="n">
        <v>0</v>
      </c>
      <c r="F251" t="n">
        <v>0</v>
      </c>
      <c r="H251" t="n">
        <v>0</v>
      </c>
      <c r="I251" t="n">
        <v>0</v>
      </c>
      <c r="J251" t="n">
        <v>0</v>
      </c>
      <c r="K251" t="n">
        <v>0</v>
      </c>
      <c r="L251" t="n">
        <v>0</v>
      </c>
      <c r="M251" t="n">
        <v>0</v>
      </c>
      <c r="N251" t="n">
        <v>0</v>
      </c>
    </row>
    <row r="252">
      <c r="A252" t="inlineStr">
        <is>
          <t>utensils</t>
        </is>
      </c>
      <c r="B252" t="inlineStr">
        <is>
          <t>and all other utensils remain, namely 3 casks, 1.</t>
        </is>
      </c>
      <c r="C252" t="n">
        <v>0</v>
      </c>
      <c r="D252" t="n">
        <v>0</v>
      </c>
      <c r="E252" t="n">
        <v>0</v>
      </c>
      <c r="F252" t="n">
        <v>0</v>
      </c>
      <c r="H252" t="n">
        <v>0</v>
      </c>
      <c r="I252" t="n">
        <v>0</v>
      </c>
      <c r="J252" t="n">
        <v>0</v>
      </c>
      <c r="K252" t="n">
        <v>0</v>
      </c>
      <c r="L252" t="n">
        <v>0</v>
      </c>
      <c r="M252" t="n">
        <v>0</v>
      </c>
      <c r="N252" t="n">
        <v>0</v>
      </c>
    </row>
    <row r="253">
      <c r="A253" t="inlineStr">
        <is>
          <t>utensils</t>
        </is>
      </c>
      <c r="B253" t="inlineStr">
        <is>
          <t>--- page 10 ---.</t>
        </is>
      </c>
      <c r="C253" t="n">
        <v>0</v>
      </c>
      <c r="D253" t="n">
        <v>0</v>
      </c>
      <c r="E253" t="n">
        <v>0</v>
      </c>
      <c r="F253" t="n">
        <v>0</v>
      </c>
      <c r="H253" t="n">
        <v>0</v>
      </c>
      <c r="I253" t="n">
        <v>0</v>
      </c>
      <c r="J253" t="n">
        <v>0</v>
      </c>
      <c r="K253" t="n">
        <v>0</v>
      </c>
      <c r="L253" t="n">
        <v>0</v>
      </c>
      <c r="M253" t="n">
        <v>0</v>
      </c>
      <c r="N253" t="n">
        <v>0</v>
      </c>
    </row>
    <row r="254">
      <c r="A254" t="inlineStr">
        <is>
          <t>21. c. 29 september 1311 to c. 29 september 1312</t>
        </is>
      </c>
      <c r="B254"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54" t="n">
        <v>63</v>
      </c>
      <c r="D254" t="n">
        <v>0</v>
      </c>
      <c r="E254" t="n">
        <v>1260</v>
      </c>
      <c r="F254" t="n">
        <v>0</v>
      </c>
      <c r="H254" t="n">
        <v>0</v>
      </c>
      <c r="I254" t="n">
        <v>0</v>
      </c>
      <c r="J254" t="n">
        <v>0</v>
      </c>
      <c r="K254" t="n">
        <v>0</v>
      </c>
      <c r="L254" t="n">
        <v>0</v>
      </c>
      <c r="M254" t="n">
        <v>0</v>
      </c>
      <c r="N254" t="n">
        <v>0</v>
      </c>
    </row>
    <row r="255">
      <c r="A255" t="inlineStr">
        <is>
          <t>21. c. 29 september 1311 to c. 29 september 1312</t>
        </is>
      </c>
      <c r="B255" t="inlineStr">
        <is>
          <t>his (and his household’s) level of consumption, indicated by the keeping of 26 oxen at northwode for ‘provision of the lord’, and the despatching of esher wine to farnham castle and london.</t>
        </is>
      </c>
      <c r="C255" t="n">
        <v>0</v>
      </c>
      <c r="D255" t="n">
        <v>0</v>
      </c>
      <c r="E255" t="n">
        <v>0</v>
      </c>
      <c r="F255" t="n">
        <v>0</v>
      </c>
      <c r="H255" t="n">
        <v>0</v>
      </c>
      <c r="I255" t="n">
        <v>0</v>
      </c>
      <c r="J255" t="n">
        <v>0</v>
      </c>
      <c r="K255" t="n">
        <v>0</v>
      </c>
      <c r="L255" t="n">
        <v>0</v>
      </c>
      <c r="M255" t="n">
        <v>0</v>
      </c>
      <c r="N255" t="n">
        <v>0</v>
      </c>
    </row>
    <row r="256">
      <c r="A256" t="inlineStr">
        <is>
          <t>21. c. 29 september 1311 to c. 29 september 1312</t>
        </is>
      </c>
      <c r="B256" t="inlineStr">
        <is>
          <t>and the degree of residential comfort at esher, summed up by the fashioning of a beech headboard for the bishop’s bed.</t>
        </is>
      </c>
      <c r="C256" t="n">
        <v>0</v>
      </c>
      <c r="D256" t="n">
        <v>0</v>
      </c>
      <c r="E256" t="n">
        <v>0</v>
      </c>
      <c r="F256" t="n">
        <v>0</v>
      </c>
      <c r="H256" t="n">
        <v>0</v>
      </c>
      <c r="I256" t="n">
        <v>0</v>
      </c>
      <c r="J256" t="n">
        <v>0</v>
      </c>
      <c r="K256" t="n">
        <v>0</v>
      </c>
      <c r="L256" t="n">
        <v>0</v>
      </c>
      <c r="M256" t="n">
        <v>0</v>
      </c>
      <c r="N256" t="n">
        <v>0</v>
      </c>
    </row>
    <row r="257">
      <c r="A257" t="inlineStr">
        <is>
          <t>21. c. 29 september 1311 to c. 29 september 1312</t>
        </is>
      </c>
      <c r="B257" t="inlineStr">
        <is>
          <t>secondly, a number of references reveal the extent to which the landscape of the manor of esher had changed since the late 1260 shilling: the built environment now included the chapel and the ‘great stable’.</t>
        </is>
      </c>
      <c r="C257" t="n">
        <v>63</v>
      </c>
      <c r="D257" t="n">
        <v>0</v>
      </c>
      <c r="E257" t="n">
        <v>1260</v>
      </c>
      <c r="F257" t="n">
        <v>0</v>
      </c>
      <c r="H257" t="n">
        <v>0</v>
      </c>
      <c r="I257" t="n">
        <v>0</v>
      </c>
      <c r="J257" t="n">
        <v>0</v>
      </c>
      <c r="K257" t="n">
        <v>0</v>
      </c>
      <c r="L257" t="n">
        <v>0</v>
      </c>
      <c r="M257" t="n">
        <v>0</v>
      </c>
      <c r="N257" t="n">
        <v>0</v>
      </c>
    </row>
    <row r="258">
      <c r="A258" t="inlineStr">
        <is>
          <t>21. c. 29 september 1311 to c. 29 september 1312</t>
        </is>
      </c>
      <c r="B258" t="inlineStr">
        <is>
          <t>young oaks were being nurtured, presumably with further building work in mind.</t>
        </is>
      </c>
      <c r="C258" t="n">
        <v>0</v>
      </c>
      <c r="D258" t="n">
        <v>0</v>
      </c>
      <c r="E258" t="n">
        <v>0</v>
      </c>
      <c r="F258" t="n">
        <v>0</v>
      </c>
      <c r="H258" t="n">
        <v>0</v>
      </c>
      <c r="I258" t="n">
        <v>0</v>
      </c>
      <c r="J258" t="n">
        <v>0</v>
      </c>
      <c r="K258" t="n">
        <v>0</v>
      </c>
      <c r="L258" t="n">
        <v>0</v>
      </c>
      <c r="M258" t="n">
        <v>0</v>
      </c>
      <c r="N258" t="n">
        <v>0</v>
      </c>
    </row>
    <row r="259">
      <c r="A259" t="inlineStr">
        <is>
          <t>21. c. 29 september 1311 to c. 29 september 1312</t>
        </is>
      </c>
      <c r="B259" t="inlineStr">
        <is>
          <t>there are references to the pond and the vineyard.</t>
        </is>
      </c>
      <c r="C259" t="n">
        <v>0</v>
      </c>
      <c r="D259" t="n">
        <v>0</v>
      </c>
      <c r="E259" t="n">
        <v>0</v>
      </c>
      <c r="F259" t="n">
        <v>0</v>
      </c>
      <c r="H259" t="n">
        <v>0</v>
      </c>
      <c r="I259" t="n">
        <v>0</v>
      </c>
      <c r="J259" t="n">
        <v>0</v>
      </c>
      <c r="K259" t="n">
        <v>0</v>
      </c>
      <c r="L259" t="n">
        <v>0</v>
      </c>
      <c r="M259" t="n">
        <v>0</v>
      </c>
      <c r="N259" t="n">
        <v>0</v>
      </c>
    </row>
    <row r="260">
      <c r="A260" t="inlineStr">
        <is>
          <t>21. c. 29 september 1311 to c. 29 september 1312</t>
        </is>
      </c>
      <c r="B260" t="inlineStr">
        <is>
          <t>and arable farming was less prominent, with 88 acres sown this year.</t>
        </is>
      </c>
      <c r="C260" t="n">
        <v>0</v>
      </c>
      <c r="D260" t="n">
        <v>0</v>
      </c>
      <c r="E260" t="n">
        <v>0</v>
      </c>
      <c r="F260" t="n">
        <v>0</v>
      </c>
      <c r="H260" t="n">
        <v>0</v>
      </c>
      <c r="I260" t="n">
        <v>0</v>
      </c>
      <c r="J260" t="n">
        <v>0</v>
      </c>
      <c r="K260" t="n">
        <v>0</v>
      </c>
      <c r="L260" t="n">
        <v>0</v>
      </c>
      <c r="M260" t="n">
        <v>0</v>
      </c>
      <c r="N260" t="n">
        <v>0</v>
      </c>
    </row>
    <row r="261">
      <c r="A261" t="inlineStr">
        <is>
          <t>21. c. 29 september 1311 to c. 29 september 1312</t>
        </is>
      </c>
      <c r="B261" t="inlineStr">
        <is>
          <t>indeed, the account provides us with a sense of the varied nature and mixed use of the agricultural landscape here.</t>
        </is>
      </c>
      <c r="C261" t="n">
        <v>0</v>
      </c>
      <c r="D261" t="n">
        <v>0</v>
      </c>
      <c r="E261" t="n">
        <v>0</v>
      </c>
      <c r="F261" t="n">
        <v>0</v>
      </c>
      <c r="H261" t="n">
        <v>0</v>
      </c>
      <c r="I261" t="n">
        <v>0</v>
      </c>
      <c r="J261" t="n">
        <v>0</v>
      </c>
      <c r="K261" t="n">
        <v>0</v>
      </c>
      <c r="L261" t="n">
        <v>0</v>
      </c>
      <c r="M261" t="n">
        <v>0</v>
      </c>
      <c r="N261" t="n">
        <v>0</v>
      </c>
    </row>
    <row r="262">
      <c r="A262" t="inlineStr">
        <is>
          <t>21. c. 29 september 1311 to c. 29 september 1312</t>
        </is>
      </c>
      <c r="B262" t="inlineStr">
        <is>
          <t>thirdly, the account provides information about the varying fortunes of workers and peasants at different stages of their lifecycle.</t>
        </is>
      </c>
      <c r="C262" t="n">
        <v>0</v>
      </c>
      <c r="D262" t="n">
        <v>0</v>
      </c>
      <c r="E262" t="n">
        <v>0</v>
      </c>
      <c r="F262" t="n">
        <v>0</v>
      </c>
      <c r="G262" t="inlineStr">
        <is>
          <t>peas</t>
        </is>
      </c>
      <c r="H262" t="n">
        <v>0</v>
      </c>
      <c r="I262" t="n">
        <v>0</v>
      </c>
      <c r="J262" t="n">
        <v>0</v>
      </c>
      <c r="K262" t="n">
        <v>0</v>
      </c>
      <c r="L262" t="n">
        <v>0</v>
      </c>
      <c r="M262" t="n">
        <v>0</v>
      </c>
      <c r="N262" t="n">
        <v>0</v>
      </c>
    </row>
    <row r="263">
      <c r="A263" t="inlineStr">
        <is>
          <t>21. c. 29 september 1311 to c. 29 september 1312</t>
        </is>
      </c>
      <c r="B263"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263" t="n">
        <v>0</v>
      </c>
      <c r="D263" t="n">
        <v>0</v>
      </c>
      <c r="E263" t="n">
        <v>0</v>
      </c>
      <c r="F263" t="n">
        <v>0</v>
      </c>
      <c r="H263" t="n">
        <v>0</v>
      </c>
      <c r="I263" t="n">
        <v>0</v>
      </c>
      <c r="J263" t="n">
        <v>0</v>
      </c>
      <c r="K263" t="n">
        <v>0</v>
      </c>
      <c r="L263" t="n">
        <v>0</v>
      </c>
      <c r="M263" t="n">
        <v>0</v>
      </c>
      <c r="N263" t="n">
        <v>0</v>
      </c>
    </row>
    <row r="264">
      <c r="A264" t="inlineStr">
        <is>
          <t>21. c. 29 september 1311 to c. 29 september 1312</t>
        </is>
      </c>
      <c r="B264" t="inlineStr">
        <is>
          <t>he also kept 13 sheep and 7 pigs on pasture next to the vineyard.</t>
        </is>
      </c>
      <c r="C264" t="n">
        <v>0</v>
      </c>
      <c r="D264" t="n">
        <v>0</v>
      </c>
      <c r="E264" t="n">
        <v>0</v>
      </c>
      <c r="F264" t="n">
        <v>0</v>
      </c>
      <c r="H264" t="n">
        <v>0</v>
      </c>
      <c r="I264" t="n">
        <v>0</v>
      </c>
      <c r="J264" t="n">
        <v>0</v>
      </c>
      <c r="K264" t="n">
        <v>0</v>
      </c>
      <c r="L264" t="n">
        <v>0</v>
      </c>
      <c r="M264" t="n">
        <v>0</v>
      </c>
      <c r="N264" t="n">
        <v>0</v>
      </c>
    </row>
    <row r="265">
      <c r="A265" t="inlineStr">
        <is>
          <t>21. c. 29 september 1311 to c. 29 september 1312</t>
        </is>
      </c>
      <c r="B265" t="inlineStr">
        <is>
          <t>on the other hand, the account suggests that clouds were beginning to gather for some local peasants: indeed, both the landholdings that were inherited this year were extremely small, of just 3 acres and 5 acres respectively.</t>
        </is>
      </c>
      <c r="C265" t="n">
        <v>0</v>
      </c>
      <c r="D265" t="n">
        <v>0</v>
      </c>
      <c r="E265" t="n">
        <v>0</v>
      </c>
      <c r="F265" t="n">
        <v>0</v>
      </c>
      <c r="G265" t="inlineStr">
        <is>
          <t>peas</t>
        </is>
      </c>
      <c r="H265" t="n">
        <v>0</v>
      </c>
      <c r="I265" t="n">
        <v>0</v>
      </c>
      <c r="J265" t="n">
        <v>0</v>
      </c>
      <c r="K265" t="n">
        <v>0</v>
      </c>
      <c r="L265" t="n">
        <v>0</v>
      </c>
      <c r="M265" t="n">
        <v>0</v>
      </c>
      <c r="N265" t="n">
        <v>0</v>
      </c>
    </row>
    <row r="266">
      <c r="A266" t="inlineStr">
        <is>
          <t>21. c. 29 september 1311 to c. 29 september 1312</t>
        </is>
      </c>
      <c r="B266" t="inlineStr">
        <is>
          <t>faint whispers of local problems are confirmed by the following two accounts, which detail a bad yield of oats, the receipt of a cluster of heriots, and the first mention of an almoner’s chamber.</t>
        </is>
      </c>
      <c r="C266" t="n">
        <v>0</v>
      </c>
      <c r="D266" t="n">
        <v>0</v>
      </c>
      <c r="E266" t="n">
        <v>0</v>
      </c>
      <c r="F266" t="n">
        <v>0</v>
      </c>
      <c r="G266" t="inlineStr">
        <is>
          <t>oats</t>
        </is>
      </c>
      <c r="H266" t="n">
        <v>0</v>
      </c>
      <c r="I266" t="n">
        <v>0</v>
      </c>
      <c r="J266" t="n">
        <v>0</v>
      </c>
      <c r="K266" t="n">
        <v>0</v>
      </c>
      <c r="L266" t="n">
        <v>0</v>
      </c>
      <c r="M266" t="n">
        <v>0</v>
      </c>
      <c r="N266" t="n">
        <v>0</v>
      </c>
    </row>
    <row r="267">
      <c r="A267" t="inlineStr">
        <is>
          <t>21. c. 29 september 1311 to c. 29 september 1312</t>
        </is>
      </c>
      <c r="B267" t="inlineStr">
        <is>
          <t>unusually, even a sick ox was sold for meat.</t>
        </is>
      </c>
      <c r="C267" t="n">
        <v>0</v>
      </c>
      <c r="D267" t="n">
        <v>0</v>
      </c>
      <c r="E267" t="n">
        <v>0</v>
      </c>
      <c r="F267" t="n">
        <v>0</v>
      </c>
      <c r="H267" t="n">
        <v>0</v>
      </c>
      <c r="I267" t="n">
        <v>0</v>
      </c>
      <c r="J267" t="n">
        <v>0</v>
      </c>
      <c r="K267" t="n">
        <v>0</v>
      </c>
      <c r="L267" t="n">
        <v>0</v>
      </c>
      <c r="M267" t="n">
        <v>0</v>
      </c>
      <c r="N267" t="n">
        <v>0</v>
      </c>
    </row>
    <row r="268">
      <c r="A268" t="inlineStr">
        <is>
          <t>21. c. 29 september 1311 to c. 29 september 1312</t>
        </is>
      </c>
      <c r="B268" t="inlineStr">
        <is>
          <t>it is perhaps a reflection of challenging local conditions that the daughters of another two local tenants chose to marry outside the manor this year.</t>
        </is>
      </c>
      <c r="C268" t="n">
        <v>0</v>
      </c>
      <c r="D268" t="n">
        <v>0</v>
      </c>
      <c r="E268" t="n">
        <v>0</v>
      </c>
      <c r="F268" t="n">
        <v>0</v>
      </c>
      <c r="H268" t="n">
        <v>0</v>
      </c>
      <c r="I268" t="n">
        <v>0</v>
      </c>
      <c r="J268" t="n">
        <v>0</v>
      </c>
      <c r="K268" t="n">
        <v>0</v>
      </c>
      <c r="L268" t="n">
        <v>0</v>
      </c>
      <c r="M268" t="n">
        <v>0</v>
      </c>
      <c r="N268" t="n">
        <v>0</v>
      </c>
    </row>
    <row r="269">
      <c r="A269" t="inlineStr">
        <is>
          <t>21. c. 29 september 1311 to c. 29 september 1312</t>
        </is>
      </c>
      <c r="B269" t="inlineStr">
        <is>
          <t>hro, 11m59/b1/67, rot 33r, 33v.</t>
        </is>
      </c>
      <c r="C269" t="n">
        <v>0</v>
      </c>
      <c r="D269" t="n">
        <v>0</v>
      </c>
      <c r="E269" t="n">
        <v>0</v>
      </c>
      <c r="F269" t="n">
        <v>0</v>
      </c>
      <c r="H269" t="n">
        <v>0</v>
      </c>
      <c r="I269" t="n">
        <v>0</v>
      </c>
      <c r="J269" t="n">
        <v>0</v>
      </c>
      <c r="K269" t="n">
        <v>0</v>
      </c>
      <c r="L269" t="n">
        <v>0</v>
      </c>
      <c r="M269" t="n">
        <v>0</v>
      </c>
      <c r="N269" t="n">
        <v>0</v>
      </c>
    </row>
    <row r="270">
      <c r="A270" t="inlineStr">
        <is>
          <t>21. c. 29 september 1311 to c. 29 september 1312</t>
        </is>
      </c>
      <c r="B270" t="inlineStr">
        <is>
          <t>hugh de winterore, reeve, and hugh the farrier, called cally, serjeant, answer for 60 shilling 10½d of arrears from the last, preceding, account.</t>
        </is>
      </c>
      <c r="C270" t="n">
        <v>3</v>
      </c>
      <c r="D270" t="n">
        <v>0</v>
      </c>
      <c r="E270" t="n">
        <v>60</v>
      </c>
      <c r="F270" t="n">
        <v>0</v>
      </c>
      <c r="H270" t="n">
        <v>0</v>
      </c>
      <c r="I270" t="n">
        <v>0</v>
      </c>
      <c r="J270" t="n">
        <v>0</v>
      </c>
      <c r="K270" t="n">
        <v>0</v>
      </c>
      <c r="L270" t="n">
        <v>0</v>
      </c>
      <c r="M270" t="n">
        <v>0</v>
      </c>
      <c r="N270" t="n">
        <v>0</v>
      </c>
    </row>
    <row r="271">
      <c r="A271" t="inlineStr">
        <is>
          <t>21. c. 29 september 1311 to c. 29 september 1312</t>
        </is>
      </c>
      <c r="B271" t="inlineStr">
        <is>
          <t>sum 60 shilling 10½d.</t>
        </is>
      </c>
      <c r="C271" t="n">
        <v>3</v>
      </c>
      <c r="D271" t="n">
        <v>0</v>
      </c>
      <c r="E271" t="n">
        <v>60</v>
      </c>
      <c r="F271" t="n">
        <v>0</v>
      </c>
      <c r="H271" t="n">
        <v>0</v>
      </c>
      <c r="I271" t="n">
        <v>0</v>
      </c>
      <c r="J271" t="n">
        <v>0</v>
      </c>
      <c r="K271" t="n">
        <v>0</v>
      </c>
      <c r="L271" t="n">
        <v>0</v>
      </c>
      <c r="M271" t="n">
        <v>0</v>
      </c>
      <c r="N271" t="n">
        <v>0</v>
      </c>
    </row>
    <row r="272">
      <c r="A272" t="inlineStr">
        <is>
          <t>rent of assize</t>
        </is>
      </c>
      <c r="B272" t="inlineStr">
        <is>
          <t>the same answer for 10 shilling from all rent of assize in the said manor at the feast of the invention of the cross [3 may].</t>
        </is>
      </c>
      <c r="C272" t="n">
        <v>0.5</v>
      </c>
      <c r="D272" t="n">
        <v>0</v>
      </c>
      <c r="E272" t="n">
        <v>10</v>
      </c>
      <c r="F272" t="n">
        <v>0</v>
      </c>
      <c r="H272" t="n">
        <v>0</v>
      </c>
      <c r="I272" t="n">
        <v>0</v>
      </c>
      <c r="J272" t="n">
        <v>0</v>
      </c>
      <c r="K272" t="n">
        <v>0</v>
      </c>
      <c r="L272" t="n">
        <v>0</v>
      </c>
      <c r="M272" t="n">
        <v>0</v>
      </c>
      <c r="N272" t="n">
        <v>0</v>
      </c>
    </row>
    <row r="273">
      <c r="A273" t="inlineStr">
        <is>
          <t>rent of assize</t>
        </is>
      </c>
      <c r="B273" t="inlineStr">
        <is>
          <t>and for 109 shilling 10½d from all rent of assize in the said manor at the feast of st michael.</t>
        </is>
      </c>
      <c r="C273" t="n">
        <v>5.45</v>
      </c>
      <c r="D273" t="n">
        <v>0</v>
      </c>
      <c r="E273" t="n">
        <v>109</v>
      </c>
      <c r="F273" t="n">
        <v>0</v>
      </c>
      <c r="H273" t="n">
        <v>0</v>
      </c>
      <c r="I273" t="n">
        <v>0</v>
      </c>
      <c r="J273" t="n">
        <v>0</v>
      </c>
      <c r="K273" t="n">
        <v>0</v>
      </c>
      <c r="L273" t="n">
        <v>0</v>
      </c>
      <c r="M273" t="n">
        <v>0</v>
      </c>
      <c r="N273" t="n">
        <v>0</v>
      </c>
    </row>
    <row r="274">
      <c r="A274" t="inlineStr">
        <is>
          <t>rent of assize</t>
        </is>
      </c>
      <c r="B274" t="inlineStr">
        <is>
          <t>sum 119 shilling 10½d.</t>
        </is>
      </c>
      <c r="C274" t="n">
        <v>5.95</v>
      </c>
      <c r="D274" t="n">
        <v>0</v>
      </c>
      <c r="E274" t="n">
        <v>119</v>
      </c>
      <c r="F274" t="n">
        <v>0</v>
      </c>
      <c r="H274" t="n">
        <v>0</v>
      </c>
      <c r="I274" t="n">
        <v>0</v>
      </c>
      <c r="J274" t="n">
        <v>0</v>
      </c>
      <c r="K274" t="n">
        <v>0</v>
      </c>
      <c r="L274" t="n">
        <v>0</v>
      </c>
      <c r="M274" t="n">
        <v>0</v>
      </c>
      <c r="N27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ESHER_1309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15</v>
      </c>
      <c r="D3" s="128" t="n">
        <v>0</v>
      </c>
      <c r="E3" s="128" t="n"/>
      <c r="F3" s="128" t="n">
        <v>0.75</v>
      </c>
      <c r="G3" s="128" t="n"/>
      <c r="H3" s="128" t="inlineStr">
        <is>
          <t>Hugh de Wynterore, reeve, renders account for 15 shilling 10½d of arrears from the past year.</t>
        </is>
      </c>
      <c r="I3" s="128" t="n"/>
    </row>
    <row r="4">
      <c r="A4" s="136" t="inlineStr">
        <is>
          <t>Arrears</t>
        </is>
      </c>
      <c r="B4" s="128" t="n">
        <v>0</v>
      </c>
      <c r="C4" s="128" t="n">
        <v>0</v>
      </c>
      <c r="D4" s="128" t="n">
        <v>0</v>
      </c>
      <c r="E4" s="128" t="n"/>
      <c r="F4" s="128" t="n">
        <v>0</v>
      </c>
      <c r="G4" s="128" t="n"/>
      <c r="H4" s="128" t="inlineStr">
        <is>
          <t>Since paid to the treasurer of Wolvesey and he is quit.</t>
        </is>
      </c>
      <c r="I4" s="128" t="n"/>
    </row>
    <row r="5">
      <c r="A5" s="138" t="inlineStr">
        <is>
          <t>Arrears total</t>
        </is>
      </c>
      <c r="B5" s="139" t="n"/>
      <c r="C5" s="139" t="n"/>
      <c r="D5" s="139" t="n"/>
      <c r="E5" s="139" t="n"/>
      <c r="F5" s="139" t="n">
        <v>0.75</v>
      </c>
      <c r="G5" s="139" t="n">
        <v>0.75</v>
      </c>
      <c r="H5" s="139" t="inlineStr">
        <is>
          <t>Total</t>
        </is>
      </c>
      <c r="I5" s="139" t="n"/>
    </row>
    <row r="6">
      <c r="A6" s="136" t="n"/>
      <c r="B6" s="128" t="n"/>
      <c r="C6" s="128" t="n"/>
      <c r="D6" s="128" t="n"/>
      <c r="E6" s="128" t="n"/>
      <c r="F6" s="128" t="n"/>
      <c r="G6" s="128" t="n"/>
      <c r="H6" s="128" t="n"/>
      <c r="I6" s="128" t="n"/>
    </row>
    <row r="7">
      <c r="A7" s="137" t="inlineStr">
        <is>
          <t>Sale of stock</t>
        </is>
      </c>
      <c r="B7" s="128" t="n">
        <v>0</v>
      </c>
      <c r="C7" s="128" t="n">
        <v>10</v>
      </c>
      <c r="D7" s="128" t="n">
        <v>0</v>
      </c>
      <c r="E7" s="128" t="n"/>
      <c r="F7" s="128" t="n">
        <v>0.5</v>
      </c>
      <c r="G7" s="128" t="n"/>
      <c r="H7" s="128" t="inlineStr">
        <is>
          <t>And for 10 shilling from 1 bull sold.</t>
        </is>
      </c>
      <c r="I7" s="128" t="n"/>
    </row>
    <row r="8">
      <c r="A8" s="136" t="inlineStr">
        <is>
          <t>Sale of stock</t>
        </is>
      </c>
      <c r="B8" s="128" t="n">
        <v>0</v>
      </c>
      <c r="C8" s="128" t="n">
        <v>30</v>
      </c>
      <c r="D8" s="128" t="n">
        <v>0</v>
      </c>
      <c r="E8" s="128" t="n"/>
      <c r="F8" s="128" t="n">
        <v>1.5</v>
      </c>
      <c r="G8" s="128" t="n"/>
      <c r="H8" s="128" t="inlineStr">
        <is>
          <t>And for 30 shilling from 3 cows after calving sold.</t>
        </is>
      </c>
      <c r="I8" s="128" t="n"/>
    </row>
    <row r="9">
      <c r="A9" s="136" t="inlineStr">
        <is>
          <t>Sale of stock</t>
        </is>
      </c>
      <c r="B9" s="128" t="n">
        <v>0</v>
      </c>
      <c r="C9" s="128" t="n">
        <v>9</v>
      </c>
      <c r="D9" s="128" t="n">
        <v>0</v>
      </c>
      <c r="E9" s="128" t="n"/>
      <c r="F9" s="128" t="n">
        <v>0.45</v>
      </c>
      <c r="G9" s="128" t="n"/>
      <c r="H9" s="128" t="inlineStr">
        <is>
          <t>And for 9 shilling from 6 calves sold with lactage.</t>
        </is>
      </c>
      <c r="I9" s="128" t="n"/>
    </row>
    <row r="10">
      <c r="A10" s="136" t="inlineStr">
        <is>
          <t>Sale of stock</t>
        </is>
      </c>
      <c r="B10" s="128" t="n">
        <v>0</v>
      </c>
      <c r="C10" s="128" t="n">
        <v>16</v>
      </c>
      <c r="D10" s="128" t="n">
        <v>0</v>
      </c>
      <c r="E10" s="128" t="n"/>
      <c r="F10" s="128" t="n">
        <v>0.8</v>
      </c>
      <c r="G10" s="128" t="n"/>
      <c r="H10" s="128" t="inlineStr">
        <is>
          <t>And for 16 shilling from 12 wethers sold at the feast of St Martin [11 November].</t>
        </is>
      </c>
      <c r="I10" s="128" t="n"/>
    </row>
    <row r="11">
      <c r="A11" s="136" t="inlineStr">
        <is>
          <t>Sale of stock</t>
        </is>
      </c>
      <c r="B11" s="128" t="n">
        <v>0</v>
      </c>
      <c r="C11" s="128" t="n">
        <v>3</v>
      </c>
      <c r="D11" s="128" t="n">
        <v>0</v>
      </c>
      <c r="E11" s="128" t="n"/>
      <c r="F11" s="128" t="n">
        <v>0.15</v>
      </c>
      <c r="G11" s="128" t="n"/>
      <c r="H11" s="128" t="inlineStr">
        <is>
          <t>And for 3 shilling from 3 ewes sold at the feast of St Martin.</t>
        </is>
      </c>
      <c r="I11" s="128" t="n"/>
    </row>
    <row r="12">
      <c r="A12" s="136" t="inlineStr">
        <is>
          <t>Sale of stock</t>
        </is>
      </c>
      <c r="B12" s="128" t="n">
        <v>0</v>
      </c>
      <c r="C12" s="128" t="n">
        <v>68</v>
      </c>
      <c r="D12" s="128" t="n">
        <v>0</v>
      </c>
      <c r="E12" s="128" t="n"/>
      <c r="F12" s="128" t="n">
        <v>3.4</v>
      </c>
      <c r="G12" s="128" t="n"/>
      <c r="H12" s="128" t="inlineStr">
        <is>
          <t>Sum 68 shilling.</t>
        </is>
      </c>
      <c r="I12" s="128" t="n"/>
    </row>
    <row r="13">
      <c r="A13" s="136" t="inlineStr">
        <is>
          <t>Sale of stock</t>
        </is>
      </c>
      <c r="B13" s="128" t="n">
        <v>0</v>
      </c>
      <c r="C13" s="128" t="n">
        <v>0</v>
      </c>
      <c r="D13" s="128" t="n">
        <v>0</v>
      </c>
      <c r="E13" s="128" t="n"/>
      <c r="F13" s="128" t="n">
        <v>0</v>
      </c>
      <c r="G13" s="128" t="n"/>
      <c r="H13" s="128" t="inlineStr">
        <is>
          <t>--- Page 3 ---.</t>
        </is>
      </c>
      <c r="I13" s="128" t="n"/>
    </row>
    <row r="14">
      <c r="A14" s="136" t="inlineStr">
        <is>
          <t>Sale of stock</t>
        </is>
      </c>
      <c r="B14" s="128" t="n">
        <v>0</v>
      </c>
      <c r="C14" s="128" t="n">
        <v>10</v>
      </c>
      <c r="D14" s="128" t="n">
        <v>0</v>
      </c>
      <c r="E14" s="128" t="n"/>
      <c r="F14" s="128" t="n">
        <v>0.5</v>
      </c>
      <c r="G14" s="128" t="n"/>
      <c r="H14" s="128" t="inlineStr">
        <is>
          <t>And for 10 shilling 7¾d from things sold at the audit.</t>
        </is>
      </c>
      <c r="I14" s="128" t="n"/>
    </row>
    <row r="15">
      <c r="A15" s="136" t="inlineStr">
        <is>
          <t>Sale of stock</t>
        </is>
      </c>
      <c r="B15" s="128" t="n">
        <v>0</v>
      </c>
      <c r="C15" s="128" t="n">
        <v>10</v>
      </c>
      <c r="D15" s="128" t="n">
        <v>0</v>
      </c>
      <c r="E15" s="128" t="n"/>
      <c r="F15" s="128" t="n">
        <v>0.5</v>
      </c>
      <c r="G15" s="128" t="n"/>
      <c r="H15" s="128" t="inlineStr">
        <is>
          <t>Sum 10 shilling 7¾d.</t>
        </is>
      </c>
      <c r="I15" s="128" t="n"/>
    </row>
    <row r="16">
      <c r="A16" s="138" t="inlineStr">
        <is>
          <t>Sale of stock total</t>
        </is>
      </c>
      <c r="B16" s="139" t="n"/>
      <c r="C16" s="139" t="n"/>
      <c r="D16" s="139" t="n"/>
      <c r="E16" s="139" t="n"/>
      <c r="F16" s="139" t="n">
        <v>7.8</v>
      </c>
      <c r="G16" s="139" t="n">
        <v>7.3</v>
      </c>
      <c r="H16" s="139" t="inlineStr">
        <is>
          <t>Total</t>
        </is>
      </c>
      <c r="I16" s="139" t="n"/>
    </row>
    <row r="17">
      <c r="A17" s="136" t="n"/>
      <c r="B17" s="128" t="n"/>
      <c r="C17" s="128" t="n"/>
      <c r="D17" s="128" t="n"/>
      <c r="E17" s="128" t="n"/>
      <c r="F17" s="128" t="n"/>
      <c r="G17" s="128" t="n"/>
      <c r="H17" s="128" t="n"/>
      <c r="I17" s="128" t="n"/>
    </row>
    <row r="18">
      <c r="A18" s="137" t="inlineStr">
        <is>
          <t>Sale of corn</t>
        </is>
      </c>
      <c r="B18" s="128" t="n">
        <v>0</v>
      </c>
      <c r="C18" s="128" t="n">
        <v>4</v>
      </c>
      <c r="D18" s="128" t="n">
        <v>2</v>
      </c>
      <c r="E18" s="128" t="n"/>
      <c r="F18" s="128" t="n">
        <v>0.21</v>
      </c>
      <c r="G18" s="128" t="n"/>
      <c r="H18" s="128"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I18" s="128" t="n"/>
    </row>
    <row r="19">
      <c r="A19" s="138" t="inlineStr">
        <is>
          <t>Sale of corn total</t>
        </is>
      </c>
      <c r="B19" s="139" t="n">
        <v>4</v>
      </c>
      <c r="C19" s="139" t="n">
        <v>6</v>
      </c>
      <c r="D19" s="139" t="n">
        <v>5</v>
      </c>
      <c r="E19" s="139" t="n"/>
      <c r="F19" s="139" t="n">
        <v>4.32</v>
      </c>
      <c r="G19" s="139" t="n">
        <v>4.11</v>
      </c>
      <c r="H19" s="139" t="inlineStr">
        <is>
          <t>Sum £4 6 shilling 5pence.</t>
        </is>
      </c>
      <c r="I19" s="139" t="n"/>
    </row>
    <row r="20">
      <c r="A20" s="38" t="inlineStr">
        <is>
          <t>Total of all receipts recorded in accounts (calculated here)</t>
        </is>
      </c>
      <c r="F20">
        <f>SUMIF(A1:A19,"* total",F1:F19)-SUMIF(A1:A19,"Arrears total",F1:F19)</f>
        <v/>
      </c>
    </row>
    <row r="21">
      <c r="A21" s="38" t="inlineStr">
        <is>
          <t>Total of all receipts (calculated here) incl arrears</t>
        </is>
      </c>
      <c r="F21">
        <f>F20+SUMIF(A1:A19,"Arrears total",F1:F19)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29"/>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the same answers for 5 bushels from the total issue of wheat by one tally against william buver, hayward.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5</v>
      </c>
      <c r="Z3" t="n">
        <v>0.62</v>
      </c>
      <c r="AA3" t="n">
        <v>0.62</v>
      </c>
      <c r="AB3" t="n">
        <v>0</v>
      </c>
      <c r="AC3" t="n">
        <v>0</v>
      </c>
      <c r="AD3" t="n">
        <v>5</v>
      </c>
      <c r="AK3" t="n">
        <v>0</v>
      </c>
    </row>
    <row r="4">
      <c r="A4" t="inlineStr">
        <is>
          <t>wheat</t>
        </is>
      </c>
      <c r="B4" t="inlineStr">
        <is>
          <t>and all was sold.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K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K5" t="n">
        <v>0</v>
      </c>
    </row>
    <row r="6">
      <c r="A6" t="inlineStr">
        <is>
          <t>rye</t>
        </is>
      </c>
      <c r="B6" t="inlineStr">
        <is>
          <t>and for 20 quarters 1 bushel from the total issue of rye, razed measure.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20</v>
      </c>
      <c r="Y6" t="n">
        <v>0</v>
      </c>
      <c r="Z6" t="n">
        <v>20</v>
      </c>
      <c r="AA6" t="n">
        <v>20</v>
      </c>
      <c r="AB6" t="n">
        <v>0</v>
      </c>
      <c r="AC6" t="n">
        <v>20</v>
      </c>
      <c r="AD6" t="n">
        <v>0</v>
      </c>
      <c r="AK6" t="n">
        <v>0</v>
      </c>
    </row>
    <row r="7">
      <c r="A7" t="inlineStr">
        <is>
          <t>rye</t>
        </is>
      </c>
      <c r="B7" t="inlineStr">
        <is>
          <t>of which in seed for 6 acres of land at esher, 9 acres at northwode, 3 quarters 6 bushels, in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3</v>
      </c>
      <c r="Y7" t="n">
        <v>2</v>
      </c>
      <c r="Z7" t="n">
        <v>3.25</v>
      </c>
      <c r="AA7" t="n">
        <v>3.75</v>
      </c>
      <c r="AB7" t="n">
        <v>-0.5</v>
      </c>
      <c r="AC7" t="n">
        <v>3</v>
      </c>
      <c r="AD7" t="n">
        <v>6</v>
      </c>
      <c r="AE7" t="n">
        <v>0</v>
      </c>
      <c r="AF7" t="n">
        <v>2</v>
      </c>
      <c r="AK7" t="n">
        <v>0</v>
      </c>
    </row>
    <row r="8">
      <c r="A8" t="inlineStr">
        <is>
          <t>rye</t>
        </is>
      </c>
      <c r="B8" t="inlineStr">
        <is>
          <t>bread baked for customary workers carrying hay for three days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K8" t="n">
        <v>0</v>
      </c>
    </row>
    <row r="9">
      <c r="A9" t="inlineStr">
        <is>
          <t>rye</t>
        </is>
      </c>
      <c r="B9" t="inlineStr">
        <is>
          <t>bread baked for the same harrowing the lord’s land at the sowing of oats 1 bushel.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K9" t="n">
        <v>0</v>
      </c>
    </row>
    <row r="10">
      <c r="A10" t="inlineStr">
        <is>
          <t>rye</t>
        </is>
      </c>
      <c r="B10" t="inlineStr">
        <is>
          <t>likewise for the same mowing the lord’s meadow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K10" t="n">
        <v>0</v>
      </c>
    </row>
    <row r="11">
      <c r="A11" t="inlineStr">
        <is>
          <t>rye</t>
        </is>
      </c>
      <c r="B11" t="inlineStr">
        <is>
          <t>likewise for the same carrying the lord’s hay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K11" t="n">
        <v>0</v>
      </c>
    </row>
    <row r="12">
      <c r="A12" t="inlineStr">
        <is>
          <t>rye</t>
        </is>
      </c>
      <c r="B12" t="inlineStr">
        <is>
          <t>expenses of two corn boonworks in harvest 1 quarter.</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rye</t>
        </is>
      </c>
      <c r="B13" t="inlineStr">
        <is>
          <t>payment of one hayward from the feast of st michael until the first day of april, for 26 weeks, 3 quarters 2 bushels, for a week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v>
      </c>
      <c r="Y13" t="n">
        <v>2</v>
      </c>
      <c r="Z13" t="n">
        <v>3.25</v>
      </c>
      <c r="AA13" t="n">
        <v>3.25</v>
      </c>
      <c r="AB13" t="n">
        <v>0</v>
      </c>
      <c r="AC13" t="n">
        <v>3</v>
      </c>
      <c r="AD13" t="n">
        <v>2</v>
      </c>
      <c r="AK13" t="n">
        <v>0</v>
      </c>
    </row>
    <row r="14">
      <c r="A14" t="inlineStr">
        <is>
          <t>rye</t>
        </is>
      </c>
      <c r="B14" t="inlineStr">
        <is>
          <t>and sold 11 quarters 1 bushel.</t>
        </is>
      </c>
      <c r="C14" t="n">
        <v>0</v>
      </c>
      <c r="D14" t="n">
        <v>0</v>
      </c>
      <c r="E14" t="n">
        <v>0</v>
      </c>
      <c r="F14" t="n">
        <v>0</v>
      </c>
      <c r="G14" t="n">
        <v>0</v>
      </c>
      <c r="H14" t="n">
        <v>0</v>
      </c>
      <c r="I14" t="n">
        <v>0</v>
      </c>
      <c r="J14" t="n">
        <v>0</v>
      </c>
      <c r="K14" t="n">
        <v>0</v>
      </c>
      <c r="L14" t="n">
        <v>0</v>
      </c>
      <c r="M14" t="n">
        <v>0</v>
      </c>
      <c r="N14" t="n">
        <v>0</v>
      </c>
      <c r="O14" t="n">
        <v>0</v>
      </c>
      <c r="P14" t="n">
        <v>0</v>
      </c>
      <c r="Q14" t="n">
        <v>11</v>
      </c>
      <c r="R14" t="n">
        <v>0</v>
      </c>
      <c r="S14" t="n">
        <v>11</v>
      </c>
      <c r="T14" t="n">
        <v>0</v>
      </c>
      <c r="U14" t="n">
        <v>0</v>
      </c>
      <c r="V14" t="n">
        <v>0</v>
      </c>
      <c r="W14" t="n">
        <v>0</v>
      </c>
      <c r="X14" t="n">
        <v>11</v>
      </c>
      <c r="Y14" t="n">
        <v>0</v>
      </c>
      <c r="Z14" t="n">
        <v>11</v>
      </c>
      <c r="AA14" t="n">
        <v>11</v>
      </c>
      <c r="AB14" t="n">
        <v>0</v>
      </c>
      <c r="AC14" t="n">
        <v>11</v>
      </c>
      <c r="AD14" t="n">
        <v>0</v>
      </c>
      <c r="AK14" t="n">
        <v>0</v>
      </c>
    </row>
    <row r="15">
      <c r="A15" t="inlineStr">
        <is>
          <t>rye</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K15" t="n">
        <v>0</v>
      </c>
    </row>
    <row r="16">
      <c r="A16" t="inlineStr">
        <is>
          <t>barley</t>
        </is>
      </c>
      <c r="B16" t="inlineStr">
        <is>
          <t>and for 21 quarters 1 bushel of barley bought.</t>
        </is>
      </c>
      <c r="C16" t="n">
        <v>0</v>
      </c>
      <c r="D16" t="n">
        <v>0</v>
      </c>
      <c r="E16" t="n">
        <v>0</v>
      </c>
      <c r="F16" t="n">
        <v>0</v>
      </c>
      <c r="G16" t="n">
        <v>0</v>
      </c>
      <c r="H16" t="n">
        <v>21</v>
      </c>
      <c r="I16" t="n">
        <v>0</v>
      </c>
      <c r="J16" t="n">
        <v>21</v>
      </c>
      <c r="K16" t="n">
        <v>0</v>
      </c>
      <c r="L16" t="n">
        <v>0</v>
      </c>
      <c r="M16" t="n">
        <v>0</v>
      </c>
      <c r="N16" t="n">
        <v>0</v>
      </c>
      <c r="O16" t="n">
        <v>0</v>
      </c>
      <c r="P16" t="n">
        <v>0</v>
      </c>
      <c r="Q16" t="n">
        <v>0</v>
      </c>
      <c r="R16" t="n">
        <v>0</v>
      </c>
      <c r="S16" t="n">
        <v>0</v>
      </c>
      <c r="T16" t="n">
        <v>0</v>
      </c>
      <c r="U16" t="n">
        <v>0</v>
      </c>
      <c r="V16" t="n">
        <v>0</v>
      </c>
      <c r="W16" t="n">
        <v>0</v>
      </c>
      <c r="X16" t="n">
        <v>21</v>
      </c>
      <c r="Y16" t="n">
        <v>0</v>
      </c>
      <c r="Z16" t="n">
        <v>21</v>
      </c>
      <c r="AA16" t="n">
        <v>21</v>
      </c>
      <c r="AB16" t="n">
        <v>0</v>
      </c>
      <c r="AC16" t="n">
        <v>21</v>
      </c>
      <c r="AD16" t="n">
        <v>0</v>
      </c>
      <c r="AK16" t="n">
        <v>0</v>
      </c>
    </row>
    <row r="17">
      <c r="A17" t="inlineStr">
        <is>
          <t>barley</t>
        </is>
      </c>
      <c r="B17" t="inlineStr">
        <is>
          <t>of which in seed for 8 acres of land at esher 4 quarters, in an acre 4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4</v>
      </c>
      <c r="Y17" t="n">
        <v>4</v>
      </c>
      <c r="Z17" t="n">
        <v>4.5</v>
      </c>
      <c r="AA17" t="n">
        <v>4</v>
      </c>
      <c r="AB17" t="n">
        <v>0.5</v>
      </c>
      <c r="AC17" t="n">
        <v>4</v>
      </c>
      <c r="AD17" t="n">
        <v>0</v>
      </c>
      <c r="AE17" t="n">
        <v>0</v>
      </c>
      <c r="AF17" t="n">
        <v>4</v>
      </c>
      <c r="AK17" t="n">
        <v>0</v>
      </c>
    </row>
    <row r="18">
      <c r="A18" t="inlineStr">
        <is>
          <t>barley</t>
        </is>
      </c>
      <c r="B18" t="inlineStr">
        <is>
          <t>payment of one ploughman and one ploughdriver for the year 10 quarters 3 bushels, and they took a quarter for 10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10</v>
      </c>
      <c r="Y18" t="n">
        <v>3</v>
      </c>
      <c r="Z18" t="n">
        <v>10.38</v>
      </c>
      <c r="AA18" t="n">
        <v>10.38</v>
      </c>
      <c r="AB18" t="n">
        <v>0</v>
      </c>
      <c r="AC18" t="n">
        <v>10</v>
      </c>
      <c r="AD18" t="n">
        <v>3</v>
      </c>
      <c r="AK18" t="n">
        <v>0</v>
      </c>
    </row>
    <row r="19">
      <c r="A19" t="inlineStr">
        <is>
          <t>barley</t>
        </is>
      </c>
      <c r="B19" t="inlineStr">
        <is>
          <t>a contract with one boy guarding the lord’s sheep from the feast of st michael until the feast of st john the baptist [24 june], and not more because he did not have full custody, 1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barley</t>
        </is>
      </c>
      <c r="B20" t="inlineStr">
        <is>
          <t>payment of one shepherd from the said feast of st john the baptist [24 june] until the feast of st michael, for 14 weeks, 1 quarter 3 bushels 1 peck, and he took a quarter for three weeks.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K20" t="n">
        <v>0</v>
      </c>
    </row>
    <row r="21">
      <c r="A21" t="inlineStr">
        <is>
          <t>barley</t>
        </is>
      </c>
      <c r="B21" t="inlineStr">
        <is>
          <t>payment of one man guarding the animals at northwode, mending hedges for the year 4 quarters 2½ bushels, taking a quarter for 12 weeks.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4</v>
      </c>
      <c r="Y21" t="n">
        <v>0</v>
      </c>
      <c r="Z21" t="n">
        <v>4</v>
      </c>
      <c r="AA21" t="n">
        <v>4</v>
      </c>
      <c r="AB21" t="n">
        <v>0</v>
      </c>
      <c r="AC21" t="n">
        <v>4</v>
      </c>
      <c r="AD21" t="n">
        <v>0</v>
      </c>
      <c r="AK21" t="n">
        <v>0</v>
      </c>
    </row>
    <row r="22">
      <c r="A22" t="inlineStr">
        <is>
          <t>barley</t>
        </is>
      </c>
      <c r="B22" t="inlineStr">
        <is>
          <t>and sold at the audit 1 peck for 2¾d.</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K22" t="n">
        <v>0</v>
      </c>
    </row>
    <row r="23">
      <c r="A23" t="inlineStr">
        <is>
          <t>barley</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K23" t="n">
        <v>0</v>
      </c>
    </row>
    <row r="24">
      <c r="A24" t="inlineStr">
        <is>
          <t>beans</t>
        </is>
      </c>
      <c r="B24" t="inlineStr">
        <is>
          <t>and for 4 bushels from the total issue of beans.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K24" t="n">
        <v>0</v>
      </c>
    </row>
    <row r="25">
      <c r="A25" t="inlineStr">
        <is>
          <t>beans</t>
        </is>
      </c>
      <c r="B25" t="inlineStr">
        <is>
          <t>and all sold.</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K25" t="n">
        <v>0</v>
      </c>
    </row>
    <row r="26">
      <c r="A26" t="inlineStr">
        <is>
          <t>beans</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K26" t="n">
        <v>0</v>
      </c>
    </row>
    <row r="27">
      <c r="A27" t="inlineStr">
        <is>
          <t>peas</t>
        </is>
      </c>
      <c r="B27" t="inlineStr">
        <is>
          <t>and for 6 bushels of peas from issue.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K27" t="n">
        <v>0</v>
      </c>
    </row>
    <row r="28">
      <c r="A28" t="inlineStr">
        <is>
          <t>peas</t>
        </is>
      </c>
      <c r="B28" t="inlineStr">
        <is>
          <t>and all sold.</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peas</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K2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11</v>
      </c>
      <c r="J4" t="n">
        <v>0</v>
      </c>
      <c r="K4" t="n">
        <v>11</v>
      </c>
      <c r="L4" t="n">
        <v>0</v>
      </c>
      <c r="M4" t="n">
        <v>-11</v>
      </c>
    </row>
    <row r="5">
      <c r="A5" t="inlineStr">
        <is>
          <t>barley</t>
        </is>
      </c>
      <c r="B5" t="n">
        <v>0</v>
      </c>
      <c r="C5" t="n">
        <v>0</v>
      </c>
      <c r="D5" t="n">
        <v>0</v>
      </c>
      <c r="E5" t="n">
        <v>0</v>
      </c>
      <c r="F5" t="n">
        <v>0</v>
      </c>
      <c r="G5" t="n">
        <v>0</v>
      </c>
      <c r="H5" t="n">
        <v>0</v>
      </c>
      <c r="I5" t="n">
        <v>0</v>
      </c>
      <c r="J5" t="n">
        <v>0</v>
      </c>
      <c r="K5" t="n">
        <v>0</v>
      </c>
      <c r="L5" t="n">
        <v>0</v>
      </c>
      <c r="M5" t="n">
        <v>0</v>
      </c>
    </row>
    <row r="6">
      <c r="A6" t="inlineStr">
        <is>
          <t>beans</t>
        </is>
      </c>
      <c r="B6" t="n">
        <v>0</v>
      </c>
      <c r="C6" t="n">
        <v>0</v>
      </c>
      <c r="D6" t="n">
        <v>0</v>
      </c>
      <c r="E6" t="n">
        <v>0</v>
      </c>
      <c r="F6" t="n">
        <v>0</v>
      </c>
      <c r="G6" t="n">
        <v>0</v>
      </c>
      <c r="H6" t="n">
        <v>0</v>
      </c>
      <c r="I6" t="n">
        <v>0</v>
      </c>
      <c r="J6" t="n">
        <v>0</v>
      </c>
      <c r="K6" t="n">
        <v>0</v>
      </c>
      <c r="L6" t="n">
        <v>0</v>
      </c>
      <c r="M6" t="n">
        <v>0</v>
      </c>
    </row>
    <row r="7">
      <c r="A7" t="inlineStr">
        <is>
          <t>peas</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2" t="n">
        <v>0.21</v>
      </c>
      <c r="D2" t="n">
        <v>0</v>
      </c>
      <c r="E2" t="n">
        <v>4</v>
      </c>
      <c r="F2" t="n">
        <v>2</v>
      </c>
      <c r="G2" t="inlineStr">
        <is>
          <t>rye, beans, peas, wheat, oats</t>
        </is>
      </c>
      <c r="H2" t="n">
        <v>11</v>
      </c>
      <c r="I2" t="n">
        <v>10</v>
      </c>
      <c r="J2" t="n">
        <v>12.25</v>
      </c>
      <c r="K2" t="n">
        <v>0.62</v>
      </c>
      <c r="L2" t="n">
        <v>11.62</v>
      </c>
      <c r="M2" t="n">
        <v>0</v>
      </c>
      <c r="N2" t="n">
        <v>5</v>
      </c>
      <c r="Q2" t="n">
        <v>11</v>
      </c>
      <c r="R2" t="n">
        <v>0</v>
      </c>
      <c r="U2" t="n">
        <v>0</v>
      </c>
      <c r="V2" t="n">
        <v>4</v>
      </c>
      <c r="Y2" t="n">
        <v>0</v>
      </c>
      <c r="Z2" t="n">
        <v>6</v>
      </c>
      <c r="AC2" t="n">
        <v>0.34</v>
      </c>
      <c r="AG2" t="n">
        <v>0.62</v>
      </c>
      <c r="AH2" t="n">
        <v>0.34</v>
      </c>
      <c r="AI2" t="n">
        <v>0.34</v>
      </c>
      <c r="AJ2" t="inlineStr">
        <is>
          <t>rye, beans, peas, wheat, oats</t>
        </is>
      </c>
    </row>
    <row r="3">
      <c r="A3" t="inlineStr">
        <is>
          <t>sale of corn</t>
        </is>
      </c>
      <c r="B3" t="inlineStr">
        <is>
          <t>sum £4 6 shilling 5pence.</t>
        </is>
      </c>
      <c r="C3" t="n">
        <v>4.32</v>
      </c>
      <c r="D3" t="n">
        <v>4</v>
      </c>
      <c r="E3" t="n">
        <v>6</v>
      </c>
      <c r="F3" t="n">
        <v>5</v>
      </c>
      <c r="H3" t="n">
        <v>0</v>
      </c>
      <c r="I3" t="n">
        <v>0</v>
      </c>
      <c r="J3" t="n">
        <v>0</v>
      </c>
      <c r="K3" t="n">
        <v>0</v>
      </c>
      <c r="L3" t="n">
        <v>0</v>
      </c>
      <c r="M3" t="n">
        <v>0</v>
      </c>
      <c r="N3" t="n">
        <v>0</v>
      </c>
      <c r="AC3" t="inlineStr">
        <is>
          <t>inf</t>
        </is>
      </c>
      <c r="AG3" t="n">
        <v>0</v>
      </c>
      <c r="AH3" t="inlineStr">
        <is>
          <t>inf</t>
        </is>
      </c>
      <c r="AI3"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ESHER_1309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2</v>
      </c>
      <c r="D4" s="128" t="n">
        <v>4</v>
      </c>
      <c r="E4" s="128" t="n"/>
      <c r="F4" s="128" t="n">
        <v>0.12</v>
      </c>
      <c r="G4" s="128" t="n"/>
      <c r="H4" s="128" t="inlineStr">
        <is>
          <t>In iron and steel bought for the ironwork of one plough for the year 2 shilling 4pence.</t>
        </is>
      </c>
    </row>
    <row r="5">
      <c r="A5" s="136" t="inlineStr">
        <is>
          <t>Cost of ploughs</t>
        </is>
      </c>
      <c r="B5" s="128" t="n">
        <v>0</v>
      </c>
      <c r="C5" s="128" t="n">
        <v>2</v>
      </c>
      <c r="D5" s="128" t="n">
        <v>0</v>
      </c>
      <c r="E5" s="128" t="n"/>
      <c r="F5" s="128" t="n">
        <v>0.1</v>
      </c>
      <c r="G5" s="128" t="n"/>
      <c r="H5" s="128" t="inlineStr">
        <is>
          <t>stipend of a smith for the same 2 shilling.</t>
        </is>
      </c>
    </row>
    <row r="6">
      <c r="A6" s="136" t="inlineStr">
        <is>
          <t>Cost of ploughs</t>
        </is>
      </c>
      <c r="B6" s="128" t="n">
        <v>0</v>
      </c>
      <c r="C6" s="128" t="n">
        <v>0</v>
      </c>
      <c r="D6" s="128" t="n">
        <v>4</v>
      </c>
      <c r="E6" s="128" t="n"/>
      <c r="F6" s="128" t="n">
        <v>0.02</v>
      </c>
      <c r="G6" s="128" t="n"/>
      <c r="H6" s="128" t="inlineStr">
        <is>
          <t>one plough foot bought 4pence.</t>
        </is>
      </c>
    </row>
    <row r="7">
      <c r="A7" s="136" t="inlineStr">
        <is>
          <t>Cost of ploughs</t>
        </is>
      </c>
      <c r="B7" s="128" t="n">
        <v>0</v>
      </c>
      <c r="C7" s="128" t="n">
        <v>0</v>
      </c>
      <c r="D7" s="128" t="n">
        <v>4</v>
      </c>
      <c r="E7" s="128" t="n"/>
      <c r="F7" s="128" t="n">
        <v>0.02</v>
      </c>
      <c r="G7" s="128" t="n"/>
      <c r="H7" s="128" t="inlineStr">
        <is>
          <t>one pair of wheels for the plough 4pence.</t>
        </is>
      </c>
    </row>
    <row r="8">
      <c r="A8" s="136" t="inlineStr">
        <is>
          <t>Cost of ploughs</t>
        </is>
      </c>
      <c r="B8" s="128" t="n">
        <v>0</v>
      </c>
      <c r="C8" s="128" t="n">
        <v>0</v>
      </c>
      <c r="D8" s="128" t="n">
        <v>4</v>
      </c>
      <c r="E8" s="128" t="n"/>
      <c r="F8" s="128" t="n">
        <v>0.02</v>
      </c>
      <c r="G8" s="128" t="n"/>
      <c r="H8" s="128" t="inlineStr">
        <is>
          <t>fitting a plough with a sharebeam and buying it 4pence.</t>
        </is>
      </c>
    </row>
    <row r="9">
      <c r="A9" s="136" t="inlineStr">
        <is>
          <t>Cost of ploughs</t>
        </is>
      </c>
      <c r="B9" s="128" t="n">
        <v>0</v>
      </c>
      <c r="C9" s="128" t="n">
        <v>0</v>
      </c>
      <c r="D9" s="128" t="n">
        <v>3</v>
      </c>
      <c r="E9" s="128" t="n"/>
      <c r="F9" s="128" t="n">
        <v>0.01</v>
      </c>
      <c r="G9" s="128" t="n"/>
      <c r="H9" s="128" t="inlineStr">
        <is>
          <t>32 herrings bought for 16 customary tenants harrowing the lord's land at the sowing of oats for one day 3 pence, to each two herrings.</t>
        </is>
      </c>
    </row>
    <row r="10">
      <c r="A10" s="136" t="inlineStr">
        <is>
          <t>Cost of ploughs</t>
        </is>
      </c>
      <c r="B10" s="128" t="n">
        <v>0</v>
      </c>
      <c r="C10" s="128" t="n">
        <v>0</v>
      </c>
      <c r="D10" s="128" t="n">
        <v>10</v>
      </c>
      <c r="E10" s="128" t="n"/>
      <c r="F10" s="128" t="n">
        <v>0.04</v>
      </c>
      <c r="G10" s="128" t="n"/>
      <c r="H10" s="128" t="inlineStr">
        <is>
          <t>one new ploughshare bought 10pence.</t>
        </is>
      </c>
    </row>
    <row r="11">
      <c r="A11" s="136" t="inlineStr">
        <is>
          <t>Cost of ploughs</t>
        </is>
      </c>
      <c r="B11" s="128" t="n">
        <v>0</v>
      </c>
      <c r="C11" s="128" t="n">
        <v>0</v>
      </c>
      <c r="D11" s="128" t="n">
        <v>0</v>
      </c>
      <c r="E11" s="128" t="n"/>
      <c r="F11" s="128" t="n">
        <v>0</v>
      </c>
      <c r="G11" s="128" t="n"/>
      <c r="H11" s="128" t="inlineStr">
        <is>
          <t>making a.</t>
        </is>
      </c>
    </row>
    <row r="12">
      <c r="A12" s="136" t="inlineStr">
        <is>
          <t>Cost of ploughs</t>
        </is>
      </c>
      <c r="B12" s="128" t="n">
        <v>0</v>
      </c>
      <c r="C12" s="128" t="n">
        <v>0</v>
      </c>
      <c r="D12" s="128" t="n">
        <v>0</v>
      </c>
      <c r="E12" s="128" t="n"/>
      <c r="F12" s="128" t="n">
        <v>0</v>
      </c>
      <c r="G12" s="128" t="n"/>
      <c r="H12" s="128" t="inlineStr">
        <is>
          <t>--- Page 4 ---.</t>
        </is>
      </c>
    </row>
    <row r="13">
      <c r="A13" s="138" t="inlineStr">
        <is>
          <t>Cost of ploughs total</t>
        </is>
      </c>
      <c r="B13" s="139" t="n"/>
      <c r="C13" s="139" t="n"/>
      <c r="D13" s="139" t="n"/>
      <c r="E13" s="139" t="n"/>
      <c r="F13" s="139" t="n">
        <v>0.33</v>
      </c>
      <c r="G13" s="139" t="n">
        <v>0.33</v>
      </c>
      <c r="H13" s="139" t="inlineStr">
        <is>
          <t>Total</t>
        </is>
      </c>
    </row>
    <row r="14">
      <c r="A14" s="136" t="n"/>
      <c r="B14" s="128" t="n"/>
      <c r="C14" s="128" t="n"/>
      <c r="D14" s="128" t="n"/>
      <c r="E14" s="128" t="n"/>
      <c r="F14" s="128" t="n"/>
      <c r="G14" s="128" t="n"/>
      <c r="H14" s="128" t="n"/>
    </row>
    <row r="15">
      <c r="A15" s="137" t="inlineStr">
        <is>
          <t>Carts</t>
        </is>
      </c>
      <c r="B15" s="128" t="n">
        <v>0</v>
      </c>
      <c r="C15" s="128" t="n">
        <v>0</v>
      </c>
      <c r="D15" s="128" t="n">
        <v>14</v>
      </c>
      <c r="E15" s="128" t="n"/>
      <c r="F15" s="128" t="n">
        <v>0.06</v>
      </c>
      <c r="G15" s="128" t="n"/>
      <c r="H15" s="128" t="inlineStr">
        <is>
          <t>In clouts and nails bought for the cart 14 pence this year, for carrying timber for the new stable.</t>
        </is>
      </c>
    </row>
    <row r="16">
      <c r="A16" s="136" t="inlineStr">
        <is>
          <t>Carts</t>
        </is>
      </c>
      <c r="B16" s="128" t="n">
        <v>0</v>
      </c>
      <c r="C16" s="128" t="n">
        <v>2</v>
      </c>
      <c r="D16" s="128" t="n">
        <v>6</v>
      </c>
      <c r="E16" s="128" t="n"/>
      <c r="F16" s="128" t="n">
        <v>0.12</v>
      </c>
      <c r="G16" s="128" t="n"/>
      <c r="H16" s="128" t="inlineStr">
        <is>
          <t>one pair of wheels for the cart 2 shilling 6pence.</t>
        </is>
      </c>
    </row>
    <row r="17">
      <c r="A17" s="136" t="inlineStr">
        <is>
          <t>Carts</t>
        </is>
      </c>
      <c r="B17" s="128" t="n">
        <v>0</v>
      </c>
      <c r="C17" s="128" t="n">
        <v>0</v>
      </c>
      <c r="D17" s="128" t="n">
        <v>6</v>
      </c>
      <c r="E17" s="128" t="n"/>
      <c r="F17" s="128" t="n">
        <v>0.03</v>
      </c>
      <c r="G17" s="128" t="n"/>
      <c r="H17" s="128" t="inlineStr">
        <is>
          <t>one collar bought 6pence.</t>
        </is>
      </c>
    </row>
    <row r="18">
      <c r="A18" s="136" t="inlineStr">
        <is>
          <t>Carts</t>
        </is>
      </c>
      <c r="B18" s="128" t="n">
        <v>0</v>
      </c>
      <c r="C18" s="128" t="n">
        <v>0</v>
      </c>
      <c r="D18" s="128" t="n">
        <v>5</v>
      </c>
      <c r="E18" s="128" t="n"/>
      <c r="F18" s="128" t="n">
        <v>0.02</v>
      </c>
      <c r="G18" s="128" t="n"/>
      <c r="H18" s="128" t="inlineStr">
        <is>
          <t>one pair of traces 5pence.</t>
        </is>
      </c>
    </row>
    <row r="19">
      <c r="A19" s="136" t="inlineStr">
        <is>
          <t>Carts</t>
        </is>
      </c>
      <c r="B19" s="128" t="n">
        <v>0</v>
      </c>
      <c r="C19" s="128" t="n">
        <v>0</v>
      </c>
      <c r="D19" s="128" t="n">
        <v>3</v>
      </c>
      <c r="E19" s="128" t="n"/>
      <c r="F19" s="128" t="n">
        <v>0.01</v>
      </c>
      <c r="G19" s="128" t="n"/>
      <c r="H19" s="128" t="inlineStr">
        <is>
          <t>fitting the cart with an axle, with an axle bought for the same 3pence.</t>
        </is>
      </c>
    </row>
    <row r="20">
      <c r="A20" s="136" t="inlineStr">
        <is>
          <t>Carts</t>
        </is>
      </c>
      <c r="B20" s="128" t="n">
        <v>0</v>
      </c>
      <c r="C20" s="128" t="n">
        <v>0</v>
      </c>
      <c r="D20" s="128" t="n">
        <v>6</v>
      </c>
      <c r="E20" s="128" t="n"/>
      <c r="F20" s="128" t="n">
        <v>0.03</v>
      </c>
      <c r="G20" s="128" t="n"/>
      <c r="H20" s="128" t="inlineStr">
        <is>
          <t>grease 6pence.</t>
        </is>
      </c>
    </row>
    <row r="21">
      <c r="A21" s="136" t="inlineStr">
        <is>
          <t>Carts</t>
        </is>
      </c>
      <c r="B21" s="128" t="n">
        <v>0</v>
      </c>
      <c r="C21" s="128" t="n">
        <v>2</v>
      </c>
      <c r="D21" s="128" t="n">
        <v>6</v>
      </c>
      <c r="E21" s="128" t="n"/>
      <c r="F21" s="128" t="n">
        <v>0.12</v>
      </c>
      <c r="G21" s="128" t="n"/>
      <c r="H21" s="128" t="inlineStr">
        <is>
          <t>a contract with a smith for shoeing 2 cart horses for the year 2 shilling 6pence Sum 7 shilling 10pence.</t>
        </is>
      </c>
    </row>
    <row r="22">
      <c r="A22" s="138" t="inlineStr">
        <is>
          <t>Carts total</t>
        </is>
      </c>
      <c r="B22" s="139" t="n"/>
      <c r="C22" s="139" t="n"/>
      <c r="D22" s="139" t="n"/>
      <c r="E22" s="139" t="n"/>
      <c r="F22" s="139" t="n">
        <v>0.39</v>
      </c>
      <c r="G22" s="139" t="n">
        <v>0.27</v>
      </c>
      <c r="H22" s="139" t="inlineStr">
        <is>
          <t>Total</t>
        </is>
      </c>
    </row>
    <row r="23">
      <c r="A23" s="136" t="n"/>
      <c r="B23" s="128" t="n"/>
      <c r="C23" s="128" t="n"/>
      <c r="D23" s="128" t="n"/>
      <c r="E23" s="128" t="n"/>
      <c r="F23" s="128" t="n"/>
      <c r="G23" s="128" t="n"/>
      <c r="H23" s="128" t="n"/>
    </row>
    <row r="24">
      <c r="A24" s="137" t="inlineStr">
        <is>
          <t>Purchase of corn</t>
        </is>
      </c>
      <c r="B24" s="128" t="n">
        <v>0</v>
      </c>
      <c r="C24" s="128" t="n">
        <v>24</v>
      </c>
      <c r="D24" s="128" t="n">
        <v>0</v>
      </c>
      <c r="E24" s="128" t="n"/>
      <c r="F24" s="128" t="n">
        <v>1.2</v>
      </c>
      <c r="G24" s="128" t="n"/>
      <c r="H24" s="128" t="inlineStr">
        <is>
          <t>In 4 quarters of barley bought 24 shilling, price of a quarter 6 shilling.</t>
        </is>
      </c>
    </row>
    <row r="25">
      <c r="A25" s="136" t="inlineStr">
        <is>
          <t>Purchase of corn</t>
        </is>
      </c>
      <c r="B25" s="128" t="n">
        <v>0</v>
      </c>
      <c r="C25" s="128" t="n">
        <v>26</v>
      </c>
      <c r="D25" s="128" t="n">
        <v>8</v>
      </c>
      <c r="E25" s="128" t="n"/>
      <c r="F25" s="128" t="n">
        <v>1.33</v>
      </c>
      <c r="G25" s="128" t="n"/>
      <c r="H25" s="128" t="inlineStr">
        <is>
          <t>5 quarters of barley bought 26 shilling 8 pence, price of a quarter 5 shilling 4pence.</t>
        </is>
      </c>
    </row>
    <row r="26">
      <c r="A26" s="136" t="inlineStr">
        <is>
          <t>Purchase of corn</t>
        </is>
      </c>
      <c r="B26" s="128" t="n">
        <v>0</v>
      </c>
      <c r="C26" s="128" t="n">
        <v>28</v>
      </c>
      <c r="D26" s="128" t="n">
        <v>8</v>
      </c>
      <c r="E26" s="128" t="n"/>
      <c r="F26" s="128" t="n">
        <v>1.43</v>
      </c>
      <c r="G26" s="128" t="n"/>
      <c r="H26" s="128" t="inlineStr">
        <is>
          <t>6 quarters of barley bought 28 shilling, price of a quarter 4 shilling 8pence.</t>
        </is>
      </c>
    </row>
    <row r="27">
      <c r="A27" s="136" t="inlineStr">
        <is>
          <t>Purchase of corn</t>
        </is>
      </c>
      <c r="B27" s="128" t="n">
        <v>0</v>
      </c>
      <c r="C27" s="128" t="n">
        <v>24</v>
      </c>
      <c r="D27" s="128" t="n">
        <v>6</v>
      </c>
      <c r="E27" s="128" t="n"/>
      <c r="F27" s="128" t="n">
        <v>1.22</v>
      </c>
      <c r="G27" s="128" t="n"/>
      <c r="H27" s="128" t="inlineStr">
        <is>
          <t>6 quarters 1 bushel of barley bought 24 shilling 6 pence, price of a quarter 4 shilling Sum 103 shilling 2pence.</t>
        </is>
      </c>
    </row>
    <row r="28">
      <c r="A28" s="138" t="inlineStr">
        <is>
          <t>Purchase of corn total</t>
        </is>
      </c>
      <c r="B28" s="139" t="n"/>
      <c r="C28" s="139" t="n"/>
      <c r="D28" s="139" t="n"/>
      <c r="E28" s="139" t="n"/>
      <c r="F28" s="139" t="n">
        <v>5.18</v>
      </c>
      <c r="G28" s="139" t="n">
        <v>3.96</v>
      </c>
      <c r="H28" s="139" t="inlineStr">
        <is>
          <t>Total</t>
        </is>
      </c>
    </row>
    <row r="29">
      <c r="A29" s="136" t="n"/>
      <c r="B29" s="128" t="n"/>
      <c r="C29" s="128" t="n"/>
      <c r="D29" s="128" t="n"/>
      <c r="E29" s="128" t="n"/>
      <c r="F29" s="128" t="n"/>
      <c r="G29" s="128" t="n"/>
      <c r="H29" s="128" t="n"/>
    </row>
    <row r="30">
      <c r="A30" s="137" t="inlineStr">
        <is>
          <t>Repair of buildings</t>
        </is>
      </c>
      <c r="B30" s="128" t="n">
        <v>0</v>
      </c>
      <c r="C30" s="128" t="n">
        <v>0</v>
      </c>
      <c r="D30" s="128" t="n">
        <v>6</v>
      </c>
      <c r="E30" s="128" t="n"/>
      <c r="F30" s="128" t="n">
        <v>0.03</v>
      </c>
      <c r="G30" s="128" t="n"/>
      <c r="H30" s="128" t="inlineStr">
        <is>
          <t>In roofing buildings in places with straw at Northwode 6pence.</t>
        </is>
      </c>
    </row>
    <row r="31">
      <c r="A31" s="136" t="inlineStr">
        <is>
          <t>Repair of buildings</t>
        </is>
      </c>
      <c r="B31" s="128" t="n">
        <v>0</v>
      </c>
      <c r="C31" s="128" t="n">
        <v>3</v>
      </c>
      <c r="D31" s="128" t="n">
        <v>0</v>
      </c>
      <c r="E31" s="128" t="n"/>
      <c r="F31" s="128" t="n">
        <v>0.15</v>
      </c>
      <c r="G31" s="128" t="n"/>
      <c r="H31" s="128" t="inlineStr">
        <is>
          <t>a contract with one worker for roofing a certain earthen wall between the oxshed and the gate of the vineyard with straw 3 shilling.</t>
        </is>
      </c>
    </row>
    <row r="32">
      <c r="A32" s="136" t="inlineStr">
        <is>
          <t>Repair of buildings</t>
        </is>
      </c>
      <c r="B32" s="128" t="n">
        <v>0</v>
      </c>
      <c r="C32" s="128" t="n">
        <v>0</v>
      </c>
      <c r="D32" s="128" t="n">
        <v>18</v>
      </c>
      <c r="E32" s="128" t="n"/>
      <c r="F32" s="128" t="n">
        <v>0.07000000000000001</v>
      </c>
      <c r="G32" s="128" t="n"/>
      <c r="H32" s="128" t="inlineStr">
        <is>
          <t>straw bought for the same 18pence.</t>
        </is>
      </c>
    </row>
    <row r="33">
      <c r="A33" s="136" t="inlineStr">
        <is>
          <t>Repair of buildings</t>
        </is>
      </c>
      <c r="B33" s="128" t="n">
        <v>0</v>
      </c>
      <c r="C33" s="128" t="n">
        <v>0</v>
      </c>
      <c r="D33" s="128" t="n">
        <v>18</v>
      </c>
      <c r="E33" s="128" t="n"/>
      <c r="F33" s="128" t="n">
        <v>0.07000000000000001</v>
      </c>
      <c r="G33" s="128" t="n"/>
      <c r="H33" s="128" t="inlineStr">
        <is>
          <t>one cask bought 18pence.</t>
        </is>
      </c>
    </row>
    <row r="34">
      <c r="A34" s="136" t="inlineStr">
        <is>
          <t>Repair of buildings</t>
        </is>
      </c>
      <c r="B34" s="128" t="n">
        <v>0</v>
      </c>
      <c r="C34" s="128" t="n">
        <v>0</v>
      </c>
      <c r="D34" s="128" t="n">
        <v>5</v>
      </c>
      <c r="E34" s="128" t="n"/>
      <c r="F34" s="128" t="n">
        <v>0.02</v>
      </c>
      <c r="G34" s="128" t="n"/>
      <c r="H34" s="128" t="inlineStr">
        <is>
          <t>making two vats from one cask 5pence.</t>
        </is>
      </c>
    </row>
    <row r="35">
      <c r="A35" s="136" t="inlineStr">
        <is>
          <t>Repair of buildings</t>
        </is>
      </c>
      <c r="B35" s="128" t="n">
        <v>0</v>
      </c>
      <c r="C35" s="128" t="n">
        <v>0</v>
      </c>
      <c r="D35" s="128" t="n">
        <v>3</v>
      </c>
      <c r="E35" s="128" t="n"/>
      <c r="F35" s="128" t="n">
        <v>0.01</v>
      </c>
      <c r="G35" s="128" t="n"/>
      <c r="H35" s="128" t="inlineStr">
        <is>
          <t>one basket bought 3pence.</t>
        </is>
      </c>
    </row>
    <row r="36">
      <c r="A36" s="136" t="inlineStr">
        <is>
          <t>Repair of buildings</t>
        </is>
      </c>
      <c r="B36" s="128" t="n">
        <v>0</v>
      </c>
      <c r="C36" s="128" t="n">
        <v>0</v>
      </c>
      <c r="D36" s="128" t="n">
        <v>7</v>
      </c>
      <c r="E36" s="128" t="n"/>
      <c r="F36" s="128" t="n">
        <v>0.03</v>
      </c>
      <c r="G36" s="128" t="n"/>
      <c r="H36" s="128" t="inlineStr">
        <is>
          <t>making a certain earthen wall between the archdeacon’s chamber and the bakehouse 7pence.</t>
        </is>
      </c>
    </row>
    <row r="37">
      <c r="A37" s="136" t="inlineStr">
        <is>
          <t>Repair of buildings</t>
        </is>
      </c>
      <c r="B37" s="128" t="n">
        <v>0</v>
      </c>
      <c r="C37" s="128" t="n">
        <v>0</v>
      </c>
      <c r="D37" s="128" t="n">
        <v>10</v>
      </c>
      <c r="E37" s="128" t="n"/>
      <c r="F37" s="128" t="n">
        <v>0.04</v>
      </c>
      <c r="G37" s="128" t="n"/>
      <c r="H37" s="128" t="inlineStr">
        <is>
          <t>hooks and hinges for one door in the oxshed towards the vineyard and for the kitchen 10pence.</t>
        </is>
      </c>
    </row>
    <row r="38">
      <c r="A38" s="136" t="inlineStr">
        <is>
          <t>Repair of buildings</t>
        </is>
      </c>
      <c r="B38" s="128" t="n">
        <v>0</v>
      </c>
      <c r="C38" s="128" t="n">
        <v>0</v>
      </c>
      <c r="D38" s="128" t="n">
        <v>8</v>
      </c>
      <c r="E38" s="128" t="n"/>
      <c r="F38" s="128" t="n">
        <v>0.03</v>
      </c>
      <c r="G38" s="128" t="n"/>
      <c r="H38" s="128" t="inlineStr">
        <is>
          <t>hooks and hinges for windows in the same and in the kitchen 8pence.</t>
        </is>
      </c>
    </row>
    <row r="39">
      <c r="A39" s="136" t="inlineStr">
        <is>
          <t>Repair of buildings</t>
        </is>
      </c>
      <c r="B39" s="128" t="n">
        <v>0</v>
      </c>
      <c r="C39" s="128" t="n">
        <v>0</v>
      </c>
      <c r="D39" s="128" t="n">
        <v>0</v>
      </c>
      <c r="E39" s="128" t="n"/>
      <c r="F39" s="128" t="n">
        <v>0</v>
      </c>
      <c r="G39" s="128" t="n"/>
      <c r="H39" s="128" t="inlineStr">
        <is>
          <t>boards for the same and for windows in the squires’ chamber above.</t>
        </is>
      </c>
    </row>
    <row r="40">
      <c r="A40" s="136" t="inlineStr">
        <is>
          <t>Repair of buildings</t>
        </is>
      </c>
      <c r="B40" s="128" t="n">
        <v>0</v>
      </c>
      <c r="C40" s="128" t="n">
        <v>10</v>
      </c>
      <c r="D40" s="128" t="n">
        <v>1</v>
      </c>
      <c r="E40" s="128" t="n"/>
      <c r="F40" s="128" t="n">
        <v>0.5</v>
      </c>
      <c r="G40" s="128" t="n"/>
      <c r="H40" s="128" t="inlineStr">
        <is>
          <t>Sum 10 shilling 1pence.</t>
        </is>
      </c>
    </row>
    <row r="41">
      <c r="A41" s="138" t="inlineStr">
        <is>
          <t>Repair of buildings total</t>
        </is>
      </c>
      <c r="B41" s="139" t="n"/>
      <c r="C41" s="139" t="n"/>
      <c r="D41" s="139" t="n"/>
      <c r="E41" s="139" t="n"/>
      <c r="F41" s="139" t="n">
        <v>0.95</v>
      </c>
      <c r="G41" s="139" t="n">
        <v>0.45</v>
      </c>
      <c r="H41" s="139" t="inlineStr">
        <is>
          <t>Total</t>
        </is>
      </c>
    </row>
    <row r="42">
      <c r="A42" s="136" t="n"/>
      <c r="B42" s="128" t="n"/>
      <c r="C42" s="128" t="n"/>
      <c r="D42" s="128" t="n"/>
      <c r="E42" s="128" t="n"/>
      <c r="F42" s="128" t="n"/>
      <c r="G42" s="128" t="n"/>
      <c r="H42" s="128" t="n"/>
    </row>
    <row r="43">
      <c r="A43" s="137" t="inlineStr">
        <is>
          <t>Threshing</t>
        </is>
      </c>
      <c r="B43" s="128" t="n">
        <v>0</v>
      </c>
      <c r="C43" s="128" t="n">
        <v>3</v>
      </c>
      <c r="D43" s="128" t="n">
        <v>8</v>
      </c>
      <c r="E43" s="128" t="n"/>
      <c r="F43" s="128" t="n">
        <v>0.18</v>
      </c>
      <c r="G43" s="128" t="n"/>
      <c r="H43" s="128" t="inlineStr">
        <is>
          <t>In threshing 22 quarters of wheat, rye, beans, and peas by piecework 3 shilling 8 pence, for a quarter 2pence.</t>
        </is>
      </c>
    </row>
    <row r="44">
      <c r="A44" s="136" t="inlineStr">
        <is>
          <t>Threshing</t>
        </is>
      </c>
      <c r="B44" s="128" t="n">
        <v>0</v>
      </c>
      <c r="C44" s="128" t="n">
        <v>0</v>
      </c>
      <c r="D44" s="128" t="n">
        <v>0</v>
      </c>
      <c r="E44" s="128" t="n"/>
      <c r="F44" s="128" t="n">
        <v>0</v>
      </c>
      <c r="G44" s="128" t="n"/>
      <c r="H44" s="128" t="inlineStr">
        <is>
          <t>threshing 30 quarters 3 bushels of oats by piecework 22¾d, for a quarter ¾d.</t>
        </is>
      </c>
    </row>
    <row r="45">
      <c r="A45" s="136" t="inlineStr">
        <is>
          <t>Threshing</t>
        </is>
      </c>
      <c r="B45" s="128" t="n">
        <v>0</v>
      </c>
      <c r="C45" s="128" t="n">
        <v>0</v>
      </c>
      <c r="D45" s="128" t="n">
        <v>0</v>
      </c>
      <c r="E45" s="128" t="n"/>
      <c r="F45" s="128" t="n">
        <v>0</v>
      </c>
      <c r="G45" s="128" t="n"/>
      <c r="H45" s="128" t="inlineStr">
        <is>
          <t>winnowing the same 52 quarters 3 bushels 10½d, for every 10 bushels ¼d.</t>
        </is>
      </c>
    </row>
    <row r="46">
      <c r="A46" s="136" t="inlineStr">
        <is>
          <t>Threshing</t>
        </is>
      </c>
      <c r="B46" s="128" t="n">
        <v>0</v>
      </c>
      <c r="C46" s="128" t="n">
        <v>6</v>
      </c>
      <c r="D46" s="128" t="n">
        <v>0</v>
      </c>
      <c r="E46" s="128" t="n"/>
      <c r="F46" s="128" t="n">
        <v>0.3</v>
      </c>
      <c r="G46" s="128" t="n"/>
      <c r="H46" s="128" t="inlineStr">
        <is>
          <t>Sum 6 shilling 5¼d.</t>
        </is>
      </c>
    </row>
    <row r="47">
      <c r="A47" s="138" t="inlineStr">
        <is>
          <t>Threshing total</t>
        </is>
      </c>
      <c r="B47" s="139" t="n"/>
      <c r="C47" s="139" t="n"/>
      <c r="D47" s="139" t="n"/>
      <c r="E47" s="139" t="n"/>
      <c r="F47" s="139" t="n">
        <v>0.48</v>
      </c>
      <c r="G47" s="139" t="n">
        <v>0.18</v>
      </c>
      <c r="H47" s="139" t="inlineStr">
        <is>
          <t>Total</t>
        </is>
      </c>
    </row>
    <row r="48">
      <c r="A48" s="136" t="n"/>
      <c r="B48" s="128" t="n"/>
      <c r="C48" s="128" t="n"/>
      <c r="D48" s="128" t="n"/>
      <c r="E48" s="128" t="n"/>
      <c r="F48" s="128" t="n"/>
      <c r="G48" s="128" t="n"/>
      <c r="H48" s="128" t="n"/>
    </row>
    <row r="49">
      <c r="A49" s="137" t="inlineStr">
        <is>
          <t>Expenses of the steward</t>
        </is>
      </c>
      <c r="B49" s="128" t="n">
        <v>0</v>
      </c>
      <c r="C49" s="128" t="n">
        <v>2</v>
      </c>
      <c r="D49" s="128" t="n">
        <v>8</v>
      </c>
      <c r="E49" s="128" t="n"/>
      <c r="F49" s="128" t="n">
        <v>0.13</v>
      </c>
      <c r="G49" s="128" t="n"/>
      <c r="H49" s="128" t="inlineStr">
        <is>
          <t>In expenses of Lord R de Bereford around the Birth of St John the Baptist [24 June], by tally 2 shilling 8pence.</t>
        </is>
      </c>
    </row>
    <row r="50">
      <c r="A50" s="138" t="inlineStr">
        <is>
          <t>Expenses of the steward total</t>
        </is>
      </c>
      <c r="B50" s="139" t="n">
        <v>0</v>
      </c>
      <c r="C50" s="139" t="n">
        <v>15</v>
      </c>
      <c r="D50" s="139" t="n">
        <v>2</v>
      </c>
      <c r="E50" s="139" t="n"/>
      <c r="F50" s="139" t="n">
        <v>0.76</v>
      </c>
      <c r="G50" s="139" t="n">
        <v>0.63</v>
      </c>
      <c r="H50" s="139" t="inlineStr">
        <is>
          <t>expenses of the bailiff and his clerk for their visit 15 shilling 2pence Sum 17 shilling 10pence.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2026-02-18T12:19:07Z</dcterms:modified>
  <cp:lastModifiedBy>Kowalski, Kuba</cp:lastModifiedBy>
</cp:coreProperties>
</file>
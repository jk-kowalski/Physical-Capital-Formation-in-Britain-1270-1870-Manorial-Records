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820" yWindow="1820" windowWidth="32990" windowHeight="18180" tabRatio="600" firstSheet="0" activeTab="2" autoFilterDateGrouping="1"/>
  </bookViews>
  <sheets>
    <sheet xmlns:r="http://schemas.openxmlformats.org/officeDocument/2006/relationships" name="Adderbury Overview" sheetId="1" state="visible" r:id="rId1"/>
    <sheet xmlns:r="http://schemas.openxmlformats.org/officeDocument/2006/relationships" name="Esher_1248 Stock" sheetId="2" state="visible" r:id="rId2"/>
    <sheet xmlns:r="http://schemas.openxmlformats.org/officeDocument/2006/relationships" name="raw data" sheetId="3" state="visible" r:id="rId3"/>
    <sheet xmlns:r="http://schemas.openxmlformats.org/officeDocument/2006/relationships" name="Receipts"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 xmlns:r="http://schemas.openxmlformats.org/officeDocument/2006/relationships" name="Expenses" sheetId="14" state="visible" r:id="rId14"/>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border>
      <right style="thin">
        <color rgb="00000000"/>
      </right>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8" pivotButton="0" quotePrefix="0" xfId="0"/>
    <xf numFmtId="0" fontId="0" fillId="0" borderId="17"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xf numFmtId="0" fontId="0" fillId="0" borderId="18" pivotButton="0" quotePrefix="0" xfId="0"/>
    <xf numFmtId="0" fontId="20" fillId="0" borderId="18" pivotButton="0" quotePrefix="0" xfId="0"/>
    <xf numFmtId="0" fontId="20" fillId="11" borderId="18" pivotButton="0" quotePrefix="0" xfId="0"/>
    <xf numFmtId="0" fontId="20" fillId="11" borderId="17"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workbookViewId="0">
      <pane xSplit="1" ySplit="2" topLeftCell="B126" activePane="bottomRight" state="frozen"/>
      <selection pane="topRight" activeCell="B1" sqref="B1"/>
      <selection pane="bottomLeft" activeCell="A3" sqref="A3"/>
      <selection pane="bottomRight" activeCell="A138" sqref="A138"/>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ADDERBURY</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inlineStr">
        <is>
          <t xml:space="preserve"> </t>
        </is>
      </c>
      <c r="D4" s="13" t="n"/>
      <c r="E4" s="13" t="n"/>
    </row>
    <row r="5">
      <c r="A5" s="15" t="inlineStr">
        <is>
          <t>Rents of assize total</t>
        </is>
      </c>
      <c r="B5" s="76">
        <f>'Adderbury Receipts'!F9</f>
        <v/>
      </c>
    </row>
    <row r="6">
      <c r="A6" s="15" t="inlineStr">
        <is>
          <t>Quittances total</t>
        </is>
      </c>
      <c r="B6" s="76">
        <f>'Adderbury Receipts'!F22</f>
        <v/>
      </c>
    </row>
    <row r="7">
      <c r="A7" s="15" t="inlineStr">
        <is>
          <t>Defaults of rent total</t>
        </is>
      </c>
      <c r="B7" s="76">
        <f>'Adderbury Receipts'!F27</f>
        <v/>
      </c>
    </row>
    <row r="8">
      <c r="A8" s="76" t="inlineStr">
        <is>
          <t>Defaults of rent through the pestilence total</t>
        </is>
      </c>
      <c r="B8" s="76">
        <f>'Adderbury Receipts'!F36</f>
        <v/>
      </c>
    </row>
    <row r="9">
      <c r="A9" s="76" t="inlineStr">
        <is>
          <t>Cotlands defaults total</t>
        </is>
      </c>
      <c r="B9" s="76">
        <f>'Adderbury Receipts'!F45</f>
        <v/>
      </c>
    </row>
    <row r="10">
      <c r="A10" s="76" t="inlineStr">
        <is>
          <t>Cotlands total</t>
        </is>
      </c>
      <c r="B10" s="76">
        <f>'Adderbury Receipts'!F54</f>
        <v/>
      </c>
    </row>
    <row r="11">
      <c r="A11" s="76" t="inlineStr">
        <is>
          <t>Total of quittances and defaults of rent total</t>
        </is>
      </c>
      <c r="B11" s="76">
        <f>'Adderbury Receipts'!F56</f>
        <v/>
      </c>
    </row>
    <row r="12">
      <c r="A12" s="76" t="inlineStr">
        <is>
          <t>Total of rents remaining clear total</t>
        </is>
      </c>
      <c r="B12" s="76">
        <f>'Adderbury Receipts'!F58</f>
        <v/>
      </c>
    </row>
    <row r="13">
      <c r="A13" s="76" t="inlineStr">
        <is>
          <t>Farms total</t>
        </is>
      </c>
      <c r="B13" s="76">
        <f>'Adderbury Receipts'!F70</f>
        <v/>
      </c>
    </row>
    <row r="14">
      <c r="A14" s="15" t="inlineStr">
        <is>
          <t>Annual recognizances total</t>
        </is>
      </c>
      <c r="B14" s="76">
        <f>'Adderbury Receipts'!F90</f>
        <v/>
      </c>
    </row>
    <row r="15">
      <c r="A15" s="15" t="inlineStr">
        <is>
          <t>Issues of the Manor total</t>
        </is>
      </c>
      <c r="B15" s="76">
        <f>'Adderbury Receipts'!F117</f>
        <v/>
      </c>
    </row>
    <row r="16">
      <c r="A16" s="76" t="inlineStr">
        <is>
          <t>Issues of the tenements in the lord's hands total</t>
        </is>
      </c>
      <c r="B16" s="76">
        <f>'Adderbury Receipts'!F126</f>
        <v/>
      </c>
    </row>
    <row r="17">
      <c r="A17" s="76" t="inlineStr">
        <is>
          <t>Sale of labour services total</t>
        </is>
      </c>
      <c r="B17" s="76">
        <f>'Adderbury Receipts'!F135</f>
        <v/>
      </c>
    </row>
    <row r="18">
      <c r="A18" s="15" t="inlineStr">
        <is>
          <t>Sale of corn total</t>
        </is>
      </c>
      <c r="B18" s="76">
        <f>'Adderbury Receipts'!F138</f>
        <v/>
      </c>
    </row>
    <row r="19">
      <c r="A19" s="15" t="inlineStr">
        <is>
          <t>Entry and marriage fines total</t>
        </is>
      </c>
      <c r="B19" s="76">
        <f>'Adderbury Receipts'!F166</f>
        <v/>
      </c>
    </row>
    <row r="20">
      <c r="A20" s="15" t="inlineStr">
        <is>
          <t>Pleas &amp; perquisites total</t>
        </is>
      </c>
      <c r="B20" s="76">
        <f>'Adderbury Receipts'!F173</f>
        <v/>
      </c>
    </row>
    <row r="21">
      <c r="A21" s="76" t="inlineStr">
        <is>
          <t>Forfeited chattels total</t>
        </is>
      </c>
      <c r="B21" s="76">
        <f>'Adderbury Receipts'!F177</f>
        <v/>
      </c>
    </row>
    <row r="22">
      <c r="A22" s="76" t="inlineStr">
        <is>
          <t>Farm of the demesne land total</t>
        </is>
      </c>
      <c r="B22" s="76">
        <f>'Adderbury Receipts'!F181</f>
        <v/>
      </c>
      <c r="D22" s="88" t="n"/>
    </row>
    <row r="23">
      <c r="A23" s="81" t="inlineStr">
        <is>
          <t>Total of all receipts (calculated here)</t>
        </is>
      </c>
      <c r="B23" s="79">
        <f>'Adderbury Receipts'!F185</f>
        <v/>
      </c>
      <c r="C23" s="80" t="n"/>
    </row>
    <row r="24">
      <c r="A24" s="82" t="inlineStr">
        <is>
          <t>Total of all receipts (calculated here) incl arrears</t>
        </is>
      </c>
      <c r="D24" s="13" t="n"/>
      <c r="E24" s="13" t="n"/>
    </row>
    <row r="25">
      <c r="A25" s="83" t="inlineStr">
        <is>
          <t>Total recorded in the accounts excl. arrears</t>
        </is>
      </c>
      <c r="B25" s="76">
        <f>'Adderbury Receipts'!F184</f>
        <v/>
      </c>
      <c r="C25" s="10">
        <f>B23-B25</f>
        <v/>
      </c>
    </row>
    <row r="26">
      <c r="A26" s="83" t="inlineStr">
        <is>
          <t>Total recorded in the accounts incl. arrears</t>
        </is>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f>'Adderbury Expenses'!F26</f>
        <v/>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f>'Adderbury Expenses'!F30</f>
        <v/>
      </c>
    </row>
    <row r="42">
      <c r="A42" s="15" t="inlineStr">
        <is>
          <t>Steward's expenses total</t>
        </is>
      </c>
      <c r="B42" s="84">
        <f>'Adderbury Expenses'!F33</f>
        <v/>
      </c>
    </row>
    <row r="43">
      <c r="A43" s="85" t="inlineStr">
        <is>
          <t>Annual fees</t>
        </is>
      </c>
      <c r="B43" s="86">
        <f>'Adderbury Expenses'!F37</f>
        <v/>
      </c>
      <c r="C43" s="87" t="n"/>
      <c r="D43" s="88" t="n"/>
    </row>
    <row r="44">
      <c r="A44" s="82" t="inlineStr">
        <is>
          <t>Total of all expenses per account</t>
        </is>
      </c>
      <c r="B44" s="84" t="n"/>
    </row>
    <row r="45">
      <c r="A45" s="82" t="inlineStr">
        <is>
          <t>Total of all expenses (calculated here)</t>
        </is>
      </c>
      <c r="B45" s="84" t="n"/>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f>'Adderbury Expenses'!F41</f>
        <v/>
      </c>
    </row>
    <row r="51">
      <c r="A51" s="15" t="n"/>
    </row>
    <row r="52">
      <c r="A52" s="18" t="inlineStr">
        <is>
          <t>Allowances</t>
        </is>
      </c>
      <c r="B52" s="84">
        <f>'Adderbury Expenses'!F45</f>
        <v/>
      </c>
    </row>
    <row r="53">
      <c r="A53" s="18" t="inlineStr">
        <is>
          <t>Cash deliveries</t>
        </is>
      </c>
      <c r="B53" s="84">
        <f>'Adderbury Expenses'!F48</f>
        <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F62" s="13" t="n"/>
    </row>
    <row r="63">
      <c r="A63" s="76" t="inlineStr">
        <is>
          <t>Rye</t>
        </is>
      </c>
      <c r="F63" s="13" t="n"/>
    </row>
    <row r="64">
      <c r="A64" s="76" t="inlineStr">
        <is>
          <t>Dredge</t>
        </is>
      </c>
      <c r="F64" s="13" t="n"/>
    </row>
    <row r="65">
      <c r="A65" s="76" t="inlineStr">
        <is>
          <t>Curall</t>
        </is>
      </c>
      <c r="F65" s="13" t="n"/>
    </row>
    <row r="66">
      <c r="A66" s="76" t="inlineStr">
        <is>
          <t>Barley</t>
        </is>
      </c>
      <c r="F66" s="13" t="n"/>
    </row>
    <row r="67">
      <c r="A67" s="76" t="inlineStr">
        <is>
          <t>Oats</t>
        </is>
      </c>
      <c r="F67" s="13" t="n"/>
    </row>
    <row r="68">
      <c r="A68" s="76" t="inlineStr">
        <is>
          <t>Beans</t>
        </is>
      </c>
      <c r="F68" s="13" t="n"/>
    </row>
    <row r="69">
      <c r="A69" s="76" t="inlineStr">
        <is>
          <t>Peas</t>
        </is>
      </c>
      <c r="F69" s="13" t="n"/>
    </row>
    <row r="70">
      <c r="A70" s="76" t="inlineStr">
        <is>
          <t>Vetches</t>
        </is>
      </c>
    </row>
    <row r="71">
      <c r="A71" s="17" t="inlineStr">
        <is>
          <t>Total value of gross production (sum of the above)</t>
        </is>
      </c>
      <c r="B71" s="93">
        <f>SUM(D62:D70)</f>
        <v/>
      </c>
      <c r="C71" s="94" t="n"/>
      <c r="D71" s="93" t="n"/>
      <c r="E71" s="93" t="n"/>
    </row>
    <row r="72">
      <c r="A72" s="17" t="inlineStr">
        <is>
          <t>Total value of net production</t>
        </is>
      </c>
      <c r="B72" s="93">
        <f>SUM(E62:E70)</f>
        <v/>
      </c>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c r="F75" s="13" t="inlineStr">
        <is>
          <t>Not yet implemented</t>
        </is>
      </c>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f>'Adderbury Stock'!B5</f>
        <v/>
      </c>
      <c r="C87" s="76">
        <f>'Adderbury Stock'!K5</f>
        <v/>
      </c>
      <c r="D87" s="76">
        <f>'Adderbury Overview'!C87-'Adderbury Overview'!B87</f>
        <v/>
      </c>
      <c r="F87" s="84">
        <f>'Adderbury Stock'!P5</f>
        <v/>
      </c>
      <c r="G87" s="84">
        <f>'Adderbury Stock'!S5</f>
        <v/>
      </c>
    </row>
    <row r="88">
      <c r="A88" s="22" t="inlineStr">
        <is>
          <t>Mares</t>
        </is>
      </c>
      <c r="B88" s="76">
        <f>'Adderbury Stock'!B6</f>
        <v/>
      </c>
      <c r="C88" s="76">
        <f>'Adderbury Stock'!K6</f>
        <v/>
      </c>
      <c r="D88" s="76">
        <f>'Adderbury Overview'!C88-'Adderbury Overview'!B88</f>
        <v/>
      </c>
      <c r="F88" s="84">
        <f>'Adderbury Stock'!P6</f>
        <v/>
      </c>
      <c r="G88" s="84">
        <f>'Adderbury Stock'!S6</f>
        <v/>
      </c>
    </row>
    <row r="89">
      <c r="A89" s="15" t="inlineStr">
        <is>
          <t>Plough horses</t>
        </is>
      </c>
      <c r="B89" s="76">
        <f>'Adderbury Stock'!B7</f>
        <v/>
      </c>
      <c r="C89" s="76">
        <f>'Adderbury Stock'!K7</f>
        <v/>
      </c>
      <c r="D89" s="76">
        <f>'Adderbury Overview'!C89-'Adderbury Overview'!B89</f>
        <v/>
      </c>
      <c r="F89" s="84">
        <f>'Adderbury Stock'!P7</f>
        <v/>
      </c>
      <c r="G89" s="84">
        <f>'Adderbury Stock'!S7</f>
        <v/>
      </c>
    </row>
    <row r="90">
      <c r="A90" s="15" t="inlineStr">
        <is>
          <t>Colts (2 years)</t>
        </is>
      </c>
      <c r="B90" s="76">
        <f>'Adderbury Stock'!B8</f>
        <v/>
      </c>
      <c r="C90" s="76">
        <f>'Adderbury Stock'!K8</f>
        <v/>
      </c>
      <c r="D90" s="76">
        <f>'Adderbury Overview'!C90-'Adderbury Overview'!B90</f>
        <v/>
      </c>
      <c r="F90" s="84">
        <f>'Adderbury Stock'!P8</f>
        <v/>
      </c>
      <c r="G90" s="84">
        <f>'Adderbury Stock'!S8</f>
        <v/>
      </c>
    </row>
    <row r="91">
      <c r="A91" s="15" t="inlineStr">
        <is>
          <t>Colts (2 years)</t>
        </is>
      </c>
      <c r="B91" s="76">
        <f>'Adderbury Stock'!B9</f>
        <v/>
      </c>
      <c r="C91" s="76">
        <f>'Adderbury Stock'!K9</f>
        <v/>
      </c>
      <c r="D91" s="76">
        <f>'Adderbury Overview'!C91-'Adderbury Overview'!B91</f>
        <v/>
      </c>
      <c r="F91" s="84">
        <f>'Adderbury Stock'!P9</f>
        <v/>
      </c>
      <c r="G91" s="84">
        <f>'Adderbury Stock'!S9</f>
        <v/>
      </c>
    </row>
    <row r="92">
      <c r="A92" s="15" t="inlineStr">
        <is>
          <t>Colts (1 year)</t>
        </is>
      </c>
      <c r="B92" s="76">
        <f>'Adderbury Stock'!B10</f>
        <v/>
      </c>
      <c r="C92" s="76">
        <f>'Adderbury Stock'!K10</f>
        <v/>
      </c>
      <c r="D92" s="76">
        <f>'Adderbury Overview'!C92-'Adderbury Overview'!B92</f>
        <v/>
      </c>
      <c r="F92" s="84">
        <f>'Adderbury Stock'!P10</f>
        <v/>
      </c>
      <c r="G92" s="84">
        <f>'Adderbury Stock'!S10</f>
        <v/>
      </c>
    </row>
    <row r="93">
      <c r="A93" s="15" t="inlineStr">
        <is>
          <t>Foals</t>
        </is>
      </c>
      <c r="B93" s="76">
        <f>'Adderbury Stock'!B11</f>
        <v/>
      </c>
      <c r="C93" s="76">
        <f>'Adderbury Stock'!K11</f>
        <v/>
      </c>
      <c r="D93" s="76">
        <f>'Adderbury Overview'!C93-'Adderbury Overview'!B93</f>
        <v/>
      </c>
      <c r="F93" s="84">
        <f>'Adderbury Stock'!P11</f>
        <v/>
      </c>
      <c r="G93" s="84">
        <f>'Adderbury Stock'!S11</f>
        <v/>
      </c>
    </row>
    <row r="94">
      <c r="A94" s="15" t="inlineStr">
        <is>
          <t>Oxen</t>
        </is>
      </c>
      <c r="B94" s="76">
        <f>'Adderbury Stock'!B12</f>
        <v/>
      </c>
      <c r="C94" s="76">
        <f>'Adderbury Stock'!K12</f>
        <v/>
      </c>
      <c r="D94" s="76">
        <f>'Adderbury Overview'!C94-'Adderbury Overview'!B94</f>
        <v/>
      </c>
      <c r="F94" s="84">
        <f>'Adderbury Stock'!P12</f>
        <v/>
      </c>
      <c r="G94" s="84">
        <f>'Adderbury Stock'!S12</f>
        <v/>
      </c>
    </row>
    <row r="95">
      <c r="A95" s="15" t="inlineStr">
        <is>
          <t>Bulls</t>
        </is>
      </c>
      <c r="B95" s="76">
        <f>'Adderbury Stock'!B13</f>
        <v/>
      </c>
      <c r="C95" s="76">
        <f>'Adderbury Stock'!K13</f>
        <v/>
      </c>
      <c r="D95" s="76">
        <f>'Adderbury Overview'!C95-'Adderbury Overview'!B95</f>
        <v/>
      </c>
      <c r="F95" s="84">
        <f>'Adderbury Stock'!P13</f>
        <v/>
      </c>
      <c r="G95" s="84">
        <f>'Adderbury Stock'!S13</f>
        <v/>
      </c>
    </row>
    <row r="96">
      <c r="A96" s="15" t="inlineStr">
        <is>
          <t>Cows</t>
        </is>
      </c>
      <c r="B96" s="76">
        <f>'Adderbury Stock'!B14</f>
        <v/>
      </c>
      <c r="C96" s="76">
        <f>'Adderbury Stock'!K14</f>
        <v/>
      </c>
      <c r="D96" s="76">
        <f>'Adderbury Overview'!C96-'Adderbury Overview'!B96</f>
        <v/>
      </c>
      <c r="F96" s="84">
        <f>'Adderbury Stock'!P14</f>
        <v/>
      </c>
      <c r="G96" s="84">
        <f>'Adderbury Stock'!S14</f>
        <v/>
      </c>
    </row>
    <row r="97">
      <c r="A97" s="15" t="inlineStr">
        <is>
          <t>Steers</t>
        </is>
      </c>
      <c r="B97" s="76">
        <f>'Adderbury Stock'!B15</f>
        <v/>
      </c>
      <c r="C97" s="76">
        <f>'Adderbury Stock'!K15</f>
        <v/>
      </c>
      <c r="D97" s="76">
        <f>'Adderbury Overview'!C97-'Adderbury Overview'!B97</f>
        <v/>
      </c>
      <c r="F97" s="84">
        <f>'Adderbury Stock'!P15</f>
        <v/>
      </c>
      <c r="G97" s="84">
        <f>'Adderbury Stock'!S15</f>
        <v/>
      </c>
    </row>
    <row r="98">
      <c r="A98" s="15" t="inlineStr">
        <is>
          <t>Bullocks</t>
        </is>
      </c>
      <c r="B98" s="76">
        <f>'Adderbury Stock'!B16</f>
        <v/>
      </c>
      <c r="C98" s="76">
        <f>'Adderbury Stock'!K16</f>
        <v/>
      </c>
      <c r="D98" s="76">
        <f>'Adderbury Overview'!C98-'Adderbury Overview'!B98</f>
        <v/>
      </c>
      <c r="F98" s="84">
        <f>'Adderbury Stock'!P16</f>
        <v/>
      </c>
      <c r="G98" s="84">
        <f>'Adderbury Stock'!S16</f>
        <v/>
      </c>
    </row>
    <row r="99">
      <c r="A99" s="15" t="inlineStr">
        <is>
          <t>Yearlings</t>
        </is>
      </c>
      <c r="B99" s="76">
        <f>'Adderbury Stock'!B17</f>
        <v/>
      </c>
      <c r="C99" s="76">
        <f>'Adderbury Stock'!K17</f>
        <v/>
      </c>
      <c r="D99" s="76">
        <f>'Adderbury Overview'!C99-'Adderbury Overview'!B99</f>
        <v/>
      </c>
      <c r="F99" s="84">
        <f>'Adderbury Stock'!P17</f>
        <v/>
      </c>
      <c r="G99" s="84">
        <f>'Adderbury Stock'!S17</f>
        <v/>
      </c>
    </row>
    <row r="100">
      <c r="A100" s="15" t="inlineStr">
        <is>
          <t>Calves</t>
        </is>
      </c>
      <c r="B100" s="76">
        <f>'Adderbury Stock'!B18</f>
        <v/>
      </c>
      <c r="C100" s="76">
        <f>'Adderbury Stock'!K18</f>
        <v/>
      </c>
      <c r="D100" s="76">
        <f>'Adderbury Overview'!C100-'Adderbury Overview'!B100</f>
        <v/>
      </c>
      <c r="F100" s="84">
        <f>'Adderbury Stock'!P18</f>
        <v/>
      </c>
      <c r="G100" s="84">
        <f>'Adderbury Stock'!S18</f>
        <v/>
      </c>
    </row>
    <row r="101">
      <c r="A101" s="15" t="inlineStr">
        <is>
          <t>Wethers</t>
        </is>
      </c>
      <c r="B101" s="76">
        <f>'Adderbury Stock'!B19</f>
        <v/>
      </c>
      <c r="C101" s="76">
        <f>'Adderbury Stock'!K19</f>
        <v/>
      </c>
      <c r="D101" s="76">
        <f>'Adderbury Overview'!C101-'Adderbury Overview'!B101</f>
        <v/>
      </c>
      <c r="F101" s="84">
        <f>'Adderbury Stock'!P19</f>
        <v/>
      </c>
      <c r="G101" s="84">
        <f>'Adderbury Stock'!S19</f>
        <v/>
      </c>
    </row>
    <row r="102">
      <c r="A102" s="15" t="inlineStr">
        <is>
          <t>Rams</t>
        </is>
      </c>
      <c r="B102" s="76">
        <f>'Adderbury Stock'!B20</f>
        <v/>
      </c>
      <c r="C102" s="76">
        <f>'Adderbury Stock'!K20</f>
        <v/>
      </c>
      <c r="D102" s="76">
        <f>'Adderbury Overview'!C102-'Adderbury Overview'!B102</f>
        <v/>
      </c>
      <c r="F102" s="84">
        <f>'Adderbury Stock'!P20</f>
        <v/>
      </c>
      <c r="G102" s="84">
        <f>'Adderbury Stock'!S20</f>
        <v/>
      </c>
    </row>
    <row r="103">
      <c r="A103" s="15" t="inlineStr">
        <is>
          <t>Ewes</t>
        </is>
      </c>
      <c r="B103" s="76">
        <f>'Adderbury Stock'!B21</f>
        <v/>
      </c>
      <c r="C103" s="76">
        <f>'Adderbury Stock'!K21</f>
        <v/>
      </c>
      <c r="D103" s="76">
        <f>'Adderbury Overview'!C103-'Adderbury Overview'!B103</f>
        <v/>
      </c>
      <c r="F103" s="84">
        <f>'Adderbury Stock'!P21</f>
        <v/>
      </c>
      <c r="G103" s="84">
        <f>'Adderbury Stock'!S21</f>
        <v/>
      </c>
    </row>
    <row r="104">
      <c r="A104" s="15" t="inlineStr">
        <is>
          <t>Hoggs</t>
        </is>
      </c>
      <c r="B104" s="76">
        <f>'Adderbury Stock'!B22</f>
        <v/>
      </c>
      <c r="C104" s="76">
        <f>'Adderbury Stock'!K22</f>
        <v/>
      </c>
      <c r="D104" s="76">
        <f>'Adderbury Overview'!C104-'Adderbury Overview'!B104</f>
        <v/>
      </c>
      <c r="F104" s="84">
        <f>'Adderbury Stock'!P22</f>
        <v/>
      </c>
      <c r="G104" s="84">
        <f>'Adderbury Stock'!S22</f>
        <v/>
      </c>
    </row>
    <row r="105">
      <c r="A105" s="15" t="inlineStr">
        <is>
          <t>Lambs</t>
        </is>
      </c>
      <c r="B105" s="76">
        <f>'Adderbury Stock'!B23</f>
        <v/>
      </c>
      <c r="C105" s="76">
        <f>'Adderbury Stock'!K23</f>
        <v/>
      </c>
      <c r="D105" s="76">
        <f>'Adderbury Overview'!C105-'Adderbury Overview'!B105</f>
        <v/>
      </c>
      <c r="F105" s="84">
        <f>'Adderbury Stock'!P23</f>
        <v/>
      </c>
      <c r="G105" s="84">
        <f>'Adderbury Stock'!S23</f>
        <v/>
      </c>
    </row>
    <row r="106">
      <c r="A106" s="15" t="inlineStr">
        <is>
          <t>Boars</t>
        </is>
      </c>
      <c r="B106" s="76">
        <f>'Adderbury Stock'!B24</f>
        <v/>
      </c>
      <c r="C106" s="76">
        <f>'Adderbury Stock'!K24</f>
        <v/>
      </c>
      <c r="D106" s="76">
        <f>'Adderbury Overview'!C106-'Adderbury Overview'!B106</f>
        <v/>
      </c>
      <c r="F106" s="84">
        <f>'Adderbury Stock'!P24</f>
        <v/>
      </c>
      <c r="G106" s="84">
        <f>'Adderbury Stock'!S24</f>
        <v/>
      </c>
    </row>
    <row r="107">
      <c r="A107" s="15" t="inlineStr">
        <is>
          <t>Sows</t>
        </is>
      </c>
      <c r="B107" s="76">
        <f>'Adderbury Stock'!B25</f>
        <v/>
      </c>
      <c r="C107" s="76">
        <f>'Adderbury Stock'!K25</f>
        <v/>
      </c>
      <c r="D107" s="76">
        <f>'Adderbury Overview'!C107-'Adderbury Overview'!B107</f>
        <v/>
      </c>
      <c r="F107" s="84">
        <f>'Adderbury Stock'!P25</f>
        <v/>
      </c>
      <c r="G107" s="84">
        <f>'Adderbury Stock'!S25</f>
        <v/>
      </c>
    </row>
    <row r="108">
      <c r="A108" s="15" t="inlineStr">
        <is>
          <t>Pigs</t>
        </is>
      </c>
      <c r="B108" s="76">
        <f>'Adderbury Stock'!B26</f>
        <v/>
      </c>
      <c r="C108" s="76">
        <f>'Adderbury Stock'!K26</f>
        <v/>
      </c>
      <c r="D108" s="76">
        <f>'Adderbury Overview'!C108-'Adderbury Overview'!B108</f>
        <v/>
      </c>
      <c r="F108" s="84">
        <f>'Adderbury Stock'!P26</f>
        <v/>
      </c>
      <c r="G108" s="84">
        <f>'Adderbury Stock'!S26</f>
        <v/>
      </c>
    </row>
    <row r="109">
      <c r="A109" s="15" t="inlineStr">
        <is>
          <t>Hoggets</t>
        </is>
      </c>
      <c r="B109" s="76">
        <f>'Adderbury Stock'!B27</f>
        <v/>
      </c>
      <c r="C109" s="76">
        <f>'Adderbury Stock'!K27</f>
        <v/>
      </c>
      <c r="D109" s="76">
        <f>'Adderbury Overview'!C109-'Adderbury Overview'!B109</f>
        <v/>
      </c>
      <c r="F109" s="84">
        <f>'Adderbury Stock'!P27</f>
        <v/>
      </c>
      <c r="G109" s="84">
        <f>'Adderbury Stock'!S27</f>
        <v/>
      </c>
    </row>
    <row r="110">
      <c r="A110" s="15" t="inlineStr">
        <is>
          <t>Piglets</t>
        </is>
      </c>
      <c r="B110" s="76">
        <f>'Adderbury Stock'!B28</f>
        <v/>
      </c>
      <c r="C110" s="76">
        <f>'Adderbury Stock'!K28</f>
        <v/>
      </c>
      <c r="D110" s="76">
        <f>'Adderbury Overview'!C110-'Adderbury Overview'!B110</f>
        <v/>
      </c>
      <c r="F110" s="84">
        <f>'Adderbury Stock'!P28</f>
        <v/>
      </c>
      <c r="G110" s="84">
        <f>'Adderbury Stock'!S28</f>
        <v/>
      </c>
    </row>
    <row r="111">
      <c r="A111" s="15" t="inlineStr">
        <is>
          <t>Swans</t>
        </is>
      </c>
      <c r="B111" s="76">
        <f>'Adderbury Stock'!B29</f>
        <v/>
      </c>
      <c r="C111" s="76">
        <f>'Adderbury Stock'!K29</f>
        <v/>
      </c>
      <c r="D111" s="76">
        <f>'Adderbury Overview'!C111-'Adderbury Overview'!B111</f>
        <v/>
      </c>
      <c r="F111" s="84">
        <f>'Adderbury Stock'!P29</f>
        <v/>
      </c>
      <c r="G111" s="84">
        <f>'Adderbury Stock'!S29</f>
        <v/>
      </c>
    </row>
    <row r="112">
      <c r="A112" s="15" t="inlineStr">
        <is>
          <t>Peacocks</t>
        </is>
      </c>
      <c r="B112" s="76">
        <f>'Adderbury Stock'!B30</f>
        <v/>
      </c>
      <c r="C112" s="76">
        <f>'Adderbury Stock'!K30</f>
        <v/>
      </c>
      <c r="D112" s="76">
        <f>'Adderbury Overview'!C112-'Adderbury Overview'!B112</f>
        <v/>
      </c>
      <c r="F112" s="84">
        <f>'Adderbury Stock'!P30</f>
        <v/>
      </c>
      <c r="G112" s="84">
        <f>'Adderbury Stock'!S30</f>
        <v/>
      </c>
    </row>
    <row r="113">
      <c r="A113" s="17" t="inlineStr">
        <is>
          <t>Total value of stock (sum of the above)</t>
        </is>
      </c>
      <c r="B113" s="93" t="n"/>
      <c r="C113" s="94" t="n"/>
      <c r="D113" s="93" t="n"/>
      <c r="E113" s="93" t="n"/>
      <c r="F113" s="107">
        <f>SUM(F87:F112)</f>
        <v/>
      </c>
      <c r="G113" s="107">
        <f>'Adderbury Stock'!S31</f>
        <v/>
      </c>
    </row>
    <row r="114">
      <c r="A114" s="17" t="inlineStr">
        <is>
          <t>Total value of production</t>
        </is>
      </c>
      <c r="B114" s="93" t="n"/>
      <c r="C114" s="94" t="n"/>
      <c r="D114" s="93" t="n"/>
      <c r="E114" s="93" t="n"/>
      <c r="F114" s="107">
        <f>SUM('Adderbury Stock'!T5:T29)</f>
        <v/>
      </c>
      <c r="G114" s="107" t="n"/>
    </row>
    <row r="115">
      <c r="A115" s="17" t="inlineStr">
        <is>
          <t>Value of sales</t>
        </is>
      </c>
      <c r="B115" s="93" t="n"/>
      <c r="C115" s="94" t="n"/>
      <c r="D115" s="93" t="n"/>
      <c r="E115" s="93" t="n"/>
      <c r="F115" s="107">
        <f>SUM('Adderbury Stock'!R5:R23)</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row>
    <row r="120">
      <c r="A120" s="15" t="inlineStr">
        <is>
          <t>Lamb's wool</t>
        </is>
      </c>
    </row>
    <row r="121">
      <c r="A121" s="15" t="inlineStr">
        <is>
          <t>Wool locks</t>
        </is>
      </c>
    </row>
    <row r="122">
      <c r="A122" s="15" t="inlineStr">
        <is>
          <t>Wool sold at shearing</t>
        </is>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c r="F128" s="76" t="n">
        <v>1</v>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f t="array" ref="F147">SUM(F127:F133+F138+F143+F144:F146)</f>
        <v/>
      </c>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'Adderbury Stock'!B67</f>
        <v/>
      </c>
      <c r="C151" s="76">
        <f>'Adderbury Stock'!K67</f>
        <v/>
      </c>
      <c r="D151" s="76">
        <f>C151-B151</f>
        <v/>
      </c>
      <c r="F151" s="76">
        <f>'Adderbury Stock'!Q67</f>
        <v/>
      </c>
      <c r="G151" s="96" t="n"/>
    </row>
    <row r="152">
      <c r="A152" s="15" t="inlineStr">
        <is>
          <t>Geese</t>
        </is>
      </c>
      <c r="B152" s="76">
        <f>'Adderbury Stock'!B68</f>
        <v/>
      </c>
      <c r="C152" s="76">
        <f>'Adderbury Stock'!K68</f>
        <v/>
      </c>
      <c r="D152" s="76">
        <f>C152-B152</f>
        <v/>
      </c>
      <c r="F152" s="76">
        <f>'Adderbury Stock'!Q68</f>
        <v/>
      </c>
    </row>
    <row r="153">
      <c r="A153" s="15" t="inlineStr">
        <is>
          <t>Capons (from chickens)</t>
        </is>
      </c>
      <c r="B153" s="76">
        <f>'Adderbury Stock'!B69</f>
        <v/>
      </c>
      <c r="C153" s="76">
        <f>'Adderbury Stock'!K69</f>
        <v/>
      </c>
      <c r="D153" s="76">
        <f>C153-B153</f>
        <v/>
      </c>
      <c r="F153" s="76">
        <f>'Adderbury Stock'!Q69</f>
        <v/>
      </c>
    </row>
    <row r="154">
      <c r="A154" s="15" t="inlineStr">
        <is>
          <t>Cocks &amp; hens</t>
        </is>
      </c>
      <c r="B154" s="76">
        <f>'Adderbury Stock'!B70</f>
        <v/>
      </c>
      <c r="C154" s="76">
        <f>'Adderbury Stock'!K70</f>
        <v/>
      </c>
      <c r="D154" s="76">
        <f>C154-B154</f>
        <v/>
      </c>
      <c r="F154" s="76">
        <f>'Adderbury 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SUM('Adderbury Stock'!R69:R70)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G159" s="116" t="n"/>
    </row>
    <row r="160">
      <c r="A160" s="15" t="inlineStr">
        <is>
          <t>Cocks &amp; hens from churchscot of customary tenants</t>
        </is>
      </c>
    </row>
    <row r="161">
      <c r="A161" s="15" t="inlineStr">
        <is>
          <t>Sum of above</t>
        </is>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G166" s="116" t="n"/>
    </row>
    <row r="167">
      <c r="A167" s="15" t="inlineStr">
        <is>
          <t>Winter Cheese</t>
        </is>
      </c>
    </row>
    <row r="168">
      <c r="A168" s="15" t="inlineStr">
        <is>
          <t>Summer Cheese</t>
        </is>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F170+F163+F156+F148+F124+F115+E73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128"/>
  <sheetViews>
    <sheetView workbookViewId="0">
      <pane xSplit="1" ySplit="4" topLeftCell="B44" activePane="bottomRight" state="frozen"/>
      <selection pane="topRight" activeCell="B1" sqref="B1"/>
      <selection pane="bottomLeft" activeCell="A5" sqref="A5"/>
      <selection pane="bottomRight" activeCell="A59" sqref="A59"/>
    </sheetView>
  </sheetViews>
  <sheetFormatPr baseColWidth="8" defaultColWidth="8.81640625" defaultRowHeight="14.5"/>
  <cols>
    <col width="44.36328125" bestFit="1" customWidth="1" min="1" max="1"/>
    <col width="14.36328125" customWidth="1" min="2" max="2"/>
    <col width="9.81640625" bestFit="1" customWidth="1" min="6" max="6"/>
    <col width="16.6328125" bestFit="1" customWidth="1" min="7" max="7"/>
    <col width="16.1796875" customWidth="1" min="10" max="10"/>
    <col width="11.453125" customWidth="1" min="11" max="11"/>
    <col width="8.453125" bestFit="1" customWidth="1" min="13" max="13"/>
    <col width="10.6328125" customWidth="1" min="14" max="14"/>
    <col width="16.6328125" customWidth="1" style="72" min="16" max="16"/>
    <col width="17.36328125" customWidth="1" min="17" max="17"/>
    <col width="16.1796875" customWidth="1" min="19" max="20"/>
    <col width="13.1796875" customWidth="1" min="21" max="21"/>
  </cols>
  <sheetData>
    <row r="1" ht="15.5" customHeight="1">
      <c r="A1" s="12" t="inlineStr">
        <is>
          <t>ESHER_1248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0</v>
      </c>
      <c r="C12" t="n">
        <v>0</v>
      </c>
      <c r="H12" t="n">
        <v>0</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0</v>
      </c>
      <c r="C19" t="n">
        <v>0</v>
      </c>
      <c r="H19" t="n">
        <v>0</v>
      </c>
      <c r="I19" t="n">
        <v>0</v>
      </c>
      <c r="L19">
        <f>B19+C19-H19</f>
        <v/>
      </c>
      <c r="M19">
        <f>L19-B19</f>
        <v/>
      </c>
      <c r="N19">
        <f>C19</f>
        <v/>
      </c>
      <c r="O19" t="n">
        <v>0</v>
      </c>
      <c r="P19" s="72">
        <f>O19*K19</f>
        <v/>
      </c>
      <c r="R19" t="n">
        <v>0</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L316"/>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Quarters 4</t>
        </is>
      </c>
      <c r="T1" t="inlineStr">
        <is>
          <t>Bushels 4</t>
        </is>
      </c>
      <c r="U1" t="inlineStr">
        <is>
          <t>Quarters 5</t>
        </is>
      </c>
      <c r="V1" t="inlineStr">
        <is>
          <t>Bushels 5</t>
        </is>
      </c>
      <c r="W1" t="inlineStr">
        <is>
          <t>shilling a quarter 1</t>
        </is>
      </c>
      <c r="X1" t="inlineStr">
        <is>
          <t>pence a quarter 1</t>
        </is>
      </c>
      <c r="Y1" t="inlineStr">
        <is>
          <t>shilling a quarter 2</t>
        </is>
      </c>
      <c r="Z1" t="inlineStr">
        <is>
          <t>pence a quarter 2</t>
        </is>
      </c>
      <c r="AA1" t="inlineStr">
        <is>
          <t>shilling a quarter 3</t>
        </is>
      </c>
      <c r="AB1" t="inlineStr">
        <is>
          <t>pence a quarter 3</t>
        </is>
      </c>
      <c r="AC1" t="inlineStr">
        <is>
          <t>shilling a quarter 4</t>
        </is>
      </c>
      <c r="AD1" t="inlineStr">
        <is>
          <t>pence a quarter 4</t>
        </is>
      </c>
      <c r="AE1" t="inlineStr">
        <is>
          <t>shilling a bushel 1</t>
        </is>
      </c>
      <c r="AF1" t="inlineStr">
        <is>
          <t>pence a bushel 1</t>
        </is>
      </c>
      <c r="AG1" t="inlineStr">
        <is>
          <t>shilling a bushel 2</t>
        </is>
      </c>
      <c r="AH1" t="inlineStr">
        <is>
          <t>pence a bushel 2</t>
        </is>
      </c>
      <c r="AI1" t="inlineStr">
        <is>
          <t>shilling a bushel 3</t>
        </is>
      </c>
      <c r="AJ1" t="inlineStr">
        <is>
          <t>pence a bushel 3</t>
        </is>
      </c>
      <c r="AK1" t="inlineStr">
        <is>
          <t>shilling a bushel 4</t>
        </is>
      </c>
      <c r="AL1" t="inlineStr">
        <is>
          <t>pence a bushel 4</t>
        </is>
      </c>
    </row>
    <row r="2">
      <c r="A2" t="inlineStr">
        <is>
          <t>5. c. 29 september 1248 to c. 29 september 1249</t>
        </is>
      </c>
      <c r="B2" t="inlineStr">
        <is>
          <t>this account reveals that work on the manor of esher continued in 1248/9 and provides a sharper sense of the intention behind the development of the residence and the use to which demesne resources were put.</t>
        </is>
      </c>
      <c r="C2" t="n">
        <v>0</v>
      </c>
      <c r="D2" t="n">
        <v>0</v>
      </c>
      <c r="E2" t="n">
        <v>0</v>
      </c>
      <c r="F2" t="n">
        <v>0</v>
      </c>
      <c r="H2" t="n">
        <v>0</v>
      </c>
      <c r="I2" t="n">
        <v>0</v>
      </c>
      <c r="J2" t="n">
        <v>0</v>
      </c>
      <c r="K2" t="n">
        <v>0</v>
      </c>
      <c r="L2" t="n">
        <v>0</v>
      </c>
      <c r="M2" t="n">
        <v>0</v>
      </c>
      <c r="N2" t="n">
        <v>0</v>
      </c>
    </row>
    <row r="3">
      <c r="A3" t="inlineStr">
        <is>
          <t>5. c. 29 september 1248 to c. 29 september 1249</t>
        </is>
      </c>
      <c r="B3" t="inlineStr">
        <is>
          <t>the importance of proximity to the king and his court is indicated by the steward’s presence at east bedfont (middlesex), the main manor held by the castellan of windsor castle.</t>
        </is>
      </c>
      <c r="C3" t="n">
        <v>0</v>
      </c>
      <c r="D3" t="n">
        <v>0</v>
      </c>
      <c r="E3" t="n">
        <v>0</v>
      </c>
      <c r="F3" t="n">
        <v>0</v>
      </c>
      <c r="H3" t="n">
        <v>0</v>
      </c>
      <c r="I3" t="n">
        <v>0</v>
      </c>
      <c r="J3" t="n">
        <v>0</v>
      </c>
      <c r="K3" t="n">
        <v>0</v>
      </c>
      <c r="L3" t="n">
        <v>0</v>
      </c>
      <c r="M3" t="n">
        <v>0</v>
      </c>
      <c r="N3" t="n">
        <v>0</v>
      </c>
    </row>
    <row r="4">
      <c r="A4" t="inlineStr">
        <is>
          <t>5. c. 29 september 1248 to c. 29 september 1249</t>
        </is>
      </c>
      <c r="B4" t="inlineStr">
        <is>
          <t>judging by the fact that the bishop, william de raleigh, ordered the purchase of a new boat, proximity to a navigable river also seems to have deemed useful.</t>
        </is>
      </c>
      <c r="C4" t="n">
        <v>0</v>
      </c>
      <c r="D4" t="n">
        <v>0</v>
      </c>
      <c r="E4" t="n">
        <v>0</v>
      </c>
      <c r="F4" t="n">
        <v>0</v>
      </c>
      <c r="H4" t="n">
        <v>0</v>
      </c>
      <c r="I4" t="n">
        <v>0</v>
      </c>
      <c r="J4" t="n">
        <v>0</v>
      </c>
      <c r="K4" t="n">
        <v>0</v>
      </c>
      <c r="L4" t="n">
        <v>0</v>
      </c>
      <c r="M4" t="n">
        <v>0</v>
      </c>
      <c r="N4" t="n">
        <v>0</v>
      </c>
    </row>
    <row r="5">
      <c r="A5" t="inlineStr">
        <is>
          <t>5. c. 29 september 1248 to c. 29 september 1249</t>
        </is>
      </c>
      <c r="B5" t="inlineStr">
        <is>
          <t>given its relatively modest cost, this cannot have been a sizeable vessel and may have been intended primarily for the bishop’s personal use.</t>
        </is>
      </c>
      <c r="C5" t="n">
        <v>0</v>
      </c>
      <c r="D5" t="n">
        <v>0</v>
      </c>
      <c r="E5" t="n">
        <v>0</v>
      </c>
      <c r="F5" t="n">
        <v>0</v>
      </c>
      <c r="H5" t="n">
        <v>0</v>
      </c>
      <c r="I5" t="n">
        <v>0</v>
      </c>
      <c r="J5" t="n">
        <v>0</v>
      </c>
      <c r="K5" t="n">
        <v>0</v>
      </c>
      <c r="L5" t="n">
        <v>0</v>
      </c>
      <c r="M5" t="n">
        <v>0</v>
      </c>
      <c r="N5" t="n">
        <v>0</v>
      </c>
    </row>
    <row r="6">
      <c r="A6" t="inlineStr">
        <is>
          <t>5. c. 29 september 1248 to c. 29 september 1249</t>
        </is>
      </c>
      <c r="B6" t="inlineStr">
        <is>
          <t>although there is no clear-cut reference to the bishop sojourning at esher in this account, the visit of the archdeacon of sudbury (and the expenses and provisions this entailed) suggests that the bishop was present for long enough to conduct some business at the manor.</t>
        </is>
      </c>
      <c r="C6" t="n">
        <v>0</v>
      </c>
      <c r="D6" t="n">
        <v>0</v>
      </c>
      <c r="E6" t="n">
        <v>0</v>
      </c>
      <c r="F6" t="n">
        <v>0</v>
      </c>
      <c r="H6" t="n">
        <v>0</v>
      </c>
      <c r="I6" t="n">
        <v>0</v>
      </c>
      <c r="J6" t="n">
        <v>0</v>
      </c>
      <c r="K6" t="n">
        <v>0</v>
      </c>
      <c r="L6" t="n">
        <v>0</v>
      </c>
      <c r="M6" t="n">
        <v>0</v>
      </c>
      <c r="N6" t="n">
        <v>0</v>
      </c>
    </row>
    <row r="7">
      <c r="A7" t="inlineStr">
        <is>
          <t>5. c. 29 september 1248 to c. 29 september 1249</t>
        </is>
      </c>
      <c r="B7" t="inlineStr">
        <is>
          <t>similarly, the construction of ovens is indicative of residential intentions.</t>
        </is>
      </c>
      <c r="C7" t="n">
        <v>0</v>
      </c>
      <c r="D7" t="n">
        <v>0</v>
      </c>
      <c r="E7" t="n">
        <v>0</v>
      </c>
      <c r="F7" t="n">
        <v>0</v>
      </c>
      <c r="H7" t="n">
        <v>0</v>
      </c>
      <c r="I7" t="n">
        <v>0</v>
      </c>
      <c r="J7" t="n">
        <v>0</v>
      </c>
      <c r="K7" t="n">
        <v>0</v>
      </c>
      <c r="L7" t="n">
        <v>0</v>
      </c>
      <c r="M7" t="n">
        <v>0</v>
      </c>
      <c r="N7" t="n">
        <v>0</v>
      </c>
    </row>
    <row r="8">
      <c r="A8" t="inlineStr">
        <is>
          <t>5. c. 29 september 1248 to c. 29 september 1249</t>
        </is>
      </c>
      <c r="B8" t="inlineStr">
        <is>
          <t>indeed, the account appears to convey a desire to emphasise the status of this new residence: ditches were dug in front of the main gate.</t>
        </is>
      </c>
      <c r="C8" t="n">
        <v>0</v>
      </c>
      <c r="D8" t="n">
        <v>0</v>
      </c>
      <c r="E8" t="n">
        <v>0</v>
      </c>
      <c r="F8" t="n">
        <v>0</v>
      </c>
      <c r="H8" t="n">
        <v>0</v>
      </c>
      <c r="I8" t="n">
        <v>0</v>
      </c>
      <c r="J8" t="n">
        <v>0</v>
      </c>
      <c r="K8" t="n">
        <v>0</v>
      </c>
      <c r="L8" t="n">
        <v>0</v>
      </c>
      <c r="M8" t="n">
        <v>0</v>
      </c>
      <c r="N8" t="n">
        <v>0</v>
      </c>
    </row>
    <row r="9">
      <c r="A9" t="inlineStr">
        <is>
          <t>5. c. 29 september 1248 to c. 29 september 1249</t>
        </is>
      </c>
      <c r="B9" t="inlineStr">
        <is>
          <t>and a new garden was laid out, with an orchard containing pear and apple trees, and a vegetable plot.</t>
        </is>
      </c>
      <c r="C9" t="n">
        <v>0</v>
      </c>
      <c r="D9" t="n">
        <v>0</v>
      </c>
      <c r="E9" t="n">
        <v>0</v>
      </c>
      <c r="F9" t="n">
        <v>0</v>
      </c>
      <c r="H9" t="n">
        <v>0</v>
      </c>
      <c r="I9" t="n">
        <v>0</v>
      </c>
      <c r="J9" t="n">
        <v>0</v>
      </c>
      <c r="K9" t="n">
        <v>0</v>
      </c>
      <c r="L9" t="n">
        <v>0</v>
      </c>
      <c r="M9" t="n">
        <v>0</v>
      </c>
      <c r="N9" t="n">
        <v>0</v>
      </c>
    </row>
    <row r="10">
      <c r="A10" t="inlineStr">
        <is>
          <t>5. c. 29 september 1248 to c. 29 september 1249</t>
        </is>
      </c>
      <c r="B10" t="inlineStr">
        <is>
          <t>more generally, this account provides an excellent overview of the exploitation and use of demesne resources: wheat and rye, wool and cheese were sold.</t>
        </is>
      </c>
      <c r="C10" t="n">
        <v>0</v>
      </c>
      <c r="D10" t="n">
        <v>0</v>
      </c>
      <c r="E10" t="n">
        <v>0</v>
      </c>
      <c r="F10" t="n">
        <v>0</v>
      </c>
      <c r="G10" t="inlineStr">
        <is>
          <t>wheat, rye</t>
        </is>
      </c>
      <c r="H10" t="n">
        <v>0</v>
      </c>
      <c r="I10" t="n">
        <v>0</v>
      </c>
      <c r="J10" t="n">
        <v>0</v>
      </c>
      <c r="K10" t="n">
        <v>0</v>
      </c>
      <c r="L10" t="n">
        <v>0</v>
      </c>
      <c r="M10" t="n">
        <v>0</v>
      </c>
      <c r="N10" t="n">
        <v>0</v>
      </c>
    </row>
    <row r="11">
      <c r="A11" t="inlineStr">
        <is>
          <t>5. c. 29 september 1248 to c. 29 september 1249</t>
        </is>
      </c>
      <c r="B11" t="inlineStr">
        <is>
          <t>most of the workforce were given coarse loaves made from barley, though others (including the estate steward) received wheaten bread.</t>
        </is>
      </c>
      <c r="C11" t="n">
        <v>0</v>
      </c>
      <c r="D11" t="n">
        <v>0</v>
      </c>
      <c r="E11" t="n">
        <v>0</v>
      </c>
      <c r="F11" t="n">
        <v>0</v>
      </c>
      <c r="G11" t="inlineStr">
        <is>
          <t>wheat, barley</t>
        </is>
      </c>
      <c r="H11" t="n">
        <v>0</v>
      </c>
      <c r="I11" t="n">
        <v>0</v>
      </c>
      <c r="J11" t="n">
        <v>0</v>
      </c>
      <c r="K11" t="n">
        <v>0</v>
      </c>
      <c r="L11" t="n">
        <v>0</v>
      </c>
      <c r="M11" t="n">
        <v>0</v>
      </c>
      <c r="N11" t="n">
        <v>0</v>
      </c>
    </row>
    <row r="12">
      <c r="A12" t="inlineStr">
        <is>
          <t>5. c. 29 september 1248 to c. 29 september 1249</t>
        </is>
      </c>
      <c r="B12" t="inlineStr">
        <is>
          <t>and large quantities of oats were needed to feed the demesne horses as well as those of visiting dignitaries and estate officials.</t>
        </is>
      </c>
      <c r="C12" t="n">
        <v>0</v>
      </c>
      <c r="D12" t="n">
        <v>0</v>
      </c>
      <c r="E12" t="n">
        <v>0</v>
      </c>
      <c r="F12" t="n">
        <v>0</v>
      </c>
      <c r="G12" t="inlineStr">
        <is>
          <t>oats</t>
        </is>
      </c>
      <c r="H12" t="n">
        <v>0</v>
      </c>
      <c r="I12" t="n">
        <v>0</v>
      </c>
      <c r="J12" t="n">
        <v>0</v>
      </c>
      <c r="K12" t="n">
        <v>0</v>
      </c>
      <c r="L12" t="n">
        <v>0</v>
      </c>
      <c r="M12" t="n">
        <v>0</v>
      </c>
      <c r="N12" t="n">
        <v>0</v>
      </c>
    </row>
    <row r="13">
      <c r="A13" t="inlineStr">
        <is>
          <t>5. c. 29 september 1248 to c. 29 september 1249</t>
        </is>
      </c>
      <c r="B13" t="inlineStr">
        <is>
          <t>unusually, the account ends with a larder account, detailing in particular the supply of pigs from other manors on the estate and the provision of sausages for visitors.</t>
        </is>
      </c>
      <c r="C13" t="n">
        <v>0</v>
      </c>
      <c r="D13" t="n">
        <v>0</v>
      </c>
      <c r="E13" t="n">
        <v>0</v>
      </c>
      <c r="F13" t="n">
        <v>0</v>
      </c>
      <c r="H13" t="n">
        <v>0</v>
      </c>
      <c r="I13" t="n">
        <v>0</v>
      </c>
      <c r="J13" t="n">
        <v>0</v>
      </c>
      <c r="K13" t="n">
        <v>0</v>
      </c>
      <c r="L13" t="n">
        <v>0</v>
      </c>
      <c r="M13" t="n">
        <v>0</v>
      </c>
      <c r="N13" t="n">
        <v>0</v>
      </c>
    </row>
    <row r="14">
      <c r="A14" t="inlineStr">
        <is>
          <t>5. c. 29 september 1248 to c. 29 september 1249</t>
        </is>
      </c>
      <c r="B14" t="inlineStr">
        <is>
          <t>it is also clear that little was wasted: the trotters, legs, and entrails of these pigs were used on the farm.</t>
        </is>
      </c>
      <c r="C14" t="n">
        <v>0</v>
      </c>
      <c r="D14" t="n">
        <v>0</v>
      </c>
      <c r="E14" t="n">
        <v>0</v>
      </c>
      <c r="F14" t="n">
        <v>0</v>
      </c>
      <c r="H14" t="n">
        <v>0</v>
      </c>
      <c r="I14" t="n">
        <v>0</v>
      </c>
      <c r="J14" t="n">
        <v>0</v>
      </c>
      <c r="K14" t="n">
        <v>0</v>
      </c>
      <c r="L14" t="n">
        <v>0</v>
      </c>
      <c r="M14" t="n">
        <v>0</v>
      </c>
      <c r="N14" t="n">
        <v>0</v>
      </c>
    </row>
    <row r="15">
      <c r="A15" t="inlineStr">
        <is>
          <t>5. c. 29 september 1248 to c. 29 september 1249</t>
        </is>
      </c>
      <c r="B15" t="inlineStr">
        <is>
          <t>while an earlier paragraph in the account details the sale of their lard, blood, and ears.</t>
        </is>
      </c>
      <c r="C15" t="n">
        <v>0</v>
      </c>
      <c r="D15" t="n">
        <v>0</v>
      </c>
      <c r="E15" t="n">
        <v>0</v>
      </c>
      <c r="F15" t="n">
        <v>0</v>
      </c>
      <c r="H15" t="n">
        <v>0</v>
      </c>
      <c r="I15" t="n">
        <v>0</v>
      </c>
      <c r="J15" t="n">
        <v>0</v>
      </c>
      <c r="K15" t="n">
        <v>0</v>
      </c>
      <c r="L15" t="n">
        <v>0</v>
      </c>
      <c r="M15" t="n">
        <v>0</v>
      </c>
      <c r="N15" t="n">
        <v>0</v>
      </c>
    </row>
    <row r="16">
      <c r="A16" t="inlineStr">
        <is>
          <t>5. c. 29 september 1248 to c. 29 september 1249</t>
        </is>
      </c>
      <c r="B16" t="inlineStr">
        <is>
          <t>hro, 11m59/b.52, not 27r, 27v.</t>
        </is>
      </c>
      <c r="C16" t="n">
        <v>0</v>
      </c>
      <c r="D16" t="n">
        <v>0</v>
      </c>
      <c r="E16" t="n">
        <v>0</v>
      </c>
      <c r="F16" t="n">
        <v>0</v>
      </c>
      <c r="H16" t="n">
        <v>0</v>
      </c>
      <c r="I16" t="n">
        <v>0</v>
      </c>
      <c r="J16" t="n">
        <v>0</v>
      </c>
      <c r="K16" t="n">
        <v>0</v>
      </c>
      <c r="L16" t="n">
        <v>0</v>
      </c>
      <c r="M16" t="n">
        <v>0</v>
      </c>
      <c r="N16" t="n">
        <v>0</v>
      </c>
    </row>
    <row r="17">
      <c r="A17" t="inlineStr">
        <is>
          <t>arrears</t>
        </is>
      </c>
      <c r="B17" t="inlineStr">
        <is>
          <t>stephen the serjeant and richard walerand the reeve render account for 19 shilling 8 pence of arrears from the preceding year.</t>
        </is>
      </c>
      <c r="C17" t="n">
        <v>0.98</v>
      </c>
      <c r="D17" t="n">
        <v>0</v>
      </c>
      <c r="E17" t="n">
        <v>19</v>
      </c>
      <c r="F17" t="n">
        <v>8</v>
      </c>
      <c r="H17" t="n">
        <v>0</v>
      </c>
      <c r="I17" t="n">
        <v>0</v>
      </c>
      <c r="J17" t="n">
        <v>0</v>
      </c>
      <c r="K17" t="n">
        <v>0</v>
      </c>
      <c r="L17" t="n">
        <v>0</v>
      </c>
      <c r="M17" t="n">
        <v>0</v>
      </c>
      <c r="N17" t="n">
        <v>0</v>
      </c>
    </row>
    <row r="18">
      <c r="A18" t="inlineStr">
        <is>
          <t>arrears</t>
        </is>
      </c>
      <c r="B18" t="inlineStr">
        <is>
          <t>and for 3 shilling from 2 quarters of oats.</t>
        </is>
      </c>
      <c r="C18" t="n">
        <v>0.15</v>
      </c>
      <c r="D18" t="n">
        <v>0</v>
      </c>
      <c r="E18" t="n">
        <v>3</v>
      </c>
      <c r="F18" t="n">
        <v>0</v>
      </c>
      <c r="G18" t="inlineStr">
        <is>
          <t>oats</t>
        </is>
      </c>
      <c r="H18" t="n">
        <v>2</v>
      </c>
      <c r="I18" t="n">
        <v>0</v>
      </c>
      <c r="J18" t="n">
        <v>2</v>
      </c>
      <c r="K18" t="n">
        <v>2</v>
      </c>
      <c r="L18" t="n">
        <v>0</v>
      </c>
      <c r="M18" t="n">
        <v>2</v>
      </c>
      <c r="N18" t="n">
        <v>0</v>
      </c>
    </row>
    <row r="19">
      <c r="A19" t="inlineStr">
        <is>
          <t>arrears</t>
        </is>
      </c>
      <c r="B19" t="inlineStr">
        <is>
          <t>and for 3 shilling 10 pence of arrears from the third year.</t>
        </is>
      </c>
      <c r="C19" t="n">
        <v>0.19</v>
      </c>
      <c r="D19" t="n">
        <v>0</v>
      </c>
      <c r="E19" t="n">
        <v>3</v>
      </c>
      <c r="F19" t="n">
        <v>10</v>
      </c>
      <c r="H19" t="n">
        <v>0</v>
      </c>
      <c r="I19" t="n">
        <v>0</v>
      </c>
      <c r="J19" t="n">
        <v>0</v>
      </c>
      <c r="K19" t="n">
        <v>0</v>
      </c>
      <c r="L19" t="n">
        <v>0</v>
      </c>
      <c r="M19" t="n">
        <v>0</v>
      </c>
      <c r="N19" t="n">
        <v>0</v>
      </c>
    </row>
    <row r="20">
      <c r="A20" t="inlineStr">
        <is>
          <t>arrears</t>
        </is>
      </c>
      <c r="B20" t="inlineStr">
        <is>
          <t>sum 26 shilling.</t>
        </is>
      </c>
      <c r="C20" t="n">
        <v>1.3</v>
      </c>
      <c r="D20" t="n">
        <v>0</v>
      </c>
      <c r="E20" t="n">
        <v>26</v>
      </c>
      <c r="F20" t="n">
        <v>0</v>
      </c>
      <c r="H20" t="n">
        <v>0</v>
      </c>
      <c r="I20" t="n">
        <v>0</v>
      </c>
      <c r="J20" t="n">
        <v>0</v>
      </c>
      <c r="K20" t="n">
        <v>0</v>
      </c>
      <c r="L20" t="n">
        <v>0</v>
      </c>
      <c r="M20" t="n">
        <v>0</v>
      </c>
      <c r="N20" t="n">
        <v>0</v>
      </c>
    </row>
    <row r="21">
      <c r="A21" t="inlineStr">
        <is>
          <t>arrears</t>
        </is>
      </c>
      <c r="B21" t="inlineStr">
        <is>
          <t>payment to lord e de cumb 3 shilling 10 pence of arrears from the third year.</t>
        </is>
      </c>
      <c r="C21" t="n">
        <v>0.19</v>
      </c>
      <c r="D21" t="n">
        <v>0</v>
      </c>
      <c r="E21" t="n">
        <v>3</v>
      </c>
      <c r="F21" t="n">
        <v>10</v>
      </c>
      <c r="H21" t="n">
        <v>0</v>
      </c>
      <c r="I21" t="n">
        <v>0</v>
      </c>
      <c r="J21" t="n">
        <v>0</v>
      </c>
      <c r="K21" t="n">
        <v>0</v>
      </c>
      <c r="L21" t="n">
        <v>0</v>
      </c>
      <c r="M21" t="n">
        <v>0</v>
      </c>
      <c r="N21" t="n">
        <v>0</v>
      </c>
    </row>
    <row r="22">
      <c r="A22" t="inlineStr">
        <is>
          <t>arrears</t>
        </is>
      </c>
      <c r="B22" t="inlineStr">
        <is>
          <t>sum 22 shilling 8pence.</t>
        </is>
      </c>
      <c r="C22" t="n">
        <v>1.13</v>
      </c>
      <c r="D22" t="n">
        <v>0</v>
      </c>
      <c r="E22" t="n">
        <v>22</v>
      </c>
      <c r="F22" t="n">
        <v>8</v>
      </c>
      <c r="H22" t="n">
        <v>0</v>
      </c>
      <c r="I22" t="n">
        <v>0</v>
      </c>
      <c r="J22" t="n">
        <v>0</v>
      </c>
      <c r="K22" t="n">
        <v>0</v>
      </c>
      <c r="L22" t="n">
        <v>0</v>
      </c>
      <c r="M22" t="n">
        <v>0</v>
      </c>
      <c r="N22" t="n">
        <v>0</v>
      </c>
    </row>
    <row r="23">
      <c r="A23" t="inlineStr">
        <is>
          <t>rent</t>
        </is>
      </c>
      <c r="B23" t="inlineStr">
        <is>
          <t>the same render account for £4 5 shilling 7 pence from rent of assize for the year.</t>
        </is>
      </c>
      <c r="C23" t="n">
        <v>4.28</v>
      </c>
      <c r="D23" t="n">
        <v>4</v>
      </c>
      <c r="E23" t="n">
        <v>5</v>
      </c>
      <c r="F23" t="n">
        <v>7</v>
      </c>
      <c r="H23" t="n">
        <v>0</v>
      </c>
      <c r="I23" t="n">
        <v>0</v>
      </c>
      <c r="J23" t="n">
        <v>0</v>
      </c>
      <c r="K23" t="n">
        <v>0</v>
      </c>
      <c r="L23" t="n">
        <v>0</v>
      </c>
      <c r="M23" t="n">
        <v>0</v>
      </c>
      <c r="N23" t="n">
        <v>0</v>
      </c>
    </row>
    <row r="24">
      <c r="A24" t="inlineStr">
        <is>
          <t>rent</t>
        </is>
      </c>
      <c r="B24" t="inlineStr">
        <is>
          <t>sum the same tally.</t>
        </is>
      </c>
      <c r="C24" t="n">
        <v>0</v>
      </c>
      <c r="D24" t="n">
        <v>0</v>
      </c>
      <c r="E24" t="n">
        <v>0</v>
      </c>
      <c r="F24" t="n">
        <v>0</v>
      </c>
      <c r="H24" t="n">
        <v>0</v>
      </c>
      <c r="I24" t="n">
        <v>0</v>
      </c>
      <c r="J24" t="n">
        <v>0</v>
      </c>
      <c r="K24" t="n">
        <v>0</v>
      </c>
      <c r="L24" t="n">
        <v>0</v>
      </c>
      <c r="M24" t="n">
        <v>0</v>
      </c>
      <c r="N24" t="n">
        <v>0</v>
      </c>
    </row>
    <row r="25">
      <c r="A25" t="inlineStr">
        <is>
          <t>rent</t>
        </is>
      </c>
      <c r="B25" t="inlineStr">
        <is>
          <t>--- page 2 ---.</t>
        </is>
      </c>
      <c r="C25" t="n">
        <v>0</v>
      </c>
      <c r="D25" t="n">
        <v>0</v>
      </c>
      <c r="E25" t="n">
        <v>0</v>
      </c>
      <c r="F25" t="n">
        <v>0</v>
      </c>
      <c r="H25" t="n">
        <v>0</v>
      </c>
      <c r="I25" t="n">
        <v>0</v>
      </c>
      <c r="J25" t="n">
        <v>0</v>
      </c>
      <c r="K25" t="n">
        <v>0</v>
      </c>
      <c r="L25" t="n">
        <v>0</v>
      </c>
      <c r="M25" t="n">
        <v>0</v>
      </c>
      <c r="N25" t="n">
        <v>0</v>
      </c>
    </row>
    <row r="26">
      <c r="A26" t="inlineStr">
        <is>
          <t>rent</t>
        </is>
      </c>
      <c r="B26" t="inlineStr">
        <is>
          <t>acquittances and defects.</t>
        </is>
      </c>
      <c r="C26" t="n">
        <v>0</v>
      </c>
      <c r="D26" t="n">
        <v>0</v>
      </c>
      <c r="E26" t="n">
        <v>0</v>
      </c>
      <c r="F26" t="n">
        <v>0</v>
      </c>
      <c r="H26" t="n">
        <v>0</v>
      </c>
      <c r="I26" t="n">
        <v>0</v>
      </c>
      <c r="J26" t="n">
        <v>0</v>
      </c>
      <c r="K26" t="n">
        <v>0</v>
      </c>
      <c r="L26" t="n">
        <v>0</v>
      </c>
      <c r="M26" t="n">
        <v>0</v>
      </c>
      <c r="N26" t="n">
        <v>0</v>
      </c>
    </row>
    <row r="27">
      <c r="A27" t="inlineStr">
        <is>
          <t>rent</t>
        </is>
      </c>
      <c r="B27" t="inlineStr">
        <is>
          <t>in acquittance of richard the reeve for the year 3 shilling sum the same tally.</t>
        </is>
      </c>
      <c r="C27" t="n">
        <v>0.15</v>
      </c>
      <c r="D27" t="n">
        <v>0</v>
      </c>
      <c r="E27" t="n">
        <v>3</v>
      </c>
      <c r="F27" t="n">
        <v>0</v>
      </c>
      <c r="H27" t="n">
        <v>0</v>
      </c>
      <c r="I27" t="n">
        <v>0</v>
      </c>
      <c r="J27" t="n">
        <v>0</v>
      </c>
      <c r="K27" t="n">
        <v>0</v>
      </c>
      <c r="L27" t="n">
        <v>0</v>
      </c>
      <c r="M27" t="n">
        <v>0</v>
      </c>
      <c r="N27" t="n">
        <v>0</v>
      </c>
    </row>
    <row r="28">
      <c r="A28" t="inlineStr">
        <is>
          <t>rent</t>
        </is>
      </c>
      <c r="B28" t="inlineStr">
        <is>
          <t>the same answer in defect of the land brende, namely for 1 acre drawn into demesne 8pence sum as tally.</t>
        </is>
      </c>
      <c r="C28" t="n">
        <v>0.03</v>
      </c>
      <c r="D28" t="n">
        <v>0</v>
      </c>
      <c r="E28" t="n">
        <v>0</v>
      </c>
      <c r="F28" t="n">
        <v>8</v>
      </c>
      <c r="H28" t="n">
        <v>0</v>
      </c>
      <c r="I28" t="n">
        <v>0</v>
      </c>
      <c r="J28" t="n">
        <v>0</v>
      </c>
      <c r="K28" t="n">
        <v>0</v>
      </c>
      <c r="L28" t="n">
        <v>0</v>
      </c>
      <c r="M28" t="n">
        <v>0</v>
      </c>
      <c r="N28" t="n">
        <v>0</v>
      </c>
    </row>
    <row r="29">
      <c r="A29" t="inlineStr">
        <is>
          <t>rent</t>
        </is>
      </c>
      <c r="B29" t="inlineStr">
        <is>
          <t>sum of acquittances and defects 3 shilling 8pence.</t>
        </is>
      </c>
      <c r="C29" t="n">
        <v>0.18</v>
      </c>
      <c r="D29" t="n">
        <v>0</v>
      </c>
      <c r="E29" t="n">
        <v>3</v>
      </c>
      <c r="F29" t="n">
        <v>8</v>
      </c>
      <c r="H29" t="n">
        <v>0</v>
      </c>
      <c r="I29" t="n">
        <v>0</v>
      </c>
      <c r="J29" t="n">
        <v>0</v>
      </c>
      <c r="K29" t="n">
        <v>0</v>
      </c>
      <c r="L29" t="n">
        <v>0</v>
      </c>
      <c r="M29" t="n">
        <v>0</v>
      </c>
      <c r="N29" t="n">
        <v>0</v>
      </c>
    </row>
    <row r="30">
      <c r="A30" t="inlineStr">
        <is>
          <t>rent</t>
        </is>
      </c>
      <c r="B30" t="inlineStr">
        <is>
          <t>and £4 23 pence remains.</t>
        </is>
      </c>
      <c r="C30" t="n">
        <v>4.1</v>
      </c>
      <c r="D30" t="n">
        <v>4</v>
      </c>
      <c r="E30" t="n">
        <v>0</v>
      </c>
      <c r="F30" t="n">
        <v>23</v>
      </c>
      <c r="H30" t="n">
        <v>0</v>
      </c>
      <c r="I30" t="n">
        <v>0</v>
      </c>
      <c r="J30" t="n">
        <v>0</v>
      </c>
      <c r="K30" t="n">
        <v>0</v>
      </c>
      <c r="L30" t="n">
        <v>0</v>
      </c>
      <c r="M30" t="n">
        <v>0</v>
      </c>
      <c r="N30" t="n">
        <v>0</v>
      </c>
    </row>
    <row r="31">
      <c r="A31" t="inlineStr">
        <is>
          <t>rent</t>
        </is>
      </c>
      <c r="B31" t="inlineStr">
        <is>
          <t>ploughshare.</t>
        </is>
      </c>
      <c r="C31" t="n">
        <v>0</v>
      </c>
      <c r="D31" t="n">
        <v>0</v>
      </c>
      <c r="E31" t="n">
        <v>0</v>
      </c>
      <c r="F31" t="n">
        <v>0</v>
      </c>
      <c r="H31" t="n">
        <v>0</v>
      </c>
      <c r="I31" t="n">
        <v>0</v>
      </c>
      <c r="J31" t="n">
        <v>0</v>
      </c>
      <c r="K31" t="n">
        <v>0</v>
      </c>
      <c r="L31" t="n">
        <v>0</v>
      </c>
      <c r="M31" t="n">
        <v>0</v>
      </c>
      <c r="N31" t="n">
        <v>0</v>
      </c>
    </row>
    <row r="32">
      <c r="A32" t="inlineStr">
        <is>
          <t>rent</t>
        </is>
      </c>
      <c r="B32" t="inlineStr">
        <is>
          <t>the same render account for one ploughshare from rent of assize.</t>
        </is>
      </c>
      <c r="C32" t="n">
        <v>0</v>
      </c>
      <c r="D32" t="n">
        <v>0</v>
      </c>
      <c r="E32" t="n">
        <v>0</v>
      </c>
      <c r="F32" t="n">
        <v>0</v>
      </c>
      <c r="H32" t="n">
        <v>0</v>
      </c>
      <c r="I32" t="n">
        <v>0</v>
      </c>
      <c r="J32" t="n">
        <v>0</v>
      </c>
      <c r="K32" t="n">
        <v>0</v>
      </c>
      <c r="L32" t="n">
        <v>0</v>
      </c>
      <c r="M32" t="n">
        <v>0</v>
      </c>
      <c r="N32" t="n">
        <v>0</v>
      </c>
    </row>
    <row r="33">
      <c r="A33" t="inlineStr">
        <is>
          <t>rent</t>
        </is>
      </c>
      <c r="B33" t="inlineStr">
        <is>
          <t>and it remains, as within.</t>
        </is>
      </c>
      <c r="C33" t="n">
        <v>0</v>
      </c>
      <c r="D33" t="n">
        <v>0</v>
      </c>
      <c r="E33" t="n">
        <v>0</v>
      </c>
      <c r="F33" t="n">
        <v>0</v>
      </c>
      <c r="H33" t="n">
        <v>0</v>
      </c>
      <c r="I33" t="n">
        <v>0</v>
      </c>
      <c r="J33" t="n">
        <v>0</v>
      </c>
      <c r="K33" t="n">
        <v>0</v>
      </c>
      <c r="L33" t="n">
        <v>0</v>
      </c>
      <c r="M33" t="n">
        <v>0</v>
      </c>
      <c r="N33" t="n">
        <v>0</v>
      </c>
    </row>
    <row r="34">
      <c r="A34" t="inlineStr">
        <is>
          <t>rent</t>
        </is>
      </c>
      <c r="B34" t="inlineStr">
        <is>
          <t>issue of the manor.</t>
        </is>
      </c>
      <c r="C34" t="n">
        <v>0</v>
      </c>
      <c r="D34" t="n">
        <v>0</v>
      </c>
      <c r="E34" t="n">
        <v>0</v>
      </c>
      <c r="F34" t="n">
        <v>0</v>
      </c>
      <c r="H34" t="n">
        <v>0</v>
      </c>
      <c r="I34" t="n">
        <v>0</v>
      </c>
      <c r="J34" t="n">
        <v>0</v>
      </c>
      <c r="K34" t="n">
        <v>0</v>
      </c>
      <c r="L34" t="n">
        <v>0</v>
      </c>
      <c r="M34" t="n">
        <v>0</v>
      </c>
      <c r="N34" t="n">
        <v>0</v>
      </c>
    </row>
    <row r="35">
      <c r="A35" t="inlineStr">
        <is>
          <t>rent</t>
        </is>
      </c>
      <c r="B35" t="inlineStr">
        <is>
          <t>the same render account for 25 pence from the hide of 1 ox sold, which was slaughtered in preparation for christmas by order of the bishop, to whose larder the carcass was carried.</t>
        </is>
      </c>
      <c r="C35" t="n">
        <v>0.1</v>
      </c>
      <c r="D35" t="n">
        <v>0</v>
      </c>
      <c r="E35" t="n">
        <v>0</v>
      </c>
      <c r="F35" t="n">
        <v>25</v>
      </c>
      <c r="H35" t="n">
        <v>0</v>
      </c>
      <c r="I35" t="n">
        <v>0</v>
      </c>
      <c r="J35" t="n">
        <v>0</v>
      </c>
      <c r="K35" t="n">
        <v>0</v>
      </c>
      <c r="L35" t="n">
        <v>0</v>
      </c>
      <c r="M35" t="n">
        <v>0</v>
      </c>
      <c r="N35" t="n">
        <v>0</v>
      </c>
    </row>
    <row r="36">
      <c r="A36" t="inlineStr">
        <is>
          <t>rent</t>
        </is>
      </c>
      <c r="B36" t="inlineStr">
        <is>
          <t>and for 5 shilling from the lard of 33 pigs sold that made 2 small stone.</t>
        </is>
      </c>
      <c r="C36" t="n">
        <v>0.25</v>
      </c>
      <c r="D36" t="n">
        <v>0</v>
      </c>
      <c r="E36" t="n">
        <v>5</v>
      </c>
      <c r="F36" t="n">
        <v>0</v>
      </c>
      <c r="H36" t="n">
        <v>0</v>
      </c>
      <c r="I36" t="n">
        <v>0</v>
      </c>
      <c r="J36" t="n">
        <v>0</v>
      </c>
      <c r="K36" t="n">
        <v>0</v>
      </c>
      <c r="L36" t="n">
        <v>0</v>
      </c>
      <c r="M36" t="n">
        <v>0</v>
      </c>
      <c r="N36" t="n">
        <v>0</v>
      </c>
    </row>
    <row r="37">
      <c r="A37" t="inlineStr">
        <is>
          <t>rent</t>
        </is>
      </c>
      <c r="B37" t="inlineStr">
        <is>
          <t>and 5½d from blood sold.</t>
        </is>
      </c>
      <c r="C37" t="n">
        <v>0</v>
      </c>
      <c r="D37" t="n">
        <v>0</v>
      </c>
      <c r="E37" t="n">
        <v>0</v>
      </c>
      <c r="F37" t="n">
        <v>0</v>
      </c>
      <c r="H37" t="n">
        <v>0</v>
      </c>
      <c r="I37" t="n">
        <v>0</v>
      </c>
      <c r="J37" t="n">
        <v>0</v>
      </c>
      <c r="K37" t="n">
        <v>0</v>
      </c>
      <c r="L37" t="n">
        <v>0</v>
      </c>
      <c r="M37" t="n">
        <v>0</v>
      </c>
      <c r="N37" t="n">
        <v>0</v>
      </c>
    </row>
    <row r="38">
      <c r="A38" t="inlineStr">
        <is>
          <t>rent</t>
        </is>
      </c>
      <c r="B38" t="inlineStr">
        <is>
          <t>and for 13½d from pigs’ ears sold.</t>
        </is>
      </c>
      <c r="C38" t="n">
        <v>0</v>
      </c>
      <c r="D38" t="n">
        <v>0</v>
      </c>
      <c r="E38" t="n">
        <v>0</v>
      </c>
      <c r="F38" t="n">
        <v>0</v>
      </c>
      <c r="H38" t="n">
        <v>0</v>
      </c>
      <c r="I38" t="n">
        <v>0</v>
      </c>
      <c r="J38" t="n">
        <v>0</v>
      </c>
      <c r="K38" t="n">
        <v>0</v>
      </c>
      <c r="L38" t="n">
        <v>0</v>
      </c>
      <c r="M38" t="n">
        <v>0</v>
      </c>
      <c r="N38" t="n">
        <v>0</v>
      </c>
    </row>
    <row r="39">
      <c r="A39" t="inlineStr">
        <is>
          <t>rent</t>
        </is>
      </c>
      <c r="B39" t="inlineStr">
        <is>
          <t>and for 7 shilling 9½d from 17 weak wethers sold before shearing, price of a wether 5½d.</t>
        </is>
      </c>
      <c r="C39" t="n">
        <v>0.35</v>
      </c>
      <c r="D39" t="n">
        <v>0</v>
      </c>
      <c r="E39" t="n">
        <v>7</v>
      </c>
      <c r="F39" t="n">
        <v>0</v>
      </c>
      <c r="H39" t="n">
        <v>0</v>
      </c>
      <c r="I39" t="n">
        <v>0</v>
      </c>
      <c r="J39" t="n">
        <v>0</v>
      </c>
      <c r="K39" t="n">
        <v>0</v>
      </c>
      <c r="L39" t="n">
        <v>0</v>
      </c>
      <c r="M39" t="n">
        <v>0</v>
      </c>
      <c r="N39" t="n">
        <v>0</v>
      </c>
    </row>
    <row r="40">
      <c r="A40" t="inlineStr">
        <is>
          <t>rent</t>
        </is>
      </c>
      <c r="B40" t="inlineStr">
        <is>
          <t>and for 2 shilling 7½d from 21 pelts sold, from wethers that died in murrain before shearing, price of a pelt 1½d. 6 shilling and for 1 pence from two pelts of wethers that died in murrain after shearing.</t>
        </is>
      </c>
      <c r="C40" t="n">
        <v>0.1</v>
      </c>
      <c r="D40" t="n">
        <v>0</v>
      </c>
      <c r="E40" t="n">
        <v>2</v>
      </c>
      <c r="F40" t="n">
        <v>1</v>
      </c>
      <c r="H40" t="n">
        <v>0</v>
      </c>
      <c r="I40" t="n">
        <v>0</v>
      </c>
      <c r="J40" t="n">
        <v>0</v>
      </c>
      <c r="K40" t="n">
        <v>0</v>
      </c>
      <c r="L40" t="n">
        <v>0</v>
      </c>
      <c r="M40" t="n">
        <v>0</v>
      </c>
      <c r="N40" t="n">
        <v>0</v>
      </c>
    </row>
    <row r="41">
      <c r="A41" t="inlineStr">
        <is>
          <t>rent</t>
        </is>
      </c>
      <c r="B41" t="inlineStr">
        <is>
          <t>and for 2 shilling 11 pence from 5 weak calves.</t>
        </is>
      </c>
      <c r="C41" t="n">
        <v>0.15</v>
      </c>
      <c r="D41" t="n">
        <v>0</v>
      </c>
      <c r="E41" t="n">
        <v>2</v>
      </c>
      <c r="F41" t="n">
        <v>11</v>
      </c>
      <c r="H41" t="n">
        <v>0</v>
      </c>
      <c r="I41" t="n">
        <v>0</v>
      </c>
      <c r="J41" t="n">
        <v>0</v>
      </c>
      <c r="K41" t="n">
        <v>0</v>
      </c>
      <c r="L41" t="n">
        <v>0</v>
      </c>
      <c r="M41" t="n">
        <v>0</v>
      </c>
      <c r="N41" t="n">
        <v>0</v>
      </c>
    </row>
    <row r="42">
      <c r="A42" t="inlineStr">
        <is>
          <t>rent</t>
        </is>
      </c>
      <c r="B42" t="inlineStr">
        <is>
          <t>and for 15 pence from the hide of 1 ox sold.</t>
        </is>
      </c>
      <c r="C42" t="n">
        <v>0.06</v>
      </c>
      <c r="D42" t="n">
        <v>0</v>
      </c>
      <c r="E42" t="n">
        <v>0</v>
      </c>
      <c r="F42" t="n">
        <v>15</v>
      </c>
      <c r="H42" t="n">
        <v>0</v>
      </c>
      <c r="I42" t="n">
        <v>0</v>
      </c>
      <c r="J42" t="n">
        <v>0</v>
      </c>
      <c r="K42" t="n">
        <v>0</v>
      </c>
      <c r="L42" t="n">
        <v>0</v>
      </c>
      <c r="M42" t="n">
        <v>0</v>
      </c>
      <c r="N42" t="n">
        <v>0</v>
      </c>
    </row>
    <row r="43">
      <c r="A43" t="inlineStr">
        <is>
          <t>rent</t>
        </is>
      </c>
      <c r="B43" t="inlineStr">
        <is>
          <t>and for 57 shilling from 2 weys of coarse wool sold.</t>
        </is>
      </c>
      <c r="C43" t="n">
        <v>2.85</v>
      </c>
      <c r="D43" t="n">
        <v>0</v>
      </c>
      <c r="E43" t="n">
        <v>57</v>
      </c>
      <c r="F43" t="n">
        <v>0</v>
      </c>
      <c r="H43" t="n">
        <v>0</v>
      </c>
      <c r="I43" t="n">
        <v>0</v>
      </c>
      <c r="J43" t="n">
        <v>0</v>
      </c>
      <c r="K43" t="n">
        <v>0</v>
      </c>
      <c r="L43" t="n">
        <v>0</v>
      </c>
      <c r="M43" t="n">
        <v>0</v>
      </c>
      <c r="N43" t="n">
        <v>0</v>
      </c>
    </row>
    <row r="44">
      <c r="A44" t="inlineStr">
        <is>
          <t>rent</t>
        </is>
      </c>
      <c r="B44" t="inlineStr">
        <is>
          <t>and for 16 shilling from 2 weys of cheese sold.</t>
        </is>
      </c>
      <c r="C44" t="n">
        <v>0.8</v>
      </c>
      <c r="D44" t="n">
        <v>0</v>
      </c>
      <c r="E44" t="n">
        <v>16</v>
      </c>
      <c r="F44" t="n">
        <v>0</v>
      </c>
      <c r="H44" t="n">
        <v>0</v>
      </c>
      <c r="I44" t="n">
        <v>0</v>
      </c>
      <c r="J44" t="n">
        <v>0</v>
      </c>
      <c r="K44" t="n">
        <v>0</v>
      </c>
      <c r="L44" t="n">
        <v>0</v>
      </c>
      <c r="M44" t="n">
        <v>0</v>
      </c>
      <c r="N44" t="n">
        <v>0</v>
      </c>
    </row>
    <row r="45">
      <c r="A45" t="inlineStr">
        <is>
          <t>rent</t>
        </is>
      </c>
      <c r="B45" t="inlineStr">
        <is>
          <t>and for 10 pence from an old boat sold.</t>
        </is>
      </c>
      <c r="C45" t="n">
        <v>0.04</v>
      </c>
      <c r="D45" t="n">
        <v>0</v>
      </c>
      <c r="E45" t="n">
        <v>0</v>
      </c>
      <c r="F45" t="n">
        <v>10</v>
      </c>
      <c r="H45" t="n">
        <v>0</v>
      </c>
      <c r="I45" t="n">
        <v>0</v>
      </c>
      <c r="J45" t="n">
        <v>0</v>
      </c>
      <c r="K45" t="n">
        <v>0</v>
      </c>
      <c r="L45" t="n">
        <v>0</v>
      </c>
      <c r="M45" t="n">
        <v>0</v>
      </c>
      <c r="N45" t="n">
        <v>0</v>
      </c>
    </row>
    <row r="46">
      <c r="A46" t="inlineStr">
        <is>
          <t>rent</t>
        </is>
      </c>
      <c r="B46" t="inlineStr">
        <is>
          <t>and for 1 pence from pannage.</t>
        </is>
      </c>
      <c r="C46" t="n">
        <v>0</v>
      </c>
      <c r="D46" t="n">
        <v>0</v>
      </c>
      <c r="E46" t="n">
        <v>0</v>
      </c>
      <c r="F46" t="n">
        <v>1</v>
      </c>
      <c r="H46" t="n">
        <v>0</v>
      </c>
      <c r="I46" t="n">
        <v>0</v>
      </c>
      <c r="J46" t="n">
        <v>0</v>
      </c>
      <c r="K46" t="n">
        <v>0</v>
      </c>
      <c r="L46" t="n">
        <v>0</v>
      </c>
      <c r="M46" t="n">
        <v>0</v>
      </c>
      <c r="N46" t="n">
        <v>0</v>
      </c>
    </row>
    <row r="47">
      <c r="A47" t="inlineStr">
        <is>
          <t>rent</t>
        </is>
      </c>
      <c r="B47" t="inlineStr">
        <is>
          <t>and for 6 pence from wild honey sold.</t>
        </is>
      </c>
      <c r="C47" t="n">
        <v>0.03</v>
      </c>
      <c r="D47" t="n">
        <v>0</v>
      </c>
      <c r="E47" t="n">
        <v>0</v>
      </c>
      <c r="F47" t="n">
        <v>6</v>
      </c>
      <c r="H47" t="n">
        <v>0</v>
      </c>
      <c r="I47" t="n">
        <v>0</v>
      </c>
      <c r="J47" t="n">
        <v>0</v>
      </c>
      <c r="K47" t="n">
        <v>0</v>
      </c>
      <c r="L47" t="n">
        <v>0</v>
      </c>
      <c r="M47" t="n">
        <v>0</v>
      </c>
      <c r="N47" t="n">
        <v>0</v>
      </c>
    </row>
    <row r="48">
      <c r="A48" t="inlineStr">
        <is>
          <t>rent</t>
        </is>
      </c>
      <c r="B48" t="inlineStr">
        <is>
          <t>and for 10 pence from butter sold.</t>
        </is>
      </c>
      <c r="C48" t="n">
        <v>0.04</v>
      </c>
      <c r="D48" t="n">
        <v>0</v>
      </c>
      <c r="E48" t="n">
        <v>0</v>
      </c>
      <c r="F48" t="n">
        <v>10</v>
      </c>
      <c r="H48" t="n">
        <v>0</v>
      </c>
      <c r="I48" t="n">
        <v>0</v>
      </c>
      <c r="J48" t="n">
        <v>0</v>
      </c>
      <c r="K48" t="n">
        <v>0</v>
      </c>
      <c r="L48" t="n">
        <v>0</v>
      </c>
      <c r="M48" t="n">
        <v>0</v>
      </c>
      <c r="N48" t="n">
        <v>0</v>
      </c>
    </row>
    <row r="49">
      <c r="A49" t="inlineStr">
        <is>
          <t>rent</t>
        </is>
      </c>
      <c r="B49" t="inlineStr">
        <is>
          <t>sum £4 18 shilling 7pence.</t>
        </is>
      </c>
      <c r="C49" t="n">
        <v>4.93</v>
      </c>
      <c r="D49" t="n">
        <v>4</v>
      </c>
      <c r="E49" t="n">
        <v>18</v>
      </c>
      <c r="F49" t="n">
        <v>7</v>
      </c>
      <c r="H49" t="n">
        <v>0</v>
      </c>
      <c r="I49" t="n">
        <v>0</v>
      </c>
      <c r="J49" t="n">
        <v>0</v>
      </c>
      <c r="K49" t="n">
        <v>0</v>
      </c>
      <c r="L49" t="n">
        <v>0</v>
      </c>
      <c r="M49" t="n">
        <v>0</v>
      </c>
      <c r="N49" t="n">
        <v>0</v>
      </c>
    </row>
    <row r="50">
      <c r="A50" t="inlineStr">
        <is>
          <t>rent</t>
        </is>
      </c>
      <c r="B50" t="inlineStr">
        <is>
          <t>sale of corn.</t>
        </is>
      </c>
      <c r="C50" t="n">
        <v>0</v>
      </c>
      <c r="D50" t="n">
        <v>0</v>
      </c>
      <c r="E50" t="n">
        <v>0</v>
      </c>
      <c r="F50" t="n">
        <v>0</v>
      </c>
      <c r="H50" t="n">
        <v>0</v>
      </c>
      <c r="I50" t="n">
        <v>0</v>
      </c>
      <c r="J50" t="n">
        <v>0</v>
      </c>
      <c r="K50" t="n">
        <v>0</v>
      </c>
      <c r="L50" t="n">
        <v>0</v>
      </c>
      <c r="M50" t="n">
        <v>0</v>
      </c>
      <c r="N50" t="n">
        <v>0</v>
      </c>
    </row>
    <row r="51">
      <c r="A51" t="inlineStr">
        <is>
          <t>rent</t>
        </is>
      </c>
      <c r="B51" t="inlineStr">
        <is>
          <t>the same render account for 9 shilling 4 pence from 3½ quarters of wheat sold, price of a quarter 32pence and for £4 9 pence from 29 quarters 2 bushels of rye sold, of which 8 quarters for a price of 2 shilling 6pence and 12 quarters for a price of 32pence and 6 quarters 2 bushels for a price of 3 shilling and 3 quarters for a price of 40pence and for 2 shilling 6½d from 2½ quarters 1 [bushel] of barley sold.</t>
        </is>
      </c>
      <c r="C51" t="n">
        <v>4.04</v>
      </c>
      <c r="D51" t="n">
        <v>4</v>
      </c>
      <c r="E51" t="n">
        <v>0</v>
      </c>
      <c r="F51" t="n">
        <v>9</v>
      </c>
      <c r="G51" t="inlineStr">
        <is>
          <t>wheat, rye, barley</t>
        </is>
      </c>
      <c r="H51" t="n">
        <v>29</v>
      </c>
      <c r="I51" t="n">
        <v>2</v>
      </c>
      <c r="J51" t="n">
        <v>29.25</v>
      </c>
      <c r="K51" t="n">
        <v>29.25</v>
      </c>
      <c r="L51" t="n">
        <v>0</v>
      </c>
      <c r="M51" t="n">
        <v>29</v>
      </c>
      <c r="N51" t="n">
        <v>2</v>
      </c>
      <c r="O51" t="n">
        <v>8</v>
      </c>
      <c r="P51" t="n">
        <v>0</v>
      </c>
      <c r="Q51" t="n">
        <v>12</v>
      </c>
      <c r="R51" t="n">
        <v>0</v>
      </c>
      <c r="S51" t="n">
        <v>6</v>
      </c>
      <c r="T51" t="n">
        <v>2</v>
      </c>
      <c r="U51" t="n">
        <v>3</v>
      </c>
      <c r="V51" t="n">
        <v>0</v>
      </c>
    </row>
    <row r="52">
      <c r="A52" t="inlineStr">
        <is>
          <t>rent</t>
        </is>
      </c>
      <c r="B52" t="inlineStr">
        <is>
          <t>and for 17 shilling 4 pence from 14 summa of oats sold, of which 12 quarters for a price of 15pence and 2 quarters for a price of 14pence and for 7 shilling 4 pence from 2½ quarters 2 bushels of beans sold, price of a quarter 32pence and for 3 shilling 4 pence from 1 quarter 2 bushels of peas sold, price of a quarter 2 shilling 8pence and for 22 shilling received by the hand of robert blundi for 6½ quarters 2 bushels of rye sold in his presence.</t>
        </is>
      </c>
      <c r="C52" t="n">
        <v>0.87</v>
      </c>
      <c r="D52" t="n">
        <v>0</v>
      </c>
      <c r="E52" t="n">
        <v>17</v>
      </c>
      <c r="F52" t="n">
        <v>4</v>
      </c>
      <c r="G52" t="inlineStr">
        <is>
          <t>rye, oats, peas, beans</t>
        </is>
      </c>
      <c r="H52" t="n">
        <v>2</v>
      </c>
      <c r="I52" t="n">
        <v>6</v>
      </c>
      <c r="J52" t="n">
        <v>2.75</v>
      </c>
      <c r="K52" t="n">
        <v>12</v>
      </c>
      <c r="L52" t="n">
        <v>-9.25</v>
      </c>
      <c r="M52" t="n">
        <v>12</v>
      </c>
      <c r="N52" t="n">
        <v>0</v>
      </c>
      <c r="O52" t="n">
        <v>2</v>
      </c>
      <c r="P52" t="n">
        <v>0</v>
      </c>
      <c r="Q52" t="n">
        <v>0</v>
      </c>
      <c r="R52" t="n">
        <v>2</v>
      </c>
      <c r="S52" t="n">
        <v>0</v>
      </c>
      <c r="T52" t="n">
        <v>2</v>
      </c>
      <c r="U52" t="n">
        <v>0</v>
      </c>
      <c r="V52" t="n">
        <v>2</v>
      </c>
    </row>
    <row r="53">
      <c r="A53" t="inlineStr">
        <is>
          <t>rent</t>
        </is>
      </c>
      <c r="B53" t="inlineStr">
        <is>
          <t>sum £7 6 shilling 2½d.</t>
        </is>
      </c>
      <c r="C53" t="n">
        <v>7.3</v>
      </c>
      <c r="D53" t="n">
        <v>7</v>
      </c>
      <c r="E53" t="n">
        <v>6</v>
      </c>
      <c r="F53" t="n">
        <v>0</v>
      </c>
      <c r="H53" t="n">
        <v>0</v>
      </c>
      <c r="I53" t="n">
        <v>0</v>
      </c>
      <c r="J53" t="n">
        <v>0</v>
      </c>
      <c r="K53" t="n">
        <v>0</v>
      </c>
      <c r="L53" t="n">
        <v>0</v>
      </c>
      <c r="M53" t="n">
        <v>0</v>
      </c>
      <c r="N53" t="n">
        <v>0</v>
      </c>
    </row>
    <row r="54">
      <c r="A54" t="inlineStr">
        <is>
          <t>rent</t>
        </is>
      </c>
      <c r="B54" t="inlineStr">
        <is>
          <t>perquisites.</t>
        </is>
      </c>
      <c r="C54" t="n">
        <v>0</v>
      </c>
      <c r="D54" t="n">
        <v>0</v>
      </c>
      <c r="E54" t="n">
        <v>0</v>
      </c>
      <c r="F54" t="n">
        <v>0</v>
      </c>
      <c r="H54" t="n">
        <v>0</v>
      </c>
      <c r="I54" t="n">
        <v>0</v>
      </c>
      <c r="J54" t="n">
        <v>0</v>
      </c>
      <c r="K54" t="n">
        <v>0</v>
      </c>
      <c r="L54" t="n">
        <v>0</v>
      </c>
      <c r="M54" t="n">
        <v>0</v>
      </c>
      <c r="N54" t="n">
        <v>0</v>
      </c>
    </row>
    <row r="55">
      <c r="A55" t="inlineStr">
        <is>
          <t>rent</t>
        </is>
      </c>
      <c r="B55" t="inlineStr">
        <is>
          <t>the same render account for 8 shilling from the tithing for exactions remitted at the tourns of st martin and hockday.</t>
        </is>
      </c>
      <c r="C55" t="n">
        <v>0.4</v>
      </c>
      <c r="D55" t="n">
        <v>0</v>
      </c>
      <c r="E55" t="n">
        <v>8</v>
      </c>
      <c r="F55" t="n">
        <v>0</v>
      </c>
      <c r="H55" t="n">
        <v>0</v>
      </c>
      <c r="I55" t="n">
        <v>0</v>
      </c>
      <c r="J55" t="n">
        <v>0</v>
      </c>
      <c r="K55" t="n">
        <v>0</v>
      </c>
      <c r="L55" t="n">
        <v>0</v>
      </c>
      <c r="M55" t="n">
        <v>0</v>
      </c>
      <c r="N55" t="n">
        <v>0</v>
      </c>
    </row>
    <row r="56">
      <c r="A56" t="inlineStr">
        <is>
          <t>rent</t>
        </is>
      </c>
      <c r="B56" t="inlineStr">
        <is>
          <t>and for 3 shilling from alice de hull for an entry fine.</t>
        </is>
      </c>
      <c r="C56" t="n">
        <v>0.15</v>
      </c>
      <c r="D56" t="n">
        <v>0</v>
      </c>
      <c r="E56" t="n">
        <v>3</v>
      </c>
      <c r="F56" t="n">
        <v>0</v>
      </c>
      <c r="H56" t="n">
        <v>0</v>
      </c>
      <c r="I56" t="n">
        <v>0</v>
      </c>
      <c r="J56" t="n">
        <v>0</v>
      </c>
      <c r="K56" t="n">
        <v>0</v>
      </c>
      <c r="L56" t="n">
        <v>0</v>
      </c>
      <c r="M56" t="n">
        <v>0</v>
      </c>
      <c r="N56" t="n">
        <v>0</v>
      </c>
    </row>
    <row r="57">
      <c r="A57" t="inlineStr">
        <is>
          <t>rent</t>
        </is>
      </c>
      <c r="B57" t="inlineStr">
        <is>
          <t>and for 3 shilling from matilda, widow of roger albi, for an entry fine.</t>
        </is>
      </c>
      <c r="C57" t="n">
        <v>0.15</v>
      </c>
      <c r="D57" t="n">
        <v>0</v>
      </c>
      <c r="E57" t="n">
        <v>3</v>
      </c>
      <c r="F57" t="n">
        <v>0</v>
      </c>
      <c r="H57" t="n">
        <v>0</v>
      </c>
      <c r="I57" t="n">
        <v>0</v>
      </c>
      <c r="J57" t="n">
        <v>0</v>
      </c>
      <c r="K57" t="n">
        <v>0</v>
      </c>
      <c r="L57" t="n">
        <v>0</v>
      </c>
      <c r="M57" t="n">
        <v>0</v>
      </c>
      <c r="N57" t="n">
        <v>0</v>
      </c>
    </row>
    <row r="58">
      <c r="A58" t="inlineStr">
        <is>
          <t>rent</t>
        </is>
      </c>
      <c r="B58" t="inlineStr">
        <is>
          <t>and for 6 pence from robert de barr for transgressions.</t>
        </is>
      </c>
      <c r="C58" t="n">
        <v>0.03</v>
      </c>
      <c r="D58" t="n">
        <v>0</v>
      </c>
      <c r="E58" t="n">
        <v>0</v>
      </c>
      <c r="F58" t="n">
        <v>6</v>
      </c>
      <c r="H58" t="n">
        <v>0</v>
      </c>
      <c r="I58" t="n">
        <v>0</v>
      </c>
      <c r="J58" t="n">
        <v>0</v>
      </c>
      <c r="K58" t="n">
        <v>0</v>
      </c>
      <c r="L58" t="n">
        <v>0</v>
      </c>
      <c r="M58" t="n">
        <v>0</v>
      </c>
      <c r="N58" t="n">
        <v>0</v>
      </c>
    </row>
    <row r="59">
      <c r="A59" t="inlineStr">
        <is>
          <t>rent</t>
        </is>
      </c>
      <c r="B59" t="inlineStr">
        <is>
          <t>and for 2 shilling from richard de bulleworth for the same.</t>
        </is>
      </c>
      <c r="C59" t="n">
        <v>0.1</v>
      </c>
      <c r="D59" t="n">
        <v>0</v>
      </c>
      <c r="E59" t="n">
        <v>2</v>
      </c>
      <c r="F59" t="n">
        <v>0</v>
      </c>
      <c r="H59" t="n">
        <v>0</v>
      </c>
      <c r="I59" t="n">
        <v>0</v>
      </c>
      <c r="J59" t="n">
        <v>0</v>
      </c>
      <c r="K59" t="n">
        <v>0</v>
      </c>
      <c r="L59" t="n">
        <v>0</v>
      </c>
      <c r="M59" t="n">
        <v>0</v>
      </c>
      <c r="N59" t="n">
        <v>0</v>
      </c>
    </row>
    <row r="60">
      <c r="A60" t="inlineStr">
        <is>
          <t>rent</t>
        </is>
      </c>
      <c r="B60" t="inlineStr">
        <is>
          <t>and for 2 shilling from richard de wynterore for the same.</t>
        </is>
      </c>
      <c r="C60" t="n">
        <v>0.1</v>
      </c>
      <c r="D60" t="n">
        <v>0</v>
      </c>
      <c r="E60" t="n">
        <v>2</v>
      </c>
      <c r="F60" t="n">
        <v>0</v>
      </c>
      <c r="H60" t="n">
        <v>0</v>
      </c>
      <c r="I60" t="n">
        <v>0</v>
      </c>
      <c r="J60" t="n">
        <v>0</v>
      </c>
      <c r="K60" t="n">
        <v>0</v>
      </c>
      <c r="L60" t="n">
        <v>0</v>
      </c>
      <c r="M60" t="n">
        <v>0</v>
      </c>
      <c r="N60" t="n">
        <v>0</v>
      </c>
    </row>
    <row r="61">
      <c r="A61" t="inlineStr">
        <is>
          <t>rent</t>
        </is>
      </c>
      <c r="B61" t="inlineStr">
        <is>
          <t>and for 6 pence from william le forest.</t>
        </is>
      </c>
      <c r="C61" t="n">
        <v>0.03</v>
      </c>
      <c r="D61" t="n">
        <v>0</v>
      </c>
      <c r="E61" t="n">
        <v>0</v>
      </c>
      <c r="F61" t="n">
        <v>6</v>
      </c>
      <c r="H61" t="n">
        <v>0</v>
      </c>
      <c r="I61" t="n">
        <v>0</v>
      </c>
      <c r="J61" t="n">
        <v>0</v>
      </c>
      <c r="K61" t="n">
        <v>0</v>
      </c>
      <c r="L61" t="n">
        <v>0</v>
      </c>
      <c r="M61" t="n">
        <v>0</v>
      </c>
      <c r="N61" t="n">
        <v>0</v>
      </c>
    </row>
    <row r="62">
      <c r="A62" t="inlineStr">
        <is>
          <t>rent</t>
        </is>
      </c>
      <c r="B62" t="inlineStr">
        <is>
          <t>--- page 3 ---.</t>
        </is>
      </c>
      <c r="C62" t="n">
        <v>0</v>
      </c>
      <c r="D62" t="n">
        <v>0</v>
      </c>
      <c r="E62" t="n">
        <v>0</v>
      </c>
      <c r="F62" t="n">
        <v>0</v>
      </c>
      <c r="H62" t="n">
        <v>0</v>
      </c>
      <c r="I62" t="n">
        <v>0</v>
      </c>
      <c r="J62" t="n">
        <v>0</v>
      </c>
      <c r="K62" t="n">
        <v>0</v>
      </c>
      <c r="L62" t="n">
        <v>0</v>
      </c>
      <c r="M62" t="n">
        <v>0</v>
      </c>
      <c r="N62" t="n">
        <v>0</v>
      </c>
    </row>
    <row r="63">
      <c r="A63" t="inlineStr">
        <is>
          <t>receipts from the treasury</t>
        </is>
      </c>
      <c r="B63" t="inlineStr">
        <is>
          <t>the same render account for 40 shilling received from lord e de cumb for tallage.</t>
        </is>
      </c>
      <c r="C63" t="n">
        <v>2</v>
      </c>
      <c r="D63" t="n">
        <v>0</v>
      </c>
      <c r="E63" t="n">
        <v>40</v>
      </c>
      <c r="F63" t="n">
        <v>0</v>
      </c>
      <c r="H63" t="n">
        <v>0</v>
      </c>
      <c r="I63" t="n">
        <v>0</v>
      </c>
      <c r="J63" t="n">
        <v>0</v>
      </c>
      <c r="K63" t="n">
        <v>0</v>
      </c>
      <c r="L63" t="n">
        <v>0</v>
      </c>
      <c r="M63" t="n">
        <v>0</v>
      </c>
      <c r="N63" t="n">
        <v>0</v>
      </c>
    </row>
    <row r="64">
      <c r="A64" t="inlineStr">
        <is>
          <t>receipts from the treasury</t>
        </is>
      </c>
      <c r="B64" t="inlineStr">
        <is>
          <t>and for 1 mark received at esher, by the hand of the lord of winchester.</t>
        </is>
      </c>
      <c r="C64" t="n">
        <v>0</v>
      </c>
      <c r="D64" t="n">
        <v>0</v>
      </c>
      <c r="E64" t="n">
        <v>0</v>
      </c>
      <c r="F64" t="n">
        <v>0</v>
      </c>
      <c r="H64" t="n">
        <v>0</v>
      </c>
      <c r="I64" t="n">
        <v>0</v>
      </c>
      <c r="J64" t="n">
        <v>0</v>
      </c>
      <c r="K64" t="n">
        <v>0</v>
      </c>
      <c r="L64" t="n">
        <v>0</v>
      </c>
      <c r="M64" t="n">
        <v>0</v>
      </c>
      <c r="N64" t="n">
        <v>0</v>
      </c>
    </row>
    <row r="65">
      <c r="A65" t="inlineStr">
        <is>
          <t>receipts from the treasury</t>
        </is>
      </c>
      <c r="B65" t="inlineStr">
        <is>
          <t>and for 6 shilling 8 pence at newark priory from ralph the chamberlain.</t>
        </is>
      </c>
      <c r="C65" t="n">
        <v>0.33</v>
      </c>
      <c r="D65" t="n">
        <v>0</v>
      </c>
      <c r="E65" t="n">
        <v>6</v>
      </c>
      <c r="F65" t="n">
        <v>8</v>
      </c>
      <c r="H65" t="n">
        <v>0</v>
      </c>
      <c r="I65" t="n">
        <v>0</v>
      </c>
      <c r="J65" t="n">
        <v>0</v>
      </c>
      <c r="K65" t="n">
        <v>0</v>
      </c>
      <c r="L65" t="n">
        <v>0</v>
      </c>
      <c r="M65" t="n">
        <v>0</v>
      </c>
      <c r="N65" t="n">
        <v>0</v>
      </c>
    </row>
    <row r="66">
      <c r="A66" t="inlineStr">
        <is>
          <t>receipts from the treasury</t>
        </is>
      </c>
      <c r="B66" t="inlineStr">
        <is>
          <t>and for 20 shilling received from walter the farrier at esher.</t>
        </is>
      </c>
      <c r="C66" t="n">
        <v>1</v>
      </c>
      <c r="D66" t="n">
        <v>0</v>
      </c>
      <c r="E66" t="n">
        <v>20</v>
      </c>
      <c r="F66" t="n">
        <v>0</v>
      </c>
      <c r="H66" t="n">
        <v>0</v>
      </c>
      <c r="I66" t="n">
        <v>0</v>
      </c>
      <c r="J66" t="n">
        <v>0</v>
      </c>
      <c r="K66" t="n">
        <v>0</v>
      </c>
      <c r="L66" t="n">
        <v>0</v>
      </c>
      <c r="M66" t="n">
        <v>0</v>
      </c>
      <c r="N66" t="n">
        <v>0</v>
      </c>
    </row>
    <row r="67">
      <c r="A67" t="inlineStr">
        <is>
          <t>receipts from the treasury</t>
        </is>
      </c>
      <c r="B67" t="inlineStr">
        <is>
          <t>and for 40 shilling at east bedfont received from lord walter the steward.</t>
        </is>
      </c>
      <c r="C67" t="n">
        <v>2</v>
      </c>
      <c r="D67" t="n">
        <v>0</v>
      </c>
      <c r="E67" t="n">
        <v>40</v>
      </c>
      <c r="F67" t="n">
        <v>0</v>
      </c>
      <c r="H67" t="n">
        <v>0</v>
      </c>
      <c r="I67" t="n">
        <v>0</v>
      </c>
      <c r="J67" t="n">
        <v>0</v>
      </c>
      <c r="K67" t="n">
        <v>0</v>
      </c>
      <c r="L67" t="n">
        <v>0</v>
      </c>
      <c r="M67" t="n">
        <v>0</v>
      </c>
      <c r="N67" t="n">
        <v>0</v>
      </c>
    </row>
    <row r="68">
      <c r="A68" t="inlineStr">
        <is>
          <t>receipts from the treasury</t>
        </is>
      </c>
      <c r="B68" t="inlineStr">
        <is>
          <t>and for 13 shilling 4 pence received from ralph cormibiens, by the hand of robert blund, by order of the bishop.</t>
        </is>
      </c>
      <c r="C68" t="n">
        <v>0.67</v>
      </c>
      <c r="D68" t="n">
        <v>0</v>
      </c>
      <c r="E68" t="n">
        <v>13</v>
      </c>
      <c r="F68" t="n">
        <v>4</v>
      </c>
      <c r="H68" t="n">
        <v>0</v>
      </c>
      <c r="I68" t="n">
        <v>0</v>
      </c>
      <c r="J68" t="n">
        <v>0</v>
      </c>
      <c r="K68" t="n">
        <v>0</v>
      </c>
      <c r="L68" t="n">
        <v>0</v>
      </c>
      <c r="M68" t="n">
        <v>0</v>
      </c>
      <c r="N68" t="n">
        <v>0</v>
      </c>
    </row>
    <row r="69">
      <c r="A69" t="inlineStr">
        <is>
          <t>receipts from the treasury</t>
        </is>
      </c>
      <c r="B69" t="inlineStr">
        <is>
          <t>sum £6 13 shilling 4pence.</t>
        </is>
      </c>
      <c r="C69" t="n">
        <v>6.67</v>
      </c>
      <c r="D69" t="n">
        <v>6</v>
      </c>
      <c r="E69" t="n">
        <v>13</v>
      </c>
      <c r="F69" t="n">
        <v>4</v>
      </c>
      <c r="H69" t="n">
        <v>0</v>
      </c>
      <c r="I69" t="n">
        <v>0</v>
      </c>
      <c r="J69" t="n">
        <v>0</v>
      </c>
      <c r="K69" t="n">
        <v>0</v>
      </c>
      <c r="L69" t="n">
        <v>0</v>
      </c>
      <c r="M69" t="n">
        <v>0</v>
      </c>
      <c r="N69" t="n">
        <v>0</v>
      </c>
    </row>
    <row r="70">
      <c r="A70" t="inlineStr">
        <is>
          <t>receipts from the treasury</t>
        </is>
      </c>
      <c r="B70" t="inlineStr">
        <is>
          <t>sum of receipts £25 12 shilling 8½d.</t>
        </is>
      </c>
      <c r="C70" t="n">
        <v>25.6</v>
      </c>
      <c r="D70" t="n">
        <v>25</v>
      </c>
      <c r="E70" t="n">
        <v>12</v>
      </c>
      <c r="F70" t="n">
        <v>0</v>
      </c>
      <c r="H70" t="n">
        <v>0</v>
      </c>
      <c r="I70" t="n">
        <v>0</v>
      </c>
      <c r="J70" t="n">
        <v>0</v>
      </c>
      <c r="K70" t="n">
        <v>0</v>
      </c>
      <c r="L70" t="n">
        <v>0</v>
      </c>
      <c r="M70" t="n">
        <v>0</v>
      </c>
      <c r="N70" t="n">
        <v>0</v>
      </c>
    </row>
    <row r="71">
      <c r="A71" t="inlineStr">
        <is>
          <t>necessary expenses</t>
        </is>
      </c>
      <c r="B71" t="inlineStr">
        <is>
          <t>paid for the manor of northwode to the tenant-in-chief 10 shilling paid to hugh de brugeford for certain land at northwode 5 pence, for ½ pound of pepper which is owed to him.</t>
        </is>
      </c>
      <c r="C71" t="n">
        <v>0.52</v>
      </c>
      <c r="D71" t="n">
        <v>0</v>
      </c>
      <c r="E71" t="n">
        <v>10</v>
      </c>
      <c r="F71" t="n">
        <v>5</v>
      </c>
      <c r="H71" t="n">
        <v>0</v>
      </c>
      <c r="I71" t="n">
        <v>0</v>
      </c>
      <c r="J71" t="n">
        <v>0</v>
      </c>
      <c r="K71" t="n">
        <v>0</v>
      </c>
      <c r="L71" t="n">
        <v>0</v>
      </c>
      <c r="M71" t="n">
        <v>0</v>
      </c>
      <c r="N71" t="n">
        <v>0</v>
      </c>
    </row>
    <row r="72">
      <c r="A72" t="inlineStr">
        <is>
          <t>necessary expenses</t>
        </is>
      </c>
      <c r="B72" t="inlineStr">
        <is>
          <t>from henceforth assessed by the quantity of pepper and not by price.</t>
        </is>
      </c>
      <c r="C72" t="n">
        <v>0</v>
      </c>
      <c r="D72" t="n">
        <v>0</v>
      </c>
      <c r="E72" t="n">
        <v>0</v>
      </c>
      <c r="F72" t="n">
        <v>0</v>
      </c>
      <c r="H72" t="n">
        <v>0</v>
      </c>
      <c r="I72" t="n">
        <v>0</v>
      </c>
      <c r="J72" t="n">
        <v>0</v>
      </c>
      <c r="K72" t="n">
        <v>0</v>
      </c>
      <c r="L72" t="n">
        <v>0</v>
      </c>
      <c r="M72" t="n">
        <v>0</v>
      </c>
      <c r="N72" t="n">
        <v>0</v>
      </c>
    </row>
    <row r="73">
      <c r="A73" t="inlineStr">
        <is>
          <t>necessary expenses</t>
        </is>
      </c>
      <c r="B73" t="inlineStr">
        <is>
          <t>and for the surplus due for the third year 23 shilling 9pence.</t>
        </is>
      </c>
      <c r="C73" t="n">
        <v>1.19</v>
      </c>
      <c r="D73" t="n">
        <v>0</v>
      </c>
      <c r="E73" t="n">
        <v>23</v>
      </c>
      <c r="F73" t="n">
        <v>9</v>
      </c>
      <c r="H73" t="n">
        <v>0</v>
      </c>
      <c r="I73" t="n">
        <v>0</v>
      </c>
      <c r="J73" t="n">
        <v>0</v>
      </c>
      <c r="K73" t="n">
        <v>0</v>
      </c>
      <c r="L73" t="n">
        <v>0</v>
      </c>
      <c r="M73" t="n">
        <v>0</v>
      </c>
      <c r="N73" t="n">
        <v>0</v>
      </c>
    </row>
    <row r="74">
      <c r="A74" t="inlineStr">
        <is>
          <t>necessary expenses</t>
        </is>
      </c>
      <c r="B74" t="inlineStr">
        <is>
          <t>ironwork on two ploughs for the year 5 shilling 3½d.</t>
        </is>
      </c>
      <c r="C74" t="n">
        <v>0.25</v>
      </c>
      <c r="D74" t="n">
        <v>0</v>
      </c>
      <c r="E74" t="n">
        <v>5</v>
      </c>
      <c r="F74" t="n">
        <v>0</v>
      </c>
      <c r="H74" t="n">
        <v>0</v>
      </c>
      <c r="I74" t="n">
        <v>0</v>
      </c>
      <c r="J74" t="n">
        <v>0</v>
      </c>
      <c r="K74" t="n">
        <v>0</v>
      </c>
      <c r="L74" t="n">
        <v>0</v>
      </c>
      <c r="M74" t="n">
        <v>0</v>
      </c>
      <c r="N74" t="n">
        <v>0</v>
      </c>
    </row>
    <row r="75">
      <c r="A75" t="inlineStr">
        <is>
          <t>necessary expenses</t>
        </is>
      </c>
      <c r="B75" t="inlineStr">
        <is>
          <t>stipend of a smith for the year 4 shilling 2pence.</t>
        </is>
      </c>
      <c r="C75" t="n">
        <v>0.21</v>
      </c>
      <c r="D75" t="n">
        <v>0</v>
      </c>
      <c r="E75" t="n">
        <v>4</v>
      </c>
      <c r="F75" t="n">
        <v>2</v>
      </c>
      <c r="H75" t="n">
        <v>0</v>
      </c>
      <c r="I75" t="n">
        <v>0</v>
      </c>
      <c r="J75" t="n">
        <v>0</v>
      </c>
      <c r="K75" t="n">
        <v>0</v>
      </c>
      <c r="L75" t="n">
        <v>0</v>
      </c>
      <c r="M75" t="n">
        <v>0</v>
      </c>
      <c r="N75" t="n">
        <v>0</v>
      </c>
    </row>
    <row r="76">
      <c r="A76" t="inlineStr">
        <is>
          <t>necessary expenses</t>
        </is>
      </c>
      <c r="B76" t="inlineStr">
        <is>
          <t>two pairs of wheels for ploughs bought for the year 6pence.</t>
        </is>
      </c>
      <c r="C76" t="n">
        <v>0.03</v>
      </c>
      <c r="D76" t="n">
        <v>0</v>
      </c>
      <c r="E76" t="n">
        <v>0</v>
      </c>
      <c r="F76" t="n">
        <v>6</v>
      </c>
      <c r="H76" t="n">
        <v>0</v>
      </c>
      <c r="I76" t="n">
        <v>0</v>
      </c>
      <c r="J76" t="n">
        <v>0</v>
      </c>
      <c r="K76" t="n">
        <v>0</v>
      </c>
      <c r="L76" t="n">
        <v>0</v>
      </c>
      <c r="M76" t="n">
        <v>0</v>
      </c>
      <c r="N76" t="n">
        <v>0</v>
      </c>
    </row>
    <row r="77">
      <c r="A77" t="inlineStr">
        <is>
          <t>necessary expenses</t>
        </is>
      </c>
      <c r="B77" t="inlineStr">
        <is>
          <t>four halters cut 2pence.</t>
        </is>
      </c>
      <c r="C77" t="n">
        <v>0.01</v>
      </c>
      <c r="D77" t="n">
        <v>0</v>
      </c>
      <c r="E77" t="n">
        <v>0</v>
      </c>
      <c r="F77" t="n">
        <v>2</v>
      </c>
      <c r="H77" t="n">
        <v>0</v>
      </c>
      <c r="I77" t="n">
        <v>0</v>
      </c>
      <c r="J77" t="n">
        <v>0</v>
      </c>
      <c r="K77" t="n">
        <v>0</v>
      </c>
      <c r="L77" t="n">
        <v>0</v>
      </c>
      <c r="M77" t="n">
        <v>0</v>
      </c>
      <c r="N77" t="n">
        <v>0</v>
      </c>
    </row>
    <row r="78">
      <c r="A78" t="inlineStr">
        <is>
          <t>necessary expenses</t>
        </is>
      </c>
      <c r="B78" t="inlineStr">
        <is>
          <t>a halter of leather 3pence.</t>
        </is>
      </c>
      <c r="C78" t="n">
        <v>0.01</v>
      </c>
      <c r="D78" t="n">
        <v>0</v>
      </c>
      <c r="E78" t="n">
        <v>0</v>
      </c>
      <c r="F78" t="n">
        <v>3</v>
      </c>
      <c r="H78" t="n">
        <v>0</v>
      </c>
      <c r="I78" t="n">
        <v>0</v>
      </c>
      <c r="J78" t="n">
        <v>0</v>
      </c>
      <c r="K78" t="n">
        <v>0</v>
      </c>
      <c r="L78" t="n">
        <v>0</v>
      </c>
      <c r="M78" t="n">
        <v>0</v>
      </c>
      <c r="N78" t="n">
        <v>0</v>
      </c>
    </row>
    <row r="79">
      <c r="A79" t="inlineStr">
        <is>
          <t>necessary expenses</t>
        </is>
      </c>
      <c r="B79" t="inlineStr">
        <is>
          <t>shoeing cart horses for the year 2 shilling.</t>
        </is>
      </c>
      <c r="C79" t="n">
        <v>0.1</v>
      </c>
      <c r="D79" t="n">
        <v>0</v>
      </c>
      <c r="E79" t="n">
        <v>2</v>
      </c>
      <c r="F79" t="n">
        <v>0</v>
      </c>
      <c r="H79" t="n">
        <v>0</v>
      </c>
      <c r="I79" t="n">
        <v>0</v>
      </c>
      <c r="J79" t="n">
        <v>0</v>
      </c>
      <c r="K79" t="n">
        <v>0</v>
      </c>
      <c r="L79" t="n">
        <v>0</v>
      </c>
      <c r="M79" t="n">
        <v>0</v>
      </c>
      <c r="N79" t="n">
        <v>0</v>
      </c>
    </row>
    <row r="80">
      <c r="A80" t="inlineStr">
        <is>
          <t>necessary expenses</t>
        </is>
      </c>
      <c r="B80" t="inlineStr">
        <is>
          <t>buying three new carts 3 shilling 2pence.</t>
        </is>
      </c>
      <c r="C80" t="n">
        <v>0.16</v>
      </c>
      <c r="D80" t="n">
        <v>0</v>
      </c>
      <c r="E80" t="n">
        <v>3</v>
      </c>
      <c r="F80" t="n">
        <v>2</v>
      </c>
      <c r="H80" t="n">
        <v>0</v>
      </c>
      <c r="I80" t="n">
        <v>0</v>
      </c>
      <c r="J80" t="n">
        <v>0</v>
      </c>
      <c r="K80" t="n">
        <v>0</v>
      </c>
      <c r="L80" t="n">
        <v>0</v>
      </c>
      <c r="M80" t="n">
        <v>0</v>
      </c>
      <c r="N80" t="n">
        <v>0</v>
      </c>
    </row>
    <row r="81">
      <c r="A81" t="inlineStr">
        <is>
          <t>necessary expenses</t>
        </is>
      </c>
      <c r="B81" t="inlineStr">
        <is>
          <t>axles bought for ploughs and carts 9pence.</t>
        </is>
      </c>
      <c r="C81" t="n">
        <v>0.04</v>
      </c>
      <c r="D81" t="n">
        <v>0</v>
      </c>
      <c r="E81" t="n">
        <v>0</v>
      </c>
      <c r="F81" t="n">
        <v>9</v>
      </c>
      <c r="H81" t="n">
        <v>0</v>
      </c>
      <c r="I81" t="n">
        <v>0</v>
      </c>
      <c r="J81" t="n">
        <v>0</v>
      </c>
      <c r="K81" t="n">
        <v>0</v>
      </c>
      <c r="L81" t="n">
        <v>0</v>
      </c>
      <c r="M81" t="n">
        <v>0</v>
      </c>
      <c r="N81" t="n">
        <v>0</v>
      </c>
    </row>
    <row r="82">
      <c r="A82" t="inlineStr">
        <is>
          <t>necessary expenses</t>
        </is>
      </c>
      <c r="B82" t="inlineStr">
        <is>
          <t>clouts, nails for ploughs and for carts 9pence.</t>
        </is>
      </c>
      <c r="C82" t="n">
        <v>0.04</v>
      </c>
      <c r="D82" t="n">
        <v>0</v>
      </c>
      <c r="E82" t="n">
        <v>0</v>
      </c>
      <c r="F82" t="n">
        <v>9</v>
      </c>
      <c r="H82" t="n">
        <v>0</v>
      </c>
      <c r="I82" t="n">
        <v>0</v>
      </c>
      <c r="J82" t="n">
        <v>0</v>
      </c>
      <c r="K82" t="n">
        <v>0</v>
      </c>
      <c r="L82" t="n">
        <v>0</v>
      </c>
      <c r="M82" t="n">
        <v>0</v>
      </c>
      <c r="N82" t="n">
        <v>0</v>
      </c>
    </row>
    <row r="83">
      <c r="A83" t="inlineStr">
        <is>
          <t>necessary expenses</t>
        </is>
      </c>
      <c r="B83" t="inlineStr">
        <is>
          <t>soap for the carts 1pence.</t>
        </is>
      </c>
      <c r="C83" t="n">
        <v>0</v>
      </c>
      <c r="D83" t="n">
        <v>0</v>
      </c>
      <c r="E83" t="n">
        <v>0</v>
      </c>
      <c r="F83" t="n">
        <v>1</v>
      </c>
      <c r="H83" t="n">
        <v>0</v>
      </c>
      <c r="I83" t="n">
        <v>0</v>
      </c>
      <c r="J83" t="n">
        <v>0</v>
      </c>
      <c r="K83" t="n">
        <v>0</v>
      </c>
      <c r="L83" t="n">
        <v>0</v>
      </c>
      <c r="M83" t="n">
        <v>0</v>
      </c>
      <c r="N83" t="n">
        <v>0</v>
      </c>
    </row>
    <row r="84">
      <c r="A84" t="inlineStr">
        <is>
          <t>necessary expenses</t>
        </is>
      </c>
      <c r="B84" t="inlineStr">
        <is>
          <t>3 quarters 3 bushels of salt bought for the larder, household, and the dairy 6 shilling 10½d, price of a quarter 2 shilling 1pence.</t>
        </is>
      </c>
      <c r="C84" t="n">
        <v>0.3</v>
      </c>
      <c r="D84" t="n">
        <v>0</v>
      </c>
      <c r="E84" t="n">
        <v>6</v>
      </c>
      <c r="F84" t="n">
        <v>1</v>
      </c>
      <c r="H84" t="n">
        <v>3</v>
      </c>
      <c r="I84" t="n">
        <v>3</v>
      </c>
      <c r="J84" t="n">
        <v>3.38</v>
      </c>
      <c r="K84" t="n">
        <v>3.38</v>
      </c>
      <c r="L84" t="n">
        <v>0</v>
      </c>
      <c r="M84" t="n">
        <v>3</v>
      </c>
      <c r="N84" t="n">
        <v>3</v>
      </c>
    </row>
    <row r="85">
      <c r="A85" t="inlineStr">
        <is>
          <t>necessary expenses</t>
        </is>
      </c>
      <c r="B85" t="inlineStr">
        <is>
          <t>two beams to make a spade and one shovel and one wheelbarrow 5½d.</t>
        </is>
      </c>
      <c r="C85" t="n">
        <v>0</v>
      </c>
      <c r="D85" t="n">
        <v>0</v>
      </c>
      <c r="E85" t="n">
        <v>0</v>
      </c>
      <c r="F85" t="n">
        <v>0</v>
      </c>
      <c r="H85" t="n">
        <v>0</v>
      </c>
      <c r="I85" t="n">
        <v>0</v>
      </c>
      <c r="J85" t="n">
        <v>0</v>
      </c>
      <c r="K85" t="n">
        <v>0</v>
      </c>
      <c r="L85" t="n">
        <v>0</v>
      </c>
      <c r="M85" t="n">
        <v>0</v>
      </c>
      <c r="N85" t="n">
        <v>0</v>
      </c>
    </row>
    <row r="86">
      <c r="A86" t="inlineStr">
        <is>
          <t>necessary expenses</t>
        </is>
      </c>
      <c r="B86" t="inlineStr">
        <is>
          <t>necessary things for the dairy besides 15pence.</t>
        </is>
      </c>
      <c r="C86" t="n">
        <v>0.06</v>
      </c>
      <c r="D86" t="n">
        <v>0</v>
      </c>
      <c r="E86" t="n">
        <v>0</v>
      </c>
      <c r="F86" t="n">
        <v>15</v>
      </c>
      <c r="H86" t="n">
        <v>0</v>
      </c>
      <c r="I86" t="n">
        <v>0</v>
      </c>
      <c r="J86" t="n">
        <v>0</v>
      </c>
      <c r="K86" t="n">
        <v>0</v>
      </c>
      <c r="L86" t="n">
        <v>0</v>
      </c>
      <c r="M86" t="n">
        <v>0</v>
      </c>
      <c r="N86" t="n">
        <v>0</v>
      </c>
    </row>
    <row r="87">
      <c r="A87" t="inlineStr">
        <is>
          <t>necessary expenses</t>
        </is>
      </c>
      <c r="B87" t="inlineStr">
        <is>
          <t>two hooped bowls, two new buckets, mending two old buckets, four sieves, two pitchers 17½d.</t>
        </is>
      </c>
      <c r="C87" t="n">
        <v>0</v>
      </c>
      <c r="D87" t="n">
        <v>0</v>
      </c>
      <c r="E87" t="n">
        <v>0</v>
      </c>
      <c r="F87" t="n">
        <v>0</v>
      </c>
      <c r="H87" t="n">
        <v>0</v>
      </c>
      <c r="I87" t="n">
        <v>0</v>
      </c>
      <c r="J87" t="n">
        <v>0</v>
      </c>
      <c r="K87" t="n">
        <v>0</v>
      </c>
      <c r="L87" t="n">
        <v>0</v>
      </c>
      <c r="M87" t="n">
        <v>0</v>
      </c>
      <c r="N87" t="n">
        <v>0</v>
      </c>
    </row>
    <row r="88">
      <c r="A88" t="inlineStr">
        <is>
          <t>necessary expenses</t>
        </is>
      </c>
      <c r="B88" t="inlineStr">
        <is>
          <t>digging 12 perches of new ditch in the barton between the grange and the new garden 2 shilling 1 pence \price of a perch 2pence/.</t>
        </is>
      </c>
      <c r="C88" t="n">
        <v>0.1</v>
      </c>
      <c r="D88" t="n">
        <v>0</v>
      </c>
      <c r="E88" t="n">
        <v>2</v>
      </c>
      <c r="F88" t="n">
        <v>1</v>
      </c>
      <c r="H88" t="n">
        <v>0</v>
      </c>
      <c r="I88" t="n">
        <v>0</v>
      </c>
      <c r="J88" t="n">
        <v>0</v>
      </c>
      <c r="K88" t="n">
        <v>0</v>
      </c>
      <c r="L88" t="n">
        <v>0</v>
      </c>
      <c r="M88" t="n">
        <v>0</v>
      </c>
      <c r="N88" t="n">
        <v>0</v>
      </c>
    </row>
    <row r="89">
      <c r="A89" t="inlineStr">
        <is>
          <t>necessary expenses</t>
        </is>
      </c>
      <c r="B89" t="inlineStr">
        <is>
          <t>ditching and enclosing around the land cleared by burning in esher 2pence.</t>
        </is>
      </c>
      <c r="C89" t="n">
        <v>0.01</v>
      </c>
      <c r="D89" t="n">
        <v>0</v>
      </c>
      <c r="E89" t="n">
        <v>0</v>
      </c>
      <c r="F89" t="n">
        <v>2</v>
      </c>
      <c r="H89" t="n">
        <v>0</v>
      </c>
      <c r="I89" t="n">
        <v>0</v>
      </c>
      <c r="J89" t="n">
        <v>0</v>
      </c>
      <c r="K89" t="n">
        <v>0</v>
      </c>
      <c r="L89" t="n">
        <v>0</v>
      </c>
      <c r="M89" t="n">
        <v>0</v>
      </c>
      <c r="N89" t="n">
        <v>0</v>
      </c>
    </row>
    <row r="90">
      <c r="A90" t="inlineStr">
        <is>
          <t>necessary expenses</t>
        </is>
      </c>
      <c r="B90" t="inlineStr">
        <is>
          <t>digging 50 perches of ditch in front of the gate of esher and around the barton by order of the bishop 4 shilling 2 pence, price of a perch 1pence.</t>
        </is>
      </c>
      <c r="C90" t="n">
        <v>0.21</v>
      </c>
      <c r="D90" t="n">
        <v>0</v>
      </c>
      <c r="E90" t="n">
        <v>4</v>
      </c>
      <c r="F90" t="n">
        <v>2</v>
      </c>
      <c r="H90" t="n">
        <v>0</v>
      </c>
      <c r="I90" t="n">
        <v>0</v>
      </c>
      <c r="J90" t="n">
        <v>0</v>
      </c>
      <c r="K90" t="n">
        <v>0</v>
      </c>
      <c r="L90" t="n">
        <v>0</v>
      </c>
      <c r="M90" t="n">
        <v>0</v>
      </c>
      <c r="N90" t="n">
        <v>0</v>
      </c>
    </row>
    <row r="91">
      <c r="A91" t="inlineStr">
        <is>
          <t>necessary expenses</t>
        </is>
      </c>
      <c r="B91" t="inlineStr">
        <is>
          <t>digging and enclosing around the barrier in esher 2pence.</t>
        </is>
      </c>
      <c r="C91" t="n">
        <v>0.01</v>
      </c>
      <c r="D91" t="n">
        <v>0</v>
      </c>
      <c r="E91" t="n">
        <v>0</v>
      </c>
      <c r="F91" t="n">
        <v>2</v>
      </c>
      <c r="H91" t="n">
        <v>0</v>
      </c>
      <c r="I91" t="n">
        <v>0</v>
      </c>
      <c r="J91" t="n">
        <v>0</v>
      </c>
      <c r="K91" t="n">
        <v>0</v>
      </c>
      <c r="L91" t="n">
        <v>0</v>
      </c>
      <c r="M91" t="n">
        <v>0</v>
      </c>
      <c r="N91" t="n">
        <v>0</v>
      </c>
    </row>
    <row r="92">
      <c r="A92" t="inlineStr">
        <is>
          <t>necessary expenses</t>
        </is>
      </c>
      <c r="B92" t="inlineStr">
        <is>
          <t>digging 80.</t>
        </is>
      </c>
      <c r="C92" t="n">
        <v>0</v>
      </c>
      <c r="D92" t="n">
        <v>0</v>
      </c>
      <c r="E92" t="n">
        <v>0</v>
      </c>
      <c r="F92" t="n">
        <v>0</v>
      </c>
      <c r="H92" t="n">
        <v>0</v>
      </c>
      <c r="I92" t="n">
        <v>0</v>
      </c>
      <c r="J92" t="n">
        <v>0</v>
      </c>
      <c r="K92" t="n">
        <v>0</v>
      </c>
      <c r="L92" t="n">
        <v>0</v>
      </c>
      <c r="M92" t="n">
        <v>0</v>
      </c>
      <c r="N92" t="n">
        <v>0</v>
      </c>
    </row>
    <row r="93">
      <c r="A93" t="inlineStr">
        <is>
          <t>necessary expenses</t>
        </is>
      </c>
      <c r="B93" t="inlineStr">
        <is>
          <t>--- page 4 ---.</t>
        </is>
      </c>
      <c r="C93" t="n">
        <v>0</v>
      </c>
      <c r="D93" t="n">
        <v>0</v>
      </c>
      <c r="E93" t="n">
        <v>0</v>
      </c>
      <c r="F93" t="n">
        <v>0</v>
      </c>
      <c r="H93" t="n">
        <v>0</v>
      </c>
      <c r="I93" t="n">
        <v>0</v>
      </c>
      <c r="J93" t="n">
        <v>0</v>
      </c>
      <c r="K93" t="n">
        <v>0</v>
      </c>
      <c r="L93" t="n">
        <v>0</v>
      </c>
      <c r="M93" t="n">
        <v>0</v>
      </c>
      <c r="N93" t="n">
        <v>0</v>
      </c>
    </row>
    <row r="94">
      <c r="A94" t="inlineStr">
        <is>
          <t>necessary expenses</t>
        </is>
      </c>
      <c r="B94" t="inlineStr">
        <is>
          <t>perches of ditch at northwode by order of the bishop 13 shilling 4 pence, price of a perch 2pence.</t>
        </is>
      </c>
      <c r="C94" t="n">
        <v>0.67</v>
      </c>
      <c r="D94" t="n">
        <v>0</v>
      </c>
      <c r="E94" t="n">
        <v>13</v>
      </c>
      <c r="F94" t="n">
        <v>4</v>
      </c>
      <c r="H94" t="n">
        <v>0</v>
      </c>
      <c r="I94" t="n">
        <v>0</v>
      </c>
      <c r="J94" t="n">
        <v>0</v>
      </c>
      <c r="K94" t="n">
        <v>0</v>
      </c>
      <c r="L94" t="n">
        <v>0</v>
      </c>
      <c r="M94" t="n">
        <v>0</v>
      </c>
      <c r="N94" t="n">
        <v>0</v>
      </c>
    </row>
    <row r="95">
      <c r="A95" t="inlineStr">
        <is>
          <t>necessary expenses</t>
        </is>
      </c>
      <c r="B95" t="inlineStr">
        <is>
          <t>hedging 24 perches of the same bank 12pence.</t>
        </is>
      </c>
      <c r="C95" t="n">
        <v>0.05</v>
      </c>
      <c r="D95" t="n">
        <v>0</v>
      </c>
      <c r="E95" t="n">
        <v>0</v>
      </c>
      <c r="F95" t="n">
        <v>12</v>
      </c>
      <c r="H95" t="n">
        <v>0</v>
      </c>
      <c r="I95" t="n">
        <v>0</v>
      </c>
      <c r="J95" t="n">
        <v>0</v>
      </c>
      <c r="K95" t="n">
        <v>0</v>
      </c>
      <c r="L95" t="n">
        <v>0</v>
      </c>
      <c r="M95" t="n">
        <v>0</v>
      </c>
      <c r="N95" t="n">
        <v>0</v>
      </c>
    </row>
    <row r="96">
      <c r="A96" t="inlineStr">
        <is>
          <t>necessary expenses</t>
        </is>
      </c>
      <c r="B96" t="inlineStr">
        <is>
          <t>ale for boonworks of 14 ploughmen in lent 12½d.</t>
        </is>
      </c>
      <c r="C96" t="n">
        <v>0</v>
      </c>
      <c r="D96" t="n">
        <v>0</v>
      </c>
      <c r="E96" t="n">
        <v>0</v>
      </c>
      <c r="F96" t="n">
        <v>0</v>
      </c>
      <c r="H96" t="n">
        <v>0</v>
      </c>
      <c r="I96" t="n">
        <v>0</v>
      </c>
      <c r="J96" t="n">
        <v>0</v>
      </c>
      <c r="K96" t="n">
        <v>0</v>
      </c>
      <c r="L96" t="n">
        <v>0</v>
      </c>
      <c r="M96" t="n">
        <v>0</v>
      </c>
      <c r="N96" t="n">
        <v>0</v>
      </c>
    </row>
    <row r="97">
      <c r="A97" t="inlineStr">
        <is>
          <t>necessary expenses</t>
        </is>
      </c>
      <c r="B97" t="inlineStr">
        <is>
          <t>digging the garden for beans 9pence.</t>
        </is>
      </c>
      <c r="C97" t="n">
        <v>0.04</v>
      </c>
      <c r="D97" t="n">
        <v>0</v>
      </c>
      <c r="E97" t="n">
        <v>0</v>
      </c>
      <c r="F97" t="n">
        <v>9</v>
      </c>
      <c r="G97" t="inlineStr">
        <is>
          <t>beans</t>
        </is>
      </c>
      <c r="H97" t="n">
        <v>0</v>
      </c>
      <c r="I97" t="n">
        <v>0</v>
      </c>
      <c r="J97" t="n">
        <v>0</v>
      </c>
      <c r="K97" t="n">
        <v>0</v>
      </c>
      <c r="L97" t="n">
        <v>0</v>
      </c>
      <c r="M97" t="n">
        <v>0</v>
      </c>
      <c r="N97" t="n">
        <v>0</v>
      </c>
    </row>
    <row r="98">
      <c r="A98" t="inlineStr">
        <is>
          <t>necessary expenses</t>
        </is>
      </c>
      <c r="B98" t="inlineStr">
        <is>
          <t>planting beans 6pence.</t>
        </is>
      </c>
      <c r="C98" t="n">
        <v>0.03</v>
      </c>
      <c r="D98" t="n">
        <v>0</v>
      </c>
      <c r="E98" t="n">
        <v>0</v>
      </c>
      <c r="F98" t="n">
        <v>6</v>
      </c>
      <c r="G98" t="inlineStr">
        <is>
          <t>beans</t>
        </is>
      </c>
      <c r="H98" t="n">
        <v>0</v>
      </c>
      <c r="I98" t="n">
        <v>0</v>
      </c>
      <c r="J98" t="n">
        <v>0</v>
      </c>
      <c r="K98" t="n">
        <v>0</v>
      </c>
      <c r="L98" t="n">
        <v>0</v>
      </c>
      <c r="M98" t="n">
        <v>0</v>
      </c>
      <c r="N98" t="n">
        <v>0</v>
      </c>
    </row>
    <row r="99">
      <c r="A99" t="inlineStr">
        <is>
          <t>necessary expenses</t>
        </is>
      </c>
      <c r="B99" t="inlineStr">
        <is>
          <t>one gardener for three days to plant saplings of pear and apple 6pence.</t>
        </is>
      </c>
      <c r="C99" t="n">
        <v>0.03</v>
      </c>
      <c r="D99" t="n">
        <v>0</v>
      </c>
      <c r="E99" t="n">
        <v>0</v>
      </c>
      <c r="F99" t="n">
        <v>6</v>
      </c>
      <c r="H99" t="n">
        <v>0</v>
      </c>
      <c r="I99" t="n">
        <v>0</v>
      </c>
      <c r="J99" t="n">
        <v>0</v>
      </c>
      <c r="K99" t="n">
        <v>0</v>
      </c>
      <c r="L99" t="n">
        <v>0</v>
      </c>
      <c r="M99" t="n">
        <v>0</v>
      </c>
      <c r="N99" t="n">
        <v>0</v>
      </c>
    </row>
    <row r="100">
      <c r="A100" t="inlineStr">
        <is>
          <t>necessary expenses</t>
        </is>
      </c>
      <c r="B100" t="inlineStr">
        <is>
          <t>fish and ale for the brewer and for the two women assisting him for eight days in lent 2 shilling 6pence.</t>
        </is>
      </c>
      <c r="C100" t="n">
        <v>0.12</v>
      </c>
      <c r="D100" t="n">
        <v>0</v>
      </c>
      <c r="E100" t="n">
        <v>2</v>
      </c>
      <c r="F100" t="n">
        <v>6</v>
      </c>
      <c r="H100" t="n">
        <v>0</v>
      </c>
      <c r="I100" t="n">
        <v>0</v>
      </c>
      <c r="J100" t="n">
        <v>0</v>
      </c>
      <c r="K100" t="n">
        <v>0</v>
      </c>
      <c r="L100" t="n">
        <v>0</v>
      </c>
      <c r="M100" t="n">
        <v>0</v>
      </c>
      <c r="N100" t="n">
        <v>0</v>
      </c>
    </row>
    <row r="101">
      <c r="A101" t="inlineStr">
        <is>
          <t>necessary expenses</t>
        </is>
      </c>
      <c r="B101" t="inlineStr">
        <is>
          <t>stipend of the same 18pence.</t>
        </is>
      </c>
      <c r="C101" t="n">
        <v>0.07000000000000001</v>
      </c>
      <c r="D101" t="n">
        <v>0</v>
      </c>
      <c r="E101" t="n">
        <v>0</v>
      </c>
      <c r="F101" t="n">
        <v>18</v>
      </c>
      <c r="H101" t="n">
        <v>0</v>
      </c>
      <c r="I101" t="n">
        <v>0</v>
      </c>
      <c r="J101" t="n">
        <v>0</v>
      </c>
      <c r="K101" t="n">
        <v>0</v>
      </c>
      <c r="L101" t="n">
        <v>0</v>
      </c>
      <c r="M101" t="n">
        <v>0</v>
      </c>
      <c r="N101" t="n">
        <v>0</v>
      </c>
    </row>
    <row r="102">
      <c r="A102" t="inlineStr">
        <is>
          <t>necessary expenses</t>
        </is>
      </c>
      <c r="B102" t="inlineStr">
        <is>
          <t>hiring a cooking pot 7pence.</t>
        </is>
      </c>
      <c r="C102" t="n">
        <v>0.03</v>
      </c>
      <c r="D102" t="n">
        <v>0</v>
      </c>
      <c r="E102" t="n">
        <v>0</v>
      </c>
      <c r="F102" t="n">
        <v>7</v>
      </c>
      <c r="H102" t="n">
        <v>0</v>
      </c>
      <c r="I102" t="n">
        <v>0</v>
      </c>
      <c r="J102" t="n">
        <v>0</v>
      </c>
      <c r="K102" t="n">
        <v>0</v>
      </c>
      <c r="L102" t="n">
        <v>0</v>
      </c>
      <c r="M102" t="n">
        <v>0</v>
      </c>
      <c r="N102" t="n">
        <v>0</v>
      </c>
    </row>
    <row r="103">
      <c r="A103" t="inlineStr">
        <is>
          <t>necessary expenses</t>
        </is>
      </c>
      <c r="B103" t="inlineStr">
        <is>
          <t>one lead furnace bought at london 10 shilling 4pence.</t>
        </is>
      </c>
      <c r="C103" t="n">
        <v>0.52</v>
      </c>
      <c r="D103" t="n">
        <v>0</v>
      </c>
      <c r="E103" t="n">
        <v>10</v>
      </c>
      <c r="F103" t="n">
        <v>4</v>
      </c>
      <c r="H103" t="n">
        <v>0</v>
      </c>
      <c r="I103" t="n">
        <v>0</v>
      </c>
      <c r="J103" t="n">
        <v>0</v>
      </c>
      <c r="K103" t="n">
        <v>0</v>
      </c>
      <c r="L103" t="n">
        <v>0</v>
      </c>
      <c r="M103" t="n">
        <v>0</v>
      </c>
      <c r="N103" t="n">
        <v>0</v>
      </c>
    </row>
    <row r="104">
      <c r="A104" t="inlineStr">
        <is>
          <t>necessary expenses</t>
        </is>
      </c>
      <c r="B104" t="inlineStr">
        <is>
          <t>carrying and carting the same from london to kingston 3¾d.</t>
        </is>
      </c>
      <c r="C104" t="n">
        <v>0</v>
      </c>
      <c r="D104" t="n">
        <v>0</v>
      </c>
      <c r="E104" t="n">
        <v>0</v>
      </c>
      <c r="F104" t="n">
        <v>0</v>
      </c>
      <c r="H104" t="n">
        <v>0</v>
      </c>
      <c r="I104" t="n">
        <v>0</v>
      </c>
      <c r="J104" t="n">
        <v>0</v>
      </c>
      <c r="K104" t="n">
        <v>0</v>
      </c>
      <c r="L104" t="n">
        <v>0</v>
      </c>
      <c r="M104" t="n">
        <v>0</v>
      </c>
      <c r="N104" t="n">
        <v>0</v>
      </c>
    </row>
    <row r="105">
      <c r="A105" t="inlineStr">
        <is>
          <t>necessary expenses</t>
        </is>
      </c>
      <c r="B105" t="inlineStr">
        <is>
          <t>expenses of stephen the serjeant there on two occasions 6pence.</t>
        </is>
      </c>
      <c r="C105" t="n">
        <v>0.03</v>
      </c>
      <c r="D105" t="n">
        <v>0</v>
      </c>
      <c r="E105" t="n">
        <v>0</v>
      </c>
      <c r="F105" t="n">
        <v>6</v>
      </c>
      <c r="H105" t="n">
        <v>0</v>
      </c>
      <c r="I105" t="n">
        <v>0</v>
      </c>
      <c r="J105" t="n">
        <v>0</v>
      </c>
      <c r="K105" t="n">
        <v>0</v>
      </c>
      <c r="L105" t="n">
        <v>0</v>
      </c>
      <c r="M105" t="n">
        <v>0</v>
      </c>
      <c r="N105" t="n">
        <v>0</v>
      </c>
    </row>
    <row r="106">
      <c r="A106" t="inlineStr">
        <is>
          <t>necessary expenses</t>
        </is>
      </c>
      <c r="B106" t="inlineStr">
        <is>
          <t>nine stones bought for two ovens and a furnace 18pence.</t>
        </is>
      </c>
      <c r="C106" t="n">
        <v>0.07000000000000001</v>
      </c>
      <c r="D106" t="n">
        <v>0</v>
      </c>
      <c r="E106" t="n">
        <v>0</v>
      </c>
      <c r="F106" t="n">
        <v>18</v>
      </c>
      <c r="H106" t="n">
        <v>0</v>
      </c>
      <c r="I106" t="n">
        <v>0</v>
      </c>
      <c r="J106" t="n">
        <v>0</v>
      </c>
      <c r="K106" t="n">
        <v>0</v>
      </c>
      <c r="L106" t="n">
        <v>0</v>
      </c>
      <c r="M106" t="n">
        <v>0</v>
      </c>
      <c r="N106" t="n">
        <v>0</v>
      </c>
    </row>
    <row r="107">
      <c r="A107" t="inlineStr">
        <is>
          <t>necessary expenses</t>
        </is>
      </c>
      <c r="B107" t="inlineStr">
        <is>
          <t>four iron bars for two ovens, for the edges of the same 10pence.</t>
        </is>
      </c>
      <c r="C107" t="n">
        <v>0.04</v>
      </c>
      <c r="D107" t="n">
        <v>0</v>
      </c>
      <c r="E107" t="n">
        <v>0</v>
      </c>
      <c r="F107" t="n">
        <v>10</v>
      </c>
      <c r="H107" t="n">
        <v>0</v>
      </c>
      <c r="I107" t="n">
        <v>0</v>
      </c>
      <c r="J107" t="n">
        <v>0</v>
      </c>
      <c r="K107" t="n">
        <v>0</v>
      </c>
      <c r="L107" t="n">
        <v>0</v>
      </c>
      <c r="M107" t="n">
        <v>0</v>
      </c>
      <c r="N107" t="n">
        <v>0</v>
      </c>
    </row>
    <row r="108">
      <c r="A108" t="inlineStr">
        <is>
          <t>necessary expenses</t>
        </is>
      </c>
      <c r="B108" t="inlineStr">
        <is>
          <t>one carter hired to carry the stones for the ovens and furnace and turves for a small meadow and sand for the chamber for six days 12pence and in ale for the same carter 3pence.</t>
        </is>
      </c>
      <c r="C108" t="n">
        <v>0.05</v>
      </c>
      <c r="D108" t="n">
        <v>0</v>
      </c>
      <c r="E108" t="n">
        <v>0</v>
      </c>
      <c r="F108" t="n">
        <v>12</v>
      </c>
      <c r="H108" t="n">
        <v>0</v>
      </c>
      <c r="I108" t="n">
        <v>0</v>
      </c>
      <c r="J108" t="n">
        <v>0</v>
      </c>
      <c r="K108" t="n">
        <v>0</v>
      </c>
      <c r="L108" t="n">
        <v>0</v>
      </c>
      <c r="M108" t="n">
        <v>0</v>
      </c>
      <c r="N108" t="n">
        <v>0</v>
      </c>
    </row>
    <row r="109">
      <c r="A109" t="inlineStr">
        <is>
          <t>necessary expenses</t>
        </is>
      </c>
      <c r="B109" t="inlineStr">
        <is>
          <t>7½ quarters of lime bought and in carriage of the same 4 shilling 2pence.</t>
        </is>
      </c>
      <c r="C109" t="n">
        <v>0.21</v>
      </c>
      <c r="D109" t="n">
        <v>0</v>
      </c>
      <c r="E109" t="n">
        <v>4</v>
      </c>
      <c r="F109" t="n">
        <v>2</v>
      </c>
      <c r="H109" t="n">
        <v>0</v>
      </c>
      <c r="I109" t="n">
        <v>0</v>
      </c>
      <c r="J109" t="n">
        <v>0</v>
      </c>
      <c r="K109" t="n">
        <v>0</v>
      </c>
      <c r="L109" t="n">
        <v>0</v>
      </c>
      <c r="M109" t="n">
        <v>0</v>
      </c>
      <c r="N109" t="n">
        <v>0</v>
      </c>
    </row>
    <row r="110">
      <c r="A110" t="inlineStr">
        <is>
          <t>necessary expenses</t>
        </is>
      </c>
      <c r="B110" t="inlineStr">
        <is>
          <t>washing and shearing the sheep at northwode 4½d.</t>
        </is>
      </c>
      <c r="C110" t="n">
        <v>0</v>
      </c>
      <c r="D110" t="n">
        <v>0</v>
      </c>
      <c r="E110" t="n">
        <v>0</v>
      </c>
      <c r="F110" t="n">
        <v>0</v>
      </c>
      <c r="H110" t="n">
        <v>0</v>
      </c>
      <c r="I110" t="n">
        <v>0</v>
      </c>
      <c r="J110" t="n">
        <v>0</v>
      </c>
      <c r="K110" t="n">
        <v>0</v>
      </c>
      <c r="L110" t="n">
        <v>0</v>
      </c>
      <c r="M110" t="n">
        <v>0</v>
      </c>
      <c r="N110" t="n">
        <v>0</v>
      </c>
    </row>
    <row r="111">
      <c r="A111" t="inlineStr">
        <is>
          <t>necessary expenses</t>
        </is>
      </c>
      <c r="B111" t="inlineStr">
        <is>
          <t>buying 8,000 tiles 40 shilling, price of a thousand 5 shilling.</t>
        </is>
      </c>
      <c r="C111" t="n">
        <v>2</v>
      </c>
      <c r="D111" t="n">
        <v>0</v>
      </c>
      <c r="E111" t="n">
        <v>40</v>
      </c>
      <c r="F111" t="n">
        <v>0</v>
      </c>
      <c r="H111" t="n">
        <v>0</v>
      </c>
      <c r="I111" t="n">
        <v>0</v>
      </c>
      <c r="J111" t="n">
        <v>0</v>
      </c>
      <c r="K111" t="n">
        <v>0</v>
      </c>
      <c r="L111" t="n">
        <v>0</v>
      </c>
      <c r="M111" t="n">
        <v>0</v>
      </c>
      <c r="N111" t="n">
        <v>0</v>
      </c>
    </row>
    <row r="112">
      <c r="A112" t="inlineStr">
        <is>
          <t>necessary expenses</t>
        </is>
      </c>
      <c r="B112" t="inlineStr">
        <is>
          <t>105 hip tiles 43 pence, namely five for 2pence.</t>
        </is>
      </c>
      <c r="C112" t="n">
        <v>0.18</v>
      </c>
      <c r="D112" t="n">
        <v>0</v>
      </c>
      <c r="E112" t="n">
        <v>0</v>
      </c>
      <c r="F112" t="n">
        <v>43</v>
      </c>
      <c r="H112" t="n">
        <v>0</v>
      </c>
      <c r="I112" t="n">
        <v>0</v>
      </c>
      <c r="J112" t="n">
        <v>0</v>
      </c>
      <c r="K112" t="n">
        <v>0</v>
      </c>
      <c r="L112" t="n">
        <v>0</v>
      </c>
      <c r="M112" t="n">
        <v>0</v>
      </c>
      <c r="N112" t="n">
        <v>0</v>
      </c>
    </row>
    <row r="113">
      <c r="A113" t="inlineStr">
        <is>
          <t>necessary expenses</t>
        </is>
      </c>
      <c r="B113" t="inlineStr">
        <is>
          <t>large iron nails for the hip tiles 2pence.</t>
        </is>
      </c>
      <c r="C113" t="n">
        <v>0.01</v>
      </c>
      <c r="D113" t="n">
        <v>0</v>
      </c>
      <c r="E113" t="n">
        <v>0</v>
      </c>
      <c r="F113" t="n">
        <v>2</v>
      </c>
      <c r="H113" t="n">
        <v>0</v>
      </c>
      <c r="I113" t="n">
        <v>0</v>
      </c>
      <c r="J113" t="n">
        <v>0</v>
      </c>
      <c r="K113" t="n">
        <v>0</v>
      </c>
      <c r="L113" t="n">
        <v>0</v>
      </c>
      <c r="M113" t="n">
        <v>0</v>
      </c>
      <c r="N113" t="n">
        <v>0</v>
      </c>
    </row>
    <row r="114">
      <c r="A114" t="inlineStr">
        <is>
          <t>necessary expenses</t>
        </is>
      </c>
      <c r="B114" t="inlineStr">
        <is>
          <t>108 squared stones for the furnace 9 shilling, price of a stone 1pence.</t>
        </is>
      </c>
      <c r="C114" t="n">
        <v>0.45</v>
      </c>
      <c r="D114" t="n">
        <v>0</v>
      </c>
      <c r="E114" t="n">
        <v>9</v>
      </c>
      <c r="F114" t="n">
        <v>1</v>
      </c>
      <c r="H114" t="n">
        <v>0</v>
      </c>
      <c r="I114" t="n">
        <v>0</v>
      </c>
      <c r="J114" t="n">
        <v>0</v>
      </c>
      <c r="K114" t="n">
        <v>0</v>
      </c>
      <c r="L114" t="n">
        <v>0</v>
      </c>
      <c r="M114" t="n">
        <v>0</v>
      </c>
      <c r="N114" t="n">
        <v>0</v>
      </c>
    </row>
    <row r="115">
      <c r="A115" t="inlineStr">
        <is>
          <t>necessary expenses</t>
        </is>
      </c>
      <c r="B115" t="inlineStr">
        <is>
          <t>timber bought to roof the furnace 3 shilling 1pence.</t>
        </is>
      </c>
      <c r="C115" t="n">
        <v>0.15</v>
      </c>
      <c r="D115" t="n">
        <v>0</v>
      </c>
      <c r="E115" t="n">
        <v>3</v>
      </c>
      <c r="F115" t="n">
        <v>1</v>
      </c>
      <c r="H115" t="n">
        <v>0</v>
      </c>
      <c r="I115" t="n">
        <v>0</v>
      </c>
      <c r="J115" t="n">
        <v>0</v>
      </c>
      <c r="K115" t="n">
        <v>0</v>
      </c>
      <c r="L115" t="n">
        <v>0</v>
      </c>
      <c r="M115" t="n">
        <v>0</v>
      </c>
      <c r="N115" t="n">
        <v>0</v>
      </c>
    </row>
    <row r="116">
      <c r="A116" t="inlineStr">
        <is>
          <t>necessary expenses</t>
        </is>
      </c>
      <c r="B116" t="inlineStr">
        <is>
          <t>a carpenter by piecework 2 shilling.</t>
        </is>
      </c>
      <c r="C116" t="n">
        <v>0.1</v>
      </c>
      <c r="D116" t="n">
        <v>0</v>
      </c>
      <c r="E116" t="n">
        <v>2</v>
      </c>
      <c r="F116" t="n">
        <v>0</v>
      </c>
      <c r="H116" t="n">
        <v>0</v>
      </c>
      <c r="I116" t="n">
        <v>0</v>
      </c>
      <c r="J116" t="n">
        <v>0</v>
      </c>
      <c r="K116" t="n">
        <v>0</v>
      </c>
      <c r="L116" t="n">
        <v>0</v>
      </c>
      <c r="M116" t="n">
        <v>0</v>
      </c>
      <c r="N116" t="n">
        <v>0</v>
      </c>
    </row>
    <row r="117">
      <c r="A117" t="inlineStr">
        <is>
          <t>necessary expenses</t>
        </is>
      </c>
      <c r="B117" t="inlineStr">
        <is>
          <t>nails 11pence.</t>
        </is>
      </c>
      <c r="C117" t="n">
        <v>0.05</v>
      </c>
      <c r="D117" t="n">
        <v>0</v>
      </c>
      <c r="E117" t="n">
        <v>0</v>
      </c>
      <c r="F117" t="n">
        <v>11</v>
      </c>
      <c r="H117" t="n">
        <v>0</v>
      </c>
      <c r="I117" t="n">
        <v>0</v>
      </c>
      <c r="J117" t="n">
        <v>0</v>
      </c>
      <c r="K117" t="n">
        <v>0</v>
      </c>
      <c r="L117" t="n">
        <v>0</v>
      </c>
      <c r="M117" t="n">
        <v>0</v>
      </c>
      <c r="N117" t="n">
        <v>0</v>
      </c>
    </row>
    <row r="118">
      <c r="A118" t="inlineStr">
        <is>
          <t>necessary expenses</t>
        </is>
      </c>
      <c r="B118" t="inlineStr">
        <is>
          <t>tiling a chamber above the furnace 2 shilling.</t>
        </is>
      </c>
      <c r="C118" t="n">
        <v>0.1</v>
      </c>
      <c r="D118" t="n">
        <v>0</v>
      </c>
      <c r="E118" t="n">
        <v>2</v>
      </c>
      <c r="F118" t="n">
        <v>0</v>
      </c>
      <c r="H118" t="n">
        <v>0</v>
      </c>
      <c r="I118" t="n">
        <v>0</v>
      </c>
      <c r="J118" t="n">
        <v>0</v>
      </c>
      <c r="K118" t="n">
        <v>0</v>
      </c>
      <c r="L118" t="n">
        <v>0</v>
      </c>
      <c r="M118" t="n">
        <v>0</v>
      </c>
      <c r="N118" t="n">
        <v>0</v>
      </c>
    </row>
    <row r="119">
      <c r="A119" t="inlineStr">
        <is>
          <t>necessary expenses</t>
        </is>
      </c>
      <c r="B119" t="inlineStr">
        <is>
          <t>two new locks and three old ones mended and three new keys 12½d.</t>
        </is>
      </c>
      <c r="C119" t="n">
        <v>0</v>
      </c>
      <c r="D119" t="n">
        <v>0</v>
      </c>
      <c r="E119" t="n">
        <v>0</v>
      </c>
      <c r="F119" t="n">
        <v>0</v>
      </c>
      <c r="H119" t="n">
        <v>0</v>
      </c>
      <c r="I119" t="n">
        <v>0</v>
      </c>
      <c r="J119" t="n">
        <v>0</v>
      </c>
      <c r="K119" t="n">
        <v>0</v>
      </c>
      <c r="L119" t="n">
        <v>0</v>
      </c>
      <c r="M119" t="n">
        <v>0</v>
      </c>
      <c r="N119" t="n">
        <v>0</v>
      </c>
    </row>
    <row r="120">
      <c r="A120" t="inlineStr">
        <is>
          <t>necessary expenses</t>
        </is>
      </c>
      <c r="B120" t="inlineStr">
        <is>
          <t>hoeing the land 6pence.</t>
        </is>
      </c>
      <c r="C120" t="n">
        <v>0.03</v>
      </c>
      <c r="D120" t="n">
        <v>0</v>
      </c>
      <c r="E120" t="n">
        <v>0</v>
      </c>
      <c r="F120" t="n">
        <v>6</v>
      </c>
      <c r="H120" t="n">
        <v>0</v>
      </c>
      <c r="I120" t="n">
        <v>0</v>
      </c>
      <c r="J120" t="n">
        <v>0</v>
      </c>
      <c r="K120" t="n">
        <v>0</v>
      </c>
      <c r="L120" t="n">
        <v>0</v>
      </c>
      <c r="M120" t="n">
        <v>0</v>
      </c>
      <c r="N120" t="n">
        <v>0</v>
      </c>
    </row>
    <row r="121">
      <c r="A121" t="inlineStr">
        <is>
          <t>necessary expenses</t>
        </is>
      </c>
      <c r="B121" t="inlineStr">
        <is>
          <t>buying leeks and vegetable plants 8pence.</t>
        </is>
      </c>
      <c r="C121" t="n">
        <v>0.03</v>
      </c>
      <c r="D121" t="n">
        <v>0</v>
      </c>
      <c r="E121" t="n">
        <v>0</v>
      </c>
      <c r="F121" t="n">
        <v>8</v>
      </c>
      <c r="H121" t="n">
        <v>0</v>
      </c>
      <c r="I121" t="n">
        <v>0</v>
      </c>
      <c r="J121" t="n">
        <v>0</v>
      </c>
      <c r="K121" t="n">
        <v>0</v>
      </c>
      <c r="L121" t="n">
        <v>0</v>
      </c>
      <c r="M121" t="n">
        <v>0</v>
      </c>
      <c r="N121" t="n">
        <v>0</v>
      </c>
    </row>
    <row r="122">
      <c r="A122" t="inlineStr">
        <is>
          <t>necessary expenses</t>
        </is>
      </c>
      <c r="B122" t="inlineStr">
        <is>
          <t>herbage bought as hay 22pence.</t>
        </is>
      </c>
      <c r="C122" t="n">
        <v>0.09</v>
      </c>
      <c r="D122" t="n">
        <v>0</v>
      </c>
      <c r="E122" t="n">
        <v>0</v>
      </c>
      <c r="F122" t="n">
        <v>22</v>
      </c>
      <c r="H122" t="n">
        <v>0</v>
      </c>
      <c r="I122" t="n">
        <v>0</v>
      </c>
      <c r="J122" t="n">
        <v>0</v>
      </c>
      <c r="K122" t="n">
        <v>0</v>
      </c>
      <c r="L122" t="n">
        <v>0</v>
      </c>
      <c r="M122" t="n">
        <v>0</v>
      </c>
      <c r="N122" t="n">
        <v>0</v>
      </c>
    </row>
    <row r="123">
      <c r="A123" t="inlineStr">
        <is>
          <t>necessary expenses</t>
        </is>
      </c>
      <c r="B123" t="inlineStr">
        <is>
          <t>willows bought to plant 10pence.</t>
        </is>
      </c>
      <c r="C123" t="n">
        <v>0.04</v>
      </c>
      <c r="D123" t="n">
        <v>0</v>
      </c>
      <c r="E123" t="n">
        <v>0</v>
      </c>
      <c r="F123" t="n">
        <v>10</v>
      </c>
      <c r="H123" t="n">
        <v>0</v>
      </c>
      <c r="I123" t="n">
        <v>0</v>
      </c>
      <c r="J123" t="n">
        <v>0</v>
      </c>
      <c r="K123" t="n">
        <v>0</v>
      </c>
      <c r="L123" t="n">
        <v>0</v>
      </c>
      <c r="M123" t="n">
        <v>0</v>
      </c>
      <c r="N123" t="n">
        <v>0</v>
      </c>
    </row>
    <row r="124">
      <c r="A124" t="inlineStr">
        <is>
          <t>necessary expenses</t>
        </is>
      </c>
      <c r="B124" t="inlineStr">
        <is>
          <t>five hurdles made 2½d.</t>
        </is>
      </c>
      <c r="C124" t="n">
        <v>0</v>
      </c>
      <c r="D124" t="n">
        <v>0</v>
      </c>
      <c r="E124" t="n">
        <v>0</v>
      </c>
      <c r="F124" t="n">
        <v>0</v>
      </c>
      <c r="H124" t="n">
        <v>0</v>
      </c>
      <c r="I124" t="n">
        <v>0</v>
      </c>
      <c r="J124" t="n">
        <v>0</v>
      </c>
      <c r="K124" t="n">
        <v>0</v>
      </c>
      <c r="L124" t="n">
        <v>0</v>
      </c>
      <c r="M124" t="n">
        <v>0</v>
      </c>
      <c r="N124" t="n">
        <v>0</v>
      </c>
    </row>
    <row r="125">
      <c r="A125" t="inlineStr">
        <is>
          <t>necessary expenses</t>
        </is>
      </c>
      <c r="B125" t="inlineStr">
        <is>
          <t>one boat bought by order of the lord bishop 6 shilling 8pence.</t>
        </is>
      </c>
      <c r="C125" t="n">
        <v>0.33</v>
      </c>
      <c r="D125" t="n">
        <v>0</v>
      </c>
      <c r="E125" t="n">
        <v>6</v>
      </c>
      <c r="F125" t="n">
        <v>8</v>
      </c>
      <c r="H125" t="n">
        <v>0</v>
      </c>
      <c r="I125" t="n">
        <v>0</v>
      </c>
      <c r="J125" t="n">
        <v>0</v>
      </c>
      <c r="K125" t="n">
        <v>0</v>
      </c>
      <c r="L125" t="n">
        <v>0</v>
      </c>
      <c r="M125" t="n">
        <v>0</v>
      </c>
      <c r="N125" t="n">
        <v>0</v>
      </c>
    </row>
    <row r="126">
      <c r="A126" t="inlineStr">
        <is>
          <t>necessary expenses</t>
        </is>
      </c>
      <c r="B126" t="inlineStr">
        <is>
          <t>200 nails for the solar in the stable and one bar for the gate and five iron tools for weeding 3½d.</t>
        </is>
      </c>
      <c r="C126" t="n">
        <v>0</v>
      </c>
      <c r="D126" t="n">
        <v>0</v>
      </c>
      <c r="E126" t="n">
        <v>0</v>
      </c>
      <c r="F126" t="n">
        <v>0</v>
      </c>
      <c r="H126" t="n">
        <v>0</v>
      </c>
      <c r="I126" t="n">
        <v>0</v>
      </c>
      <c r="J126" t="n">
        <v>0</v>
      </c>
      <c r="K126" t="n">
        <v>0</v>
      </c>
      <c r="L126" t="n">
        <v>0</v>
      </c>
      <c r="M126" t="n">
        <v>0</v>
      </c>
      <c r="N126" t="n">
        <v>0</v>
      </c>
    </row>
    <row r="127">
      <c r="A127" t="inlineStr">
        <is>
          <t>necessary expenses</t>
        </is>
      </c>
      <c r="B127" t="inlineStr">
        <is>
          <t>a carpenter for two solars in the stable and one gate in the barton and two enclosures for the wagon and to set the furnace in place and to repair the doors and windows of the kitchen, bakehouse, and an outhouse and a partitioning door 3 shilling 4pence.</t>
        </is>
      </c>
      <c r="C127" t="n">
        <v>0.17</v>
      </c>
      <c r="D127" t="n">
        <v>0</v>
      </c>
      <c r="E127" t="n">
        <v>3</v>
      </c>
      <c r="F127" t="n">
        <v>4</v>
      </c>
      <c r="H127" t="n">
        <v>0</v>
      </c>
      <c r="I127" t="n">
        <v>0</v>
      </c>
      <c r="J127" t="n">
        <v>0</v>
      </c>
      <c r="K127" t="n">
        <v>0</v>
      </c>
      <c r="L127" t="n">
        <v>0</v>
      </c>
      <c r="M127" t="n">
        <v>0</v>
      </c>
      <c r="N127" t="n">
        <v>0</v>
      </c>
    </row>
    <row r="128">
      <c r="A128" t="inlineStr">
        <is>
          <t>necessary expenses</t>
        </is>
      </c>
      <c r="B128" t="inlineStr">
        <is>
          <t>hooks and hinges for the windows of the kitchen, bakehouse, and outhouse 16½d.</t>
        </is>
      </c>
      <c r="C128" t="n">
        <v>0</v>
      </c>
      <c r="D128" t="n">
        <v>0</v>
      </c>
      <c r="E128" t="n">
        <v>0</v>
      </c>
      <c r="F128" t="n">
        <v>0</v>
      </c>
      <c r="H128" t="n">
        <v>0</v>
      </c>
      <c r="I128" t="n">
        <v>0</v>
      </c>
      <c r="J128" t="n">
        <v>0</v>
      </c>
      <c r="K128" t="n">
        <v>0</v>
      </c>
      <c r="L128" t="n">
        <v>0</v>
      </c>
      <c r="M128" t="n">
        <v>0</v>
      </c>
      <c r="N128" t="n">
        <v>0</v>
      </c>
    </row>
    <row r="129">
      <c r="A129" t="inlineStr">
        <is>
          <t>necessary expenses</t>
        </is>
      </c>
      <c r="B129" t="inlineStr">
        <is>
          <t>boards bought for the windows of the kitchen, and one board bought to widen the door of the bakehouse 8½d.</t>
        </is>
      </c>
      <c r="C129" t="n">
        <v>0</v>
      </c>
      <c r="D129" t="n">
        <v>0</v>
      </c>
      <c r="E129" t="n">
        <v>0</v>
      </c>
      <c r="F129" t="n">
        <v>0</v>
      </c>
      <c r="H129" t="n">
        <v>0</v>
      </c>
      <c r="I129" t="n">
        <v>0</v>
      </c>
      <c r="J129" t="n">
        <v>0</v>
      </c>
      <c r="K129" t="n">
        <v>0</v>
      </c>
      <c r="L129" t="n">
        <v>0</v>
      </c>
      <c r="M129" t="n">
        <v>0</v>
      </c>
      <c r="N129" t="n">
        <v>0</v>
      </c>
    </row>
    <row r="130">
      <c r="A130" t="inlineStr">
        <is>
          <t>necessary expenses</t>
        </is>
      </c>
      <c r="B130" t="inlineStr">
        <is>
          <t>making lard from 45 pigs and 1 ox 2 shilling ½d.</t>
        </is>
      </c>
      <c r="C130" t="n">
        <v>0.1</v>
      </c>
      <c r="D130" t="n">
        <v>0</v>
      </c>
      <c r="E130" t="n">
        <v>2</v>
      </c>
      <c r="F130" t="n">
        <v>0</v>
      </c>
      <c r="H130" t="n">
        <v>0</v>
      </c>
      <c r="I130" t="n">
        <v>0</v>
      </c>
      <c r="J130" t="n">
        <v>0</v>
      </c>
      <c r="K130" t="n">
        <v>0</v>
      </c>
      <c r="L130" t="n">
        <v>0</v>
      </c>
      <c r="M130" t="n">
        <v>0</v>
      </c>
      <c r="N130" t="n">
        <v>0</v>
      </c>
    </row>
    <row r="131">
      <c r="A131" t="inlineStr">
        <is>
          <t>necessary expenses</t>
        </is>
      </c>
      <c r="B131" t="inlineStr">
        <is>
          <t>cutting and making the pigs’ ears and in ale bought for the same 2 shilling 3pence.</t>
        </is>
      </c>
      <c r="C131" t="n">
        <v>0.11</v>
      </c>
      <c r="D131" t="n">
        <v>0</v>
      </c>
      <c r="E131" t="n">
        <v>2</v>
      </c>
      <c r="F131" t="n">
        <v>3</v>
      </c>
      <c r="H131" t="n">
        <v>0</v>
      </c>
      <c r="I131" t="n">
        <v>0</v>
      </c>
      <c r="J131" t="n">
        <v>0</v>
      </c>
      <c r="K131" t="n">
        <v>0</v>
      </c>
      <c r="L131" t="n">
        <v>0</v>
      </c>
      <c r="M131" t="n">
        <v>0</v>
      </c>
      <c r="N131" t="n">
        <v>0</v>
      </c>
    </row>
    <row r="132">
      <c r="A132" t="inlineStr">
        <is>
          <t>necessary expenses</t>
        </is>
      </c>
      <c r="B132" t="inlineStr">
        <is>
          <t>2 bushels of wheat bought for seed 11pence.</t>
        </is>
      </c>
      <c r="C132" t="n">
        <v>0.05</v>
      </c>
      <c r="D132" t="n">
        <v>0</v>
      </c>
      <c r="E132" t="n">
        <v>0</v>
      </c>
      <c r="F132" t="n">
        <v>11</v>
      </c>
      <c r="G132" t="inlineStr">
        <is>
          <t>wheat</t>
        </is>
      </c>
      <c r="H132" t="n">
        <v>0</v>
      </c>
      <c r="I132" t="n">
        <v>2</v>
      </c>
      <c r="J132" t="n">
        <v>0.25</v>
      </c>
      <c r="K132" t="n">
        <v>0.25</v>
      </c>
      <c r="L132" t="n">
        <v>0</v>
      </c>
      <c r="M132" t="n">
        <v>0</v>
      </c>
      <c r="N132" t="n">
        <v>2</v>
      </c>
    </row>
    <row r="133">
      <c r="A133" t="inlineStr">
        <is>
          <t>necessary expenses</t>
        </is>
      </c>
      <c r="B133" t="inlineStr">
        <is>
          <t>14 quarters 3 bushels of rye bought 43 shilling 1½d, price of a quarter 3 shilling.</t>
        </is>
      </c>
      <c r="C133" t="n">
        <v>2.15</v>
      </c>
      <c r="D133" t="n">
        <v>0</v>
      </c>
      <c r="E133" t="n">
        <v>43</v>
      </c>
      <c r="F133" t="n">
        <v>0</v>
      </c>
      <c r="G133" t="inlineStr">
        <is>
          <t>rye</t>
        </is>
      </c>
      <c r="H133" t="n">
        <v>14</v>
      </c>
      <c r="I133" t="n">
        <v>3</v>
      </c>
      <c r="J133" t="n">
        <v>14.38</v>
      </c>
      <c r="K133" t="n">
        <v>14.38</v>
      </c>
      <c r="L133" t="n">
        <v>0</v>
      </c>
      <c r="M133" t="n">
        <v>14</v>
      </c>
      <c r="N133" t="n">
        <v>3</v>
      </c>
    </row>
    <row r="134">
      <c r="A134" t="inlineStr">
        <is>
          <t>necessary expenses</t>
        </is>
      </c>
      <c r="B134" t="inlineStr">
        <is>
          <t>16½ quarters 3 bushels of barley bought 41 shilling 3¾d.</t>
        </is>
      </c>
      <c r="C134" t="n">
        <v>2.05</v>
      </c>
      <c r="D134" t="n">
        <v>0</v>
      </c>
      <c r="E134" t="n">
        <v>41</v>
      </c>
      <c r="F134" t="n">
        <v>0</v>
      </c>
      <c r="G134" t="inlineStr">
        <is>
          <t>barley</t>
        </is>
      </c>
      <c r="H134" t="n">
        <v>0</v>
      </c>
      <c r="I134" t="n">
        <v>3</v>
      </c>
      <c r="J134" t="n">
        <v>0.38</v>
      </c>
      <c r="K134" t="n">
        <v>0.38</v>
      </c>
      <c r="L134" t="n">
        <v>0</v>
      </c>
      <c r="M134" t="n">
        <v>0</v>
      </c>
      <c r="N134" t="n">
        <v>3</v>
      </c>
    </row>
    <row r="135">
      <c r="A135" t="inlineStr">
        <is>
          <t>necessary expenses</t>
        </is>
      </c>
      <c r="B135" t="inlineStr">
        <is>
          <t>an accompaniment for 92 reapers for one day at northwode 7 shilling 4½d.</t>
        </is>
      </c>
      <c r="C135" t="n">
        <v>0.35</v>
      </c>
      <c r="D135" t="n">
        <v>0</v>
      </c>
      <c r="E135" t="n">
        <v>7</v>
      </c>
      <c r="F135" t="n">
        <v>0</v>
      </c>
      <c r="H135" t="n">
        <v>0</v>
      </c>
      <c r="I135" t="n">
        <v>0</v>
      </c>
      <c r="J135" t="n">
        <v>0</v>
      </c>
      <c r="K135" t="n">
        <v>0</v>
      </c>
      <c r="L135" t="n">
        <v>0</v>
      </c>
      <c r="M135" t="n">
        <v>0</v>
      </c>
      <c r="N135" t="n">
        <v>0</v>
      </c>
    </row>
    <row r="136">
      <c r="A136" t="inlineStr">
        <is>
          <t>necessary expenses</t>
        </is>
      </c>
      <c r="B136" t="inlineStr">
        <is>
          <t>stipend of the same 7 shilling 8pence.</t>
        </is>
      </c>
      <c r="C136" t="n">
        <v>0.38</v>
      </c>
      <c r="D136" t="n">
        <v>0</v>
      </c>
      <c r="E136" t="n">
        <v>7</v>
      </c>
      <c r="F136" t="n">
        <v>8</v>
      </c>
      <c r="H136" t="n">
        <v>0</v>
      </c>
      <c r="I136" t="n">
        <v>0</v>
      </c>
      <c r="J136" t="n">
        <v>0</v>
      </c>
      <c r="K136" t="n">
        <v>0</v>
      </c>
      <c r="L136" t="n">
        <v>0</v>
      </c>
      <c r="M136" t="n">
        <v>0</v>
      </c>
      <c r="N136" t="n">
        <v>0</v>
      </c>
    </row>
    <row r="137">
      <c r="A137" t="inlineStr">
        <is>
          <t>necessary expenses</t>
        </is>
      </c>
      <c r="B137" t="inlineStr">
        <is>
          <t>mowing the meadow of northwode 2 shilling.</t>
        </is>
      </c>
      <c r="C137" t="n">
        <v>0.1</v>
      </c>
      <c r="D137" t="n">
        <v>0</v>
      </c>
      <c r="E137" t="n">
        <v>2</v>
      </c>
      <c r="F137" t="n">
        <v>0</v>
      </c>
      <c r="H137" t="n">
        <v>0</v>
      </c>
      <c r="I137" t="n">
        <v>0</v>
      </c>
      <c r="J137" t="n">
        <v>0</v>
      </c>
      <c r="K137" t="n">
        <v>0</v>
      </c>
      <c r="L137" t="n">
        <v>0</v>
      </c>
      <c r="M137" t="n">
        <v>0</v>
      </c>
      <c r="N137" t="n">
        <v>0</v>
      </c>
    </row>
    <row r="138">
      <c r="A138" t="inlineStr">
        <is>
          <t>necessary expenses</t>
        </is>
      </c>
      <c r="B138" t="inlineStr">
        <is>
          <t>mowing straw there 3 shilling 9pence.</t>
        </is>
      </c>
      <c r="C138" t="n">
        <v>0.19</v>
      </c>
      <c r="D138" t="n">
        <v>0</v>
      </c>
      <c r="E138" t="n">
        <v>3</v>
      </c>
      <c r="F138" t="n">
        <v>9</v>
      </c>
      <c r="H138" t="n">
        <v>0</v>
      </c>
      <c r="I138" t="n">
        <v>0</v>
      </c>
      <c r="J138" t="n">
        <v>0</v>
      </c>
      <c r="K138" t="n">
        <v>0</v>
      </c>
      <c r="L138" t="n">
        <v>0</v>
      </c>
      <c r="M138" t="n">
        <v>0</v>
      </c>
      <c r="N138" t="n">
        <v>0</v>
      </c>
    </row>
    <row r="139">
      <c r="A139" t="inlineStr">
        <is>
          <t>necessary expenses</t>
        </is>
      </c>
      <c r="B139" t="inlineStr">
        <is>
          <t>mowing the meadow at esher beside the demesne 33 pence, because there was more to be mown.</t>
        </is>
      </c>
      <c r="C139" t="n">
        <v>0.14</v>
      </c>
      <c r="D139" t="n">
        <v>0</v>
      </c>
      <c r="E139" t="n">
        <v>0</v>
      </c>
      <c r="F139" t="n">
        <v>33</v>
      </c>
      <c r="H139" t="n">
        <v>0</v>
      </c>
      <c r="I139" t="n">
        <v>0</v>
      </c>
      <c r="J139" t="n">
        <v>0</v>
      </c>
      <c r="K139" t="n">
        <v>0</v>
      </c>
      <c r="L139" t="n">
        <v>0</v>
      </c>
      <c r="M139" t="n">
        <v>0</v>
      </c>
      <c r="N139" t="n">
        <v>0</v>
      </c>
    </row>
    <row r="140">
      <c r="A140" t="inlineStr">
        <is>
          <t>necessary expenses</t>
        </is>
      </c>
      <c r="B140" t="inlineStr">
        <is>
          <t>herrings bought for the workers who carried the hay 4pence.</t>
        </is>
      </c>
      <c r="C140" t="n">
        <v>0.02</v>
      </c>
      <c r="D140" t="n">
        <v>0</v>
      </c>
      <c r="E140" t="n">
        <v>0</v>
      </c>
      <c r="F140" t="n">
        <v>4</v>
      </c>
      <c r="H140" t="n">
        <v>0</v>
      </c>
      <c r="I140" t="n">
        <v>0</v>
      </c>
      <c r="J140" t="n">
        <v>0</v>
      </c>
      <c r="K140" t="n">
        <v>0</v>
      </c>
      <c r="L140" t="n">
        <v>0</v>
      </c>
      <c r="M140" t="n">
        <v>0</v>
      </c>
      <c r="N140" t="n">
        <v>0</v>
      </c>
    </row>
    <row r="141">
      <c r="A141" t="inlineStr">
        <is>
          <t>necessary expenses</t>
        </is>
      </c>
      <c r="B141" t="inlineStr">
        <is>
          <t>mowing straw for the same there 7pence.</t>
        </is>
      </c>
      <c r="C141" t="n">
        <v>0.03</v>
      </c>
      <c r="D141" t="n">
        <v>0</v>
      </c>
      <c r="E141" t="n">
        <v>0</v>
      </c>
      <c r="F141" t="n">
        <v>7</v>
      </c>
      <c r="H141" t="n">
        <v>0</v>
      </c>
      <c r="I141" t="n">
        <v>0</v>
      </c>
      <c r="J141" t="n">
        <v>0</v>
      </c>
      <c r="K141" t="n">
        <v>0</v>
      </c>
      <c r="L141" t="n">
        <v>0</v>
      </c>
      <c r="M141" t="n">
        <v>0</v>
      </c>
      <c r="N141" t="n">
        <v>0</v>
      </c>
    </row>
    <row r="142">
      <c r="A142" t="inlineStr">
        <is>
          <t>necessary expenses</t>
        </is>
      </c>
      <c r="B142" t="inlineStr">
        <is>
          <t>4 sester of ale for one harvest boonwork 32pence.</t>
        </is>
      </c>
      <c r="C142" t="n">
        <v>0.13</v>
      </c>
      <c r="D142" t="n">
        <v>0</v>
      </c>
      <c r="E142" t="n">
        <v>0</v>
      </c>
      <c r="F142" t="n">
        <v>32</v>
      </c>
      <c r="H142" t="n">
        <v>0</v>
      </c>
      <c r="I142" t="n">
        <v>0</v>
      </c>
      <c r="J142" t="n">
        <v>0</v>
      </c>
      <c r="K142" t="n">
        <v>0</v>
      </c>
      <c r="L142" t="n">
        <v>0</v>
      </c>
      <c r="M142" t="n">
        <v>0</v>
      </c>
      <c r="N142" t="n">
        <v>0</v>
      </c>
    </row>
    <row r="143">
      <c r="A143" t="inlineStr">
        <is>
          <t>necessary expenses</t>
        </is>
      </c>
      <c r="B143" t="inlineStr">
        <is>
          <t>fish and herrings bought for the same 23pence.</t>
        </is>
      </c>
      <c r="C143" t="n">
        <v>0.1</v>
      </c>
      <c r="D143" t="n">
        <v>0</v>
      </c>
      <c r="E143" t="n">
        <v>0</v>
      </c>
      <c r="F143" t="n">
        <v>23</v>
      </c>
      <c r="H143" t="n">
        <v>0</v>
      </c>
      <c r="I143" t="n">
        <v>0</v>
      </c>
      <c r="J143" t="n">
        <v>0</v>
      </c>
      <c r="K143" t="n">
        <v>0</v>
      </c>
      <c r="L143" t="n">
        <v>0</v>
      </c>
      <c r="M143" t="n">
        <v>0</v>
      </c>
      <c r="N143" t="n">
        <v>0</v>
      </c>
    </row>
    <row r="144">
      <c r="A144" t="inlineStr">
        <is>
          <t>necessary expenses</t>
        </is>
      </c>
      <c r="B144" t="inlineStr">
        <is>
          <t>fish, herrings bought for five boonworks that were without ale 23pence.</t>
        </is>
      </c>
      <c r="C144" t="n">
        <v>0.1</v>
      </c>
      <c r="D144" t="n">
        <v>0</v>
      </c>
      <c r="E144" t="n">
        <v>0</v>
      </c>
      <c r="F144" t="n">
        <v>23</v>
      </c>
      <c r="H144" t="n">
        <v>0</v>
      </c>
      <c r="I144" t="n">
        <v>0</v>
      </c>
      <c r="J144" t="n">
        <v>0</v>
      </c>
      <c r="K144" t="n">
        <v>0</v>
      </c>
      <c r="L144" t="n">
        <v>0</v>
      </c>
      <c r="M144" t="n">
        <v>0</v>
      </c>
      <c r="N144" t="n">
        <v>0</v>
      </c>
    </row>
    <row r="145">
      <c r="A145" t="inlineStr">
        <is>
          <t>necessary expenses</t>
        </is>
      </c>
      <c r="B145" t="inlineStr">
        <is>
          <t>wax for candles at harvest 4pence.</t>
        </is>
      </c>
      <c r="C145" t="n">
        <v>0.02</v>
      </c>
      <c r="D145" t="n">
        <v>0</v>
      </c>
      <c r="E145" t="n">
        <v>0</v>
      </c>
      <c r="F145" t="n">
        <v>4</v>
      </c>
      <c r="H145" t="n">
        <v>0</v>
      </c>
      <c r="I145" t="n">
        <v>0</v>
      </c>
      <c r="J145" t="n">
        <v>0</v>
      </c>
      <c r="K145" t="n">
        <v>0</v>
      </c>
      <c r="L145" t="n">
        <v>0</v>
      </c>
      <c r="M145" t="n">
        <v>0</v>
      </c>
      <c r="N145" t="n">
        <v>0</v>
      </c>
    </row>
    <row r="146">
      <c r="A146" t="inlineStr">
        <is>
          <t>necessary expenses</t>
        </is>
      </c>
      <c r="B146" t="inlineStr">
        <is>
          <t>one sack and one cloth coming thereon bought 1pence.</t>
        </is>
      </c>
      <c r="C146" t="n">
        <v>0</v>
      </c>
      <c r="D146" t="n">
        <v>0</v>
      </c>
      <c r="E146" t="n">
        <v>0</v>
      </c>
      <c r="F146" t="n">
        <v>1</v>
      </c>
      <c r="H146" t="n">
        <v>0</v>
      </c>
      <c r="I146" t="n">
        <v>0</v>
      </c>
      <c r="J146" t="n">
        <v>0</v>
      </c>
      <c r="K146" t="n">
        <v>0</v>
      </c>
      <c r="L146" t="n">
        <v>0</v>
      </c>
      <c r="M146" t="n">
        <v>0</v>
      </c>
      <c r="N146" t="n">
        <v>0</v>
      </c>
    </row>
    <row r="147">
      <c r="A147" t="inlineStr">
        <is>
          <t>necessary expenses</t>
        </is>
      </c>
      <c r="B147" t="inlineStr">
        <is>
          <t>6 quarters of malt and mash brought from london to kingston 3pence.</t>
        </is>
      </c>
      <c r="C147" t="n">
        <v>0.01</v>
      </c>
      <c r="D147" t="n">
        <v>0</v>
      </c>
      <c r="E147" t="n">
        <v>0</v>
      </c>
      <c r="F147" t="n">
        <v>3</v>
      </c>
      <c r="G147" t="inlineStr">
        <is>
          <t>malt</t>
        </is>
      </c>
      <c r="H147" t="n">
        <v>6</v>
      </c>
      <c r="I147" t="n">
        <v>0</v>
      </c>
      <c r="J147" t="n">
        <v>6</v>
      </c>
      <c r="K147" t="n">
        <v>6</v>
      </c>
      <c r="L147" t="n">
        <v>0</v>
      </c>
      <c r="M147" t="n">
        <v>6</v>
      </c>
      <c r="N147" t="n">
        <v>0</v>
      </c>
    </row>
    <row r="148">
      <c r="A148" t="inlineStr">
        <is>
          <t>necessary expenses</t>
        </is>
      </c>
      <c r="B148" t="inlineStr">
        <is>
          <t>payment of s, the serjeant, from the day of st michael until the feast of the circumcision [1 january], both the day of account 11 shilling 9pence.</t>
        </is>
      </c>
      <c r="C148" t="n">
        <v>0.59</v>
      </c>
      <c r="D148" t="n">
        <v>0</v>
      </c>
      <c r="E148" t="n">
        <v>11</v>
      </c>
      <c r="F148" t="n">
        <v>9</v>
      </c>
      <c r="H148" t="n">
        <v>0</v>
      </c>
      <c r="I148" t="n">
        <v>0</v>
      </c>
      <c r="J148" t="n">
        <v>0</v>
      </c>
      <c r="K148" t="n">
        <v>0</v>
      </c>
      <c r="L148" t="n">
        <v>0</v>
      </c>
      <c r="M148" t="n">
        <v>0</v>
      </c>
      <c r="N148" t="n">
        <v>0</v>
      </c>
    </row>
    <row r="149">
      <c r="A149" t="inlineStr">
        <is>
          <t>necessary expenses</t>
        </is>
      </c>
      <c r="B149" t="inlineStr">
        <is>
          <t>meat, fish, ale, eggs, and other things bought for the work of the same from.</t>
        </is>
      </c>
      <c r="C149" t="n">
        <v>0</v>
      </c>
      <c r="D149" t="n">
        <v>0</v>
      </c>
      <c r="E149" t="n">
        <v>0</v>
      </c>
      <c r="F149" t="n">
        <v>0</v>
      </c>
      <c r="H149" t="n">
        <v>0</v>
      </c>
      <c r="I149" t="n">
        <v>0</v>
      </c>
      <c r="J149" t="n">
        <v>0</v>
      </c>
      <c r="K149" t="n">
        <v>0</v>
      </c>
      <c r="L149" t="n">
        <v>0</v>
      </c>
      <c r="M149" t="n">
        <v>0</v>
      </c>
      <c r="N149" t="n">
        <v>0</v>
      </c>
    </row>
    <row r="150">
      <c r="A150" t="inlineStr">
        <is>
          <t>necessary expenses</t>
        </is>
      </c>
      <c r="B150" t="inlineStr">
        <is>
          <t>--- page 5 ---.</t>
        </is>
      </c>
      <c r="C150" t="n">
        <v>0</v>
      </c>
      <c r="D150" t="n">
        <v>0</v>
      </c>
      <c r="E150" t="n">
        <v>0</v>
      </c>
      <c r="F150" t="n">
        <v>0</v>
      </c>
      <c r="H150" t="n">
        <v>0</v>
      </c>
      <c r="I150" t="n">
        <v>0</v>
      </c>
      <c r="J150" t="n">
        <v>0</v>
      </c>
      <c r="K150" t="n">
        <v>0</v>
      </c>
      <c r="L150" t="n">
        <v>0</v>
      </c>
      <c r="M150" t="n">
        <v>0</v>
      </c>
      <c r="N150" t="n">
        <v>0</v>
      </c>
    </row>
    <row r="151">
      <c r="A151" t="inlineStr">
        <is>
          <t>necessary expenses</t>
        </is>
      </c>
      <c r="B151" t="inlineStr">
        <is>
          <t>the feast of the circumcision [1 january] until st peter in chains [1 august] 15 shilling 6pence.</t>
        </is>
      </c>
      <c r="C151" t="n">
        <v>0.78</v>
      </c>
      <c r="D151" t="n">
        <v>0</v>
      </c>
      <c r="E151" t="n">
        <v>15</v>
      </c>
      <c r="F151" t="n">
        <v>6</v>
      </c>
      <c r="H151" t="n">
        <v>0</v>
      </c>
      <c r="I151" t="n">
        <v>0</v>
      </c>
      <c r="J151" t="n">
        <v>0</v>
      </c>
      <c r="K151" t="n">
        <v>0</v>
      </c>
      <c r="L151" t="n">
        <v>0</v>
      </c>
      <c r="M151" t="n">
        <v>0</v>
      </c>
      <c r="N151" t="n">
        <v>0</v>
      </c>
    </row>
    <row r="152">
      <c r="A152" t="inlineStr">
        <is>
          <t>necessary expenses</t>
        </is>
      </c>
      <c r="B152" t="inlineStr">
        <is>
          <t>expenses of robert blundi for three weeks and two days for harvest and in expenses of s the serjeant and richard the reeve from st peter in chains [1 august] to the feast of st michael 10 shilling 4pence.</t>
        </is>
      </c>
      <c r="C152" t="n">
        <v>0.52</v>
      </c>
      <c r="D152" t="n">
        <v>0</v>
      </c>
      <c r="E152" t="n">
        <v>10</v>
      </c>
      <c r="F152" t="n">
        <v>4</v>
      </c>
      <c r="H152" t="n">
        <v>0</v>
      </c>
      <c r="I152" t="n">
        <v>0</v>
      </c>
      <c r="J152" t="n">
        <v>0</v>
      </c>
      <c r="K152" t="n">
        <v>0</v>
      </c>
      <c r="L152" t="n">
        <v>0</v>
      </c>
      <c r="M152" t="n">
        <v>0</v>
      </c>
      <c r="N152" t="n">
        <v>0</v>
      </c>
    </row>
    <row r="153">
      <c r="A153" t="inlineStr">
        <is>
          <t>necessary expenses</t>
        </is>
      </c>
      <c r="B153" t="inlineStr">
        <is>
          <t>stipend of two ploughmen for the year 12 shilling 2pence.</t>
        </is>
      </c>
      <c r="C153" t="n">
        <v>0.61</v>
      </c>
      <c r="D153" t="n">
        <v>0</v>
      </c>
      <c r="E153" t="n">
        <v>12</v>
      </c>
      <c r="F153" t="n">
        <v>2</v>
      </c>
      <c r="H153" t="n">
        <v>0</v>
      </c>
      <c r="I153" t="n">
        <v>0</v>
      </c>
      <c r="J153" t="n">
        <v>0</v>
      </c>
      <c r="K153" t="n">
        <v>0</v>
      </c>
      <c r="L153" t="n">
        <v>0</v>
      </c>
      <c r="M153" t="n">
        <v>0</v>
      </c>
      <c r="N153" t="n">
        <v>0</v>
      </c>
    </row>
    <row r="154">
      <c r="A154" t="inlineStr">
        <is>
          <t>necessary expenses</t>
        </is>
      </c>
      <c r="B154" t="inlineStr">
        <is>
          <t>stipend of two ploughdrivers for the year 10 shilling 3pence.</t>
        </is>
      </c>
      <c r="C154" t="n">
        <v>0.51</v>
      </c>
      <c r="D154" t="n">
        <v>0</v>
      </c>
      <c r="E154" t="n">
        <v>10</v>
      </c>
      <c r="F154" t="n">
        <v>3</v>
      </c>
      <c r="H154" t="n">
        <v>0</v>
      </c>
      <c r="I154" t="n">
        <v>0</v>
      </c>
      <c r="J154" t="n">
        <v>0</v>
      </c>
      <c r="K154" t="n">
        <v>0</v>
      </c>
      <c r="L154" t="n">
        <v>0</v>
      </c>
      <c r="M154" t="n">
        <v>0</v>
      </c>
      <c r="N154" t="n">
        <v>0</v>
      </c>
    </row>
    <row r="155">
      <c r="A155" t="inlineStr">
        <is>
          <t>necessary expenses</t>
        </is>
      </c>
      <c r="B155" t="inlineStr">
        <is>
          <t>stipend of one carter for the year 5 shilling.</t>
        </is>
      </c>
      <c r="C155" t="n">
        <v>0.25</v>
      </c>
      <c r="D155" t="n">
        <v>0</v>
      </c>
      <c r="E155" t="n">
        <v>5</v>
      </c>
      <c r="F155" t="n">
        <v>0</v>
      </c>
      <c r="H155" t="n">
        <v>0</v>
      </c>
      <c r="I155" t="n">
        <v>0</v>
      </c>
      <c r="J155" t="n">
        <v>0</v>
      </c>
      <c r="K155" t="n">
        <v>0</v>
      </c>
      <c r="L155" t="n">
        <v>0</v>
      </c>
      <c r="M155" t="n">
        <v>0</v>
      </c>
      <c r="N155" t="n">
        <v>0</v>
      </c>
    </row>
    <row r="156">
      <c r="A156" t="inlineStr">
        <is>
          <t>necessary expenses</t>
        </is>
      </c>
      <c r="B156" t="inlineStr">
        <is>
          <t>stipend of a maidservant for the year 3 shilling 1pence.</t>
        </is>
      </c>
      <c r="C156" t="n">
        <v>0.15</v>
      </c>
      <c r="D156" t="n">
        <v>0</v>
      </c>
      <c r="E156" t="n">
        <v>3</v>
      </c>
      <c r="F156" t="n">
        <v>1</v>
      </c>
      <c r="H156" t="n">
        <v>0</v>
      </c>
      <c r="I156" t="n">
        <v>0</v>
      </c>
      <c r="J156" t="n">
        <v>0</v>
      </c>
      <c r="K156" t="n">
        <v>0</v>
      </c>
      <c r="L156" t="n">
        <v>0</v>
      </c>
      <c r="M156" t="n">
        <v>0</v>
      </c>
      <c r="N156" t="n">
        <v>0</v>
      </c>
    </row>
    <row r="157">
      <c r="A157" t="inlineStr">
        <is>
          <t>necessary expenses</t>
        </is>
      </c>
      <c r="B157" t="inlineStr">
        <is>
          <t>stipend of two shepherds for the year 5 shilling 4pence.</t>
        </is>
      </c>
      <c r="C157" t="n">
        <v>0.27</v>
      </c>
      <c r="D157" t="n">
        <v>0</v>
      </c>
      <c r="E157" t="n">
        <v>5</v>
      </c>
      <c r="F157" t="n">
        <v>4</v>
      </c>
      <c r="H157" t="n">
        <v>0</v>
      </c>
      <c r="I157" t="n">
        <v>0</v>
      </c>
      <c r="J157" t="n">
        <v>0</v>
      </c>
      <c r="K157" t="n">
        <v>0</v>
      </c>
      <c r="L157" t="n">
        <v>0</v>
      </c>
      <c r="M157" t="n">
        <v>0</v>
      </c>
      <c r="N157" t="n">
        <v>0</v>
      </c>
    </row>
    <row r="158">
      <c r="A158" t="inlineStr">
        <is>
          <t>necessary expenses</t>
        </is>
      </c>
      <c r="B158" t="inlineStr">
        <is>
          <t>stipend of one cowherd for the year 2 shilling 10pence.</t>
        </is>
      </c>
      <c r="C158" t="n">
        <v>0.14</v>
      </c>
      <c r="D158" t="n">
        <v>0</v>
      </c>
      <c r="E158" t="n">
        <v>2</v>
      </c>
      <c r="F158" t="n">
        <v>10</v>
      </c>
      <c r="H158" t="n">
        <v>0</v>
      </c>
      <c r="I158" t="n">
        <v>0</v>
      </c>
      <c r="J158" t="n">
        <v>0</v>
      </c>
      <c r="K158" t="n">
        <v>0</v>
      </c>
      <c r="L158" t="n">
        <v>0</v>
      </c>
      <c r="M158" t="n">
        <v>0</v>
      </c>
      <c r="N158" t="n">
        <v>0</v>
      </c>
    </row>
    <row r="159">
      <c r="A159" t="inlineStr">
        <is>
          <t>necessary expenses</t>
        </is>
      </c>
      <c r="B159" t="inlineStr">
        <is>
          <t>stipend of a boy who guarded the animals at northwode that were not used for draught during harvest 9pence.</t>
        </is>
      </c>
      <c r="C159" t="n">
        <v>0.04</v>
      </c>
      <c r="D159" t="n">
        <v>0</v>
      </c>
      <c r="E159" t="n">
        <v>0</v>
      </c>
      <c r="F159" t="n">
        <v>9</v>
      </c>
      <c r="H159" t="n">
        <v>0</v>
      </c>
      <c r="I159" t="n">
        <v>0</v>
      </c>
      <c r="J159" t="n">
        <v>0</v>
      </c>
      <c r="K159" t="n">
        <v>0</v>
      </c>
      <c r="L159" t="n">
        <v>0</v>
      </c>
      <c r="M159" t="n">
        <v>0</v>
      </c>
      <c r="N159" t="n">
        <v>0</v>
      </c>
    </row>
    <row r="160">
      <c r="A160" t="inlineStr">
        <is>
          <t>necessary expenses</t>
        </is>
      </c>
      <c r="B160" t="inlineStr">
        <is>
          <t>threshing and winnowing 26 quarters of rye 4 shilling 7pence.</t>
        </is>
      </c>
      <c r="C160" t="n">
        <v>0.23</v>
      </c>
      <c r="D160" t="n">
        <v>0</v>
      </c>
      <c r="E160" t="n">
        <v>4</v>
      </c>
      <c r="F160" t="n">
        <v>7</v>
      </c>
      <c r="G160" t="inlineStr">
        <is>
          <t>rye</t>
        </is>
      </c>
      <c r="H160" t="n">
        <v>26</v>
      </c>
      <c r="I160" t="n">
        <v>0</v>
      </c>
      <c r="J160" t="n">
        <v>26</v>
      </c>
      <c r="K160" t="n">
        <v>26</v>
      </c>
      <c r="L160" t="n">
        <v>0</v>
      </c>
      <c r="M160" t="n">
        <v>26</v>
      </c>
      <c r="N160" t="n">
        <v>0</v>
      </c>
    </row>
    <row r="161">
      <c r="A161" t="inlineStr">
        <is>
          <t>necessary expenses</t>
        </is>
      </c>
      <c r="B161" t="inlineStr">
        <is>
          <t>two ploughshares bought 10pence for 200 talwood bought by order of the lord bishop 4 shilling 2pence.</t>
        </is>
      </c>
      <c r="C161" t="n">
        <v>0.24</v>
      </c>
      <c r="D161" t="n">
        <v>0</v>
      </c>
      <c r="E161" t="n">
        <v>4</v>
      </c>
      <c r="F161" t="n">
        <v>10</v>
      </c>
      <c r="H161" t="n">
        <v>0</v>
      </c>
      <c r="I161" t="n">
        <v>0</v>
      </c>
      <c r="J161" t="n">
        <v>0</v>
      </c>
      <c r="K161" t="n">
        <v>0</v>
      </c>
      <c r="L161" t="n">
        <v>0</v>
      </c>
      <c r="M161" t="n">
        <v>0</v>
      </c>
      <c r="N161" t="n">
        <v>0</v>
      </c>
    </row>
    <row r="162">
      <c r="A162" t="inlineStr">
        <is>
          <t>necessary expenses</t>
        </is>
      </c>
      <c r="B162" t="inlineStr">
        <is>
          <t>threshing 7½ quarters of wheat 15pence.</t>
        </is>
      </c>
      <c r="C162" t="n">
        <v>0.06</v>
      </c>
      <c r="D162" t="n">
        <v>0</v>
      </c>
      <c r="E162" t="n">
        <v>0</v>
      </c>
      <c r="F162" t="n">
        <v>15</v>
      </c>
      <c r="G162" t="inlineStr">
        <is>
          <t>wheat</t>
        </is>
      </c>
      <c r="H162" t="n">
        <v>0</v>
      </c>
      <c r="I162" t="n">
        <v>0</v>
      </c>
      <c r="J162" t="n">
        <v>0</v>
      </c>
      <c r="K162" t="n">
        <v>0</v>
      </c>
      <c r="L162" t="n">
        <v>0</v>
      </c>
      <c r="M162" t="n">
        <v>0</v>
      </c>
      <c r="N162" t="n">
        <v>0</v>
      </c>
    </row>
    <row r="163">
      <c r="A163" t="inlineStr">
        <is>
          <t>necessary expenses</t>
        </is>
      </c>
      <c r="B163" t="inlineStr">
        <is>
          <t>threshing 30 quarters of barley 3 shilling 9pence.</t>
        </is>
      </c>
      <c r="C163" t="n">
        <v>0.19</v>
      </c>
      <c r="D163" t="n">
        <v>0</v>
      </c>
      <c r="E163" t="n">
        <v>3</v>
      </c>
      <c r="F163" t="n">
        <v>9</v>
      </c>
      <c r="G163" t="inlineStr">
        <is>
          <t>barley</t>
        </is>
      </c>
      <c r="H163" t="n">
        <v>30</v>
      </c>
      <c r="I163" t="n">
        <v>0</v>
      </c>
      <c r="J163" t="n">
        <v>30</v>
      </c>
      <c r="K163" t="n">
        <v>30</v>
      </c>
      <c r="L163" t="n">
        <v>0</v>
      </c>
      <c r="M163" t="n">
        <v>30</v>
      </c>
      <c r="N163" t="n">
        <v>0</v>
      </c>
    </row>
    <row r="164">
      <c r="A164" t="inlineStr">
        <is>
          <t>necessary expenses</t>
        </is>
      </c>
      <c r="B164" t="inlineStr">
        <is>
          <t>threshing 68 quarters of oats.</t>
        </is>
      </c>
      <c r="C164" t="n">
        <v>0</v>
      </c>
      <c r="D164" t="n">
        <v>0</v>
      </c>
      <c r="E164" t="n">
        <v>0</v>
      </c>
      <c r="F164" t="n">
        <v>0</v>
      </c>
      <c r="G164" t="inlineStr">
        <is>
          <t>oats</t>
        </is>
      </c>
      <c r="H164" t="n">
        <v>68</v>
      </c>
      <c r="I164" t="n">
        <v>0</v>
      </c>
      <c r="J164" t="n">
        <v>68</v>
      </c>
      <c r="K164" t="n">
        <v>68</v>
      </c>
      <c r="L164" t="n">
        <v>0</v>
      </c>
      <c r="M164" t="n">
        <v>68</v>
      </c>
      <c r="N164" t="n">
        <v>0</v>
      </c>
    </row>
    <row r="165">
      <c r="A165" t="inlineStr">
        <is>
          <t>necessary expenses</t>
        </is>
      </c>
      <c r="B165" t="inlineStr">
        <is>
          <t>digging in the great ditch and making and positioning two ovens and a furnace and tiling the outhouse and plastering the walls 26 shilling 5½d.</t>
        </is>
      </c>
      <c r="C165" t="n">
        <v>1.3</v>
      </c>
      <c r="D165" t="n">
        <v>0</v>
      </c>
      <c r="E165" t="n">
        <v>26</v>
      </c>
      <c r="F165" t="n">
        <v>0</v>
      </c>
      <c r="H165" t="n">
        <v>0</v>
      </c>
      <c r="I165" t="n">
        <v>0</v>
      </c>
      <c r="J165" t="n">
        <v>0</v>
      </c>
      <c r="K165" t="n">
        <v>0</v>
      </c>
      <c r="L165" t="n">
        <v>0</v>
      </c>
      <c r="M165" t="n">
        <v>0</v>
      </c>
      <c r="N165" t="n">
        <v>0</v>
      </c>
    </row>
    <row r="166">
      <c r="A166" t="inlineStr">
        <is>
          <t>necessary expenses</t>
        </is>
      </c>
      <c r="B166" t="inlineStr">
        <is>
          <t>sum £21 13 shilling 5½d.</t>
        </is>
      </c>
      <c r="C166" t="n">
        <v>21.65</v>
      </c>
      <c r="D166" t="n">
        <v>21</v>
      </c>
      <c r="E166" t="n">
        <v>13</v>
      </c>
      <c r="F166" t="n">
        <v>0</v>
      </c>
      <c r="H166" t="n">
        <v>0</v>
      </c>
      <c r="I166" t="n">
        <v>0</v>
      </c>
      <c r="J166" t="n">
        <v>0</v>
      </c>
      <c r="K166" t="n">
        <v>0</v>
      </c>
      <c r="L166" t="n">
        <v>0</v>
      </c>
      <c r="M166" t="n">
        <v>0</v>
      </c>
      <c r="N166" t="n">
        <v>0</v>
      </c>
    </row>
    <row r="167">
      <c r="A167" t="inlineStr">
        <is>
          <t>foreign expenses</t>
        </is>
      </c>
      <c r="B167" t="inlineStr">
        <is>
          <t>in expenses of master william de clare, archdeacon, with seven men and six horses, in bread 8 pence, in wine 12 pence, in ale 5 pence, in partridges 5 pence, in eggs ½d, in wax 3 pence, in white candles ½d, in oats 9½d.</t>
        </is>
      </c>
      <c r="C167" t="n">
        <v>0.03</v>
      </c>
      <c r="D167" t="n">
        <v>0</v>
      </c>
      <c r="E167" t="n">
        <v>0</v>
      </c>
      <c r="F167" t="n">
        <v>8</v>
      </c>
      <c r="G167" t="inlineStr">
        <is>
          <t>oats</t>
        </is>
      </c>
      <c r="H167" t="n">
        <v>0</v>
      </c>
      <c r="I167" t="n">
        <v>0</v>
      </c>
      <c r="J167" t="n">
        <v>0</v>
      </c>
      <c r="K167" t="n">
        <v>0</v>
      </c>
      <c r="L167" t="n">
        <v>0</v>
      </c>
      <c r="M167" t="n">
        <v>0</v>
      </c>
      <c r="N167" t="n">
        <v>0</v>
      </c>
    </row>
    <row r="168">
      <c r="A168" t="inlineStr">
        <is>
          <t>foreign expenses</t>
        </is>
      </c>
      <c r="B168" t="inlineStr">
        <is>
          <t>expenses of william, clerk, who held the tourn at the feast of st martin 10 pence, tally against him.</t>
        </is>
      </c>
      <c r="C168" t="n">
        <v>0.04</v>
      </c>
      <c r="D168" t="n">
        <v>0</v>
      </c>
      <c r="E168" t="n">
        <v>0</v>
      </c>
      <c r="F168" t="n">
        <v>10</v>
      </c>
      <c r="H168" t="n">
        <v>0</v>
      </c>
      <c r="I168" t="n">
        <v>0</v>
      </c>
      <c r="J168" t="n">
        <v>0</v>
      </c>
      <c r="K168" t="n">
        <v>0</v>
      </c>
      <c r="L168" t="n">
        <v>0</v>
      </c>
      <c r="M168" t="n">
        <v>0</v>
      </c>
      <c r="N168" t="n">
        <v>0</v>
      </c>
    </row>
    <row r="169">
      <c r="A169" t="inlineStr">
        <is>
          <t>foreign expenses</t>
        </is>
      </c>
      <c r="B169" t="inlineStr">
        <is>
          <t>expenses of lord philip, steward, for the tourn of hockday, in bread 6 pence, in wine 5 pence, in ale 6 pence, in meat 3 pence, in fish 3 pence, in eggs 1pence.</t>
        </is>
      </c>
      <c r="C169" t="n">
        <v>0.03</v>
      </c>
      <c r="D169" t="n">
        <v>0</v>
      </c>
      <c r="E169" t="n">
        <v>0</v>
      </c>
      <c r="F169" t="n">
        <v>6</v>
      </c>
      <c r="H169" t="n">
        <v>0</v>
      </c>
      <c r="I169" t="n">
        <v>0</v>
      </c>
      <c r="J169" t="n">
        <v>0</v>
      </c>
      <c r="K169" t="n">
        <v>0</v>
      </c>
      <c r="L169" t="n">
        <v>0</v>
      </c>
      <c r="M169" t="n">
        <v>0</v>
      </c>
      <c r="N169" t="n">
        <v>0</v>
      </c>
    </row>
    <row r="170">
      <c r="A170" t="inlineStr">
        <is>
          <t>foreign expenses</t>
        </is>
      </c>
      <c r="B170" t="inlineStr">
        <is>
          <t>expenses of william, chaplain of abbeville, on the wednesday after the feast of trinity [2 june], by order of the bishop 22 pence, by tally against william de wudeham.</t>
        </is>
      </c>
      <c r="C170" t="n">
        <v>0.09</v>
      </c>
      <c r="D170" t="n">
        <v>0</v>
      </c>
      <c r="E170" t="n">
        <v>0</v>
      </c>
      <c r="F170" t="n">
        <v>22</v>
      </c>
      <c r="H170" t="n">
        <v>0</v>
      </c>
      <c r="I170" t="n">
        <v>0</v>
      </c>
      <c r="J170" t="n">
        <v>0</v>
      </c>
      <c r="K170" t="n">
        <v>0</v>
      </c>
      <c r="L170" t="n">
        <v>0</v>
      </c>
      <c r="M170" t="n">
        <v>0</v>
      </c>
      <c r="N170" t="n">
        <v>0</v>
      </c>
    </row>
    <row r="171">
      <c r="A171" t="inlineStr">
        <is>
          <t>foreign expenses</t>
        </is>
      </c>
      <c r="B171" t="inlineStr">
        <is>
          <t>sum 8 shilling 3½d.</t>
        </is>
      </c>
      <c r="C171" t="n">
        <v>0.4</v>
      </c>
      <c r="D171" t="n">
        <v>0</v>
      </c>
      <c r="E171" t="n">
        <v>8</v>
      </c>
      <c r="F171" t="n">
        <v>0</v>
      </c>
      <c r="H171" t="n">
        <v>0</v>
      </c>
      <c r="I171" t="n">
        <v>0</v>
      </c>
      <c r="J171" t="n">
        <v>0</v>
      </c>
      <c r="K171" t="n">
        <v>0</v>
      </c>
      <c r="L171" t="n">
        <v>0</v>
      </c>
      <c r="M171" t="n">
        <v>0</v>
      </c>
      <c r="N171" t="n">
        <v>0</v>
      </c>
    </row>
    <row r="172">
      <c r="A172" t="inlineStr">
        <is>
          <t>foreign expenses</t>
        </is>
      </c>
      <c r="B172" t="inlineStr">
        <is>
          <t>sum of all expenses £22 21pence.</t>
        </is>
      </c>
      <c r="C172" t="n">
        <v>22.09</v>
      </c>
      <c r="D172" t="n">
        <v>22</v>
      </c>
      <c r="E172" t="n">
        <v>0</v>
      </c>
      <c r="F172" t="n">
        <v>21</v>
      </c>
      <c r="H172" t="n">
        <v>0</v>
      </c>
      <c r="I172" t="n">
        <v>0</v>
      </c>
      <c r="J172" t="n">
        <v>0</v>
      </c>
      <c r="K172" t="n">
        <v>0</v>
      </c>
      <c r="L172" t="n">
        <v>0</v>
      </c>
      <c r="M172" t="n">
        <v>0</v>
      </c>
      <c r="N172" t="n">
        <v>0</v>
      </c>
    </row>
    <row r="173">
      <c r="A173" t="inlineStr">
        <is>
          <t>payments</t>
        </is>
      </c>
      <c r="B173" t="inlineStr">
        <is>
          <t>in payment to lord reginald de alynton by one tally 59 shilling 11½d.</t>
        </is>
      </c>
      <c r="C173" t="n">
        <v>2.95</v>
      </c>
      <c r="D173" t="n">
        <v>0</v>
      </c>
      <c r="E173" t="n">
        <v>59</v>
      </c>
      <c r="F173" t="n">
        <v>0</v>
      </c>
      <c r="H173" t="n">
        <v>0</v>
      </c>
      <c r="I173" t="n">
        <v>0</v>
      </c>
      <c r="J173" t="n">
        <v>0</v>
      </c>
      <c r="K173" t="n">
        <v>0</v>
      </c>
      <c r="L173" t="n">
        <v>0</v>
      </c>
      <c r="M173" t="n">
        <v>0</v>
      </c>
      <c r="N173" t="n">
        <v>0</v>
      </c>
    </row>
    <row r="174">
      <c r="A174" t="inlineStr">
        <is>
          <t>payments</t>
        </is>
      </c>
      <c r="B174" t="inlineStr">
        <is>
          <t>sum.</t>
        </is>
      </c>
      <c r="C174" t="n">
        <v>0</v>
      </c>
      <c r="D174" t="n">
        <v>0</v>
      </c>
      <c r="E174" t="n">
        <v>0</v>
      </c>
      <c r="F174" t="n">
        <v>0</v>
      </c>
      <c r="H174" t="n">
        <v>0</v>
      </c>
      <c r="I174" t="n">
        <v>0</v>
      </c>
      <c r="J174" t="n">
        <v>0</v>
      </c>
      <c r="K174" t="n">
        <v>0</v>
      </c>
      <c r="L174" t="n">
        <v>0</v>
      </c>
      <c r="M174" t="n">
        <v>0</v>
      </c>
      <c r="N174" t="n">
        <v>0</v>
      </c>
    </row>
    <row r="175">
      <c r="A175" t="inlineStr">
        <is>
          <t>payments</t>
        </is>
      </c>
      <c r="B175" t="inlineStr">
        <is>
          <t>sum of expenses and payments £25 12 shilling 8½d.</t>
        </is>
      </c>
      <c r="C175" t="n">
        <v>25.6</v>
      </c>
      <c r="D175" t="n">
        <v>25</v>
      </c>
      <c r="E175" t="n">
        <v>12</v>
      </c>
      <c r="F175" t="n">
        <v>0</v>
      </c>
      <c r="H175" t="n">
        <v>0</v>
      </c>
      <c r="I175" t="n">
        <v>0</v>
      </c>
      <c r="J175" t="n">
        <v>0</v>
      </c>
      <c r="K175" t="n">
        <v>0</v>
      </c>
      <c r="L175" t="n">
        <v>0</v>
      </c>
      <c r="M175" t="n">
        <v>0</v>
      </c>
      <c r="N175" t="n">
        <v>0</v>
      </c>
    </row>
    <row r="176">
      <c r="A176" t="inlineStr">
        <is>
          <t>payments</t>
        </is>
      </c>
      <c r="B176" t="inlineStr">
        <is>
          <t>and thus/ he is quit.</t>
        </is>
      </c>
      <c r="C176" t="n">
        <v>0</v>
      </c>
      <c r="D176" t="n">
        <v>0</v>
      </c>
      <c r="E176" t="n">
        <v>0</v>
      </c>
      <c r="F176" t="n">
        <v>0</v>
      </c>
      <c r="H176" t="n">
        <v>0</v>
      </c>
      <c r="I176" t="n">
        <v>0</v>
      </c>
      <c r="J176" t="n">
        <v>0</v>
      </c>
      <c r="K176" t="n">
        <v>0</v>
      </c>
      <c r="L176" t="n">
        <v>0</v>
      </c>
      <c r="M176" t="n">
        <v>0</v>
      </c>
      <c r="N176" t="n">
        <v>0</v>
      </c>
    </row>
    <row r="177">
      <c r="A177" t="inlineStr">
        <is>
          <t>payments</t>
        </is>
      </c>
      <c r="B177" t="inlineStr">
        <is>
          <t>afterwards he is amerced for the bad issue of wool.</t>
        </is>
      </c>
      <c r="C177" t="n">
        <v>0</v>
      </c>
      <c r="D177" t="n">
        <v>0</v>
      </c>
      <c r="E177" t="n">
        <v>0</v>
      </c>
      <c r="F177" t="n">
        <v>0</v>
      </c>
      <c r="H177" t="n">
        <v>0</v>
      </c>
      <c r="I177" t="n">
        <v>0</v>
      </c>
      <c r="J177" t="n">
        <v>0</v>
      </c>
      <c r="K177" t="n">
        <v>0</v>
      </c>
      <c r="L177" t="n">
        <v>0</v>
      </c>
      <c r="M177" t="n">
        <v>0</v>
      </c>
      <c r="N177" t="n">
        <v>0</v>
      </c>
    </row>
    <row r="178">
      <c r="A178" t="inlineStr">
        <is>
          <t>wheat</t>
        </is>
      </c>
      <c r="B178" t="inlineStr">
        <is>
          <t>the same render account for 7½ quarters 2 bushels from issue of the grange.</t>
        </is>
      </c>
      <c r="C178" t="n">
        <v>0</v>
      </c>
      <c r="D178" t="n">
        <v>0</v>
      </c>
      <c r="E178" t="n">
        <v>0</v>
      </c>
      <c r="F178" t="n">
        <v>0</v>
      </c>
      <c r="H178" t="n">
        <v>0</v>
      </c>
      <c r="I178" t="n">
        <v>2</v>
      </c>
      <c r="J178" t="n">
        <v>0.25</v>
      </c>
      <c r="K178" t="n">
        <v>0.25</v>
      </c>
      <c r="L178" t="n">
        <v>0</v>
      </c>
      <c r="M178" t="n">
        <v>0</v>
      </c>
      <c r="N178" t="n">
        <v>2</v>
      </c>
    </row>
    <row r="179">
      <c r="A179" t="inlineStr">
        <is>
          <t>wheat</t>
        </is>
      </c>
      <c r="B179" t="inlineStr">
        <is>
          <t>and for 6 bushels from increment of the same.</t>
        </is>
      </c>
      <c r="C179" t="n">
        <v>0</v>
      </c>
      <c r="D179" t="n">
        <v>0</v>
      </c>
      <c r="E179" t="n">
        <v>0</v>
      </c>
      <c r="F179" t="n">
        <v>0</v>
      </c>
      <c r="H179" t="n">
        <v>0</v>
      </c>
      <c r="I179" t="n">
        <v>6</v>
      </c>
      <c r="J179" t="n">
        <v>0.75</v>
      </c>
      <c r="K179" t="n">
        <v>0.75</v>
      </c>
      <c r="L179" t="n">
        <v>0</v>
      </c>
      <c r="M179" t="n">
        <v>0</v>
      </c>
      <c r="N179" t="n">
        <v>6</v>
      </c>
    </row>
    <row r="180">
      <c r="A180" t="inlineStr">
        <is>
          <t>wheat</t>
        </is>
      </c>
      <c r="B180" t="inlineStr">
        <is>
          <t>and from purchase 2 bushels.</t>
        </is>
      </c>
      <c r="C180" t="n">
        <v>0</v>
      </c>
      <c r="D180" t="n">
        <v>0</v>
      </c>
      <c r="E180" t="n">
        <v>0</v>
      </c>
      <c r="F180" t="n">
        <v>0</v>
      </c>
      <c r="H180" t="n">
        <v>0</v>
      </c>
      <c r="I180" t="n">
        <v>2</v>
      </c>
      <c r="J180" t="n">
        <v>0.25</v>
      </c>
      <c r="K180" t="n">
        <v>0.25</v>
      </c>
      <c r="L180" t="n">
        <v>0</v>
      </c>
      <c r="M180" t="n">
        <v>0</v>
      </c>
      <c r="N180" t="n">
        <v>2</v>
      </c>
    </row>
    <row r="181">
      <c r="A181" t="inlineStr">
        <is>
          <t>wheat</t>
        </is>
      </c>
      <c r="B181" t="inlineStr">
        <is>
          <t>sum 8½ quarters 2 bushels.</t>
        </is>
      </c>
      <c r="C181" t="n">
        <v>0</v>
      </c>
      <c r="D181" t="n">
        <v>0</v>
      </c>
      <c r="E181" t="n">
        <v>0</v>
      </c>
      <c r="F181" t="n">
        <v>0</v>
      </c>
      <c r="H181" t="n">
        <v>0</v>
      </c>
      <c r="I181" t="n">
        <v>2</v>
      </c>
      <c r="J181" t="n">
        <v>0.25</v>
      </c>
      <c r="K181" t="n">
        <v>0.25</v>
      </c>
      <c r="L181" t="n">
        <v>0</v>
      </c>
      <c r="M181" t="n">
        <v>0</v>
      </c>
      <c r="N181" t="n">
        <v>2</v>
      </c>
    </row>
    <row r="182">
      <c r="A182" t="inlineStr">
        <is>
          <t>wheat</t>
        </is>
      </c>
      <c r="B182" t="inlineStr">
        <is>
          <t>of which in seed at northwode 2 quarters and at esher 2 bushels.</t>
        </is>
      </c>
      <c r="C182" t="n">
        <v>0</v>
      </c>
      <c r="D182" t="n">
        <v>0</v>
      </c>
      <c r="E182" t="n">
        <v>0</v>
      </c>
      <c r="F182" t="n">
        <v>0</v>
      </c>
      <c r="H182" t="n">
        <v>2</v>
      </c>
      <c r="I182" t="n">
        <v>2</v>
      </c>
      <c r="J182" t="n">
        <v>2.25</v>
      </c>
      <c r="K182" t="n">
        <v>2</v>
      </c>
      <c r="L182" t="n">
        <v>0.25</v>
      </c>
      <c r="M182" t="n">
        <v>2</v>
      </c>
      <c r="N182" t="n">
        <v>0</v>
      </c>
      <c r="O182" t="n">
        <v>0</v>
      </c>
      <c r="P182" t="n">
        <v>2</v>
      </c>
    </row>
    <row r="183">
      <c r="A183" t="inlineStr">
        <is>
          <t>wheat</t>
        </is>
      </c>
      <c r="B183" t="inlineStr">
        <is>
          <t>bread for customary payment to those removing manure 2 bushels.</t>
        </is>
      </c>
      <c r="C183" t="n">
        <v>0</v>
      </c>
      <c r="D183" t="n">
        <v>0</v>
      </c>
      <c r="E183" t="n">
        <v>0</v>
      </c>
      <c r="F183" t="n">
        <v>0</v>
      </c>
      <c r="H183" t="n">
        <v>0</v>
      </c>
      <c r="I183" t="n">
        <v>2</v>
      </c>
      <c r="J183" t="n">
        <v>0.25</v>
      </c>
      <c r="K183" t="n">
        <v>0.25</v>
      </c>
      <c r="L183" t="n">
        <v>0</v>
      </c>
      <c r="M183" t="n">
        <v>0</v>
      </c>
      <c r="N183" t="n">
        <v>2</v>
      </c>
    </row>
    <row r="184">
      <c r="A184" t="inlineStr">
        <is>
          <t>wheat</t>
        </is>
      </c>
      <c r="B184" t="inlineStr">
        <is>
          <t>bread for the boons of 14 ploughs in lent 2 bushels.</t>
        </is>
      </c>
      <c r="C184" t="n">
        <v>0</v>
      </c>
      <c r="D184" t="n">
        <v>0</v>
      </c>
      <c r="E184" t="n">
        <v>0</v>
      </c>
      <c r="F184" t="n">
        <v>0</v>
      </c>
      <c r="H184" t="n">
        <v>0</v>
      </c>
      <c r="I184" t="n">
        <v>2</v>
      </c>
      <c r="J184" t="n">
        <v>0.25</v>
      </c>
      <c r="K184" t="n">
        <v>0.25</v>
      </c>
      <c r="L184" t="n">
        <v>0</v>
      </c>
      <c r="M184" t="n">
        <v>0</v>
      </c>
      <c r="N184" t="n">
        <v>2</v>
      </c>
    </row>
    <row r="185">
      <c r="A185" t="inlineStr">
        <is>
          <t>wheat</t>
        </is>
      </c>
      <c r="B185" t="inlineStr">
        <is>
          <t>bread for the brewer and his helpers 2 bushels.</t>
        </is>
      </c>
      <c r="C185" t="n">
        <v>0</v>
      </c>
      <c r="D185" t="n">
        <v>0</v>
      </c>
      <c r="E185" t="n">
        <v>0</v>
      </c>
      <c r="F185" t="n">
        <v>0</v>
      </c>
      <c r="H185" t="n">
        <v>0</v>
      </c>
      <c r="I185" t="n">
        <v>2</v>
      </c>
      <c r="J185" t="n">
        <v>0.25</v>
      </c>
      <c r="K185" t="n">
        <v>0.25</v>
      </c>
      <c r="L185" t="n">
        <v>0</v>
      </c>
      <c r="M185" t="n">
        <v>0</v>
      </c>
      <c r="N185" t="n">
        <v>2</v>
      </c>
    </row>
    <row r="186">
      <c r="A186" t="inlineStr">
        <is>
          <t>wheat</t>
        </is>
      </c>
      <c r="B186" t="inlineStr">
        <is>
          <t>bread for s the serjeant and robert blund for three weeks 2 quarters 2.</t>
        </is>
      </c>
      <c r="C186" t="n">
        <v>0</v>
      </c>
      <c r="D186" t="n">
        <v>0</v>
      </c>
      <c r="E186" t="n">
        <v>0</v>
      </c>
      <c r="F186" t="n">
        <v>0</v>
      </c>
      <c r="H186" t="n">
        <v>2</v>
      </c>
      <c r="I186" t="n">
        <v>0</v>
      </c>
      <c r="J186" t="n">
        <v>2</v>
      </c>
      <c r="K186" t="n">
        <v>2</v>
      </c>
      <c r="L186" t="n">
        <v>0</v>
      </c>
      <c r="M186" t="n">
        <v>2</v>
      </c>
      <c r="N186" t="n">
        <v>0</v>
      </c>
    </row>
    <row r="187">
      <c r="A187" t="inlineStr">
        <is>
          <t>wheat</t>
        </is>
      </c>
      <c r="B187" t="inlineStr">
        <is>
          <t>--- page 6 ---.</t>
        </is>
      </c>
      <c r="C187" t="n">
        <v>0</v>
      </c>
      <c r="D187" t="n">
        <v>0</v>
      </c>
      <c r="E187" t="n">
        <v>0</v>
      </c>
      <c r="F187" t="n">
        <v>0</v>
      </c>
      <c r="H187" t="n">
        <v>0</v>
      </c>
      <c r="I187" t="n">
        <v>0</v>
      </c>
      <c r="J187" t="n">
        <v>0</v>
      </c>
      <c r="K187" t="n">
        <v>0</v>
      </c>
      <c r="L187" t="n">
        <v>0</v>
      </c>
      <c r="M187" t="n">
        <v>0</v>
      </c>
      <c r="N187" t="n">
        <v>0</v>
      </c>
    </row>
    <row r="188">
      <c r="A188" t="inlineStr">
        <is>
          <t>rye</t>
        </is>
      </c>
      <c r="B188" t="inlineStr">
        <is>
          <t>the same render account for 56½ quarters 2 bushels of rye from issue.</t>
        </is>
      </c>
      <c r="C188" t="n">
        <v>0</v>
      </c>
      <c r="D188" t="n">
        <v>0</v>
      </c>
      <c r="E188" t="n">
        <v>0</v>
      </c>
      <c r="F188" t="n">
        <v>0</v>
      </c>
      <c r="G188" t="inlineStr">
        <is>
          <t>rye</t>
        </is>
      </c>
      <c r="H188" t="n">
        <v>0</v>
      </c>
      <c r="I188" t="n">
        <v>2</v>
      </c>
      <c r="J188" t="n">
        <v>0.25</v>
      </c>
      <c r="K188" t="n">
        <v>0.25</v>
      </c>
      <c r="L188" t="n">
        <v>0</v>
      </c>
      <c r="M188" t="n">
        <v>0</v>
      </c>
      <c r="N188" t="n">
        <v>2</v>
      </c>
    </row>
    <row r="189">
      <c r="A189" t="inlineStr">
        <is>
          <t>rye</t>
        </is>
      </c>
      <c r="B189" t="inlineStr">
        <is>
          <t>and for 5½ quarters 3 bushels from increment of the same.</t>
        </is>
      </c>
      <c r="C189" t="n">
        <v>0</v>
      </c>
      <c r="D189" t="n">
        <v>0</v>
      </c>
      <c r="E189" t="n">
        <v>0</v>
      </c>
      <c r="F189" t="n">
        <v>0</v>
      </c>
      <c r="H189" t="n">
        <v>0</v>
      </c>
      <c r="I189" t="n">
        <v>3</v>
      </c>
      <c r="J189" t="n">
        <v>0.38</v>
      </c>
      <c r="K189" t="n">
        <v>0.38</v>
      </c>
      <c r="L189" t="n">
        <v>0</v>
      </c>
      <c r="M189" t="n">
        <v>0</v>
      </c>
      <c r="N189" t="n">
        <v>3</v>
      </c>
    </row>
    <row r="190">
      <c r="A190" t="inlineStr">
        <is>
          <t>rye</t>
        </is>
      </c>
      <c r="B190" t="inlineStr">
        <is>
          <t>and for 14 quarters 3 bushels bought.</t>
        </is>
      </c>
      <c r="C190" t="n">
        <v>0</v>
      </c>
      <c r="D190" t="n">
        <v>0</v>
      </c>
      <c r="E190" t="n">
        <v>0</v>
      </c>
      <c r="F190" t="n">
        <v>0</v>
      </c>
      <c r="H190" t="n">
        <v>14</v>
      </c>
      <c r="I190" t="n">
        <v>3</v>
      </c>
      <c r="J190" t="n">
        <v>14.38</v>
      </c>
      <c r="K190" t="n">
        <v>14.38</v>
      </c>
      <c r="L190" t="n">
        <v>0</v>
      </c>
      <c r="M190" t="n">
        <v>14</v>
      </c>
      <c r="N190" t="n">
        <v>3</v>
      </c>
    </row>
    <row r="191">
      <c r="A191" t="inlineStr">
        <is>
          <t>rye</t>
        </is>
      </c>
      <c r="B191" t="inlineStr">
        <is>
          <t>sum 67⅞ quarters.</t>
        </is>
      </c>
      <c r="C191" t="n">
        <v>0</v>
      </c>
      <c r="D191" t="n">
        <v>0</v>
      </c>
      <c r="E191" t="n">
        <v>0</v>
      </c>
      <c r="F191" t="n">
        <v>0</v>
      </c>
      <c r="H191" t="n">
        <v>0</v>
      </c>
      <c r="I191" t="n">
        <v>0</v>
      </c>
      <c r="J191" t="n">
        <v>0</v>
      </c>
      <c r="K191" t="n">
        <v>0</v>
      </c>
      <c r="L191" t="n">
        <v>0</v>
      </c>
      <c r="M191" t="n">
        <v>0</v>
      </c>
      <c r="N191" t="n">
        <v>0</v>
      </c>
    </row>
    <row r="192">
      <c r="A192" t="inlineStr">
        <is>
          <t>rye</t>
        </is>
      </c>
      <c r="B192" t="inlineStr">
        <is>
          <t>of which in seed over 57½ acres 14 quarters 3 bushels.</t>
        </is>
      </c>
      <c r="C192" t="n">
        <v>0</v>
      </c>
      <c r="D192" t="n">
        <v>0</v>
      </c>
      <c r="E192" t="n">
        <v>0</v>
      </c>
      <c r="F192" t="n">
        <v>0</v>
      </c>
      <c r="H192" t="n">
        <v>14</v>
      </c>
      <c r="I192" t="n">
        <v>3</v>
      </c>
      <c r="J192" t="n">
        <v>14.38</v>
      </c>
      <c r="K192" t="n">
        <v>14.38</v>
      </c>
      <c r="L192" t="n">
        <v>0</v>
      </c>
      <c r="M192" t="n">
        <v>14</v>
      </c>
      <c r="N192" t="n">
        <v>3</v>
      </c>
    </row>
    <row r="193">
      <c r="A193" t="inlineStr">
        <is>
          <t>rye</t>
        </is>
      </c>
      <c r="B193" t="inlineStr">
        <is>
          <t>alms from the bishop for the widow aveline 1 quarter.</t>
        </is>
      </c>
      <c r="C193" t="n">
        <v>0</v>
      </c>
      <c r="D193" t="n">
        <v>0</v>
      </c>
      <c r="E193" t="n">
        <v>0</v>
      </c>
      <c r="F193" t="n">
        <v>0</v>
      </c>
      <c r="H193" t="n">
        <v>0</v>
      </c>
      <c r="I193" t="n">
        <v>0</v>
      </c>
      <c r="J193" t="n">
        <v>0</v>
      </c>
      <c r="K193" t="n">
        <v>0</v>
      </c>
      <c r="L193" t="n">
        <v>0</v>
      </c>
      <c r="M193" t="n">
        <v>0</v>
      </c>
      <c r="N193" t="n">
        <v>0</v>
      </c>
    </row>
    <row r="194">
      <c r="A194" t="inlineStr">
        <is>
          <t>rye</t>
        </is>
      </c>
      <c r="B194" t="inlineStr">
        <is>
          <t>for ploughboons 3 bushels.</t>
        </is>
      </c>
      <c r="C194" t="n">
        <v>0</v>
      </c>
      <c r="D194" t="n">
        <v>0</v>
      </c>
      <c r="E194" t="n">
        <v>0</v>
      </c>
      <c r="F194" t="n">
        <v>0</v>
      </c>
      <c r="H194" t="n">
        <v>0</v>
      </c>
      <c r="I194" t="n">
        <v>3</v>
      </c>
      <c r="J194" t="n">
        <v>0.38</v>
      </c>
      <c r="K194" t="n">
        <v>0.38</v>
      </c>
      <c r="L194" t="n">
        <v>0</v>
      </c>
      <c r="M194" t="n">
        <v>0</v>
      </c>
      <c r="N194" t="n">
        <v>3</v>
      </c>
    </row>
    <row r="195">
      <c r="A195" t="inlineStr">
        <is>
          <t>rye</t>
        </is>
      </c>
      <c r="B195" t="inlineStr">
        <is>
          <t>bread for the brewer and his helpers 2 bushels.</t>
        </is>
      </c>
      <c r="C195" t="n">
        <v>0</v>
      </c>
      <c r="D195" t="n">
        <v>0</v>
      </c>
      <c r="E195" t="n">
        <v>0</v>
      </c>
      <c r="F195" t="n">
        <v>0</v>
      </c>
      <c r="H195" t="n">
        <v>0</v>
      </c>
      <c r="I195" t="n">
        <v>2</v>
      </c>
      <c r="J195" t="n">
        <v>0.25</v>
      </c>
      <c r="K195" t="n">
        <v>0.25</v>
      </c>
      <c r="L195" t="n">
        <v>0</v>
      </c>
      <c r="M195" t="n">
        <v>0</v>
      </c>
      <c r="N195" t="n">
        <v>2</v>
      </c>
    </row>
    <row r="196">
      <c r="A196" t="inlineStr">
        <is>
          <t>rye</t>
        </is>
      </c>
      <c r="B196" t="inlineStr">
        <is>
          <t>bread for s the serjeant 1 quarter.</t>
        </is>
      </c>
      <c r="C196" t="n">
        <v>0</v>
      </c>
      <c r="D196" t="n">
        <v>0</v>
      </c>
      <c r="E196" t="n">
        <v>0</v>
      </c>
      <c r="F196" t="n">
        <v>0</v>
      </c>
      <c r="H196" t="n">
        <v>0</v>
      </c>
      <c r="I196" t="n">
        <v>0</v>
      </c>
      <c r="J196" t="n">
        <v>0</v>
      </c>
      <c r="K196" t="n">
        <v>0</v>
      </c>
      <c r="L196" t="n">
        <v>0</v>
      </c>
      <c r="M196" t="n">
        <v>0</v>
      </c>
      <c r="N196" t="n">
        <v>0</v>
      </c>
    </row>
    <row r="197">
      <c r="A197" t="inlineStr">
        <is>
          <t>rye</t>
        </is>
      </c>
      <c r="B197" t="inlineStr">
        <is>
          <t>sold as above 36 quarters.</t>
        </is>
      </c>
      <c r="C197" t="n">
        <v>0</v>
      </c>
      <c r="D197" t="n">
        <v>0</v>
      </c>
      <c r="E197" t="n">
        <v>0</v>
      </c>
      <c r="F197" t="n">
        <v>0</v>
      </c>
      <c r="H197" t="n">
        <v>36</v>
      </c>
      <c r="I197" t="n">
        <v>0</v>
      </c>
      <c r="J197" t="n">
        <v>36</v>
      </c>
      <c r="K197" t="n">
        <v>36</v>
      </c>
      <c r="L197" t="n">
        <v>0</v>
      </c>
      <c r="M197" t="n">
        <v>36</v>
      </c>
      <c r="N197" t="n">
        <v>0</v>
      </c>
    </row>
    <row r="198">
      <c r="A198" t="inlineStr">
        <is>
          <t>rye</t>
        </is>
      </c>
      <c r="B198" t="inlineStr">
        <is>
          <t>and 14 quarters of rye remain in the grange, for which the reeve will answer.</t>
        </is>
      </c>
      <c r="C198" t="n">
        <v>0</v>
      </c>
      <c r="D198" t="n">
        <v>0</v>
      </c>
      <c r="E198" t="n">
        <v>0</v>
      </c>
      <c r="F198" t="n">
        <v>0</v>
      </c>
      <c r="G198" t="inlineStr">
        <is>
          <t>rye</t>
        </is>
      </c>
      <c r="H198" t="n">
        <v>14</v>
      </c>
      <c r="I198" t="n">
        <v>0</v>
      </c>
      <c r="J198" t="n">
        <v>14</v>
      </c>
      <c r="K198" t="n">
        <v>14</v>
      </c>
      <c r="L198" t="n">
        <v>0</v>
      </c>
      <c r="M198" t="n">
        <v>14</v>
      </c>
      <c r="N198" t="n">
        <v>0</v>
      </c>
    </row>
    <row r="199">
      <c r="A199" t="inlineStr">
        <is>
          <t>barley</t>
        </is>
      </c>
      <c r="B199" t="inlineStr">
        <is>
          <t>the same render account for 38 quarters of barley from issue.</t>
        </is>
      </c>
      <c r="C199" t="n">
        <v>0</v>
      </c>
      <c r="D199" t="n">
        <v>0</v>
      </c>
      <c r="E199" t="n">
        <v>0</v>
      </c>
      <c r="F199" t="n">
        <v>0</v>
      </c>
      <c r="G199" t="inlineStr">
        <is>
          <t>barley</t>
        </is>
      </c>
      <c r="H199" t="n">
        <v>38</v>
      </c>
      <c r="I199" t="n">
        <v>0</v>
      </c>
      <c r="J199" t="n">
        <v>38</v>
      </c>
      <c r="K199" t="n">
        <v>38</v>
      </c>
      <c r="L199" t="n">
        <v>0</v>
      </c>
      <c r="M199" t="n">
        <v>38</v>
      </c>
      <c r="N199" t="n">
        <v>0</v>
      </c>
    </row>
    <row r="200">
      <c r="A200" t="inlineStr">
        <is>
          <t>barley</t>
        </is>
      </c>
      <c r="B200" t="inlineStr">
        <is>
          <t>and for 4½ quarters 2 bushels from increment of the same.</t>
        </is>
      </c>
      <c r="C200" t="n">
        <v>0</v>
      </c>
      <c r="D200" t="n">
        <v>0</v>
      </c>
      <c r="E200" t="n">
        <v>0</v>
      </c>
      <c r="F200" t="n">
        <v>0</v>
      </c>
      <c r="H200" t="n">
        <v>0</v>
      </c>
      <c r="I200" t="n">
        <v>2</v>
      </c>
      <c r="J200" t="n">
        <v>0.25</v>
      </c>
      <c r="K200" t="n">
        <v>0.25</v>
      </c>
      <c r="L200" t="n">
        <v>0</v>
      </c>
      <c r="M200" t="n">
        <v>0</v>
      </c>
      <c r="N200" t="n">
        <v>2</v>
      </c>
    </row>
    <row r="201">
      <c r="A201" t="inlineStr">
        <is>
          <t>barley</t>
        </is>
      </c>
      <c r="B201" t="inlineStr">
        <is>
          <t>and for 8 quarters of barley of new grain from issue.</t>
        </is>
      </c>
      <c r="C201" t="n">
        <v>0</v>
      </c>
      <c r="D201" t="n">
        <v>0</v>
      </c>
      <c r="E201" t="n">
        <v>0</v>
      </c>
      <c r="F201" t="n">
        <v>0</v>
      </c>
      <c r="G201" t="inlineStr">
        <is>
          <t>barley</t>
        </is>
      </c>
      <c r="H201" t="n">
        <v>8</v>
      </c>
      <c r="I201" t="n">
        <v>0</v>
      </c>
      <c r="J201" t="n">
        <v>8</v>
      </c>
      <c r="K201" t="n">
        <v>8</v>
      </c>
      <c r="L201" t="n">
        <v>0</v>
      </c>
      <c r="M201" t="n">
        <v>8</v>
      </c>
      <c r="N201" t="n">
        <v>0</v>
      </c>
    </row>
    <row r="202">
      <c r="A202" t="inlineStr">
        <is>
          <t>barley</t>
        </is>
      </c>
      <c r="B202" t="inlineStr">
        <is>
          <t>and for 1 quarter from issue of the same [...] 16½ quarters 3 bushels bought.</t>
        </is>
      </c>
      <c r="C202" t="n">
        <v>0</v>
      </c>
      <c r="D202" t="n">
        <v>0</v>
      </c>
      <c r="E202" t="n">
        <v>0</v>
      </c>
      <c r="F202" t="n">
        <v>0</v>
      </c>
      <c r="H202" t="n">
        <v>0</v>
      </c>
      <c r="I202" t="n">
        <v>3</v>
      </c>
      <c r="J202" t="n">
        <v>0.38</v>
      </c>
      <c r="K202" t="n">
        <v>0.38</v>
      </c>
      <c r="L202" t="n">
        <v>0</v>
      </c>
      <c r="M202" t="n">
        <v>0</v>
      </c>
      <c r="N202" t="n">
        <v>3</v>
      </c>
    </row>
    <row r="203">
      <c r="A203" t="inlineStr">
        <is>
          <t>barley</t>
        </is>
      </c>
      <c r="B203" t="inlineStr">
        <is>
          <t>sum 68 quarters 5 bushels.</t>
        </is>
      </c>
      <c r="C203" t="n">
        <v>0</v>
      </c>
      <c r="D203" t="n">
        <v>0</v>
      </c>
      <c r="E203" t="n">
        <v>0</v>
      </c>
      <c r="F203" t="n">
        <v>0</v>
      </c>
      <c r="H203" t="n">
        <v>68</v>
      </c>
      <c r="I203" t="n">
        <v>5</v>
      </c>
      <c r="J203" t="n">
        <v>68.62</v>
      </c>
      <c r="K203" t="n">
        <v>68.62</v>
      </c>
      <c r="L203" t="n">
        <v>0</v>
      </c>
      <c r="M203" t="n">
        <v>68</v>
      </c>
      <c r="N203" t="n">
        <v>5</v>
      </c>
    </row>
    <row r="204">
      <c r="A204" t="inlineStr">
        <is>
          <t>barley</t>
        </is>
      </c>
      <c r="B204" t="inlineStr">
        <is>
          <t>of which in seed 12½ quarters.</t>
        </is>
      </c>
      <c r="C204" t="n">
        <v>0</v>
      </c>
      <c r="D204" t="n">
        <v>0</v>
      </c>
      <c r="E204" t="n">
        <v>0</v>
      </c>
      <c r="F204" t="n">
        <v>0</v>
      </c>
      <c r="H204" t="n">
        <v>0</v>
      </c>
      <c r="I204" t="n">
        <v>0</v>
      </c>
      <c r="J204" t="n">
        <v>0</v>
      </c>
      <c r="K204" t="n">
        <v>0</v>
      </c>
      <c r="L204" t="n">
        <v>0</v>
      </c>
      <c r="M204" t="n">
        <v>0</v>
      </c>
      <c r="N204" t="n">
        <v>0</v>
      </c>
    </row>
    <row r="205">
      <c r="A205" t="inlineStr">
        <is>
          <t>barley</t>
        </is>
      </c>
      <c r="B205" t="inlineStr">
        <is>
          <t>sold as above 2½ quarters 1 bushel.</t>
        </is>
      </c>
      <c r="C205" t="n">
        <v>0</v>
      </c>
      <c r="D205" t="n">
        <v>0</v>
      </c>
      <c r="E205" t="n">
        <v>0</v>
      </c>
      <c r="F205" t="n">
        <v>0</v>
      </c>
      <c r="H205" t="n">
        <v>0</v>
      </c>
      <c r="I205" t="n">
        <v>0</v>
      </c>
      <c r="J205" t="n">
        <v>0</v>
      </c>
      <c r="K205" t="n">
        <v>0</v>
      </c>
      <c r="L205" t="n">
        <v>0</v>
      </c>
      <c r="M205" t="n">
        <v>0</v>
      </c>
      <c r="N205" t="n">
        <v>0</v>
      </c>
    </row>
    <row r="206">
      <c r="A206" t="inlineStr">
        <is>
          <t>barley</t>
        </is>
      </c>
      <c r="B206" t="inlineStr">
        <is>
          <t>paid to one carter and four ploughmen [...] who took a quarter for eight weeks, 32½ quarters.</t>
        </is>
      </c>
      <c r="C206" t="n">
        <v>0</v>
      </c>
      <c r="D206" t="n">
        <v>0</v>
      </c>
      <c r="E206" t="n">
        <v>0</v>
      </c>
      <c r="F206" t="n">
        <v>0</v>
      </c>
      <c r="H206" t="n">
        <v>0</v>
      </c>
      <c r="I206" t="n">
        <v>0</v>
      </c>
      <c r="J206" t="n">
        <v>0</v>
      </c>
      <c r="K206" t="n">
        <v>0</v>
      </c>
      <c r="L206" t="n">
        <v>0</v>
      </c>
      <c r="M206" t="n">
        <v>0</v>
      </c>
      <c r="N206" t="n">
        <v>0</v>
      </c>
    </row>
    <row r="207">
      <c r="A207" t="inlineStr">
        <is>
          <t>barley</t>
        </is>
      </c>
      <c r="B207" t="inlineStr">
        <is>
          <t>payment of a cowherd, two shepherds for the year, who took a quarter for 10 weeks, 15½ quarters 2 bushels.</t>
        </is>
      </c>
      <c r="C207" t="n">
        <v>0</v>
      </c>
      <c r="D207" t="n">
        <v>0</v>
      </c>
      <c r="E207" t="n">
        <v>0</v>
      </c>
      <c r="F207" t="n">
        <v>0</v>
      </c>
      <c r="H207" t="n">
        <v>0</v>
      </c>
      <c r="I207" t="n">
        <v>2</v>
      </c>
      <c r="J207" t="n">
        <v>0.25</v>
      </c>
      <c r="K207" t="n">
        <v>0.25</v>
      </c>
      <c r="L207" t="n">
        <v>0</v>
      </c>
      <c r="M207" t="n">
        <v>0</v>
      </c>
      <c r="N207" t="n">
        <v>2</v>
      </c>
    </row>
    <row r="208">
      <c r="A208" t="inlineStr">
        <is>
          <t>barley</t>
        </is>
      </c>
      <c r="B208" t="inlineStr">
        <is>
          <t>payment of a dairymiaid for [...] 1 quarter for 12 weeks, 4 quarters 2 bushels.</t>
        </is>
      </c>
      <c r="C208" t="n">
        <v>0</v>
      </c>
      <c r="D208" t="n">
        <v>0</v>
      </c>
      <c r="E208" t="n">
        <v>0</v>
      </c>
      <c r="F208" t="n">
        <v>0</v>
      </c>
      <c r="H208" t="n">
        <v>4</v>
      </c>
      <c r="I208" t="n">
        <v>2</v>
      </c>
      <c r="J208" t="n">
        <v>4.25</v>
      </c>
      <c r="K208" t="n">
        <v>4.25</v>
      </c>
      <c r="L208" t="n">
        <v>0</v>
      </c>
      <c r="M208" t="n">
        <v>4</v>
      </c>
      <c r="N208" t="n">
        <v>2</v>
      </c>
    </row>
    <row r="209">
      <c r="A209" t="inlineStr">
        <is>
          <t>barley</t>
        </is>
      </c>
      <c r="B209" t="inlineStr">
        <is>
          <t>payment of one boy who guarded animals not used for draught from the feast of st john [24 june] until the feast of st michael 1 quarter.</t>
        </is>
      </c>
      <c r="C209" t="n">
        <v>0</v>
      </c>
      <c r="D209" t="n">
        <v>0</v>
      </c>
      <c r="E209" t="n">
        <v>0</v>
      </c>
      <c r="F209" t="n">
        <v>0</v>
      </c>
      <c r="H209" t="n">
        <v>0</v>
      </c>
      <c r="I209" t="n">
        <v>0</v>
      </c>
      <c r="J209" t="n">
        <v>0</v>
      </c>
      <c r="K209" t="n">
        <v>0</v>
      </c>
      <c r="L209" t="n">
        <v>0</v>
      </c>
      <c r="M209" t="n">
        <v>0</v>
      </c>
      <c r="N209" t="n">
        <v>0</v>
      </c>
    </row>
    <row r="210">
      <c r="A210" t="inlineStr">
        <is>
          <t>barley</t>
        </is>
      </c>
      <c r="B210" t="inlineStr">
        <is>
          <t>sum 68 quarters 5 bushels.</t>
        </is>
      </c>
      <c r="C210" t="n">
        <v>0</v>
      </c>
      <c r="D210" t="n">
        <v>0</v>
      </c>
      <c r="E210" t="n">
        <v>0</v>
      </c>
      <c r="F210" t="n">
        <v>0</v>
      </c>
      <c r="H210" t="n">
        <v>68</v>
      </c>
      <c r="I210" t="n">
        <v>5</v>
      </c>
      <c r="J210" t="n">
        <v>68.62</v>
      </c>
      <c r="K210" t="n">
        <v>68.62</v>
      </c>
      <c r="L210" t="n">
        <v>0</v>
      </c>
      <c r="M210" t="n">
        <v>68</v>
      </c>
      <c r="N210" t="n">
        <v>5</v>
      </c>
    </row>
    <row r="211">
      <c r="A211" t="inlineStr">
        <is>
          <t>oats</t>
        </is>
      </c>
      <c r="B211" t="inlineStr">
        <is>
          <t>the same render account for 68 quarters 2 bushels of oats from issue of the grange.</t>
        </is>
      </c>
      <c r="C211" t="n">
        <v>0</v>
      </c>
      <c r="D211" t="n">
        <v>0</v>
      </c>
      <c r="E211" t="n">
        <v>0</v>
      </c>
      <c r="F211" t="n">
        <v>0</v>
      </c>
      <c r="G211" t="inlineStr">
        <is>
          <t>oats</t>
        </is>
      </c>
      <c r="H211" t="n">
        <v>68</v>
      </c>
      <c r="I211" t="n">
        <v>2</v>
      </c>
      <c r="J211" t="n">
        <v>68.25</v>
      </c>
      <c r="K211" t="n">
        <v>68.25</v>
      </c>
      <c r="L211" t="n">
        <v>0</v>
      </c>
      <c r="M211" t="n">
        <v>68</v>
      </c>
      <c r="N211" t="n">
        <v>2</v>
      </c>
    </row>
    <row r="212">
      <c r="A212" t="inlineStr">
        <is>
          <t>oats</t>
        </is>
      </c>
      <c r="B212" t="inlineStr">
        <is>
          <t>and for 9½ quarters from increment of the same.</t>
        </is>
      </c>
      <c r="C212" t="n">
        <v>0</v>
      </c>
      <c r="D212" t="n">
        <v>0</v>
      </c>
      <c r="E212" t="n">
        <v>0</v>
      </c>
      <c r="F212" t="n">
        <v>0</v>
      </c>
      <c r="H212" t="n">
        <v>0</v>
      </c>
      <c r="I212" t="n">
        <v>0</v>
      </c>
      <c r="J212" t="n">
        <v>0</v>
      </c>
      <c r="K212" t="n">
        <v>0</v>
      </c>
      <c r="L212" t="n">
        <v>0</v>
      </c>
      <c r="M212" t="n">
        <v>0</v>
      </c>
      <c r="N212" t="n">
        <v>0</v>
      </c>
    </row>
    <row r="213">
      <c r="A213" t="inlineStr">
        <is>
          <t>oats</t>
        </is>
      </c>
      <c r="B213" t="inlineStr">
        <is>
          <t>sum 77½ quarters 2 bushels.</t>
        </is>
      </c>
      <c r="C213" t="n">
        <v>0</v>
      </c>
      <c r="D213" t="n">
        <v>0</v>
      </c>
      <c r="E213" t="n">
        <v>0</v>
      </c>
      <c r="F213" t="n">
        <v>0</v>
      </c>
      <c r="H213" t="n">
        <v>0</v>
      </c>
      <c r="I213" t="n">
        <v>2</v>
      </c>
      <c r="J213" t="n">
        <v>0.25</v>
      </c>
      <c r="K213" t="n">
        <v>0.25</v>
      </c>
      <c r="L213" t="n">
        <v>0</v>
      </c>
      <c r="M213" t="n">
        <v>0</v>
      </c>
      <c r="N213" t="n">
        <v>2</v>
      </c>
    </row>
    <row r="214">
      <c r="A214" t="inlineStr">
        <is>
          <t>oats</t>
        </is>
      </c>
      <c r="B214" t="inlineStr">
        <is>
          <t>of which in seed [...] 40 quarters 6 bushels.</t>
        </is>
      </c>
      <c r="C214" t="n">
        <v>0</v>
      </c>
      <c r="D214" t="n">
        <v>0</v>
      </c>
      <c r="E214" t="n">
        <v>0</v>
      </c>
      <c r="F214" t="n">
        <v>0</v>
      </c>
      <c r="H214" t="n">
        <v>40</v>
      </c>
      <c r="I214" t="n">
        <v>6</v>
      </c>
      <c r="J214" t="n">
        <v>40.75</v>
      </c>
      <c r="K214" t="n">
        <v>40.75</v>
      </c>
      <c r="L214" t="n">
        <v>0</v>
      </c>
      <c r="M214" t="n">
        <v>40</v>
      </c>
      <c r="N214" t="n">
        <v>6</v>
      </c>
    </row>
    <row r="215">
      <c r="A215" t="inlineStr">
        <is>
          <t>oats</t>
        </is>
      </c>
      <c r="B215" t="inlineStr">
        <is>
          <t>sold as above 14 quarters.</t>
        </is>
      </c>
      <c r="C215" t="n">
        <v>0</v>
      </c>
      <c r="D215" t="n">
        <v>0</v>
      </c>
      <c r="E215" t="n">
        <v>0</v>
      </c>
      <c r="F215" t="n">
        <v>0</v>
      </c>
      <c r="H215" t="n">
        <v>14</v>
      </c>
      <c r="I215" t="n">
        <v>0</v>
      </c>
      <c r="J215" t="n">
        <v>14</v>
      </c>
      <c r="K215" t="n">
        <v>14</v>
      </c>
      <c r="L215" t="n">
        <v>0</v>
      </c>
      <c r="M215" t="n">
        <v>14</v>
      </c>
      <c r="N215" t="n">
        <v>0</v>
      </c>
    </row>
    <row r="216">
      <c r="A216" t="inlineStr">
        <is>
          <t>oats</t>
        </is>
      </c>
      <c r="B216" t="inlineStr">
        <is>
          <t>flour for pottage for the famuli 2 quarters.</t>
        </is>
      </c>
      <c r="C216" t="n">
        <v>0</v>
      </c>
      <c r="D216" t="n">
        <v>0</v>
      </c>
      <c r="E216" t="n">
        <v>0</v>
      </c>
      <c r="F216" t="n">
        <v>0</v>
      </c>
      <c r="H216" t="n">
        <v>2</v>
      </c>
      <c r="I216" t="n">
        <v>0</v>
      </c>
      <c r="J216" t="n">
        <v>2</v>
      </c>
      <c r="K216" t="n">
        <v>2</v>
      </c>
      <c r="L216" t="n">
        <v>0</v>
      </c>
      <c r="M216" t="n">
        <v>2</v>
      </c>
      <c r="N216" t="n">
        <v>0</v>
      </c>
    </row>
    <row r="217">
      <c r="A217" t="inlineStr">
        <is>
          <t>oats</t>
        </is>
      </c>
      <c r="B217" t="inlineStr">
        <is>
          <t>fodder for the cart horse for the year 13 quarters, namely two basins per night, six basins making a bushel.</t>
        </is>
      </c>
      <c r="C217" t="n">
        <v>0</v>
      </c>
      <c r="D217" t="n">
        <v>0</v>
      </c>
      <c r="E217" t="n">
        <v>0</v>
      </c>
      <c r="F217" t="n">
        <v>0</v>
      </c>
      <c r="H217" t="n">
        <v>13</v>
      </c>
      <c r="I217" t="n">
        <v>0</v>
      </c>
      <c r="J217" t="n">
        <v>13</v>
      </c>
      <c r="K217" t="n">
        <v>13</v>
      </c>
      <c r="L217" t="n">
        <v>0</v>
      </c>
      <c r="M217" t="n">
        <v>13</v>
      </c>
      <c r="N217" t="n">
        <v>0</v>
      </c>
      <c r="AE217" t="n">
        <v>0</v>
      </c>
      <c r="AF217" t="n">
        <v>0</v>
      </c>
    </row>
    <row r="218">
      <c r="A218" t="inlineStr">
        <is>
          <t>oats</t>
        </is>
      </c>
      <c r="B218" t="inlineStr">
        <is>
          <t>fodder for 4 affers while they were sowing oats and barley 4½ quarters.</t>
        </is>
      </c>
      <c r="C218" t="n">
        <v>0</v>
      </c>
      <c r="D218" t="n">
        <v>0</v>
      </c>
      <c r="E218" t="n">
        <v>0</v>
      </c>
      <c r="F218" t="n">
        <v>0</v>
      </c>
      <c r="G218" t="inlineStr">
        <is>
          <t>barley, oats</t>
        </is>
      </c>
      <c r="H218" t="n">
        <v>0</v>
      </c>
      <c r="I218" t="n">
        <v>0</v>
      </c>
      <c r="J218" t="n">
        <v>0</v>
      </c>
      <c r="K218" t="n">
        <v>0</v>
      </c>
      <c r="L218" t="n">
        <v>0</v>
      </c>
      <c r="M218" t="n">
        <v>0</v>
      </c>
      <c r="N218" t="n">
        <v>0</v>
      </c>
    </row>
    <row r="219">
      <c r="A219" t="inlineStr">
        <is>
          <t>oats</t>
        </is>
      </c>
      <c r="B219" t="inlineStr">
        <is>
          <t>sown between the roots of the saplings in the new garden 3 bushels.</t>
        </is>
      </c>
      <c r="C219" t="n">
        <v>0</v>
      </c>
      <c r="D219" t="n">
        <v>0</v>
      </c>
      <c r="E219" t="n">
        <v>0</v>
      </c>
      <c r="F219" t="n">
        <v>0</v>
      </c>
      <c r="H219" t="n">
        <v>0</v>
      </c>
      <c r="I219" t="n">
        <v>3</v>
      </c>
      <c r="J219" t="n">
        <v>0.38</v>
      </c>
      <c r="K219" t="n">
        <v>0.38</v>
      </c>
      <c r="L219" t="n">
        <v>0</v>
      </c>
      <c r="M219" t="n">
        <v>0</v>
      </c>
      <c r="N219" t="n">
        <v>3</v>
      </c>
    </row>
    <row r="220">
      <c r="A220" t="inlineStr">
        <is>
          <t>oats</t>
        </is>
      </c>
      <c r="B220" t="inlineStr">
        <is>
          <t>fattening geese 1 quarter.</t>
        </is>
      </c>
      <c r="C220" t="n">
        <v>0</v>
      </c>
      <c r="D220" t="n">
        <v>0</v>
      </c>
      <c r="E220" t="n">
        <v>0</v>
      </c>
      <c r="F220" t="n">
        <v>0</v>
      </c>
      <c r="H220" t="n">
        <v>0</v>
      </c>
      <c r="I220" t="n">
        <v>0</v>
      </c>
      <c r="J220" t="n">
        <v>0</v>
      </c>
      <c r="K220" t="n">
        <v>0</v>
      </c>
      <c r="L220" t="n">
        <v>0</v>
      </c>
      <c r="M220" t="n">
        <v>0</v>
      </c>
      <c r="N220" t="n">
        <v>0</v>
      </c>
    </row>
    <row r="221">
      <c r="A221" t="inlineStr">
        <is>
          <t>oats</t>
        </is>
      </c>
      <c r="B221" t="inlineStr">
        <is>
          <t>fodder for elias de cumb on two visits 10 bushels.</t>
        </is>
      </c>
      <c r="C221" t="n">
        <v>0</v>
      </c>
      <c r="D221" t="n">
        <v>0</v>
      </c>
      <c r="E221" t="n">
        <v>0</v>
      </c>
      <c r="F221" t="n">
        <v>0</v>
      </c>
      <c r="H221" t="n">
        <v>0</v>
      </c>
      <c r="I221" t="n">
        <v>10</v>
      </c>
      <c r="J221" t="n">
        <v>1.25</v>
      </c>
      <c r="K221" t="n">
        <v>1.25</v>
      </c>
      <c r="L221" t="n">
        <v>0</v>
      </c>
      <c r="M221" t="n">
        <v>0</v>
      </c>
      <c r="N221" t="n">
        <v>10</v>
      </c>
    </row>
    <row r="222">
      <c r="A222" t="inlineStr">
        <is>
          <t>oats</t>
        </is>
      </c>
      <c r="B222" t="inlineStr">
        <is>
          <t>fodder of john de brettveill on the wednesday of christmas week 2 bushels.</t>
        </is>
      </c>
      <c r="C222" t="n">
        <v>0</v>
      </c>
      <c r="D222" t="n">
        <v>0</v>
      </c>
      <c r="E222" t="n">
        <v>0</v>
      </c>
      <c r="F222" t="n">
        <v>0</v>
      </c>
      <c r="H222" t="n">
        <v>0</v>
      </c>
      <c r="I222" t="n">
        <v>2</v>
      </c>
      <c r="J222" t="n">
        <v>0.25</v>
      </c>
      <c r="K222" t="n">
        <v>0.25</v>
      </c>
      <c r="L222" t="n">
        <v>0</v>
      </c>
      <c r="M222" t="n">
        <v>0</v>
      </c>
      <c r="N222" t="n">
        <v>2</v>
      </c>
    </row>
    <row r="223">
      <c r="A223" t="inlineStr">
        <is>
          <t>oats</t>
        </is>
      </c>
      <c r="B223" t="inlineStr">
        <is>
          <t>fodder of reginald, clerk of the lord, before epiphany [6 january] 2 bushels.</t>
        </is>
      </c>
      <c r="C223" t="n">
        <v>0</v>
      </c>
      <c r="D223" t="n">
        <v>0</v>
      </c>
      <c r="E223" t="n">
        <v>0</v>
      </c>
      <c r="F223" t="n">
        <v>0</v>
      </c>
      <c r="H223" t="n">
        <v>0</v>
      </c>
      <c r="I223" t="n">
        <v>2</v>
      </c>
      <c r="J223" t="n">
        <v>0.25</v>
      </c>
      <c r="K223" t="n">
        <v>0.25</v>
      </c>
      <c r="L223" t="n">
        <v>0</v>
      </c>
      <c r="M223" t="n">
        <v>0</v>
      </c>
      <c r="N223" t="n">
        <v>2</v>
      </c>
    </row>
    <row r="224">
      <c r="A224" t="inlineStr">
        <is>
          <t>oats</t>
        </is>
      </c>
      <c r="B224" t="inlineStr">
        <is>
          <t>fodder of william the clerk on one visit 1 bushel.</t>
        </is>
      </c>
      <c r="C224" t="n">
        <v>0</v>
      </c>
      <c r="D224" t="n">
        <v>0</v>
      </c>
      <c r="E224" t="n">
        <v>0</v>
      </c>
      <c r="F224" t="n">
        <v>0</v>
      </c>
      <c r="H224" t="n">
        <v>0</v>
      </c>
      <c r="I224" t="n">
        <v>0</v>
      </c>
      <c r="J224" t="n">
        <v>0</v>
      </c>
      <c r="K224" t="n">
        <v>0</v>
      </c>
      <c r="L224" t="n">
        <v>0</v>
      </c>
      <c r="M224" t="n">
        <v>0</v>
      </c>
      <c r="N224" t="n">
        <v>0</v>
      </c>
    </row>
    <row r="225">
      <c r="A225" t="inlineStr">
        <is>
          <t>oats</t>
        </is>
      </c>
      <c r="B225" t="inlineStr">
        <is>
          <t>fodder of philip, steward, for his one visit 2 bushels.</t>
        </is>
      </c>
      <c r="C225" t="n">
        <v>0</v>
      </c>
      <c r="D225" t="n">
        <v>0</v>
      </c>
      <c r="E225" t="n">
        <v>0</v>
      </c>
      <c r="F225" t="n">
        <v>0</v>
      </c>
      <c r="H225" t="n">
        <v>0</v>
      </c>
      <c r="I225" t="n">
        <v>2</v>
      </c>
      <c r="J225" t="n">
        <v>0.25</v>
      </c>
      <c r="K225" t="n">
        <v>0.25</v>
      </c>
      <c r="L225" t="n">
        <v>0</v>
      </c>
      <c r="M225" t="n">
        <v>0</v>
      </c>
      <c r="N225" t="n">
        <v>2</v>
      </c>
    </row>
    <row r="226">
      <c r="A226" t="inlineStr">
        <is>
          <t>oats</t>
        </is>
      </c>
      <c r="B226" t="inlineStr">
        <is>
          <t>sum 77½ quarters 2 bushels.</t>
        </is>
      </c>
      <c r="C226" t="n">
        <v>0</v>
      </c>
      <c r="D226" t="n">
        <v>0</v>
      </c>
      <c r="E226" t="n">
        <v>0</v>
      </c>
      <c r="F226" t="n">
        <v>0</v>
      </c>
      <c r="H226" t="n">
        <v>0</v>
      </c>
      <c r="I226" t="n">
        <v>2</v>
      </c>
      <c r="J226" t="n">
        <v>0.25</v>
      </c>
      <c r="K226" t="n">
        <v>0.25</v>
      </c>
      <c r="L226" t="n">
        <v>0</v>
      </c>
      <c r="M226" t="n">
        <v>0</v>
      </c>
      <c r="N226" t="n">
        <v>2</v>
      </c>
    </row>
    <row r="227">
      <c r="A227" t="inlineStr">
        <is>
          <t>beans</t>
        </is>
      </c>
      <c r="B227" t="inlineStr">
        <is>
          <t>the same render account for 3 quarters 1 bushel of beans from issue of the grange.</t>
        </is>
      </c>
      <c r="C227" t="n">
        <v>0</v>
      </c>
      <c r="D227" t="n">
        <v>0</v>
      </c>
      <c r="E227" t="n">
        <v>0</v>
      </c>
      <c r="F227" t="n">
        <v>0</v>
      </c>
      <c r="G227" t="inlineStr">
        <is>
          <t>beans</t>
        </is>
      </c>
      <c r="H227" t="n">
        <v>3</v>
      </c>
      <c r="I227" t="n">
        <v>0</v>
      </c>
      <c r="J227" t="n">
        <v>3</v>
      </c>
      <c r="K227" t="n">
        <v>3</v>
      </c>
      <c r="L227" t="n">
        <v>0</v>
      </c>
      <c r="M227" t="n">
        <v>3</v>
      </c>
      <c r="N227" t="n">
        <v>0</v>
      </c>
    </row>
    <row r="228">
      <c r="A228" t="inlineStr">
        <is>
          <t>beans</t>
        </is>
      </c>
      <c r="B228" t="inlineStr">
        <is>
          <t>and for 3 bushels from increment of the same.</t>
        </is>
      </c>
      <c r="C228" t="n">
        <v>0</v>
      </c>
      <c r="D228" t="n">
        <v>0</v>
      </c>
      <c r="E228" t="n">
        <v>0</v>
      </c>
      <c r="F228" t="n">
        <v>0</v>
      </c>
      <c r="H228" t="n">
        <v>0</v>
      </c>
      <c r="I228" t="n">
        <v>3</v>
      </c>
      <c r="J228" t="n">
        <v>0.38</v>
      </c>
      <c r="K228" t="n">
        <v>0.38</v>
      </c>
      <c r="L228" t="n">
        <v>0</v>
      </c>
      <c r="M228" t="n">
        <v>0</v>
      </c>
      <c r="N228" t="n">
        <v>3</v>
      </c>
    </row>
    <row r="229">
      <c r="A229" t="inlineStr">
        <is>
          <t>beans</t>
        </is>
      </c>
      <c r="B229" t="inlineStr">
        <is>
          <t>sum 3½ quarters.</t>
        </is>
      </c>
      <c r="C229" t="n">
        <v>0</v>
      </c>
      <c r="D229" t="n">
        <v>0</v>
      </c>
      <c r="E229" t="n">
        <v>0</v>
      </c>
      <c r="F229" t="n">
        <v>0</v>
      </c>
      <c r="H229" t="n">
        <v>0</v>
      </c>
      <c r="I229" t="n">
        <v>0</v>
      </c>
      <c r="J229" t="n">
        <v>0</v>
      </c>
      <c r="K229" t="n">
        <v>0</v>
      </c>
      <c r="L229" t="n">
        <v>0</v>
      </c>
      <c r="M229" t="n">
        <v>0</v>
      </c>
      <c r="N229" t="n">
        <v>0</v>
      </c>
    </row>
    <row r="230">
      <c r="A230" t="inlineStr">
        <is>
          <t>beans</t>
        </is>
      </c>
      <c r="B230" t="inlineStr">
        <is>
          <t>of which in seed and for planting 6 bushels.</t>
        </is>
      </c>
      <c r="C230" t="n">
        <v>0</v>
      </c>
      <c r="D230" t="n">
        <v>0</v>
      </c>
      <c r="E230" t="n">
        <v>0</v>
      </c>
      <c r="F230" t="n">
        <v>0</v>
      </c>
      <c r="H230" t="n">
        <v>0</v>
      </c>
      <c r="I230" t="n">
        <v>6</v>
      </c>
      <c r="J230" t="n">
        <v>0.75</v>
      </c>
      <c r="K230" t="n">
        <v>0.75</v>
      </c>
      <c r="L230" t="n">
        <v>0</v>
      </c>
      <c r="M230" t="n">
        <v>0</v>
      </c>
      <c r="N230" t="n">
        <v>6</v>
      </c>
    </row>
    <row r="231">
      <c r="A231" t="inlineStr">
        <is>
          <t>beans</t>
        </is>
      </c>
      <c r="B231" t="inlineStr">
        <is>
          <t>sold as above 2½ quarters 2 bushels.</t>
        </is>
      </c>
      <c r="C231" t="n">
        <v>0</v>
      </c>
      <c r="D231" t="n">
        <v>0</v>
      </c>
      <c r="E231" t="n">
        <v>0</v>
      </c>
      <c r="F231" t="n">
        <v>0</v>
      </c>
      <c r="H231" t="n">
        <v>0</v>
      </c>
      <c r="I231" t="n">
        <v>2</v>
      </c>
      <c r="J231" t="n">
        <v>0.25</v>
      </c>
      <c r="K231" t="n">
        <v>0.25</v>
      </c>
      <c r="L231" t="n">
        <v>0</v>
      </c>
      <c r="M231" t="n">
        <v>0</v>
      </c>
      <c r="N231" t="n">
        <v>2</v>
      </c>
    </row>
    <row r="232">
      <c r="A232" t="inlineStr">
        <is>
          <t>beans</t>
        </is>
      </c>
      <c r="B232" t="inlineStr">
        <is>
          <t>sum 3½ quarters.</t>
        </is>
      </c>
      <c r="C232" t="n">
        <v>0</v>
      </c>
      <c r="D232" t="n">
        <v>0</v>
      </c>
      <c r="E232" t="n">
        <v>0</v>
      </c>
      <c r="F232" t="n">
        <v>0</v>
      </c>
      <c r="H232" t="n">
        <v>0</v>
      </c>
      <c r="I232" t="n">
        <v>0</v>
      </c>
      <c r="J232" t="n">
        <v>0</v>
      </c>
      <c r="K232" t="n">
        <v>0</v>
      </c>
      <c r="L232" t="n">
        <v>0</v>
      </c>
      <c r="M232" t="n">
        <v>0</v>
      </c>
      <c r="N232" t="n">
        <v>0</v>
      </c>
    </row>
    <row r="233">
      <c r="A233" t="inlineStr">
        <is>
          <t>beans</t>
        </is>
      </c>
      <c r="B233" t="inlineStr">
        <is>
          <t>--- page 7 ---.</t>
        </is>
      </c>
      <c r="C233" t="n">
        <v>0</v>
      </c>
      <c r="D233" t="n">
        <v>0</v>
      </c>
      <c r="E233" t="n">
        <v>0</v>
      </c>
      <c r="F233" t="n">
        <v>0</v>
      </c>
      <c r="H233" t="n">
        <v>0</v>
      </c>
      <c r="I233" t="n">
        <v>0</v>
      </c>
      <c r="J233" t="n">
        <v>0</v>
      </c>
      <c r="K233" t="n">
        <v>0</v>
      </c>
      <c r="L233" t="n">
        <v>0</v>
      </c>
      <c r="M233" t="n">
        <v>0</v>
      </c>
      <c r="N233" t="n">
        <v>0</v>
      </c>
    </row>
    <row r="234">
      <c r="A234" t="inlineStr">
        <is>
          <t>peas</t>
        </is>
      </c>
      <c r="B234" t="inlineStr">
        <is>
          <t>the same render account for 1 ½ quarters 1 bushel of peas from issue of the grange.</t>
        </is>
      </c>
      <c r="C234" t="n">
        <v>0</v>
      </c>
      <c r="D234" t="n">
        <v>0</v>
      </c>
      <c r="E234" t="n">
        <v>0</v>
      </c>
      <c r="F234" t="n">
        <v>0</v>
      </c>
      <c r="G234" t="inlineStr">
        <is>
          <t>peas</t>
        </is>
      </c>
      <c r="H234" t="n">
        <v>0</v>
      </c>
      <c r="I234" t="n">
        <v>0</v>
      </c>
      <c r="J234" t="n">
        <v>0</v>
      </c>
      <c r="K234" t="n">
        <v>0</v>
      </c>
      <c r="L234" t="n">
        <v>0</v>
      </c>
      <c r="M234" t="n">
        <v>0</v>
      </c>
      <c r="N234" t="n">
        <v>0</v>
      </c>
    </row>
    <row r="235">
      <c r="A235" t="inlineStr">
        <is>
          <t>peas</t>
        </is>
      </c>
      <c r="B235" t="inlineStr">
        <is>
          <t>and for 1 bushel from increment of the same.</t>
        </is>
      </c>
      <c r="C235" t="n">
        <v>0</v>
      </c>
      <c r="D235" t="n">
        <v>0</v>
      </c>
      <c r="E235" t="n">
        <v>0</v>
      </c>
      <c r="F235" t="n">
        <v>0</v>
      </c>
      <c r="H235" t="n">
        <v>0</v>
      </c>
      <c r="I235" t="n">
        <v>0</v>
      </c>
      <c r="J235" t="n">
        <v>0</v>
      </c>
      <c r="K235" t="n">
        <v>0</v>
      </c>
      <c r="L235" t="n">
        <v>0</v>
      </c>
      <c r="M235" t="n">
        <v>0</v>
      </c>
      <c r="N235" t="n">
        <v>0</v>
      </c>
    </row>
    <row r="236">
      <c r="A236" t="inlineStr">
        <is>
          <t>peas</t>
        </is>
      </c>
      <c r="B236" t="inlineStr">
        <is>
          <t>sum 1 ½ quarters 2 bushels.</t>
        </is>
      </c>
      <c r="C236" t="n">
        <v>0</v>
      </c>
      <c r="D236" t="n">
        <v>0</v>
      </c>
      <c r="E236" t="n">
        <v>0</v>
      </c>
      <c r="F236" t="n">
        <v>0</v>
      </c>
      <c r="H236" t="n">
        <v>0</v>
      </c>
      <c r="I236" t="n">
        <v>2</v>
      </c>
      <c r="J236" t="n">
        <v>0.25</v>
      </c>
      <c r="K236" t="n">
        <v>0.25</v>
      </c>
      <c r="L236" t="n">
        <v>0</v>
      </c>
      <c r="M236" t="n">
        <v>0</v>
      </c>
      <c r="N236" t="n">
        <v>2</v>
      </c>
    </row>
    <row r="237">
      <c r="A237" t="inlineStr">
        <is>
          <t>peas</t>
        </is>
      </c>
      <c r="B237" t="inlineStr">
        <is>
          <t>of which in seed 3 bushels.</t>
        </is>
      </c>
      <c r="C237" t="n">
        <v>0</v>
      </c>
      <c r="D237" t="n">
        <v>0</v>
      </c>
      <c r="E237" t="n">
        <v>0</v>
      </c>
      <c r="F237" t="n">
        <v>0</v>
      </c>
      <c r="H237" t="n">
        <v>0</v>
      </c>
      <c r="I237" t="n">
        <v>3</v>
      </c>
      <c r="J237" t="n">
        <v>0.38</v>
      </c>
      <c r="K237" t="n">
        <v>0.38</v>
      </c>
      <c r="L237" t="n">
        <v>0</v>
      </c>
      <c r="M237" t="n">
        <v>0</v>
      </c>
      <c r="N237" t="n">
        <v>3</v>
      </c>
    </row>
    <row r="238">
      <c r="A238" t="inlineStr">
        <is>
          <t>peas</t>
        </is>
      </c>
      <c r="B238" t="inlineStr">
        <is>
          <t>sold as above 1 quarter 2 bushels.</t>
        </is>
      </c>
      <c r="C238" t="n">
        <v>0</v>
      </c>
      <c r="D238" t="n">
        <v>0</v>
      </c>
      <c r="E238" t="n">
        <v>0</v>
      </c>
      <c r="F238" t="n">
        <v>0</v>
      </c>
      <c r="H238" t="n">
        <v>0</v>
      </c>
      <c r="I238" t="n">
        <v>2</v>
      </c>
      <c r="J238" t="n">
        <v>0.25</v>
      </c>
      <c r="K238" t="n">
        <v>0.25</v>
      </c>
      <c r="L238" t="n">
        <v>0</v>
      </c>
      <c r="M238" t="n">
        <v>0</v>
      </c>
      <c r="N238" t="n">
        <v>2</v>
      </c>
    </row>
    <row r="239">
      <c r="A239" t="inlineStr">
        <is>
          <t>peas</t>
        </is>
      </c>
      <c r="B239" t="inlineStr">
        <is>
          <t>pottage for the serjeant 1 bushel.</t>
        </is>
      </c>
      <c r="C239" t="n">
        <v>0</v>
      </c>
      <c r="D239" t="n">
        <v>0</v>
      </c>
      <c r="E239" t="n">
        <v>0</v>
      </c>
      <c r="F239" t="n">
        <v>0</v>
      </c>
      <c r="H239" t="n">
        <v>0</v>
      </c>
      <c r="I239" t="n">
        <v>0</v>
      </c>
      <c r="J239" t="n">
        <v>0</v>
      </c>
      <c r="K239" t="n">
        <v>0</v>
      </c>
      <c r="L239" t="n">
        <v>0</v>
      </c>
      <c r="M239" t="n">
        <v>0</v>
      </c>
      <c r="N239" t="n">
        <v>0</v>
      </c>
    </row>
    <row r="240">
      <c r="A240" t="inlineStr">
        <is>
          <t>peas</t>
        </is>
      </c>
      <c r="B240" t="inlineStr">
        <is>
          <t>sum 1 ½ quarters 2 bushels.</t>
        </is>
      </c>
      <c r="C240" t="n">
        <v>0</v>
      </c>
      <c r="D240" t="n">
        <v>0</v>
      </c>
      <c r="E240" t="n">
        <v>0</v>
      </c>
      <c r="F240" t="n">
        <v>0</v>
      </c>
      <c r="H240" t="n">
        <v>0</v>
      </c>
      <c r="I240" t="n">
        <v>2</v>
      </c>
      <c r="J240" t="n">
        <v>0.25</v>
      </c>
      <c r="K240" t="n">
        <v>0.25</v>
      </c>
      <c r="L240" t="n">
        <v>0</v>
      </c>
      <c r="M240" t="n">
        <v>0</v>
      </c>
      <c r="N240" t="n">
        <v>2</v>
      </c>
    </row>
    <row r="241">
      <c r="A241" t="inlineStr">
        <is>
          <t>horses</t>
        </is>
      </c>
      <c r="B241" t="inlineStr">
        <is>
          <t>the same render account for 1 cart horse and 4 affers that remained from the past year.</t>
        </is>
      </c>
      <c r="C241" t="n">
        <v>0</v>
      </c>
      <c r="D241" t="n">
        <v>0</v>
      </c>
      <c r="E241" t="n">
        <v>0</v>
      </c>
      <c r="F241" t="n">
        <v>0</v>
      </c>
      <c r="H241" t="n">
        <v>0</v>
      </c>
      <c r="I241" t="n">
        <v>0</v>
      </c>
      <c r="J241" t="n">
        <v>0</v>
      </c>
      <c r="K241" t="n">
        <v>0</v>
      </c>
      <c r="L241" t="n">
        <v>0</v>
      </c>
      <c r="M241" t="n">
        <v>0</v>
      </c>
      <c r="N241" t="n">
        <v>0</v>
      </c>
    </row>
    <row r="242">
      <c r="A242" t="inlineStr">
        <is>
          <t>horses</t>
        </is>
      </c>
      <c r="B242" t="inlineStr">
        <is>
          <t>and they remain.</t>
        </is>
      </c>
      <c r="C242" t="n">
        <v>0</v>
      </c>
      <c r="D242" t="n">
        <v>0</v>
      </c>
      <c r="E242" t="n">
        <v>0</v>
      </c>
      <c r="F242" t="n">
        <v>0</v>
      </c>
      <c r="H242" t="n">
        <v>0</v>
      </c>
      <c r="I242" t="n">
        <v>0</v>
      </c>
      <c r="J242" t="n">
        <v>0</v>
      </c>
      <c r="K242" t="n">
        <v>0</v>
      </c>
      <c r="L242" t="n">
        <v>0</v>
      </c>
      <c r="M242" t="n">
        <v>0</v>
      </c>
      <c r="N242" t="n">
        <v>0</v>
      </c>
    </row>
    <row r="243">
      <c r="A243" t="inlineStr">
        <is>
          <t>foals</t>
        </is>
      </c>
      <c r="B243" t="inlineStr">
        <is>
          <t>the same render account for 2 foals that remained from the past year.</t>
        </is>
      </c>
      <c r="C243" t="n">
        <v>0</v>
      </c>
      <c r="D243" t="n">
        <v>0</v>
      </c>
      <c r="E243" t="n">
        <v>0</v>
      </c>
      <c r="F243" t="n">
        <v>0</v>
      </c>
      <c r="H243" t="n">
        <v>0</v>
      </c>
      <c r="I243" t="n">
        <v>0</v>
      </c>
      <c r="J243" t="n">
        <v>0</v>
      </c>
      <c r="K243" t="n">
        <v>0</v>
      </c>
      <c r="L243" t="n">
        <v>0</v>
      </c>
      <c r="M243" t="n">
        <v>0</v>
      </c>
      <c r="N243" t="n">
        <v>0</v>
      </c>
    </row>
    <row r="244">
      <c r="A244" t="inlineStr">
        <is>
          <t>foals</t>
        </is>
      </c>
      <c r="B244" t="inlineStr">
        <is>
          <t>and they remain, and they are now two years old and are female.</t>
        </is>
      </c>
      <c r="C244" t="n">
        <v>0</v>
      </c>
      <c r="D244" t="n">
        <v>0</v>
      </c>
      <c r="E244" t="n">
        <v>0</v>
      </c>
      <c r="F244" t="n">
        <v>0</v>
      </c>
      <c r="H244" t="n">
        <v>0</v>
      </c>
      <c r="I244" t="n">
        <v>0</v>
      </c>
      <c r="J244" t="n">
        <v>0</v>
      </c>
      <c r="K244" t="n">
        <v>0</v>
      </c>
      <c r="L244" t="n">
        <v>0</v>
      </c>
      <c r="M244" t="n">
        <v>0</v>
      </c>
      <c r="N244" t="n">
        <v>0</v>
      </c>
    </row>
    <row r="245">
      <c r="A245" t="inlineStr">
        <is>
          <t>oxen</t>
        </is>
      </c>
      <c r="B245" t="inlineStr">
        <is>
          <t>the same render account for 13 oxen that remained from the past year and for 2 that matured.</t>
        </is>
      </c>
      <c r="C245" t="n">
        <v>0</v>
      </c>
      <c r="D245" t="n">
        <v>0</v>
      </c>
      <c r="E245" t="n">
        <v>0</v>
      </c>
      <c r="F245" t="n">
        <v>0</v>
      </c>
      <c r="H245" t="n">
        <v>0</v>
      </c>
      <c r="I245" t="n">
        <v>0</v>
      </c>
      <c r="J245" t="n">
        <v>0</v>
      </c>
      <c r="K245" t="n">
        <v>0</v>
      </c>
      <c r="L245" t="n">
        <v>0</v>
      </c>
      <c r="M245" t="n">
        <v>0</v>
      </c>
      <c r="N245" t="n">
        <v>0</v>
      </c>
    </row>
    <row r="246">
      <c r="A246" t="inlineStr">
        <is>
          <t>oxen</t>
        </is>
      </c>
      <c r="B246" t="inlineStr">
        <is>
          <t>sum 15. of which 1 put into the larder.</t>
        </is>
      </c>
      <c r="C246" t="n">
        <v>0</v>
      </c>
      <c r="D246" t="n">
        <v>0</v>
      </c>
      <c r="E246" t="n">
        <v>0</v>
      </c>
      <c r="F246" t="n">
        <v>0</v>
      </c>
      <c r="H246" t="n">
        <v>0</v>
      </c>
      <c r="I246" t="n">
        <v>0</v>
      </c>
      <c r="J246" t="n">
        <v>0</v>
      </c>
      <c r="K246" t="n">
        <v>0</v>
      </c>
      <c r="L246" t="n">
        <v>0</v>
      </c>
      <c r="M246" t="n">
        <v>0</v>
      </c>
      <c r="N246" t="n">
        <v>0</v>
      </c>
    </row>
    <row r="247">
      <c r="A247" t="inlineStr">
        <is>
          <t>oxen</t>
        </is>
      </c>
      <c r="B247" t="inlineStr">
        <is>
          <t>expenses for harvest boonworks 1, the hide of which they answer for above.</t>
        </is>
      </c>
      <c r="C247" t="n">
        <v>0</v>
      </c>
      <c r="D247" t="n">
        <v>0</v>
      </c>
      <c r="E247" t="n">
        <v>0</v>
      </c>
      <c r="F247" t="n">
        <v>0</v>
      </c>
      <c r="H247" t="n">
        <v>0</v>
      </c>
      <c r="I247" t="n">
        <v>0</v>
      </c>
      <c r="J247" t="n">
        <v>0</v>
      </c>
      <c r="K247" t="n">
        <v>0</v>
      </c>
      <c r="L247" t="n">
        <v>0</v>
      </c>
      <c r="M247" t="n">
        <v>0</v>
      </c>
      <c r="N247" t="n">
        <v>0</v>
      </c>
    </row>
    <row r="248">
      <c r="A248" t="inlineStr">
        <is>
          <t>oxen</t>
        </is>
      </c>
      <c r="B248" t="inlineStr">
        <is>
          <t>and 13 remain.</t>
        </is>
      </c>
      <c r="C248" t="n">
        <v>0</v>
      </c>
      <c r="D248" t="n">
        <v>0</v>
      </c>
      <c r="E248" t="n">
        <v>0</v>
      </c>
      <c r="F248" t="n">
        <v>0</v>
      </c>
      <c r="H248" t="n">
        <v>0</v>
      </c>
      <c r="I248" t="n">
        <v>0</v>
      </c>
      <c r="J248" t="n">
        <v>0</v>
      </c>
      <c r="K248" t="n">
        <v>0</v>
      </c>
      <c r="L248" t="n">
        <v>0</v>
      </c>
      <c r="M248" t="n">
        <v>0</v>
      </c>
      <c r="N248" t="n">
        <v>0</v>
      </c>
    </row>
    <row r="249">
      <c r="A249" t="inlineStr">
        <is>
          <t>cows</t>
        </is>
      </c>
      <c r="B249" t="inlineStr">
        <is>
          <t>the same render account for 11 cows and 1 bull that remained from the past year.</t>
        </is>
      </c>
      <c r="C249" t="n">
        <v>0</v>
      </c>
      <c r="D249" t="n">
        <v>0</v>
      </c>
      <c r="E249" t="n">
        <v>0</v>
      </c>
      <c r="F249" t="n">
        <v>0</v>
      </c>
      <c r="H249" t="n">
        <v>0</v>
      </c>
      <c r="I249" t="n">
        <v>0</v>
      </c>
      <c r="J249" t="n">
        <v>0</v>
      </c>
      <c r="K249" t="n">
        <v>0</v>
      </c>
      <c r="L249" t="n">
        <v>0</v>
      </c>
      <c r="M249" t="n">
        <v>0</v>
      </c>
      <c r="N249" t="n">
        <v>0</v>
      </c>
    </row>
    <row r="250">
      <c r="A250" t="inlineStr">
        <is>
          <t>cows</t>
        </is>
      </c>
      <c r="B250" t="inlineStr">
        <is>
          <t>and for 1 cow from the heriot of roger albi.</t>
        </is>
      </c>
      <c r="C250" t="n">
        <v>0</v>
      </c>
      <c r="D250" t="n">
        <v>0</v>
      </c>
      <c r="E250" t="n">
        <v>0</v>
      </c>
      <c r="F250" t="n">
        <v>0</v>
      </c>
      <c r="H250" t="n">
        <v>0</v>
      </c>
      <c r="I250" t="n">
        <v>0</v>
      </c>
      <c r="J250" t="n">
        <v>0</v>
      </c>
      <c r="K250" t="n">
        <v>0</v>
      </c>
      <c r="L250" t="n">
        <v>0</v>
      </c>
      <c r="M250" t="n">
        <v>0</v>
      </c>
      <c r="N250" t="n">
        <v>0</v>
      </c>
    </row>
    <row r="251">
      <c r="A251" t="inlineStr">
        <is>
          <t>cows</t>
        </is>
      </c>
      <c r="B251" t="inlineStr">
        <is>
          <t>and for 4 that matured.</t>
        </is>
      </c>
      <c r="C251" t="n">
        <v>0</v>
      </c>
      <c r="D251" t="n">
        <v>0</v>
      </c>
      <c r="E251" t="n">
        <v>0</v>
      </c>
      <c r="F251" t="n">
        <v>0</v>
      </c>
      <c r="H251" t="n">
        <v>0</v>
      </c>
      <c r="I251" t="n">
        <v>0</v>
      </c>
      <c r="J251" t="n">
        <v>0</v>
      </c>
      <c r="K251" t="n">
        <v>0</v>
      </c>
      <c r="L251" t="n">
        <v>0</v>
      </c>
      <c r="M251" t="n">
        <v>0</v>
      </c>
      <c r="N251" t="n">
        <v>0</v>
      </c>
    </row>
    <row r="252">
      <c r="A252" t="inlineStr">
        <is>
          <t>cows</t>
        </is>
      </c>
      <c r="B252" t="inlineStr">
        <is>
          <t>sum 17, and 16 cows and 1 bull remain.</t>
        </is>
      </c>
      <c r="C252" t="n">
        <v>0</v>
      </c>
      <c r="D252" t="n">
        <v>0</v>
      </c>
      <c r="E252" t="n">
        <v>0</v>
      </c>
      <c r="F252" t="n">
        <v>0</v>
      </c>
      <c r="H252" t="n">
        <v>0</v>
      </c>
      <c r="I252" t="n">
        <v>0</v>
      </c>
      <c r="J252" t="n">
        <v>0</v>
      </c>
      <c r="K252" t="n">
        <v>0</v>
      </c>
      <c r="L252" t="n">
        <v>0</v>
      </c>
      <c r="M252" t="n">
        <v>0</v>
      </c>
      <c r="N252" t="n">
        <v>0</v>
      </c>
    </row>
    <row r="253">
      <c r="A253" t="inlineStr">
        <is>
          <t>steers</t>
        </is>
      </c>
      <c r="B253" t="inlineStr">
        <is>
          <t>the same render account for 6 steers that remained from the past year.</t>
        </is>
      </c>
      <c r="C253" t="n">
        <v>0</v>
      </c>
      <c r="D253" t="n">
        <v>0</v>
      </c>
      <c r="E253" t="n">
        <v>0</v>
      </c>
      <c r="F253" t="n">
        <v>0</v>
      </c>
      <c r="H253" t="n">
        <v>0</v>
      </c>
      <c r="I253" t="n">
        <v>0</v>
      </c>
      <c r="J253" t="n">
        <v>0</v>
      </c>
      <c r="K253" t="n">
        <v>0</v>
      </c>
      <c r="L253" t="n">
        <v>0</v>
      </c>
      <c r="M253" t="n">
        <v>0</v>
      </c>
      <c r="N253" t="n">
        <v>0</v>
      </c>
    </row>
    <row r="254">
      <c r="A254" t="inlineStr">
        <is>
          <t>steers</t>
        </is>
      </c>
      <c r="B254" t="inlineStr">
        <is>
          <t>of which maturing into oxen 2, maturing into cows 4. sum 6 and none remain.</t>
        </is>
      </c>
      <c r="C254" t="n">
        <v>0</v>
      </c>
      <c r="D254" t="n">
        <v>0</v>
      </c>
      <c r="E254" t="n">
        <v>0</v>
      </c>
      <c r="F254" t="n">
        <v>0</v>
      </c>
      <c r="H254" t="n">
        <v>0</v>
      </c>
      <c r="I254" t="n">
        <v>0</v>
      </c>
      <c r="J254" t="n">
        <v>0</v>
      </c>
      <c r="K254" t="n">
        <v>0</v>
      </c>
      <c r="L254" t="n">
        <v>0</v>
      </c>
      <c r="M254" t="n">
        <v>0</v>
      </c>
      <c r="N254" t="n">
        <v>0</v>
      </c>
    </row>
    <row r="255">
      <c r="A255" t="inlineStr">
        <is>
          <t>immature steers</t>
        </is>
      </c>
      <c r="B255" t="inlineStr">
        <is>
          <t>the same render account for 10 immature cattle that remained from the past year.</t>
        </is>
      </c>
      <c r="C255" t="n">
        <v>0</v>
      </c>
      <c r="D255" t="n">
        <v>0</v>
      </c>
      <c r="E255" t="n">
        <v>0</v>
      </c>
      <c r="F255" t="n">
        <v>0</v>
      </c>
      <c r="H255" t="n">
        <v>0</v>
      </c>
      <c r="I255" t="n">
        <v>0</v>
      </c>
      <c r="J255" t="n">
        <v>0</v>
      </c>
      <c r="K255" t="n">
        <v>0</v>
      </c>
      <c r="L255" t="n">
        <v>0</v>
      </c>
      <c r="M255" t="n">
        <v>0</v>
      </c>
      <c r="N255" t="n">
        <v>0</v>
      </c>
    </row>
    <row r="256">
      <c r="A256" t="inlineStr">
        <is>
          <t>immature steers</t>
        </is>
      </c>
      <c r="B256" t="inlineStr">
        <is>
          <t>and they remain, of which 4 are steers and 6 heifers.</t>
        </is>
      </c>
      <c r="C256" t="n">
        <v>0</v>
      </c>
      <c r="D256" t="n">
        <v>0</v>
      </c>
      <c r="E256" t="n">
        <v>0</v>
      </c>
      <c r="F256" t="n">
        <v>0</v>
      </c>
      <c r="H256" t="n">
        <v>0</v>
      </c>
      <c r="I256" t="n">
        <v>0</v>
      </c>
      <c r="J256" t="n">
        <v>0</v>
      </c>
      <c r="K256" t="n">
        <v>0</v>
      </c>
      <c r="L256" t="n">
        <v>0</v>
      </c>
      <c r="M256" t="n">
        <v>0</v>
      </c>
      <c r="N256" t="n">
        <v>0</v>
      </c>
    </row>
    <row r="257">
      <c r="A257" t="inlineStr">
        <is>
          <t>yearling cattle</t>
        </is>
      </c>
      <c r="B257" t="inlineStr">
        <is>
          <t>the same render account for 9 yearlings that remained from the past year.</t>
        </is>
      </c>
      <c r="C257" t="n">
        <v>0</v>
      </c>
      <c r="D257" t="n">
        <v>0</v>
      </c>
      <c r="E257" t="n">
        <v>0</v>
      </c>
      <c r="F257" t="n">
        <v>0</v>
      </c>
      <c r="H257" t="n">
        <v>0</v>
      </c>
      <c r="I257" t="n">
        <v>0</v>
      </c>
      <c r="J257" t="n">
        <v>0</v>
      </c>
      <c r="K257" t="n">
        <v>0</v>
      </c>
      <c r="L257" t="n">
        <v>0</v>
      </c>
      <c r="M257" t="n">
        <v>0</v>
      </c>
      <c r="N257" t="n">
        <v>0</v>
      </c>
    </row>
    <row r="258">
      <c r="A258" t="inlineStr">
        <is>
          <t>yearling cattle</t>
        </is>
      </c>
      <c r="B258" t="inlineStr">
        <is>
          <t>of which given to the chaplain by order of the lord bishop 1. and 8 remain of which 2 are male.</t>
        </is>
      </c>
      <c r="C258" t="n">
        <v>0</v>
      </c>
      <c r="D258" t="n">
        <v>0</v>
      </c>
      <c r="E258" t="n">
        <v>0</v>
      </c>
      <c r="F258" t="n">
        <v>0</v>
      </c>
      <c r="H258" t="n">
        <v>0</v>
      </c>
      <c r="I258" t="n">
        <v>0</v>
      </c>
      <c r="J258" t="n">
        <v>0</v>
      </c>
      <c r="K258" t="n">
        <v>0</v>
      </c>
      <c r="L258" t="n">
        <v>0</v>
      </c>
      <c r="M258" t="n">
        <v>0</v>
      </c>
      <c r="N258" t="n">
        <v>0</v>
      </c>
    </row>
    <row r="259">
      <c r="A259" t="inlineStr">
        <is>
          <t>calves</t>
        </is>
      </c>
      <c r="B259" t="inlineStr">
        <is>
          <t>the same render account for 10 calves coming from the cows that gave birth this year [and not more] because 1 was barren.</t>
        </is>
      </c>
      <c r="C259" t="n">
        <v>0</v>
      </c>
      <c r="D259" t="n">
        <v>0</v>
      </c>
      <c r="E259" t="n">
        <v>0</v>
      </c>
      <c r="F259" t="n">
        <v>0</v>
      </c>
      <c r="H259" t="n">
        <v>0</v>
      </c>
      <c r="I259" t="n">
        <v>0</v>
      </c>
      <c r="J259" t="n">
        <v>0</v>
      </c>
      <c r="K259" t="n">
        <v>0</v>
      </c>
      <c r="L259" t="n">
        <v>0</v>
      </c>
      <c r="M259" t="n">
        <v>0</v>
      </c>
      <c r="N259" t="n">
        <v>0</v>
      </c>
    </row>
    <row r="260">
      <c r="A260" t="inlineStr">
        <is>
          <t>calves</t>
        </is>
      </c>
      <c r="B260" t="inlineStr">
        <is>
          <t>of which in tithe 1. sold 5. and 4 remain.</t>
        </is>
      </c>
      <c r="C260" t="n">
        <v>0</v>
      </c>
      <c r="D260" t="n">
        <v>0</v>
      </c>
      <c r="E260" t="n">
        <v>0</v>
      </c>
      <c r="F260" t="n">
        <v>0</v>
      </c>
      <c r="H260" t="n">
        <v>0</v>
      </c>
      <c r="I260" t="n">
        <v>0</v>
      </c>
      <c r="J260" t="n">
        <v>0</v>
      </c>
      <c r="K260" t="n">
        <v>0</v>
      </c>
      <c r="L260" t="n">
        <v>0</v>
      </c>
      <c r="M260" t="n">
        <v>0</v>
      </c>
      <c r="N260" t="n">
        <v>0</v>
      </c>
    </row>
    <row r="261">
      <c r="A261" t="inlineStr">
        <is>
          <t>cheese</t>
        </is>
      </c>
      <c r="B261" t="inlineStr">
        <is>
          <t>the same render account for 2 cheeses that remained from the past year.</t>
        </is>
      </c>
      <c r="C261" t="n">
        <v>0</v>
      </c>
      <c r="D261" t="n">
        <v>0</v>
      </c>
      <c r="E261" t="n">
        <v>0</v>
      </c>
      <c r="F261" t="n">
        <v>0</v>
      </c>
      <c r="H261" t="n">
        <v>0</v>
      </c>
      <c r="I261" t="n">
        <v>0</v>
      </c>
      <c r="J261" t="n">
        <v>0</v>
      </c>
      <c r="K261" t="n">
        <v>0</v>
      </c>
      <c r="L261" t="n">
        <v>0</v>
      </c>
      <c r="M261" t="n">
        <v>0</v>
      </c>
      <c r="N261" t="n">
        <v>0</v>
      </c>
    </row>
    <row r="262">
      <c r="A262" t="inlineStr">
        <is>
          <t>cheese</t>
        </is>
      </c>
      <c r="B262" t="inlineStr">
        <is>
          <t>and for 115 cheeses which were begun on the day of pentecost [23 may] and finished on the day of st michael, namely the day of account.</t>
        </is>
      </c>
      <c r="C262" t="n">
        <v>0</v>
      </c>
      <c r="D262" t="n">
        <v>0</v>
      </c>
      <c r="E262" t="n">
        <v>0</v>
      </c>
      <c r="F262" t="n">
        <v>0</v>
      </c>
      <c r="H262" t="n">
        <v>0</v>
      </c>
      <c r="I262" t="n">
        <v>0</v>
      </c>
      <c r="J262" t="n">
        <v>0</v>
      </c>
      <c r="K262" t="n">
        <v>0</v>
      </c>
      <c r="L262" t="n">
        <v>0</v>
      </c>
      <c r="M262" t="n">
        <v>0</v>
      </c>
      <c r="N262" t="n">
        <v>0</v>
      </c>
    </row>
    <row r="263">
      <c r="A263" t="inlineStr">
        <is>
          <t>cheese</t>
        </is>
      </c>
      <c r="B263" t="inlineStr">
        <is>
          <t>sum 117. of which in tithe 11. in.</t>
        </is>
      </c>
      <c r="C263" t="n">
        <v>0</v>
      </c>
      <c r="D263" t="n">
        <v>0</v>
      </c>
      <c r="E263" t="n">
        <v>0</v>
      </c>
      <c r="F263" t="n">
        <v>0</v>
      </c>
      <c r="H263" t="n">
        <v>0</v>
      </c>
      <c r="I263" t="n">
        <v>0</v>
      </c>
      <c r="J263" t="n">
        <v>0</v>
      </c>
      <c r="K263" t="n">
        <v>0</v>
      </c>
      <c r="L263" t="n">
        <v>0</v>
      </c>
      <c r="M263" t="n">
        <v>0</v>
      </c>
      <c r="N263" t="n">
        <v>0</v>
      </c>
    </row>
    <row r="264">
      <c r="A264" t="inlineStr">
        <is>
          <t>cheese</t>
        </is>
      </c>
      <c r="B264" t="inlineStr">
        <is>
          <t>--- page 8 ---.</t>
        </is>
      </c>
      <c r="C264" t="n">
        <v>0</v>
      </c>
      <c r="D264" t="n">
        <v>0</v>
      </c>
      <c r="E264" t="n">
        <v>0</v>
      </c>
      <c r="F264" t="n">
        <v>0</v>
      </c>
      <c r="H264" t="n">
        <v>0</v>
      </c>
      <c r="I264" t="n">
        <v>0</v>
      </c>
      <c r="J264" t="n">
        <v>0</v>
      </c>
      <c r="K264" t="n">
        <v>0</v>
      </c>
      <c r="L264" t="n">
        <v>0</v>
      </c>
      <c r="M264" t="n">
        <v>0</v>
      </c>
      <c r="N264" t="n">
        <v>0</v>
      </c>
    </row>
    <row r="265">
      <c r="A265" t="inlineStr">
        <is>
          <t>wethers</t>
        </is>
      </c>
      <c r="B265" t="inlineStr">
        <is>
          <t>the same render account for 342 wethers that remained from the past year.</t>
        </is>
      </c>
      <c r="C265" t="n">
        <v>0</v>
      </c>
      <c r="D265" t="n">
        <v>0</v>
      </c>
      <c r="E265" t="n">
        <v>0</v>
      </c>
      <c r="F265" t="n">
        <v>0</v>
      </c>
      <c r="H265" t="n">
        <v>0</v>
      </c>
      <c r="I265" t="n">
        <v>0</v>
      </c>
      <c r="J265" t="n">
        <v>0</v>
      </c>
      <c r="K265" t="n">
        <v>0</v>
      </c>
      <c r="L265" t="n">
        <v>0</v>
      </c>
      <c r="M265" t="n">
        <v>0</v>
      </c>
      <c r="N265" t="n">
        <v>0</v>
      </c>
    </row>
    <row r="266">
      <c r="A266" t="inlineStr">
        <is>
          <t>wethers</t>
        </is>
      </c>
      <c r="B266" t="inlineStr">
        <is>
          <t>of which sold at the feast of st martin [11 november] 17..</t>
        </is>
      </c>
      <c r="C266" t="n">
        <v>0</v>
      </c>
      <c r="D266" t="n">
        <v>0</v>
      </c>
      <c r="E266" t="n">
        <v>0</v>
      </c>
      <c r="F266" t="n">
        <v>0</v>
      </c>
      <c r="H266" t="n">
        <v>0</v>
      </c>
      <c r="I266" t="n">
        <v>0</v>
      </c>
      <c r="J266" t="n">
        <v>0</v>
      </c>
      <c r="K266" t="n">
        <v>0</v>
      </c>
      <c r="L266" t="n">
        <v>0</v>
      </c>
      <c r="M266" t="n">
        <v>0</v>
      </c>
      <c r="N266" t="n">
        <v>0</v>
      </c>
    </row>
    <row r="267">
      <c r="A267" t="inlineStr">
        <is>
          <t>wethers</t>
        </is>
      </c>
      <c r="B267" t="inlineStr">
        <is>
          <t>murrain before shearing 21..</t>
        </is>
      </c>
      <c r="C267" t="n">
        <v>0</v>
      </c>
      <c r="D267" t="n">
        <v>0</v>
      </c>
      <c r="E267" t="n">
        <v>0</v>
      </c>
      <c r="F267" t="n">
        <v>0</v>
      </c>
      <c r="H267" t="n">
        <v>0</v>
      </c>
      <c r="I267" t="n">
        <v>0</v>
      </c>
      <c r="J267" t="n">
        <v>0</v>
      </c>
      <c r="K267" t="n">
        <v>0</v>
      </c>
      <c r="L267" t="n">
        <v>0</v>
      </c>
      <c r="M267" t="n">
        <v>0</v>
      </c>
      <c r="N267" t="n">
        <v>0</v>
      </c>
    </row>
    <row r="268">
      <c r="A268" t="inlineStr">
        <is>
          <t>wethers</t>
        </is>
      </c>
      <c r="B268" t="inlineStr">
        <is>
          <t>murrain after shearing 2..</t>
        </is>
      </c>
      <c r="C268" t="n">
        <v>0</v>
      </c>
      <c r="D268" t="n">
        <v>0</v>
      </c>
      <c r="E268" t="n">
        <v>0</v>
      </c>
      <c r="F268" t="n">
        <v>0</v>
      </c>
      <c r="H268" t="n">
        <v>0</v>
      </c>
      <c r="I268" t="n">
        <v>0</v>
      </c>
      <c r="J268" t="n">
        <v>0</v>
      </c>
      <c r="K268" t="n">
        <v>0</v>
      </c>
      <c r="L268" t="n">
        <v>0</v>
      </c>
      <c r="M268" t="n">
        <v>0</v>
      </c>
      <c r="N268" t="n">
        <v>0</v>
      </c>
    </row>
    <row r="269">
      <c r="A269" t="inlineStr">
        <is>
          <t>wethers</t>
        </is>
      </c>
      <c r="B269" t="inlineStr">
        <is>
          <t>customary payment for the meadow 1. sum 41. and 301 remain.</t>
        </is>
      </c>
      <c r="C269" t="n">
        <v>0</v>
      </c>
      <c r="D269" t="n">
        <v>0</v>
      </c>
      <c r="E269" t="n">
        <v>0</v>
      </c>
      <c r="F269" t="n">
        <v>0</v>
      </c>
      <c r="H269" t="n">
        <v>0</v>
      </c>
      <c r="I269" t="n">
        <v>0</v>
      </c>
      <c r="J269" t="n">
        <v>0</v>
      </c>
      <c r="K269" t="n">
        <v>0</v>
      </c>
      <c r="L269" t="n">
        <v>0</v>
      </c>
      <c r="M269" t="n">
        <v>0</v>
      </c>
      <c r="N269" t="n">
        <v>0</v>
      </c>
    </row>
    <row r="270">
      <c r="A270" t="inlineStr">
        <is>
          <t>fleeces</t>
        </is>
      </c>
      <c r="B270" t="inlineStr">
        <is>
          <t>the same render account for 304 fleeces.</t>
        </is>
      </c>
      <c r="C270" t="n">
        <v>0</v>
      </c>
      <c r="D270" t="n">
        <v>0</v>
      </c>
      <c r="E270" t="n">
        <v>0</v>
      </c>
      <c r="F270" t="n">
        <v>0</v>
      </c>
      <c r="H270" t="n">
        <v>0</v>
      </c>
      <c r="I270" t="n">
        <v>0</v>
      </c>
      <c r="J270" t="n">
        <v>0</v>
      </c>
      <c r="K270" t="n">
        <v>0</v>
      </c>
      <c r="L270" t="n">
        <v>0</v>
      </c>
      <c r="M270" t="n">
        <v>0</v>
      </c>
      <c r="N270" t="n">
        <v>0</v>
      </c>
    </row>
    <row r="271">
      <c r="A271" t="inlineStr">
        <is>
          <t>fleeces</t>
        </is>
      </c>
      <c r="B271" t="inlineStr">
        <is>
          <t>of which in tithe 30..</t>
        </is>
      </c>
      <c r="C271" t="n">
        <v>0</v>
      </c>
      <c r="D271" t="n">
        <v>0</v>
      </c>
      <c r="E271" t="n">
        <v>0</v>
      </c>
      <c r="F271" t="n">
        <v>0</v>
      </c>
      <c r="H271" t="n">
        <v>0</v>
      </c>
      <c r="I271" t="n">
        <v>0</v>
      </c>
      <c r="J271" t="n">
        <v>0</v>
      </c>
      <c r="K271" t="n">
        <v>0</v>
      </c>
      <c r="L271" t="n">
        <v>0</v>
      </c>
      <c r="M271" t="n">
        <v>0</v>
      </c>
      <c r="N271" t="n">
        <v>0</v>
      </c>
    </row>
    <row r="272">
      <c r="A272" t="inlineStr">
        <is>
          <t>fleeces</t>
        </is>
      </c>
      <c r="B272" t="inlineStr">
        <is>
          <t>customary payment of the shepherd 1. sold as above 273, which made 2 weys, and because they answer for so little the reeve is amerced 4 shilling.</t>
        </is>
      </c>
      <c r="C272" t="n">
        <v>0.2</v>
      </c>
      <c r="D272" t="n">
        <v>0</v>
      </c>
      <c r="E272" t="n">
        <v>4</v>
      </c>
      <c r="F272" t="n">
        <v>0</v>
      </c>
      <c r="H272" t="n">
        <v>0</v>
      </c>
      <c r="I272" t="n">
        <v>0</v>
      </c>
      <c r="J272" t="n">
        <v>0</v>
      </c>
      <c r="K272" t="n">
        <v>0</v>
      </c>
      <c r="L272" t="n">
        <v>0</v>
      </c>
      <c r="M272" t="n">
        <v>0</v>
      </c>
      <c r="N272" t="n">
        <v>0</v>
      </c>
    </row>
    <row r="273">
      <c r="A273" t="inlineStr">
        <is>
          <t>hens</t>
        </is>
      </c>
      <c r="B273" t="inlineStr">
        <is>
          <t>the same render account for 27 hens that remained from the past year.</t>
        </is>
      </c>
      <c r="C273" t="n">
        <v>0</v>
      </c>
      <c r="D273" t="n">
        <v>0</v>
      </c>
      <c r="E273" t="n">
        <v>0</v>
      </c>
      <c r="F273" t="n">
        <v>0</v>
      </c>
      <c r="H273" t="n">
        <v>0</v>
      </c>
      <c r="I273" t="n">
        <v>0</v>
      </c>
      <c r="J273" t="n">
        <v>0</v>
      </c>
      <c r="K273" t="n">
        <v>0</v>
      </c>
      <c r="L273" t="n">
        <v>0</v>
      </c>
      <c r="M273" t="n">
        <v>0</v>
      </c>
      <c r="N273" t="n">
        <v>0</v>
      </c>
    </row>
    <row r="274">
      <c r="A274" t="inlineStr">
        <is>
          <t>hens</t>
        </is>
      </c>
      <c r="B274" t="inlineStr">
        <is>
          <t>and for 12 from rent.</t>
        </is>
      </c>
      <c r="C274" t="n">
        <v>0</v>
      </c>
      <c r="D274" t="n">
        <v>0</v>
      </c>
      <c r="E274" t="n">
        <v>0</v>
      </c>
      <c r="F274" t="n">
        <v>0</v>
      </c>
      <c r="H274" t="n">
        <v>0</v>
      </c>
      <c r="I274" t="n">
        <v>0</v>
      </c>
      <c r="J274" t="n">
        <v>0</v>
      </c>
      <c r="K274" t="n">
        <v>0</v>
      </c>
      <c r="L274" t="n">
        <v>0</v>
      </c>
      <c r="M274" t="n">
        <v>0</v>
      </c>
      <c r="N274" t="n">
        <v>0</v>
      </c>
    </row>
    <row r="275">
      <c r="A275" t="inlineStr">
        <is>
          <t>hens</t>
        </is>
      </c>
      <c r="B275" t="inlineStr">
        <is>
          <t>sum 39. of which in expenses of elias de cumb 10..</t>
        </is>
      </c>
      <c r="C275" t="n">
        <v>0</v>
      </c>
      <c r="D275" t="n">
        <v>0</v>
      </c>
      <c r="E275" t="n">
        <v>0</v>
      </c>
      <c r="F275" t="n">
        <v>0</v>
      </c>
      <c r="H275" t="n">
        <v>0</v>
      </c>
      <c r="I275" t="n">
        <v>0</v>
      </c>
      <c r="J275" t="n">
        <v>0</v>
      </c>
      <c r="K275" t="n">
        <v>0</v>
      </c>
      <c r="L275" t="n">
        <v>0</v>
      </c>
      <c r="M275" t="n">
        <v>0</v>
      </c>
      <c r="N275" t="n">
        <v>0</v>
      </c>
    </row>
    <row r="276">
      <c r="A276" t="inlineStr">
        <is>
          <t>hens</t>
        </is>
      </c>
      <c r="B276" t="inlineStr">
        <is>
          <t>expenses of master william de clare 4..</t>
        </is>
      </c>
      <c r="C276" t="n">
        <v>0</v>
      </c>
      <c r="D276" t="n">
        <v>0</v>
      </c>
      <c r="E276" t="n">
        <v>0</v>
      </c>
      <c r="F276" t="n">
        <v>0</v>
      </c>
      <c r="H276" t="n">
        <v>0</v>
      </c>
      <c r="I276" t="n">
        <v>0</v>
      </c>
      <c r="J276" t="n">
        <v>0</v>
      </c>
      <c r="K276" t="n">
        <v>0</v>
      </c>
      <c r="L276" t="n">
        <v>0</v>
      </c>
      <c r="M276" t="n">
        <v>0</v>
      </c>
      <c r="N276" t="n">
        <v>0</v>
      </c>
    </row>
    <row r="277">
      <c r="A277" t="inlineStr">
        <is>
          <t>hens</t>
        </is>
      </c>
      <c r="B277" t="inlineStr">
        <is>
          <t>expenses of john de brettevill on two visits 2..</t>
        </is>
      </c>
      <c r="C277" t="n">
        <v>0</v>
      </c>
      <c r="D277" t="n">
        <v>0</v>
      </c>
      <c r="E277" t="n">
        <v>0</v>
      </c>
      <c r="F277" t="n">
        <v>0</v>
      </c>
      <c r="H277" t="n">
        <v>0</v>
      </c>
      <c r="I277" t="n">
        <v>0</v>
      </c>
      <c r="J277" t="n">
        <v>0</v>
      </c>
      <c r="K277" t="n">
        <v>0</v>
      </c>
      <c r="L277" t="n">
        <v>0</v>
      </c>
      <c r="M277" t="n">
        <v>0</v>
      </c>
      <c r="N277" t="n">
        <v>0</v>
      </c>
    </row>
    <row r="278">
      <c r="A278" t="inlineStr">
        <is>
          <t>hens</t>
        </is>
      </c>
      <c r="B278" t="inlineStr">
        <is>
          <t>expenses of reginald the clerk 2..</t>
        </is>
      </c>
      <c r="C278" t="n">
        <v>0</v>
      </c>
      <c r="D278" t="n">
        <v>0</v>
      </c>
      <c r="E278" t="n">
        <v>0</v>
      </c>
      <c r="F278" t="n">
        <v>0</v>
      </c>
      <c r="H278" t="n">
        <v>0</v>
      </c>
      <c r="I278" t="n">
        <v>0</v>
      </c>
      <c r="J278" t="n">
        <v>0</v>
      </c>
      <c r="K278" t="n">
        <v>0</v>
      </c>
      <c r="L278" t="n">
        <v>0</v>
      </c>
      <c r="M278" t="n">
        <v>0</v>
      </c>
      <c r="N278" t="n">
        <v>0</v>
      </c>
    </row>
    <row r="279">
      <c r="A279" t="inlineStr">
        <is>
          <t>hens</t>
        </is>
      </c>
      <c r="B279" t="inlineStr">
        <is>
          <t>murrain 5..</t>
        </is>
      </c>
      <c r="C279" t="n">
        <v>0</v>
      </c>
      <c r="D279" t="n">
        <v>0</v>
      </c>
      <c r="E279" t="n">
        <v>0</v>
      </c>
      <c r="F279" t="n">
        <v>0</v>
      </c>
      <c r="H279" t="n">
        <v>0</v>
      </c>
      <c r="I279" t="n">
        <v>0</v>
      </c>
      <c r="J279" t="n">
        <v>0</v>
      </c>
      <c r="K279" t="n">
        <v>0</v>
      </c>
      <c r="L279" t="n">
        <v>0</v>
      </c>
      <c r="M279" t="n">
        <v>0</v>
      </c>
      <c r="N279" t="n">
        <v>0</v>
      </c>
    </row>
    <row r="280">
      <c r="A280" t="inlineStr">
        <is>
          <t>hens</t>
        </is>
      </c>
      <c r="B280" t="inlineStr">
        <is>
          <t>defect of the land brende, drawn into the demesne [2].</t>
        </is>
      </c>
      <c r="C280" t="n">
        <v>0</v>
      </c>
      <c r="D280" t="n">
        <v>0</v>
      </c>
      <c r="E280" t="n">
        <v>0</v>
      </c>
      <c r="F280" t="n">
        <v>0</v>
      </c>
      <c r="H280" t="n">
        <v>0</v>
      </c>
      <c r="I280" t="n">
        <v>0</v>
      </c>
      <c r="J280" t="n">
        <v>0</v>
      </c>
      <c r="K280" t="n">
        <v>0</v>
      </c>
      <c r="L280" t="n">
        <v>0</v>
      </c>
      <c r="M280" t="n">
        <v>0</v>
      </c>
      <c r="N280" t="n">
        <v>0</v>
      </c>
    </row>
    <row r="281">
      <c r="A281" t="inlineStr">
        <is>
          <t>hens</t>
        </is>
      </c>
      <c r="B281" t="inlineStr">
        <is>
          <t>sum 25. and 14 remain.</t>
        </is>
      </c>
      <c r="C281" t="n">
        <v>0</v>
      </c>
      <c r="D281" t="n">
        <v>0</v>
      </c>
      <c r="E281" t="n">
        <v>0</v>
      </c>
      <c r="F281" t="n">
        <v>0</v>
      </c>
      <c r="H281" t="n">
        <v>0</v>
      </c>
      <c r="I281" t="n">
        <v>0</v>
      </c>
      <c r="J281" t="n">
        <v>0</v>
      </c>
      <c r="K281" t="n">
        <v>0</v>
      </c>
      <c r="L281" t="n">
        <v>0</v>
      </c>
      <c r="M281" t="n">
        <v>0</v>
      </c>
      <c r="N281" t="n">
        <v>0</v>
      </c>
    </row>
    <row r="282">
      <c r="A282" t="inlineStr">
        <is>
          <t>hens</t>
        </is>
      </c>
      <c r="B282" t="inlineStr">
        <is>
          <t>and from henceforth they will answer for the issue of the same of whatever sort, the stipend of the dairymaid will not be allowed.</t>
        </is>
      </c>
      <c r="C282" t="n">
        <v>0</v>
      </c>
      <c r="D282" t="n">
        <v>0</v>
      </c>
      <c r="E282" t="n">
        <v>0</v>
      </c>
      <c r="F282" t="n">
        <v>0</v>
      </c>
      <c r="H282" t="n">
        <v>0</v>
      </c>
      <c r="I282" t="n">
        <v>0</v>
      </c>
      <c r="J282" t="n">
        <v>0</v>
      </c>
      <c r="K282" t="n">
        <v>0</v>
      </c>
      <c r="L282" t="n">
        <v>0</v>
      </c>
      <c r="M282" t="n">
        <v>0</v>
      </c>
      <c r="N282" t="n">
        <v>0</v>
      </c>
    </row>
    <row r="283">
      <c r="A283" t="inlineStr">
        <is>
          <t>eggs</t>
        </is>
      </c>
      <c r="B283" t="inlineStr">
        <is>
          <t>the same render account for 40 eggs from rent.</t>
        </is>
      </c>
      <c r="C283" t="n">
        <v>0</v>
      </c>
      <c r="D283" t="n">
        <v>0</v>
      </c>
      <c r="E283" t="n">
        <v>0</v>
      </c>
      <c r="F283" t="n">
        <v>0</v>
      </c>
      <c r="H283" t="n">
        <v>0</v>
      </c>
      <c r="I283" t="n">
        <v>0</v>
      </c>
      <c r="J283" t="n">
        <v>0</v>
      </c>
      <c r="K283" t="n">
        <v>0</v>
      </c>
      <c r="L283" t="n">
        <v>0</v>
      </c>
      <c r="M283" t="n">
        <v>0</v>
      </c>
      <c r="N283" t="n">
        <v>0</v>
      </c>
    </row>
    <row r="284">
      <c r="A284" t="inlineStr">
        <is>
          <t>eggs</t>
        </is>
      </c>
      <c r="B284" t="inlineStr">
        <is>
          <t>of which all sent to ralph, the clerk of the kitchen.</t>
        </is>
      </c>
      <c r="C284" t="n">
        <v>0</v>
      </c>
      <c r="D284" t="n">
        <v>0</v>
      </c>
      <c r="E284" t="n">
        <v>0</v>
      </c>
      <c r="F284" t="n">
        <v>0</v>
      </c>
      <c r="H284" t="n">
        <v>0</v>
      </c>
      <c r="I284" t="n">
        <v>0</v>
      </c>
      <c r="J284" t="n">
        <v>0</v>
      </c>
      <c r="K284" t="n">
        <v>0</v>
      </c>
      <c r="L284" t="n">
        <v>0</v>
      </c>
      <c r="M284" t="n">
        <v>0</v>
      </c>
      <c r="N284" t="n">
        <v>0</v>
      </c>
    </row>
    <row r="285">
      <c r="A285" t="inlineStr">
        <is>
          <t>ploughshares</t>
        </is>
      </c>
      <c r="B285" t="inlineStr">
        <is>
          <t>the same render account for 1 ploughshare from the rent of walter de molseya, which will be put at the head of this roll.</t>
        </is>
      </c>
      <c r="C285" t="n">
        <v>0</v>
      </c>
      <c r="D285" t="n">
        <v>0</v>
      </c>
      <c r="E285" t="n">
        <v>0</v>
      </c>
      <c r="F285" t="n">
        <v>0</v>
      </c>
      <c r="H285" t="n">
        <v>0</v>
      </c>
      <c r="I285" t="n">
        <v>0</v>
      </c>
      <c r="J285" t="n">
        <v>0</v>
      </c>
      <c r="K285" t="n">
        <v>0</v>
      </c>
      <c r="L285" t="n">
        <v>0</v>
      </c>
      <c r="M285" t="n">
        <v>0</v>
      </c>
      <c r="N285" t="n">
        <v>0</v>
      </c>
    </row>
    <row r="286">
      <c r="A286" t="inlineStr">
        <is>
          <t>ploughshares</t>
        </is>
      </c>
      <c r="B286" t="inlineStr">
        <is>
          <t>and for 2 bought.</t>
        </is>
      </c>
      <c r="C286" t="n">
        <v>0</v>
      </c>
      <c r="D286" t="n">
        <v>0</v>
      </c>
      <c r="E286" t="n">
        <v>0</v>
      </c>
      <c r="F286" t="n">
        <v>0</v>
      </c>
      <c r="H286" t="n">
        <v>0</v>
      </c>
      <c r="I286" t="n">
        <v>0</v>
      </c>
      <c r="J286" t="n">
        <v>0</v>
      </c>
      <c r="K286" t="n">
        <v>0</v>
      </c>
      <c r="L286" t="n">
        <v>0</v>
      </c>
      <c r="M286" t="n">
        <v>0</v>
      </c>
      <c r="N286" t="n">
        <v>0</v>
      </c>
    </row>
    <row r="287">
      <c r="A287" t="inlineStr">
        <is>
          <t>ploughshares</t>
        </is>
      </c>
      <c r="B287" t="inlineStr">
        <is>
          <t>sum 3. of which in payment to the abbot of chertsey for rent of northwode 2. and 1 remains.</t>
        </is>
      </c>
      <c r="C287" t="n">
        <v>0</v>
      </c>
      <c r="D287" t="n">
        <v>0</v>
      </c>
      <c r="E287" t="n">
        <v>0</v>
      </c>
      <c r="F287" t="n">
        <v>0</v>
      </c>
      <c r="H287" t="n">
        <v>0</v>
      </c>
      <c r="I287" t="n">
        <v>0</v>
      </c>
      <c r="J287" t="n">
        <v>0</v>
      </c>
      <c r="K287" t="n">
        <v>0</v>
      </c>
      <c r="L287" t="n">
        <v>0</v>
      </c>
      <c r="M287" t="n">
        <v>0</v>
      </c>
      <c r="N287" t="n">
        <v>0</v>
      </c>
    </row>
    <row r="288">
      <c r="A288" t="inlineStr">
        <is>
          <t>larder</t>
        </is>
      </c>
      <c r="B288" t="inlineStr">
        <is>
          <t>the same render account for 45 pigs put into the larder which came from farnham and from sutton, by 2 tallies.</t>
        </is>
      </c>
      <c r="C288" t="n">
        <v>0</v>
      </c>
      <c r="D288" t="n">
        <v>0</v>
      </c>
      <c r="E288" t="n">
        <v>0</v>
      </c>
      <c r="F288" t="n">
        <v>0</v>
      </c>
      <c r="H288" t="n">
        <v>0</v>
      </c>
      <c r="I288" t="n">
        <v>0</v>
      </c>
      <c r="J288" t="n">
        <v>0</v>
      </c>
      <c r="K288" t="n">
        <v>0</v>
      </c>
      <c r="L288" t="n">
        <v>0</v>
      </c>
      <c r="M288" t="n">
        <v>0</v>
      </c>
      <c r="N288" t="n">
        <v>0</v>
      </c>
    </row>
    <row r="289">
      <c r="A289" t="inlineStr">
        <is>
          <t>larder</t>
        </is>
      </c>
      <c r="B289" t="inlineStr">
        <is>
          <t>of which in payment to the clerk of the kitchen 43 by tally.</t>
        </is>
      </c>
      <c r="C289" t="n">
        <v>0</v>
      </c>
      <c r="D289" t="n">
        <v>0</v>
      </c>
      <c r="E289" t="n">
        <v>0</v>
      </c>
      <c r="F289" t="n">
        <v>0</v>
      </c>
      <c r="H289" t="n">
        <v>0</v>
      </c>
      <c r="I289" t="n">
        <v>0</v>
      </c>
      <c r="J289" t="n">
        <v>0</v>
      </c>
      <c r="K289" t="n">
        <v>0</v>
      </c>
      <c r="L289" t="n">
        <v>0</v>
      </c>
      <c r="M289" t="n">
        <v>0</v>
      </c>
      <c r="N289" t="n">
        <v>0</v>
      </c>
    </row>
    <row r="290">
      <c r="A290" t="inlineStr">
        <is>
          <t>larder</t>
        </is>
      </c>
      <c r="B290" t="inlineStr">
        <is>
          <t>expenses of robert blundi and stephen and the reeve in harvest 2. sum 45. and none remain.</t>
        </is>
      </c>
      <c r="C290" t="n">
        <v>0</v>
      </c>
      <c r="D290" t="n">
        <v>0</v>
      </c>
      <c r="E290" t="n">
        <v>0</v>
      </c>
      <c r="F290" t="n">
        <v>0</v>
      </c>
      <c r="H290" t="n">
        <v>0</v>
      </c>
      <c r="I290" t="n">
        <v>0</v>
      </c>
      <c r="J290" t="n">
        <v>0</v>
      </c>
      <c r="K290" t="n">
        <v>0</v>
      </c>
      <c r="L290" t="n">
        <v>0</v>
      </c>
      <c r="M290" t="n">
        <v>0</v>
      </c>
      <c r="N290" t="n">
        <v>0</v>
      </c>
    </row>
    <row r="291">
      <c r="A291" t="inlineStr">
        <is>
          <t>larder</t>
        </is>
      </c>
      <c r="B291" t="inlineStr">
        <is>
          <t>likewise they render account for 1 ox carcass put into the larder.</t>
        </is>
      </c>
      <c r="C291" t="n">
        <v>0</v>
      </c>
      <c r="D291" t="n">
        <v>0</v>
      </c>
      <c r="E291" t="n">
        <v>0</v>
      </c>
      <c r="F291" t="n">
        <v>0</v>
      </c>
      <c r="H291" t="n">
        <v>0</v>
      </c>
      <c r="I291" t="n">
        <v>0</v>
      </c>
      <c r="J291" t="n">
        <v>0</v>
      </c>
      <c r="K291" t="n">
        <v>0</v>
      </c>
      <c r="L291" t="n">
        <v>0</v>
      </c>
      <c r="M291" t="n">
        <v>0</v>
      </c>
      <c r="N291" t="n">
        <v>0</v>
      </c>
    </row>
    <row r="292">
      <c r="A292" t="inlineStr">
        <is>
          <t>larder</t>
        </is>
      </c>
      <c r="B292" t="inlineStr">
        <is>
          <t>paid to ralph, clerk of the kitchen, 1 carcass.</t>
        </is>
      </c>
      <c r="C292" t="n">
        <v>0</v>
      </c>
      <c r="D292" t="n">
        <v>0</v>
      </c>
      <c r="E292" t="n">
        <v>0</v>
      </c>
      <c r="F292" t="n">
        <v>0</v>
      </c>
      <c r="H292" t="n">
        <v>0</v>
      </c>
      <c r="I292" t="n">
        <v>0</v>
      </c>
      <c r="J292" t="n">
        <v>0</v>
      </c>
      <c r="K292" t="n">
        <v>0</v>
      </c>
      <c r="L292" t="n">
        <v>0</v>
      </c>
      <c r="M292" t="n">
        <v>0</v>
      </c>
      <c r="N292" t="n">
        <v>0</v>
      </c>
    </row>
    <row r="293">
      <c r="A293" t="inlineStr">
        <is>
          <t>larder</t>
        </is>
      </c>
      <c r="B293" t="inlineStr">
        <is>
          <t>and nothing remains.</t>
        </is>
      </c>
      <c r="C293" t="n">
        <v>0</v>
      </c>
      <c r="D293" t="n">
        <v>0</v>
      </c>
      <c r="E293" t="n">
        <v>0</v>
      </c>
      <c r="F293" t="n">
        <v>0</v>
      </c>
      <c r="H293" t="n">
        <v>0</v>
      </c>
      <c r="I293" t="n">
        <v>0</v>
      </c>
      <c r="J293" t="n">
        <v>0</v>
      </c>
      <c r="K293" t="n">
        <v>0</v>
      </c>
      <c r="L293" t="n">
        <v>0</v>
      </c>
      <c r="M293" t="n">
        <v>0</v>
      </c>
      <c r="N293" t="n">
        <v>0</v>
      </c>
    </row>
    <row r="294">
      <c r="A294" t="inlineStr">
        <is>
          <t>larder</t>
        </is>
      </c>
      <c r="B294" t="inlineStr">
        <is>
          <t>memorandum.</t>
        </is>
      </c>
      <c r="C294" t="n">
        <v>0</v>
      </c>
      <c r="D294" t="n">
        <v>0</v>
      </c>
      <c r="E294" t="n">
        <v>0</v>
      </c>
      <c r="F294" t="n">
        <v>0</v>
      </c>
      <c r="H294" t="n">
        <v>0</v>
      </c>
      <c r="I294" t="n">
        <v>0</v>
      </c>
      <c r="J294" t="n">
        <v>0</v>
      </c>
      <c r="K294" t="n">
        <v>0</v>
      </c>
      <c r="L294" t="n">
        <v>0</v>
      </c>
      <c r="M294" t="n">
        <v>0</v>
      </c>
      <c r="N294" t="n">
        <v>0</v>
      </c>
    </row>
    <row r="295">
      <c r="A295" t="inlineStr">
        <is>
          <t>larder</t>
        </is>
      </c>
      <c r="B295" t="inlineStr">
        <is>
          <t>expenses of master william de clare 3 chines, 3 sausages, 6 puddings, 6 dishes from tongues, and 4 spiced sausages.</t>
        </is>
      </c>
      <c r="C295" t="n">
        <v>0</v>
      </c>
      <c r="D295" t="n">
        <v>0</v>
      </c>
      <c r="E295" t="n">
        <v>0</v>
      </c>
      <c r="F295" t="n">
        <v>0</v>
      </c>
      <c r="H295" t="n">
        <v>0</v>
      </c>
      <c r="I295" t="n">
        <v>0</v>
      </c>
      <c r="J295" t="n">
        <v>0</v>
      </c>
      <c r="K295" t="n">
        <v>0</v>
      </c>
      <c r="L295" t="n">
        <v>0</v>
      </c>
      <c r="M295" t="n">
        <v>0</v>
      </c>
      <c r="N295" t="n">
        <v>0</v>
      </c>
    </row>
    <row r="296">
      <c r="A296" t="inlineStr">
        <is>
          <t>larder</t>
        </is>
      </c>
      <c r="B296" t="inlineStr">
        <is>
          <t>and for the visit of e de cumb 4 chines, 6 sausages, 6 spiced sausages, and 4 dishes from tongues.</t>
        </is>
      </c>
      <c r="C296" t="n">
        <v>0</v>
      </c>
      <c r="D296" t="n">
        <v>0</v>
      </c>
      <c r="E296" t="n">
        <v>0</v>
      </c>
      <c r="F296" t="n">
        <v>0</v>
      </c>
      <c r="H296" t="n">
        <v>0</v>
      </c>
      <c r="I296" t="n">
        <v>0</v>
      </c>
      <c r="J296" t="n">
        <v>0</v>
      </c>
      <c r="K296" t="n">
        <v>0</v>
      </c>
      <c r="L296" t="n">
        <v>0</v>
      </c>
      <c r="M296" t="n">
        <v>0</v>
      </c>
      <c r="N296" t="n">
        <v>0</v>
      </c>
    </row>
    <row r="297">
      <c r="A297" t="inlineStr">
        <is>
          <t>larder</t>
        </is>
      </c>
      <c r="B297" t="inlineStr">
        <is>
          <t>and for william de abbeville 2 chines, 4 sausages, 2 spiced sausages, and 2 dishes from tongues.</t>
        </is>
      </c>
      <c r="C297" t="n">
        <v>0</v>
      </c>
      <c r="D297" t="n">
        <v>0</v>
      </c>
      <c r="E297" t="n">
        <v>0</v>
      </c>
      <c r="F297" t="n">
        <v>0</v>
      </c>
      <c r="H297" t="n">
        <v>0</v>
      </c>
      <c r="I297" t="n">
        <v>0</v>
      </c>
      <c r="J297" t="n">
        <v>0</v>
      </c>
      <c r="K297" t="n">
        <v>0</v>
      </c>
      <c r="L297" t="n">
        <v>0</v>
      </c>
      <c r="M297" t="n">
        <v>0</v>
      </c>
      <c r="N297" t="n">
        <v>0</v>
      </c>
    </row>
    <row r="298">
      <c r="A298" t="inlineStr">
        <is>
          <t>larder</t>
        </is>
      </c>
      <c r="B298" t="inlineStr">
        <is>
          <t>given to sandon by order of the lord bishop 100 trotters, and know that 10 chines were taken.</t>
        </is>
      </c>
      <c r="C298" t="n">
        <v>0</v>
      </c>
      <c r="D298" t="n">
        <v>0</v>
      </c>
      <c r="E298" t="n">
        <v>0</v>
      </c>
      <c r="F298" t="n">
        <v>0</v>
      </c>
      <c r="H298" t="n">
        <v>0</v>
      </c>
      <c r="I298" t="n">
        <v>0</v>
      </c>
      <c r="J298" t="n">
        <v>0</v>
      </c>
      <c r="K298" t="n">
        <v>0</v>
      </c>
      <c r="L298" t="n">
        <v>0</v>
      </c>
      <c r="M298" t="n">
        <v>0</v>
      </c>
      <c r="N298" t="n">
        <v>0</v>
      </c>
    </row>
    <row r="299">
      <c r="A299" t="inlineStr">
        <is>
          <t>larder</t>
        </is>
      </c>
      <c r="B299" t="inlineStr">
        <is>
          <t>--- page 9 ---.</t>
        </is>
      </c>
      <c r="C299" t="n">
        <v>0</v>
      </c>
      <c r="D299" t="n">
        <v>0</v>
      </c>
      <c r="E299" t="n">
        <v>0</v>
      </c>
      <c r="F299" t="n">
        <v>0</v>
      </c>
      <c r="H299" t="n">
        <v>0</v>
      </c>
      <c r="I299" t="n">
        <v>0</v>
      </c>
      <c r="J299" t="n">
        <v>0</v>
      </c>
      <c r="K299" t="n">
        <v>0</v>
      </c>
      <c r="L299" t="n">
        <v>0</v>
      </c>
      <c r="M299" t="n">
        <v>0</v>
      </c>
      <c r="N299" t="n">
        <v>0</v>
      </c>
    </row>
    <row r="300">
      <c r="A300" t="inlineStr">
        <is>
          <t>6. c. 29 september 1251 to c. 29 september 1252</t>
        </is>
      </c>
      <c r="B300" t="inlineStr">
        <is>
          <t>by 125.5, it can be said with certainty that the manor of esher was used as an episcopal residence.</t>
        </is>
      </c>
      <c r="C300" t="n">
        <v>0</v>
      </c>
      <c r="D300" t="n">
        <v>0</v>
      </c>
      <c r="E300" t="n">
        <v>0</v>
      </c>
      <c r="F300" t="n">
        <v>0</v>
      </c>
      <c r="H300" t="n">
        <v>0</v>
      </c>
      <c r="I300" t="n">
        <v>0</v>
      </c>
      <c r="J300" t="n">
        <v>0</v>
      </c>
      <c r="K300" t="n">
        <v>0</v>
      </c>
      <c r="L300" t="n">
        <v>0</v>
      </c>
      <c r="M300" t="n">
        <v>0</v>
      </c>
      <c r="N300" t="n">
        <v>0</v>
      </c>
    </row>
    <row r="301">
      <c r="A301" t="inlineStr">
        <is>
          <t>6. c. 29 september 1251 to c. 29 september 1252</t>
        </is>
      </c>
      <c r="B301" t="inlineStr">
        <is>
          <t>fact, this account provides a detailed illustration of the workings of the manor.</t>
        </is>
      </c>
      <c r="C301" t="n">
        <v>0</v>
      </c>
      <c r="D301" t="n">
        <v>0</v>
      </c>
      <c r="E301" t="n">
        <v>0</v>
      </c>
      <c r="F301" t="n">
        <v>0</v>
      </c>
      <c r="H301" t="n">
        <v>0</v>
      </c>
      <c r="I301" t="n">
        <v>0</v>
      </c>
      <c r="J301" t="n">
        <v>0</v>
      </c>
      <c r="K301" t="n">
        <v>0</v>
      </c>
      <c r="L301" t="n">
        <v>0</v>
      </c>
      <c r="M301" t="n">
        <v>0</v>
      </c>
      <c r="N301" t="n">
        <v>0</v>
      </c>
    </row>
    <row r="302">
      <c r="A302" t="inlineStr">
        <is>
          <t>6. c. 29 september 1251 to c. 29 september 1252</t>
        </is>
      </c>
      <c r="B302" t="inlineStr">
        <is>
          <t>the new bishop-elect, aymer de valence, stayed at the manor at least twice during the course of this accounting year: there is mention of ‘the chamber’, where he presumably resided, which two years later was referred to as ‘the lord’s chamber’.</t>
        </is>
      </c>
      <c r="C302" t="n">
        <v>0</v>
      </c>
      <c r="D302" t="n">
        <v>0</v>
      </c>
      <c r="E302" t="n">
        <v>0</v>
      </c>
      <c r="F302" t="n">
        <v>0</v>
      </c>
      <c r="H302" t="n">
        <v>0</v>
      </c>
      <c r="I302" t="n">
        <v>0</v>
      </c>
      <c r="J302" t="n">
        <v>0</v>
      </c>
      <c r="K302" t="n">
        <v>0</v>
      </c>
      <c r="L302" t="n">
        <v>0</v>
      </c>
      <c r="M302" t="n">
        <v>0</v>
      </c>
      <c r="N302" t="n">
        <v>0</v>
      </c>
    </row>
    <row r="303">
      <c r="A303" t="inlineStr">
        <is>
          <t>6. c. 29 september 1251 to c. 29 september 1252</t>
        </is>
      </c>
      <c r="B303" t="inlineStr">
        <is>
          <t>and we are informed about some of the expenses incurred during his visits, including the provision of salted beef, bacon, and oat-fattened swan.</t>
        </is>
      </c>
      <c r="C303" t="n">
        <v>0</v>
      </c>
      <c r="D303" t="n">
        <v>0</v>
      </c>
      <c r="E303" t="n">
        <v>0</v>
      </c>
      <c r="F303" t="n">
        <v>0</v>
      </c>
      <c r="H303" t="n">
        <v>0</v>
      </c>
      <c r="I303" t="n">
        <v>0</v>
      </c>
      <c r="J303" t="n">
        <v>0</v>
      </c>
      <c r="K303" t="n">
        <v>0</v>
      </c>
      <c r="L303" t="n">
        <v>0</v>
      </c>
      <c r="M303" t="n">
        <v>0</v>
      </c>
      <c r="N303" t="n">
        <v>0</v>
      </c>
    </row>
    <row r="304">
      <c r="A304" t="inlineStr">
        <is>
          <t>6. c. 29 september 1251 to c. 29 september 1252</t>
        </is>
      </c>
      <c r="B304" t="inlineStr">
        <is>
          <t>allied to this, we see the continued development of the service buildings, including the making of three smoke vents in the kitchen.</t>
        </is>
      </c>
      <c r="C304" t="n">
        <v>0</v>
      </c>
      <c r="D304" t="n">
        <v>0</v>
      </c>
      <c r="E304" t="n">
        <v>0</v>
      </c>
      <c r="F304" t="n">
        <v>0</v>
      </c>
      <c r="H304" t="n">
        <v>0</v>
      </c>
      <c r="I304" t="n">
        <v>0</v>
      </c>
      <c r="J304" t="n">
        <v>0</v>
      </c>
      <c r="K304" t="n">
        <v>0</v>
      </c>
      <c r="L304" t="n">
        <v>0</v>
      </c>
      <c r="M304" t="n">
        <v>0</v>
      </c>
      <c r="N304" t="n">
        <v>0</v>
      </c>
    </row>
    <row r="305">
      <c r="A305" t="inlineStr">
        <is>
          <t>6. c. 29 september 1251 to c. 29 september 1252</t>
        </is>
      </c>
      <c r="B305" t="inlineStr">
        <is>
          <t>a number of estate officials also visited the manor, temporarily swelling the number of staff who worked at esher on a more permanent basis, either in a domestic or agricultural capacity.</t>
        </is>
      </c>
      <c r="C305" t="n">
        <v>0</v>
      </c>
      <c r="D305" t="n">
        <v>0</v>
      </c>
      <c r="E305" t="n">
        <v>0</v>
      </c>
      <c r="F305" t="n">
        <v>0</v>
      </c>
      <c r="H305" t="n">
        <v>0</v>
      </c>
      <c r="I305" t="n">
        <v>0</v>
      </c>
      <c r="J305" t="n">
        <v>0</v>
      </c>
      <c r="K305" t="n">
        <v>0</v>
      </c>
      <c r="L305" t="n">
        <v>0</v>
      </c>
      <c r="M305" t="n">
        <v>0</v>
      </c>
      <c r="N305" t="n">
        <v>0</v>
      </c>
    </row>
    <row r="306">
      <c r="A306" t="inlineStr">
        <is>
          <t>6. c. 29 september 1251 to c. 29 september 1252</t>
        </is>
      </c>
      <c r="B306" t="inlineStr">
        <is>
          <t>we are sometimes even given the names of these visiting officials and permanent staff, including ‘robert, the keeper of the steward’s house’ and ‘bartholomew, larderer’.</t>
        </is>
      </c>
      <c r="C306" t="n">
        <v>0</v>
      </c>
      <c r="D306" t="n">
        <v>0</v>
      </c>
      <c r="E306" t="n">
        <v>0</v>
      </c>
      <c r="F306" t="n">
        <v>0</v>
      </c>
      <c r="H306" t="n">
        <v>0</v>
      </c>
      <c r="I306" t="n">
        <v>0</v>
      </c>
      <c r="J306" t="n">
        <v>0</v>
      </c>
      <c r="K306" t="n">
        <v>0</v>
      </c>
      <c r="L306" t="n">
        <v>0</v>
      </c>
      <c r="M306" t="n">
        <v>0</v>
      </c>
      <c r="N306" t="n">
        <v>0</v>
      </c>
    </row>
    <row r="307">
      <c r="A307" t="inlineStr">
        <is>
          <t>6. c. 29 september 1251 to c. 29 september 1252</t>
        </is>
      </c>
      <c r="B307" t="inlineStr">
        <is>
          <t>we can also reconstruct the operation of the manorial economy in considerable detail, not just the sowing and harvesting of crops and livestock and the movement of produce around the estate, but also the overseeing of some transactions by ‘william, bailiff of the parson’, and the delivery of wool to a certain ‘bernard’.</t>
        </is>
      </c>
      <c r="C307" t="n">
        <v>0</v>
      </c>
      <c r="D307" t="n">
        <v>0</v>
      </c>
      <c r="E307" t="n">
        <v>0</v>
      </c>
      <c r="F307" t="n">
        <v>0</v>
      </c>
      <c r="H307" t="n">
        <v>0</v>
      </c>
      <c r="I307" t="n">
        <v>0</v>
      </c>
      <c r="J307" t="n">
        <v>0</v>
      </c>
      <c r="K307" t="n">
        <v>0</v>
      </c>
      <c r="L307" t="n">
        <v>0</v>
      </c>
      <c r="M307" t="n">
        <v>0</v>
      </c>
      <c r="N307" t="n">
        <v>0</v>
      </c>
    </row>
    <row r="308">
      <c r="A308" t="inlineStr">
        <is>
          <t>6. c. 29 september 1251 to c. 29 september 1252</t>
        </is>
      </c>
      <c r="B308" t="inlineStr">
        <is>
          <t>equally, we are made aware of the presence of the auditors, not least by their instructions to the reeve and serjeant to measure the arable land from this point on.</t>
        </is>
      </c>
      <c r="C308" t="n">
        <v>0</v>
      </c>
      <c r="D308" t="n">
        <v>0</v>
      </c>
      <c r="E308" t="n">
        <v>0</v>
      </c>
      <c r="F308" t="n">
        <v>0</v>
      </c>
      <c r="H308" t="n">
        <v>0</v>
      </c>
      <c r="I308" t="n">
        <v>0</v>
      </c>
      <c r="J308" t="n">
        <v>0</v>
      </c>
      <c r="K308" t="n">
        <v>0</v>
      </c>
      <c r="L308" t="n">
        <v>0</v>
      </c>
      <c r="M308" t="n">
        <v>0</v>
      </c>
      <c r="N308" t="n">
        <v>0</v>
      </c>
    </row>
    <row r="309">
      <c r="A309" t="inlineStr">
        <is>
          <t>6. c. 29 september 1251 to c. 29 september 1252</t>
        </is>
      </c>
      <c r="B309" t="inlineStr">
        <is>
          <t>not only does the account provide insights into the number, names, and roles of the people who serviced the manorial and estate economy, but it also hints at some of their frailties: the ‘transgressions’ of the serjeant.</t>
        </is>
      </c>
      <c r="C309" t="n">
        <v>0</v>
      </c>
      <c r="D309" t="n">
        <v>0</v>
      </c>
      <c r="E309" t="n">
        <v>0</v>
      </c>
      <c r="F309" t="n">
        <v>0</v>
      </c>
      <c r="H309" t="n">
        <v>0</v>
      </c>
      <c r="I309" t="n">
        <v>0</v>
      </c>
      <c r="J309" t="n">
        <v>0</v>
      </c>
      <c r="K309" t="n">
        <v>0</v>
      </c>
      <c r="L309" t="n">
        <v>0</v>
      </c>
      <c r="M309" t="n">
        <v>0</v>
      </c>
      <c r="N309" t="n">
        <v>0</v>
      </c>
    </row>
    <row r="310">
      <c r="A310" t="inlineStr">
        <is>
          <t>6. c. 29 september 1251 to c. 29 september 1252</t>
        </is>
      </c>
      <c r="B310" t="inlineStr">
        <is>
          <t>the tardiness with which cows were sent from ivinghoe (bucks.), thereby restricting the production of cheese at esher.</t>
        </is>
      </c>
      <c r="C310" t="n">
        <v>0</v>
      </c>
      <c r="D310" t="n">
        <v>0</v>
      </c>
      <c r="E310" t="n">
        <v>0</v>
      </c>
      <c r="F310" t="n">
        <v>0</v>
      </c>
      <c r="H310" t="n">
        <v>0</v>
      </c>
      <c r="I310" t="n">
        <v>0</v>
      </c>
      <c r="J310" t="n">
        <v>0</v>
      </c>
      <c r="K310" t="n">
        <v>0</v>
      </c>
      <c r="L310" t="n">
        <v>0</v>
      </c>
      <c r="M310" t="n">
        <v>0</v>
      </c>
      <c r="N310" t="n">
        <v>0</v>
      </c>
    </row>
    <row r="311">
      <c r="A311" t="inlineStr">
        <is>
          <t>6. c. 29 september 1251 to c. 29 september 1252</t>
        </is>
      </c>
      <c r="B311" t="inlineStr">
        <is>
          <t>and, most human of all, the need to replace keys because the originals had been lost by ‘the lord’s men’.</t>
        </is>
      </c>
      <c r="C311" t="n">
        <v>0</v>
      </c>
      <c r="D311" t="n">
        <v>0</v>
      </c>
      <c r="E311" t="n">
        <v>0</v>
      </c>
      <c r="F311" t="n">
        <v>0</v>
      </c>
      <c r="H311" t="n">
        <v>0</v>
      </c>
      <c r="I311" t="n">
        <v>0</v>
      </c>
      <c r="J311" t="n">
        <v>0</v>
      </c>
      <c r="K311" t="n">
        <v>0</v>
      </c>
      <c r="L311" t="n">
        <v>0</v>
      </c>
      <c r="M311" t="n">
        <v>0</v>
      </c>
      <c r="N311" t="n">
        <v>0</v>
      </c>
    </row>
    <row r="312">
      <c r="A312" t="inlineStr">
        <is>
          <t>arrears</t>
        </is>
      </c>
      <c r="B312" t="inlineStr">
        <is>
          <t>walter, the clerk, and richard, the reeve, render account for 55 shilling 11 pence of arrears from the past year.</t>
        </is>
      </c>
      <c r="C312" t="n">
        <v>2.8</v>
      </c>
      <c r="D312" t="n">
        <v>0</v>
      </c>
      <c r="E312" t="n">
        <v>55</v>
      </c>
      <c r="F312" t="n">
        <v>11</v>
      </c>
      <c r="H312" t="n">
        <v>0</v>
      </c>
      <c r="I312" t="n">
        <v>0</v>
      </c>
      <c r="J312" t="n">
        <v>0</v>
      </c>
      <c r="K312" t="n">
        <v>0</v>
      </c>
      <c r="L312" t="n">
        <v>0</v>
      </c>
      <c r="M312" t="n">
        <v>0</v>
      </c>
      <c r="N312" t="n">
        <v>0</v>
      </c>
    </row>
    <row r="313">
      <c r="A313" t="inlineStr">
        <is>
          <t>arrears</t>
        </is>
      </c>
      <c r="B313" t="inlineStr">
        <is>
          <t>all paid to lord r de alynton, constable of wolvesey, and he is and they are quit.</t>
        </is>
      </c>
      <c r="C313" t="n">
        <v>0</v>
      </c>
      <c r="D313" t="n">
        <v>0</v>
      </c>
      <c r="E313" t="n">
        <v>0</v>
      </c>
      <c r="F313" t="n">
        <v>0</v>
      </c>
      <c r="H313" t="n">
        <v>0</v>
      </c>
      <c r="I313" t="n">
        <v>0</v>
      </c>
      <c r="J313" t="n">
        <v>0</v>
      </c>
      <c r="K313" t="n">
        <v>0</v>
      </c>
      <c r="L313" t="n">
        <v>0</v>
      </c>
      <c r="M313" t="n">
        <v>0</v>
      </c>
      <c r="N313" t="n">
        <v>0</v>
      </c>
    </row>
    <row r="314">
      <c r="A314" t="inlineStr">
        <is>
          <t>rent of assize</t>
        </is>
      </c>
      <c r="B314" t="inlineStr">
        <is>
          <t>the same render account for £4 5 shilling 7 pence from rent of assize for the year.</t>
        </is>
      </c>
      <c r="C314" t="n">
        <v>4.28</v>
      </c>
      <c r="D314" t="n">
        <v>4</v>
      </c>
      <c r="E314" t="n">
        <v>5</v>
      </c>
      <c r="F314" t="n">
        <v>7</v>
      </c>
      <c r="H314" t="n">
        <v>0</v>
      </c>
      <c r="I314" t="n">
        <v>0</v>
      </c>
      <c r="J314" t="n">
        <v>0</v>
      </c>
      <c r="K314" t="n">
        <v>0</v>
      </c>
      <c r="L314" t="n">
        <v>0</v>
      </c>
      <c r="M314" t="n">
        <v>0</v>
      </c>
      <c r="N314" t="n">
        <v>0</v>
      </c>
    </row>
    <row r="315">
      <c r="A315" t="inlineStr">
        <is>
          <t>rent of assize</t>
        </is>
      </c>
      <c r="B315" t="inlineStr">
        <is>
          <t>and for 20 shilling from yearly pension of the church of esher.</t>
        </is>
      </c>
      <c r="C315" t="n">
        <v>1</v>
      </c>
      <c r="D315" t="n">
        <v>0</v>
      </c>
      <c r="E315" t="n">
        <v>20</v>
      </c>
      <c r="F315" t="n">
        <v>0</v>
      </c>
      <c r="H315" t="n">
        <v>0</v>
      </c>
      <c r="I315" t="n">
        <v>0</v>
      </c>
      <c r="J315" t="n">
        <v>0</v>
      </c>
      <c r="K315" t="n">
        <v>0</v>
      </c>
      <c r="L315" t="n">
        <v>0</v>
      </c>
      <c r="M315" t="n">
        <v>0</v>
      </c>
      <c r="N315" t="n">
        <v>0</v>
      </c>
    </row>
    <row r="316">
      <c r="A316" t="inlineStr">
        <is>
          <t>rent of assize</t>
        </is>
      </c>
      <c r="B316" t="inlineStr">
        <is>
          <t>sum 105 shilling 7pence.</t>
        </is>
      </c>
      <c r="C316" t="n">
        <v>5.28</v>
      </c>
      <c r="D316" t="n">
        <v>0</v>
      </c>
      <c r="E316" t="n">
        <v>105</v>
      </c>
      <c r="F316" t="n">
        <v>7</v>
      </c>
      <c r="H316" t="n">
        <v>0</v>
      </c>
      <c r="I316" t="n">
        <v>0</v>
      </c>
      <c r="J316" t="n">
        <v>0</v>
      </c>
      <c r="K316" t="n">
        <v>0</v>
      </c>
      <c r="L316" t="n">
        <v>0</v>
      </c>
      <c r="M316" t="n">
        <v>0</v>
      </c>
      <c r="N316"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ESHER_1248 RECEIPTS</t>
        </is>
      </c>
      <c r="B1" s="128" t="n"/>
      <c r="C1" s="128" t="n"/>
      <c r="D1" s="128" t="n"/>
      <c r="E1" s="128" t="n"/>
      <c r="F1" s="128" t="n"/>
      <c r="G1" s="128" t="n"/>
      <c r="H1" s="128" t="n"/>
      <c r="I1" s="128" t="n"/>
    </row>
    <row r="2">
      <c r="A2" s="140" t="inlineStr">
        <is>
          <t>Heading</t>
        </is>
      </c>
      <c r="B2" s="141" t="inlineStr">
        <is>
          <t>£</t>
        </is>
      </c>
      <c r="C2" s="142" t="inlineStr">
        <is>
          <t>s</t>
        </is>
      </c>
      <c r="D2" s="142" t="inlineStr">
        <is>
          <t>d</t>
        </is>
      </c>
      <c r="E2" s="142" t="n"/>
      <c r="F2" s="143" t="inlineStr">
        <is>
          <t>Total in £</t>
        </is>
      </c>
      <c r="G2" s="144" t="inlineStr">
        <is>
          <t>Error</t>
        </is>
      </c>
      <c r="H2" s="145" t="inlineStr">
        <is>
          <t>Notes</t>
        </is>
      </c>
      <c r="I2" s="146" t="inlineStr">
        <is>
          <t>Own notes</t>
        </is>
      </c>
    </row>
    <row r="3">
      <c r="A3" s="137" t="inlineStr">
        <is>
          <t>Arrears</t>
        </is>
      </c>
      <c r="B3" s="128" t="n">
        <v>0</v>
      </c>
      <c r="C3" s="128" t="n">
        <v>19</v>
      </c>
      <c r="D3" s="128" t="n">
        <v>8</v>
      </c>
      <c r="E3" s="128" t="n"/>
      <c r="F3" s="128" t="n">
        <v>0.98</v>
      </c>
      <c r="G3" s="128" t="n"/>
      <c r="H3" s="128" t="inlineStr">
        <is>
          <t>Stephen the serjeant and Richard Walerand the reeve render account for 19 shilling 8 pence of arrears from the preceding year.</t>
        </is>
      </c>
      <c r="I3" s="128" t="n"/>
    </row>
    <row r="4">
      <c r="A4" s="136" t="inlineStr">
        <is>
          <t>Arrears</t>
        </is>
      </c>
      <c r="B4" s="128" t="n">
        <v>0</v>
      </c>
      <c r="C4" s="128" t="n">
        <v>3</v>
      </c>
      <c r="D4" s="128" t="n">
        <v>0</v>
      </c>
      <c r="E4" s="128" t="n"/>
      <c r="F4" s="128" t="n">
        <v>0.15</v>
      </c>
      <c r="G4" s="128" t="n"/>
      <c r="H4" s="128" t="inlineStr">
        <is>
          <t>And for 3 shilling from 2 quarters of oats.</t>
        </is>
      </c>
      <c r="I4" s="128" t="n"/>
    </row>
    <row r="5">
      <c r="A5" s="136" t="inlineStr">
        <is>
          <t>Arrears</t>
        </is>
      </c>
      <c r="B5" s="128" t="n">
        <v>0</v>
      </c>
      <c r="C5" s="128" t="n">
        <v>3</v>
      </c>
      <c r="D5" s="128" t="n">
        <v>10</v>
      </c>
      <c r="E5" s="128" t="n"/>
      <c r="F5" s="128" t="n">
        <v>0.19</v>
      </c>
      <c r="G5" s="128" t="n"/>
      <c r="H5" s="128" t="inlineStr">
        <is>
          <t>And for 3 shilling 10 pence of arrears from the third year.</t>
        </is>
      </c>
      <c r="I5" s="128" t="n"/>
    </row>
    <row r="6">
      <c r="A6" s="136" t="inlineStr">
        <is>
          <t>Arrears</t>
        </is>
      </c>
      <c r="B6" s="128" t="n">
        <v>0</v>
      </c>
      <c r="C6" s="128" t="n">
        <v>26</v>
      </c>
      <c r="D6" s="128" t="n">
        <v>0</v>
      </c>
      <c r="E6" s="128" t="n"/>
      <c r="F6" s="128" t="n">
        <v>1.3</v>
      </c>
      <c r="G6" s="128" t="n"/>
      <c r="H6" s="128" t="inlineStr">
        <is>
          <t>Sum 26 shilling.</t>
        </is>
      </c>
      <c r="I6" s="128" t="n"/>
    </row>
    <row r="7">
      <c r="A7" s="136" t="inlineStr">
        <is>
          <t>Arrears</t>
        </is>
      </c>
      <c r="B7" s="128" t="n">
        <v>0</v>
      </c>
      <c r="C7" s="128" t="n">
        <v>3</v>
      </c>
      <c r="D7" s="128" t="n">
        <v>10</v>
      </c>
      <c r="E7" s="128" t="n"/>
      <c r="F7" s="128" t="n">
        <v>0.19</v>
      </c>
      <c r="G7" s="128" t="n"/>
      <c r="H7" s="128" t="inlineStr">
        <is>
          <t>payment to Lord E de Cumb 3 shilling 10 pence of arrears from the third year.</t>
        </is>
      </c>
      <c r="I7" s="128" t="n"/>
    </row>
    <row r="8">
      <c r="A8" s="136" t="inlineStr">
        <is>
          <t>Arrears</t>
        </is>
      </c>
      <c r="B8" s="128" t="n">
        <v>0</v>
      </c>
      <c r="C8" s="128" t="n">
        <v>22</v>
      </c>
      <c r="D8" s="128" t="n">
        <v>8</v>
      </c>
      <c r="E8" s="128" t="n"/>
      <c r="F8" s="128" t="n">
        <v>1.13</v>
      </c>
      <c r="G8" s="128" t="n"/>
      <c r="H8" s="128" t="inlineStr">
        <is>
          <t>Sum 22 shilling 8pence.</t>
        </is>
      </c>
      <c r="I8" s="128" t="n"/>
    </row>
    <row r="9">
      <c r="A9" s="136" t="inlineStr">
        <is>
          <t>Arrears</t>
        </is>
      </c>
      <c r="B9" s="128" t="n">
        <v>0</v>
      </c>
      <c r="C9" s="128" t="n">
        <v>55</v>
      </c>
      <c r="D9" s="128" t="n">
        <v>11</v>
      </c>
      <c r="E9" s="128" t="n"/>
      <c r="F9" s="128" t="n">
        <v>2.8</v>
      </c>
      <c r="G9" s="128" t="n"/>
      <c r="H9" s="128" t="inlineStr">
        <is>
          <t>Walter, the clerk, and Richard, the reeve, render account for 55 shilling 11 pence of arrears from the past year.</t>
        </is>
      </c>
      <c r="I9" s="128" t="n"/>
    </row>
    <row r="10">
      <c r="A10" s="136" t="inlineStr">
        <is>
          <t>Arrears</t>
        </is>
      </c>
      <c r="B10" s="128" t="n">
        <v>0</v>
      </c>
      <c r="C10" s="128" t="n">
        <v>0</v>
      </c>
      <c r="D10" s="128" t="n">
        <v>0</v>
      </c>
      <c r="E10" s="128" t="n"/>
      <c r="F10" s="128" t="n">
        <v>0</v>
      </c>
      <c r="G10" s="128" t="n"/>
      <c r="H10" s="128" t="inlineStr">
        <is>
          <t>All paid to Lord R de Alynton, constable of Wolvesey, and he is and they are quit.</t>
        </is>
      </c>
      <c r="I10" s="128" t="n"/>
    </row>
    <row r="11">
      <c r="A11" s="138" t="inlineStr">
        <is>
          <t>Arrears total</t>
        </is>
      </c>
      <c r="B11" s="139" t="n"/>
      <c r="C11" s="139" t="n"/>
      <c r="D11" s="139" t="n"/>
      <c r="E11" s="139" t="n"/>
      <c r="F11" s="139" t="n">
        <v>2.8</v>
      </c>
      <c r="G11" s="139" t="n">
        <v>2.8</v>
      </c>
      <c r="H11" s="139" t="inlineStr">
        <is>
          <t>Total</t>
        </is>
      </c>
      <c r="I11" s="139" t="n"/>
    </row>
    <row r="12">
      <c r="A12" s="136" t="n"/>
      <c r="B12" s="128" t="n"/>
      <c r="C12" s="128" t="n"/>
      <c r="D12" s="128" t="n"/>
      <c r="E12" s="128" t="n"/>
      <c r="F12" s="128" t="n"/>
      <c r="G12" s="128" t="n"/>
      <c r="H12" s="128" t="n"/>
      <c r="I12" s="128" t="n"/>
    </row>
    <row r="13">
      <c r="A13" s="137" t="inlineStr">
        <is>
          <t>Peas</t>
        </is>
      </c>
      <c r="B13" s="128" t="n"/>
      <c r="C13" s="128" t="n"/>
      <c r="D13" s="128" t="n"/>
      <c r="E13" s="128" t="n"/>
      <c r="F13" s="128" t="n">
        <v>0</v>
      </c>
      <c r="G13" s="128" t="n"/>
      <c r="H13" s="128" t="inlineStr">
        <is>
          <t>Total</t>
        </is>
      </c>
      <c r="I13" s="128" t="n"/>
    </row>
    <row r="14">
      <c r="A14" s="38" t="inlineStr">
        <is>
          <t>Total of all receipts recorded in accounts (calculated here)</t>
        </is>
      </c>
      <c r="F14">
        <f>SUMIF(A1:A13,"* total",F1:F13)-SUMIF(A1:A13,"Arrears total",F1:F13)</f>
        <v/>
      </c>
    </row>
    <row r="15">
      <c r="A15" s="38" t="inlineStr">
        <is>
          <t>Total of all receipts (calculated here) incl arrears</t>
        </is>
      </c>
      <c r="F15">
        <f>F14+SUMIF(A1:A13,"Arrears total",F1:F13)</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E1:E1"/>
  <sheetViews>
    <sheetView workbookViewId="0">
      <selection activeCell="A1" sqref="A1"/>
    </sheetView>
  </sheetViews>
  <sheetFormatPr baseColWidth="8" defaultRowHeight="15"/>
  <sheetData>
    <row r="1"/>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M78"/>
  <sheetViews>
    <sheetView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Quarters 3</t>
        </is>
      </c>
      <c r="AH1" t="inlineStr">
        <is>
          <t>Bushels 3</t>
        </is>
      </c>
      <c r="AI1" t="inlineStr">
        <is>
          <t>Quarters 4</t>
        </is>
      </c>
      <c r="AJ1" t="inlineStr">
        <is>
          <t>Bushels 4</t>
        </is>
      </c>
      <c r="AK1" t="inlineStr">
        <is>
          <t>Quarters 5</t>
        </is>
      </c>
      <c r="AL1" t="inlineStr">
        <is>
          <t>Bushels 5</t>
        </is>
      </c>
      <c r="AM1" t="inlineStr">
        <is>
          <t>Total Bought Quarters</t>
        </is>
      </c>
    </row>
    <row r="2">
      <c r="A2" t="inlineStr">
        <is>
          <t>foreign expenses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M2" t="n">
        <v>0</v>
      </c>
    </row>
    <row r="3">
      <c r="A3" t="inlineStr">
        <is>
          <t>wheat</t>
        </is>
      </c>
      <c r="B3" t="inlineStr">
        <is>
          <t>the same render account for 7½ quarters 2 bushels from issue of the grange.</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2</v>
      </c>
      <c r="Z3" t="n">
        <v>0.25</v>
      </c>
      <c r="AA3" t="n">
        <v>0.25</v>
      </c>
      <c r="AB3" t="n">
        <v>0</v>
      </c>
      <c r="AC3" t="n">
        <v>0</v>
      </c>
      <c r="AD3" t="n">
        <v>2</v>
      </c>
      <c r="AM3" t="n">
        <v>0</v>
      </c>
    </row>
    <row r="4">
      <c r="A4" t="inlineStr">
        <is>
          <t>wheat</t>
        </is>
      </c>
      <c r="B4" t="inlineStr">
        <is>
          <t>and for 6 bushels from increment of the same.</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6</v>
      </c>
      <c r="Z4" t="n">
        <v>0.75</v>
      </c>
      <c r="AA4" t="n">
        <v>0.75</v>
      </c>
      <c r="AB4" t="n">
        <v>0</v>
      </c>
      <c r="AC4" t="n">
        <v>0</v>
      </c>
      <c r="AD4" t="n">
        <v>6</v>
      </c>
      <c r="AM4" t="n">
        <v>0</v>
      </c>
    </row>
    <row r="5">
      <c r="A5" t="inlineStr">
        <is>
          <t>wheat</t>
        </is>
      </c>
      <c r="B5" t="inlineStr">
        <is>
          <t>and from purchase 2 bushels.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2</v>
      </c>
      <c r="Z5" t="n">
        <v>0.25</v>
      </c>
      <c r="AA5" t="n">
        <v>0.25</v>
      </c>
      <c r="AB5" t="n">
        <v>0</v>
      </c>
      <c r="AC5" t="n">
        <v>0</v>
      </c>
      <c r="AD5" t="n">
        <v>2</v>
      </c>
      <c r="AM5" t="n">
        <v>0</v>
      </c>
    </row>
    <row r="6">
      <c r="A6" t="inlineStr">
        <is>
          <t>wheat</t>
        </is>
      </c>
      <c r="B6" t="inlineStr">
        <is>
          <t>sum 8½ quarters 2 bushels.</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2</v>
      </c>
      <c r="Z6" t="n">
        <v>0.25</v>
      </c>
      <c r="AA6" t="n">
        <v>0.25</v>
      </c>
      <c r="AB6" t="n">
        <v>0</v>
      </c>
      <c r="AC6" t="n">
        <v>0</v>
      </c>
      <c r="AD6" t="n">
        <v>2</v>
      </c>
      <c r="AM6" t="n">
        <v>0</v>
      </c>
    </row>
    <row r="7">
      <c r="A7" t="inlineStr">
        <is>
          <t>wheat</t>
        </is>
      </c>
      <c r="B7" t="inlineStr">
        <is>
          <t>of which in seed at northwode 2 quarters and at esher 2 bushels.</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2</v>
      </c>
      <c r="Y7" t="n">
        <v>2</v>
      </c>
      <c r="Z7" t="n">
        <v>2.25</v>
      </c>
      <c r="AA7" t="n">
        <v>2</v>
      </c>
      <c r="AB7" t="n">
        <v>0.25</v>
      </c>
      <c r="AC7" t="n">
        <v>2</v>
      </c>
      <c r="AD7" t="n">
        <v>0</v>
      </c>
      <c r="AE7" t="n">
        <v>0</v>
      </c>
      <c r="AF7" t="n">
        <v>2</v>
      </c>
      <c r="AM7" t="n">
        <v>0</v>
      </c>
    </row>
    <row r="8">
      <c r="A8" t="inlineStr">
        <is>
          <t>wheat</t>
        </is>
      </c>
      <c r="B8" t="inlineStr">
        <is>
          <t>bread for customary payment to those removing manure 2 bushels.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2</v>
      </c>
      <c r="Z8" t="n">
        <v>0.25</v>
      </c>
      <c r="AA8" t="n">
        <v>0.25</v>
      </c>
      <c r="AB8" t="n">
        <v>0</v>
      </c>
      <c r="AC8" t="n">
        <v>0</v>
      </c>
      <c r="AD8" t="n">
        <v>2</v>
      </c>
      <c r="AM8" t="n">
        <v>0</v>
      </c>
    </row>
    <row r="9">
      <c r="A9" t="inlineStr">
        <is>
          <t>wheat</t>
        </is>
      </c>
      <c r="B9" t="inlineStr">
        <is>
          <t>bread for the boons of 14 ploughs in lent 2 bushels.</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2</v>
      </c>
      <c r="Z9" t="n">
        <v>0.25</v>
      </c>
      <c r="AA9" t="n">
        <v>0.25</v>
      </c>
      <c r="AB9" t="n">
        <v>0</v>
      </c>
      <c r="AC9" t="n">
        <v>0</v>
      </c>
      <c r="AD9" t="n">
        <v>2</v>
      </c>
      <c r="AM9" t="n">
        <v>0</v>
      </c>
    </row>
    <row r="10">
      <c r="A10" t="inlineStr">
        <is>
          <t>wheat</t>
        </is>
      </c>
      <c r="B10" t="inlineStr">
        <is>
          <t>bread for the brewer and his helpers 2 bushels.</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2</v>
      </c>
      <c r="Z10" t="n">
        <v>0.25</v>
      </c>
      <c r="AA10" t="n">
        <v>0.25</v>
      </c>
      <c r="AB10" t="n">
        <v>0</v>
      </c>
      <c r="AC10" t="n">
        <v>0</v>
      </c>
      <c r="AD10" t="n">
        <v>2</v>
      </c>
      <c r="AM10" t="n">
        <v>0</v>
      </c>
    </row>
    <row r="11">
      <c r="A11" t="inlineStr">
        <is>
          <t>wheat</t>
        </is>
      </c>
      <c r="B11" t="inlineStr">
        <is>
          <t>bread for s the serjeant and robert blund for three weeks 2 quarters 2.</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2</v>
      </c>
      <c r="Y11" t="n">
        <v>0</v>
      </c>
      <c r="Z11" t="n">
        <v>2</v>
      </c>
      <c r="AA11" t="n">
        <v>2</v>
      </c>
      <c r="AB11" t="n">
        <v>0</v>
      </c>
      <c r="AC11" t="n">
        <v>2</v>
      </c>
      <c r="AD11" t="n">
        <v>0</v>
      </c>
      <c r="AM11" t="n">
        <v>0</v>
      </c>
    </row>
    <row r="12">
      <c r="A12" t="inlineStr">
        <is>
          <t>wheat</t>
        </is>
      </c>
      <c r="B12" t="inlineStr">
        <is>
          <t>--- page 6 ---.</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M12" t="n">
        <v>0</v>
      </c>
    </row>
    <row r="13">
      <c r="A13" t="inlineStr">
        <is>
          <t>wheat</t>
        </is>
      </c>
      <c r="B13" t="inlineStr">
        <is>
          <t>total</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AM13" t="n">
        <v>0</v>
      </c>
    </row>
    <row r="14">
      <c r="A14" t="inlineStr">
        <is>
          <t>rye</t>
        </is>
      </c>
      <c r="B14" t="inlineStr">
        <is>
          <t>the same render account for 56½ quarters 2 bushels of rye from issue.</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2</v>
      </c>
      <c r="Z14" t="n">
        <v>0.25</v>
      </c>
      <c r="AA14" t="n">
        <v>0.25</v>
      </c>
      <c r="AB14" t="n">
        <v>0</v>
      </c>
      <c r="AC14" t="n">
        <v>0</v>
      </c>
      <c r="AD14" t="n">
        <v>2</v>
      </c>
      <c r="AM14" t="n">
        <v>0</v>
      </c>
    </row>
    <row r="15">
      <c r="A15" t="inlineStr">
        <is>
          <t>rye</t>
        </is>
      </c>
      <c r="B15" t="inlineStr">
        <is>
          <t>and for 5½ quarters 3 bushels from increment of the same.</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3</v>
      </c>
      <c r="Z15" t="n">
        <v>0.38</v>
      </c>
      <c r="AA15" t="n">
        <v>0.38</v>
      </c>
      <c r="AB15" t="n">
        <v>0</v>
      </c>
      <c r="AC15" t="n">
        <v>0</v>
      </c>
      <c r="AD15" t="n">
        <v>3</v>
      </c>
      <c r="AM15" t="n">
        <v>0</v>
      </c>
    </row>
    <row r="16">
      <c r="A16" t="inlineStr">
        <is>
          <t>rye</t>
        </is>
      </c>
      <c r="B16" t="inlineStr">
        <is>
          <t>and for 14 quarters 3 bushels bought.</t>
        </is>
      </c>
      <c r="C16" t="n">
        <v>0</v>
      </c>
      <c r="D16" t="n">
        <v>0</v>
      </c>
      <c r="E16" t="n">
        <v>0</v>
      </c>
      <c r="F16" t="n">
        <v>0</v>
      </c>
      <c r="G16" t="n">
        <v>0</v>
      </c>
      <c r="H16" t="n">
        <v>14</v>
      </c>
      <c r="I16" t="n">
        <v>3</v>
      </c>
      <c r="J16" t="n">
        <v>14.38</v>
      </c>
      <c r="K16" t="n">
        <v>0</v>
      </c>
      <c r="L16" t="n">
        <v>0</v>
      </c>
      <c r="M16" t="n">
        <v>0</v>
      </c>
      <c r="N16" t="n">
        <v>0</v>
      </c>
      <c r="O16" t="n">
        <v>0</v>
      </c>
      <c r="P16" t="n">
        <v>0</v>
      </c>
      <c r="Q16" t="n">
        <v>0</v>
      </c>
      <c r="R16" t="n">
        <v>0</v>
      </c>
      <c r="S16" t="n">
        <v>0</v>
      </c>
      <c r="T16" t="n">
        <v>0</v>
      </c>
      <c r="U16" t="n">
        <v>0</v>
      </c>
      <c r="V16" t="n">
        <v>0</v>
      </c>
      <c r="W16" t="n">
        <v>0</v>
      </c>
      <c r="X16" t="n">
        <v>14</v>
      </c>
      <c r="Y16" t="n">
        <v>3</v>
      </c>
      <c r="Z16" t="n">
        <v>14.38</v>
      </c>
      <c r="AA16" t="n">
        <v>14.38</v>
      </c>
      <c r="AB16" t="n">
        <v>0</v>
      </c>
      <c r="AC16" t="n">
        <v>14</v>
      </c>
      <c r="AD16" t="n">
        <v>3</v>
      </c>
      <c r="AM16" t="n">
        <v>0</v>
      </c>
    </row>
    <row r="17">
      <c r="A17" t="inlineStr">
        <is>
          <t>rye</t>
        </is>
      </c>
      <c r="B17" t="inlineStr">
        <is>
          <t>sum 67⅞ quarters.</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M17" t="n">
        <v>0</v>
      </c>
    </row>
    <row r="18">
      <c r="A18" t="inlineStr">
        <is>
          <t>rye</t>
        </is>
      </c>
      <c r="B18" t="inlineStr">
        <is>
          <t>of which in seed over 57½ acres 14 quarters 3 bushels.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14</v>
      </c>
      <c r="Y18" t="n">
        <v>3</v>
      </c>
      <c r="Z18" t="n">
        <v>14.38</v>
      </c>
      <c r="AA18" t="n">
        <v>14.38</v>
      </c>
      <c r="AB18" t="n">
        <v>0</v>
      </c>
      <c r="AC18" t="n">
        <v>14</v>
      </c>
      <c r="AD18" t="n">
        <v>3</v>
      </c>
      <c r="AM18" t="n">
        <v>0</v>
      </c>
    </row>
    <row r="19">
      <c r="A19" t="inlineStr">
        <is>
          <t>rye</t>
        </is>
      </c>
      <c r="B19" t="inlineStr">
        <is>
          <t>alms from the bishop for the widow aveline 1 quarter.</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M19" t="n">
        <v>0</v>
      </c>
    </row>
    <row r="20">
      <c r="A20" t="inlineStr">
        <is>
          <t>rye</t>
        </is>
      </c>
      <c r="B20" t="inlineStr">
        <is>
          <t>for ploughboons 3 bushels.</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3</v>
      </c>
      <c r="Z20" t="n">
        <v>0.38</v>
      </c>
      <c r="AA20" t="n">
        <v>0.38</v>
      </c>
      <c r="AB20" t="n">
        <v>0</v>
      </c>
      <c r="AC20" t="n">
        <v>0</v>
      </c>
      <c r="AD20" t="n">
        <v>3</v>
      </c>
      <c r="AM20" t="n">
        <v>0</v>
      </c>
    </row>
    <row r="21">
      <c r="A21" t="inlineStr">
        <is>
          <t>rye</t>
        </is>
      </c>
      <c r="B21" t="inlineStr">
        <is>
          <t>bread for the brewer and his helpers 2 bushels.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2</v>
      </c>
      <c r="Z21" t="n">
        <v>0.25</v>
      </c>
      <c r="AA21" t="n">
        <v>0.25</v>
      </c>
      <c r="AB21" t="n">
        <v>0</v>
      </c>
      <c r="AC21" t="n">
        <v>0</v>
      </c>
      <c r="AD21" t="n">
        <v>2</v>
      </c>
      <c r="AM21" t="n">
        <v>0</v>
      </c>
    </row>
    <row r="22">
      <c r="A22" t="inlineStr">
        <is>
          <t>rye</t>
        </is>
      </c>
      <c r="B22" t="inlineStr">
        <is>
          <t>bread for s the serjeant 1 quarter.</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M22" t="n">
        <v>0</v>
      </c>
    </row>
    <row r="23">
      <c r="A23" t="inlineStr">
        <is>
          <t>rye</t>
        </is>
      </c>
      <c r="B23" t="inlineStr">
        <is>
          <t>sold as above 36 quarters.</t>
        </is>
      </c>
      <c r="C23" t="n">
        <v>0</v>
      </c>
      <c r="D23" t="n">
        <v>0</v>
      </c>
      <c r="E23" t="n">
        <v>0</v>
      </c>
      <c r="F23" t="n">
        <v>0</v>
      </c>
      <c r="G23" t="n">
        <v>0</v>
      </c>
      <c r="H23" t="n">
        <v>0</v>
      </c>
      <c r="I23" t="n">
        <v>0</v>
      </c>
      <c r="J23" t="n">
        <v>0</v>
      </c>
      <c r="K23" t="n">
        <v>0</v>
      </c>
      <c r="L23" t="n">
        <v>0</v>
      </c>
      <c r="M23" t="n">
        <v>0</v>
      </c>
      <c r="N23" t="n">
        <v>0</v>
      </c>
      <c r="O23" t="n">
        <v>0</v>
      </c>
      <c r="P23" t="n">
        <v>0</v>
      </c>
      <c r="Q23" t="n">
        <v>36</v>
      </c>
      <c r="R23" t="n">
        <v>0</v>
      </c>
      <c r="S23" t="n">
        <v>36</v>
      </c>
      <c r="T23" t="n">
        <v>0</v>
      </c>
      <c r="U23" t="n">
        <v>0</v>
      </c>
      <c r="V23" t="n">
        <v>0</v>
      </c>
      <c r="W23" t="n">
        <v>0</v>
      </c>
      <c r="X23" t="n">
        <v>36</v>
      </c>
      <c r="Y23" t="n">
        <v>0</v>
      </c>
      <c r="Z23" t="n">
        <v>36</v>
      </c>
      <c r="AA23" t="n">
        <v>36</v>
      </c>
      <c r="AB23" t="n">
        <v>0</v>
      </c>
      <c r="AC23" t="n">
        <v>36</v>
      </c>
      <c r="AD23" t="n">
        <v>0</v>
      </c>
      <c r="AM23" t="n">
        <v>0</v>
      </c>
    </row>
    <row r="24">
      <c r="A24" t="inlineStr">
        <is>
          <t>rye</t>
        </is>
      </c>
      <c r="B24" t="inlineStr">
        <is>
          <t>and 14 quarters of rye remain in the grange, for which the reeve will answer.</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14</v>
      </c>
      <c r="Y24" t="n">
        <v>0</v>
      </c>
      <c r="Z24" t="n">
        <v>14</v>
      </c>
      <c r="AA24" t="n">
        <v>14</v>
      </c>
      <c r="AB24" t="n">
        <v>0</v>
      </c>
      <c r="AC24" t="n">
        <v>14</v>
      </c>
      <c r="AD24" t="n">
        <v>0</v>
      </c>
      <c r="AM24" t="n">
        <v>0</v>
      </c>
    </row>
    <row r="25">
      <c r="A25" t="inlineStr">
        <is>
          <t>rye</t>
        </is>
      </c>
      <c r="B25" t="inlineStr">
        <is>
          <t>total</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AM25" t="n">
        <v>0</v>
      </c>
    </row>
    <row r="26">
      <c r="A26" t="inlineStr">
        <is>
          <t>barley</t>
        </is>
      </c>
      <c r="B26" t="inlineStr">
        <is>
          <t>the same render account for 38 quarters of barley from issue.</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38</v>
      </c>
      <c r="U26" t="n">
        <v>0</v>
      </c>
      <c r="V26" t="n">
        <v>38</v>
      </c>
      <c r="W26" t="n">
        <v>0</v>
      </c>
      <c r="X26" t="n">
        <v>38</v>
      </c>
      <c r="Y26" t="n">
        <v>0</v>
      </c>
      <c r="Z26" t="n">
        <v>38</v>
      </c>
      <c r="AA26" t="n">
        <v>38</v>
      </c>
      <c r="AB26" t="n">
        <v>0</v>
      </c>
      <c r="AC26" t="n">
        <v>38</v>
      </c>
      <c r="AD26" t="n">
        <v>0</v>
      </c>
      <c r="AM26" t="n">
        <v>0</v>
      </c>
    </row>
    <row r="27">
      <c r="A27" t="inlineStr">
        <is>
          <t>barley</t>
        </is>
      </c>
      <c r="B27" t="inlineStr">
        <is>
          <t>and for 4½ quarters 2 bushels from increment of the same.</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2</v>
      </c>
      <c r="Z27" t="n">
        <v>0.25</v>
      </c>
      <c r="AA27" t="n">
        <v>0.25</v>
      </c>
      <c r="AB27" t="n">
        <v>0</v>
      </c>
      <c r="AC27" t="n">
        <v>0</v>
      </c>
      <c r="AD27" t="n">
        <v>2</v>
      </c>
      <c r="AM27" t="n">
        <v>0</v>
      </c>
    </row>
    <row r="28">
      <c r="A28" t="inlineStr">
        <is>
          <t>barley</t>
        </is>
      </c>
      <c r="B28" t="inlineStr">
        <is>
          <t>and for 8 quarters of barley of new grain from issue.</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8</v>
      </c>
      <c r="Y28" t="n">
        <v>0</v>
      </c>
      <c r="Z28" t="n">
        <v>8</v>
      </c>
      <c r="AA28" t="n">
        <v>8</v>
      </c>
      <c r="AB28" t="n">
        <v>0</v>
      </c>
      <c r="AC28" t="n">
        <v>8</v>
      </c>
      <c r="AD28" t="n">
        <v>0</v>
      </c>
      <c r="AM28" t="n">
        <v>0</v>
      </c>
    </row>
    <row r="29">
      <c r="A29" t="inlineStr">
        <is>
          <t>barley</t>
        </is>
      </c>
      <c r="B29" t="inlineStr">
        <is>
          <t>and for 1 quarter from issue of the same [...] 16½ quarters 3 bushels bought.</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3</v>
      </c>
      <c r="Z29" t="n">
        <v>0.38</v>
      </c>
      <c r="AA29" t="n">
        <v>0.38</v>
      </c>
      <c r="AB29" t="n">
        <v>0</v>
      </c>
      <c r="AC29" t="n">
        <v>0</v>
      </c>
      <c r="AD29" t="n">
        <v>3</v>
      </c>
      <c r="AM29" t="n">
        <v>0</v>
      </c>
    </row>
    <row r="30">
      <c r="A30" t="inlineStr">
        <is>
          <t>barley</t>
        </is>
      </c>
      <c r="B30" t="inlineStr">
        <is>
          <t>sum 68 quarters 5 bushels.</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68</v>
      </c>
      <c r="Y30" t="n">
        <v>5</v>
      </c>
      <c r="Z30" t="n">
        <v>68.62</v>
      </c>
      <c r="AA30" t="n">
        <v>68.62</v>
      </c>
      <c r="AB30" t="n">
        <v>0</v>
      </c>
      <c r="AC30" t="n">
        <v>68</v>
      </c>
      <c r="AD30" t="n">
        <v>5</v>
      </c>
      <c r="AM30" t="n">
        <v>0</v>
      </c>
    </row>
    <row r="31">
      <c r="A31" t="inlineStr">
        <is>
          <t>barley</t>
        </is>
      </c>
      <c r="B31" t="inlineStr">
        <is>
          <t>sum 68 quarters 5 bushels.</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68</v>
      </c>
      <c r="Y31" t="n">
        <v>5</v>
      </c>
      <c r="Z31" t="n">
        <v>68.62</v>
      </c>
      <c r="AA31" t="n">
        <v>68.62</v>
      </c>
      <c r="AB31" t="n">
        <v>0</v>
      </c>
      <c r="AC31" t="n">
        <v>68</v>
      </c>
      <c r="AD31" t="n">
        <v>5</v>
      </c>
      <c r="AM31" t="n">
        <v>0</v>
      </c>
    </row>
    <row r="32">
      <c r="A32" t="inlineStr">
        <is>
          <t>barley</t>
        </is>
      </c>
      <c r="B32" t="inlineStr">
        <is>
          <t>of which in seed 12½ quarters.</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M32" t="n">
        <v>0</v>
      </c>
    </row>
    <row r="33">
      <c r="A33" t="inlineStr">
        <is>
          <t>barley</t>
        </is>
      </c>
      <c r="B33" t="inlineStr">
        <is>
          <t>sold as above 2½ quarters 1 bushel.</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M33" t="n">
        <v>0</v>
      </c>
    </row>
    <row r="34">
      <c r="A34" t="inlineStr">
        <is>
          <t>barley</t>
        </is>
      </c>
      <c r="B34" t="inlineStr">
        <is>
          <t>paid to one carter and four ploughmen [...] who took a quarter for eight weeks, 32½ quarters.</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M34" t="n">
        <v>0</v>
      </c>
    </row>
    <row r="35">
      <c r="A35" t="inlineStr">
        <is>
          <t>barley</t>
        </is>
      </c>
      <c r="B35" t="inlineStr">
        <is>
          <t>payment of a cowherd, two shepherds for the year, who took a quarter for 10 weeks, 15½ quarters 2 bushels.</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2</v>
      </c>
      <c r="Z35" t="n">
        <v>0.25</v>
      </c>
      <c r="AA35" t="n">
        <v>0.25</v>
      </c>
      <c r="AB35" t="n">
        <v>0</v>
      </c>
      <c r="AC35" t="n">
        <v>0</v>
      </c>
      <c r="AD35" t="n">
        <v>2</v>
      </c>
      <c r="AM35" t="n">
        <v>0</v>
      </c>
    </row>
    <row r="36">
      <c r="A36" t="inlineStr">
        <is>
          <t>barley</t>
        </is>
      </c>
      <c r="B36" t="inlineStr">
        <is>
          <t>payment of a dairymiaid for [...] 1 quarter for 12 weeks, 4 quarters 2 bushels.</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4</v>
      </c>
      <c r="Y36" t="n">
        <v>2</v>
      </c>
      <c r="Z36" t="n">
        <v>4.25</v>
      </c>
      <c r="AA36" t="n">
        <v>4.25</v>
      </c>
      <c r="AB36" t="n">
        <v>0</v>
      </c>
      <c r="AC36" t="n">
        <v>4</v>
      </c>
      <c r="AD36" t="n">
        <v>2</v>
      </c>
      <c r="AM36" t="n">
        <v>0</v>
      </c>
    </row>
    <row r="37">
      <c r="A37" t="inlineStr">
        <is>
          <t>barley</t>
        </is>
      </c>
      <c r="B37" t="inlineStr">
        <is>
          <t>payment of one boy who guarded animals not used for draught from the feast of st john [24 june] until the feast of st michael 1 quarter.</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M37" t="n">
        <v>0</v>
      </c>
    </row>
    <row r="38">
      <c r="A38" t="inlineStr">
        <is>
          <t>barley</t>
        </is>
      </c>
      <c r="B38" t="inlineStr">
        <is>
          <t>sum 68 quarters 5 bushels.</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68</v>
      </c>
      <c r="Y38" t="n">
        <v>5</v>
      </c>
      <c r="Z38" t="n">
        <v>68.62</v>
      </c>
      <c r="AA38" t="n">
        <v>68.62</v>
      </c>
      <c r="AB38" t="n">
        <v>0</v>
      </c>
      <c r="AC38" t="n">
        <v>68</v>
      </c>
      <c r="AD38" t="n">
        <v>5</v>
      </c>
      <c r="AM38" t="n">
        <v>0</v>
      </c>
    </row>
    <row r="39">
      <c r="A39" t="inlineStr">
        <is>
          <t>barley</t>
        </is>
      </c>
      <c r="B39" t="inlineStr">
        <is>
          <t>sum 68 quarters 5 bushels.</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68</v>
      </c>
      <c r="Y39" t="n">
        <v>5</v>
      </c>
      <c r="Z39" t="n">
        <v>68.62</v>
      </c>
      <c r="AA39" t="n">
        <v>68.62</v>
      </c>
      <c r="AB39" t="n">
        <v>0</v>
      </c>
      <c r="AC39" t="n">
        <v>68</v>
      </c>
      <c r="AD39" t="n">
        <v>5</v>
      </c>
      <c r="AM39" t="n">
        <v>0</v>
      </c>
    </row>
    <row r="40">
      <c r="A40" t="inlineStr">
        <is>
          <t>barley</t>
        </is>
      </c>
      <c r="B40" t="inlineStr">
        <is>
          <t>total</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AM40" t="n">
        <v>0</v>
      </c>
    </row>
    <row r="41">
      <c r="A41" t="inlineStr">
        <is>
          <t>oats</t>
        </is>
      </c>
      <c r="B41" t="inlineStr">
        <is>
          <t>the same render account for 68 quarters 2 bushels of oats from issue of the grange.</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68</v>
      </c>
      <c r="U41" t="n">
        <v>2</v>
      </c>
      <c r="V41" t="n">
        <v>68.25</v>
      </c>
      <c r="W41" t="n">
        <v>0</v>
      </c>
      <c r="X41" t="n">
        <v>68</v>
      </c>
      <c r="Y41" t="n">
        <v>2</v>
      </c>
      <c r="Z41" t="n">
        <v>68.25</v>
      </c>
      <c r="AA41" t="n">
        <v>68.25</v>
      </c>
      <c r="AB41" t="n">
        <v>0</v>
      </c>
      <c r="AC41" t="n">
        <v>68</v>
      </c>
      <c r="AD41" t="n">
        <v>2</v>
      </c>
      <c r="AM41" t="n">
        <v>0</v>
      </c>
    </row>
    <row r="42">
      <c r="A42" t="inlineStr">
        <is>
          <t>oats</t>
        </is>
      </c>
      <c r="B42" t="inlineStr">
        <is>
          <t>and for 9½ quarters from increment of the same.</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M42" t="n">
        <v>0</v>
      </c>
    </row>
    <row r="43">
      <c r="A43" t="inlineStr">
        <is>
          <t>oats</t>
        </is>
      </c>
      <c r="B43" t="inlineStr">
        <is>
          <t>sum 77½ quarters 2 bushels.</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2</v>
      </c>
      <c r="Z43" t="n">
        <v>0.25</v>
      </c>
      <c r="AA43" t="n">
        <v>0.25</v>
      </c>
      <c r="AB43" t="n">
        <v>0</v>
      </c>
      <c r="AC43" t="n">
        <v>0</v>
      </c>
      <c r="AD43" t="n">
        <v>2</v>
      </c>
      <c r="AM43" t="n">
        <v>0</v>
      </c>
    </row>
    <row r="44">
      <c r="A44" t="inlineStr">
        <is>
          <t>oats</t>
        </is>
      </c>
      <c r="B44" t="inlineStr">
        <is>
          <t>sum 77½ quarters 2 bushels.</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2</v>
      </c>
      <c r="Z44" t="n">
        <v>0.25</v>
      </c>
      <c r="AA44" t="n">
        <v>0.25</v>
      </c>
      <c r="AB44" t="n">
        <v>0</v>
      </c>
      <c r="AC44" t="n">
        <v>0</v>
      </c>
      <c r="AD44" t="n">
        <v>2</v>
      </c>
      <c r="AM44" t="n">
        <v>0</v>
      </c>
    </row>
    <row r="45">
      <c r="A45" t="inlineStr">
        <is>
          <t>oats</t>
        </is>
      </c>
      <c r="B45" t="inlineStr">
        <is>
          <t>of which in seed [...] 40 quarters 6 bushels.</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40</v>
      </c>
      <c r="Y45" t="n">
        <v>6</v>
      </c>
      <c r="Z45" t="n">
        <v>40.75</v>
      </c>
      <c r="AA45" t="n">
        <v>40.75</v>
      </c>
      <c r="AB45" t="n">
        <v>0</v>
      </c>
      <c r="AC45" t="n">
        <v>40</v>
      </c>
      <c r="AD45" t="n">
        <v>6</v>
      </c>
      <c r="AM45" t="n">
        <v>0</v>
      </c>
    </row>
    <row r="46">
      <c r="A46" t="inlineStr">
        <is>
          <t>oats</t>
        </is>
      </c>
      <c r="B46" t="inlineStr">
        <is>
          <t>sold as above 14 quarters.</t>
        </is>
      </c>
      <c r="C46" t="n">
        <v>0</v>
      </c>
      <c r="D46" t="n">
        <v>0</v>
      </c>
      <c r="E46" t="n">
        <v>0</v>
      </c>
      <c r="F46" t="n">
        <v>0</v>
      </c>
      <c r="G46" t="n">
        <v>0</v>
      </c>
      <c r="H46" t="n">
        <v>0</v>
      </c>
      <c r="I46" t="n">
        <v>0</v>
      </c>
      <c r="J46" t="n">
        <v>0</v>
      </c>
      <c r="K46" t="n">
        <v>0</v>
      </c>
      <c r="L46" t="n">
        <v>0</v>
      </c>
      <c r="M46" t="n">
        <v>0</v>
      </c>
      <c r="N46" t="n">
        <v>0</v>
      </c>
      <c r="O46" t="n">
        <v>0</v>
      </c>
      <c r="P46" t="n">
        <v>0</v>
      </c>
      <c r="Q46" t="n">
        <v>14</v>
      </c>
      <c r="R46" t="n">
        <v>0</v>
      </c>
      <c r="S46" t="n">
        <v>14</v>
      </c>
      <c r="T46" t="n">
        <v>0</v>
      </c>
      <c r="U46" t="n">
        <v>0</v>
      </c>
      <c r="V46" t="n">
        <v>0</v>
      </c>
      <c r="W46" t="n">
        <v>0</v>
      </c>
      <c r="X46" t="n">
        <v>14</v>
      </c>
      <c r="Y46" t="n">
        <v>0</v>
      </c>
      <c r="Z46" t="n">
        <v>14</v>
      </c>
      <c r="AA46" t="n">
        <v>14</v>
      </c>
      <c r="AB46" t="n">
        <v>0</v>
      </c>
      <c r="AC46" t="n">
        <v>14</v>
      </c>
      <c r="AD46" t="n">
        <v>0</v>
      </c>
      <c r="AM46" t="n">
        <v>0</v>
      </c>
    </row>
    <row r="47">
      <c r="A47" t="inlineStr">
        <is>
          <t>oats</t>
        </is>
      </c>
      <c r="B47" t="inlineStr">
        <is>
          <t>flour for pottage for the famuli 2 quarters.</t>
        </is>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2</v>
      </c>
      <c r="Y47" t="n">
        <v>0</v>
      </c>
      <c r="Z47" t="n">
        <v>2</v>
      </c>
      <c r="AA47" t="n">
        <v>2</v>
      </c>
      <c r="AB47" t="n">
        <v>0</v>
      </c>
      <c r="AC47" t="n">
        <v>2</v>
      </c>
      <c r="AD47" t="n">
        <v>0</v>
      </c>
      <c r="AM47" t="n">
        <v>0</v>
      </c>
    </row>
    <row r="48">
      <c r="A48" t="inlineStr">
        <is>
          <t>oats</t>
        </is>
      </c>
      <c r="B48" t="inlineStr">
        <is>
          <t>fodder for the cart horse for the year 13 quarters, namely two basins per night, six basins making a bushel.</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13</v>
      </c>
      <c r="Y48" t="n">
        <v>0</v>
      </c>
      <c r="Z48" t="n">
        <v>13</v>
      </c>
      <c r="AA48" t="n">
        <v>13</v>
      </c>
      <c r="AB48" t="n">
        <v>0</v>
      </c>
      <c r="AC48" t="n">
        <v>13</v>
      </c>
      <c r="AD48" t="n">
        <v>0</v>
      </c>
      <c r="AM48" t="n">
        <v>0</v>
      </c>
    </row>
    <row r="49">
      <c r="A49" t="inlineStr">
        <is>
          <t>oats</t>
        </is>
      </c>
      <c r="B49" t="inlineStr">
        <is>
          <t>fodder for 4 affers while they were sowing oats and barley 4½ quarters.</t>
        </is>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n">
        <v>0</v>
      </c>
      <c r="AM49" t="n">
        <v>0</v>
      </c>
    </row>
    <row r="50">
      <c r="A50" t="inlineStr">
        <is>
          <t>oats</t>
        </is>
      </c>
      <c r="B50" t="inlineStr">
        <is>
          <t>sown between the roots of the saplings in the new garden 3 bushels.</t>
        </is>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3</v>
      </c>
      <c r="Z50" t="n">
        <v>0.38</v>
      </c>
      <c r="AA50" t="n">
        <v>0.38</v>
      </c>
      <c r="AB50" t="n">
        <v>0</v>
      </c>
      <c r="AC50" t="n">
        <v>0</v>
      </c>
      <c r="AD50" t="n">
        <v>3</v>
      </c>
      <c r="AM50" t="n">
        <v>0</v>
      </c>
    </row>
    <row r="51">
      <c r="A51" t="inlineStr">
        <is>
          <t>oats</t>
        </is>
      </c>
      <c r="B51" t="inlineStr">
        <is>
          <t>fattening geese 1 quarter.</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M51" t="n">
        <v>0</v>
      </c>
    </row>
    <row r="52">
      <c r="A52" t="inlineStr">
        <is>
          <t>oats</t>
        </is>
      </c>
      <c r="B52" t="inlineStr">
        <is>
          <t>fodder for elias de cumb on two visits 10 bushels.</t>
        </is>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10</v>
      </c>
      <c r="Z52" t="n">
        <v>1.25</v>
      </c>
      <c r="AA52" t="n">
        <v>1.25</v>
      </c>
      <c r="AB52" t="n">
        <v>0</v>
      </c>
      <c r="AC52" t="n">
        <v>0</v>
      </c>
      <c r="AD52" t="n">
        <v>10</v>
      </c>
      <c r="AM52" t="n">
        <v>0</v>
      </c>
    </row>
    <row r="53">
      <c r="A53" t="inlineStr">
        <is>
          <t>oats</t>
        </is>
      </c>
      <c r="B53" t="inlineStr">
        <is>
          <t>fodder of john de brettveill on the wednesday of christmas week 2 bushels.</t>
        </is>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2</v>
      </c>
      <c r="Z53" t="n">
        <v>0.25</v>
      </c>
      <c r="AA53" t="n">
        <v>0.25</v>
      </c>
      <c r="AB53" t="n">
        <v>0</v>
      </c>
      <c r="AC53" t="n">
        <v>0</v>
      </c>
      <c r="AD53" t="n">
        <v>2</v>
      </c>
      <c r="AM53" t="n">
        <v>0</v>
      </c>
    </row>
    <row r="54">
      <c r="A54" t="inlineStr">
        <is>
          <t>oats</t>
        </is>
      </c>
      <c r="B54" t="inlineStr">
        <is>
          <t>fodder of reginald, clerk of the lord, before epiphany [6 january] 2 bushels.</t>
        </is>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2</v>
      </c>
      <c r="Z54" t="n">
        <v>0.25</v>
      </c>
      <c r="AA54" t="n">
        <v>0.25</v>
      </c>
      <c r="AB54" t="n">
        <v>0</v>
      </c>
      <c r="AC54" t="n">
        <v>0</v>
      </c>
      <c r="AD54" t="n">
        <v>2</v>
      </c>
      <c r="AM54" t="n">
        <v>0</v>
      </c>
    </row>
    <row r="55">
      <c r="A55" t="inlineStr">
        <is>
          <t>oats</t>
        </is>
      </c>
      <c r="B55" t="inlineStr">
        <is>
          <t>fodder of william the clerk on one visit 1 bushel.</t>
        </is>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0</v>
      </c>
      <c r="Z55" t="n">
        <v>0</v>
      </c>
      <c r="AA55" t="n">
        <v>0</v>
      </c>
      <c r="AB55" t="n">
        <v>0</v>
      </c>
      <c r="AC55" t="n">
        <v>0</v>
      </c>
      <c r="AD55" t="n">
        <v>0</v>
      </c>
      <c r="AM55" t="n">
        <v>0</v>
      </c>
    </row>
    <row r="56">
      <c r="A56" t="inlineStr">
        <is>
          <t>oats</t>
        </is>
      </c>
      <c r="B56" t="inlineStr">
        <is>
          <t>fodder of philip, steward, for his one visit 2 bushels.</t>
        </is>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2</v>
      </c>
      <c r="Z56" t="n">
        <v>0.25</v>
      </c>
      <c r="AA56" t="n">
        <v>0.25</v>
      </c>
      <c r="AB56" t="n">
        <v>0</v>
      </c>
      <c r="AC56" t="n">
        <v>0</v>
      </c>
      <c r="AD56" t="n">
        <v>2</v>
      </c>
      <c r="AM56" t="n">
        <v>0</v>
      </c>
    </row>
    <row r="57">
      <c r="A57" t="inlineStr">
        <is>
          <t>oats</t>
        </is>
      </c>
      <c r="B57" t="inlineStr">
        <is>
          <t>sum 77½ quarters 2 bushels.</t>
        </is>
      </c>
      <c r="C57" t="n">
        <v>0</v>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0</v>
      </c>
      <c r="Y57" t="n">
        <v>2</v>
      </c>
      <c r="Z57" t="n">
        <v>0.25</v>
      </c>
      <c r="AA57" t="n">
        <v>0.25</v>
      </c>
      <c r="AB57" t="n">
        <v>0</v>
      </c>
      <c r="AC57" t="n">
        <v>0</v>
      </c>
      <c r="AD57" t="n">
        <v>2</v>
      </c>
      <c r="AM57" t="n">
        <v>0</v>
      </c>
    </row>
    <row r="58">
      <c r="A58" t="inlineStr">
        <is>
          <t>oats</t>
        </is>
      </c>
      <c r="B58" t="inlineStr">
        <is>
          <t>sum 77½ quarters 2 bushels.</t>
        </is>
      </c>
      <c r="C58" t="n">
        <v>0</v>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2</v>
      </c>
      <c r="Z58" t="n">
        <v>0.25</v>
      </c>
      <c r="AA58" t="n">
        <v>0.25</v>
      </c>
      <c r="AB58" t="n">
        <v>0</v>
      </c>
      <c r="AC58" t="n">
        <v>0</v>
      </c>
      <c r="AD58" t="n">
        <v>2</v>
      </c>
      <c r="AM58" t="n">
        <v>0</v>
      </c>
    </row>
    <row r="59">
      <c r="A59" t="inlineStr">
        <is>
          <t>oats</t>
        </is>
      </c>
      <c r="B59" t="inlineStr">
        <is>
          <t>total</t>
        </is>
      </c>
      <c r="C59" t="n">
        <v>0</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AM59" t="n">
        <v>0</v>
      </c>
    </row>
    <row r="60">
      <c r="A60" t="inlineStr">
        <is>
          <t>beans</t>
        </is>
      </c>
      <c r="B60" t="inlineStr">
        <is>
          <t>the same render account for 3 quarters 1 bushel of beans from issue of the grange.</t>
        </is>
      </c>
      <c r="C60" t="n">
        <v>0</v>
      </c>
      <c r="D60" t="n">
        <v>0</v>
      </c>
      <c r="E60" t="n">
        <v>0</v>
      </c>
      <c r="F60" t="n">
        <v>0</v>
      </c>
      <c r="G60" t="n">
        <v>0</v>
      </c>
      <c r="H60" t="n">
        <v>0</v>
      </c>
      <c r="I60" t="n">
        <v>0</v>
      </c>
      <c r="J60" t="n">
        <v>0</v>
      </c>
      <c r="K60" t="n">
        <v>0</v>
      </c>
      <c r="L60" t="n">
        <v>0</v>
      </c>
      <c r="M60" t="n">
        <v>0</v>
      </c>
      <c r="N60" t="n">
        <v>0</v>
      </c>
      <c r="O60" t="n">
        <v>0</v>
      </c>
      <c r="P60" t="n">
        <v>0</v>
      </c>
      <c r="Q60" t="n">
        <v>0</v>
      </c>
      <c r="R60" t="n">
        <v>0</v>
      </c>
      <c r="S60" t="n">
        <v>0</v>
      </c>
      <c r="T60" t="n">
        <v>3</v>
      </c>
      <c r="U60" t="n">
        <v>0</v>
      </c>
      <c r="V60" t="n">
        <v>3</v>
      </c>
      <c r="W60" t="n">
        <v>0</v>
      </c>
      <c r="X60" t="n">
        <v>3</v>
      </c>
      <c r="Y60" t="n">
        <v>0</v>
      </c>
      <c r="Z60" t="n">
        <v>3</v>
      </c>
      <c r="AA60" t="n">
        <v>3</v>
      </c>
      <c r="AB60" t="n">
        <v>0</v>
      </c>
      <c r="AC60" t="n">
        <v>3</v>
      </c>
      <c r="AD60" t="n">
        <v>0</v>
      </c>
      <c r="AM60" t="n">
        <v>0</v>
      </c>
    </row>
    <row r="61">
      <c r="A61" t="inlineStr">
        <is>
          <t>beans</t>
        </is>
      </c>
      <c r="B61" t="inlineStr">
        <is>
          <t>and for 3 bushels from increment of the same.</t>
        </is>
      </c>
      <c r="C61" t="n">
        <v>0</v>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3</v>
      </c>
      <c r="Z61" t="n">
        <v>0.38</v>
      </c>
      <c r="AA61" t="n">
        <v>0.38</v>
      </c>
      <c r="AB61" t="n">
        <v>0</v>
      </c>
      <c r="AC61" t="n">
        <v>0</v>
      </c>
      <c r="AD61" t="n">
        <v>3</v>
      </c>
      <c r="AM61" t="n">
        <v>0</v>
      </c>
    </row>
    <row r="62">
      <c r="A62" t="inlineStr">
        <is>
          <t>beans</t>
        </is>
      </c>
      <c r="B62" t="inlineStr">
        <is>
          <t>sum 3½ quarters.</t>
        </is>
      </c>
      <c r="C62" t="n">
        <v>0</v>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M62" t="n">
        <v>0</v>
      </c>
    </row>
    <row r="63">
      <c r="A63" t="inlineStr">
        <is>
          <t>beans</t>
        </is>
      </c>
      <c r="B63" t="inlineStr">
        <is>
          <t>sum 3½ quarters.</t>
        </is>
      </c>
      <c r="C63" t="n">
        <v>0</v>
      </c>
      <c r="D63" t="n">
        <v>0</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c r="AM63" t="n">
        <v>0</v>
      </c>
    </row>
    <row r="64">
      <c r="A64" t="inlineStr">
        <is>
          <t>beans</t>
        </is>
      </c>
      <c r="B64" t="inlineStr">
        <is>
          <t>of which in seed and for planting 6 bushels.</t>
        </is>
      </c>
      <c r="C64" t="n">
        <v>0</v>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6</v>
      </c>
      <c r="Z64" t="n">
        <v>0.75</v>
      </c>
      <c r="AA64" t="n">
        <v>0.75</v>
      </c>
      <c r="AB64" t="n">
        <v>0</v>
      </c>
      <c r="AC64" t="n">
        <v>0</v>
      </c>
      <c r="AD64" t="n">
        <v>6</v>
      </c>
      <c r="AM64" t="n">
        <v>0</v>
      </c>
    </row>
    <row r="65">
      <c r="A65" t="inlineStr">
        <is>
          <t>beans</t>
        </is>
      </c>
      <c r="B65" t="inlineStr">
        <is>
          <t>sold as above 2½ quarters 2 bushels.</t>
        </is>
      </c>
      <c r="C65" t="n">
        <v>0</v>
      </c>
      <c r="D65" t="n">
        <v>0</v>
      </c>
      <c r="E65" t="n">
        <v>0</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2</v>
      </c>
      <c r="Z65" t="n">
        <v>0.25</v>
      </c>
      <c r="AA65" t="n">
        <v>0.25</v>
      </c>
      <c r="AB65" t="n">
        <v>0</v>
      </c>
      <c r="AC65" t="n">
        <v>0</v>
      </c>
      <c r="AD65" t="n">
        <v>2</v>
      </c>
      <c r="AM65" t="n">
        <v>0</v>
      </c>
    </row>
    <row r="66">
      <c r="A66" t="inlineStr">
        <is>
          <t>beans</t>
        </is>
      </c>
      <c r="B66" t="inlineStr">
        <is>
          <t>sum 3½ quarters.</t>
        </is>
      </c>
      <c r="C66" t="n">
        <v>0</v>
      </c>
      <c r="D66" t="n">
        <v>0</v>
      </c>
      <c r="E66" t="n">
        <v>0</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M66" t="n">
        <v>0</v>
      </c>
    </row>
    <row r="67">
      <c r="A67" t="inlineStr">
        <is>
          <t>beans</t>
        </is>
      </c>
      <c r="B67" t="inlineStr">
        <is>
          <t>sum 3½ quarters.</t>
        </is>
      </c>
      <c r="C67" t="n">
        <v>0</v>
      </c>
      <c r="D67" t="n">
        <v>0</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M67" t="n">
        <v>0</v>
      </c>
    </row>
    <row r="68">
      <c r="A68" t="inlineStr">
        <is>
          <t>beans</t>
        </is>
      </c>
      <c r="B68" t="inlineStr">
        <is>
          <t>--- page 7 ---.</t>
        </is>
      </c>
      <c r="C68" t="n">
        <v>0</v>
      </c>
      <c r="D68" t="n">
        <v>0</v>
      </c>
      <c r="E68" t="n">
        <v>0</v>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c r="AM68" t="n">
        <v>0</v>
      </c>
    </row>
    <row r="69">
      <c r="A69" t="inlineStr">
        <is>
          <t>beans</t>
        </is>
      </c>
      <c r="B69" t="inlineStr">
        <is>
          <t>total</t>
        </is>
      </c>
      <c r="C69" t="n">
        <v>0</v>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0</v>
      </c>
      <c r="W69" t="n">
        <v>0</v>
      </c>
      <c r="AM69" t="n">
        <v>0</v>
      </c>
    </row>
    <row r="70">
      <c r="A70" t="inlineStr">
        <is>
          <t>peas</t>
        </is>
      </c>
      <c r="B70" t="inlineStr">
        <is>
          <t>the same render account for 1 ½ quarters 1 bushel of peas from issue of the grange.</t>
        </is>
      </c>
      <c r="C70" t="n">
        <v>0</v>
      </c>
      <c r="D70" t="n">
        <v>0</v>
      </c>
      <c r="E70" t="n">
        <v>0</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0</v>
      </c>
      <c r="AM70" t="n">
        <v>0</v>
      </c>
    </row>
    <row r="71">
      <c r="A71" t="inlineStr">
        <is>
          <t>peas</t>
        </is>
      </c>
      <c r="B71" t="inlineStr">
        <is>
          <t>and for 1 bushel from increment of the same.</t>
        </is>
      </c>
      <c r="C71" t="n">
        <v>0</v>
      </c>
      <c r="D71" t="n">
        <v>0</v>
      </c>
      <c r="E71" t="n">
        <v>0</v>
      </c>
      <c r="F71" t="n">
        <v>0</v>
      </c>
      <c r="G71" t="n">
        <v>0</v>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C71" t="n">
        <v>0</v>
      </c>
      <c r="AD71" t="n">
        <v>0</v>
      </c>
      <c r="AM71" t="n">
        <v>0</v>
      </c>
    </row>
    <row r="72">
      <c r="A72" t="inlineStr">
        <is>
          <t>peas</t>
        </is>
      </c>
      <c r="B72" t="inlineStr">
        <is>
          <t>sum 1 ½ quarters 2 bushels.</t>
        </is>
      </c>
      <c r="C72" t="n">
        <v>0</v>
      </c>
      <c r="D72" t="n">
        <v>0</v>
      </c>
      <c r="E72" t="n">
        <v>0</v>
      </c>
      <c r="F72" t="n">
        <v>0</v>
      </c>
      <c r="G72" t="n">
        <v>0</v>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2</v>
      </c>
      <c r="Z72" t="n">
        <v>0.25</v>
      </c>
      <c r="AA72" t="n">
        <v>0.25</v>
      </c>
      <c r="AB72" t="n">
        <v>0</v>
      </c>
      <c r="AC72" t="n">
        <v>0</v>
      </c>
      <c r="AD72" t="n">
        <v>2</v>
      </c>
      <c r="AM72" t="n">
        <v>0</v>
      </c>
    </row>
    <row r="73">
      <c r="A73" t="inlineStr">
        <is>
          <t>peas</t>
        </is>
      </c>
      <c r="B73" t="inlineStr">
        <is>
          <t>sum 1 ½ quarters 2 bushels.</t>
        </is>
      </c>
      <c r="C73" t="n">
        <v>0</v>
      </c>
      <c r="D73" t="n">
        <v>0</v>
      </c>
      <c r="E73" t="n">
        <v>0</v>
      </c>
      <c r="F73" t="n">
        <v>0</v>
      </c>
      <c r="G73" t="n">
        <v>0</v>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2</v>
      </c>
      <c r="Z73" t="n">
        <v>0.25</v>
      </c>
      <c r="AA73" t="n">
        <v>0.25</v>
      </c>
      <c r="AB73" t="n">
        <v>0</v>
      </c>
      <c r="AC73" t="n">
        <v>0</v>
      </c>
      <c r="AD73" t="n">
        <v>2</v>
      </c>
      <c r="AM73" t="n">
        <v>0</v>
      </c>
    </row>
    <row r="74">
      <c r="A74" t="inlineStr">
        <is>
          <t>peas</t>
        </is>
      </c>
      <c r="B74" t="inlineStr">
        <is>
          <t>of which in seed 3 bushels.</t>
        </is>
      </c>
      <c r="C74" t="n">
        <v>0</v>
      </c>
      <c r="D74" t="n">
        <v>0</v>
      </c>
      <c r="E74" t="n">
        <v>0</v>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3</v>
      </c>
      <c r="Z74" t="n">
        <v>0.38</v>
      </c>
      <c r="AA74" t="n">
        <v>0.38</v>
      </c>
      <c r="AB74" t="n">
        <v>0</v>
      </c>
      <c r="AC74" t="n">
        <v>0</v>
      </c>
      <c r="AD74" t="n">
        <v>3</v>
      </c>
      <c r="AM74" t="n">
        <v>0</v>
      </c>
    </row>
    <row r="75">
      <c r="A75" t="inlineStr">
        <is>
          <t>peas</t>
        </is>
      </c>
      <c r="B75" t="inlineStr">
        <is>
          <t>sold as above 1 quarter 2 bushels.</t>
        </is>
      </c>
      <c r="C75" t="n">
        <v>0</v>
      </c>
      <c r="D75" t="n">
        <v>0</v>
      </c>
      <c r="E75" t="n">
        <v>0</v>
      </c>
      <c r="F75" t="n">
        <v>0</v>
      </c>
      <c r="G75" t="n">
        <v>0</v>
      </c>
      <c r="H75" t="n">
        <v>0</v>
      </c>
      <c r="I75" t="n">
        <v>0</v>
      </c>
      <c r="J75" t="n">
        <v>0</v>
      </c>
      <c r="K75" t="n">
        <v>0</v>
      </c>
      <c r="L75" t="n">
        <v>0</v>
      </c>
      <c r="M75" t="n">
        <v>0</v>
      </c>
      <c r="N75" t="n">
        <v>0</v>
      </c>
      <c r="O75" t="n">
        <v>0</v>
      </c>
      <c r="P75" t="n">
        <v>0</v>
      </c>
      <c r="Q75" t="n">
        <v>0</v>
      </c>
      <c r="R75" t="n">
        <v>0</v>
      </c>
      <c r="S75" t="n">
        <v>0</v>
      </c>
      <c r="T75" t="n">
        <v>0</v>
      </c>
      <c r="U75" t="n">
        <v>0</v>
      </c>
      <c r="V75" t="n">
        <v>0</v>
      </c>
      <c r="W75" t="n">
        <v>0</v>
      </c>
      <c r="X75" t="n">
        <v>0</v>
      </c>
      <c r="Y75" t="n">
        <v>2</v>
      </c>
      <c r="Z75" t="n">
        <v>0.25</v>
      </c>
      <c r="AA75" t="n">
        <v>0.25</v>
      </c>
      <c r="AB75" t="n">
        <v>0</v>
      </c>
      <c r="AC75" t="n">
        <v>0</v>
      </c>
      <c r="AD75" t="n">
        <v>2</v>
      </c>
      <c r="AM75" t="n">
        <v>0</v>
      </c>
    </row>
    <row r="76">
      <c r="A76" t="inlineStr">
        <is>
          <t>peas</t>
        </is>
      </c>
      <c r="B76" t="inlineStr">
        <is>
          <t>pottage for the serjeant 1 bushel.</t>
        </is>
      </c>
      <c r="C76" t="n">
        <v>0</v>
      </c>
      <c r="D76" t="n">
        <v>0</v>
      </c>
      <c r="E76" t="n">
        <v>0</v>
      </c>
      <c r="F76" t="n">
        <v>0</v>
      </c>
      <c r="G76" t="n">
        <v>0</v>
      </c>
      <c r="H76" t="n">
        <v>0</v>
      </c>
      <c r="I76" t="n">
        <v>0</v>
      </c>
      <c r="J76" t="n">
        <v>0</v>
      </c>
      <c r="K76" t="n">
        <v>0</v>
      </c>
      <c r="L76" t="n">
        <v>0</v>
      </c>
      <c r="M76" t="n">
        <v>0</v>
      </c>
      <c r="N76" t="n">
        <v>0</v>
      </c>
      <c r="O76" t="n">
        <v>0</v>
      </c>
      <c r="P76" t="n">
        <v>0</v>
      </c>
      <c r="Q76" t="n">
        <v>0</v>
      </c>
      <c r="R76" t="n">
        <v>0</v>
      </c>
      <c r="S76" t="n">
        <v>0</v>
      </c>
      <c r="T76" t="n">
        <v>0</v>
      </c>
      <c r="U76" t="n">
        <v>0</v>
      </c>
      <c r="V76" t="n">
        <v>0</v>
      </c>
      <c r="W76" t="n">
        <v>0</v>
      </c>
      <c r="X76" t="n">
        <v>0</v>
      </c>
      <c r="Y76" t="n">
        <v>0</v>
      </c>
      <c r="Z76" t="n">
        <v>0</v>
      </c>
      <c r="AA76" t="n">
        <v>0</v>
      </c>
      <c r="AB76" t="n">
        <v>0</v>
      </c>
      <c r="AC76" t="n">
        <v>0</v>
      </c>
      <c r="AD76" t="n">
        <v>0</v>
      </c>
      <c r="AM76" t="n">
        <v>0</v>
      </c>
    </row>
    <row r="77">
      <c r="A77" t="inlineStr">
        <is>
          <t>peas</t>
        </is>
      </c>
      <c r="B77" t="inlineStr">
        <is>
          <t>sum 1 ½ quarters 2 bushels.</t>
        </is>
      </c>
      <c r="C77" t="n">
        <v>0</v>
      </c>
      <c r="D77" t="n">
        <v>0</v>
      </c>
      <c r="E77" t="n">
        <v>0</v>
      </c>
      <c r="F77" t="n">
        <v>0</v>
      </c>
      <c r="G77" t="n">
        <v>0</v>
      </c>
      <c r="H77" t="n">
        <v>0</v>
      </c>
      <c r="I77" t="n">
        <v>0</v>
      </c>
      <c r="J77" t="n">
        <v>0</v>
      </c>
      <c r="K77" t="n">
        <v>0</v>
      </c>
      <c r="L77" t="n">
        <v>0</v>
      </c>
      <c r="M77" t="n">
        <v>0</v>
      </c>
      <c r="N77" t="n">
        <v>0</v>
      </c>
      <c r="O77" t="n">
        <v>0</v>
      </c>
      <c r="P77" t="n">
        <v>0</v>
      </c>
      <c r="Q77" t="n">
        <v>0</v>
      </c>
      <c r="R77" t="n">
        <v>0</v>
      </c>
      <c r="S77" t="n">
        <v>0</v>
      </c>
      <c r="T77" t="n">
        <v>0</v>
      </c>
      <c r="U77" t="n">
        <v>0</v>
      </c>
      <c r="V77" t="n">
        <v>0</v>
      </c>
      <c r="W77" t="n">
        <v>0</v>
      </c>
      <c r="X77" t="n">
        <v>0</v>
      </c>
      <c r="Y77" t="n">
        <v>2</v>
      </c>
      <c r="Z77" t="n">
        <v>0.25</v>
      </c>
      <c r="AA77" t="n">
        <v>0.25</v>
      </c>
      <c r="AB77" t="n">
        <v>0</v>
      </c>
      <c r="AC77" t="n">
        <v>0</v>
      </c>
      <c r="AD77" t="n">
        <v>2</v>
      </c>
      <c r="AM77" t="n">
        <v>0</v>
      </c>
    </row>
    <row r="78">
      <c r="A78" t="inlineStr">
        <is>
          <t>peas</t>
        </is>
      </c>
      <c r="B78" t="inlineStr">
        <is>
          <t>sum 1 ½ quarters 2 bushels.</t>
        </is>
      </c>
      <c r="C78" t="n">
        <v>0</v>
      </c>
      <c r="D78" t="n">
        <v>0</v>
      </c>
      <c r="E78" t="n">
        <v>0</v>
      </c>
      <c r="F78" t="n">
        <v>0</v>
      </c>
      <c r="G78" t="n">
        <v>0</v>
      </c>
      <c r="H78" t="n">
        <v>0</v>
      </c>
      <c r="I78" t="n">
        <v>0</v>
      </c>
      <c r="J78" t="n">
        <v>0</v>
      </c>
      <c r="K78" t="n">
        <v>0</v>
      </c>
      <c r="L78" t="n">
        <v>0</v>
      </c>
      <c r="M78" t="n">
        <v>0</v>
      </c>
      <c r="N78" t="n">
        <v>0</v>
      </c>
      <c r="O78" t="n">
        <v>0</v>
      </c>
      <c r="P78" t="n">
        <v>0</v>
      </c>
      <c r="Q78" t="n">
        <v>0</v>
      </c>
      <c r="R78" t="n">
        <v>0</v>
      </c>
      <c r="S78" t="n">
        <v>0</v>
      </c>
      <c r="T78" t="n">
        <v>0</v>
      </c>
      <c r="U78" t="n">
        <v>0</v>
      </c>
      <c r="V78" t="n">
        <v>0</v>
      </c>
      <c r="W78" t="n">
        <v>0</v>
      </c>
      <c r="X78" t="n">
        <v>0</v>
      </c>
      <c r="Y78" t="n">
        <v>2</v>
      </c>
      <c r="Z78" t="n">
        <v>0.25</v>
      </c>
      <c r="AA78" t="n">
        <v>0.25</v>
      </c>
      <c r="AB78" t="n">
        <v>0</v>
      </c>
      <c r="AC78" t="n">
        <v>0</v>
      </c>
      <c r="AD78" t="n">
        <v>2</v>
      </c>
      <c r="AM78"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8"/>
  <sheetViews>
    <sheetView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foreign expenses</t>
        </is>
      </c>
      <c r="B2" t="n">
        <v>0</v>
      </c>
      <c r="C2" t="n">
        <v>0</v>
      </c>
      <c r="D2" t="n">
        <v>0</v>
      </c>
      <c r="E2" t="n">
        <v>0</v>
      </c>
      <c r="F2" t="n">
        <v>0</v>
      </c>
      <c r="G2" t="n">
        <v>0</v>
      </c>
      <c r="H2" t="n">
        <v>0</v>
      </c>
      <c r="I2" t="n">
        <v>0</v>
      </c>
      <c r="J2" t="n">
        <v>0</v>
      </c>
      <c r="K2" t="n">
        <v>0</v>
      </c>
      <c r="L2" t="n">
        <v>0</v>
      </c>
      <c r="M2" t="n">
        <v>0</v>
      </c>
    </row>
    <row r="3">
      <c r="A3" t="inlineStr">
        <is>
          <t>wheat</t>
        </is>
      </c>
      <c r="B3" t="n">
        <v>0</v>
      </c>
      <c r="C3" t="n">
        <v>0</v>
      </c>
      <c r="D3" t="n">
        <v>0</v>
      </c>
      <c r="E3" t="n">
        <v>0</v>
      </c>
      <c r="F3" t="n">
        <v>0</v>
      </c>
      <c r="G3" t="n">
        <v>0</v>
      </c>
      <c r="H3" t="n">
        <v>0</v>
      </c>
      <c r="I3" t="n">
        <v>0</v>
      </c>
      <c r="J3" t="n">
        <v>0</v>
      </c>
      <c r="K3" t="n">
        <v>0</v>
      </c>
      <c r="L3" t="n">
        <v>0</v>
      </c>
      <c r="M3" t="n">
        <v>0</v>
      </c>
    </row>
    <row r="4">
      <c r="A4" t="inlineStr">
        <is>
          <t>rye</t>
        </is>
      </c>
      <c r="B4" t="n">
        <v>0</v>
      </c>
      <c r="C4" t="n">
        <v>0</v>
      </c>
      <c r="D4" t="n">
        <v>0</v>
      </c>
      <c r="E4" t="n">
        <v>0</v>
      </c>
      <c r="F4" t="n">
        <v>0</v>
      </c>
      <c r="G4" t="n">
        <v>3</v>
      </c>
      <c r="H4" t="n">
        <v>0</v>
      </c>
      <c r="I4" t="n">
        <v>36</v>
      </c>
      <c r="J4" t="n">
        <v>0</v>
      </c>
      <c r="K4" t="n">
        <v>36</v>
      </c>
      <c r="L4" t="n">
        <v>0</v>
      </c>
      <c r="M4" t="n">
        <v>-36</v>
      </c>
    </row>
    <row r="5">
      <c r="A5" t="inlineStr">
        <is>
          <t>barley</t>
        </is>
      </c>
      <c r="B5" t="n">
        <v>0</v>
      </c>
      <c r="C5" t="n">
        <v>38</v>
      </c>
      <c r="D5" t="n">
        <v>0</v>
      </c>
      <c r="E5" t="n">
        <v>38</v>
      </c>
      <c r="F5" t="n">
        <v>0</v>
      </c>
      <c r="G5" t="n">
        <v>0</v>
      </c>
      <c r="H5" t="n">
        <v>0</v>
      </c>
      <c r="I5" t="n">
        <v>0</v>
      </c>
      <c r="J5" t="n">
        <v>0</v>
      </c>
      <c r="K5" t="n">
        <v>0</v>
      </c>
      <c r="L5" t="n">
        <v>38</v>
      </c>
      <c r="M5" t="n">
        <v>38</v>
      </c>
    </row>
    <row r="6">
      <c r="A6" t="inlineStr">
        <is>
          <t>oats</t>
        </is>
      </c>
      <c r="B6" t="n">
        <v>0</v>
      </c>
      <c r="C6" t="n">
        <v>68</v>
      </c>
      <c r="D6" t="n">
        <v>2</v>
      </c>
      <c r="E6" t="n">
        <v>68.25</v>
      </c>
      <c r="F6" t="n">
        <v>0</v>
      </c>
      <c r="G6" t="n">
        <v>0</v>
      </c>
      <c r="H6" t="n">
        <v>0</v>
      </c>
      <c r="I6" t="n">
        <v>14</v>
      </c>
      <c r="J6" t="n">
        <v>0</v>
      </c>
      <c r="K6" t="n">
        <v>14</v>
      </c>
      <c r="L6" t="n">
        <v>68.25</v>
      </c>
      <c r="M6" t="n">
        <v>54.25</v>
      </c>
    </row>
    <row r="7">
      <c r="A7" t="inlineStr">
        <is>
          <t>beans</t>
        </is>
      </c>
      <c r="B7" t="n">
        <v>0</v>
      </c>
      <c r="C7" t="n">
        <v>0</v>
      </c>
      <c r="D7" t="n">
        <v>0</v>
      </c>
      <c r="E7" t="n">
        <v>3</v>
      </c>
      <c r="F7" t="n">
        <v>0</v>
      </c>
      <c r="G7" t="n">
        <v>0</v>
      </c>
      <c r="H7" t="n">
        <v>0</v>
      </c>
      <c r="I7" t="n">
        <v>0</v>
      </c>
      <c r="J7" t="n">
        <v>0</v>
      </c>
      <c r="K7" t="n">
        <v>0</v>
      </c>
      <c r="L7" t="n">
        <v>3</v>
      </c>
      <c r="M7" t="n">
        <v>3</v>
      </c>
    </row>
    <row r="8">
      <c r="A8" t="inlineStr">
        <is>
          <t>peas</t>
        </is>
      </c>
      <c r="B8" t="n">
        <v>0</v>
      </c>
      <c r="C8" t="n">
        <v>0</v>
      </c>
      <c r="D8" t="n">
        <v>0</v>
      </c>
      <c r="E8" t="n">
        <v>0</v>
      </c>
      <c r="F8" t="n">
        <v>0</v>
      </c>
      <c r="G8" t="n">
        <v>0</v>
      </c>
      <c r="H8" t="n">
        <v>0</v>
      </c>
      <c r="I8" t="n">
        <v>0</v>
      </c>
      <c r="J8" t="n">
        <v>0</v>
      </c>
      <c r="K8" t="n">
        <v>0</v>
      </c>
      <c r="L8" t="n">
        <v>0</v>
      </c>
      <c r="M8" t="n">
        <v>0</v>
      </c>
    </row>
    <row r="9">
      <c r="A9" t="inlineStr">
        <is>
          <t>Mancorn</t>
        </is>
      </c>
      <c r="B9" t="n">
        <v>0</v>
      </c>
      <c r="C9" t="n">
        <v>0</v>
      </c>
      <c r="D9" t="n">
        <v>0</v>
      </c>
      <c r="E9" t="n">
        <v>0</v>
      </c>
      <c r="F9" t="n">
        <v>0</v>
      </c>
      <c r="G9" t="n">
        <v>0</v>
      </c>
      <c r="H9" t="n">
        <v>0</v>
      </c>
      <c r="I9" t="n">
        <v>0</v>
      </c>
      <c r="J9" t="n">
        <v>0</v>
      </c>
      <c r="K9" t="n">
        <v>0</v>
      </c>
      <c r="L9" t="n">
        <v>0</v>
      </c>
      <c r="M9" t="n">
        <v>0</v>
      </c>
    </row>
    <row r="10">
      <c r="A10" t="inlineStr">
        <is>
          <t>Maslin</t>
        </is>
      </c>
      <c r="B10" t="n">
        <v>0</v>
      </c>
      <c r="C10" t="n">
        <v>0</v>
      </c>
      <c r="D10" t="n">
        <v>0</v>
      </c>
      <c r="E10" t="n">
        <v>0</v>
      </c>
      <c r="F10" t="n">
        <v>0</v>
      </c>
      <c r="G10" t="n">
        <v>0</v>
      </c>
      <c r="H10" t="n">
        <v>0</v>
      </c>
      <c r="I10" t="n">
        <v>0</v>
      </c>
      <c r="J10" t="n">
        <v>0</v>
      </c>
      <c r="K10" t="n">
        <v>0</v>
      </c>
      <c r="L10" t="n">
        <v>0</v>
      </c>
      <c r="M10" t="n">
        <v>0</v>
      </c>
    </row>
    <row r="11">
      <c r="A11" t="inlineStr">
        <is>
          <t>First-grade malt</t>
        </is>
      </c>
      <c r="B11" t="n">
        <v>0</v>
      </c>
      <c r="C11" t="n">
        <v>0</v>
      </c>
      <c r="D11" t="n">
        <v>0</v>
      </c>
      <c r="E11" t="n">
        <v>0</v>
      </c>
      <c r="F11" t="n">
        <v>0</v>
      </c>
      <c r="G11" t="n">
        <v>0</v>
      </c>
      <c r="H11" t="n">
        <v>0</v>
      </c>
      <c r="I11" t="n">
        <v>0</v>
      </c>
      <c r="J11" t="n">
        <v>0</v>
      </c>
      <c r="K11" t="n">
        <v>0</v>
      </c>
      <c r="L11" t="n">
        <v>0</v>
      </c>
      <c r="M11" t="n">
        <v>0</v>
      </c>
    </row>
    <row r="12">
      <c r="A12" t="inlineStr">
        <is>
          <t>Second-grade malt</t>
        </is>
      </c>
      <c r="B12" t="n">
        <v>0</v>
      </c>
      <c r="C12" t="n">
        <v>0</v>
      </c>
      <c r="D12" t="n">
        <v>0</v>
      </c>
      <c r="E12" t="n">
        <v>0</v>
      </c>
      <c r="F12" t="n">
        <v>0</v>
      </c>
      <c r="G12" t="n">
        <v>0</v>
      </c>
      <c r="H12" t="n">
        <v>0</v>
      </c>
      <c r="I12" t="n">
        <v>0</v>
      </c>
      <c r="J12" t="n">
        <v>0</v>
      </c>
      <c r="K12" t="n">
        <v>0</v>
      </c>
      <c r="L12" t="n">
        <v>0</v>
      </c>
      <c r="M12" t="n">
        <v>0</v>
      </c>
    </row>
    <row r="13">
      <c r="A13" t="inlineStr">
        <is>
          <t>Oatmeal</t>
        </is>
      </c>
      <c r="B13" t="n">
        <v>0</v>
      </c>
      <c r="C13" t="n">
        <v>0</v>
      </c>
      <c r="D13" t="n">
        <v>0</v>
      </c>
      <c r="E13" t="n">
        <v>0</v>
      </c>
      <c r="F13" t="n">
        <v>0</v>
      </c>
      <c r="G13" t="n">
        <v>0</v>
      </c>
      <c r="H13" t="n">
        <v>0</v>
      </c>
      <c r="I13" t="n">
        <v>0</v>
      </c>
      <c r="J13" t="n">
        <v>0</v>
      </c>
      <c r="K13" t="n">
        <v>0</v>
      </c>
      <c r="L13" t="n">
        <v>0</v>
      </c>
      <c r="M13" t="n">
        <v>0</v>
      </c>
    </row>
    <row r="14">
      <c r="A14" t="inlineStr">
        <is>
          <t>Vetches</t>
        </is>
      </c>
      <c r="B14" t="n">
        <v>0</v>
      </c>
      <c r="C14" t="n">
        <v>0</v>
      </c>
      <c r="D14" t="n">
        <v>0</v>
      </c>
      <c r="E14" t="n">
        <v>0</v>
      </c>
      <c r="F14" t="n">
        <v>0</v>
      </c>
      <c r="G14" t="n">
        <v>0</v>
      </c>
      <c r="H14" t="n">
        <v>0</v>
      </c>
      <c r="I14" t="n">
        <v>0</v>
      </c>
      <c r="J14" t="n">
        <v>0</v>
      </c>
      <c r="K14" t="n">
        <v>0</v>
      </c>
      <c r="L14" t="n">
        <v>0</v>
      </c>
      <c r="M14" t="n">
        <v>0</v>
      </c>
    </row>
    <row r="15">
      <c r="A15" t="inlineStr">
        <is>
          <t>Dredge</t>
        </is>
      </c>
      <c r="B15" t="n">
        <v>0</v>
      </c>
      <c r="C15" t="n">
        <v>0</v>
      </c>
      <c r="D15" t="n">
        <v>0</v>
      </c>
      <c r="E15" t="n">
        <v>0</v>
      </c>
      <c r="F15" t="n">
        <v>0</v>
      </c>
      <c r="G15" t="n">
        <v>0</v>
      </c>
      <c r="H15" t="n">
        <v>0</v>
      </c>
      <c r="I15" t="n">
        <v>0</v>
      </c>
      <c r="J15" t="n">
        <v>0</v>
      </c>
      <c r="K15" t="n">
        <v>0</v>
      </c>
      <c r="L15" t="n">
        <v>0</v>
      </c>
      <c r="M15" t="n">
        <v>0</v>
      </c>
    </row>
    <row r="16">
      <c r="A16" t="inlineStr">
        <is>
          <t>Malt</t>
        </is>
      </c>
      <c r="B16" t="n">
        <v>0</v>
      </c>
      <c r="C16" t="n">
        <v>0</v>
      </c>
      <c r="D16" t="n">
        <v>0</v>
      </c>
      <c r="E16" t="n">
        <v>0</v>
      </c>
      <c r="F16" t="n">
        <v>0</v>
      </c>
      <c r="G16" t="n">
        <v>0</v>
      </c>
      <c r="H16" t="n">
        <v>0</v>
      </c>
      <c r="I16" t="n">
        <v>0</v>
      </c>
      <c r="J16" t="n">
        <v>0</v>
      </c>
      <c r="K16" t="n">
        <v>0</v>
      </c>
      <c r="L16" t="n">
        <v>0</v>
      </c>
      <c r="M16" t="n">
        <v>0</v>
      </c>
    </row>
    <row r="17">
      <c r="A17" t="inlineStr">
        <is>
          <t>Meal</t>
        </is>
      </c>
      <c r="B17" t="n">
        <v>0</v>
      </c>
      <c r="C17" t="n">
        <v>0</v>
      </c>
      <c r="D17" t="n">
        <v>0</v>
      </c>
      <c r="E17" t="n">
        <v>0</v>
      </c>
      <c r="F17" t="n">
        <v>0</v>
      </c>
      <c r="G17" t="n">
        <v>0</v>
      </c>
      <c r="H17" t="n">
        <v>0</v>
      </c>
      <c r="I17" t="n">
        <v>0</v>
      </c>
      <c r="J17" t="n">
        <v>0</v>
      </c>
      <c r="K17" t="n">
        <v>0</v>
      </c>
      <c r="L17" t="n">
        <v>0</v>
      </c>
      <c r="M17" t="n">
        <v>0</v>
      </c>
    </row>
    <row r="18">
      <c r="A18" t="inlineStr">
        <is>
          <t>Curall</t>
        </is>
      </c>
      <c r="B18" t="n">
        <v>0</v>
      </c>
      <c r="C18" t="n">
        <v>0</v>
      </c>
      <c r="D18" t="n">
        <v>0</v>
      </c>
      <c r="E18" t="n">
        <v>0</v>
      </c>
      <c r="F18" t="n">
        <v>0</v>
      </c>
      <c r="G18" t="n">
        <v>0</v>
      </c>
      <c r="H18" t="n">
        <v>0</v>
      </c>
      <c r="I18" t="n">
        <v>0</v>
      </c>
      <c r="J18" t="n">
        <v>0</v>
      </c>
      <c r="K18" t="n">
        <v>0</v>
      </c>
      <c r="L18" t="n">
        <v>0</v>
      </c>
      <c r="M18"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L1"/>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Quarters 2</t>
        </is>
      </c>
      <c r="V1" t="inlineStr">
        <is>
          <t>Bushels 2</t>
        </is>
      </c>
      <c r="W1" t="inlineStr">
        <is>
          <t>shilling a quarter 3</t>
        </is>
      </c>
      <c r="X1" t="inlineStr">
        <is>
          <t>pence a quarter 3</t>
        </is>
      </c>
      <c r="Y1" t="inlineStr">
        <is>
          <t>Quarters 3</t>
        </is>
      </c>
      <c r="Z1" t="inlineStr">
        <is>
          <t>Bushels 3</t>
        </is>
      </c>
      <c r="AA1" t="inlineStr">
        <is>
          <t>shilling a quarter 4</t>
        </is>
      </c>
      <c r="AB1" t="inlineStr">
        <is>
          <t>pence a quarter 4</t>
        </is>
      </c>
      <c r="AC1" t="inlineStr">
        <is>
          <t>Quarters 4</t>
        </is>
      </c>
      <c r="AD1" t="inlineStr">
        <is>
          <t>Bushels 4</t>
        </is>
      </c>
      <c r="AE1" t="inlineStr">
        <is>
          <t>£ a quarter 1</t>
        </is>
      </c>
      <c r="AF1" t="inlineStr">
        <is>
          <t>£ a quarter 2</t>
        </is>
      </c>
      <c r="AG1" t="inlineStr">
        <is>
          <t>£ a quarter 3</t>
        </is>
      </c>
      <c r="AH1" t="inlineStr">
        <is>
          <t>£ a quarter 4</t>
        </is>
      </c>
      <c r="AI1" t="inlineStr">
        <is>
          <t>Quarters Sold</t>
        </is>
      </c>
      <c r="AJ1" t="inlineStr">
        <is>
          <t>Weighted Average Price per Quarter</t>
        </is>
      </c>
      <c r="AK1" t="inlineStr">
        <is>
          <t>Non-Weighted Average Price per Quarter</t>
        </is>
      </c>
      <c r="AL1" t="inlineStr">
        <is>
          <t>Corn lowercase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07"/>
  <sheetViews>
    <sheetView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ESHER_1248 EXPENSES</t>
        </is>
      </c>
      <c r="B1" s="128" t="n"/>
      <c r="C1" s="128" t="n"/>
      <c r="D1" s="128" t="n"/>
      <c r="E1" s="128" t="n"/>
      <c r="F1" s="128" t="n"/>
      <c r="G1" s="128" t="n"/>
      <c r="H1" s="128" t="n"/>
    </row>
    <row r="2" ht="31" customHeight="1">
      <c r="A2" s="129" t="inlineStr">
        <is>
          <t>Heading</t>
        </is>
      </c>
      <c r="B2" s="130" t="inlineStr">
        <is>
          <t>£</t>
        </is>
      </c>
      <c r="C2" s="131" t="inlineStr">
        <is>
          <t>s</t>
        </is>
      </c>
      <c r="D2" s="131" t="inlineStr">
        <is>
          <t>d</t>
        </is>
      </c>
      <c r="E2" s="132" t="n"/>
      <c r="F2" s="133" t="inlineStr">
        <is>
          <t>Total in £</t>
        </is>
      </c>
      <c r="G2" s="134" t="inlineStr">
        <is>
          <t>Error</t>
        </is>
      </c>
      <c r="H2" s="135" t="inlineStr">
        <is>
          <t>Sentence</t>
        </is>
      </c>
      <c r="I2" t="inlineStr">
        <is>
          <t>Fixed Investments</t>
        </is>
      </c>
      <c r="J2" t="inlineStr">
        <is>
          <t>Demesne Fixed Investments</t>
        </is>
      </c>
    </row>
    <row r="3">
      <c r="A3" s="136" t="n"/>
      <c r="B3" s="128" t="n"/>
      <c r="C3" s="128" t="n"/>
      <c r="D3" s="128" t="n"/>
      <c r="E3" s="128" t="n"/>
      <c r="F3" s="128" t="n"/>
      <c r="G3" s="128" t="n"/>
      <c r="H3" s="128" t="n"/>
    </row>
    <row r="4">
      <c r="A4" s="137" t="inlineStr">
        <is>
          <t>Necessary expenses</t>
        </is>
      </c>
      <c r="B4" s="128" t="n">
        <v>0</v>
      </c>
      <c r="C4" s="128" t="n">
        <v>10</v>
      </c>
      <c r="D4" s="128" t="n">
        <v>5</v>
      </c>
      <c r="E4" s="128" t="n"/>
      <c r="F4" s="128" t="n">
        <v>0.52</v>
      </c>
      <c r="G4" s="128" t="n"/>
      <c r="H4" s="128" t="inlineStr">
        <is>
          <t>Paid for the manor of Northwode to the tenant-in-chief 10 shilling Paid to Hugh de Brugeford for certain land at Northwode 5 pence, for ½ pound of pepper which is owed to him.</t>
        </is>
      </c>
    </row>
    <row r="5">
      <c r="A5" s="136" t="inlineStr">
        <is>
          <t>Necessary expenses</t>
        </is>
      </c>
      <c r="B5" s="128" t="n">
        <v>0</v>
      </c>
      <c r="C5" s="128" t="n">
        <v>0</v>
      </c>
      <c r="D5" s="128" t="n">
        <v>0</v>
      </c>
      <c r="E5" s="128" t="n"/>
      <c r="F5" s="128" t="n">
        <v>0</v>
      </c>
      <c r="G5" s="128" t="n"/>
      <c r="H5" s="128" t="inlineStr">
        <is>
          <t>from henceforth assessed by the quantity of pepper and not by price.</t>
        </is>
      </c>
    </row>
    <row r="6">
      <c r="A6" s="136" t="inlineStr">
        <is>
          <t>Necessary expenses</t>
        </is>
      </c>
      <c r="B6" s="128" t="n">
        <v>0</v>
      </c>
      <c r="C6" s="128" t="n">
        <v>23</v>
      </c>
      <c r="D6" s="128" t="n">
        <v>9</v>
      </c>
      <c r="E6" s="128" t="n"/>
      <c r="F6" s="128" t="n">
        <v>1.19</v>
      </c>
      <c r="G6" s="128" t="n"/>
      <c r="H6" s="128" t="inlineStr">
        <is>
          <t>And for the surplus due for the third year 23 shilling 9pence.</t>
        </is>
      </c>
    </row>
    <row r="7">
      <c r="A7" s="136" t="inlineStr">
        <is>
          <t>Necessary expenses</t>
        </is>
      </c>
      <c r="B7" s="128" t="n">
        <v>0</v>
      </c>
      <c r="C7" s="128" t="n">
        <v>5</v>
      </c>
      <c r="D7" s="128" t="n">
        <v>0</v>
      </c>
      <c r="E7" s="128" t="n"/>
      <c r="F7" s="128" t="n">
        <v>0.25</v>
      </c>
      <c r="G7" s="128" t="n"/>
      <c r="H7" s="128" t="inlineStr">
        <is>
          <t>ironwork on two ploughs for the year 5 shilling 3½d.</t>
        </is>
      </c>
    </row>
    <row r="8">
      <c r="A8" s="136" t="inlineStr">
        <is>
          <t>Necessary expenses</t>
        </is>
      </c>
      <c r="B8" s="128" t="n">
        <v>0</v>
      </c>
      <c r="C8" s="128" t="n">
        <v>4</v>
      </c>
      <c r="D8" s="128" t="n">
        <v>2</v>
      </c>
      <c r="E8" s="128" t="n"/>
      <c r="F8" s="128" t="n">
        <v>0.21</v>
      </c>
      <c r="G8" s="128" t="n"/>
      <c r="H8" s="128" t="inlineStr">
        <is>
          <t>stipend of a smith for the year 4 shilling 2pence.</t>
        </is>
      </c>
    </row>
    <row r="9">
      <c r="A9" s="136" t="inlineStr">
        <is>
          <t>Necessary expenses</t>
        </is>
      </c>
      <c r="B9" s="128" t="n">
        <v>0</v>
      </c>
      <c r="C9" s="128" t="n">
        <v>0</v>
      </c>
      <c r="D9" s="128" t="n">
        <v>6</v>
      </c>
      <c r="E9" s="128" t="n"/>
      <c r="F9" s="128" t="n">
        <v>0.03</v>
      </c>
      <c r="G9" s="128" t="n"/>
      <c r="H9" s="128" t="inlineStr">
        <is>
          <t>two pairs of wheels for ploughs bought for the year 6pence.</t>
        </is>
      </c>
    </row>
    <row r="10">
      <c r="A10" s="136" t="inlineStr">
        <is>
          <t>Necessary expenses</t>
        </is>
      </c>
      <c r="B10" s="128" t="n">
        <v>0</v>
      </c>
      <c r="C10" s="128" t="n">
        <v>0</v>
      </c>
      <c r="D10" s="128" t="n">
        <v>2</v>
      </c>
      <c r="E10" s="128" t="n"/>
      <c r="F10" s="128" t="n">
        <v>0.01</v>
      </c>
      <c r="G10" s="128" t="n"/>
      <c r="H10" s="128" t="inlineStr">
        <is>
          <t>four halters cut 2pence.</t>
        </is>
      </c>
    </row>
    <row r="11">
      <c r="A11" s="136" t="inlineStr">
        <is>
          <t>Necessary expenses</t>
        </is>
      </c>
      <c r="B11" s="128" t="n">
        <v>0</v>
      </c>
      <c r="C11" s="128" t="n">
        <v>0</v>
      </c>
      <c r="D11" s="128" t="n">
        <v>3</v>
      </c>
      <c r="E11" s="128" t="n"/>
      <c r="F11" s="128" t="n">
        <v>0.01</v>
      </c>
      <c r="G11" s="128" t="n"/>
      <c r="H11" s="128" t="inlineStr">
        <is>
          <t>a halter of leather 3pence.</t>
        </is>
      </c>
    </row>
    <row r="12">
      <c r="A12" s="136" t="inlineStr">
        <is>
          <t>Necessary expenses</t>
        </is>
      </c>
      <c r="B12" s="128" t="n">
        <v>0</v>
      </c>
      <c r="C12" s="128" t="n">
        <v>2</v>
      </c>
      <c r="D12" s="128" t="n">
        <v>0</v>
      </c>
      <c r="E12" s="128" t="n"/>
      <c r="F12" s="128" t="n">
        <v>0.1</v>
      </c>
      <c r="G12" s="128" t="n"/>
      <c r="H12" s="128" t="inlineStr">
        <is>
          <t>shoeing cart horses for the year 2 shilling.</t>
        </is>
      </c>
    </row>
    <row r="13">
      <c r="A13" s="136" t="inlineStr">
        <is>
          <t>Necessary expenses</t>
        </is>
      </c>
      <c r="B13" s="128" t="n">
        <v>0</v>
      </c>
      <c r="C13" s="128" t="n">
        <v>3</v>
      </c>
      <c r="D13" s="128" t="n">
        <v>2</v>
      </c>
      <c r="E13" s="128" t="n"/>
      <c r="F13" s="128" t="n">
        <v>0.16</v>
      </c>
      <c r="G13" s="128" t="n"/>
      <c r="H13" s="128" t="inlineStr">
        <is>
          <t>buying three new carts 3 shilling 2pence.</t>
        </is>
      </c>
    </row>
    <row r="14">
      <c r="A14" s="136" t="inlineStr">
        <is>
          <t>Necessary expenses</t>
        </is>
      </c>
      <c r="B14" s="128" t="n">
        <v>0</v>
      </c>
      <c r="C14" s="128" t="n">
        <v>0</v>
      </c>
      <c r="D14" s="128" t="n">
        <v>9</v>
      </c>
      <c r="E14" s="128" t="n"/>
      <c r="F14" s="128" t="n">
        <v>0.04</v>
      </c>
      <c r="G14" s="128" t="n"/>
      <c r="H14" s="128" t="inlineStr">
        <is>
          <t>axles bought for ploughs and carts 9pence.</t>
        </is>
      </c>
    </row>
    <row r="15">
      <c r="A15" s="136" t="inlineStr">
        <is>
          <t>Necessary expenses</t>
        </is>
      </c>
      <c r="B15" s="128" t="n">
        <v>0</v>
      </c>
      <c r="C15" s="128" t="n">
        <v>0</v>
      </c>
      <c r="D15" s="128" t="n">
        <v>9</v>
      </c>
      <c r="E15" s="128" t="n"/>
      <c r="F15" s="128" t="n">
        <v>0.04</v>
      </c>
      <c r="G15" s="128" t="n"/>
      <c r="H15" s="128" t="inlineStr">
        <is>
          <t>clouts, nails for ploughs and for carts 9pence.</t>
        </is>
      </c>
    </row>
    <row r="16">
      <c r="A16" s="136" t="inlineStr">
        <is>
          <t>Necessary expenses</t>
        </is>
      </c>
      <c r="B16" s="128" t="n">
        <v>0</v>
      </c>
      <c r="C16" s="128" t="n">
        <v>0</v>
      </c>
      <c r="D16" s="128" t="n">
        <v>1</v>
      </c>
      <c r="E16" s="128" t="n"/>
      <c r="F16" s="128" t="n">
        <v>0</v>
      </c>
      <c r="G16" s="128" t="n"/>
      <c r="H16" s="128" t="inlineStr">
        <is>
          <t>soap for the carts 1pence.</t>
        </is>
      </c>
    </row>
    <row r="17">
      <c r="A17" s="136" t="inlineStr">
        <is>
          <t>Necessary expenses</t>
        </is>
      </c>
      <c r="B17" s="128" t="n">
        <v>0</v>
      </c>
      <c r="C17" s="128" t="n">
        <v>6</v>
      </c>
      <c r="D17" s="128" t="n">
        <v>1</v>
      </c>
      <c r="E17" s="128" t="n"/>
      <c r="F17" s="128" t="n">
        <v>0.3</v>
      </c>
      <c r="G17" s="128" t="n"/>
      <c r="H17" s="128" t="inlineStr">
        <is>
          <t>3 quarters 3 bushels of salt bought for the larder, household, and the dairy 6 shilling 10½d, price of a quarter 2 shilling 1pence.</t>
        </is>
      </c>
    </row>
    <row r="18">
      <c r="A18" s="136" t="inlineStr">
        <is>
          <t>Necessary expenses</t>
        </is>
      </c>
      <c r="B18" s="128" t="n">
        <v>0</v>
      </c>
      <c r="C18" s="128" t="n">
        <v>0</v>
      </c>
      <c r="D18" s="128" t="n">
        <v>0</v>
      </c>
      <c r="E18" s="128" t="n"/>
      <c r="F18" s="128" t="n">
        <v>0</v>
      </c>
      <c r="G18" s="128" t="n"/>
      <c r="H18" s="128" t="inlineStr">
        <is>
          <t>two beams to make a spade and one shovel and one wheelbarrow 5½d.</t>
        </is>
      </c>
    </row>
    <row r="19">
      <c r="A19" s="136" t="inlineStr">
        <is>
          <t>Necessary expenses</t>
        </is>
      </c>
      <c r="B19" s="128" t="n">
        <v>0</v>
      </c>
      <c r="C19" s="128" t="n">
        <v>0</v>
      </c>
      <c r="D19" s="128" t="n">
        <v>15</v>
      </c>
      <c r="E19" s="128" t="n"/>
      <c r="F19" s="128" t="n">
        <v>0.06</v>
      </c>
      <c r="G19" s="128" t="n"/>
      <c r="H19" s="128" t="inlineStr">
        <is>
          <t>necessary things for the dairy besides 15pence.</t>
        </is>
      </c>
    </row>
    <row r="20">
      <c r="A20" s="136" t="inlineStr">
        <is>
          <t>Necessary expenses</t>
        </is>
      </c>
      <c r="B20" s="128" t="n">
        <v>0</v>
      </c>
      <c r="C20" s="128" t="n">
        <v>0</v>
      </c>
      <c r="D20" s="128" t="n">
        <v>0</v>
      </c>
      <c r="E20" s="128" t="n"/>
      <c r="F20" s="128" t="n">
        <v>0</v>
      </c>
      <c r="G20" s="128" t="n"/>
      <c r="H20" s="128" t="inlineStr">
        <is>
          <t>two hooped bowls, two new buckets, mending two old buckets, four sieves, two pitchers 17½d.</t>
        </is>
      </c>
    </row>
    <row r="21">
      <c r="A21" s="136" t="inlineStr">
        <is>
          <t>Necessary expenses</t>
        </is>
      </c>
      <c r="B21" s="128" t="n">
        <v>0</v>
      </c>
      <c r="C21" s="128" t="n">
        <v>2</v>
      </c>
      <c r="D21" s="128" t="n">
        <v>1</v>
      </c>
      <c r="E21" s="128" t="n"/>
      <c r="F21" s="128" t="n">
        <v>0.1</v>
      </c>
      <c r="G21" s="128" t="n"/>
      <c r="H21" s="128" t="inlineStr">
        <is>
          <t>digging 12 perches of new ditch in the barton between the grange and the new garden 2 shilling 1 pence \price of a perch 2pence/.</t>
        </is>
      </c>
    </row>
    <row r="22">
      <c r="A22" s="136" t="inlineStr">
        <is>
          <t>Necessary expenses</t>
        </is>
      </c>
      <c r="B22" s="128" t="n">
        <v>0</v>
      </c>
      <c r="C22" s="128" t="n">
        <v>0</v>
      </c>
      <c r="D22" s="128" t="n">
        <v>2</v>
      </c>
      <c r="E22" s="128" t="n"/>
      <c r="F22" s="128" t="n">
        <v>0.01</v>
      </c>
      <c r="G22" s="128" t="n"/>
      <c r="H22" s="128" t="inlineStr">
        <is>
          <t>ditching and enclosing around the land cleared by burning in Esher 2pence.</t>
        </is>
      </c>
    </row>
    <row r="23">
      <c r="A23" s="136" t="inlineStr">
        <is>
          <t>Necessary expenses</t>
        </is>
      </c>
      <c r="B23" s="128" t="n">
        <v>0</v>
      </c>
      <c r="C23" s="128" t="n">
        <v>4</v>
      </c>
      <c r="D23" s="128" t="n">
        <v>2</v>
      </c>
      <c r="E23" s="128" t="n"/>
      <c r="F23" s="128" t="n">
        <v>0.21</v>
      </c>
      <c r="G23" s="128" t="n"/>
      <c r="H23" s="128" t="inlineStr">
        <is>
          <t>digging 50 perches of ditch in front of the gate of Esher and around the barton by order of the bishop 4 shilling 2 pence, price of a perch 1pence.</t>
        </is>
      </c>
    </row>
    <row r="24">
      <c r="A24" s="136" t="inlineStr">
        <is>
          <t>Necessary expenses</t>
        </is>
      </c>
      <c r="B24" s="128" t="n">
        <v>0</v>
      </c>
      <c r="C24" s="128" t="n">
        <v>0</v>
      </c>
      <c r="D24" s="128" t="n">
        <v>2</v>
      </c>
      <c r="E24" s="128" t="n"/>
      <c r="F24" s="128" t="n">
        <v>0.01</v>
      </c>
      <c r="G24" s="128" t="n"/>
      <c r="H24" s="128" t="inlineStr">
        <is>
          <t>digging and enclosing around the barrier in Esher 2pence.</t>
        </is>
      </c>
    </row>
    <row r="25">
      <c r="A25" s="136" t="inlineStr">
        <is>
          <t>Necessary expenses</t>
        </is>
      </c>
      <c r="B25" s="128" t="n">
        <v>0</v>
      </c>
      <c r="C25" s="128" t="n">
        <v>0</v>
      </c>
      <c r="D25" s="128" t="n">
        <v>0</v>
      </c>
      <c r="E25" s="128" t="n"/>
      <c r="F25" s="128" t="n">
        <v>0</v>
      </c>
      <c r="G25" s="128" t="n"/>
      <c r="H25" s="128" t="inlineStr">
        <is>
          <t>digging 80.</t>
        </is>
      </c>
    </row>
    <row r="26">
      <c r="A26" s="136" t="inlineStr">
        <is>
          <t>Necessary expenses</t>
        </is>
      </c>
      <c r="B26" s="128" t="n">
        <v>0</v>
      </c>
      <c r="C26" s="128" t="n">
        <v>0</v>
      </c>
      <c r="D26" s="128" t="n">
        <v>0</v>
      </c>
      <c r="E26" s="128" t="n"/>
      <c r="F26" s="128" t="n">
        <v>0</v>
      </c>
      <c r="G26" s="128" t="n"/>
      <c r="H26" s="128" t="inlineStr">
        <is>
          <t>--- Page 4 ---.</t>
        </is>
      </c>
    </row>
    <row r="27">
      <c r="A27" s="136" t="inlineStr">
        <is>
          <t>Necessary expenses</t>
        </is>
      </c>
      <c r="B27" s="128" t="n">
        <v>0</v>
      </c>
      <c r="C27" s="128" t="n">
        <v>13</v>
      </c>
      <c r="D27" s="128" t="n">
        <v>4</v>
      </c>
      <c r="E27" s="128" t="n"/>
      <c r="F27" s="128" t="n">
        <v>0.67</v>
      </c>
      <c r="G27" s="128" t="n"/>
      <c r="H27" s="128" t="inlineStr">
        <is>
          <t>perches of ditch at Northwode by order of the bishop 13 shilling 4 pence, price of a perch 2pence.</t>
        </is>
      </c>
    </row>
    <row r="28">
      <c r="A28" s="136" t="inlineStr">
        <is>
          <t>Necessary expenses</t>
        </is>
      </c>
      <c r="B28" s="128" t="n">
        <v>0</v>
      </c>
      <c r="C28" s="128" t="n">
        <v>0</v>
      </c>
      <c r="D28" s="128" t="n">
        <v>12</v>
      </c>
      <c r="E28" s="128" t="n"/>
      <c r="F28" s="128" t="n">
        <v>0.05</v>
      </c>
      <c r="G28" s="128" t="n"/>
      <c r="H28" s="128" t="inlineStr">
        <is>
          <t>hedging 24 perches of the same bank 12pence.</t>
        </is>
      </c>
    </row>
    <row r="29">
      <c r="A29" s="136" t="inlineStr">
        <is>
          <t>Necessary expenses</t>
        </is>
      </c>
      <c r="B29" s="128" t="n">
        <v>0</v>
      </c>
      <c r="C29" s="128" t="n">
        <v>0</v>
      </c>
      <c r="D29" s="128" t="n">
        <v>0</v>
      </c>
      <c r="E29" s="128" t="n"/>
      <c r="F29" s="128" t="n">
        <v>0</v>
      </c>
      <c r="G29" s="128" t="n"/>
      <c r="H29" s="128" t="inlineStr">
        <is>
          <t>ale for boonworks of 14 ploughmen in Lent 12½d.</t>
        </is>
      </c>
    </row>
    <row r="30">
      <c r="A30" s="136" t="inlineStr">
        <is>
          <t>Necessary expenses</t>
        </is>
      </c>
      <c r="B30" s="128" t="n">
        <v>0</v>
      </c>
      <c r="C30" s="128" t="n">
        <v>0</v>
      </c>
      <c r="D30" s="128" t="n">
        <v>9</v>
      </c>
      <c r="E30" s="128" t="n"/>
      <c r="F30" s="128" t="n">
        <v>0.04</v>
      </c>
      <c r="G30" s="128" t="n"/>
      <c r="H30" s="128" t="inlineStr">
        <is>
          <t>digging the garden for beans 9pence.</t>
        </is>
      </c>
    </row>
    <row r="31">
      <c r="A31" s="136" t="inlineStr">
        <is>
          <t>Necessary expenses</t>
        </is>
      </c>
      <c r="B31" s="128" t="n">
        <v>0</v>
      </c>
      <c r="C31" s="128" t="n">
        <v>0</v>
      </c>
      <c r="D31" s="128" t="n">
        <v>6</v>
      </c>
      <c r="E31" s="128" t="n"/>
      <c r="F31" s="128" t="n">
        <v>0.03</v>
      </c>
      <c r="G31" s="128" t="n"/>
      <c r="H31" s="128" t="inlineStr">
        <is>
          <t>planting beans 6pence.</t>
        </is>
      </c>
    </row>
    <row r="32">
      <c r="A32" s="136" t="inlineStr">
        <is>
          <t>Necessary expenses</t>
        </is>
      </c>
      <c r="B32" s="128" t="n">
        <v>0</v>
      </c>
      <c r="C32" s="128" t="n">
        <v>0</v>
      </c>
      <c r="D32" s="128" t="n">
        <v>6</v>
      </c>
      <c r="E32" s="128" t="n"/>
      <c r="F32" s="128" t="n">
        <v>0.03</v>
      </c>
      <c r="G32" s="128" t="n"/>
      <c r="H32" s="128" t="inlineStr">
        <is>
          <t>one gardener for three days to plant saplings of pear and apple 6pence.</t>
        </is>
      </c>
    </row>
    <row r="33">
      <c r="A33" s="136" t="inlineStr">
        <is>
          <t>Necessary expenses</t>
        </is>
      </c>
      <c r="B33" s="128" t="n">
        <v>0</v>
      </c>
      <c r="C33" s="128" t="n">
        <v>2</v>
      </c>
      <c r="D33" s="128" t="n">
        <v>6</v>
      </c>
      <c r="E33" s="128" t="n"/>
      <c r="F33" s="128" t="n">
        <v>0.12</v>
      </c>
      <c r="G33" s="128" t="n"/>
      <c r="H33" s="128" t="inlineStr">
        <is>
          <t>fish and ale for the brewer and for the two women assisting him for eight days in Lent 2 shilling 6pence.</t>
        </is>
      </c>
    </row>
    <row r="34">
      <c r="A34" s="136" t="inlineStr">
        <is>
          <t>Necessary expenses</t>
        </is>
      </c>
      <c r="B34" s="128" t="n">
        <v>0</v>
      </c>
      <c r="C34" s="128" t="n">
        <v>0</v>
      </c>
      <c r="D34" s="128" t="n">
        <v>18</v>
      </c>
      <c r="E34" s="128" t="n"/>
      <c r="F34" s="128" t="n">
        <v>0.07000000000000001</v>
      </c>
      <c r="G34" s="128" t="n"/>
      <c r="H34" s="128" t="inlineStr">
        <is>
          <t>stipend of the same 18pence.</t>
        </is>
      </c>
    </row>
    <row r="35">
      <c r="A35" s="136" t="inlineStr">
        <is>
          <t>Necessary expenses</t>
        </is>
      </c>
      <c r="B35" s="128" t="n">
        <v>0</v>
      </c>
      <c r="C35" s="128" t="n">
        <v>0</v>
      </c>
      <c r="D35" s="128" t="n">
        <v>7</v>
      </c>
      <c r="E35" s="128" t="n"/>
      <c r="F35" s="128" t="n">
        <v>0.03</v>
      </c>
      <c r="G35" s="128" t="n"/>
      <c r="H35" s="128" t="inlineStr">
        <is>
          <t>hiring a cooking pot 7pence.</t>
        </is>
      </c>
    </row>
    <row r="36">
      <c r="A36" s="136" t="inlineStr">
        <is>
          <t>Necessary expenses</t>
        </is>
      </c>
      <c r="B36" s="128" t="n">
        <v>0</v>
      </c>
      <c r="C36" s="128" t="n">
        <v>10</v>
      </c>
      <c r="D36" s="128" t="n">
        <v>4</v>
      </c>
      <c r="E36" s="128" t="n"/>
      <c r="F36" s="128" t="n">
        <v>0.52</v>
      </c>
      <c r="G36" s="128" t="n"/>
      <c r="H36" s="128" t="inlineStr">
        <is>
          <t>one lead furnace bought at London 10 shilling 4pence.</t>
        </is>
      </c>
    </row>
    <row r="37">
      <c r="A37" s="136" t="inlineStr">
        <is>
          <t>Necessary expenses</t>
        </is>
      </c>
      <c r="B37" s="128" t="n">
        <v>0</v>
      </c>
      <c r="C37" s="128" t="n">
        <v>0</v>
      </c>
      <c r="D37" s="128" t="n">
        <v>0</v>
      </c>
      <c r="E37" s="128" t="n"/>
      <c r="F37" s="128" t="n">
        <v>0</v>
      </c>
      <c r="G37" s="128" t="n"/>
      <c r="H37" s="128" t="inlineStr">
        <is>
          <t>carrying and carting the same from London to Kingston 3¾d.</t>
        </is>
      </c>
    </row>
    <row r="38">
      <c r="A38" s="136" t="inlineStr">
        <is>
          <t>Necessary expenses</t>
        </is>
      </c>
      <c r="B38" s="128" t="n">
        <v>0</v>
      </c>
      <c r="C38" s="128" t="n">
        <v>0</v>
      </c>
      <c r="D38" s="128" t="n">
        <v>6</v>
      </c>
      <c r="E38" s="128" t="n"/>
      <c r="F38" s="128" t="n">
        <v>0.03</v>
      </c>
      <c r="G38" s="128" t="n"/>
      <c r="H38" s="128" t="inlineStr">
        <is>
          <t>expenses of Stephen the serjeant there on two occasions 6pence.</t>
        </is>
      </c>
    </row>
    <row r="39">
      <c r="A39" s="136" t="inlineStr">
        <is>
          <t>Necessary expenses</t>
        </is>
      </c>
      <c r="B39" s="128" t="n">
        <v>0</v>
      </c>
      <c r="C39" s="128" t="n">
        <v>0</v>
      </c>
      <c r="D39" s="128" t="n">
        <v>18</v>
      </c>
      <c r="E39" s="128" t="n"/>
      <c r="F39" s="128" t="n">
        <v>0.07000000000000001</v>
      </c>
      <c r="G39" s="128" t="n"/>
      <c r="H39" s="128" t="inlineStr">
        <is>
          <t>nine stones bought for two ovens and a furnace 18pence.</t>
        </is>
      </c>
    </row>
    <row r="40">
      <c r="A40" s="136" t="inlineStr">
        <is>
          <t>Necessary expenses</t>
        </is>
      </c>
      <c r="B40" s="128" t="n">
        <v>0</v>
      </c>
      <c r="C40" s="128" t="n">
        <v>0</v>
      </c>
      <c r="D40" s="128" t="n">
        <v>10</v>
      </c>
      <c r="E40" s="128" t="n"/>
      <c r="F40" s="128" t="n">
        <v>0.04</v>
      </c>
      <c r="G40" s="128" t="n"/>
      <c r="H40" s="128" t="inlineStr">
        <is>
          <t>four iron bars for two ovens, for the edges of the same 10pence.</t>
        </is>
      </c>
    </row>
    <row r="41">
      <c r="A41" s="136" t="inlineStr">
        <is>
          <t>Necessary expenses</t>
        </is>
      </c>
      <c r="B41" s="128" t="n">
        <v>0</v>
      </c>
      <c r="C41" s="128" t="n">
        <v>0</v>
      </c>
      <c r="D41" s="128" t="n">
        <v>12</v>
      </c>
      <c r="E41" s="128" t="n"/>
      <c r="F41" s="128" t="n">
        <v>0.05</v>
      </c>
      <c r="G41" s="128" t="n"/>
      <c r="H41" s="128" t="inlineStr">
        <is>
          <t>one carter hired to carry the stones for the ovens and furnace and turves for a small meadow and sand for the chamber for six days 12pence And in ale for the same carter 3pence.</t>
        </is>
      </c>
    </row>
    <row r="42">
      <c r="A42" s="136" t="inlineStr">
        <is>
          <t>Necessary expenses</t>
        </is>
      </c>
      <c r="B42" s="128" t="n">
        <v>0</v>
      </c>
      <c r="C42" s="128" t="n">
        <v>4</v>
      </c>
      <c r="D42" s="128" t="n">
        <v>2</v>
      </c>
      <c r="E42" s="128" t="n"/>
      <c r="F42" s="128" t="n">
        <v>0.21</v>
      </c>
      <c r="G42" s="128" t="n"/>
      <c r="H42" s="128" t="inlineStr">
        <is>
          <t>7½ quarters of lime bought and in carriage of the same 4 shilling 2pence.</t>
        </is>
      </c>
    </row>
    <row r="43">
      <c r="A43" s="136" t="inlineStr">
        <is>
          <t>Necessary expenses</t>
        </is>
      </c>
      <c r="B43" s="128" t="n">
        <v>0</v>
      </c>
      <c r="C43" s="128" t="n">
        <v>0</v>
      </c>
      <c r="D43" s="128" t="n">
        <v>0</v>
      </c>
      <c r="E43" s="128" t="n"/>
      <c r="F43" s="128" t="n">
        <v>0</v>
      </c>
      <c r="G43" s="128" t="n"/>
      <c r="H43" s="128" t="inlineStr">
        <is>
          <t>washing and shearing the sheep at Northwode 4½d.</t>
        </is>
      </c>
    </row>
    <row r="44">
      <c r="A44" s="136" t="inlineStr">
        <is>
          <t>Necessary expenses</t>
        </is>
      </c>
      <c r="B44" s="128" t="n">
        <v>0</v>
      </c>
      <c r="C44" s="128" t="n">
        <v>40</v>
      </c>
      <c r="D44" s="128" t="n">
        <v>0</v>
      </c>
      <c r="E44" s="128" t="n"/>
      <c r="F44" s="128" t="n">
        <v>2</v>
      </c>
      <c r="G44" s="128" t="n"/>
      <c r="H44" s="128" t="inlineStr">
        <is>
          <t>buying 8,000 tiles 40 shilling, price of a thousand 5 shilling.</t>
        </is>
      </c>
    </row>
    <row r="45">
      <c r="A45" s="136" t="inlineStr">
        <is>
          <t>Necessary expenses</t>
        </is>
      </c>
      <c r="B45" s="128" t="n">
        <v>0</v>
      </c>
      <c r="C45" s="128" t="n">
        <v>0</v>
      </c>
      <c r="D45" s="128" t="n">
        <v>43</v>
      </c>
      <c r="E45" s="128" t="n"/>
      <c r="F45" s="128" t="n">
        <v>0.18</v>
      </c>
      <c r="G45" s="128" t="n"/>
      <c r="H45" s="128" t="inlineStr">
        <is>
          <t>105 hip tiles 43 pence, namely five for 2pence.</t>
        </is>
      </c>
    </row>
    <row r="46">
      <c r="A46" s="136" t="inlineStr">
        <is>
          <t>Necessary expenses</t>
        </is>
      </c>
      <c r="B46" s="128" t="n">
        <v>0</v>
      </c>
      <c r="C46" s="128" t="n">
        <v>0</v>
      </c>
      <c r="D46" s="128" t="n">
        <v>2</v>
      </c>
      <c r="E46" s="128" t="n"/>
      <c r="F46" s="128" t="n">
        <v>0.01</v>
      </c>
      <c r="G46" s="128" t="n"/>
      <c r="H46" s="128" t="inlineStr">
        <is>
          <t>large iron nails for the hip tiles 2pence.</t>
        </is>
      </c>
    </row>
    <row r="47">
      <c r="A47" s="136" t="inlineStr">
        <is>
          <t>Necessary expenses</t>
        </is>
      </c>
      <c r="B47" s="128" t="n">
        <v>0</v>
      </c>
      <c r="C47" s="128" t="n">
        <v>9</v>
      </c>
      <c r="D47" s="128" t="n">
        <v>1</v>
      </c>
      <c r="E47" s="128" t="n"/>
      <c r="F47" s="128" t="n">
        <v>0.45</v>
      </c>
      <c r="G47" s="128" t="n"/>
      <c r="H47" s="128" t="inlineStr">
        <is>
          <t>108 squared stones for the furnace 9 shilling, price of a stone 1pence.</t>
        </is>
      </c>
    </row>
    <row r="48">
      <c r="A48" s="136" t="inlineStr">
        <is>
          <t>Necessary expenses</t>
        </is>
      </c>
      <c r="B48" s="128" t="n">
        <v>0</v>
      </c>
      <c r="C48" s="128" t="n">
        <v>3</v>
      </c>
      <c r="D48" s="128" t="n">
        <v>1</v>
      </c>
      <c r="E48" s="128" t="n"/>
      <c r="F48" s="128" t="n">
        <v>0.15</v>
      </c>
      <c r="G48" s="128" t="n"/>
      <c r="H48" s="128" t="inlineStr">
        <is>
          <t>timber bought to roof the furnace 3 shilling 1pence.</t>
        </is>
      </c>
    </row>
    <row r="49">
      <c r="A49" s="136" t="inlineStr">
        <is>
          <t>Necessary expenses</t>
        </is>
      </c>
      <c r="B49" s="128" t="n">
        <v>0</v>
      </c>
      <c r="C49" s="128" t="n">
        <v>2</v>
      </c>
      <c r="D49" s="128" t="n">
        <v>0</v>
      </c>
      <c r="E49" s="128" t="n"/>
      <c r="F49" s="128" t="n">
        <v>0.1</v>
      </c>
      <c r="G49" s="128" t="n"/>
      <c r="H49" s="128" t="inlineStr">
        <is>
          <t>a carpenter by piecework 2 shilling.</t>
        </is>
      </c>
    </row>
    <row r="50">
      <c r="A50" s="136" t="inlineStr">
        <is>
          <t>Necessary expenses</t>
        </is>
      </c>
      <c r="B50" s="128" t="n">
        <v>0</v>
      </c>
      <c r="C50" s="128" t="n">
        <v>0</v>
      </c>
      <c r="D50" s="128" t="n">
        <v>11</v>
      </c>
      <c r="E50" s="128" t="n"/>
      <c r="F50" s="128" t="n">
        <v>0.05</v>
      </c>
      <c r="G50" s="128" t="n"/>
      <c r="H50" s="128" t="inlineStr">
        <is>
          <t>nails 11pence.</t>
        </is>
      </c>
    </row>
    <row r="51">
      <c r="A51" s="136" t="inlineStr">
        <is>
          <t>Necessary expenses</t>
        </is>
      </c>
      <c r="B51" s="128" t="n">
        <v>0</v>
      </c>
      <c r="C51" s="128" t="n">
        <v>2</v>
      </c>
      <c r="D51" s="128" t="n">
        <v>0</v>
      </c>
      <c r="E51" s="128" t="n"/>
      <c r="F51" s="128" t="n">
        <v>0.1</v>
      </c>
      <c r="G51" s="128" t="n"/>
      <c r="H51" s="128" t="inlineStr">
        <is>
          <t>tiling a chamber above the furnace 2 shilling.</t>
        </is>
      </c>
    </row>
    <row r="52">
      <c r="A52" s="136" t="inlineStr">
        <is>
          <t>Necessary expenses</t>
        </is>
      </c>
      <c r="B52" s="128" t="n">
        <v>0</v>
      </c>
      <c r="C52" s="128" t="n">
        <v>0</v>
      </c>
      <c r="D52" s="128" t="n">
        <v>0</v>
      </c>
      <c r="E52" s="128" t="n"/>
      <c r="F52" s="128" t="n">
        <v>0</v>
      </c>
      <c r="G52" s="128" t="n"/>
      <c r="H52" s="128" t="inlineStr">
        <is>
          <t>two new locks and three old ones mended and three new keys 12½d.</t>
        </is>
      </c>
    </row>
    <row r="53">
      <c r="A53" s="136" t="inlineStr">
        <is>
          <t>Necessary expenses</t>
        </is>
      </c>
      <c r="B53" s="128" t="n">
        <v>0</v>
      </c>
      <c r="C53" s="128" t="n">
        <v>0</v>
      </c>
      <c r="D53" s="128" t="n">
        <v>6</v>
      </c>
      <c r="E53" s="128" t="n"/>
      <c r="F53" s="128" t="n">
        <v>0.03</v>
      </c>
      <c r="G53" s="128" t="n"/>
      <c r="H53" s="128" t="inlineStr">
        <is>
          <t>hoeing the land 6pence.</t>
        </is>
      </c>
    </row>
    <row r="54">
      <c r="A54" s="136" t="inlineStr">
        <is>
          <t>Necessary expenses</t>
        </is>
      </c>
      <c r="B54" s="128" t="n">
        <v>0</v>
      </c>
      <c r="C54" s="128" t="n">
        <v>0</v>
      </c>
      <c r="D54" s="128" t="n">
        <v>8</v>
      </c>
      <c r="E54" s="128" t="n"/>
      <c r="F54" s="128" t="n">
        <v>0.03</v>
      </c>
      <c r="G54" s="128" t="n"/>
      <c r="H54" s="128" t="inlineStr">
        <is>
          <t>buying leeks and vegetable plants 8pence.</t>
        </is>
      </c>
    </row>
    <row r="55">
      <c r="A55" s="136" t="inlineStr">
        <is>
          <t>Necessary expenses</t>
        </is>
      </c>
      <c r="B55" s="128" t="n">
        <v>0</v>
      </c>
      <c r="C55" s="128" t="n">
        <v>0</v>
      </c>
      <c r="D55" s="128" t="n">
        <v>22</v>
      </c>
      <c r="E55" s="128" t="n"/>
      <c r="F55" s="128" t="n">
        <v>0.09</v>
      </c>
      <c r="G55" s="128" t="n"/>
      <c r="H55" s="128" t="inlineStr">
        <is>
          <t>herbage bought as hay 22pence.</t>
        </is>
      </c>
    </row>
    <row r="56">
      <c r="A56" s="136" t="inlineStr">
        <is>
          <t>Necessary expenses</t>
        </is>
      </c>
      <c r="B56" s="128" t="n">
        <v>0</v>
      </c>
      <c r="C56" s="128" t="n">
        <v>0</v>
      </c>
      <c r="D56" s="128" t="n">
        <v>10</v>
      </c>
      <c r="E56" s="128" t="n"/>
      <c r="F56" s="128" t="n">
        <v>0.04</v>
      </c>
      <c r="G56" s="128" t="n"/>
      <c r="H56" s="128" t="inlineStr">
        <is>
          <t>willows bought to plant 10pence.</t>
        </is>
      </c>
    </row>
    <row r="57">
      <c r="A57" s="136" t="inlineStr">
        <is>
          <t>Necessary expenses</t>
        </is>
      </c>
      <c r="B57" s="128" t="n">
        <v>0</v>
      </c>
      <c r="C57" s="128" t="n">
        <v>0</v>
      </c>
      <c r="D57" s="128" t="n">
        <v>0</v>
      </c>
      <c r="E57" s="128" t="n"/>
      <c r="F57" s="128" t="n">
        <v>0</v>
      </c>
      <c r="G57" s="128" t="n"/>
      <c r="H57" s="128" t="inlineStr">
        <is>
          <t>five hurdles made 2½d.</t>
        </is>
      </c>
    </row>
    <row r="58">
      <c r="A58" s="136" t="inlineStr">
        <is>
          <t>Necessary expenses</t>
        </is>
      </c>
      <c r="B58" s="128" t="n">
        <v>0</v>
      </c>
      <c r="C58" s="128" t="n">
        <v>6</v>
      </c>
      <c r="D58" s="128" t="n">
        <v>8</v>
      </c>
      <c r="E58" s="128" t="n"/>
      <c r="F58" s="128" t="n">
        <v>0.33</v>
      </c>
      <c r="G58" s="128" t="n"/>
      <c r="H58" s="128" t="inlineStr">
        <is>
          <t>one boat bought by order of the lord bishop 6 shilling 8pence.</t>
        </is>
      </c>
    </row>
    <row r="59">
      <c r="A59" s="136" t="inlineStr">
        <is>
          <t>Necessary expenses</t>
        </is>
      </c>
      <c r="B59" s="128" t="n">
        <v>0</v>
      </c>
      <c r="C59" s="128" t="n">
        <v>0</v>
      </c>
      <c r="D59" s="128" t="n">
        <v>0</v>
      </c>
      <c r="E59" s="128" t="n"/>
      <c r="F59" s="128" t="n">
        <v>0</v>
      </c>
      <c r="G59" s="128" t="n"/>
      <c r="H59" s="128" t="inlineStr">
        <is>
          <t>200 nails for the solar in the stable and one bar for the gate and five iron tools for weeding 3½d.</t>
        </is>
      </c>
    </row>
    <row r="60">
      <c r="A60" s="136" t="inlineStr">
        <is>
          <t>Necessary expenses</t>
        </is>
      </c>
      <c r="B60" s="128" t="n">
        <v>0</v>
      </c>
      <c r="C60" s="128" t="n">
        <v>3</v>
      </c>
      <c r="D60" s="128" t="n">
        <v>4</v>
      </c>
      <c r="E60" s="128" t="n"/>
      <c r="F60" s="128" t="n">
        <v>0.17</v>
      </c>
      <c r="G60" s="128" t="n"/>
      <c r="H60" s="128" t="inlineStr">
        <is>
          <t>a carpenter for two solars in the stable and one gate in the barton and two enclosures for the wagon and to set the furnace in place and to repair the doors and windows of the kitchen, bakehouse, and an outhouse and a partitioning door 3 shilling 4pence.</t>
        </is>
      </c>
    </row>
    <row r="61">
      <c r="A61" s="136" t="inlineStr">
        <is>
          <t>Necessary expenses</t>
        </is>
      </c>
      <c r="B61" s="128" t="n">
        <v>0</v>
      </c>
      <c r="C61" s="128" t="n">
        <v>0</v>
      </c>
      <c r="D61" s="128" t="n">
        <v>0</v>
      </c>
      <c r="E61" s="128" t="n"/>
      <c r="F61" s="128" t="n">
        <v>0</v>
      </c>
      <c r="G61" s="128" t="n"/>
      <c r="H61" s="128" t="inlineStr">
        <is>
          <t>hooks and hinges for the windows of the kitchen, bakehouse, and outhouse 16½d.</t>
        </is>
      </c>
    </row>
    <row r="62">
      <c r="A62" s="136" t="inlineStr">
        <is>
          <t>Necessary expenses</t>
        </is>
      </c>
      <c r="B62" s="128" t="n">
        <v>0</v>
      </c>
      <c r="C62" s="128" t="n">
        <v>0</v>
      </c>
      <c r="D62" s="128" t="n">
        <v>0</v>
      </c>
      <c r="E62" s="128" t="n"/>
      <c r="F62" s="128" t="n">
        <v>0</v>
      </c>
      <c r="G62" s="128" t="n"/>
      <c r="H62" s="128" t="inlineStr">
        <is>
          <t>boards bought for the windows of the kitchen, and one board bought to widen the door of the bakehouse 8½d.</t>
        </is>
      </c>
    </row>
    <row r="63">
      <c r="A63" s="136" t="inlineStr">
        <is>
          <t>Necessary expenses</t>
        </is>
      </c>
      <c r="B63" s="128" t="n">
        <v>0</v>
      </c>
      <c r="C63" s="128" t="n">
        <v>2</v>
      </c>
      <c r="D63" s="128" t="n">
        <v>0</v>
      </c>
      <c r="E63" s="128" t="n"/>
      <c r="F63" s="128" t="n">
        <v>0.1</v>
      </c>
      <c r="G63" s="128" t="n"/>
      <c r="H63" s="128" t="inlineStr">
        <is>
          <t>making lard from 45 pigs and 1 ox 2 shilling ½d.</t>
        </is>
      </c>
    </row>
    <row r="64">
      <c r="A64" s="136" t="inlineStr">
        <is>
          <t>Necessary expenses</t>
        </is>
      </c>
      <c r="B64" s="128" t="n">
        <v>0</v>
      </c>
      <c r="C64" s="128" t="n">
        <v>2</v>
      </c>
      <c r="D64" s="128" t="n">
        <v>3</v>
      </c>
      <c r="E64" s="128" t="n"/>
      <c r="F64" s="128" t="n">
        <v>0.11</v>
      </c>
      <c r="G64" s="128" t="n"/>
      <c r="H64" s="128" t="inlineStr">
        <is>
          <t>cutting and making the pigs’ ears and in ale bought for the same 2 shilling 3pence.</t>
        </is>
      </c>
    </row>
    <row r="65">
      <c r="A65" s="136" t="inlineStr">
        <is>
          <t>Necessary expenses</t>
        </is>
      </c>
      <c r="B65" s="128" t="n">
        <v>0</v>
      </c>
      <c r="C65" s="128" t="n">
        <v>0</v>
      </c>
      <c r="D65" s="128" t="n">
        <v>11</v>
      </c>
      <c r="E65" s="128" t="n"/>
      <c r="F65" s="128" t="n">
        <v>0.05</v>
      </c>
      <c r="G65" s="128" t="n"/>
      <c r="H65" s="128" t="inlineStr">
        <is>
          <t>2 bushels of wheat bought for seed 11pence.</t>
        </is>
      </c>
    </row>
    <row r="66">
      <c r="A66" s="136" t="inlineStr">
        <is>
          <t>Necessary expenses</t>
        </is>
      </c>
      <c r="B66" s="128" t="n">
        <v>0</v>
      </c>
      <c r="C66" s="128" t="n">
        <v>43</v>
      </c>
      <c r="D66" s="128" t="n">
        <v>0</v>
      </c>
      <c r="E66" s="128" t="n"/>
      <c r="F66" s="128" t="n">
        <v>2.15</v>
      </c>
      <c r="G66" s="128" t="n"/>
      <c r="H66" s="128" t="inlineStr">
        <is>
          <t>14 quarters 3 bushels of rye bought 43 shilling 1½d, price of a quarter 3 shilling.</t>
        </is>
      </c>
    </row>
    <row r="67">
      <c r="A67" s="136" t="inlineStr">
        <is>
          <t>Necessary expenses</t>
        </is>
      </c>
      <c r="B67" s="128" t="n">
        <v>0</v>
      </c>
      <c r="C67" s="128" t="n">
        <v>41</v>
      </c>
      <c r="D67" s="128" t="n">
        <v>0</v>
      </c>
      <c r="E67" s="128" t="n"/>
      <c r="F67" s="128" t="n">
        <v>2.05</v>
      </c>
      <c r="G67" s="128" t="n"/>
      <c r="H67" s="128" t="inlineStr">
        <is>
          <t>16½ quarters 3 bushels of barley bought 41 shilling 3¾d.</t>
        </is>
      </c>
    </row>
    <row r="68">
      <c r="A68" s="136" t="inlineStr">
        <is>
          <t>Necessary expenses</t>
        </is>
      </c>
      <c r="B68" s="128" t="n">
        <v>0</v>
      </c>
      <c r="C68" s="128" t="n">
        <v>7</v>
      </c>
      <c r="D68" s="128" t="n">
        <v>0</v>
      </c>
      <c r="E68" s="128" t="n"/>
      <c r="F68" s="128" t="n">
        <v>0.35</v>
      </c>
      <c r="G68" s="128" t="n"/>
      <c r="H68" s="128" t="inlineStr">
        <is>
          <t>an accompaniment for 92 reapers for one day at Northwode 7 shilling 4½d.</t>
        </is>
      </c>
    </row>
    <row r="69">
      <c r="A69" s="136" t="inlineStr">
        <is>
          <t>Necessary expenses</t>
        </is>
      </c>
      <c r="B69" s="128" t="n">
        <v>0</v>
      </c>
      <c r="C69" s="128" t="n">
        <v>7</v>
      </c>
      <c r="D69" s="128" t="n">
        <v>8</v>
      </c>
      <c r="E69" s="128" t="n"/>
      <c r="F69" s="128" t="n">
        <v>0.38</v>
      </c>
      <c r="G69" s="128" t="n"/>
      <c r="H69" s="128" t="inlineStr">
        <is>
          <t>stipend of the same 7 shilling 8pence.</t>
        </is>
      </c>
    </row>
    <row r="70">
      <c r="A70" s="136" t="inlineStr">
        <is>
          <t>Necessary expenses</t>
        </is>
      </c>
      <c r="B70" s="128" t="n">
        <v>0</v>
      </c>
      <c r="C70" s="128" t="n">
        <v>2</v>
      </c>
      <c r="D70" s="128" t="n">
        <v>0</v>
      </c>
      <c r="E70" s="128" t="n"/>
      <c r="F70" s="128" t="n">
        <v>0.1</v>
      </c>
      <c r="G70" s="128" t="n"/>
      <c r="H70" s="128" t="inlineStr">
        <is>
          <t>mowing the meadow of Northwode 2 shilling.</t>
        </is>
      </c>
    </row>
    <row r="71">
      <c r="A71" s="136" t="inlineStr">
        <is>
          <t>Necessary expenses</t>
        </is>
      </c>
      <c r="B71" s="128" t="n">
        <v>0</v>
      </c>
      <c r="C71" s="128" t="n">
        <v>3</v>
      </c>
      <c r="D71" s="128" t="n">
        <v>9</v>
      </c>
      <c r="E71" s="128" t="n"/>
      <c r="F71" s="128" t="n">
        <v>0.19</v>
      </c>
      <c r="G71" s="128" t="n"/>
      <c r="H71" s="128" t="inlineStr">
        <is>
          <t>mowing straw there 3 shilling 9pence.</t>
        </is>
      </c>
    </row>
    <row r="72">
      <c r="A72" s="136" t="inlineStr">
        <is>
          <t>Necessary expenses</t>
        </is>
      </c>
      <c r="B72" s="128" t="n">
        <v>0</v>
      </c>
      <c r="C72" s="128" t="n">
        <v>0</v>
      </c>
      <c r="D72" s="128" t="n">
        <v>33</v>
      </c>
      <c r="E72" s="128" t="n"/>
      <c r="F72" s="128" t="n">
        <v>0.14</v>
      </c>
      <c r="G72" s="128" t="n"/>
      <c r="H72" s="128" t="inlineStr">
        <is>
          <t>mowing the meadow at Esher beside the demesne 33 pence, because there was more to be mown.</t>
        </is>
      </c>
    </row>
    <row r="73">
      <c r="A73" s="136" t="inlineStr">
        <is>
          <t>Necessary expenses</t>
        </is>
      </c>
      <c r="B73" s="128" t="n">
        <v>0</v>
      </c>
      <c r="C73" s="128" t="n">
        <v>0</v>
      </c>
      <c r="D73" s="128" t="n">
        <v>4</v>
      </c>
      <c r="E73" s="128" t="n"/>
      <c r="F73" s="128" t="n">
        <v>0.02</v>
      </c>
      <c r="G73" s="128" t="n"/>
      <c r="H73" s="128" t="inlineStr">
        <is>
          <t>herrings bought for the workers who carried the hay 4pence.</t>
        </is>
      </c>
    </row>
    <row r="74">
      <c r="A74" s="136" t="inlineStr">
        <is>
          <t>Necessary expenses</t>
        </is>
      </c>
      <c r="B74" s="128" t="n">
        <v>0</v>
      </c>
      <c r="C74" s="128" t="n">
        <v>0</v>
      </c>
      <c r="D74" s="128" t="n">
        <v>7</v>
      </c>
      <c r="E74" s="128" t="n"/>
      <c r="F74" s="128" t="n">
        <v>0.03</v>
      </c>
      <c r="G74" s="128" t="n"/>
      <c r="H74" s="128" t="inlineStr">
        <is>
          <t>mowing straw for the same there 7pence.</t>
        </is>
      </c>
    </row>
    <row r="75">
      <c r="A75" s="136" t="inlineStr">
        <is>
          <t>Necessary expenses</t>
        </is>
      </c>
      <c r="B75" s="128" t="n">
        <v>0</v>
      </c>
      <c r="C75" s="128" t="n">
        <v>0</v>
      </c>
      <c r="D75" s="128" t="n">
        <v>32</v>
      </c>
      <c r="E75" s="128" t="n"/>
      <c r="F75" s="128" t="n">
        <v>0.13</v>
      </c>
      <c r="G75" s="128" t="n"/>
      <c r="H75" s="128" t="inlineStr">
        <is>
          <t>4 sester of ale for one harvest boonwork 32pence.</t>
        </is>
      </c>
    </row>
    <row r="76">
      <c r="A76" s="136" t="inlineStr">
        <is>
          <t>Necessary expenses</t>
        </is>
      </c>
      <c r="B76" s="128" t="n">
        <v>0</v>
      </c>
      <c r="C76" s="128" t="n">
        <v>0</v>
      </c>
      <c r="D76" s="128" t="n">
        <v>23</v>
      </c>
      <c r="E76" s="128" t="n"/>
      <c r="F76" s="128" t="n">
        <v>0.1</v>
      </c>
      <c r="G76" s="128" t="n"/>
      <c r="H76" s="128" t="inlineStr">
        <is>
          <t>fish and herrings bought for the same 23pence.</t>
        </is>
      </c>
    </row>
    <row r="77">
      <c r="A77" s="136" t="inlineStr">
        <is>
          <t>Necessary expenses</t>
        </is>
      </c>
      <c r="B77" s="128" t="n">
        <v>0</v>
      </c>
      <c r="C77" s="128" t="n">
        <v>0</v>
      </c>
      <c r="D77" s="128" t="n">
        <v>23</v>
      </c>
      <c r="E77" s="128" t="n"/>
      <c r="F77" s="128" t="n">
        <v>0.1</v>
      </c>
      <c r="G77" s="128" t="n"/>
      <c r="H77" s="128" t="inlineStr">
        <is>
          <t>fish, herrings bought for five boonworks that were without ale 23pence.</t>
        </is>
      </c>
    </row>
    <row r="78">
      <c r="A78" s="136" t="inlineStr">
        <is>
          <t>Necessary expenses</t>
        </is>
      </c>
      <c r="B78" s="128" t="n">
        <v>0</v>
      </c>
      <c r="C78" s="128" t="n">
        <v>0</v>
      </c>
      <c r="D78" s="128" t="n">
        <v>4</v>
      </c>
      <c r="E78" s="128" t="n"/>
      <c r="F78" s="128" t="n">
        <v>0.02</v>
      </c>
      <c r="G78" s="128" t="n"/>
      <c r="H78" s="128" t="inlineStr">
        <is>
          <t>wax for candles at harvest 4pence.</t>
        </is>
      </c>
    </row>
    <row r="79">
      <c r="A79" s="136" t="inlineStr">
        <is>
          <t>Necessary expenses</t>
        </is>
      </c>
      <c r="B79" s="128" t="n">
        <v>0</v>
      </c>
      <c r="C79" s="128" t="n">
        <v>0</v>
      </c>
      <c r="D79" s="128" t="n">
        <v>1</v>
      </c>
      <c r="E79" s="128" t="n"/>
      <c r="F79" s="128" t="n">
        <v>0</v>
      </c>
      <c r="G79" s="128" t="n"/>
      <c r="H79" s="128" t="inlineStr">
        <is>
          <t>one sack and one cloth coming thereon bought 1pence.</t>
        </is>
      </c>
    </row>
    <row r="80">
      <c r="A80" s="136" t="inlineStr">
        <is>
          <t>Necessary expenses</t>
        </is>
      </c>
      <c r="B80" s="128" t="n">
        <v>0</v>
      </c>
      <c r="C80" s="128" t="n">
        <v>0</v>
      </c>
      <c r="D80" s="128" t="n">
        <v>3</v>
      </c>
      <c r="E80" s="128" t="n"/>
      <c r="F80" s="128" t="n">
        <v>0.01</v>
      </c>
      <c r="G80" s="128" t="n"/>
      <c r="H80" s="128" t="inlineStr">
        <is>
          <t>6 quarters of malt and mash brought from London to Kingston 3pence.</t>
        </is>
      </c>
    </row>
    <row r="81">
      <c r="A81" s="136" t="inlineStr">
        <is>
          <t>Necessary expenses</t>
        </is>
      </c>
      <c r="B81" s="128" t="n">
        <v>0</v>
      </c>
      <c r="C81" s="128" t="n">
        <v>11</v>
      </c>
      <c r="D81" s="128" t="n">
        <v>9</v>
      </c>
      <c r="E81" s="128" t="n"/>
      <c r="F81" s="128" t="n">
        <v>0.59</v>
      </c>
      <c r="G81" s="128" t="n"/>
      <c r="H81" s="128" t="inlineStr">
        <is>
          <t>payment of S, the serjeant, from the day of St Michael until the Feast of the Circumcision [1 January], both the day of account 11 shilling 9pence.</t>
        </is>
      </c>
    </row>
    <row r="82">
      <c r="A82" s="136" t="inlineStr">
        <is>
          <t>Necessary expenses</t>
        </is>
      </c>
      <c r="B82" s="128" t="n">
        <v>0</v>
      </c>
      <c r="C82" s="128" t="n">
        <v>0</v>
      </c>
      <c r="D82" s="128" t="n">
        <v>0</v>
      </c>
      <c r="E82" s="128" t="n"/>
      <c r="F82" s="128" t="n">
        <v>0</v>
      </c>
      <c r="G82" s="128" t="n"/>
      <c r="H82" s="128" t="inlineStr">
        <is>
          <t>meat, fish, ale, eggs, and other things bought for the work of the same from.</t>
        </is>
      </c>
    </row>
    <row r="83">
      <c r="A83" s="136" t="inlineStr">
        <is>
          <t>Necessary expenses</t>
        </is>
      </c>
      <c r="B83" s="128" t="n">
        <v>0</v>
      </c>
      <c r="C83" s="128" t="n">
        <v>0</v>
      </c>
      <c r="D83" s="128" t="n">
        <v>0</v>
      </c>
      <c r="E83" s="128" t="n"/>
      <c r="F83" s="128" t="n">
        <v>0</v>
      </c>
      <c r="G83" s="128" t="n"/>
      <c r="H83" s="128" t="inlineStr">
        <is>
          <t>--- Page 5 ---.</t>
        </is>
      </c>
    </row>
    <row r="84">
      <c r="A84" s="136" t="inlineStr">
        <is>
          <t>Necessary expenses</t>
        </is>
      </c>
      <c r="B84" s="128" t="n">
        <v>0</v>
      </c>
      <c r="C84" s="128" t="n">
        <v>15</v>
      </c>
      <c r="D84" s="128" t="n">
        <v>6</v>
      </c>
      <c r="E84" s="128" t="n"/>
      <c r="F84" s="128" t="n">
        <v>0.78</v>
      </c>
      <c r="G84" s="128" t="n"/>
      <c r="H84" s="128" t="inlineStr">
        <is>
          <t>the Feast of the Circumcision [1 January] until St Peter in Chains [1 August] 15 shilling 6pence.</t>
        </is>
      </c>
    </row>
    <row r="85">
      <c r="A85" s="136" t="inlineStr">
        <is>
          <t>Necessary expenses</t>
        </is>
      </c>
      <c r="B85" s="128" t="n">
        <v>0</v>
      </c>
      <c r="C85" s="128" t="n">
        <v>10</v>
      </c>
      <c r="D85" s="128" t="n">
        <v>4</v>
      </c>
      <c r="E85" s="128" t="n"/>
      <c r="F85" s="128" t="n">
        <v>0.52</v>
      </c>
      <c r="G85" s="128" t="n"/>
      <c r="H85" s="128" t="inlineStr">
        <is>
          <t>expenses of Robert Blundi for three weeks and two days for harvest and in expenses of S the serjeant and Richard the reeve from St Peter in Chains [1 August] to the feast of St Michael 10 shilling 4pence.</t>
        </is>
      </c>
    </row>
    <row r="86">
      <c r="A86" s="136" t="inlineStr">
        <is>
          <t>Necessary expenses</t>
        </is>
      </c>
      <c r="B86" s="128" t="n">
        <v>0</v>
      </c>
      <c r="C86" s="128" t="n">
        <v>12</v>
      </c>
      <c r="D86" s="128" t="n">
        <v>2</v>
      </c>
      <c r="E86" s="128" t="n"/>
      <c r="F86" s="128" t="n">
        <v>0.61</v>
      </c>
      <c r="G86" s="128" t="n"/>
      <c r="H86" s="128" t="inlineStr">
        <is>
          <t>stipend of two ploughmen for the year 12 shilling 2pence.</t>
        </is>
      </c>
    </row>
    <row r="87">
      <c r="A87" s="136" t="inlineStr">
        <is>
          <t>Necessary expenses</t>
        </is>
      </c>
      <c r="B87" s="128" t="n">
        <v>0</v>
      </c>
      <c r="C87" s="128" t="n">
        <v>10</v>
      </c>
      <c r="D87" s="128" t="n">
        <v>3</v>
      </c>
      <c r="E87" s="128" t="n"/>
      <c r="F87" s="128" t="n">
        <v>0.51</v>
      </c>
      <c r="G87" s="128" t="n"/>
      <c r="H87" s="128" t="inlineStr">
        <is>
          <t>stipend of two ploughdrivers for the year 10 shilling 3pence.</t>
        </is>
      </c>
    </row>
    <row r="88">
      <c r="A88" s="136" t="inlineStr">
        <is>
          <t>Necessary expenses</t>
        </is>
      </c>
      <c r="B88" s="128" t="n">
        <v>0</v>
      </c>
      <c r="C88" s="128" t="n">
        <v>5</v>
      </c>
      <c r="D88" s="128" t="n">
        <v>0</v>
      </c>
      <c r="E88" s="128" t="n"/>
      <c r="F88" s="128" t="n">
        <v>0.25</v>
      </c>
      <c r="G88" s="128" t="n"/>
      <c r="H88" s="128" t="inlineStr">
        <is>
          <t>stipend of one carter for the year 5 shilling.</t>
        </is>
      </c>
    </row>
    <row r="89">
      <c r="A89" s="136" t="inlineStr">
        <is>
          <t>Necessary expenses</t>
        </is>
      </c>
      <c r="B89" s="128" t="n">
        <v>0</v>
      </c>
      <c r="C89" s="128" t="n">
        <v>3</v>
      </c>
      <c r="D89" s="128" t="n">
        <v>1</v>
      </c>
      <c r="E89" s="128" t="n"/>
      <c r="F89" s="128" t="n">
        <v>0.15</v>
      </c>
      <c r="G89" s="128" t="n"/>
      <c r="H89" s="128" t="inlineStr">
        <is>
          <t>stipend of a maidservant for the year 3 shilling 1pence.</t>
        </is>
      </c>
    </row>
    <row r="90">
      <c r="A90" s="136" t="inlineStr">
        <is>
          <t>Necessary expenses</t>
        </is>
      </c>
      <c r="B90" s="128" t="n">
        <v>0</v>
      </c>
      <c r="C90" s="128" t="n">
        <v>5</v>
      </c>
      <c r="D90" s="128" t="n">
        <v>4</v>
      </c>
      <c r="E90" s="128" t="n"/>
      <c r="F90" s="128" t="n">
        <v>0.27</v>
      </c>
      <c r="G90" s="128" t="n"/>
      <c r="H90" s="128" t="inlineStr">
        <is>
          <t>stipend of two shepherds for the year 5 shilling 4pence.</t>
        </is>
      </c>
    </row>
    <row r="91">
      <c r="A91" s="136" t="inlineStr">
        <is>
          <t>Necessary expenses</t>
        </is>
      </c>
      <c r="B91" s="128" t="n">
        <v>0</v>
      </c>
      <c r="C91" s="128" t="n">
        <v>2</v>
      </c>
      <c r="D91" s="128" t="n">
        <v>10</v>
      </c>
      <c r="E91" s="128" t="n"/>
      <c r="F91" s="128" t="n">
        <v>0.14</v>
      </c>
      <c r="G91" s="128" t="n"/>
      <c r="H91" s="128" t="inlineStr">
        <is>
          <t>stipend of one cowherd for the year 2 shilling 10pence.</t>
        </is>
      </c>
    </row>
    <row r="92">
      <c r="A92" s="136" t="inlineStr">
        <is>
          <t>Necessary expenses</t>
        </is>
      </c>
      <c r="B92" s="128" t="n">
        <v>0</v>
      </c>
      <c r="C92" s="128" t="n">
        <v>0</v>
      </c>
      <c r="D92" s="128" t="n">
        <v>9</v>
      </c>
      <c r="E92" s="128" t="n"/>
      <c r="F92" s="128" t="n">
        <v>0.04</v>
      </c>
      <c r="G92" s="128" t="n"/>
      <c r="H92" s="128" t="inlineStr">
        <is>
          <t>stipend of a boy who guarded the animals at Northwode that were not used for draught during harvest 9pence.</t>
        </is>
      </c>
    </row>
    <row r="93">
      <c r="A93" s="136" t="inlineStr">
        <is>
          <t>Necessary expenses</t>
        </is>
      </c>
      <c r="B93" s="128" t="n">
        <v>0</v>
      </c>
      <c r="C93" s="128" t="n">
        <v>4</v>
      </c>
      <c r="D93" s="128" t="n">
        <v>7</v>
      </c>
      <c r="E93" s="128" t="n"/>
      <c r="F93" s="128" t="n">
        <v>0.23</v>
      </c>
      <c r="G93" s="128" t="n"/>
      <c r="H93" s="128" t="inlineStr">
        <is>
          <t>threshing and winnowing 26 quarters of rye 4 shilling 7pence.</t>
        </is>
      </c>
    </row>
    <row r="94">
      <c r="A94" s="136" t="inlineStr">
        <is>
          <t>Necessary expenses</t>
        </is>
      </c>
      <c r="B94" s="128" t="n">
        <v>0</v>
      </c>
      <c r="C94" s="128" t="n">
        <v>4</v>
      </c>
      <c r="D94" s="128" t="n">
        <v>10</v>
      </c>
      <c r="E94" s="128" t="n"/>
      <c r="F94" s="128" t="n">
        <v>0.24</v>
      </c>
      <c r="G94" s="128" t="n"/>
      <c r="H94" s="128" t="inlineStr">
        <is>
          <t>two ploughshares bought 10pence For 200 talwood bought by order of the lord bishop 4 shilling 2pence.</t>
        </is>
      </c>
    </row>
    <row r="95">
      <c r="A95" s="136" t="inlineStr">
        <is>
          <t>Necessary expenses</t>
        </is>
      </c>
      <c r="B95" s="128" t="n">
        <v>0</v>
      </c>
      <c r="C95" s="128" t="n">
        <v>0</v>
      </c>
      <c r="D95" s="128" t="n">
        <v>15</v>
      </c>
      <c r="E95" s="128" t="n"/>
      <c r="F95" s="128" t="n">
        <v>0.06</v>
      </c>
      <c r="G95" s="128" t="n"/>
      <c r="H95" s="128" t="inlineStr">
        <is>
          <t>threshing 7½ quarters of wheat 15pence.</t>
        </is>
      </c>
    </row>
    <row r="96">
      <c r="A96" s="136" t="inlineStr">
        <is>
          <t>Necessary expenses</t>
        </is>
      </c>
      <c r="B96" s="128" t="n">
        <v>0</v>
      </c>
      <c r="C96" s="128" t="n">
        <v>3</v>
      </c>
      <c r="D96" s="128" t="n">
        <v>9</v>
      </c>
      <c r="E96" s="128" t="n"/>
      <c r="F96" s="128" t="n">
        <v>0.19</v>
      </c>
      <c r="G96" s="128" t="n"/>
      <c r="H96" s="128" t="inlineStr">
        <is>
          <t>threshing 30 quarters of barley 3 shilling 9pence.</t>
        </is>
      </c>
    </row>
    <row r="97">
      <c r="A97" s="136" t="inlineStr">
        <is>
          <t>Necessary expenses</t>
        </is>
      </c>
      <c r="B97" s="128" t="n">
        <v>0</v>
      </c>
      <c r="C97" s="128" t="n">
        <v>0</v>
      </c>
      <c r="D97" s="128" t="n">
        <v>0</v>
      </c>
      <c r="E97" s="128" t="n"/>
      <c r="F97" s="128" t="n">
        <v>0</v>
      </c>
      <c r="G97" s="128" t="n"/>
      <c r="H97" s="128" t="inlineStr">
        <is>
          <t>threshing 68 quarters of oats.</t>
        </is>
      </c>
    </row>
    <row r="98">
      <c r="A98" s="136" t="inlineStr">
        <is>
          <t>Necessary expenses</t>
        </is>
      </c>
      <c r="B98" s="128" t="n">
        <v>0</v>
      </c>
      <c r="C98" s="128" t="n">
        <v>26</v>
      </c>
      <c r="D98" s="128" t="n">
        <v>0</v>
      </c>
      <c r="E98" s="128" t="n"/>
      <c r="F98" s="128" t="n">
        <v>1.3</v>
      </c>
      <c r="G98" s="128" t="n"/>
      <c r="H98" s="128" t="inlineStr">
        <is>
          <t>digging in the great ditch and making and positioning two ovens and a furnace and tiling the outhouse and plastering the walls 26 shilling 5½d.</t>
        </is>
      </c>
    </row>
    <row r="99">
      <c r="A99" s="136" t="inlineStr">
        <is>
          <t>Necessary expenses</t>
        </is>
      </c>
      <c r="B99" s="128" t="n">
        <v>21</v>
      </c>
      <c r="C99" s="128" t="n">
        <v>13</v>
      </c>
      <c r="D99" s="128" t="n">
        <v>0</v>
      </c>
      <c r="E99" s="128" t="n"/>
      <c r="F99" s="128" t="n">
        <v>21.65</v>
      </c>
      <c r="G99" s="128" t="n"/>
      <c r="H99" s="128" t="inlineStr">
        <is>
          <t>Sum £21 13 shilling 5½d.</t>
        </is>
      </c>
    </row>
    <row r="100">
      <c r="A100" s="138" t="inlineStr">
        <is>
          <t>Necessary expenses total</t>
        </is>
      </c>
      <c r="B100" s="139" t="n"/>
      <c r="C100" s="139" t="n"/>
      <c r="D100" s="139" t="n"/>
      <c r="E100" s="139" t="n"/>
      <c r="F100" s="139" t="n">
        <v>42.5</v>
      </c>
      <c r="G100" s="139" t="n">
        <v>20.85</v>
      </c>
      <c r="H100" s="139" t="inlineStr">
        <is>
          <t>Total</t>
        </is>
      </c>
    </row>
    <row r="101">
      <c r="A101" s="136" t="n"/>
      <c r="B101" s="128" t="n"/>
      <c r="C101" s="128" t="n"/>
      <c r="D101" s="128" t="n"/>
      <c r="E101" s="128" t="n"/>
      <c r="F101" s="128" t="n"/>
      <c r="G101" s="128" t="n"/>
      <c r="H101" s="128" t="n"/>
    </row>
    <row r="102">
      <c r="A102" s="137" t="inlineStr">
        <is>
          <t>Foreign expenses</t>
        </is>
      </c>
      <c r="B102" s="128" t="n">
        <v>0</v>
      </c>
      <c r="C102" s="128" t="n">
        <v>0</v>
      </c>
      <c r="D102" s="128" t="n">
        <v>8</v>
      </c>
      <c r="E102" s="128" t="n"/>
      <c r="F102" s="128" t="n">
        <v>0.03</v>
      </c>
      <c r="G102" s="128" t="n"/>
      <c r="H102" s="128" t="inlineStr">
        <is>
          <t>In expenses of Master William de Clare, Archdeacon, with seven men and six horses, in bread 8 pence, in wine 12 pence, in ale 5 pence, in partridges 5 pence, in eggs ½d, in wax 3 pence, in white candles ½d, in oats 9½d.</t>
        </is>
      </c>
    </row>
    <row r="103">
      <c r="A103" s="136" t="inlineStr">
        <is>
          <t>Foreign expenses</t>
        </is>
      </c>
      <c r="B103" s="128" t="n">
        <v>0</v>
      </c>
      <c r="C103" s="128" t="n">
        <v>0</v>
      </c>
      <c r="D103" s="128" t="n">
        <v>10</v>
      </c>
      <c r="E103" s="128" t="n"/>
      <c r="F103" s="128" t="n">
        <v>0.04</v>
      </c>
      <c r="G103" s="128" t="n"/>
      <c r="H103" s="128" t="inlineStr">
        <is>
          <t>expenses of William, clerk, who held the tourn at the feast of St Martin 10 pence, tally against him.</t>
        </is>
      </c>
    </row>
    <row r="104">
      <c r="A104" s="136" t="inlineStr">
        <is>
          <t>Foreign expenses</t>
        </is>
      </c>
      <c r="B104" s="128" t="n">
        <v>0</v>
      </c>
      <c r="C104" s="128" t="n">
        <v>0</v>
      </c>
      <c r="D104" s="128" t="n">
        <v>6</v>
      </c>
      <c r="E104" s="128" t="n"/>
      <c r="F104" s="128" t="n">
        <v>0.03</v>
      </c>
      <c r="G104" s="128" t="n"/>
      <c r="H104" s="128" t="inlineStr">
        <is>
          <t>expenses of Lord Philip, steward, for the tourn of Hockday, in bread 6 pence, in wine 5 pence, in ale 6 pence, in meat 3 pence, in fish 3 pence, in eggs 1pence.</t>
        </is>
      </c>
    </row>
    <row r="105">
      <c r="A105" s="136" t="inlineStr">
        <is>
          <t>Foreign expenses</t>
        </is>
      </c>
      <c r="B105" s="128" t="n">
        <v>0</v>
      </c>
      <c r="C105" s="128" t="n">
        <v>0</v>
      </c>
      <c r="D105" s="128" t="n">
        <v>22</v>
      </c>
      <c r="E105" s="128" t="n"/>
      <c r="F105" s="128" t="n">
        <v>0.09</v>
      </c>
      <c r="G105" s="128" t="n"/>
      <c r="H105" s="128" t="inlineStr">
        <is>
          <t>expenses of William, chaplain of Abbeville, on the Wednesday after the feast of Trinity [2 June], by order of the bishop 22 pence, by tally against William de Wudeham.</t>
        </is>
      </c>
    </row>
    <row r="106">
      <c r="A106" s="136" t="inlineStr">
        <is>
          <t>Foreign expenses</t>
        </is>
      </c>
      <c r="B106" s="128" t="n">
        <v>0</v>
      </c>
      <c r="C106" s="128" t="n">
        <v>8</v>
      </c>
      <c r="D106" s="128" t="n">
        <v>0</v>
      </c>
      <c r="E106" s="128" t="n"/>
      <c r="F106" s="128" t="n">
        <v>0.4</v>
      </c>
      <c r="G106" s="128" t="n"/>
      <c r="H106" s="128" t="inlineStr">
        <is>
          <t>Sum 8 shilling 3½d.</t>
        </is>
      </c>
    </row>
    <row r="107">
      <c r="A107" s="138" t="inlineStr">
        <is>
          <t>Foreign expenses total</t>
        </is>
      </c>
      <c r="B107" s="139" t="n">
        <v>22</v>
      </c>
      <c r="C107" s="139" t="n">
        <v>0</v>
      </c>
      <c r="D107" s="139" t="n">
        <v>21</v>
      </c>
      <c r="E107" s="139" t="n"/>
      <c r="F107" s="139" t="n">
        <v>22.09</v>
      </c>
      <c r="G107" s="139" t="n">
        <v>21.69</v>
      </c>
      <c r="H107" s="139" t="inlineStr">
        <is>
          <t>Sum of all expenses £22 21pence.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2026-02-18T12:19:03Z</dcterms:modified>
  <cp:lastModifiedBy>Kowalski, Kuba</cp:lastModifiedBy>
</cp:coreProperties>
</file>
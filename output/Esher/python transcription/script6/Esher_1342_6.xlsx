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comments/comment2.xml" ContentType="application/vnd.openxmlformats-officedocument.spreadsheetml.comments+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820" yWindow="1820" windowWidth="32990" windowHeight="18180" tabRatio="600" firstSheet="0" activeTab="2" autoFilterDateGrouping="1"/>
  </bookViews>
  <sheets>
    <sheet xmlns:r="http://schemas.openxmlformats.org/officeDocument/2006/relationships" name="Adderbury Overview" sheetId="1" state="visible" r:id="rId1"/>
    <sheet xmlns:r="http://schemas.openxmlformats.org/officeDocument/2006/relationships" name="Esher_1342 Stock" sheetId="2" state="visible" r:id="rId2"/>
    <sheet xmlns:r="http://schemas.openxmlformats.org/officeDocument/2006/relationships" name="raw data" sheetId="3" state="visible" r:id="rId3"/>
    <sheet xmlns:r="http://schemas.openxmlformats.org/officeDocument/2006/relationships" name="Receipts" sheetId="4" state="visible" r:id="rId4"/>
    <sheet xmlns:r="http://schemas.openxmlformats.org/officeDocument/2006/relationships" name="Overview" sheetId="5" state="visible" r:id="rId5"/>
    <sheet xmlns:r="http://schemas.openxmlformats.org/officeDocument/2006/relationships" name="Issues of the Mills" sheetId="6" state="visible" r:id="rId6"/>
    <sheet xmlns:r="http://schemas.openxmlformats.org/officeDocument/2006/relationships" name="Stock" sheetId="7" state="visible" r:id="rId7"/>
    <sheet xmlns:r="http://schemas.openxmlformats.org/officeDocument/2006/relationships" name="Prices" sheetId="8" state="visible" r:id="rId8"/>
    <sheet xmlns:r="http://schemas.openxmlformats.org/officeDocument/2006/relationships" name="Labour Rents" sheetId="9" state="visible" r:id="rId9"/>
    <sheet xmlns:r="http://schemas.openxmlformats.org/officeDocument/2006/relationships" name="not needed" sheetId="10" state="visible" r:id="rId10"/>
    <sheet xmlns:r="http://schemas.openxmlformats.org/officeDocument/2006/relationships" name="Issues of the Grange raw" sheetId="11" state="visible" r:id="rId11"/>
    <sheet xmlns:r="http://schemas.openxmlformats.org/officeDocument/2006/relationships" name="Issues of the Grange" sheetId="12" state="visible" r:id="rId12"/>
    <sheet xmlns:r="http://schemas.openxmlformats.org/officeDocument/2006/relationships" name="Sale of Corn Prices" sheetId="13" state="visible" r:id="rId13"/>
    <sheet xmlns:r="http://schemas.openxmlformats.org/officeDocument/2006/relationships" name="Expenses" sheetId="14" state="visible" r:id="rId14"/>
  </sheets>
  <definedNames/>
  <calcPr calcId="191029" fullCalcOnLoad="1"/>
</workbook>
</file>

<file path=xl/styles.xml><?xml version="1.0" encoding="utf-8"?>
<styleSheet xmlns="http://schemas.openxmlformats.org/spreadsheetml/2006/main">
  <numFmts count="2">
    <numFmt numFmtId="164" formatCode="0.000000"/>
    <numFmt numFmtId="165" formatCode="#,##0.000000"/>
  </numFmts>
  <fonts count="28">
    <font>
      <name val="Calibri"/>
      <family val="2"/>
      <color theme="1"/>
      <sz val="11"/>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b val="1"/>
      <sz val="11"/>
    </font>
    <font>
      <name val="Calibri"/>
      <family val="2"/>
      <color rgb="FFFF0000"/>
      <sz val="12"/>
      <scheme val="minor"/>
    </font>
    <font>
      <name val="Calibri"/>
      <family val="2"/>
      <b val="1"/>
      <color theme="1"/>
      <sz val="12"/>
      <scheme val="minor"/>
    </font>
    <font>
      <name val="Calibri (Body)"/>
      <b val="1"/>
      <color theme="1"/>
      <sz val="12"/>
    </font>
    <font>
      <name val="Calibri (Body)"/>
      <b val="1"/>
      <color rgb="FFFF0000"/>
      <sz val="12"/>
    </font>
    <font>
      <name val="Calibri"/>
      <family val="2"/>
      <b val="1"/>
      <sz val="12"/>
    </font>
    <font>
      <name val="Calibri"/>
      <family val="2"/>
      <b val="1"/>
      <color rgb="FF000000"/>
      <sz val="12"/>
      <scheme val="minor"/>
    </font>
    <font>
      <name val="Calibri"/>
      <family val="2"/>
      <i val="1"/>
      <color theme="1"/>
      <sz val="12"/>
      <scheme val="minor"/>
    </font>
    <font>
      <name val="Calibri"/>
      <family val="2"/>
      <b val="1"/>
      <i val="1"/>
      <color theme="1"/>
      <sz val="12"/>
      <scheme val="minor"/>
    </font>
    <font>
      <name val="Calibri"/>
      <family val="2"/>
      <color rgb="FF000000"/>
      <sz val="12"/>
      <scheme val="minor"/>
    </font>
    <font>
      <name val="Calibri"/>
      <family val="2"/>
      <i val="1"/>
      <color rgb="FF000000"/>
      <sz val="12"/>
      <scheme val="minor"/>
    </font>
    <font>
      <name val="Calibri"/>
      <family val="2"/>
      <b val="1"/>
      <i val="1"/>
      <color rgb="FF000000"/>
      <sz val="12"/>
      <scheme val="minor"/>
    </font>
    <font>
      <name val="Calibri (Body)"/>
      <color rgb="FFFF0000"/>
      <sz val="12"/>
    </font>
    <font>
      <name val="Calibri"/>
      <family val="2"/>
      <b val="1"/>
      <color theme="1"/>
      <sz val="11"/>
      <scheme val="minor"/>
    </font>
    <font>
      <name val="Calibri"/>
      <family val="2"/>
      <i val="1"/>
      <color rgb="FFFF0000"/>
      <sz val="12"/>
      <scheme val="minor"/>
    </font>
    <font>
      <name val="Tahoma"/>
      <family val="2"/>
      <b val="1"/>
      <color rgb="FF000000"/>
      <sz val="10"/>
    </font>
    <font>
      <name val="Tahoma"/>
      <family val="2"/>
      <color rgb="FF000000"/>
      <sz val="10"/>
    </font>
    <font>
      <name val="Calibri"/>
      <family val="2"/>
      <i val="1"/>
      <color theme="1"/>
      <sz val="11"/>
      <scheme val="minor"/>
    </font>
    <font>
      <name val="Calibri"/>
      <family val="2"/>
      <i val="1"/>
      <color rgb="FFFF0000"/>
      <sz val="11"/>
      <scheme val="minor"/>
    </font>
    <font>
      <name val="Calibri"/>
      <family val="2"/>
      <sz val="12"/>
      <scheme val="minor"/>
    </font>
    <font>
      <name val="Calibri"/>
      <family val="2"/>
      <b val="1"/>
      <color rgb="FFFF0000"/>
      <sz val="12"/>
      <scheme val="minor"/>
    </font>
  </fonts>
  <fills count="12">
    <fill>
      <patternFill/>
    </fill>
    <fill>
      <patternFill patternType="gray125"/>
    </fill>
    <fill>
      <patternFill patternType="solid">
        <fgColor rgb="FFF2F2F2"/>
        <bgColor rgb="FF000000"/>
      </patternFill>
    </fill>
    <fill>
      <patternFill patternType="solid">
        <fgColor theme="7" tint="0.7999816888943144"/>
        <bgColor indexed="64"/>
      </patternFill>
    </fill>
    <fill>
      <patternFill patternType="solid">
        <fgColor theme="7" tint="0.7999816888943144"/>
        <bgColor rgb="FF000000"/>
      </patternFill>
    </fill>
    <fill>
      <patternFill patternType="solid">
        <fgColor theme="0" tint="-0.0499893185216834"/>
        <bgColor indexed="64"/>
      </patternFill>
    </fill>
    <fill>
      <patternFill patternType="solid">
        <fgColor theme="6" tint="0.7999816888943144"/>
        <bgColor indexed="64"/>
      </patternFill>
    </fill>
    <fill>
      <patternFill patternType="solid">
        <fgColor theme="5" tint="0.7999816888943144"/>
        <bgColor indexed="64"/>
      </patternFill>
    </fill>
    <fill>
      <patternFill patternType="solid">
        <fgColor theme="9" tint="0.7999816888943144"/>
        <bgColor indexed="64"/>
      </patternFill>
    </fill>
    <fill>
      <patternFill patternType="solid">
        <fgColor rgb="FFFFFF00"/>
        <bgColor indexed="64"/>
      </patternFill>
    </fill>
    <fill>
      <patternFill patternType="solid">
        <fgColor theme="0" tint="-0.0499893185216834"/>
        <bgColor rgb="FF000000"/>
      </patternFill>
    </fill>
    <fill>
      <patternFill patternType="solid">
        <fgColor rgb="00F2F2F2"/>
        <bgColor rgb="00F2F2F2"/>
      </patternFill>
    </fill>
  </fills>
  <borders count="21">
    <border>
      <left/>
      <right/>
      <top/>
      <bottom/>
      <diagonal/>
    </border>
    <border>
      <left style="thin">
        <color auto="1"/>
      </left>
      <right style="thin">
        <color auto="1"/>
      </right>
      <top style="thin">
        <color auto="1"/>
      </top>
      <bottom style="thin">
        <color auto="1"/>
      </bottom>
      <diagonal/>
    </border>
    <border>
      <left/>
      <right/>
      <top/>
      <bottom style="thin">
        <color rgb="FFA6A6A6"/>
      </bottom>
      <diagonal/>
    </border>
    <border>
      <left/>
      <right style="thin">
        <color indexed="64"/>
      </right>
      <top/>
      <bottom/>
      <diagonal/>
    </border>
    <border>
      <left/>
      <right/>
      <top/>
      <bottom style="thin">
        <color indexed="64"/>
      </bottom>
      <diagonal/>
    </border>
    <border>
      <left/>
      <right style="thin">
        <color indexed="64"/>
      </right>
      <top/>
      <bottom style="thin">
        <color indexed="64"/>
      </bottom>
      <diagonal/>
    </border>
    <border>
      <left/>
      <right/>
      <top/>
      <bottom style="thin">
        <color theme="0" tint="-0.3499862666707358"/>
      </bottom>
      <diagonal/>
    </border>
    <border>
      <left style="thin">
        <color indexed="64"/>
      </left>
      <right/>
      <top/>
      <bottom/>
      <diagonal/>
    </border>
    <border>
      <left/>
      <right/>
      <top style="thin">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border>
      <right style="thin">
        <color rgb="00000000"/>
      </right>
    </border>
    <border>
      <right style="thin">
        <color rgb="00000000"/>
      </right>
      <bottom style="thin">
        <color rgb="00000000"/>
      </bottom>
    </border>
    <border>
      <bottom style="thin">
        <color rgb="00000000"/>
      </bottom>
    </border>
  </borders>
  <cellStyleXfs count="1">
    <xf numFmtId="0" fontId="0" fillId="0" borderId="0"/>
  </cellStyleXfs>
  <cellXfs count="147">
    <xf numFmtId="0" fontId="0" fillId="0" borderId="0" pivotButton="0" quotePrefix="0" xfId="0"/>
    <xf numFmtId="0" fontId="7" fillId="0" borderId="1" applyAlignment="1" pivotButton="0" quotePrefix="0" xfId="0">
      <alignment horizontal="center" vertical="top"/>
    </xf>
    <xf numFmtId="0" fontId="10" fillId="0" borderId="0" pivotButton="0" quotePrefix="0" xfId="0"/>
    <xf numFmtId="4" fontId="10" fillId="0" borderId="0" applyAlignment="1" pivotButton="0" quotePrefix="0" xfId="0">
      <alignment horizontal="right"/>
    </xf>
    <xf numFmtId="0" fontId="10" fillId="0" borderId="0" applyAlignment="1" pivotButton="0" quotePrefix="0" xfId="0">
      <alignment horizontal="right"/>
    </xf>
    <xf numFmtId="4" fontId="9" fillId="0" borderId="0" applyAlignment="1" pivotButton="0" quotePrefix="0" xfId="0">
      <alignment horizontal="center"/>
    </xf>
    <xf numFmtId="0" fontId="11" fillId="0" borderId="0" applyAlignment="1" pivotButton="0" quotePrefix="0" xfId="0">
      <alignment horizontal="center" vertical="top"/>
    </xf>
    <xf numFmtId="0" fontId="12" fillId="0" borderId="0" applyAlignment="1" pivotButton="0" quotePrefix="0" xfId="0">
      <alignment horizontal="left" vertical="top"/>
    </xf>
    <xf numFmtId="0" fontId="13" fillId="0" borderId="0" pivotButton="0" quotePrefix="0" xfId="0"/>
    <xf numFmtId="0" fontId="6" fillId="0" borderId="0" pivotButton="0" quotePrefix="0" xfId="0"/>
    <xf numFmtId="0" fontId="8" fillId="0" borderId="0" pivotButton="0" quotePrefix="0" xfId="0"/>
    <xf numFmtId="0" fontId="12" fillId="0" borderId="0" applyAlignment="1" pivotButton="0" quotePrefix="0" xfId="0">
      <alignment horizontal="center" vertical="top"/>
    </xf>
    <xf numFmtId="0" fontId="9" fillId="0" borderId="0" pivotButton="0" quotePrefix="0" xfId="0"/>
    <xf numFmtId="0" fontId="14" fillId="0" borderId="0" pivotButton="0" quotePrefix="0" xfId="0"/>
    <xf numFmtId="0" fontId="15" fillId="0" borderId="0" pivotButton="0" quotePrefix="0" xfId="0"/>
    <xf numFmtId="0" fontId="16" fillId="0" borderId="0" pivotButton="0" quotePrefix="0" xfId="0"/>
    <xf numFmtId="0" fontId="13" fillId="2" borderId="0" pivotButton="0" quotePrefix="0" xfId="0"/>
    <xf numFmtId="0" fontId="17" fillId="2" borderId="0" pivotButton="0" quotePrefix="0" xfId="0"/>
    <xf numFmtId="0" fontId="16" fillId="3" borderId="0" pivotButton="0" quotePrefix="0" xfId="0"/>
    <xf numFmtId="0" fontId="17" fillId="3" borderId="0" pivotButton="0" quotePrefix="0" xfId="0"/>
    <xf numFmtId="0" fontId="17" fillId="4" borderId="0" pivotButton="0" quotePrefix="0" xfId="0"/>
    <xf numFmtId="0" fontId="13" fillId="5" borderId="0" pivotButton="0" quotePrefix="0" xfId="0"/>
    <xf numFmtId="0" fontId="16" fillId="0" borderId="0" applyAlignment="1" pivotButton="0" quotePrefix="0" xfId="0">
      <alignment wrapText="1"/>
    </xf>
    <xf numFmtId="0" fontId="16" fillId="0" borderId="2" pivotButton="0" quotePrefix="0" xfId="0"/>
    <xf numFmtId="0" fontId="16" fillId="0" borderId="0" applyAlignment="1" pivotButton="0" quotePrefix="0" xfId="0">
      <alignment horizontal="right"/>
    </xf>
    <xf numFmtId="0" fontId="16" fillId="0" borderId="2" applyAlignment="1" pivotButton="0" quotePrefix="0" xfId="0">
      <alignment horizontal="left"/>
    </xf>
    <xf numFmtId="2" fontId="6" fillId="0" borderId="0" pivotButton="0" quotePrefix="0" xfId="0"/>
    <xf numFmtId="0" fontId="0" fillId="0" borderId="0" applyAlignment="1" pivotButton="0" quotePrefix="0" xfId="0">
      <alignment horizontal="right" wrapText="1"/>
    </xf>
    <xf numFmtId="0" fontId="0" fillId="0" borderId="0" applyAlignment="1" pivotButton="0" quotePrefix="0" xfId="0">
      <alignment horizontal="right"/>
    </xf>
    <xf numFmtId="0" fontId="9" fillId="0" borderId="0" applyAlignment="1" pivotButton="0" quotePrefix="0" xfId="0">
      <alignment horizontal="right" wrapText="1"/>
    </xf>
    <xf numFmtId="0" fontId="12" fillId="0" borderId="0" applyAlignment="1" pivotButton="0" quotePrefix="0" xfId="0">
      <alignment horizontal="center" vertical="center"/>
    </xf>
    <xf numFmtId="0" fontId="15" fillId="0" borderId="0" applyAlignment="1" pivotButton="0" quotePrefix="0" xfId="0">
      <alignment horizontal="center" vertical="center"/>
    </xf>
    <xf numFmtId="0" fontId="6" fillId="0" borderId="0" applyAlignment="1" pivotButton="0" quotePrefix="0" xfId="0">
      <alignment horizontal="center" vertical="center"/>
    </xf>
    <xf numFmtId="4" fontId="10" fillId="0" borderId="0" applyAlignment="1" pivotButton="0" quotePrefix="0" xfId="0">
      <alignment horizontal="center" vertical="center"/>
    </xf>
    <xf numFmtId="0" fontId="10" fillId="0" borderId="0" applyAlignment="1" pivotButton="0" quotePrefix="0" xfId="0">
      <alignment horizontal="center" vertical="center"/>
    </xf>
    <xf numFmtId="2" fontId="9" fillId="0" borderId="0" applyAlignment="1" pivotButton="0" quotePrefix="0" xfId="0">
      <alignment horizontal="center" vertical="center"/>
    </xf>
    <xf numFmtId="0" fontId="5" fillId="0" borderId="0" pivotButton="0" quotePrefix="0" xfId="0"/>
    <xf numFmtId="0" fontId="7" fillId="0" borderId="0" applyAlignment="1" pivotButton="0" quotePrefix="0" xfId="0">
      <alignment horizontal="center" vertical="top"/>
    </xf>
    <xf numFmtId="0" fontId="20" fillId="0" borderId="0" pivotButton="0" quotePrefix="0" xfId="0"/>
    <xf numFmtId="0" fontId="0" fillId="6" borderId="0" pivotButton="0" quotePrefix="0" xfId="0"/>
    <xf numFmtId="0" fontId="21" fillId="0" borderId="0" pivotButton="0" quotePrefix="0" xfId="0"/>
    <xf numFmtId="0" fontId="0" fillId="0" borderId="0" applyAlignment="1" pivotButton="0" quotePrefix="0" xfId="0">
      <alignment horizontal="center"/>
    </xf>
    <xf numFmtId="0" fontId="0" fillId="8" borderId="0" pivotButton="0" quotePrefix="0" xfId="0"/>
    <xf numFmtId="0" fontId="0" fillId="0" borderId="0" applyAlignment="1" pivotButton="0" quotePrefix="0" xfId="0">
      <alignment horizontal="left"/>
    </xf>
    <xf numFmtId="0" fontId="0" fillId="0" borderId="0" applyAlignment="1" pivotButton="0" quotePrefix="0" xfId="0">
      <alignment wrapText="1"/>
    </xf>
    <xf numFmtId="4" fontId="0" fillId="0" borderId="0" applyAlignment="1" pivotButton="0" quotePrefix="0" xfId="0">
      <alignment horizontal="right" wrapText="1"/>
    </xf>
    <xf numFmtId="0" fontId="0" fillId="0" borderId="3" applyAlignment="1" pivotButton="0" quotePrefix="0" xfId="0">
      <alignment horizontal="right"/>
    </xf>
    <xf numFmtId="0" fontId="0" fillId="0" borderId="4" applyAlignment="1" pivotButton="0" quotePrefix="0" xfId="0">
      <alignment horizontal="right"/>
    </xf>
    <xf numFmtId="0" fontId="0" fillId="0" borderId="5" applyAlignment="1" pivotButton="0" quotePrefix="0" xfId="0">
      <alignment horizontal="right"/>
    </xf>
    <xf numFmtId="0" fontId="0" fillId="0" borderId="4" applyAlignment="1" pivotButton="0" quotePrefix="0" xfId="0">
      <alignment horizontal="center"/>
    </xf>
    <xf numFmtId="2" fontId="19" fillId="0" borderId="0" pivotButton="0" quotePrefix="0" xfId="0"/>
    <xf numFmtId="2" fontId="11" fillId="0" borderId="0" applyAlignment="1" pivotButton="0" quotePrefix="0" xfId="0">
      <alignment horizontal="center" vertical="center"/>
    </xf>
    <xf numFmtId="2" fontId="9" fillId="0" borderId="0" applyAlignment="1" pivotButton="0" quotePrefix="0" xfId="0">
      <alignment horizontal="center" vertical="center" wrapText="1"/>
    </xf>
    <xf numFmtId="0" fontId="9" fillId="5" borderId="0" pivotButton="0" quotePrefix="0" xfId="0"/>
    <xf numFmtId="0" fontId="6" fillId="5" borderId="0" pivotButton="0" quotePrefix="0" xfId="0"/>
    <xf numFmtId="2" fontId="6" fillId="5" borderId="0" pivotButton="0" quotePrefix="0" xfId="0"/>
    <xf numFmtId="2" fontId="19" fillId="5" borderId="0" pivotButton="0" quotePrefix="0" xfId="0"/>
    <xf numFmtId="0" fontId="14" fillId="5" borderId="0" pivotButton="0" quotePrefix="0" xfId="0"/>
    <xf numFmtId="0" fontId="21" fillId="5" borderId="0" pivotButton="0" quotePrefix="0" xfId="0"/>
    <xf numFmtId="0" fontId="24" fillId="0" borderId="0" pivotButton="0" quotePrefix="0" xfId="0"/>
    <xf numFmtId="0" fontId="0" fillId="0" borderId="4" pivotButton="0" quotePrefix="0" xfId="0"/>
    <xf numFmtId="0" fontId="25" fillId="0" borderId="0" pivotButton="0" quotePrefix="0" xfId="0"/>
    <xf numFmtId="164" fontId="26" fillId="0" borderId="0" applyAlignment="1" pivotButton="0" quotePrefix="0" xfId="0">
      <alignment horizontal="right"/>
    </xf>
    <xf numFmtId="164" fontId="0" fillId="0" borderId="0" applyAlignment="1" pivotButton="0" quotePrefix="0" xfId="0">
      <alignment horizontal="right"/>
    </xf>
    <xf numFmtId="165" fontId="0" fillId="0" borderId="0" pivotButton="0" quotePrefix="0" xfId="0"/>
    <xf numFmtId="164" fontId="0" fillId="0" borderId="0" pivotButton="0" quotePrefix="0" xfId="0"/>
    <xf numFmtId="0" fontId="9" fillId="0" borderId="0" applyAlignment="1" pivotButton="0" quotePrefix="0" xfId="0">
      <alignment wrapText="1"/>
    </xf>
    <xf numFmtId="0" fontId="14" fillId="6" borderId="0" pivotButton="0" quotePrefix="0" xfId="0"/>
    <xf numFmtId="0" fontId="0" fillId="0" borderId="6" pivotButton="0" quotePrefix="0" xfId="0"/>
    <xf numFmtId="0" fontId="0" fillId="0" borderId="6" applyAlignment="1" pivotButton="0" quotePrefix="0" xfId="0">
      <alignment horizontal="left"/>
    </xf>
    <xf numFmtId="0" fontId="0" fillId="5" borderId="0" pivotButton="0" quotePrefix="0" xfId="0"/>
    <xf numFmtId="0" fontId="0" fillId="9" borderId="0" pivotButton="0" quotePrefix="0" xfId="0"/>
    <xf numFmtId="2" fontId="0" fillId="0" borderId="0" pivotButton="0" quotePrefix="0" xfId="0"/>
    <xf numFmtId="2" fontId="0" fillId="0" borderId="0" applyAlignment="1" pivotButton="0" quotePrefix="0" xfId="0">
      <alignment wrapText="1"/>
    </xf>
    <xf numFmtId="2" fontId="9" fillId="0" borderId="0" applyAlignment="1" pivotButton="0" quotePrefix="0" xfId="0">
      <alignment wrapText="1"/>
    </xf>
    <xf numFmtId="4" fontId="0" fillId="0" borderId="0" applyAlignment="1" pivotButton="0" quotePrefix="0" xfId="0">
      <alignment horizontal="right"/>
    </xf>
    <xf numFmtId="0" fontId="4" fillId="0" borderId="0" pivotButton="0" quotePrefix="0" xfId="0"/>
    <xf numFmtId="2" fontId="13" fillId="0" borderId="0" applyAlignment="1" pivotButton="0" quotePrefix="0" xfId="0">
      <alignment horizontal="right"/>
    </xf>
    <xf numFmtId="2" fontId="27" fillId="0" borderId="0" applyAlignment="1" pivotButton="0" quotePrefix="0" xfId="0">
      <alignment horizontal="right"/>
    </xf>
    <xf numFmtId="0" fontId="4" fillId="0" borderId="8" pivotButton="0" quotePrefix="0" xfId="0"/>
    <xf numFmtId="0" fontId="8" fillId="0" borderId="8" pivotButton="0" quotePrefix="0" xfId="0"/>
    <xf numFmtId="0" fontId="15" fillId="5" borderId="8" pivotButton="0" quotePrefix="0" xfId="0"/>
    <xf numFmtId="0" fontId="15" fillId="5" borderId="0" pivotButton="0" quotePrefix="0" xfId="0"/>
    <xf numFmtId="0" fontId="18" fillId="2" borderId="0" pivotButton="0" quotePrefix="0" xfId="0"/>
    <xf numFmtId="2" fontId="4" fillId="0" borderId="0" pivotButton="0" quotePrefix="0" xfId="0"/>
    <xf numFmtId="0" fontId="16" fillId="0" borderId="4" pivotButton="0" quotePrefix="0" xfId="0"/>
    <xf numFmtId="2" fontId="4" fillId="0" borderId="4" pivotButton="0" quotePrefix="0" xfId="0"/>
    <xf numFmtId="0" fontId="8" fillId="0" borderId="4" pivotButton="0" quotePrefix="0" xfId="0"/>
    <xf numFmtId="0" fontId="4" fillId="0" borderId="4" pivotButton="0" quotePrefix="0" xfId="0"/>
    <xf numFmtId="4" fontId="9" fillId="0" borderId="0" applyAlignment="1" pivotButton="0" quotePrefix="0" xfId="0">
      <alignment horizontal="right"/>
    </xf>
    <xf numFmtId="0" fontId="9" fillId="0" borderId="0" applyAlignment="1" pivotButton="0" quotePrefix="0" xfId="0">
      <alignment horizontal="right"/>
    </xf>
    <xf numFmtId="2" fontId="13" fillId="5" borderId="0" applyAlignment="1" pivotButton="0" quotePrefix="0" xfId="0">
      <alignment horizontal="right"/>
    </xf>
    <xf numFmtId="0" fontId="13" fillId="10" borderId="0" pivotButton="0" quotePrefix="0" xfId="0"/>
    <xf numFmtId="0" fontId="4" fillId="5" borderId="0" pivotButton="0" quotePrefix="0" xfId="0"/>
    <xf numFmtId="0" fontId="8" fillId="5" borderId="0" pivotButton="0" quotePrefix="0" xfId="0"/>
    <xf numFmtId="0" fontId="9" fillId="5" borderId="0" applyAlignment="1" pivotButton="0" quotePrefix="0" xfId="0">
      <alignment horizontal="right"/>
    </xf>
    <xf numFmtId="0" fontId="3" fillId="0" borderId="0" pivotButton="0" quotePrefix="0" xfId="0"/>
    <xf numFmtId="0" fontId="17" fillId="2" borderId="9" pivotButton="0" quotePrefix="0" xfId="0"/>
    <xf numFmtId="0" fontId="17" fillId="4" borderId="9" pivotButton="0" quotePrefix="0" xfId="0"/>
    <xf numFmtId="0" fontId="16" fillId="0" borderId="9" pivotButton="0" quotePrefix="0" xfId="0"/>
    <xf numFmtId="10" fontId="17" fillId="2" borderId="9" pivotButton="0" quotePrefix="0" xfId="0"/>
    <xf numFmtId="10" fontId="17" fillId="4" borderId="11" pivotButton="0" quotePrefix="0" xfId="0"/>
    <xf numFmtId="0" fontId="8" fillId="0" borderId="12" pivotButton="0" quotePrefix="0" xfId="0"/>
    <xf numFmtId="0" fontId="16" fillId="5" borderId="14" pivotButton="0" quotePrefix="0" xfId="0"/>
    <xf numFmtId="2" fontId="13" fillId="5" borderId="15" applyAlignment="1" pivotButton="0" quotePrefix="0" xfId="0">
      <alignment horizontal="right"/>
    </xf>
    <xf numFmtId="0" fontId="8" fillId="5" borderId="15" pivotButton="0" quotePrefix="0" xfId="0"/>
    <xf numFmtId="0" fontId="3" fillId="0" borderId="12" pivotButton="0" quotePrefix="0" xfId="0"/>
    <xf numFmtId="2" fontId="4" fillId="5" borderId="0" pivotButton="0" quotePrefix="0" xfId="0"/>
    <xf numFmtId="0" fontId="2" fillId="5" borderId="15" pivotButton="0" quotePrefix="0" xfId="0"/>
    <xf numFmtId="0" fontId="2" fillId="5" borderId="16" pivotButton="0" quotePrefix="0" xfId="0"/>
    <xf numFmtId="2" fontId="2" fillId="0" borderId="0" pivotButton="0" quotePrefix="0" xfId="0"/>
    <xf numFmtId="0" fontId="2" fillId="0" borderId="0" pivotButton="0" quotePrefix="0" xfId="0"/>
    <xf numFmtId="0" fontId="2" fillId="0" borderId="10" pivotButton="0" quotePrefix="0" xfId="0"/>
    <xf numFmtId="10" fontId="2" fillId="0" borderId="0" pivotButton="0" quotePrefix="0" xfId="0"/>
    <xf numFmtId="0" fontId="2" fillId="0" borderId="12" pivotButton="0" quotePrefix="0" xfId="0"/>
    <xf numFmtId="0" fontId="2" fillId="0" borderId="13" pivotButton="0" quotePrefix="0" xfId="0"/>
    <xf numFmtId="0" fontId="1" fillId="0" borderId="0" pivotButton="0" quotePrefix="0" xfId="0"/>
    <xf numFmtId="2" fontId="9" fillId="5" borderId="0" pivotButton="0" quotePrefix="0" xfId="0"/>
    <xf numFmtId="2" fontId="13" fillId="0" borderId="0" applyAlignment="1" pivotButton="0" quotePrefix="0" xfId="0">
      <alignment horizontal="left" vertical="center" wrapText="1"/>
    </xf>
    <xf numFmtId="0" fontId="17" fillId="10" borderId="0" pivotButton="0" quotePrefix="0" xfId="0"/>
    <xf numFmtId="0" fontId="9" fillId="5" borderId="0" applyAlignment="1" pivotButton="0" quotePrefix="0" xfId="0">
      <alignment horizontal="center"/>
    </xf>
    <xf numFmtId="0" fontId="0" fillId="7" borderId="0" applyAlignment="1" pivotButton="0" quotePrefix="0" xfId="0">
      <alignment horizontal="center"/>
    </xf>
    <xf numFmtId="0" fontId="0" fillId="3" borderId="0" applyAlignment="1" pivotButton="0" quotePrefix="0" xfId="0">
      <alignment horizontal="center"/>
    </xf>
    <xf numFmtId="0" fontId="0" fillId="3" borderId="3" applyAlignment="1" pivotButton="0" quotePrefix="0" xfId="0">
      <alignment horizontal="center"/>
    </xf>
    <xf numFmtId="0" fontId="0" fillId="0" borderId="0" applyAlignment="1" pivotButton="0" quotePrefix="0" xfId="0">
      <alignment horizontal="center"/>
    </xf>
    <xf numFmtId="0" fontId="0" fillId="0" borderId="0" applyAlignment="1" pivotButton="0" quotePrefix="0" xfId="0">
      <alignment horizontal="center" wrapText="1"/>
    </xf>
    <xf numFmtId="0" fontId="0" fillId="0" borderId="7" applyAlignment="1" pivotButton="0" quotePrefix="0" xfId="0">
      <alignment horizontal="center" wrapText="1"/>
    </xf>
    <xf numFmtId="0" fontId="10" fillId="0" borderId="18" pivotButton="0" quotePrefix="0" xfId="0"/>
    <xf numFmtId="0" fontId="0" fillId="0" borderId="17" pivotButton="0" quotePrefix="0" xfId="0"/>
    <xf numFmtId="0" fontId="12" fillId="0" borderId="19" applyAlignment="1" pivotButton="0" quotePrefix="0" xfId="0">
      <alignment horizontal="center" vertical="center"/>
    </xf>
    <xf numFmtId="4" fontId="10" fillId="0" borderId="20" applyAlignment="1" pivotButton="0" quotePrefix="0" xfId="0">
      <alignment horizontal="center" vertical="center"/>
    </xf>
    <xf numFmtId="0" fontId="10" fillId="0" borderId="20" applyAlignment="1" pivotButton="0" quotePrefix="0" xfId="0">
      <alignment horizontal="center" vertical="center"/>
    </xf>
    <xf numFmtId="0" fontId="0" fillId="0" borderId="20" pivotButton="0" quotePrefix="0" xfId="0"/>
    <xf numFmtId="2" fontId="9" fillId="0" borderId="20" applyAlignment="1" pivotButton="0" quotePrefix="0" xfId="0">
      <alignment horizontal="center" vertical="center"/>
    </xf>
    <xf numFmtId="2" fontId="11" fillId="0" borderId="20" applyAlignment="1" pivotButton="0" quotePrefix="0" xfId="0">
      <alignment horizontal="center" vertical="center"/>
    </xf>
    <xf numFmtId="0" fontId="12" fillId="0" borderId="20" applyAlignment="1" pivotButton="0" quotePrefix="0" xfId="0">
      <alignment horizontal="center" vertical="center"/>
    </xf>
    <xf numFmtId="0" fontId="0" fillId="0" borderId="18" pivotButton="0" quotePrefix="0" xfId="0"/>
    <xf numFmtId="0" fontId="20" fillId="0" borderId="18" pivotButton="0" quotePrefix="0" xfId="0"/>
    <xf numFmtId="0" fontId="20" fillId="11" borderId="18" pivotButton="0" quotePrefix="0" xfId="0"/>
    <xf numFmtId="0" fontId="20" fillId="11" borderId="17" pivotButton="0" quotePrefix="0" xfId="0"/>
    <xf numFmtId="0" fontId="12" fillId="0" borderId="19" applyAlignment="1" pivotButton="0" quotePrefix="0" xfId="0">
      <alignment horizontal="center" vertical="top"/>
    </xf>
    <xf numFmtId="4" fontId="10" fillId="0" borderId="20" applyAlignment="1" pivotButton="0" quotePrefix="0" xfId="0">
      <alignment horizontal="right"/>
    </xf>
    <xf numFmtId="0" fontId="10" fillId="0" borderId="20" applyAlignment="1" pivotButton="0" quotePrefix="0" xfId="0">
      <alignment horizontal="right"/>
    </xf>
    <xf numFmtId="4" fontId="9" fillId="0" borderId="20" applyAlignment="1" pivotButton="0" quotePrefix="0" xfId="0">
      <alignment horizontal="center"/>
    </xf>
    <xf numFmtId="0" fontId="11" fillId="0" borderId="20" applyAlignment="1" pivotButton="0" quotePrefix="0" xfId="0">
      <alignment horizontal="center" vertical="top"/>
    </xf>
    <xf numFmtId="0" fontId="12" fillId="0" borderId="20" applyAlignment="1" pivotButton="0" quotePrefix="0" xfId="0">
      <alignment horizontal="left" vertical="top"/>
    </xf>
    <xf numFmtId="0" fontId="15" fillId="0" borderId="20"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styles" Target="styles.xml" Id="rId15"/><Relationship Type="http://schemas.openxmlformats.org/officeDocument/2006/relationships/theme" Target="theme/theme1.xml" Id="rId16"/></Relationships>
</file>

<file path=xl/comments/comment1.xml><?xml version="1.0" encoding="utf-8"?>
<comments xmlns="http://schemas.openxmlformats.org/spreadsheetml/2006/main">
  <authors>
    <author>Victoria Gierok</author>
  </authors>
  <commentList>
    <comment ref="F86" authorId="0" shapeId="0">
      <text>
        <t>Victoria Gierok:
valued at sales prices where available</t>
      </text>
    </comment>
    <comment ref="F117" authorId="0" shapeId="0">
      <text>
        <t>Victoria Gierok:
valued at sales prices where available</t>
      </text>
    </comment>
    <comment ref="F126" authorId="0" shapeId="0">
      <text>
        <t>Victoria Gierok:
valued at sales prices where available</t>
      </text>
    </comment>
    <comment ref="F150" authorId="0" shapeId="0">
      <text>
        <t>Victoria Gierok:
valued at sales prices where available</t>
      </text>
    </comment>
    <comment ref="F158" authorId="0" shapeId="0">
      <text>
        <t>Victoria Gierok:
valued at sales prices where available</t>
      </text>
    </comment>
    <comment ref="F165" authorId="0" shapeId="0">
      <text>
        <t>Victoria Gierok:
valued at sales prices where available</t>
      </text>
    </comment>
  </commentList>
</comments>
</file>

<file path=xl/comments/comment2.xml><?xml version="1.0" encoding="utf-8"?>
<comments xmlns="http://schemas.openxmlformats.org/spreadsheetml/2006/main">
  <authors>
    <author>Victoria Gierok</author>
  </authors>
  <commentList>
    <comment ref="D4" authorId="0" shapeId="0">
      <text>
        <t>Victoria Gierok:
strays that the seem to have added to their own stock?</t>
      </text>
    </comment>
    <comment ref="E4" authorId="0" shapeId="0">
      <text>
        <t>Victoria Gierok:
herbage = a type of customary payment to the lord; hence an addition to the stock</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2.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sheet1.xml><?xml version="1.0" encoding="utf-8"?>
<worksheet xmlns="http://schemas.openxmlformats.org/spreadsheetml/2006/main">
  <sheetPr>
    <outlinePr summaryBelow="1" summaryRight="1"/>
    <pageSetUpPr/>
  </sheetPr>
  <dimension ref="A1:G183"/>
  <sheetViews>
    <sheetView workbookViewId="0">
      <pane xSplit="1" ySplit="2" topLeftCell="B126" activePane="bottomRight" state="frozen"/>
      <selection pane="topRight" activeCell="B1" sqref="B1"/>
      <selection pane="bottomLeft" activeCell="A3" sqref="A3"/>
      <selection pane="bottomRight" activeCell="A138" sqref="A138"/>
    </sheetView>
  </sheetViews>
  <sheetFormatPr baseColWidth="8" defaultColWidth="10.81640625" defaultRowHeight="15.5"/>
  <cols>
    <col width="80" bestFit="1" customWidth="1" style="76" min="1" max="1"/>
    <col width="10.81640625" customWidth="1" style="76" min="2" max="2"/>
    <col width="10.81640625" customWidth="1" style="10" min="3" max="3"/>
    <col width="30.81640625" bestFit="1" customWidth="1" style="76" min="4" max="4"/>
    <col width="29.36328125" bestFit="1" customWidth="1" style="76" min="5" max="5"/>
    <col width="35.453125" bestFit="1" customWidth="1" style="76" min="6" max="6"/>
    <col width="21.1796875" customWidth="1" style="76" min="7" max="7"/>
    <col width="10.81640625" customWidth="1" style="76" min="8" max="16384"/>
  </cols>
  <sheetData>
    <row r="1">
      <c r="A1" s="8" t="inlineStr">
        <is>
          <t>ADDERBURY</t>
        </is>
      </c>
      <c r="B1" s="77" t="inlineStr">
        <is>
          <t>Total in £</t>
        </is>
      </c>
      <c r="C1" s="78" t="inlineStr">
        <is>
          <t>Error</t>
        </is>
      </c>
      <c r="D1" s="12" t="inlineStr">
        <is>
          <t>Note</t>
        </is>
      </c>
      <c r="E1" s="12" t="n"/>
    </row>
    <row r="2">
      <c r="A2" s="8" t="inlineStr">
        <is>
          <t>CASH ACCOUNT</t>
        </is>
      </c>
    </row>
    <row r="3">
      <c r="A3" s="16" t="inlineStr">
        <is>
          <t>RECEIPTS</t>
        </is>
      </c>
    </row>
    <row r="4">
      <c r="A4" s="15" t="inlineStr">
        <is>
          <t>Arrears total</t>
        </is>
      </c>
      <c r="B4" s="76" t="inlineStr">
        <is>
          <t xml:space="preserve"> </t>
        </is>
      </c>
      <c r="D4" s="13" t="n"/>
      <c r="E4" s="13" t="n"/>
    </row>
    <row r="5">
      <c r="A5" s="15" t="inlineStr">
        <is>
          <t>Rents of assize total</t>
        </is>
      </c>
      <c r="B5" s="76">
        <f>'Adderbury Receipts'!F9</f>
        <v/>
      </c>
    </row>
    <row r="6">
      <c r="A6" s="15" t="inlineStr">
        <is>
          <t>Quittances total</t>
        </is>
      </c>
      <c r="B6" s="76">
        <f>'Adderbury Receipts'!F22</f>
        <v/>
      </c>
    </row>
    <row r="7">
      <c r="A7" s="15" t="inlineStr">
        <is>
          <t>Defaults of rent total</t>
        </is>
      </c>
      <c r="B7" s="76">
        <f>'Adderbury Receipts'!F27</f>
        <v/>
      </c>
    </row>
    <row r="8">
      <c r="A8" s="76" t="inlineStr">
        <is>
          <t>Defaults of rent through the pestilence total</t>
        </is>
      </c>
      <c r="B8" s="76">
        <f>'Adderbury Receipts'!F36</f>
        <v/>
      </c>
    </row>
    <row r="9">
      <c r="A9" s="76" t="inlineStr">
        <is>
          <t>Cotlands defaults total</t>
        </is>
      </c>
      <c r="B9" s="76">
        <f>'Adderbury Receipts'!F45</f>
        <v/>
      </c>
    </row>
    <row r="10">
      <c r="A10" s="76" t="inlineStr">
        <is>
          <t>Cotlands total</t>
        </is>
      </c>
      <c r="B10" s="76">
        <f>'Adderbury Receipts'!F54</f>
        <v/>
      </c>
    </row>
    <row r="11">
      <c r="A11" s="76" t="inlineStr">
        <is>
          <t>Total of quittances and defaults of rent total</t>
        </is>
      </c>
      <c r="B11" s="76">
        <f>'Adderbury Receipts'!F56</f>
        <v/>
      </c>
    </row>
    <row r="12">
      <c r="A12" s="76" t="inlineStr">
        <is>
          <t>Total of rents remaining clear total</t>
        </is>
      </c>
      <c r="B12" s="76">
        <f>'Adderbury Receipts'!F58</f>
        <v/>
      </c>
    </row>
    <row r="13">
      <c r="A13" s="76" t="inlineStr">
        <is>
          <t>Farms total</t>
        </is>
      </c>
      <c r="B13" s="76">
        <f>'Adderbury Receipts'!F70</f>
        <v/>
      </c>
    </row>
    <row r="14">
      <c r="A14" s="15" t="inlineStr">
        <is>
          <t>Annual recognizances total</t>
        </is>
      </c>
      <c r="B14" s="76">
        <f>'Adderbury Receipts'!F90</f>
        <v/>
      </c>
    </row>
    <row r="15">
      <c r="A15" s="15" t="inlineStr">
        <is>
          <t>Issues of the Manor total</t>
        </is>
      </c>
      <c r="B15" s="76">
        <f>'Adderbury Receipts'!F117</f>
        <v/>
      </c>
    </row>
    <row r="16">
      <c r="A16" s="76" t="inlineStr">
        <is>
          <t>Issues of the tenements in the lord's hands total</t>
        </is>
      </c>
      <c r="B16" s="76">
        <f>'Adderbury Receipts'!F126</f>
        <v/>
      </c>
    </row>
    <row r="17">
      <c r="A17" s="76" t="inlineStr">
        <is>
          <t>Sale of labour services total</t>
        </is>
      </c>
      <c r="B17" s="76">
        <f>'Adderbury Receipts'!F135</f>
        <v/>
      </c>
    </row>
    <row r="18">
      <c r="A18" s="15" t="inlineStr">
        <is>
          <t>Sale of corn total</t>
        </is>
      </c>
      <c r="B18" s="76">
        <f>'Adderbury Receipts'!F138</f>
        <v/>
      </c>
    </row>
    <row r="19">
      <c r="A19" s="15" t="inlineStr">
        <is>
          <t>Entry and marriage fines total</t>
        </is>
      </c>
      <c r="B19" s="76">
        <f>'Adderbury Receipts'!F166</f>
        <v/>
      </c>
    </row>
    <row r="20">
      <c r="A20" s="15" t="inlineStr">
        <is>
          <t>Pleas &amp; perquisites total</t>
        </is>
      </c>
      <c r="B20" s="76">
        <f>'Adderbury Receipts'!F173</f>
        <v/>
      </c>
    </row>
    <row r="21">
      <c r="A21" s="76" t="inlineStr">
        <is>
          <t>Forfeited chattels total</t>
        </is>
      </c>
      <c r="B21" s="76">
        <f>'Adderbury Receipts'!F177</f>
        <v/>
      </c>
    </row>
    <row r="22">
      <c r="A22" s="76" t="inlineStr">
        <is>
          <t>Farm of the demesne land total</t>
        </is>
      </c>
      <c r="B22" s="76">
        <f>'Adderbury Receipts'!F181</f>
        <v/>
      </c>
      <c r="D22" s="88" t="n"/>
    </row>
    <row r="23">
      <c r="A23" s="81" t="inlineStr">
        <is>
          <t>Total of all receipts (calculated here)</t>
        </is>
      </c>
      <c r="B23" s="79">
        <f>'Adderbury Receipts'!F185</f>
        <v/>
      </c>
      <c r="C23" s="80" t="n"/>
    </row>
    <row r="24">
      <c r="A24" s="82" t="inlineStr">
        <is>
          <t>Total of all receipts (calculated here) incl arrears</t>
        </is>
      </c>
      <c r="D24" s="13" t="n"/>
      <c r="E24" s="13" t="n"/>
    </row>
    <row r="25">
      <c r="A25" s="83" t="inlineStr">
        <is>
          <t>Total recorded in the accounts excl. arrears</t>
        </is>
      </c>
      <c r="B25" s="76">
        <f>'Adderbury Receipts'!F184</f>
        <v/>
      </c>
      <c r="C25" s="10">
        <f>B23-B25</f>
        <v/>
      </c>
    </row>
    <row r="26">
      <c r="A26" s="83" t="inlineStr">
        <is>
          <t>Total recorded in the accounts incl. arrears</t>
        </is>
      </c>
      <c r="D26" s="13" t="n"/>
      <c r="E26" s="13" t="n"/>
    </row>
    <row r="27">
      <c r="A27" s="15" t="n"/>
    </row>
    <row r="28">
      <c r="A28" s="15" t="n"/>
    </row>
    <row r="29">
      <c r="A29" s="16" t="inlineStr">
        <is>
          <t>EXPENSES</t>
        </is>
      </c>
    </row>
    <row r="30">
      <c r="A30" s="15" t="inlineStr">
        <is>
          <t>Cost of ploughs total</t>
        </is>
      </c>
    </row>
    <row r="31">
      <c r="A31" s="15" t="inlineStr">
        <is>
          <t>Purchase of corn total</t>
        </is>
      </c>
    </row>
    <row r="32">
      <c r="A32" s="15" t="inlineStr">
        <is>
          <t>Cost of carts and wagons total</t>
        </is>
      </c>
    </row>
    <row r="33">
      <c r="A33" s="15" t="inlineStr">
        <is>
          <t>Cost of dairy total</t>
        </is>
      </c>
    </row>
    <row r="34">
      <c r="A34" s="15" t="inlineStr">
        <is>
          <t>Purchase of stock total</t>
        </is>
      </c>
    </row>
    <row r="35">
      <c r="A35" s="15" t="inlineStr">
        <is>
          <t>Sheepcote total</t>
        </is>
      </c>
    </row>
    <row r="36">
      <c r="A36" s="15" t="inlineStr">
        <is>
          <t>Cost of buildings total</t>
        </is>
      </c>
      <c r="B36" s="84">
        <f>'Adderbury Expenses'!F26</f>
        <v/>
      </c>
    </row>
    <row r="37">
      <c r="A37" s="15" t="inlineStr">
        <is>
          <t>Threshing total</t>
        </is>
      </c>
    </row>
    <row r="38">
      <c r="A38" s="15" t="inlineStr">
        <is>
          <t>Barley expenses</t>
        </is>
      </c>
    </row>
    <row r="39">
      <c r="A39" s="15" t="inlineStr">
        <is>
          <t>Expenses of the harvest total</t>
        </is>
      </c>
    </row>
    <row r="40">
      <c r="A40" s="15" t="inlineStr">
        <is>
          <t>Necessary expenses</t>
        </is>
      </c>
    </row>
    <row r="41">
      <c r="A41" s="15" t="inlineStr">
        <is>
          <t>Wages of the bailiff</t>
        </is>
      </c>
      <c r="B41" s="84">
        <f>'Adderbury Expenses'!F30</f>
        <v/>
      </c>
    </row>
    <row r="42">
      <c r="A42" s="15" t="inlineStr">
        <is>
          <t>Steward's expenses total</t>
        </is>
      </c>
      <c r="B42" s="84">
        <f>'Adderbury Expenses'!F33</f>
        <v/>
      </c>
    </row>
    <row r="43">
      <c r="A43" s="85" t="inlineStr">
        <is>
          <t>Annual fees</t>
        </is>
      </c>
      <c r="B43" s="86">
        <f>'Adderbury Expenses'!F37</f>
        <v/>
      </c>
      <c r="C43" s="87" t="n"/>
      <c r="D43" s="88" t="n"/>
    </row>
    <row r="44">
      <c r="A44" s="82" t="inlineStr">
        <is>
          <t>Total of all expenses per account</t>
        </is>
      </c>
      <c r="B44" s="84" t="n"/>
    </row>
    <row r="45">
      <c r="A45" s="82" t="inlineStr">
        <is>
          <t>Total of all expenses (calculated here)</t>
        </is>
      </c>
      <c r="B45" s="84" t="n"/>
    </row>
    <row r="46">
      <c r="A46" s="82" t="inlineStr">
        <is>
          <t>Total fixed investment</t>
        </is>
      </c>
      <c r="B46" s="84" t="n"/>
    </row>
    <row r="47">
      <c r="A47" s="82" t="inlineStr">
        <is>
          <t>Total Demesne fixed investment</t>
        </is>
      </c>
      <c r="B47" s="84" t="n"/>
    </row>
    <row r="48">
      <c r="A48" s="12" t="n"/>
    </row>
    <row r="49">
      <c r="A49" s="18" t="inlineStr">
        <is>
          <t>Owed by the reeve</t>
        </is>
      </c>
      <c r="B49" s="84">
        <f>B23-B45</f>
        <v/>
      </c>
    </row>
    <row r="50">
      <c r="A50" s="18" t="inlineStr">
        <is>
          <t>From accounts</t>
        </is>
      </c>
      <c r="B50" s="84">
        <f>'Adderbury Expenses'!F41</f>
        <v/>
      </c>
    </row>
    <row r="51">
      <c r="A51" s="15" t="n"/>
    </row>
    <row r="52">
      <c r="A52" s="18" t="inlineStr">
        <is>
          <t>Allowances</t>
        </is>
      </c>
      <c r="B52" s="84">
        <f>'Adderbury Expenses'!F45</f>
        <v/>
      </c>
    </row>
    <row r="53">
      <c r="A53" s="18" t="inlineStr">
        <is>
          <t>Cash deliveries</t>
        </is>
      </c>
      <c r="B53" s="84">
        <f>'Adderbury Expenses'!F48</f>
        <v/>
      </c>
    </row>
    <row r="54">
      <c r="A54" s="19" t="inlineStr">
        <is>
          <t>Sum of the above</t>
        </is>
      </c>
      <c r="B54" s="84">
        <f>SUM(B52:B53)</f>
        <v/>
      </c>
    </row>
    <row r="55">
      <c r="A55" s="20" t="inlineStr">
        <is>
          <t>Total of all allowances and cash deliveries in accounts</t>
        </is>
      </c>
    </row>
    <row r="56">
      <c r="A56" s="15" t="n"/>
    </row>
    <row r="57">
      <c r="A57" s="18" t="inlineStr">
        <is>
          <t>Net amount owed</t>
        </is>
      </c>
      <c r="B57" s="84">
        <f>B50-B54</f>
        <v/>
      </c>
    </row>
    <row r="58">
      <c r="A58" s="18" t="inlineStr">
        <is>
          <t>Net amount owed in accounts</t>
        </is>
      </c>
    </row>
    <row r="59">
      <c r="A59" s="15" t="n"/>
    </row>
    <row r="60">
      <c r="A60" s="16" t="inlineStr">
        <is>
          <t xml:space="preserve">GRANGE ACCOUNT </t>
        </is>
      </c>
      <c r="B60" s="120" t="inlineStr">
        <is>
          <t>Total Production</t>
        </is>
      </c>
      <c r="D60" s="117" t="inlineStr">
        <is>
          <t>Value of total gross production in £</t>
        </is>
      </c>
      <c r="E60" s="117" t="inlineStr">
        <is>
          <t>Value of total net production in £</t>
        </is>
      </c>
    </row>
    <row r="61">
      <c r="A61" s="8" t="inlineStr">
        <is>
          <t>Grange</t>
        </is>
      </c>
      <c r="B61" s="89" t="inlineStr">
        <is>
          <t>qrs</t>
        </is>
      </c>
      <c r="C61" s="90" t="inlineStr">
        <is>
          <t>bus</t>
        </is>
      </c>
    </row>
    <row r="62">
      <c r="A62" s="76" t="inlineStr">
        <is>
          <t>Wheat</t>
        </is>
      </c>
      <c r="F62" s="13" t="n"/>
    </row>
    <row r="63">
      <c r="A63" s="76" t="inlineStr">
        <is>
          <t>Rye</t>
        </is>
      </c>
      <c r="F63" s="13" t="n"/>
    </row>
    <row r="64">
      <c r="A64" s="76" t="inlineStr">
        <is>
          <t>Dredge</t>
        </is>
      </c>
      <c r="F64" s="13" t="n"/>
    </row>
    <row r="65">
      <c r="A65" s="76" t="inlineStr">
        <is>
          <t>Curall</t>
        </is>
      </c>
      <c r="F65" s="13" t="n"/>
    </row>
    <row r="66">
      <c r="A66" s="76" t="inlineStr">
        <is>
          <t>Barley</t>
        </is>
      </c>
      <c r="F66" s="13" t="n"/>
    </row>
    <row r="67">
      <c r="A67" s="76" t="inlineStr">
        <is>
          <t>Oats</t>
        </is>
      </c>
      <c r="F67" s="13" t="n"/>
    </row>
    <row r="68">
      <c r="A68" s="76" t="inlineStr">
        <is>
          <t>Beans</t>
        </is>
      </c>
      <c r="F68" s="13" t="n"/>
    </row>
    <row r="69">
      <c r="A69" s="76" t="inlineStr">
        <is>
          <t>Peas</t>
        </is>
      </c>
      <c r="F69" s="13" t="n"/>
    </row>
    <row r="70">
      <c r="A70" s="76" t="inlineStr">
        <is>
          <t>Vetches</t>
        </is>
      </c>
    </row>
    <row r="71">
      <c r="A71" s="17" t="inlineStr">
        <is>
          <t>Total value of gross production (sum of the above)</t>
        </is>
      </c>
      <c r="B71" s="93">
        <f>SUM(D62:D70)</f>
        <v/>
      </c>
      <c r="C71" s="94" t="n"/>
      <c r="D71" s="93" t="n"/>
      <c r="E71" s="93" t="n"/>
    </row>
    <row r="72">
      <c r="A72" s="17" t="inlineStr">
        <is>
          <t>Total value of net production</t>
        </is>
      </c>
      <c r="B72" s="93">
        <f>SUM(E62:E70)</f>
        <v/>
      </c>
      <c r="C72" s="94" t="n"/>
      <c r="D72" s="93" t="n"/>
      <c r="E72" s="93" t="n"/>
    </row>
    <row r="73">
      <c r="A73" s="17" t="inlineStr">
        <is>
          <t>Value of sales</t>
        </is>
      </c>
      <c r="B73" s="93" t="n"/>
      <c r="C73" s="94" t="n"/>
      <c r="D73" s="93" t="n"/>
      <c r="E73" s="93" t="n"/>
    </row>
    <row r="74">
      <c r="A74" s="15" t="n"/>
    </row>
    <row r="75">
      <c r="A75" s="16" t="inlineStr">
        <is>
          <t>MILL ACCOUNT</t>
        </is>
      </c>
      <c r="B75" s="120" t="inlineStr">
        <is>
          <t>Total Production</t>
        </is>
      </c>
      <c r="D75" s="91" t="inlineStr">
        <is>
          <t>Total in £</t>
        </is>
      </c>
      <c r="E75" s="91" t="n"/>
      <c r="F75" s="13" t="inlineStr">
        <is>
          <t>Not yet implemented</t>
        </is>
      </c>
    </row>
    <row r="76">
      <c r="A76" s="8" t="inlineStr">
        <is>
          <t>Issues of the mill</t>
        </is>
      </c>
      <c r="B76" s="89" t="inlineStr">
        <is>
          <t>qrs</t>
        </is>
      </c>
      <c r="C76" s="90" t="inlineStr">
        <is>
          <t>bus</t>
        </is>
      </c>
    </row>
    <row r="77">
      <c r="A77" s="15" t="inlineStr">
        <is>
          <t>Wheat</t>
        </is>
      </c>
      <c r="F77" s="13" t="n"/>
    </row>
    <row r="78">
      <c r="A78" s="15" t="inlineStr">
        <is>
          <t>Oatmeal</t>
        </is>
      </c>
    </row>
    <row r="79">
      <c r="A79" s="15" t="inlineStr">
        <is>
          <t>1st grade malt</t>
        </is>
      </c>
    </row>
    <row r="80">
      <c r="A80" s="15" t="inlineStr">
        <is>
          <t>2nd grade malt</t>
        </is>
      </c>
    </row>
    <row r="81">
      <c r="A81" s="15" t="inlineStr">
        <is>
          <t>Maslin</t>
        </is>
      </c>
    </row>
    <row r="82">
      <c r="A82" s="17" t="inlineStr">
        <is>
          <t>Total value of production (sum of the above)</t>
        </is>
      </c>
      <c r="B82" s="93" t="n"/>
      <c r="C82" s="94" t="n"/>
      <c r="D82" s="93" t="n"/>
      <c r="E82" s="93" t="n"/>
    </row>
    <row r="83">
      <c r="A83" s="17" t="inlineStr">
        <is>
          <t>Value of sales</t>
        </is>
      </c>
      <c r="B83" s="93" t="n"/>
      <c r="C83" s="94" t="n"/>
      <c r="D83" s="93" t="n"/>
      <c r="E83" s="93" t="n"/>
    </row>
    <row r="84">
      <c r="A84" s="15" t="n"/>
    </row>
    <row r="85">
      <c r="A85" s="92" t="inlineStr">
        <is>
          <t>STOCK ACCOUNT</t>
        </is>
      </c>
      <c r="B85" s="93" t="n"/>
      <c r="C85" s="94" t="n"/>
      <c r="D85" s="93" t="n"/>
      <c r="E85" s="93" t="n"/>
      <c r="F85" s="93" t="n"/>
      <c r="G85" s="93" t="n"/>
    </row>
    <row r="86">
      <c r="A86" s="21" t="inlineStr">
        <is>
          <t>Livestock</t>
        </is>
      </c>
      <c r="B86" s="95" t="inlineStr">
        <is>
          <t>Begin stock</t>
        </is>
      </c>
      <c r="C86" s="95" t="inlineStr">
        <is>
          <t>End stock</t>
        </is>
      </c>
      <c r="D86" s="95" t="inlineStr">
        <is>
          <t>Stockbuilding</t>
        </is>
      </c>
      <c r="E86" s="95" t="n"/>
      <c r="F86" s="95" t="inlineStr">
        <is>
          <t>Value of stock in £</t>
        </is>
      </c>
      <c r="G86" s="53" t="inlineStr">
        <is>
          <t>Value of stockbuilding</t>
        </is>
      </c>
    </row>
    <row r="87">
      <c r="A87" s="22" t="inlineStr">
        <is>
          <t>Cart-horses</t>
        </is>
      </c>
      <c r="B87" s="76">
        <f>'Adderbury Stock'!B5</f>
        <v/>
      </c>
      <c r="C87" s="76">
        <f>'Adderbury Stock'!K5</f>
        <v/>
      </c>
      <c r="D87" s="76">
        <f>'Adderbury Overview'!C87-'Adderbury Overview'!B87</f>
        <v/>
      </c>
      <c r="F87" s="84">
        <f>'Adderbury Stock'!P5</f>
        <v/>
      </c>
      <c r="G87" s="84">
        <f>'Adderbury Stock'!S5</f>
        <v/>
      </c>
    </row>
    <row r="88">
      <c r="A88" s="22" t="inlineStr">
        <is>
          <t>Mares</t>
        </is>
      </c>
      <c r="B88" s="76">
        <f>'Adderbury Stock'!B6</f>
        <v/>
      </c>
      <c r="C88" s="76">
        <f>'Adderbury Stock'!K6</f>
        <v/>
      </c>
      <c r="D88" s="76">
        <f>'Adderbury Overview'!C88-'Adderbury Overview'!B88</f>
        <v/>
      </c>
      <c r="F88" s="84">
        <f>'Adderbury Stock'!P6</f>
        <v/>
      </c>
      <c r="G88" s="84">
        <f>'Adderbury Stock'!S6</f>
        <v/>
      </c>
    </row>
    <row r="89">
      <c r="A89" s="15" t="inlineStr">
        <is>
          <t>Plough horses</t>
        </is>
      </c>
      <c r="B89" s="76">
        <f>'Adderbury Stock'!B7</f>
        <v/>
      </c>
      <c r="C89" s="76">
        <f>'Adderbury Stock'!K7</f>
        <v/>
      </c>
      <c r="D89" s="76">
        <f>'Adderbury Overview'!C89-'Adderbury Overview'!B89</f>
        <v/>
      </c>
      <c r="F89" s="84">
        <f>'Adderbury Stock'!P7</f>
        <v/>
      </c>
      <c r="G89" s="84">
        <f>'Adderbury Stock'!S7</f>
        <v/>
      </c>
    </row>
    <row r="90">
      <c r="A90" s="15" t="inlineStr">
        <is>
          <t>Colts (2 years)</t>
        </is>
      </c>
      <c r="B90" s="76">
        <f>'Adderbury Stock'!B8</f>
        <v/>
      </c>
      <c r="C90" s="76">
        <f>'Adderbury Stock'!K8</f>
        <v/>
      </c>
      <c r="D90" s="76">
        <f>'Adderbury Overview'!C90-'Adderbury Overview'!B90</f>
        <v/>
      </c>
      <c r="F90" s="84">
        <f>'Adderbury Stock'!P8</f>
        <v/>
      </c>
      <c r="G90" s="84">
        <f>'Adderbury Stock'!S8</f>
        <v/>
      </c>
    </row>
    <row r="91">
      <c r="A91" s="15" t="inlineStr">
        <is>
          <t>Colts (2 years)</t>
        </is>
      </c>
      <c r="B91" s="76">
        <f>'Adderbury Stock'!B9</f>
        <v/>
      </c>
      <c r="C91" s="76">
        <f>'Adderbury Stock'!K9</f>
        <v/>
      </c>
      <c r="D91" s="76">
        <f>'Adderbury Overview'!C91-'Adderbury Overview'!B91</f>
        <v/>
      </c>
      <c r="F91" s="84">
        <f>'Adderbury Stock'!P9</f>
        <v/>
      </c>
      <c r="G91" s="84">
        <f>'Adderbury Stock'!S9</f>
        <v/>
      </c>
    </row>
    <row r="92">
      <c r="A92" s="15" t="inlineStr">
        <is>
          <t>Colts (1 year)</t>
        </is>
      </c>
      <c r="B92" s="76">
        <f>'Adderbury Stock'!B10</f>
        <v/>
      </c>
      <c r="C92" s="76">
        <f>'Adderbury Stock'!K10</f>
        <v/>
      </c>
      <c r="D92" s="76">
        <f>'Adderbury Overview'!C92-'Adderbury Overview'!B92</f>
        <v/>
      </c>
      <c r="F92" s="84">
        <f>'Adderbury Stock'!P10</f>
        <v/>
      </c>
      <c r="G92" s="84">
        <f>'Adderbury Stock'!S10</f>
        <v/>
      </c>
    </row>
    <row r="93">
      <c r="A93" s="15" t="inlineStr">
        <is>
          <t>Foals</t>
        </is>
      </c>
      <c r="B93" s="76">
        <f>'Adderbury Stock'!B11</f>
        <v/>
      </c>
      <c r="C93" s="76">
        <f>'Adderbury Stock'!K11</f>
        <v/>
      </c>
      <c r="D93" s="76">
        <f>'Adderbury Overview'!C93-'Adderbury Overview'!B93</f>
        <v/>
      </c>
      <c r="F93" s="84">
        <f>'Adderbury Stock'!P11</f>
        <v/>
      </c>
      <c r="G93" s="84">
        <f>'Adderbury Stock'!S11</f>
        <v/>
      </c>
    </row>
    <row r="94">
      <c r="A94" s="15" t="inlineStr">
        <is>
          <t>Oxen</t>
        </is>
      </c>
      <c r="B94" s="76">
        <f>'Adderbury Stock'!B12</f>
        <v/>
      </c>
      <c r="C94" s="76">
        <f>'Adderbury Stock'!K12</f>
        <v/>
      </c>
      <c r="D94" s="76">
        <f>'Adderbury Overview'!C94-'Adderbury Overview'!B94</f>
        <v/>
      </c>
      <c r="F94" s="84">
        <f>'Adderbury Stock'!P12</f>
        <v/>
      </c>
      <c r="G94" s="84">
        <f>'Adderbury Stock'!S12</f>
        <v/>
      </c>
    </row>
    <row r="95">
      <c r="A95" s="15" t="inlineStr">
        <is>
          <t>Bulls</t>
        </is>
      </c>
      <c r="B95" s="76">
        <f>'Adderbury Stock'!B13</f>
        <v/>
      </c>
      <c r="C95" s="76">
        <f>'Adderbury Stock'!K13</f>
        <v/>
      </c>
      <c r="D95" s="76">
        <f>'Adderbury Overview'!C95-'Adderbury Overview'!B95</f>
        <v/>
      </c>
      <c r="F95" s="84">
        <f>'Adderbury Stock'!P13</f>
        <v/>
      </c>
      <c r="G95" s="84">
        <f>'Adderbury Stock'!S13</f>
        <v/>
      </c>
    </row>
    <row r="96">
      <c r="A96" s="15" t="inlineStr">
        <is>
          <t>Cows</t>
        </is>
      </c>
      <c r="B96" s="76">
        <f>'Adderbury Stock'!B14</f>
        <v/>
      </c>
      <c r="C96" s="76">
        <f>'Adderbury Stock'!K14</f>
        <v/>
      </c>
      <c r="D96" s="76">
        <f>'Adderbury Overview'!C96-'Adderbury Overview'!B96</f>
        <v/>
      </c>
      <c r="F96" s="84">
        <f>'Adderbury Stock'!P14</f>
        <v/>
      </c>
      <c r="G96" s="84">
        <f>'Adderbury Stock'!S14</f>
        <v/>
      </c>
    </row>
    <row r="97">
      <c r="A97" s="15" t="inlineStr">
        <is>
          <t>Steers</t>
        </is>
      </c>
      <c r="B97" s="76">
        <f>'Adderbury Stock'!B15</f>
        <v/>
      </c>
      <c r="C97" s="76">
        <f>'Adderbury Stock'!K15</f>
        <v/>
      </c>
      <c r="D97" s="76">
        <f>'Adderbury Overview'!C97-'Adderbury Overview'!B97</f>
        <v/>
      </c>
      <c r="F97" s="84">
        <f>'Adderbury Stock'!P15</f>
        <v/>
      </c>
      <c r="G97" s="84">
        <f>'Adderbury Stock'!S15</f>
        <v/>
      </c>
    </row>
    <row r="98">
      <c r="A98" s="15" t="inlineStr">
        <is>
          <t>Bullocks</t>
        </is>
      </c>
      <c r="B98" s="76">
        <f>'Adderbury Stock'!B16</f>
        <v/>
      </c>
      <c r="C98" s="76">
        <f>'Adderbury Stock'!K16</f>
        <v/>
      </c>
      <c r="D98" s="76">
        <f>'Adderbury Overview'!C98-'Adderbury Overview'!B98</f>
        <v/>
      </c>
      <c r="F98" s="84">
        <f>'Adderbury Stock'!P16</f>
        <v/>
      </c>
      <c r="G98" s="84">
        <f>'Adderbury Stock'!S16</f>
        <v/>
      </c>
    </row>
    <row r="99">
      <c r="A99" s="15" t="inlineStr">
        <is>
          <t>Yearlings</t>
        </is>
      </c>
      <c r="B99" s="76">
        <f>'Adderbury Stock'!B17</f>
        <v/>
      </c>
      <c r="C99" s="76">
        <f>'Adderbury Stock'!K17</f>
        <v/>
      </c>
      <c r="D99" s="76">
        <f>'Adderbury Overview'!C99-'Adderbury Overview'!B99</f>
        <v/>
      </c>
      <c r="F99" s="84">
        <f>'Adderbury Stock'!P17</f>
        <v/>
      </c>
      <c r="G99" s="84">
        <f>'Adderbury Stock'!S17</f>
        <v/>
      </c>
    </row>
    <row r="100">
      <c r="A100" s="15" t="inlineStr">
        <is>
          <t>Calves</t>
        </is>
      </c>
      <c r="B100" s="76">
        <f>'Adderbury Stock'!B18</f>
        <v/>
      </c>
      <c r="C100" s="76">
        <f>'Adderbury Stock'!K18</f>
        <v/>
      </c>
      <c r="D100" s="76">
        <f>'Adderbury Overview'!C100-'Adderbury Overview'!B100</f>
        <v/>
      </c>
      <c r="F100" s="84">
        <f>'Adderbury Stock'!P18</f>
        <v/>
      </c>
      <c r="G100" s="84">
        <f>'Adderbury Stock'!S18</f>
        <v/>
      </c>
    </row>
    <row r="101">
      <c r="A101" s="15" t="inlineStr">
        <is>
          <t>Wethers</t>
        </is>
      </c>
      <c r="B101" s="76">
        <f>'Adderbury Stock'!B19</f>
        <v/>
      </c>
      <c r="C101" s="76">
        <f>'Adderbury Stock'!K19</f>
        <v/>
      </c>
      <c r="D101" s="76">
        <f>'Adderbury Overview'!C101-'Adderbury Overview'!B101</f>
        <v/>
      </c>
      <c r="F101" s="84">
        <f>'Adderbury Stock'!P19</f>
        <v/>
      </c>
      <c r="G101" s="84">
        <f>'Adderbury Stock'!S19</f>
        <v/>
      </c>
    </row>
    <row r="102">
      <c r="A102" s="15" t="inlineStr">
        <is>
          <t>Rams</t>
        </is>
      </c>
      <c r="B102" s="76">
        <f>'Adderbury Stock'!B20</f>
        <v/>
      </c>
      <c r="C102" s="76">
        <f>'Adderbury Stock'!K20</f>
        <v/>
      </c>
      <c r="D102" s="76">
        <f>'Adderbury Overview'!C102-'Adderbury Overview'!B102</f>
        <v/>
      </c>
      <c r="F102" s="84">
        <f>'Adderbury Stock'!P20</f>
        <v/>
      </c>
      <c r="G102" s="84">
        <f>'Adderbury Stock'!S20</f>
        <v/>
      </c>
    </row>
    <row r="103">
      <c r="A103" s="15" t="inlineStr">
        <is>
          <t>Ewes</t>
        </is>
      </c>
      <c r="B103" s="76">
        <f>'Adderbury Stock'!B21</f>
        <v/>
      </c>
      <c r="C103" s="76">
        <f>'Adderbury Stock'!K21</f>
        <v/>
      </c>
      <c r="D103" s="76">
        <f>'Adderbury Overview'!C103-'Adderbury Overview'!B103</f>
        <v/>
      </c>
      <c r="F103" s="84">
        <f>'Adderbury Stock'!P21</f>
        <v/>
      </c>
      <c r="G103" s="84">
        <f>'Adderbury Stock'!S21</f>
        <v/>
      </c>
    </row>
    <row r="104">
      <c r="A104" s="15" t="inlineStr">
        <is>
          <t>Hoggs</t>
        </is>
      </c>
      <c r="B104" s="76">
        <f>'Adderbury Stock'!B22</f>
        <v/>
      </c>
      <c r="C104" s="76">
        <f>'Adderbury Stock'!K22</f>
        <v/>
      </c>
      <c r="D104" s="76">
        <f>'Adderbury Overview'!C104-'Adderbury Overview'!B104</f>
        <v/>
      </c>
      <c r="F104" s="84">
        <f>'Adderbury Stock'!P22</f>
        <v/>
      </c>
      <c r="G104" s="84">
        <f>'Adderbury Stock'!S22</f>
        <v/>
      </c>
    </row>
    <row r="105">
      <c r="A105" s="15" t="inlineStr">
        <is>
          <t>Lambs</t>
        </is>
      </c>
      <c r="B105" s="76">
        <f>'Adderbury Stock'!B23</f>
        <v/>
      </c>
      <c r="C105" s="76">
        <f>'Adderbury Stock'!K23</f>
        <v/>
      </c>
      <c r="D105" s="76">
        <f>'Adderbury Overview'!C105-'Adderbury Overview'!B105</f>
        <v/>
      </c>
      <c r="F105" s="84">
        <f>'Adderbury Stock'!P23</f>
        <v/>
      </c>
      <c r="G105" s="84">
        <f>'Adderbury Stock'!S23</f>
        <v/>
      </c>
    </row>
    <row r="106">
      <c r="A106" s="15" t="inlineStr">
        <is>
          <t>Boars</t>
        </is>
      </c>
      <c r="B106" s="76">
        <f>'Adderbury Stock'!B24</f>
        <v/>
      </c>
      <c r="C106" s="76">
        <f>'Adderbury Stock'!K24</f>
        <v/>
      </c>
      <c r="D106" s="76">
        <f>'Adderbury Overview'!C106-'Adderbury Overview'!B106</f>
        <v/>
      </c>
      <c r="F106" s="84">
        <f>'Adderbury Stock'!P24</f>
        <v/>
      </c>
      <c r="G106" s="84">
        <f>'Adderbury Stock'!S24</f>
        <v/>
      </c>
    </row>
    <row r="107">
      <c r="A107" s="15" t="inlineStr">
        <is>
          <t>Sows</t>
        </is>
      </c>
      <c r="B107" s="76">
        <f>'Adderbury Stock'!B25</f>
        <v/>
      </c>
      <c r="C107" s="76">
        <f>'Adderbury Stock'!K25</f>
        <v/>
      </c>
      <c r="D107" s="76">
        <f>'Adderbury Overview'!C107-'Adderbury Overview'!B107</f>
        <v/>
      </c>
      <c r="F107" s="84">
        <f>'Adderbury Stock'!P25</f>
        <v/>
      </c>
      <c r="G107" s="84">
        <f>'Adderbury Stock'!S25</f>
        <v/>
      </c>
    </row>
    <row r="108">
      <c r="A108" s="15" t="inlineStr">
        <is>
          <t>Pigs</t>
        </is>
      </c>
      <c r="B108" s="76">
        <f>'Adderbury Stock'!B26</f>
        <v/>
      </c>
      <c r="C108" s="76">
        <f>'Adderbury Stock'!K26</f>
        <v/>
      </c>
      <c r="D108" s="76">
        <f>'Adderbury Overview'!C108-'Adderbury Overview'!B108</f>
        <v/>
      </c>
      <c r="F108" s="84">
        <f>'Adderbury Stock'!P26</f>
        <v/>
      </c>
      <c r="G108" s="84">
        <f>'Adderbury Stock'!S26</f>
        <v/>
      </c>
    </row>
    <row r="109">
      <c r="A109" s="15" t="inlineStr">
        <is>
          <t>Hoggets</t>
        </is>
      </c>
      <c r="B109" s="76">
        <f>'Adderbury Stock'!B27</f>
        <v/>
      </c>
      <c r="C109" s="76">
        <f>'Adderbury Stock'!K27</f>
        <v/>
      </c>
      <c r="D109" s="76">
        <f>'Adderbury Overview'!C109-'Adderbury Overview'!B109</f>
        <v/>
      </c>
      <c r="F109" s="84">
        <f>'Adderbury Stock'!P27</f>
        <v/>
      </c>
      <c r="G109" s="84">
        <f>'Adderbury Stock'!S27</f>
        <v/>
      </c>
    </row>
    <row r="110">
      <c r="A110" s="15" t="inlineStr">
        <is>
          <t>Piglets</t>
        </is>
      </c>
      <c r="B110" s="76">
        <f>'Adderbury Stock'!B28</f>
        <v/>
      </c>
      <c r="C110" s="76">
        <f>'Adderbury Stock'!K28</f>
        <v/>
      </c>
      <c r="D110" s="76">
        <f>'Adderbury Overview'!C110-'Adderbury Overview'!B110</f>
        <v/>
      </c>
      <c r="F110" s="84">
        <f>'Adderbury Stock'!P28</f>
        <v/>
      </c>
      <c r="G110" s="84">
        <f>'Adderbury Stock'!S28</f>
        <v/>
      </c>
    </row>
    <row r="111">
      <c r="A111" s="15" t="inlineStr">
        <is>
          <t>Swans</t>
        </is>
      </c>
      <c r="B111" s="76">
        <f>'Adderbury Stock'!B29</f>
        <v/>
      </c>
      <c r="C111" s="76">
        <f>'Adderbury Stock'!K29</f>
        <v/>
      </c>
      <c r="D111" s="76">
        <f>'Adderbury Overview'!C111-'Adderbury Overview'!B111</f>
        <v/>
      </c>
      <c r="F111" s="84">
        <f>'Adderbury Stock'!P29</f>
        <v/>
      </c>
      <c r="G111" s="84">
        <f>'Adderbury Stock'!S29</f>
        <v/>
      </c>
    </row>
    <row r="112">
      <c r="A112" s="15" t="inlineStr">
        <is>
          <t>Peacocks</t>
        </is>
      </c>
      <c r="B112" s="76">
        <f>'Adderbury Stock'!B30</f>
        <v/>
      </c>
      <c r="C112" s="76">
        <f>'Adderbury Stock'!K30</f>
        <v/>
      </c>
      <c r="D112" s="76">
        <f>'Adderbury Overview'!C112-'Adderbury Overview'!B112</f>
        <v/>
      </c>
      <c r="F112" s="84">
        <f>'Adderbury Stock'!P30</f>
        <v/>
      </c>
      <c r="G112" s="84">
        <f>'Adderbury Stock'!S30</f>
        <v/>
      </c>
    </row>
    <row r="113">
      <c r="A113" s="17" t="inlineStr">
        <is>
          <t>Total value of stock (sum of the above)</t>
        </is>
      </c>
      <c r="B113" s="93" t="n"/>
      <c r="C113" s="94" t="n"/>
      <c r="D113" s="93" t="n"/>
      <c r="E113" s="93" t="n"/>
      <c r="F113" s="107">
        <f>SUM(F87:F112)</f>
        <v/>
      </c>
      <c r="G113" s="107">
        <f>'Adderbury Stock'!S31</f>
        <v/>
      </c>
    </row>
    <row r="114">
      <c r="A114" s="17" t="inlineStr">
        <is>
          <t>Total value of production</t>
        </is>
      </c>
      <c r="B114" s="93" t="n"/>
      <c r="C114" s="94" t="n"/>
      <c r="D114" s="93" t="n"/>
      <c r="E114" s="93" t="n"/>
      <c r="F114" s="107">
        <f>SUM('Adderbury Stock'!T5:T29)</f>
        <v/>
      </c>
      <c r="G114" s="107" t="n"/>
    </row>
    <row r="115">
      <c r="A115" s="17" t="inlineStr">
        <is>
          <t>Value of sales</t>
        </is>
      </c>
      <c r="B115" s="93" t="n"/>
      <c r="C115" s="94" t="n"/>
      <c r="D115" s="93" t="n"/>
      <c r="E115" s="93" t="n"/>
      <c r="F115" s="107">
        <f>SUM('Adderbury Stock'!R5:R23)</f>
        <v/>
      </c>
      <c r="G115" s="107" t="n"/>
    </row>
    <row r="116">
      <c r="A116" s="15" t="n"/>
    </row>
    <row r="117">
      <c r="A117" s="16" t="inlineStr">
        <is>
          <t>Wool</t>
        </is>
      </c>
      <c r="B117" s="95" t="inlineStr">
        <is>
          <t>Begin stock</t>
        </is>
      </c>
      <c r="C117" s="95" t="inlineStr">
        <is>
          <t>End stock</t>
        </is>
      </c>
      <c r="D117" s="95" t="inlineStr">
        <is>
          <t>Stockbuilding</t>
        </is>
      </c>
      <c r="E117" s="95" t="n"/>
      <c r="F117" s="95" t="inlineStr">
        <is>
          <t>Value of stock in £</t>
        </is>
      </c>
    </row>
    <row r="118">
      <c r="A118" s="22" t="inlineStr">
        <is>
          <t>Fleeces</t>
        </is>
      </c>
      <c r="G118" s="96" t="n"/>
    </row>
    <row r="119">
      <c r="A119" s="15" t="inlineStr">
        <is>
          <t>Coarse wool</t>
        </is>
      </c>
    </row>
    <row r="120">
      <c r="A120" s="15" t="inlineStr">
        <is>
          <t>Lamb's wool</t>
        </is>
      </c>
    </row>
    <row r="121">
      <c r="A121" s="15" t="inlineStr">
        <is>
          <t>Wool locks</t>
        </is>
      </c>
    </row>
    <row r="122">
      <c r="A122" s="15" t="inlineStr">
        <is>
          <t>Wool sold at shearing</t>
        </is>
      </c>
    </row>
    <row r="123">
      <c r="A123" s="119" t="inlineStr">
        <is>
          <t>Total value of production (sum of the above)</t>
        </is>
      </c>
      <c r="B123" s="93" t="n"/>
      <c r="C123" s="94" t="n"/>
      <c r="D123" s="93" t="n"/>
      <c r="E123" s="93" t="n"/>
      <c r="F123" s="93" t="n"/>
    </row>
    <row r="124">
      <c r="A124" s="119" t="inlineStr">
        <is>
          <t>Value of sales</t>
        </is>
      </c>
      <c r="B124" s="93" t="n"/>
      <c r="C124" s="94" t="n"/>
      <c r="D124" s="93" t="n"/>
      <c r="E124" s="93" t="n"/>
      <c r="F124" s="93" t="n"/>
    </row>
    <row r="125">
      <c r="A125" s="8" t="n"/>
    </row>
    <row r="126">
      <c r="A126" s="16" t="inlineStr">
        <is>
          <t>Hides</t>
        </is>
      </c>
      <c r="B126" s="95" t="inlineStr">
        <is>
          <t>Begin stock</t>
        </is>
      </c>
      <c r="C126" s="95" t="inlineStr">
        <is>
          <t>End stock</t>
        </is>
      </c>
      <c r="D126" s="95" t="inlineStr">
        <is>
          <t>Stockbuilding</t>
        </is>
      </c>
      <c r="E126" s="95" t="n"/>
      <c r="F126" s="95" t="inlineStr">
        <is>
          <t>Value of stock in £</t>
        </is>
      </c>
    </row>
    <row r="127">
      <c r="A127" s="15" t="inlineStr">
        <is>
          <t>Ox hides</t>
        </is>
      </c>
      <c r="G127" s="96" t="n"/>
    </row>
    <row r="128">
      <c r="A128" s="15" t="inlineStr">
        <is>
          <t>Cow hides</t>
        </is>
      </c>
      <c r="F128" s="76" t="n">
        <v>1</v>
      </c>
    </row>
    <row r="129">
      <c r="A129" s="15" t="inlineStr">
        <is>
          <t>Mare hides</t>
        </is>
      </c>
    </row>
    <row r="130">
      <c r="A130" s="15" t="inlineStr">
        <is>
          <t>Steer hides</t>
        </is>
      </c>
    </row>
    <row r="131">
      <c r="A131" s="15" t="inlineStr">
        <is>
          <t>Yearling Calf hides</t>
        </is>
      </c>
    </row>
    <row r="132">
      <c r="A132" s="15" t="inlineStr">
        <is>
          <t>Calf hides</t>
        </is>
      </c>
    </row>
    <row r="133">
      <c r="A133" s="23" t="inlineStr">
        <is>
          <t>Pig hides</t>
        </is>
      </c>
    </row>
    <row r="134">
      <c r="A134" s="24" t="inlineStr">
        <is>
          <t>Wether woolskins</t>
        </is>
      </c>
    </row>
    <row r="135">
      <c r="A135" s="24" t="inlineStr">
        <is>
          <t>Ram woolskins</t>
        </is>
      </c>
    </row>
    <row r="136">
      <c r="A136" s="24" t="inlineStr">
        <is>
          <t>Ewe woolskins</t>
        </is>
      </c>
    </row>
    <row r="137">
      <c r="A137" s="24" t="inlineStr">
        <is>
          <t>Hogg woolskins</t>
        </is>
      </c>
    </row>
    <row r="138">
      <c r="A138" s="25" t="inlineStr">
        <is>
          <t>Woolskins total</t>
        </is>
      </c>
    </row>
    <row r="139">
      <c r="A139" s="24" t="inlineStr">
        <is>
          <t>Wether bareskins</t>
        </is>
      </c>
    </row>
    <row r="140">
      <c r="A140" s="24" t="inlineStr">
        <is>
          <t>Ram bareskins</t>
        </is>
      </c>
    </row>
    <row r="141">
      <c r="A141" s="24" t="inlineStr">
        <is>
          <t>Ewe bareskins</t>
        </is>
      </c>
    </row>
    <row r="142">
      <c r="A142" s="24" t="inlineStr">
        <is>
          <t>Hogg bareskins</t>
        </is>
      </c>
    </row>
    <row r="143">
      <c r="A143" s="25" t="inlineStr">
        <is>
          <t>Bareskins total</t>
        </is>
      </c>
    </row>
    <row r="144">
      <c r="A144" s="15" t="inlineStr">
        <is>
          <t>Lambskins</t>
        </is>
      </c>
    </row>
    <row r="145">
      <c r="A145" s="15" t="inlineStr">
        <is>
          <t>Rotted skins</t>
        </is>
      </c>
    </row>
    <row r="146">
      <c r="A146" s="15" t="inlineStr">
        <is>
          <t>Shorn skins</t>
        </is>
      </c>
    </row>
    <row r="147">
      <c r="A147" s="17" t="inlineStr">
        <is>
          <t>Total value of production (sum of the above)</t>
        </is>
      </c>
      <c r="B147" s="93" t="n"/>
      <c r="C147" s="94" t="n"/>
      <c r="D147" s="93" t="n"/>
      <c r="E147" s="93" t="n"/>
      <c r="F147" s="93">
        <f t="array" ref="F147">SUM(F127:F133+F138+F143+F144:F146)</f>
        <v/>
      </c>
    </row>
    <row r="148">
      <c r="A148" s="17" t="inlineStr">
        <is>
          <t>Value of sales</t>
        </is>
      </c>
      <c r="B148" s="93" t="n"/>
      <c r="C148" s="94" t="n"/>
      <c r="D148" s="93" t="n"/>
      <c r="E148" s="93" t="n"/>
      <c r="F148" s="93" t="n"/>
    </row>
    <row r="149">
      <c r="A149" s="15" t="n"/>
    </row>
    <row r="150">
      <c r="A150" s="16" t="inlineStr">
        <is>
          <t>Poultry stock</t>
        </is>
      </c>
      <c r="B150" s="95" t="inlineStr">
        <is>
          <t>Begin stock</t>
        </is>
      </c>
      <c r="C150" s="95" t="inlineStr">
        <is>
          <t>End stock</t>
        </is>
      </c>
      <c r="D150" s="95" t="inlineStr">
        <is>
          <t>Stockbuilding</t>
        </is>
      </c>
      <c r="E150" s="95" t="n"/>
      <c r="F150" s="95" t="inlineStr">
        <is>
          <t>Value of stock in £</t>
        </is>
      </c>
    </row>
    <row r="151">
      <c r="A151" s="22" t="inlineStr">
        <is>
          <t>Hens</t>
        </is>
      </c>
      <c r="B151" s="76">
        <f>'Adderbury Stock'!B67</f>
        <v/>
      </c>
      <c r="C151" s="76">
        <f>'Adderbury Stock'!K67</f>
        <v/>
      </c>
      <c r="D151" s="76">
        <f>C151-B151</f>
        <v/>
      </c>
      <c r="F151" s="76">
        <f>'Adderbury Stock'!Q67</f>
        <v/>
      </c>
      <c r="G151" s="96" t="n"/>
    </row>
    <row r="152">
      <c r="A152" s="15" t="inlineStr">
        <is>
          <t>Geese</t>
        </is>
      </c>
      <c r="B152" s="76">
        <f>'Adderbury Stock'!B68</f>
        <v/>
      </c>
      <c r="C152" s="76">
        <f>'Adderbury Stock'!K68</f>
        <v/>
      </c>
      <c r="D152" s="76">
        <f>C152-B152</f>
        <v/>
      </c>
      <c r="F152" s="76">
        <f>'Adderbury Stock'!Q68</f>
        <v/>
      </c>
    </row>
    <row r="153">
      <c r="A153" s="15" t="inlineStr">
        <is>
          <t>Capons (from chickens)</t>
        </is>
      </c>
      <c r="B153" s="76">
        <f>'Adderbury Stock'!B69</f>
        <v/>
      </c>
      <c r="C153" s="76">
        <f>'Adderbury Stock'!K69</f>
        <v/>
      </c>
      <c r="D153" s="76">
        <f>C153-B153</f>
        <v/>
      </c>
      <c r="F153" s="76">
        <f>'Adderbury Stock'!Q69</f>
        <v/>
      </c>
    </row>
    <row r="154">
      <c r="A154" s="15" t="inlineStr">
        <is>
          <t>Cocks &amp; hens</t>
        </is>
      </c>
      <c r="B154" s="76">
        <f>'Adderbury Stock'!B70</f>
        <v/>
      </c>
      <c r="C154" s="76">
        <f>'Adderbury Stock'!K70</f>
        <v/>
      </c>
      <c r="D154" s="76">
        <f>C154-B154</f>
        <v/>
      </c>
      <c r="F154" s="76">
        <f>'Adderbury Stock'!Q70</f>
        <v/>
      </c>
    </row>
    <row r="155">
      <c r="A155" s="119" t="inlineStr">
        <is>
          <t>Total value of production (sum of the above)</t>
        </is>
      </c>
      <c r="B155" s="93" t="n"/>
      <c r="C155" s="93" t="n"/>
      <c r="D155" s="93" t="n"/>
      <c r="E155" s="93" t="n"/>
      <c r="F155" s="93">
        <f>SUM(F151:F154)</f>
        <v/>
      </c>
    </row>
    <row r="156">
      <c r="A156" s="119" t="inlineStr">
        <is>
          <t>Value of sales</t>
        </is>
      </c>
      <c r="B156" s="93" t="n"/>
      <c r="C156" s="94" t="n"/>
      <c r="D156" s="93" t="n"/>
      <c r="E156" s="93" t="n"/>
      <c r="F156" s="93">
        <f>SUM('Adderbury Stock'!R69:R70)</f>
        <v/>
      </c>
    </row>
    <row r="157">
      <c r="A157" s="15" t="n"/>
    </row>
    <row r="158">
      <c r="A158" s="16" t="inlineStr">
        <is>
          <t>Poultry production</t>
        </is>
      </c>
      <c r="B158" s="95" t="inlineStr">
        <is>
          <t>Begin stock</t>
        </is>
      </c>
      <c r="C158" s="95" t="inlineStr">
        <is>
          <t>End stock</t>
        </is>
      </c>
      <c r="D158" s="95" t="inlineStr">
        <is>
          <t>Stockbuilding</t>
        </is>
      </c>
      <c r="E158" s="95" t="n"/>
      <c r="F158" s="95" t="inlineStr">
        <is>
          <t>Value of stock in £</t>
        </is>
      </c>
    </row>
    <row r="159">
      <c r="A159" s="15" t="inlineStr">
        <is>
          <t>Eggs</t>
        </is>
      </c>
      <c r="G159" s="116" t="n"/>
    </row>
    <row r="160">
      <c r="A160" s="15" t="inlineStr">
        <is>
          <t>Cocks &amp; hens from churchscot of customary tenants</t>
        </is>
      </c>
    </row>
    <row r="161">
      <c r="A161" s="15" t="inlineStr">
        <is>
          <t>Sum of above</t>
        </is>
      </c>
    </row>
    <row r="162">
      <c r="A162" s="17" t="inlineStr">
        <is>
          <t>Total value of stock</t>
        </is>
      </c>
      <c r="B162" s="93" t="n"/>
      <c r="C162" s="94" t="n"/>
      <c r="D162" s="93" t="n"/>
      <c r="E162" s="93" t="n"/>
      <c r="F162" s="93">
        <f>SUM(F159:F160)</f>
        <v/>
      </c>
    </row>
    <row r="163">
      <c r="A163" s="17" t="inlineStr">
        <is>
          <t>Value of sales</t>
        </is>
      </c>
      <c r="B163" s="93" t="n"/>
      <c r="C163" s="94" t="n"/>
      <c r="D163" s="93" t="n"/>
      <c r="E163" s="93" t="n"/>
      <c r="F163" s="93" t="n"/>
    </row>
    <row r="164">
      <c r="A164" s="15" t="n"/>
    </row>
    <row r="165">
      <c r="A165" s="16" t="inlineStr">
        <is>
          <t>Dairy Production</t>
        </is>
      </c>
      <c r="B165" s="95" t="inlineStr">
        <is>
          <t>Begin stock</t>
        </is>
      </c>
      <c r="C165" s="95" t="inlineStr">
        <is>
          <t>End stock</t>
        </is>
      </c>
      <c r="D165" s="95" t="inlineStr">
        <is>
          <t>Stockbuilding</t>
        </is>
      </c>
      <c r="E165" s="95" t="n"/>
      <c r="F165" s="95" t="inlineStr">
        <is>
          <t>Value of stock in £</t>
        </is>
      </c>
    </row>
    <row r="166">
      <c r="A166" s="15" t="inlineStr">
        <is>
          <t>Butter</t>
        </is>
      </c>
      <c r="G166" s="116" t="n"/>
    </row>
    <row r="167">
      <c r="A167" s="15" t="inlineStr">
        <is>
          <t>Winter Cheese</t>
        </is>
      </c>
    </row>
    <row r="168">
      <c r="A168" s="15" t="inlineStr">
        <is>
          <t>Summer Cheese</t>
        </is>
      </c>
    </row>
    <row r="169">
      <c r="A169" s="17" t="inlineStr">
        <is>
          <t>Total value of production (sum of the above)</t>
        </is>
      </c>
      <c r="B169" s="93" t="n"/>
      <c r="C169" s="94" t="n"/>
      <c r="D169" s="93" t="n"/>
      <c r="E169" s="93" t="n"/>
      <c r="F169" s="93">
        <f>SUM(F166:F168)</f>
        <v/>
      </c>
    </row>
    <row r="170">
      <c r="A170" s="17" t="inlineStr">
        <is>
          <t>Value of sales</t>
        </is>
      </c>
      <c r="B170" s="93" t="n"/>
      <c r="C170" s="94" t="n"/>
      <c r="D170" s="93" t="n"/>
      <c r="E170" s="93" t="n"/>
      <c r="F170" s="93" t="n"/>
    </row>
    <row r="171">
      <c r="A171" s="15" t="n"/>
    </row>
    <row r="172">
      <c r="A172" s="15" t="n"/>
    </row>
    <row r="173" ht="16" customHeight="1" thickBot="1"/>
    <row r="174" ht="16" customHeight="1" thickBot="1">
      <c r="A174" s="103" t="n"/>
      <c r="B174" s="104" t="inlineStr">
        <is>
          <t>Total in £</t>
        </is>
      </c>
      <c r="C174" s="105" t="n"/>
      <c r="D174" s="108" t="n"/>
      <c r="E174" s="108" t="n"/>
      <c r="F174" s="109" t="n"/>
    </row>
    <row r="175">
      <c r="A175" s="97" t="inlineStr">
        <is>
          <t>Total Production Value of all Output (Grange, Dairy, Livestock Sales, Wools, Skins - NO Mill)</t>
        </is>
      </c>
      <c r="B175" s="110">
        <f>F169+F162+F155+F147+F123+F115+E72</f>
        <v/>
      </c>
      <c r="D175" s="111" t="n"/>
      <c r="E175" s="111" t="n"/>
      <c r="F175" s="112" t="n"/>
    </row>
    <row r="176">
      <c r="A176" s="98" t="inlineStr">
        <is>
          <t>Total Sales Value of all Output as defined above</t>
        </is>
      </c>
      <c r="B176" s="110">
        <f>F170+F163+F156+F148+F124+F115+E73</f>
        <v/>
      </c>
      <c r="D176" s="111" t="n"/>
      <c r="E176" s="111" t="n"/>
      <c r="F176" s="112" t="n"/>
    </row>
    <row r="177">
      <c r="A177" s="98" t="inlineStr">
        <is>
          <t>Total Sales of Corn + Issues of the Manor as recorded in account</t>
        </is>
      </c>
      <c r="B177" s="110">
        <f>B15+B18</f>
        <v/>
      </c>
      <c r="D177" s="111" t="n"/>
      <c r="E177" s="111" t="n"/>
      <c r="F177" s="112" t="n"/>
    </row>
    <row r="178">
      <c r="A178" s="98" t="inlineStr">
        <is>
          <t>Production Value + Cash Receipts (excl. Arrears, Issues, Corn and Mill)</t>
        </is>
      </c>
      <c r="B178" s="110">
        <f>B175+B12+B13+B14+B16+B17+B19+B20+B21+B22</f>
        <v/>
      </c>
      <c r="D178" s="111" t="n"/>
      <c r="E178" s="111" t="n"/>
      <c r="F178" s="112" t="n"/>
    </row>
    <row r="179">
      <c r="A179" s="99" t="n"/>
      <c r="B179" s="111" t="n"/>
      <c r="D179" s="111" t="n"/>
      <c r="E179" s="111" t="n"/>
      <c r="F179" s="112" t="n"/>
    </row>
    <row r="180">
      <c r="A180" s="100" t="inlineStr">
        <is>
          <t>% of capital expenses in terms of total production</t>
        </is>
      </c>
      <c r="B180" s="113">
        <f>B47/B175</f>
        <v/>
      </c>
      <c r="C180" s="13" t="n"/>
      <c r="F180" s="112" t="n"/>
    </row>
    <row r="181">
      <c r="A181" s="98" t="inlineStr">
        <is>
          <t>% of capital expenses in terms of total production + cash receipts</t>
        </is>
      </c>
      <c r="B181" s="113">
        <f>B47/B178</f>
        <v/>
      </c>
      <c r="D181" s="111" t="n"/>
      <c r="E181" s="111" t="n"/>
      <c r="F181" s="112" t="n"/>
    </row>
    <row r="182">
      <c r="A182" s="99" t="n"/>
      <c r="D182" s="111" t="n"/>
      <c r="E182" s="111" t="n"/>
      <c r="F182" s="112" t="n"/>
    </row>
    <row r="183" ht="16" customHeight="1" thickBot="1">
      <c r="A183" s="101" t="inlineStr">
        <is>
          <t>% of capital expenses as calculated previously</t>
        </is>
      </c>
      <c r="B183" s="106" t="inlineStr">
        <is>
          <t>n/a</t>
        </is>
      </c>
      <c r="C183" s="102" t="n"/>
      <c r="D183" s="114" t="n"/>
      <c r="E183" s="114" t="n"/>
      <c r="F183" s="115" t="n"/>
    </row>
  </sheetData>
  <mergeCells count="2">
    <mergeCell ref="B60:C60"/>
    <mergeCell ref="B75:C75"/>
  </mergeCells>
  <pageMargins left="0.7" right="0.7" top="0.75" bottom="0.75" header="0.3" footer="0.3"/>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U128"/>
  <sheetViews>
    <sheetView workbookViewId="0">
      <pane xSplit="1" ySplit="4" topLeftCell="B44" activePane="bottomRight" state="frozen"/>
      <selection pane="topRight" activeCell="B1" sqref="B1"/>
      <selection pane="bottomLeft" activeCell="A5" sqref="A5"/>
      <selection pane="bottomRight" activeCell="A59" sqref="A59"/>
    </sheetView>
  </sheetViews>
  <sheetFormatPr baseColWidth="8" defaultColWidth="8.81640625" defaultRowHeight="14.5"/>
  <cols>
    <col width="44.36328125" bestFit="1" customWidth="1" min="1" max="1"/>
    <col width="14.36328125" customWidth="1" min="2" max="2"/>
    <col width="9.81640625" bestFit="1" customWidth="1" min="6" max="6"/>
    <col width="16.6328125" bestFit="1" customWidth="1" min="7" max="7"/>
    <col width="16.1796875" customWidth="1" min="10" max="10"/>
    <col width="11.453125" customWidth="1" min="11" max="11"/>
    <col width="8.453125" bestFit="1" customWidth="1" min="13" max="13"/>
    <col width="10.6328125" customWidth="1" min="14" max="14"/>
    <col width="16.6328125" customWidth="1" style="72" min="16" max="16"/>
    <col width="17.36328125" customWidth="1" min="17" max="17"/>
    <col width="16.1796875" customWidth="1" min="19" max="20"/>
    <col width="13.1796875" customWidth="1" min="21" max="21"/>
  </cols>
  <sheetData>
    <row r="1" ht="15.5" customHeight="1">
      <c r="A1" s="12" t="inlineStr">
        <is>
          <t>ESHER_1342 STOCK ACCOUNT</t>
        </is>
      </c>
    </row>
    <row r="2" ht="15.5" customHeight="1">
      <c r="A2" s="12" t="n"/>
    </row>
    <row r="3" ht="17" customHeight="1">
      <c r="A3" s="44" t="n"/>
      <c r="B3" s="44" t="n"/>
      <c r="C3" s="125" t="inlineStr">
        <is>
          <t>added</t>
        </is>
      </c>
      <c r="G3" s="126" t="inlineStr">
        <is>
          <t>subtracted</t>
        </is>
      </c>
      <c r="K3" s="44" t="n"/>
      <c r="L3" s="44" t="n"/>
      <c r="M3" s="44" t="n"/>
      <c r="N3" s="44" t="n"/>
      <c r="O3" s="44" t="n"/>
      <c r="P3" s="73" t="n"/>
      <c r="Q3" s="44" t="n"/>
      <c r="R3" s="44" t="n"/>
      <c r="S3" s="44" t="n"/>
      <c r="T3" s="44" t="n"/>
    </row>
    <row r="4" ht="46.5" customHeight="1">
      <c r="A4" s="66" t="inlineStr">
        <is>
          <t>Livestock</t>
        </is>
      </c>
      <c r="B4" s="29" t="inlineStr">
        <is>
          <t>Inherited stock</t>
        </is>
      </c>
      <c r="C4" s="29" t="inlineStr">
        <is>
          <t>added</t>
        </is>
      </c>
      <c r="D4" s="12" t="inlineStr">
        <is>
          <t>strays</t>
        </is>
      </c>
      <c r="E4" s="12" t="inlineStr">
        <is>
          <t>herbage</t>
        </is>
      </c>
      <c r="F4" s="12" t="inlineStr">
        <is>
          <t>churchscot</t>
        </is>
      </c>
      <c r="G4" s="12" t="inlineStr">
        <is>
          <t>of which in default</t>
        </is>
      </c>
      <c r="H4" s="29" t="inlineStr">
        <is>
          <t>sold</t>
        </is>
      </c>
      <c r="I4" s="29" t="inlineStr">
        <is>
          <t>in murrain</t>
        </is>
      </c>
      <c r="J4" s="29" t="inlineStr">
        <is>
          <t>accounted for elsewhere</t>
        </is>
      </c>
      <c r="K4" s="29" t="inlineStr">
        <is>
          <t>End-period  stock</t>
        </is>
      </c>
      <c r="L4" s="29" t="inlineStr">
        <is>
          <t>cross-check</t>
        </is>
      </c>
      <c r="M4" s="29" t="inlineStr">
        <is>
          <t>stock building</t>
        </is>
      </c>
      <c r="N4" s="29" t="inlineStr">
        <is>
          <t>raw production</t>
        </is>
      </c>
      <c r="O4" s="29" t="inlineStr">
        <is>
          <t>Unit price (£)</t>
        </is>
      </c>
      <c r="P4" s="74" t="inlineStr">
        <is>
          <t>Value of stock  (£) at given value</t>
        </is>
      </c>
      <c r="Q4" s="66" t="inlineStr">
        <is>
          <t>Value of stock  (£) at sales prices</t>
        </is>
      </c>
      <c r="R4" s="66" t="inlineStr">
        <is>
          <t>Sales in (£)</t>
        </is>
      </c>
      <c r="S4" s="66" t="inlineStr">
        <is>
          <t>Value of stock building (£)</t>
        </is>
      </c>
      <c r="T4" s="118" t="inlineStr">
        <is>
          <t>Value of production (£) at sales prices</t>
        </is>
      </c>
      <c r="U4" s="29" t="inlineStr">
        <is>
          <t>Details</t>
        </is>
      </c>
    </row>
    <row r="5">
      <c r="A5" s="44" t="inlineStr">
        <is>
          <t>Cart-horses</t>
        </is>
      </c>
      <c r="B5" t="n">
        <v>0</v>
      </c>
      <c r="C5" t="n">
        <v>0</v>
      </c>
      <c r="H5" t="n">
        <v>0</v>
      </c>
      <c r="I5" t="n">
        <v>0</v>
      </c>
      <c r="L5">
        <f>B5+C5-H5</f>
        <v/>
      </c>
      <c r="M5">
        <f>L5-B5</f>
        <v/>
      </c>
      <c r="N5">
        <f>C5</f>
        <v/>
      </c>
      <c r="O5" t="n">
        <v>0</v>
      </c>
      <c r="P5" s="72">
        <f>O5*K5</f>
        <v/>
      </c>
      <c r="R5" t="n">
        <v>0</v>
      </c>
      <c r="S5">
        <f>O5*M5</f>
        <v/>
      </c>
      <c r="T5">
        <f>O5*N5</f>
        <v/>
      </c>
    </row>
    <row r="6">
      <c r="A6" s="44" t="inlineStr">
        <is>
          <t>Mares</t>
        </is>
      </c>
      <c r="B6" t="n">
        <v>0</v>
      </c>
      <c r="C6" t="n">
        <v>0</v>
      </c>
      <c r="H6" t="n">
        <v>0</v>
      </c>
      <c r="I6" t="n">
        <v>0</v>
      </c>
      <c r="L6">
        <f>B6+C6-H6</f>
        <v/>
      </c>
      <c r="M6">
        <f>L6-B6</f>
        <v/>
      </c>
      <c r="N6">
        <f>C6</f>
        <v/>
      </c>
      <c r="O6" t="n">
        <v>0</v>
      </c>
      <c r="P6" s="72">
        <f>O6*K6</f>
        <v/>
      </c>
      <c r="R6" t="n">
        <v>0</v>
      </c>
      <c r="S6">
        <f>O6*M6</f>
        <v/>
      </c>
      <c r="T6">
        <f>O6*N6</f>
        <v/>
      </c>
    </row>
    <row r="7">
      <c r="A7" t="inlineStr">
        <is>
          <t>Plough horses</t>
        </is>
      </c>
      <c r="B7" t="n">
        <v>0</v>
      </c>
      <c r="C7" t="n">
        <v>0</v>
      </c>
      <c r="H7" t="n">
        <v>0</v>
      </c>
      <c r="I7" t="n">
        <v>0</v>
      </c>
      <c r="L7">
        <f>B7+C7-H7</f>
        <v/>
      </c>
      <c r="M7">
        <f>L7-B7</f>
        <v/>
      </c>
      <c r="N7">
        <f>C7</f>
        <v/>
      </c>
      <c r="O7" t="n">
        <v>0</v>
      </c>
      <c r="P7" s="72">
        <f>O7*K7</f>
        <v/>
      </c>
      <c r="R7" t="n">
        <v>0</v>
      </c>
      <c r="S7">
        <f>O7*M7</f>
        <v/>
      </c>
      <c r="T7">
        <f>O7*N7</f>
        <v/>
      </c>
    </row>
    <row r="8">
      <c r="A8" t="inlineStr">
        <is>
          <t>Colts (unspecified years)</t>
        </is>
      </c>
      <c r="B8" t="n">
        <v>0</v>
      </c>
      <c r="C8" t="n">
        <v>0</v>
      </c>
      <c r="H8" t="n">
        <v>0</v>
      </c>
      <c r="I8" t="n">
        <v>0</v>
      </c>
      <c r="L8">
        <f>B8+C8-H8</f>
        <v/>
      </c>
      <c r="M8">
        <f>L8-B8</f>
        <v/>
      </c>
      <c r="N8">
        <f>C8</f>
        <v/>
      </c>
      <c r="O8" t="n">
        <v>0</v>
      </c>
      <c r="P8" s="72">
        <f>O8*K8</f>
        <v/>
      </c>
      <c r="R8" t="n">
        <v>0</v>
      </c>
      <c r="S8">
        <f>O8*M8</f>
        <v/>
      </c>
      <c r="T8">
        <f>O8*N8</f>
        <v/>
      </c>
    </row>
    <row r="9">
      <c r="A9" t="inlineStr">
        <is>
          <t>Colts (2 years)</t>
        </is>
      </c>
      <c r="B9" t="n">
        <v>0</v>
      </c>
      <c r="C9" t="n">
        <v>0</v>
      </c>
      <c r="H9" t="n">
        <v>0</v>
      </c>
      <c r="I9" t="n">
        <v>0</v>
      </c>
      <c r="L9">
        <f>B9+C9-H9</f>
        <v/>
      </c>
      <c r="M9">
        <f>L9-B9</f>
        <v/>
      </c>
      <c r="N9">
        <f>C9</f>
        <v/>
      </c>
      <c r="O9" t="n">
        <v>0</v>
      </c>
      <c r="P9" s="72">
        <f>O9*K9</f>
        <v/>
      </c>
      <c r="R9" t="n">
        <v>0</v>
      </c>
      <c r="S9">
        <f>O9*M9</f>
        <v/>
      </c>
      <c r="T9">
        <f>O9*N9</f>
        <v/>
      </c>
    </row>
    <row r="10">
      <c r="A10" t="inlineStr">
        <is>
          <t>Colts (1 year)</t>
        </is>
      </c>
      <c r="B10" t="n">
        <v>0</v>
      </c>
      <c r="C10" t="n">
        <v>0</v>
      </c>
      <c r="H10" t="n">
        <v>0</v>
      </c>
      <c r="I10" t="n">
        <v>0</v>
      </c>
      <c r="L10">
        <f>B10+C10-H10</f>
        <v/>
      </c>
      <c r="M10">
        <f>L10-B10</f>
        <v/>
      </c>
      <c r="N10">
        <f>C10</f>
        <v/>
      </c>
      <c r="O10" t="n">
        <v>0</v>
      </c>
      <c r="P10" s="72">
        <f>O10*K10</f>
        <v/>
      </c>
      <c r="R10" t="n">
        <v>0</v>
      </c>
      <c r="S10">
        <f>O10*M10</f>
        <v/>
      </c>
      <c r="T10">
        <f>O10*N10</f>
        <v/>
      </c>
    </row>
    <row r="11">
      <c r="A11" t="inlineStr">
        <is>
          <t>Foals</t>
        </is>
      </c>
      <c r="B11" t="n">
        <v>0</v>
      </c>
      <c r="C11" t="n">
        <v>0</v>
      </c>
      <c r="H11" t="n">
        <v>0</v>
      </c>
      <c r="I11" t="n">
        <v>0</v>
      </c>
      <c r="L11">
        <f>B11+C11-H11</f>
        <v/>
      </c>
      <c r="M11">
        <f>L11-B11</f>
        <v/>
      </c>
      <c r="N11">
        <f>C11</f>
        <v/>
      </c>
      <c r="O11" t="n">
        <v>0</v>
      </c>
      <c r="P11" s="72">
        <f>O11*K11</f>
        <v/>
      </c>
      <c r="R11" t="n">
        <v>0</v>
      </c>
      <c r="S11">
        <f>O11*M11</f>
        <v/>
      </c>
      <c r="T11">
        <f>O11*N11</f>
        <v/>
      </c>
    </row>
    <row r="12">
      <c r="A12" t="inlineStr">
        <is>
          <t>Oxen</t>
        </is>
      </c>
      <c r="B12" t="n">
        <v>0</v>
      </c>
      <c r="C12" t="n">
        <v>0</v>
      </c>
      <c r="H12" t="n">
        <v>0</v>
      </c>
      <c r="I12" t="n">
        <v>0</v>
      </c>
      <c r="L12">
        <f>B12+C12-H12</f>
        <v/>
      </c>
      <c r="M12">
        <f>L12-B12</f>
        <v/>
      </c>
      <c r="N12">
        <f>C12</f>
        <v/>
      </c>
      <c r="O12" t="n">
        <v>0</v>
      </c>
      <c r="P12" s="72">
        <f>O12*K12</f>
        <v/>
      </c>
      <c r="R12" t="n">
        <v>2.73</v>
      </c>
      <c r="S12">
        <f>O12*M12</f>
        <v/>
      </c>
      <c r="T12">
        <f>O12*N12</f>
        <v/>
      </c>
    </row>
    <row r="13">
      <c r="A13" t="inlineStr">
        <is>
          <t>Bulls</t>
        </is>
      </c>
      <c r="B13" t="n">
        <v>0</v>
      </c>
      <c r="C13" t="n">
        <v>0</v>
      </c>
      <c r="H13" t="n">
        <v>0</v>
      </c>
      <c r="I13" t="n">
        <v>0</v>
      </c>
      <c r="L13">
        <f>B13+C13-H13</f>
        <v/>
      </c>
      <c r="M13">
        <f>L13-B13</f>
        <v/>
      </c>
      <c r="N13">
        <f>C13</f>
        <v/>
      </c>
      <c r="O13" t="n">
        <v>0</v>
      </c>
      <c r="P13" s="72">
        <f>O13*K13</f>
        <v/>
      </c>
      <c r="R13" t="n">
        <v>0</v>
      </c>
      <c r="S13">
        <f>O13*M13</f>
        <v/>
      </c>
      <c r="T13">
        <f>O13*N13</f>
        <v/>
      </c>
    </row>
    <row r="14">
      <c r="A14" t="inlineStr">
        <is>
          <t>Cows</t>
        </is>
      </c>
      <c r="B14" t="n">
        <v>0</v>
      </c>
      <c r="C14" t="n">
        <v>0</v>
      </c>
      <c r="H14" t="n">
        <v>0</v>
      </c>
      <c r="I14" t="n">
        <v>0</v>
      </c>
      <c r="L14">
        <f>B14+C14-H14</f>
        <v/>
      </c>
      <c r="M14">
        <f>L14-B14</f>
        <v/>
      </c>
      <c r="N14">
        <f>C14</f>
        <v/>
      </c>
      <c r="O14" t="n">
        <v>0</v>
      </c>
      <c r="P14" s="72">
        <f>O14*K14</f>
        <v/>
      </c>
      <c r="R14" t="n">
        <v>0</v>
      </c>
      <c r="S14">
        <f>O14*M14</f>
        <v/>
      </c>
      <c r="T14">
        <f>O14*N14</f>
        <v/>
      </c>
    </row>
    <row r="15">
      <c r="A15" t="inlineStr">
        <is>
          <t>Steers</t>
        </is>
      </c>
      <c r="B15" t="n">
        <v>0</v>
      </c>
      <c r="C15" t="n">
        <v>0</v>
      </c>
      <c r="H15" t="n">
        <v>0</v>
      </c>
      <c r="I15" t="n">
        <v>0</v>
      </c>
      <c r="L15">
        <f>B15+C15-H15</f>
        <v/>
      </c>
      <c r="M15">
        <f>L15-B15</f>
        <v/>
      </c>
      <c r="N15">
        <f>C15</f>
        <v/>
      </c>
      <c r="O15" t="n">
        <v>0</v>
      </c>
      <c r="P15" s="72">
        <f>O15*K15</f>
        <v/>
      </c>
      <c r="R15" t="n">
        <v>0</v>
      </c>
      <c r="S15">
        <f>O15*M15</f>
        <v/>
      </c>
      <c r="T15">
        <f>O15*N15</f>
        <v/>
      </c>
    </row>
    <row r="16">
      <c r="A16" t="inlineStr">
        <is>
          <t>Bullocks</t>
        </is>
      </c>
      <c r="B16" t="n">
        <v>0</v>
      </c>
      <c r="C16" t="n">
        <v>0</v>
      </c>
      <c r="H16" t="n">
        <v>0</v>
      </c>
      <c r="I16" t="n">
        <v>0</v>
      </c>
      <c r="L16">
        <f>B16+C16-H16</f>
        <v/>
      </c>
      <c r="M16">
        <f>L16-B16</f>
        <v/>
      </c>
      <c r="N16">
        <f>C16</f>
        <v/>
      </c>
      <c r="O16" t="n">
        <v>0</v>
      </c>
      <c r="P16" s="72">
        <f>O16*K16</f>
        <v/>
      </c>
      <c r="R16" t="n">
        <v>0</v>
      </c>
      <c r="S16">
        <f>O16*M16</f>
        <v/>
      </c>
      <c r="T16">
        <f>O16*N16</f>
        <v/>
      </c>
    </row>
    <row r="17">
      <c r="A17" t="inlineStr">
        <is>
          <t>Yearlings</t>
        </is>
      </c>
      <c r="B17" t="n">
        <v>0</v>
      </c>
      <c r="C17" t="n">
        <v>0</v>
      </c>
      <c r="H17" t="n">
        <v>0</v>
      </c>
      <c r="I17" t="n">
        <v>0</v>
      </c>
      <c r="L17">
        <f>B17+C17-H17</f>
        <v/>
      </c>
      <c r="M17">
        <f>L17-B17</f>
        <v/>
      </c>
      <c r="N17">
        <f>C17</f>
        <v/>
      </c>
      <c r="O17" t="n">
        <v>0</v>
      </c>
      <c r="P17" s="72">
        <f>O17*K17</f>
        <v/>
      </c>
      <c r="R17" t="n">
        <v>0</v>
      </c>
      <c r="S17">
        <f>O17*M17</f>
        <v/>
      </c>
      <c r="T17">
        <f>O17*N17</f>
        <v/>
      </c>
    </row>
    <row r="18">
      <c r="A18" t="inlineStr">
        <is>
          <t>Calves</t>
        </is>
      </c>
      <c r="B18" t="n">
        <v>0</v>
      </c>
      <c r="C18" t="n">
        <v>0</v>
      </c>
      <c r="H18" t="n">
        <v>0</v>
      </c>
      <c r="I18" t="n">
        <v>0</v>
      </c>
      <c r="L18">
        <f>B18+C18-H18</f>
        <v/>
      </c>
      <c r="M18">
        <f>L18-B18</f>
        <v/>
      </c>
      <c r="N18">
        <f>C18</f>
        <v/>
      </c>
      <c r="O18" t="n">
        <v>0</v>
      </c>
      <c r="P18" s="72">
        <f>O18*K18</f>
        <v/>
      </c>
      <c r="R18" t="n">
        <v>0</v>
      </c>
      <c r="S18">
        <f>O18*M18</f>
        <v/>
      </c>
      <c r="T18">
        <f>O18*N18</f>
        <v/>
      </c>
    </row>
    <row r="19">
      <c r="A19" t="inlineStr">
        <is>
          <t>Wethers</t>
        </is>
      </c>
      <c r="B19" t="n">
        <v>0</v>
      </c>
      <c r="C19" t="n">
        <v>0</v>
      </c>
      <c r="H19" t="n">
        <v>0</v>
      </c>
      <c r="I19" t="n">
        <v>0</v>
      </c>
      <c r="L19">
        <f>B19+C19-H19</f>
        <v/>
      </c>
      <c r="M19">
        <f>L19-B19</f>
        <v/>
      </c>
      <c r="N19">
        <f>C19</f>
        <v/>
      </c>
      <c r="O19" t="n">
        <v>0</v>
      </c>
      <c r="P19" s="72">
        <f>O19*K19</f>
        <v/>
      </c>
      <c r="R19" t="n">
        <v>2.73</v>
      </c>
      <c r="S19">
        <f>O19*M19</f>
        <v/>
      </c>
      <c r="T19">
        <f>O19*N19</f>
        <v/>
      </c>
    </row>
    <row r="20">
      <c r="A20" t="inlineStr">
        <is>
          <t>Rams</t>
        </is>
      </c>
      <c r="B20" t="n">
        <v>0</v>
      </c>
      <c r="C20" t="n">
        <v>0</v>
      </c>
      <c r="H20" t="n">
        <v>0</v>
      </c>
      <c r="I20" t="n">
        <v>0</v>
      </c>
      <c r="L20">
        <f>B20+C20-H20</f>
        <v/>
      </c>
      <c r="M20">
        <f>L20-B20</f>
        <v/>
      </c>
      <c r="N20">
        <f>C20</f>
        <v/>
      </c>
      <c r="O20" t="n">
        <v>0</v>
      </c>
      <c r="P20" s="72">
        <f>O20*K20</f>
        <v/>
      </c>
      <c r="R20" t="n">
        <v>0</v>
      </c>
      <c r="S20">
        <f>O20*M20</f>
        <v/>
      </c>
      <c r="T20">
        <f>O20*N20</f>
        <v/>
      </c>
    </row>
    <row r="21">
      <c r="A21" t="inlineStr">
        <is>
          <t>Ewes</t>
        </is>
      </c>
      <c r="B21" t="n">
        <v>0</v>
      </c>
      <c r="C21" t="n">
        <v>0</v>
      </c>
      <c r="H21" t="n">
        <v>0</v>
      </c>
      <c r="I21" t="n">
        <v>0</v>
      </c>
      <c r="L21">
        <f>B21+C21-H21</f>
        <v/>
      </c>
      <c r="M21">
        <f>L21-B21</f>
        <v/>
      </c>
      <c r="N21">
        <f>C21</f>
        <v/>
      </c>
      <c r="O21" t="n">
        <v>0</v>
      </c>
      <c r="P21" s="72">
        <f>O21*K21</f>
        <v/>
      </c>
      <c r="Q21" t="n">
        <v>0</v>
      </c>
      <c r="R21" t="n">
        <v>2.73</v>
      </c>
      <c r="S21">
        <f>O21*M21</f>
        <v/>
      </c>
      <c r="T21">
        <f>O21*N21</f>
        <v/>
      </c>
    </row>
    <row r="22">
      <c r="A22" t="inlineStr">
        <is>
          <t>Hoggs</t>
        </is>
      </c>
      <c r="B22" t="n">
        <v>0</v>
      </c>
      <c r="C22" t="n">
        <v>0</v>
      </c>
      <c r="H22" t="n">
        <v>0</v>
      </c>
      <c r="I22" t="n">
        <v>0</v>
      </c>
      <c r="L22">
        <f>B22+C22-H22</f>
        <v/>
      </c>
      <c r="M22">
        <f>L22-B22</f>
        <v/>
      </c>
      <c r="N22">
        <f>C22</f>
        <v/>
      </c>
      <c r="O22" t="n">
        <v>0</v>
      </c>
      <c r="P22" s="72">
        <f>O22*K22</f>
        <v/>
      </c>
      <c r="R22" t="n">
        <v>0</v>
      </c>
      <c r="S22">
        <f>O22*M22</f>
        <v/>
      </c>
      <c r="T22">
        <f>O22*N22</f>
        <v/>
      </c>
    </row>
    <row r="23">
      <c r="A23" t="inlineStr">
        <is>
          <t>Lambs</t>
        </is>
      </c>
      <c r="B23" t="n">
        <v>0</v>
      </c>
      <c r="C23" t="n">
        <v>0</v>
      </c>
      <c r="H23" t="n">
        <v>0</v>
      </c>
      <c r="I23" t="n">
        <v>0</v>
      </c>
      <c r="L23">
        <f>B23+C23-H23</f>
        <v/>
      </c>
      <c r="M23">
        <f>L23-B23</f>
        <v/>
      </c>
      <c r="N23">
        <f>C23</f>
        <v/>
      </c>
      <c r="O23" t="n">
        <v>0</v>
      </c>
      <c r="P23" s="72">
        <f>O23*K23</f>
        <v/>
      </c>
      <c r="R23" t="n">
        <v>0</v>
      </c>
      <c r="S23">
        <f>O23*M23</f>
        <v/>
      </c>
      <c r="T23">
        <f>O23*N23</f>
        <v/>
      </c>
    </row>
    <row r="24">
      <c r="A24" t="inlineStr">
        <is>
          <t>Boars</t>
        </is>
      </c>
      <c r="B24" t="n">
        <v>0</v>
      </c>
      <c r="C24" t="n">
        <v>0</v>
      </c>
      <c r="H24" t="n">
        <v>0</v>
      </c>
      <c r="I24" t="n">
        <v>0</v>
      </c>
      <c r="L24">
        <f>B24+C24-H24</f>
        <v/>
      </c>
      <c r="M24">
        <f>L24-B24</f>
        <v/>
      </c>
      <c r="N24">
        <f>C24</f>
        <v/>
      </c>
      <c r="O24" t="n">
        <v>0</v>
      </c>
      <c r="P24" s="72">
        <f>O24*K24</f>
        <v/>
      </c>
      <c r="R24" t="n">
        <v>0</v>
      </c>
      <c r="S24">
        <f>O24*M24</f>
        <v/>
      </c>
      <c r="T24">
        <f>O24*N24</f>
        <v/>
      </c>
    </row>
    <row r="25">
      <c r="A25" t="inlineStr">
        <is>
          <t>Sows</t>
        </is>
      </c>
      <c r="B25" t="n">
        <v>0</v>
      </c>
      <c r="C25" t="n">
        <v>0</v>
      </c>
      <c r="H25" t="n">
        <v>0</v>
      </c>
      <c r="I25" t="n">
        <v>0</v>
      </c>
      <c r="L25">
        <f>B25+C25-H25</f>
        <v/>
      </c>
      <c r="M25">
        <f>L25-B25</f>
        <v/>
      </c>
      <c r="N25">
        <f>C25</f>
        <v/>
      </c>
      <c r="O25" t="n">
        <v>0</v>
      </c>
      <c r="P25" s="72">
        <f>O25*K25</f>
        <v/>
      </c>
      <c r="R25" t="n">
        <v>0</v>
      </c>
      <c r="S25">
        <f>O25*M25</f>
        <v/>
      </c>
      <c r="T25">
        <f>O25*N25</f>
        <v/>
      </c>
    </row>
    <row r="26">
      <c r="A26" t="inlineStr">
        <is>
          <t>Pigs</t>
        </is>
      </c>
      <c r="B26" t="n">
        <v>0</v>
      </c>
      <c r="C26" t="n">
        <v>0</v>
      </c>
      <c r="H26" t="n">
        <v>0</v>
      </c>
      <c r="I26" t="n">
        <v>0</v>
      </c>
      <c r="L26">
        <f>B26+C26-H26</f>
        <v/>
      </c>
      <c r="M26">
        <f>L26-B26</f>
        <v/>
      </c>
      <c r="N26">
        <f>C26</f>
        <v/>
      </c>
      <c r="O26" t="n">
        <v>0</v>
      </c>
      <c r="P26" s="72">
        <f>O26*K26</f>
        <v/>
      </c>
      <c r="R26" t="n">
        <v>0</v>
      </c>
      <c r="S26">
        <f>O26*M26</f>
        <v/>
      </c>
      <c r="T26">
        <f>O26*N26</f>
        <v/>
      </c>
    </row>
    <row r="27">
      <c r="A27" t="inlineStr">
        <is>
          <t>Hoggets</t>
        </is>
      </c>
      <c r="B27" t="n">
        <v>0</v>
      </c>
      <c r="C27" t="n">
        <v>0</v>
      </c>
      <c r="H27" t="n">
        <v>0</v>
      </c>
      <c r="I27" t="n">
        <v>0</v>
      </c>
      <c r="L27">
        <f>B27+C27-H27</f>
        <v/>
      </c>
      <c r="M27">
        <f>L27-B27</f>
        <v/>
      </c>
      <c r="N27">
        <f>C27</f>
        <v/>
      </c>
      <c r="O27" t="n">
        <v>0</v>
      </c>
      <c r="P27" s="72">
        <f>O27*K27</f>
        <v/>
      </c>
      <c r="R27" t="n">
        <v>2.73</v>
      </c>
      <c r="S27">
        <f>O27*M27</f>
        <v/>
      </c>
      <c r="T27">
        <f>O27*N27</f>
        <v/>
      </c>
    </row>
    <row r="28">
      <c r="A28" t="inlineStr">
        <is>
          <t>Piglets</t>
        </is>
      </c>
      <c r="B28" t="n">
        <v>0</v>
      </c>
      <c r="C28" t="n">
        <v>0</v>
      </c>
      <c r="H28" t="n">
        <v>0</v>
      </c>
      <c r="I28" t="n">
        <v>0</v>
      </c>
      <c r="L28">
        <f>B28+C28-H28</f>
        <v/>
      </c>
      <c r="M28">
        <f>L28-B28</f>
        <v/>
      </c>
      <c r="N28">
        <f>C28</f>
        <v/>
      </c>
      <c r="O28" t="n">
        <v>0</v>
      </c>
      <c r="P28" s="72">
        <f>O28*K28</f>
        <v/>
      </c>
      <c r="R28" t="n">
        <v>0</v>
      </c>
      <c r="S28">
        <f>O28*M28</f>
        <v/>
      </c>
      <c r="T28">
        <f>O28*N28</f>
        <v/>
      </c>
    </row>
    <row r="29">
      <c r="A29" t="inlineStr">
        <is>
          <t>Swans</t>
        </is>
      </c>
      <c r="B29" t="n">
        <v>0</v>
      </c>
      <c r="C29" t="n">
        <v>0</v>
      </c>
      <c r="H29" t="n">
        <v>0</v>
      </c>
      <c r="I29" t="n">
        <v>0</v>
      </c>
      <c r="L29">
        <f>B29+C29-H29</f>
        <v/>
      </c>
      <c r="M29">
        <f>L29-B29</f>
        <v/>
      </c>
      <c r="N29">
        <f>C29</f>
        <v/>
      </c>
      <c r="O29" t="n">
        <v>0</v>
      </c>
      <c r="P29" s="72">
        <f>O29*K29</f>
        <v/>
      </c>
      <c r="R29" t="n">
        <v>0</v>
      </c>
      <c r="S29">
        <f>O29*M29</f>
        <v/>
      </c>
      <c r="T29">
        <f>O29*N29</f>
        <v/>
      </c>
    </row>
    <row r="30">
      <c r="A30" t="inlineStr">
        <is>
          <t>Peacocks</t>
        </is>
      </c>
      <c r="B30" t="n">
        <v>0</v>
      </c>
      <c r="C30" t="n">
        <v>0</v>
      </c>
      <c r="H30" t="n">
        <v>0</v>
      </c>
      <c r="I30" t="n">
        <v>0</v>
      </c>
      <c r="L30">
        <f>B30+C30-H30</f>
        <v/>
      </c>
      <c r="M30">
        <f>L30-B30</f>
        <v/>
      </c>
      <c r="N30">
        <f>C30</f>
        <v/>
      </c>
      <c r="O30" t="n">
        <v>0</v>
      </c>
      <c r="P30" s="72">
        <f>O30*K30</f>
        <v/>
      </c>
      <c r="R30" t="n">
        <v>0</v>
      </c>
      <c r="S30">
        <f>O30*M30</f>
        <v/>
      </c>
      <c r="T30">
        <f>O30*N30</f>
        <v/>
      </c>
    </row>
    <row r="31" ht="15.5" customHeight="1">
      <c r="A31" s="67" t="inlineStr">
        <is>
          <t>Total Value</t>
        </is>
      </c>
    </row>
    <row r="34" ht="15.5" customHeight="1">
      <c r="A34" s="66" t="inlineStr">
        <is>
          <t>Wool</t>
        </is>
      </c>
      <c r="B34" t="n">
        <v>0</v>
      </c>
      <c r="C34" t="n">
        <v>0</v>
      </c>
      <c r="H34" t="n">
        <v>0</v>
      </c>
      <c r="I34" t="n">
        <v>0</v>
      </c>
    </row>
    <row r="35">
      <c r="A35" t="inlineStr">
        <is>
          <t>Coarse wool</t>
        </is>
      </c>
      <c r="B35" t="n">
        <v>0</v>
      </c>
      <c r="C35" t="n">
        <v>0</v>
      </c>
      <c r="H35" t="n">
        <v>0</v>
      </c>
      <c r="I35" t="n">
        <v>0</v>
      </c>
    </row>
    <row r="36">
      <c r="A36" t="inlineStr">
        <is>
          <t>Lamb's wool</t>
        </is>
      </c>
      <c r="B36" t="n">
        <v>0</v>
      </c>
      <c r="C36" t="n">
        <v>0</v>
      </c>
      <c r="H36" t="n">
        <v>0</v>
      </c>
      <c r="I36" t="n">
        <v>0</v>
      </c>
    </row>
    <row r="37">
      <c r="A37" t="inlineStr">
        <is>
          <t>Wool locks</t>
        </is>
      </c>
      <c r="B37" t="n">
        <v>0</v>
      </c>
      <c r="C37" t="n">
        <v>0</v>
      </c>
      <c r="H37" t="n">
        <v>0</v>
      </c>
      <c r="I37" t="n">
        <v>0</v>
      </c>
    </row>
    <row r="38">
      <c r="A38" t="inlineStr">
        <is>
          <t>Wool sold at shearing</t>
        </is>
      </c>
      <c r="B38" t="n">
        <v>0</v>
      </c>
      <c r="C38" t="n">
        <v>0</v>
      </c>
      <c r="H38" t="n">
        <v>0</v>
      </c>
      <c r="I38" t="n">
        <v>0</v>
      </c>
    </row>
    <row r="39" ht="15.5" customHeight="1">
      <c r="A39" s="67" t="inlineStr">
        <is>
          <t>Total wool</t>
        </is>
      </c>
      <c r="B39" t="n">
        <v>0</v>
      </c>
      <c r="C39" t="n">
        <v>0</v>
      </c>
      <c r="H39" t="n">
        <v>0</v>
      </c>
      <c r="I39" t="n">
        <v>0</v>
      </c>
    </row>
    <row r="40">
      <c r="B40" t="n">
        <v>0</v>
      </c>
      <c r="C40" t="n">
        <v>0</v>
      </c>
      <c r="H40" t="n">
        <v>0</v>
      </c>
      <c r="I40" t="n">
        <v>0</v>
      </c>
    </row>
    <row r="41">
      <c r="B41" t="n">
        <v>0</v>
      </c>
      <c r="C41" t="n">
        <v>0</v>
      </c>
      <c r="H41" t="n">
        <v>0</v>
      </c>
      <c r="I41" t="n">
        <v>0</v>
      </c>
    </row>
    <row r="42" ht="15.5" customHeight="1">
      <c r="A42" s="66" t="inlineStr">
        <is>
          <t>Hides</t>
        </is>
      </c>
      <c r="B42" t="n">
        <v>0</v>
      </c>
      <c r="C42" t="n">
        <v>0</v>
      </c>
      <c r="H42" t="n">
        <v>0</v>
      </c>
      <c r="I42" t="n">
        <v>0</v>
      </c>
    </row>
    <row r="43">
      <c r="A43" t="inlineStr">
        <is>
          <t>Ox hides</t>
        </is>
      </c>
      <c r="B43" t="n">
        <v>0</v>
      </c>
      <c r="C43" t="n">
        <v>0</v>
      </c>
      <c r="H43" t="n">
        <v>0</v>
      </c>
      <c r="I43" t="n">
        <v>0</v>
      </c>
    </row>
    <row r="44">
      <c r="A44" t="inlineStr">
        <is>
          <t>Mare</t>
        </is>
      </c>
      <c r="B44" t="n">
        <v>0</v>
      </c>
      <c r="C44" t="n">
        <v>0</v>
      </c>
      <c r="H44" t="n">
        <v>0</v>
      </c>
      <c r="I44" t="n">
        <v>0</v>
      </c>
    </row>
    <row r="45">
      <c r="A45" t="inlineStr">
        <is>
          <t>Steer</t>
        </is>
      </c>
      <c r="B45" t="n">
        <v>0</v>
      </c>
      <c r="C45" t="n">
        <v>0</v>
      </c>
      <c r="H45" t="n">
        <v>0</v>
      </c>
      <c r="I45" t="n">
        <v>0</v>
      </c>
    </row>
    <row r="46">
      <c r="A46" t="inlineStr">
        <is>
          <t>calves</t>
        </is>
      </c>
      <c r="B46" t="n">
        <v>0</v>
      </c>
      <c r="C46" t="n">
        <v>0</v>
      </c>
      <c r="H46" t="n">
        <v>0</v>
      </c>
      <c r="I46" t="n">
        <v>0</v>
      </c>
    </row>
    <row r="47">
      <c r="A47" s="68" t="inlineStr">
        <is>
          <t>pigs</t>
        </is>
      </c>
      <c r="B47" t="n">
        <v>0</v>
      </c>
      <c r="C47" t="n">
        <v>0</v>
      </c>
      <c r="H47" t="n">
        <v>0</v>
      </c>
      <c r="I47" t="n">
        <v>0</v>
      </c>
    </row>
    <row r="48">
      <c r="A48" t="inlineStr">
        <is>
          <t xml:space="preserve">Woolskins </t>
        </is>
      </c>
    </row>
    <row r="49">
      <c r="A49" s="28" t="inlineStr">
        <is>
          <t>wethers</t>
        </is>
      </c>
    </row>
    <row r="50">
      <c r="A50" s="28" t="inlineStr">
        <is>
          <t>rams</t>
        </is>
      </c>
    </row>
    <row r="51">
      <c r="A51" s="28" t="inlineStr">
        <is>
          <t>ewes</t>
        </is>
      </c>
    </row>
    <row r="52">
      <c r="A52" s="28" t="inlineStr">
        <is>
          <t>hoggs</t>
        </is>
      </c>
    </row>
    <row r="53">
      <c r="A53" s="69" t="inlineStr">
        <is>
          <t>Woolskins total</t>
        </is>
      </c>
      <c r="B53" t="n">
        <v>0</v>
      </c>
      <c r="C53" t="n">
        <v>0</v>
      </c>
      <c r="H53" t="n">
        <v>0</v>
      </c>
      <c r="I53" t="n">
        <v>0</v>
      </c>
    </row>
    <row r="54">
      <c r="A54" s="43" t="inlineStr">
        <is>
          <t>Bareskins</t>
        </is>
      </c>
    </row>
    <row r="55">
      <c r="A55" s="28" t="inlineStr">
        <is>
          <t>wethers</t>
        </is>
      </c>
    </row>
    <row r="56">
      <c r="A56" s="28" t="inlineStr">
        <is>
          <t>rams</t>
        </is>
      </c>
    </row>
    <row r="57">
      <c r="A57" s="28" t="inlineStr">
        <is>
          <t>ewes</t>
        </is>
      </c>
    </row>
    <row r="58">
      <c r="A58" s="28" t="inlineStr">
        <is>
          <t>hoggs</t>
        </is>
      </c>
    </row>
    <row r="59">
      <c r="A59" s="69" t="inlineStr">
        <is>
          <t>Bareskins total</t>
        </is>
      </c>
      <c r="B59" t="n">
        <v>0</v>
      </c>
      <c r="C59" t="n">
        <v>0</v>
      </c>
      <c r="H59" t="n">
        <v>0</v>
      </c>
      <c r="I59" t="n">
        <v>0</v>
      </c>
    </row>
    <row r="60">
      <c r="A60" t="inlineStr">
        <is>
          <t>Lambskins</t>
        </is>
      </c>
      <c r="B60" t="n">
        <v>0</v>
      </c>
      <c r="C60" t="n">
        <v>0</v>
      </c>
      <c r="H60" t="n">
        <v>0</v>
      </c>
      <c r="I60" t="n">
        <v>0</v>
      </c>
    </row>
    <row r="61">
      <c r="A61" t="inlineStr">
        <is>
          <t>Rotted skins</t>
        </is>
      </c>
      <c r="B61" t="n">
        <v>0</v>
      </c>
      <c r="C61" t="n">
        <v>0</v>
      </c>
      <c r="H61" t="n">
        <v>0</v>
      </c>
      <c r="I61" t="n">
        <v>0</v>
      </c>
    </row>
    <row r="62">
      <c r="A62" t="inlineStr">
        <is>
          <t>Shorn skins</t>
        </is>
      </c>
      <c r="B62" t="n">
        <v>0</v>
      </c>
      <c r="C62" t="n">
        <v>0</v>
      </c>
      <c r="H62" t="n">
        <v>0</v>
      </c>
      <c r="I62" t="n">
        <v>0</v>
      </c>
    </row>
    <row r="63">
      <c r="A63" s="70" t="inlineStr">
        <is>
          <t xml:space="preserve">Total </t>
        </is>
      </c>
    </row>
    <row r="66" ht="15.5" customHeight="1">
      <c r="A66" s="66" t="inlineStr">
        <is>
          <t>Poultry stock</t>
        </is>
      </c>
    </row>
    <row r="67">
      <c r="A67" s="44" t="inlineStr">
        <is>
          <t>Hens</t>
        </is>
      </c>
      <c r="L67">
        <f>B67+C67-H67</f>
        <v/>
      </c>
      <c r="M67">
        <f>L67-B67</f>
        <v/>
      </c>
      <c r="N67">
        <f>C67</f>
        <v/>
      </c>
      <c r="O67" t="n">
        <v>0</v>
      </c>
      <c r="Q67">
        <f>R67*K67</f>
        <v/>
      </c>
      <c r="R67" t="n">
        <v>0</v>
      </c>
      <c r="S67">
        <f>O67*M67</f>
        <v/>
      </c>
      <c r="T67">
        <f>O67*N67</f>
        <v/>
      </c>
    </row>
    <row r="68">
      <c r="A68" t="inlineStr">
        <is>
          <t>Geese</t>
        </is>
      </c>
      <c r="L68">
        <f>B68+C68-H68</f>
        <v/>
      </c>
      <c r="M68">
        <f>L68-B68</f>
        <v/>
      </c>
      <c r="N68">
        <f>C68</f>
        <v/>
      </c>
      <c r="O68" t="n">
        <v>0</v>
      </c>
      <c r="Q68">
        <f>R68*K68</f>
        <v/>
      </c>
      <c r="R68" t="n">
        <v>0</v>
      </c>
      <c r="S68">
        <f>O68*M68</f>
        <v/>
      </c>
      <c r="T68">
        <f>O68*N68</f>
        <v/>
      </c>
    </row>
    <row r="69">
      <c r="A69" t="inlineStr">
        <is>
          <t>Capons (from chickens)</t>
        </is>
      </c>
      <c r="B69" t="n">
        <v>0</v>
      </c>
      <c r="C69" t="n">
        <v>6</v>
      </c>
      <c r="H69" t="n">
        <v>6</v>
      </c>
      <c r="K69" t="n">
        <v>0</v>
      </c>
      <c r="L69">
        <f>B69+C69-H69</f>
        <v/>
      </c>
      <c r="M69">
        <f>L69-B69</f>
        <v/>
      </c>
      <c r="N69">
        <f>C69</f>
        <v/>
      </c>
      <c r="O69" t="n">
        <v>0</v>
      </c>
      <c r="Q69">
        <f>R69*K69</f>
        <v/>
      </c>
      <c r="R69" t="n">
        <v>0</v>
      </c>
      <c r="S69">
        <f>O69*M69</f>
        <v/>
      </c>
      <c r="T69">
        <f>O69*N69</f>
        <v/>
      </c>
    </row>
    <row r="70">
      <c r="A70" t="inlineStr">
        <is>
          <t>Cocks &amp; hens</t>
        </is>
      </c>
      <c r="B70" t="n">
        <v>0</v>
      </c>
      <c r="F70" t="n">
        <v>28</v>
      </c>
      <c r="G70" t="n">
        <v>18</v>
      </c>
      <c r="H70" t="n">
        <v>10</v>
      </c>
      <c r="K70" t="n">
        <v>0</v>
      </c>
      <c r="L70">
        <f>B70+C70-H70</f>
        <v/>
      </c>
      <c r="M70">
        <f>L70-B70</f>
        <v/>
      </c>
      <c r="N70">
        <f>C70</f>
        <v/>
      </c>
      <c r="O70" t="n">
        <v>0</v>
      </c>
      <c r="Q70">
        <f>R70*K70</f>
        <v/>
      </c>
      <c r="R70" t="n">
        <v>0</v>
      </c>
      <c r="S70">
        <f>O70*M70</f>
        <v/>
      </c>
      <c r="T70">
        <f>O70*N70</f>
        <v/>
      </c>
    </row>
    <row r="71">
      <c r="A71" s="70" t="inlineStr">
        <is>
          <t>Total poultry stock</t>
        </is>
      </c>
    </row>
    <row r="72">
      <c r="A72" s="71" t="inlineStr">
        <is>
          <t>Total poultry excluding churchscot</t>
        </is>
      </c>
    </row>
    <row r="74" ht="15.5" customHeight="1">
      <c r="A74" s="12" t="inlineStr">
        <is>
          <t>Poultry production</t>
        </is>
      </c>
    </row>
    <row r="75">
      <c r="A75" t="inlineStr">
        <is>
          <t>Eggs</t>
        </is>
      </c>
      <c r="B75" t="n">
        <v>0</v>
      </c>
      <c r="C75" t="n">
        <v>0</v>
      </c>
      <c r="H75" t="n">
        <v>0</v>
      </c>
      <c r="I75" t="n">
        <v>0</v>
      </c>
      <c r="S75">
        <f>O75*M75</f>
        <v/>
      </c>
      <c r="T75">
        <f>O75*N75</f>
        <v/>
      </c>
    </row>
    <row r="76">
      <c r="A76" t="inlineStr">
        <is>
          <t>Cocks &amp; hens from churchscot of customary tenants</t>
        </is>
      </c>
      <c r="B76" t="n">
        <v>0</v>
      </c>
      <c r="C76" t="n">
        <v>0</v>
      </c>
      <c r="H76" t="n">
        <v>0</v>
      </c>
      <c r="I76" t="n">
        <v>0</v>
      </c>
      <c r="S76">
        <f>O76*M76</f>
        <v/>
      </c>
      <c r="T76">
        <f>O76*N76</f>
        <v/>
      </c>
    </row>
    <row r="77">
      <c r="A77" t="inlineStr">
        <is>
          <t>Sum of above</t>
        </is>
      </c>
      <c r="S77">
        <f>SUM(S75:S76)</f>
        <v/>
      </c>
      <c r="T77">
        <f>SUM(T75:T76)</f>
        <v/>
      </c>
    </row>
    <row r="78">
      <c r="A78" s="70" t="inlineStr">
        <is>
          <t>Total</t>
        </is>
      </c>
    </row>
    <row r="81" ht="15.5" customHeight="1">
      <c r="A81" s="12" t="inlineStr">
        <is>
          <t>Meat</t>
        </is>
      </c>
    </row>
    <row r="82">
      <c r="A82" t="inlineStr">
        <is>
          <t>Beef</t>
        </is>
      </c>
      <c r="B82" t="n">
        <v>0</v>
      </c>
      <c r="C82" t="n">
        <v>0</v>
      </c>
      <c r="H82" t="n">
        <v>0</v>
      </c>
      <c r="I82" t="n">
        <v>0</v>
      </c>
      <c r="S82">
        <f>O82*M82</f>
        <v/>
      </c>
      <c r="T82">
        <f>O82*N82</f>
        <v/>
      </c>
    </row>
    <row r="83">
      <c r="A83" t="inlineStr">
        <is>
          <t>Mutton</t>
        </is>
      </c>
      <c r="B83" t="n">
        <v>0</v>
      </c>
      <c r="C83" t="n">
        <v>0</v>
      </c>
      <c r="H83" t="n">
        <v>0</v>
      </c>
      <c r="I83" t="n">
        <v>0</v>
      </c>
      <c r="S83">
        <f>O83*M83</f>
        <v/>
      </c>
      <c r="T83">
        <f>O83*N83</f>
        <v/>
      </c>
    </row>
    <row r="84">
      <c r="A84" t="inlineStr">
        <is>
          <t>Pork</t>
        </is>
      </c>
      <c r="B84" t="n">
        <v>0</v>
      </c>
      <c r="C84" t="n">
        <v>0</v>
      </c>
      <c r="H84" t="n">
        <v>0</v>
      </c>
      <c r="I84" t="n">
        <v>0</v>
      </c>
      <c r="S84">
        <f>O84*M84</f>
        <v/>
      </c>
      <c r="T84">
        <f>O84*N84</f>
        <v/>
      </c>
    </row>
    <row r="85" ht="15.5" customHeight="1">
      <c r="A85" s="57" t="inlineStr">
        <is>
          <t xml:space="preserve">Total </t>
        </is>
      </c>
    </row>
    <row r="87" ht="15.5" customHeight="1">
      <c r="A87" s="12" t="inlineStr">
        <is>
          <t>Cheese</t>
        </is>
      </c>
    </row>
    <row r="88">
      <c r="A88" t="inlineStr">
        <is>
          <t>Winter cheese</t>
        </is>
      </c>
      <c r="B88" t="n">
        <v>0</v>
      </c>
      <c r="C88" t="n">
        <v>0</v>
      </c>
      <c r="H88" t="n">
        <v>0</v>
      </c>
      <c r="I88" t="n">
        <v>0</v>
      </c>
      <c r="S88">
        <f>O88*M88</f>
        <v/>
      </c>
      <c r="T88">
        <f>O88*N88</f>
        <v/>
      </c>
    </row>
    <row r="89">
      <c r="A89" t="inlineStr">
        <is>
          <t>Summer cheese</t>
        </is>
      </c>
      <c r="B89" t="n">
        <v>0</v>
      </c>
      <c r="C89" t="n">
        <v>0</v>
      </c>
      <c r="H89" t="n">
        <v>0</v>
      </c>
      <c r="I89" t="n">
        <v>0</v>
      </c>
      <c r="S89">
        <f>O89*M89</f>
        <v/>
      </c>
      <c r="T89">
        <f>O89*N89</f>
        <v/>
      </c>
    </row>
    <row r="90" ht="15.5" customHeight="1">
      <c r="A90" s="57" t="inlineStr">
        <is>
          <t>Total</t>
        </is>
      </c>
    </row>
    <row r="92" ht="15.5" customHeight="1">
      <c r="A92" s="12" t="inlineStr">
        <is>
          <t>Butter</t>
        </is>
      </c>
    </row>
    <row r="93">
      <c r="A93" t="inlineStr">
        <is>
          <t>Butter</t>
        </is>
      </c>
      <c r="B93" t="n">
        <v>0</v>
      </c>
      <c r="C93" t="n">
        <v>0</v>
      </c>
      <c r="H93" t="n">
        <v>0</v>
      </c>
      <c r="I93" t="n">
        <v>0</v>
      </c>
      <c r="S93">
        <f>O93*M93</f>
        <v/>
      </c>
      <c r="T93">
        <f>O93*N93</f>
        <v/>
      </c>
    </row>
    <row r="94" ht="15.5" customHeight="1">
      <c r="A94" s="57" t="inlineStr">
        <is>
          <t>Total</t>
        </is>
      </c>
    </row>
    <row r="95" ht="15.5" customHeight="1">
      <c r="A95" s="13" t="n"/>
    </row>
    <row r="96" ht="15.5" customHeight="1">
      <c r="A96" s="57" t="inlineStr">
        <is>
          <t>Total Dairy Sales</t>
        </is>
      </c>
    </row>
    <row r="99" ht="15.5" customHeight="1">
      <c r="A99" s="12" t="inlineStr">
        <is>
          <t>Cider</t>
        </is>
      </c>
      <c r="B99" t="n">
        <v>0</v>
      </c>
      <c r="C99" t="n">
        <v>0</v>
      </c>
      <c r="H99" t="n">
        <v>0</v>
      </c>
      <c r="I99" t="n">
        <v>0</v>
      </c>
    </row>
    <row r="102" ht="15.5" customHeight="1">
      <c r="A102" s="13" t="inlineStr">
        <is>
          <t>Additional Information (not necessarily useful)</t>
        </is>
      </c>
    </row>
    <row r="103" ht="15.5" customHeight="1">
      <c r="A103" s="12" t="inlineStr">
        <is>
          <t>Utensils</t>
        </is>
      </c>
    </row>
    <row r="104">
      <c r="A104" t="inlineStr">
        <is>
          <t>ploughs</t>
        </is>
      </c>
    </row>
    <row r="105">
      <c r="A105" t="inlineStr">
        <is>
          <t>carts</t>
        </is>
      </c>
    </row>
    <row r="106">
      <c r="A106" t="inlineStr">
        <is>
          <t>cart-ropes</t>
        </is>
      </c>
    </row>
    <row r="107">
      <c r="A107" t="inlineStr">
        <is>
          <t>corn baskets</t>
        </is>
      </c>
    </row>
    <row r="108">
      <c r="A108" t="inlineStr">
        <is>
          <t>seed-sacks</t>
        </is>
      </c>
    </row>
    <row r="109">
      <c r="A109" t="inlineStr">
        <is>
          <t>seed basket</t>
        </is>
      </c>
    </row>
    <row r="110">
      <c r="A110" t="inlineStr">
        <is>
          <t>locks for the doors</t>
        </is>
      </c>
    </row>
    <row r="111">
      <c r="A111" t="inlineStr">
        <is>
          <t>lead vessel</t>
        </is>
      </c>
    </row>
    <row r="112">
      <c r="A112" t="inlineStr">
        <is>
          <t>brass pots</t>
        </is>
      </c>
    </row>
    <row r="113">
      <c r="A113" t="inlineStr">
        <is>
          <t>pans</t>
        </is>
      </c>
    </row>
    <row r="114">
      <c r="A114" t="inlineStr">
        <is>
          <t>tripods</t>
        </is>
      </c>
    </row>
    <row r="115">
      <c r="A115" t="inlineStr">
        <is>
          <t>mortar</t>
        </is>
      </c>
    </row>
    <row r="116">
      <c r="A116" t="inlineStr">
        <is>
          <t>axe</t>
        </is>
      </c>
    </row>
    <row r="117">
      <c r="A117" t="inlineStr">
        <is>
          <t>casks</t>
        </is>
      </c>
    </row>
    <row r="118">
      <c r="A118" t="inlineStr">
        <is>
          <t>tubs</t>
        </is>
      </c>
    </row>
    <row r="119">
      <c r="A119" t="inlineStr">
        <is>
          <t>troughs</t>
        </is>
      </c>
    </row>
    <row r="120">
      <c r="A120" t="inlineStr">
        <is>
          <t>bucket</t>
        </is>
      </c>
    </row>
    <row r="121">
      <c r="A121" t="inlineStr">
        <is>
          <t>cheese basket</t>
        </is>
      </c>
    </row>
    <row r="122">
      <c r="A122" t="inlineStr">
        <is>
          <t>tables</t>
        </is>
      </c>
    </row>
    <row r="123">
      <c r="A123" t="inlineStr">
        <is>
          <t>table with trestles</t>
        </is>
      </c>
    </row>
    <row r="124">
      <c r="A124" t="inlineStr">
        <is>
          <t>benches</t>
        </is>
      </c>
    </row>
    <row r="125">
      <c r="A125" t="inlineStr">
        <is>
          <t>ewer with a basin</t>
        </is>
      </c>
    </row>
    <row r="126">
      <c r="A126" t="inlineStr">
        <is>
          <t>ladders</t>
        </is>
      </c>
    </row>
    <row r="127">
      <c r="A127" t="inlineStr">
        <is>
          <t>cloth</t>
        </is>
      </c>
    </row>
    <row r="128">
      <c r="A128" t="inlineStr">
        <is>
          <t>brass posnets</t>
        </is>
      </c>
    </row>
  </sheetData>
  <mergeCells count="2">
    <mergeCell ref="C3:F3"/>
    <mergeCell ref="G3:J3"/>
  </mergeCells>
  <pageMargins left="0.75" right="0.75" top="1" bottom="1" header="0.5" footer="0.5"/>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AH273"/>
  <sheetViews>
    <sheetView workbookViewId="0">
      <selection activeCell="A1" sqref="A1"/>
    </sheetView>
  </sheetViews>
  <sheetFormatPr baseColWidth="8" defaultRowHeight="15"/>
  <sheetData>
    <row r="1">
      <c r="A1" t="inlineStr">
        <is>
          <t>Heading</t>
        </is>
      </c>
      <c r="B1" t="inlineStr">
        <is>
          <t>Sentence</t>
        </is>
      </c>
      <c r="C1" t="inlineStr">
        <is>
          <t>Total in Pounds</t>
        </is>
      </c>
      <c r="D1" t="inlineStr">
        <is>
          <t>Pounds</t>
        </is>
      </c>
      <c r="E1" t="inlineStr">
        <is>
          <t>Shillings</t>
        </is>
      </c>
      <c r="F1" t="inlineStr">
        <is>
          <t>Pence</t>
        </is>
      </c>
      <c r="G1" t="inlineStr">
        <is>
          <t>Corn</t>
        </is>
      </c>
      <c r="H1" t="inlineStr">
        <is>
          <t>Total Quarters Except 1</t>
        </is>
      </c>
      <c r="I1" t="inlineStr">
        <is>
          <t>Total Bushels Except 1</t>
        </is>
      </c>
      <c r="J1" t="inlineStr">
        <is>
          <t>Total Corn Cross-Check</t>
        </is>
      </c>
      <c r="K1" t="inlineStr">
        <is>
          <t>Total Corn Manorial Account</t>
        </is>
      </c>
      <c r="L1" t="inlineStr">
        <is>
          <t>Corn Quantity Error</t>
        </is>
      </c>
      <c r="M1" t="inlineStr">
        <is>
          <t>Quarters 1</t>
        </is>
      </c>
      <c r="N1" t="inlineStr">
        <is>
          <t>Bushels 1</t>
        </is>
      </c>
      <c r="O1" t="inlineStr">
        <is>
          <t>Quarters 2</t>
        </is>
      </c>
      <c r="P1" t="inlineStr">
        <is>
          <t>Bushels 2</t>
        </is>
      </c>
      <c r="Q1" t="inlineStr">
        <is>
          <t>Quarters 3</t>
        </is>
      </c>
      <c r="R1" t="inlineStr">
        <is>
          <t>Bushels 3</t>
        </is>
      </c>
      <c r="S1" t="inlineStr">
        <is>
          <t>shilling a quarter 1</t>
        </is>
      </c>
      <c r="T1" t="inlineStr">
        <is>
          <t>pence a quarter 1</t>
        </is>
      </c>
      <c r="U1" t="inlineStr">
        <is>
          <t>shilling a quarter 2</t>
        </is>
      </c>
      <c r="V1" t="inlineStr">
        <is>
          <t>pence a quarter 2</t>
        </is>
      </c>
      <c r="W1" t="inlineStr">
        <is>
          <t>shilling a quarter 3</t>
        </is>
      </c>
      <c r="X1" t="inlineStr">
        <is>
          <t>pence a quarter 3</t>
        </is>
      </c>
      <c r="Y1" t="inlineStr">
        <is>
          <t>shilling a quarter 4</t>
        </is>
      </c>
      <c r="Z1" t="inlineStr">
        <is>
          <t>pence a quarter 4</t>
        </is>
      </c>
      <c r="AA1" t="inlineStr">
        <is>
          <t>shilling a bushel 1</t>
        </is>
      </c>
      <c r="AB1" t="inlineStr">
        <is>
          <t>pence a bushel 1</t>
        </is>
      </c>
      <c r="AC1" t="inlineStr">
        <is>
          <t>shilling a bushel 2</t>
        </is>
      </c>
      <c r="AD1" t="inlineStr">
        <is>
          <t>pence a bushel 2</t>
        </is>
      </c>
      <c r="AE1" t="inlineStr">
        <is>
          <t>shilling a bushel 3</t>
        </is>
      </c>
      <c r="AF1" t="inlineStr">
        <is>
          <t>pence a bushel 3</t>
        </is>
      </c>
      <c r="AG1" t="inlineStr">
        <is>
          <t>shilling a bushel 4</t>
        </is>
      </c>
      <c r="AH1" t="inlineStr">
        <is>
          <t>pence a bushel 4</t>
        </is>
      </c>
    </row>
    <row r="2">
      <c r="A2" t="inlineStr">
        <is>
          <t>33. 29 september 1342 to 29 september 1343</t>
        </is>
      </c>
      <c r="B2" t="inlineStr">
        <is>
          <t>in 1342/3, five years after becoming the first duke of cornwall and in the year that he became the first prince of wales, the 12–13 year old edward de woodstock – later styled the black prince – stayed overnight at esher.</t>
        </is>
      </c>
      <c r="C2" t="n">
        <v>0</v>
      </c>
      <c r="D2" t="n">
        <v>0</v>
      </c>
      <c r="E2" t="n">
        <v>0</v>
      </c>
      <c r="F2" t="n">
        <v>0</v>
      </c>
      <c r="H2" t="n">
        <v>0</v>
      </c>
      <c r="I2" t="n">
        <v>0</v>
      </c>
      <c r="J2" t="n">
        <v>0</v>
      </c>
      <c r="K2" t="n">
        <v>0</v>
      </c>
      <c r="L2" t="n">
        <v>0</v>
      </c>
      <c r="M2" t="n">
        <v>0</v>
      </c>
      <c r="N2" t="n">
        <v>0</v>
      </c>
    </row>
    <row r="3">
      <c r="A3" t="inlineStr">
        <is>
          <t>33. 29 september 1342 to 29 september 1343</t>
        </is>
      </c>
      <c r="B3" t="inlineStr">
        <is>
          <t>he was not the only guest for, once again, the earl of surrey visited.</t>
        </is>
      </c>
      <c r="C3" t="n">
        <v>0</v>
      </c>
      <c r="D3" t="n">
        <v>0</v>
      </c>
      <c r="E3" t="n">
        <v>0</v>
      </c>
      <c r="F3" t="n">
        <v>0</v>
      </c>
      <c r="H3" t="n">
        <v>0</v>
      </c>
      <c r="I3" t="n">
        <v>0</v>
      </c>
      <c r="J3" t="n">
        <v>0</v>
      </c>
      <c r="K3" t="n">
        <v>0</v>
      </c>
      <c r="L3" t="n">
        <v>0</v>
      </c>
      <c r="M3" t="n">
        <v>0</v>
      </c>
      <c r="N3" t="n">
        <v>0</v>
      </c>
    </row>
    <row r="4">
      <c r="A4" t="inlineStr">
        <is>
          <t>33. 29 september 1342 to 29 september 1343</t>
        </is>
      </c>
      <c r="B4" t="inlineStr">
        <is>
          <t>the provisioning of visiting households such as these must have complicated the lives of manorial officials, and this account provides details about their differing needs and the arrangements put into place for meeting them.</t>
        </is>
      </c>
      <c r="C4" t="n">
        <v>0</v>
      </c>
      <c r="D4" t="n">
        <v>0</v>
      </c>
      <c r="E4" t="n">
        <v>0</v>
      </c>
      <c r="F4" t="n">
        <v>0</v>
      </c>
      <c r="H4" t="n">
        <v>0</v>
      </c>
      <c r="I4" t="n">
        <v>0</v>
      </c>
      <c r="J4" t="n">
        <v>0</v>
      </c>
      <c r="K4" t="n">
        <v>0</v>
      </c>
      <c r="L4" t="n">
        <v>0</v>
      </c>
      <c r="M4" t="n">
        <v>0</v>
      </c>
      <c r="N4" t="n">
        <v>0</v>
      </c>
    </row>
    <row r="5">
      <c r="A5" t="inlineStr">
        <is>
          <t>33. 29 september 1342 to 29 september 1343</t>
        </is>
      </c>
      <c r="B5" t="inlineStr">
        <is>
          <t>the account also situates esher in a number of other contexts, which together illustrate the diversity of forces to which managers of medieval manors and demesnes were expected to respond.</t>
        </is>
      </c>
      <c r="C5" t="n">
        <v>0</v>
      </c>
      <c r="D5" t="n">
        <v>0</v>
      </c>
      <c r="E5" t="n">
        <v>0</v>
      </c>
      <c r="F5" t="n">
        <v>0</v>
      </c>
      <c r="H5" t="n">
        <v>0</v>
      </c>
      <c r="I5" t="n">
        <v>0</v>
      </c>
      <c r="J5" t="n">
        <v>0</v>
      </c>
      <c r="K5" t="n">
        <v>0</v>
      </c>
      <c r="L5" t="n">
        <v>0</v>
      </c>
      <c r="M5" t="n">
        <v>0</v>
      </c>
      <c r="N5" t="n">
        <v>0</v>
      </c>
    </row>
    <row r="6">
      <c r="A6" t="inlineStr">
        <is>
          <t>33. 29 september 1342 to 29 september 1343</t>
        </is>
      </c>
      <c r="B6" t="inlineStr">
        <is>
          <t>locally, for instance, it highlights the power of custom in medieval society: although of low social standing, customary tenants were knowledgeable and assertive about their obligations, refusing on this occasion to shear demesne sheep on land that was not part of the ancient fee of esher.</t>
        </is>
      </c>
      <c r="C6" t="n">
        <v>0</v>
      </c>
      <c r="D6" t="n">
        <v>0</v>
      </c>
      <c r="E6" t="n">
        <v>0</v>
      </c>
      <c r="F6" t="n">
        <v>0</v>
      </c>
      <c r="H6" t="n">
        <v>0</v>
      </c>
      <c r="I6" t="n">
        <v>0</v>
      </c>
      <c r="J6" t="n">
        <v>0</v>
      </c>
      <c r="K6" t="n">
        <v>0</v>
      </c>
      <c r="L6" t="n">
        <v>0</v>
      </c>
      <c r="M6" t="n">
        <v>0</v>
      </c>
      <c r="N6" t="n">
        <v>0</v>
      </c>
    </row>
    <row r="7">
      <c r="A7" t="inlineStr">
        <is>
          <t>33. 29 september 1342 to 29 september 1343</t>
        </is>
      </c>
      <c r="B7" t="inlineStr">
        <is>
          <t>we also see the manor within a regional economic framework, especially with regard to sheep farming: wool was carried to farnham.</t>
        </is>
      </c>
      <c r="C7" t="n">
        <v>0</v>
      </c>
      <c r="D7" t="n">
        <v>0</v>
      </c>
      <c r="E7" t="n">
        <v>0</v>
      </c>
      <c r="F7" t="n">
        <v>0</v>
      </c>
      <c r="H7" t="n">
        <v>0</v>
      </c>
      <c r="I7" t="n">
        <v>0</v>
      </c>
      <c r="J7" t="n">
        <v>0</v>
      </c>
      <c r="K7" t="n">
        <v>0</v>
      </c>
      <c r="L7" t="n">
        <v>0</v>
      </c>
      <c r="M7" t="n">
        <v>0</v>
      </c>
      <c r="N7" t="n">
        <v>0</v>
      </c>
    </row>
    <row r="8">
      <c r="A8" t="inlineStr">
        <is>
          <t>33. 29 september 1342 to 29 september 1343</t>
        </is>
      </c>
      <c r="B8" t="inlineStr">
        <is>
          <t>hoggets were driven to bishop's sutton (hants.).</t>
        </is>
      </c>
      <c r="C8" t="n">
        <v>0</v>
      </c>
      <c r="D8" t="n">
        <v>0</v>
      </c>
      <c r="E8" t="n">
        <v>0</v>
      </c>
      <c r="F8" t="n">
        <v>0</v>
      </c>
      <c r="H8" t="n">
        <v>0</v>
      </c>
      <c r="I8" t="n">
        <v>0</v>
      </c>
      <c r="J8" t="n">
        <v>0</v>
      </c>
      <c r="K8" t="n">
        <v>0</v>
      </c>
      <c r="L8" t="n">
        <v>0</v>
      </c>
      <c r="M8" t="n">
        <v>0</v>
      </c>
      <c r="N8" t="n">
        <v>0</v>
      </c>
    </row>
    <row r="9">
      <c r="A9" t="inlineStr">
        <is>
          <t>33. 29 september 1342 to 29 september 1343</t>
        </is>
      </c>
      <c r="B9" t="inlineStr">
        <is>
          <t>while lambs were received from other manors in hampshire, alresford, cheriton, and yateley.</t>
        </is>
      </c>
      <c r="C9" t="n">
        <v>0</v>
      </c>
      <c r="D9" t="n">
        <v>0</v>
      </c>
      <c r="E9" t="n">
        <v>0</v>
      </c>
      <c r="F9" t="n">
        <v>0</v>
      </c>
      <c r="H9" t="n">
        <v>0</v>
      </c>
      <c r="I9" t="n">
        <v>0</v>
      </c>
      <c r="J9" t="n">
        <v>0</v>
      </c>
      <c r="K9" t="n">
        <v>0</v>
      </c>
      <c r="L9" t="n">
        <v>0</v>
      </c>
      <c r="M9" t="n">
        <v>0</v>
      </c>
      <c r="N9" t="n">
        <v>0</v>
      </c>
    </row>
    <row r="10">
      <c r="A10" t="inlineStr">
        <is>
          <t>33. 29 september 1342 to 29 september 1343</t>
        </is>
      </c>
      <c r="B10" t="inlineStr">
        <is>
          <t>these extensive transfers of sheep were plausibly connected to outbreaks of disease, for almost half of the lambs that had been born in the spring of 1342 died before they could be shorn in the summer of 1343, and several others are described as being 'exceedingly scabious'.</t>
        </is>
      </c>
      <c r="C10" t="n">
        <v>0</v>
      </c>
      <c r="D10" t="n">
        <v>0</v>
      </c>
      <c r="E10" t="n">
        <v>0</v>
      </c>
      <c r="F10" t="n">
        <v>0</v>
      </c>
      <c r="H10" t="n">
        <v>0</v>
      </c>
      <c r="I10" t="n">
        <v>0</v>
      </c>
      <c r="J10" t="n">
        <v>0</v>
      </c>
      <c r="K10" t="n">
        <v>0</v>
      </c>
      <c r="L10" t="n">
        <v>0</v>
      </c>
      <c r="M10" t="n">
        <v>0</v>
      </c>
      <c r="N10" t="n">
        <v>0</v>
      </c>
    </row>
    <row r="11">
      <c r="A11" t="inlineStr">
        <is>
          <t>33. 29 september 1342 to 29 september 1343</t>
        </is>
      </c>
      <c r="B11" t="inlineStr">
        <is>
          <t>environmental concerns for farm managers at esher were not restricted to this, for the summer of 1343 also brought a 'multitude of vermin in the [...] dovecot and breeding in the garden'.</t>
        </is>
      </c>
      <c r="C11" t="n">
        <v>0</v>
      </c>
      <c r="D11" t="n">
        <v>0</v>
      </c>
      <c r="E11" t="n">
        <v>0</v>
      </c>
      <c r="F11" t="n">
        <v>0</v>
      </c>
      <c r="H11" t="n">
        <v>0</v>
      </c>
      <c r="I11" t="n">
        <v>0</v>
      </c>
      <c r="J11" t="n">
        <v>0</v>
      </c>
      <c r="K11" t="n">
        <v>0</v>
      </c>
      <c r="L11" t="n">
        <v>0</v>
      </c>
      <c r="M11" t="n">
        <v>0</v>
      </c>
      <c r="N11" t="n">
        <v>0</v>
      </c>
    </row>
    <row r="12">
      <c r="A12" t="inlineStr">
        <is>
          <t>33. 29 september 1342 to 29 september 1343</t>
        </is>
      </c>
      <c r="B12" t="inlineStr">
        <is>
          <t>this is the first of three references to vermin in the esher accounts in the years 1342/3–135.5. the term vermin covers a range of animals, including polecats, foxes, mice, rats, and some birds.</t>
        </is>
      </c>
      <c r="C12" t="n">
        <v>0</v>
      </c>
      <c r="D12" t="n">
        <v>0</v>
      </c>
      <c r="E12" t="n">
        <v>0</v>
      </c>
      <c r="F12" t="n">
        <v>0</v>
      </c>
      <c r="H12" t="n">
        <v>0</v>
      </c>
      <c r="I12" t="n">
        <v>0</v>
      </c>
      <c r="J12" t="n">
        <v>0</v>
      </c>
      <c r="K12" t="n">
        <v>0</v>
      </c>
      <c r="L12" t="n">
        <v>0</v>
      </c>
      <c r="M12" t="n">
        <v>0</v>
      </c>
      <c r="N12" t="n">
        <v>0</v>
      </c>
    </row>
    <row r="13">
      <c r="A13" t="inlineStr">
        <is>
          <t>33. 29 september 1342 to 29 september 1343</t>
        </is>
      </c>
      <c r="B13" t="inlineStr">
        <is>
          <t>although it might be tempting, in the decade of the black death, to interpret this reference as an infestation of rats, medieval black rats do not seem to have behaved in such a predatory fashion (unlike brown rats, which arrived in england several centuries later).</t>
        </is>
      </c>
      <c r="C13" t="n">
        <v>0</v>
      </c>
      <c r="D13" t="n">
        <v>0</v>
      </c>
      <c r="E13" t="n">
        <v>0</v>
      </c>
      <c r="F13" t="n">
        <v>0</v>
      </c>
      <c r="H13" t="n">
        <v>0</v>
      </c>
      <c r="I13" t="n">
        <v>0</v>
      </c>
      <c r="J13" t="n">
        <v>0</v>
      </c>
      <c r="K13" t="n">
        <v>0</v>
      </c>
      <c r="L13" t="n">
        <v>0</v>
      </c>
      <c r="M13" t="n">
        <v>0</v>
      </c>
      <c r="N13" t="n">
        <v>0</v>
      </c>
    </row>
    <row r="14">
      <c r="A14" t="inlineStr">
        <is>
          <t>33. 29 september 1342 to 29 september 1343</t>
        </is>
      </c>
      <c r="B14" t="inlineStr">
        <is>
          <t>however, it would not be unreasonable to conclude, less specifically but just as significantly, that environmental conditions at this time seem to have favoured an increase in pests.</t>
        </is>
      </c>
      <c r="C14" t="n">
        <v>0</v>
      </c>
      <c r="D14" t="n">
        <v>0</v>
      </c>
      <c r="E14" t="n">
        <v>0</v>
      </c>
      <c r="F14" t="n">
        <v>0</v>
      </c>
      <c r="H14" t="n">
        <v>0</v>
      </c>
      <c r="I14" t="n">
        <v>0</v>
      </c>
      <c r="J14" t="n">
        <v>0</v>
      </c>
      <c r="K14" t="n">
        <v>0</v>
      </c>
      <c r="L14" t="n">
        <v>0</v>
      </c>
      <c r="M14" t="n">
        <v>0</v>
      </c>
      <c r="N14" t="n">
        <v>0</v>
      </c>
    </row>
    <row r="15">
      <c r="A15" t="inlineStr">
        <is>
          <t>33. 29 september 1342 to 29 september 1343</t>
        </is>
      </c>
      <c r="B15" t="inlineStr">
        <is>
          <t>hro, 11m59/b1/95, rot 26r, 26v.</t>
        </is>
      </c>
      <c r="C15" t="n">
        <v>0</v>
      </c>
      <c r="D15" t="n">
        <v>0</v>
      </c>
      <c r="E15" t="n">
        <v>0</v>
      </c>
      <c r="F15" t="n">
        <v>0</v>
      </c>
      <c r="H15" t="n">
        <v>0</v>
      </c>
      <c r="I15" t="n">
        <v>0</v>
      </c>
      <c r="J15" t="n">
        <v>0</v>
      </c>
      <c r="K15" t="n">
        <v>0</v>
      </c>
      <c r="L15" t="n">
        <v>0</v>
      </c>
      <c r="M15" t="n">
        <v>0</v>
      </c>
      <c r="N15" t="n">
        <v>0</v>
      </c>
    </row>
    <row r="16">
      <c r="A16" t="inlineStr">
        <is>
          <t>33. 29 september 1342 to 29 september 1343</t>
        </is>
      </c>
      <c r="B16" t="inlineStr">
        <is>
          <t>account of richard sewyne, reeve there, from the feast of st michael in the ninth year from the translation of lord adam, bishop of winchester, until the feast of st michael in the 10th year from the translation of the same bishop, for one whole year.</t>
        </is>
      </c>
      <c r="C16" t="n">
        <v>0</v>
      </c>
      <c r="D16" t="n">
        <v>0</v>
      </c>
      <c r="E16" t="n">
        <v>0</v>
      </c>
      <c r="F16" t="n">
        <v>0</v>
      </c>
      <c r="H16" t="n">
        <v>0</v>
      </c>
      <c r="I16" t="n">
        <v>0</v>
      </c>
      <c r="J16" t="n">
        <v>0</v>
      </c>
      <c r="K16" t="n">
        <v>0</v>
      </c>
      <c r="L16" t="n">
        <v>0</v>
      </c>
      <c r="M16" t="n">
        <v>0</v>
      </c>
      <c r="N16" t="n">
        <v>0</v>
      </c>
    </row>
    <row r="17">
      <c r="A17" t="inlineStr">
        <is>
          <t>33. 29 september 1342 to 29 september 1343</t>
        </is>
      </c>
      <c r="B17" t="inlineStr">
        <is>
          <t>--- page 2 ---.</t>
        </is>
      </c>
      <c r="C17" t="n">
        <v>0</v>
      </c>
      <c r="D17" t="n">
        <v>0</v>
      </c>
      <c r="E17" t="n">
        <v>0</v>
      </c>
      <c r="F17" t="n">
        <v>0</v>
      </c>
      <c r="H17" t="n">
        <v>0</v>
      </c>
      <c r="I17" t="n">
        <v>0</v>
      </c>
      <c r="J17" t="n">
        <v>0</v>
      </c>
      <c r="K17" t="n">
        <v>0</v>
      </c>
      <c r="L17" t="n">
        <v>0</v>
      </c>
      <c r="M17" t="n">
        <v>0</v>
      </c>
      <c r="N17" t="n">
        <v>0</v>
      </c>
    </row>
    <row r="18">
      <c r="A18" t="inlineStr">
        <is>
          <t>arrears</t>
        </is>
      </c>
      <c r="B18" t="inlineStr">
        <is>
          <t>richard sewyne, reeve, answers for 29 shilling 6¼d received from arrears from the account for the preceding year.</t>
        </is>
      </c>
      <c r="C18" t="n">
        <v>1.45</v>
      </c>
      <c r="D18" t="n">
        <v>0</v>
      </c>
      <c r="E18" t="n">
        <v>29</v>
      </c>
      <c r="F18" t="n">
        <v>0</v>
      </c>
      <c r="H18" t="n">
        <v>0</v>
      </c>
      <c r="I18" t="n">
        <v>0</v>
      </c>
      <c r="J18" t="n">
        <v>0</v>
      </c>
      <c r="K18" t="n">
        <v>0</v>
      </c>
      <c r="L18" t="n">
        <v>0</v>
      </c>
      <c r="M18" t="n">
        <v>0</v>
      </c>
      <c r="N18" t="n">
        <v>0</v>
      </c>
    </row>
    <row r="19">
      <c r="A19" t="inlineStr">
        <is>
          <t>arrears</t>
        </is>
      </c>
      <c r="B19" t="inlineStr">
        <is>
          <t>sum 29 shilling 6¼d.</t>
        </is>
      </c>
      <c r="C19" t="n">
        <v>1.45</v>
      </c>
      <c r="D19" t="n">
        <v>0</v>
      </c>
      <c r="E19" t="n">
        <v>29</v>
      </c>
      <c r="F19" t="n">
        <v>0</v>
      </c>
      <c r="H19" t="n">
        <v>0</v>
      </c>
      <c r="I19" t="n">
        <v>0</v>
      </c>
      <c r="J19" t="n">
        <v>0</v>
      </c>
      <c r="K19" t="n">
        <v>0</v>
      </c>
      <c r="L19" t="n">
        <v>0</v>
      </c>
      <c r="M19" t="n">
        <v>0</v>
      </c>
      <c r="N19" t="n">
        <v>0</v>
      </c>
    </row>
    <row r="20">
      <c r="A20" t="inlineStr">
        <is>
          <t>rent of assize</t>
        </is>
      </c>
      <c r="B20" t="inlineStr">
        <is>
          <t>the same richard answers for £6 22½d from fixed rent there for the year, of which 10 shilling 3 pence at the feast of the invention of the cross [3 may] and the remainder at the feast of st michael.</t>
        </is>
      </c>
      <c r="C20" t="n">
        <v>6</v>
      </c>
      <c r="D20" t="n">
        <v>6</v>
      </c>
      <c r="E20" t="n">
        <v>0</v>
      </c>
      <c r="F20" t="n">
        <v>0</v>
      </c>
      <c r="H20" t="n">
        <v>0</v>
      </c>
      <c r="I20" t="n">
        <v>0</v>
      </c>
      <c r="J20" t="n">
        <v>0</v>
      </c>
      <c r="K20" t="n">
        <v>0</v>
      </c>
      <c r="L20" t="n">
        <v>0</v>
      </c>
      <c r="M20" t="n">
        <v>0</v>
      </c>
      <c r="N20" t="n">
        <v>0</v>
      </c>
    </row>
    <row r="21">
      <c r="A21" t="inlineStr">
        <is>
          <t>rent of assize</t>
        </is>
      </c>
      <c r="B21" t="inlineStr">
        <is>
          <t>sum £6 22½d.</t>
        </is>
      </c>
      <c r="C21" t="n">
        <v>6</v>
      </c>
      <c r="D21" t="n">
        <v>6</v>
      </c>
      <c r="E21" t="n">
        <v>0</v>
      </c>
      <c r="F21" t="n">
        <v>0</v>
      </c>
      <c r="H21" t="n">
        <v>0</v>
      </c>
      <c r="I21" t="n">
        <v>0</v>
      </c>
      <c r="J21" t="n">
        <v>0</v>
      </c>
      <c r="K21" t="n">
        <v>0</v>
      </c>
      <c r="L21" t="n">
        <v>0</v>
      </c>
      <c r="M21" t="n">
        <v>0</v>
      </c>
      <c r="N21" t="n">
        <v>0</v>
      </c>
    </row>
    <row r="22">
      <c r="A22" t="inlineStr">
        <is>
          <t>acquitances</t>
        </is>
      </c>
      <c r="B22" t="inlineStr">
        <is>
          <t>of which in acquittance of one reeve for the year 10 shilling, who said that none did customary works.</t>
        </is>
      </c>
      <c r="C22" t="n">
        <v>0.5</v>
      </c>
      <c r="D22" t="n">
        <v>0</v>
      </c>
      <c r="E22" t="n">
        <v>10</v>
      </c>
      <c r="F22" t="n">
        <v>0</v>
      </c>
      <c r="H22" t="n">
        <v>0</v>
      </c>
      <c r="I22" t="n">
        <v>0</v>
      </c>
      <c r="J22" t="n">
        <v>0</v>
      </c>
      <c r="K22" t="n">
        <v>0</v>
      </c>
      <c r="L22" t="n">
        <v>0</v>
      </c>
      <c r="M22" t="n">
        <v>0</v>
      </c>
      <c r="N22" t="n">
        <v>0</v>
      </c>
    </row>
    <row r="23">
      <c r="A23" t="inlineStr">
        <is>
          <t>acquitances</t>
        </is>
      </c>
      <c r="B23" t="inlineStr">
        <is>
          <t>sum 10 shilling.</t>
        </is>
      </c>
      <c r="C23" t="n">
        <v>0.5</v>
      </c>
      <c r="D23" t="n">
        <v>0</v>
      </c>
      <c r="E23" t="n">
        <v>10</v>
      </c>
      <c r="F23" t="n">
        <v>0</v>
      </c>
      <c r="H23" t="n">
        <v>0</v>
      </c>
      <c r="I23" t="n">
        <v>0</v>
      </c>
      <c r="J23" t="n">
        <v>0</v>
      </c>
      <c r="K23" t="n">
        <v>0</v>
      </c>
      <c r="L23" t="n">
        <v>0</v>
      </c>
      <c r="M23" t="n">
        <v>0</v>
      </c>
      <c r="N23" t="n">
        <v>0</v>
      </c>
    </row>
    <row r="24">
      <c r="A24" t="inlineStr">
        <is>
          <t>defects of rent</t>
        </is>
      </c>
      <c r="B24" t="inlineStr">
        <is>
          <t>of which he accounts for defect of rent for a certain house and land pertaining to the church drawn into demesne 20 shilling.</t>
        </is>
      </c>
      <c r="C24" t="n">
        <v>1</v>
      </c>
      <c r="D24" t="n">
        <v>0</v>
      </c>
      <c r="E24" t="n">
        <v>20</v>
      </c>
      <c r="F24" t="n">
        <v>0</v>
      </c>
      <c r="H24" t="n">
        <v>0</v>
      </c>
      <c r="I24" t="n">
        <v>0</v>
      </c>
      <c r="J24" t="n">
        <v>0</v>
      </c>
      <c r="K24" t="n">
        <v>0</v>
      </c>
      <c r="L24" t="n">
        <v>0</v>
      </c>
      <c r="M24" t="n">
        <v>0</v>
      </c>
      <c r="N24" t="n">
        <v>0</v>
      </c>
    </row>
    <row r="25">
      <c r="A25" t="inlineStr">
        <is>
          <t>defects of rent</t>
        </is>
      </c>
      <c r="B25" t="inlineStr">
        <is>
          <t>defect of rent for 1 rood of meadow formerly of legarda drawn into demesne 1pence.</t>
        </is>
      </c>
      <c r="C25" t="n">
        <v>0</v>
      </c>
      <c r="D25" t="n">
        <v>0</v>
      </c>
      <c r="E25" t="n">
        <v>0</v>
      </c>
      <c r="F25" t="n">
        <v>1</v>
      </c>
      <c r="H25" t="n">
        <v>0</v>
      </c>
      <c r="I25" t="n">
        <v>0</v>
      </c>
      <c r="J25" t="n">
        <v>0</v>
      </c>
      <c r="K25" t="n">
        <v>0</v>
      </c>
      <c r="L25" t="n">
        <v>0</v>
      </c>
      <c r="M25" t="n">
        <v>0</v>
      </c>
      <c r="N25" t="n">
        <v>0</v>
      </c>
    </row>
    <row r="26">
      <c r="A26" t="inlineStr">
        <is>
          <t>defects of rent</t>
        </is>
      </c>
      <c r="B26" t="inlineStr">
        <is>
          <t>defect for 1 rood of meadow formerly of albreda atte hulle drawn into demesne 1pence sum 20 shilling 2pence.</t>
        </is>
      </c>
      <c r="C26" t="n">
        <v>1</v>
      </c>
      <c r="D26" t="n">
        <v>0</v>
      </c>
      <c r="E26" t="n">
        <v>20</v>
      </c>
      <c r="F26" t="n">
        <v>1</v>
      </c>
      <c r="H26" t="n">
        <v>0</v>
      </c>
      <c r="I26" t="n">
        <v>0</v>
      </c>
      <c r="J26" t="n">
        <v>0</v>
      </c>
      <c r="K26" t="n">
        <v>0</v>
      </c>
      <c r="L26" t="n">
        <v>0</v>
      </c>
      <c r="M26" t="n">
        <v>0</v>
      </c>
      <c r="N26" t="n">
        <v>0</v>
      </c>
    </row>
    <row r="27">
      <c r="A27" t="inlineStr">
        <is>
          <t>defects of rent</t>
        </is>
      </c>
      <c r="B27" t="inlineStr">
        <is>
          <t>&lt;i&gt;sum of acquittances and defects 30 shilling 2pence sum of net rent remaining £4 11 shilling 8½d.&lt;/i&gt;.</t>
        </is>
      </c>
      <c r="C27" t="n">
        <v>4.55</v>
      </c>
      <c r="D27" t="n">
        <v>4</v>
      </c>
      <c r="E27" t="n">
        <v>11</v>
      </c>
      <c r="F27" t="n">
        <v>0</v>
      </c>
      <c r="H27" t="n">
        <v>0</v>
      </c>
      <c r="I27" t="n">
        <v>0</v>
      </c>
      <c r="J27" t="n">
        <v>0</v>
      </c>
      <c r="K27" t="n">
        <v>0</v>
      </c>
      <c r="L27" t="n">
        <v>0</v>
      </c>
      <c r="M27" t="n">
        <v>0</v>
      </c>
      <c r="N27" t="n">
        <v>0</v>
      </c>
    </row>
    <row r="28">
      <c r="A28" t="inlineStr">
        <is>
          <t>rent of kingston</t>
        </is>
      </c>
      <c r="B28" t="inlineStr">
        <is>
          <t>the same answers for 2 shilling from one plot of land in the curtilage at kingston newly leased.</t>
        </is>
      </c>
      <c r="C28" t="n">
        <v>0.1</v>
      </c>
      <c r="D28" t="n">
        <v>0</v>
      </c>
      <c r="E28" t="n">
        <v>2</v>
      </c>
      <c r="F28" t="n">
        <v>0</v>
      </c>
      <c r="H28" t="n">
        <v>0</v>
      </c>
      <c r="I28" t="n">
        <v>0</v>
      </c>
      <c r="J28" t="n">
        <v>0</v>
      </c>
      <c r="K28" t="n">
        <v>0</v>
      </c>
      <c r="L28" t="n">
        <v>0</v>
      </c>
      <c r="M28" t="n">
        <v>0</v>
      </c>
      <c r="N28" t="n">
        <v>0</v>
      </c>
    </row>
    <row r="29">
      <c r="A29" t="inlineStr">
        <is>
          <t>rent of kingston</t>
        </is>
      </c>
      <c r="B29" t="inlineStr">
        <is>
          <t>and for 2 shilling from rent from william de maldon at the terms of easter and michaelmas for one plot of land there measuring in length 7 perches and 3 feet and in width 7 perches and 1 foot.</t>
        </is>
      </c>
      <c r="C29" t="n">
        <v>0.1</v>
      </c>
      <c r="D29" t="n">
        <v>0</v>
      </c>
      <c r="E29" t="n">
        <v>2</v>
      </c>
      <c r="F29" t="n">
        <v>0</v>
      </c>
      <c r="H29" t="n">
        <v>0</v>
      </c>
      <c r="I29" t="n">
        <v>0</v>
      </c>
      <c r="J29" t="n">
        <v>0</v>
      </c>
      <c r="K29" t="n">
        <v>0</v>
      </c>
      <c r="L29" t="n">
        <v>0</v>
      </c>
      <c r="M29" t="n">
        <v>0</v>
      </c>
      <c r="N29" t="n">
        <v>0</v>
      </c>
    </row>
    <row r="30">
      <c r="A30" t="inlineStr">
        <is>
          <t>rent of kingston</t>
        </is>
      </c>
      <c r="B30" t="inlineStr">
        <is>
          <t>sum 4 shilling.</t>
        </is>
      </c>
      <c r="C30" t="n">
        <v>0.2</v>
      </c>
      <c r="D30" t="n">
        <v>0</v>
      </c>
      <c r="E30" t="n">
        <v>4</v>
      </c>
      <c r="F30" t="n">
        <v>0</v>
      </c>
      <c r="H30" t="n">
        <v>0</v>
      </c>
      <c r="I30" t="n">
        <v>0</v>
      </c>
      <c r="J30" t="n">
        <v>0</v>
      </c>
      <c r="K30" t="n">
        <v>0</v>
      </c>
      <c r="L30" t="n">
        <v>0</v>
      </c>
      <c r="M30" t="n">
        <v>0</v>
      </c>
      <c r="N30" t="n">
        <v>0</v>
      </c>
    </row>
    <row r="31">
      <c r="A31" t="inlineStr">
        <is>
          <t>issue of the manor</t>
        </is>
      </c>
      <c r="B31" t="inlineStr">
        <is>
          <t>the same accounts for 15 pence received from 5 cocks and 5 hens owing from ‘churchscot’ sold, price of each 1½d.</t>
        </is>
      </c>
      <c r="C31" t="n">
        <v>0.06</v>
      </c>
      <c r="D31" t="n">
        <v>0</v>
      </c>
      <c r="E31" t="n">
        <v>0</v>
      </c>
      <c r="F31" t="n">
        <v>15</v>
      </c>
      <c r="H31" t="n">
        <v>0</v>
      </c>
      <c r="I31" t="n">
        <v>0</v>
      </c>
      <c r="J31" t="n">
        <v>0</v>
      </c>
      <c r="K31" t="n">
        <v>0</v>
      </c>
      <c r="L31" t="n">
        <v>0</v>
      </c>
      <c r="M31" t="n">
        <v>0</v>
      </c>
      <c r="N31" t="n">
        <v>0</v>
      </c>
    </row>
    <row r="32">
      <c r="A32" t="inlineStr">
        <is>
          <t>issue of the manor</t>
        </is>
      </c>
      <c r="B32" t="inlineStr">
        <is>
          <t>and for 20 pence received from eight woolells of wethers, three woolells of ewes, and nine woolells of hoggets sold, price of each 1 pence and not more because they were exceedingly scabious and undeveloped.</t>
        </is>
      </c>
      <c r="C32" t="n">
        <v>0.08</v>
      </c>
      <c r="D32" t="n">
        <v>0</v>
      </c>
      <c r="E32" t="n">
        <v>0</v>
      </c>
      <c r="F32" t="n">
        <v>20</v>
      </c>
      <c r="H32" t="n">
        <v>0</v>
      </c>
      <c r="I32" t="n">
        <v>0</v>
      </c>
      <c r="J32" t="n">
        <v>0</v>
      </c>
      <c r="K32" t="n">
        <v>0</v>
      </c>
      <c r="L32" t="n">
        <v>0</v>
      </c>
      <c r="M32" t="n">
        <v>0</v>
      </c>
      <c r="N32" t="n">
        <v>0</v>
      </c>
    </row>
    <row r="33">
      <c r="A33" t="inlineStr">
        <is>
          <t>issue of the manor</t>
        </is>
      </c>
      <c r="B33" t="inlineStr">
        <is>
          <t>and for 3½d received from three pelts of wethers, one pelt of a ewe, and three pelts of lambs in murrain sold, price of each ½d.</t>
        </is>
      </c>
      <c r="C33" t="n">
        <v>0</v>
      </c>
      <c r="D33" t="n">
        <v>0</v>
      </c>
      <c r="E33" t="n">
        <v>0</v>
      </c>
      <c r="F33" t="n">
        <v>0</v>
      </c>
      <c r="H33" t="n">
        <v>0</v>
      </c>
      <c r="I33" t="n">
        <v>0</v>
      </c>
      <c r="J33" t="n">
        <v>0</v>
      </c>
      <c r="K33" t="n">
        <v>0</v>
      </c>
      <c r="L33" t="n">
        <v>0</v>
      </c>
      <c r="M33" t="n">
        <v>0</v>
      </c>
      <c r="N33" t="n">
        <v>0</v>
      </c>
    </row>
    <row r="34">
      <c r="A34" t="inlineStr">
        <is>
          <t>issue of the manor</t>
        </is>
      </c>
      <c r="B34" t="inlineStr">
        <is>
          <t>and for 3 pence from 2 pounds of broken wool sold.</t>
        </is>
      </c>
      <c r="C34" t="n">
        <v>0.01</v>
      </c>
      <c r="D34" t="n">
        <v>0</v>
      </c>
      <c r="E34" t="n">
        <v>0</v>
      </c>
      <c r="F34" t="n">
        <v>3</v>
      </c>
      <c r="H34" t="n">
        <v>0</v>
      </c>
      <c r="I34" t="n">
        <v>0</v>
      </c>
      <c r="J34" t="n">
        <v>0</v>
      </c>
      <c r="K34" t="n">
        <v>0</v>
      </c>
      <c r="L34" t="n">
        <v>0</v>
      </c>
      <c r="M34" t="n">
        <v>0</v>
      </c>
      <c r="N34" t="n">
        <v>0</v>
      </c>
    </row>
    <row r="35">
      <c r="A35" t="inlineStr">
        <is>
          <t>issue of the manor</t>
        </is>
      </c>
      <c r="B35" t="inlineStr">
        <is>
          <t>and for 18 pence from 2 acres of land at northwode put at lease for one year.</t>
        </is>
      </c>
      <c r="C35" t="n">
        <v>0.07000000000000001</v>
      </c>
      <c r="D35" t="n">
        <v>0</v>
      </c>
      <c r="E35" t="n">
        <v>0</v>
      </c>
      <c r="F35" t="n">
        <v>18</v>
      </c>
      <c r="H35" t="n">
        <v>0</v>
      </c>
      <c r="I35" t="n">
        <v>0</v>
      </c>
      <c r="J35" t="n">
        <v>0</v>
      </c>
      <c r="K35" t="n">
        <v>0</v>
      </c>
      <c r="L35" t="n">
        <v>0</v>
      </c>
      <c r="M35" t="n">
        <v>0</v>
      </c>
      <c r="N35" t="n">
        <v>0</v>
      </c>
    </row>
    <row r="36">
      <c r="A36" t="inlineStr">
        <is>
          <t>issue of the manor</t>
        </is>
      </c>
      <c r="B36" t="inlineStr">
        <is>
          <t>and for 18 pence received from winter pasture in le brodemed sold.</t>
        </is>
      </c>
      <c r="C36" t="n">
        <v>0.07000000000000001</v>
      </c>
      <c r="D36" t="n">
        <v>0</v>
      </c>
      <c r="E36" t="n">
        <v>0</v>
      </c>
      <c r="F36" t="n">
        <v>18</v>
      </c>
      <c r="H36" t="n">
        <v>0</v>
      </c>
      <c r="I36" t="n">
        <v>0</v>
      </c>
      <c r="J36" t="n">
        <v>0</v>
      </c>
      <c r="K36" t="n">
        <v>0</v>
      </c>
      <c r="L36" t="n">
        <v>0</v>
      </c>
      <c r="M36" t="n">
        <v>0</v>
      </c>
      <c r="N36" t="n">
        <v>0</v>
      </c>
    </row>
    <row r="37">
      <c r="A37" t="inlineStr">
        <is>
          <t>issue of the manor</t>
        </is>
      </c>
      <c r="B37" t="inlineStr">
        <is>
          <t>and for 8 pence from the fishery at northwode sold at the feast of st michael.</t>
        </is>
      </c>
      <c r="C37" t="n">
        <v>0.03</v>
      </c>
      <c r="D37" t="n">
        <v>0</v>
      </c>
      <c r="E37" t="n">
        <v>0</v>
      </c>
      <c r="F37" t="n">
        <v>8</v>
      </c>
      <c r="H37" t="n">
        <v>0</v>
      </c>
      <c r="I37" t="n">
        <v>0</v>
      </c>
      <c r="J37" t="n">
        <v>0</v>
      </c>
      <c r="K37" t="n">
        <v>0</v>
      </c>
      <c r="L37" t="n">
        <v>0</v>
      </c>
      <c r="M37" t="n">
        <v>0</v>
      </c>
      <c r="N37" t="n">
        <v>0</v>
      </c>
    </row>
    <row r="38">
      <c r="A38" t="inlineStr">
        <is>
          <t>issue of the manor</t>
        </is>
      </c>
      <c r="B38" t="inlineStr">
        <is>
          <t>and for 3 shilling from summer pasture in la crumbe sold.</t>
        </is>
      </c>
      <c r="C38" t="n">
        <v>0.15</v>
      </c>
      <c r="D38" t="n">
        <v>0</v>
      </c>
      <c r="E38" t="n">
        <v>3</v>
      </c>
      <c r="F38" t="n">
        <v>0</v>
      </c>
      <c r="H38" t="n">
        <v>0</v>
      </c>
      <c r="I38" t="n">
        <v>0</v>
      </c>
      <c r="J38" t="n">
        <v>0</v>
      </c>
      <c r="K38" t="n">
        <v>0</v>
      </c>
      <c r="L38" t="n">
        <v>0</v>
      </c>
      <c r="M38" t="n">
        <v>0</v>
      </c>
      <c r="N38" t="n">
        <v>0</v>
      </c>
    </row>
    <row r="39">
      <c r="A39" t="inlineStr">
        <is>
          <t>issue of the manor</t>
        </is>
      </c>
      <c r="B39" t="inlineStr">
        <is>
          <t>from pannage of pigs of richard atte barr and henry atte frithe nothing this year because they did not have pigs.</t>
        </is>
      </c>
      <c r="C39" t="n">
        <v>0</v>
      </c>
      <c r="D39" t="n">
        <v>0</v>
      </c>
      <c r="E39" t="n">
        <v>0</v>
      </c>
      <c r="F39" t="n">
        <v>0</v>
      </c>
      <c r="H39" t="n">
        <v>0</v>
      </c>
      <c r="I39" t="n">
        <v>0</v>
      </c>
      <c r="J39" t="n">
        <v>0</v>
      </c>
      <c r="K39" t="n">
        <v>0</v>
      </c>
      <c r="L39" t="n">
        <v>0</v>
      </c>
      <c r="M39" t="n">
        <v>0</v>
      </c>
      <c r="N39" t="n">
        <v>0</v>
      </c>
    </row>
    <row r="40">
      <c r="A40" t="inlineStr">
        <is>
          <t>issue of the manor</t>
        </is>
      </c>
      <c r="B40" t="inlineStr">
        <is>
          <t>and for 24 shilling from winter and summer pasture at northwode sold.</t>
        </is>
      </c>
      <c r="C40" t="n">
        <v>1.2</v>
      </c>
      <c r="D40" t="n">
        <v>0</v>
      </c>
      <c r="E40" t="n">
        <v>24</v>
      </c>
      <c r="F40" t="n">
        <v>0</v>
      </c>
      <c r="H40" t="n">
        <v>0</v>
      </c>
      <c r="I40" t="n">
        <v>0</v>
      </c>
      <c r="J40" t="n">
        <v>0</v>
      </c>
      <c r="K40" t="n">
        <v>0</v>
      </c>
      <c r="L40" t="n">
        <v>0</v>
      </c>
      <c r="M40" t="n">
        <v>0</v>
      </c>
      <c r="N40" t="n">
        <v>0</v>
      </c>
    </row>
    <row r="41">
      <c r="A41" t="inlineStr">
        <is>
          <t>issue of the manor</t>
        </is>
      </c>
      <c r="B41" t="inlineStr">
        <is>
          <t>and for 16 pence from summer pasture in la dounwode sold.</t>
        </is>
      </c>
      <c r="C41" t="n">
        <v>0.07000000000000001</v>
      </c>
      <c r="D41" t="n">
        <v>0</v>
      </c>
      <c r="E41" t="n">
        <v>0</v>
      </c>
      <c r="F41" t="n">
        <v>16</v>
      </c>
      <c r="H41" t="n">
        <v>0</v>
      </c>
      <c r="I41" t="n">
        <v>0</v>
      </c>
      <c r="J41" t="n">
        <v>0</v>
      </c>
      <c r="K41" t="n">
        <v>0</v>
      </c>
      <c r="L41" t="n">
        <v>0</v>
      </c>
      <c r="M41" t="n">
        <v>0</v>
      </c>
      <c r="N41" t="n">
        <v>0</v>
      </c>
    </row>
    <row r="42">
      <c r="A42" t="inlineStr">
        <is>
          <t>issue of the manor</t>
        </is>
      </c>
      <c r="B42" t="inlineStr">
        <is>
          <t>and for 2 shilling 7 pence from pasture in la frith and churchergofr sold.</t>
        </is>
      </c>
      <c r="C42" t="n">
        <v>0.13</v>
      </c>
      <c r="D42" t="n">
        <v>0</v>
      </c>
      <c r="E42" t="n">
        <v>2</v>
      </c>
      <c r="F42" t="n">
        <v>7</v>
      </c>
      <c r="H42" t="n">
        <v>0</v>
      </c>
      <c r="I42" t="n">
        <v>0</v>
      </c>
      <c r="J42" t="n">
        <v>0</v>
      </c>
      <c r="K42" t="n">
        <v>0</v>
      </c>
      <c r="L42" t="n">
        <v>0</v>
      </c>
      <c r="M42" t="n">
        <v>0</v>
      </c>
      <c r="N42" t="n">
        <v>0</v>
      </c>
    </row>
    <row r="43">
      <c r="A43" t="inlineStr">
        <is>
          <t>issue of the manor</t>
        </is>
      </c>
      <c r="B43" t="inlineStr">
        <is>
          <t>and for 4 shilling 6 pence from pasture in la more sold.</t>
        </is>
      </c>
      <c r="C43" t="n">
        <v>0.23</v>
      </c>
      <c r="D43" t="n">
        <v>0</v>
      </c>
      <c r="E43" t="n">
        <v>4</v>
      </c>
      <c r="F43" t="n">
        <v>6</v>
      </c>
      <c r="H43" t="n">
        <v>0</v>
      </c>
      <c r="I43" t="n">
        <v>0</v>
      </c>
      <c r="J43" t="n">
        <v>0</v>
      </c>
      <c r="K43" t="n">
        <v>0</v>
      </c>
      <c r="L43" t="n">
        <v>0</v>
      </c>
      <c r="M43" t="n">
        <v>0</v>
      </c>
      <c r="N43" t="n">
        <v>0</v>
      </c>
    </row>
    <row r="44">
      <c r="A44" t="inlineStr">
        <is>
          <t>issue of the manor</t>
        </is>
      </c>
      <c r="B44" t="inlineStr">
        <is>
          <t>and for 5 shilling 6 pence from pasture and willow withies sold in the croft beneath.</t>
        </is>
      </c>
      <c r="C44" t="n">
        <v>0.28</v>
      </c>
      <c r="D44" t="n">
        <v>0</v>
      </c>
      <c r="E44" t="n">
        <v>5</v>
      </c>
      <c r="F44" t="n">
        <v>6</v>
      </c>
      <c r="H44" t="n">
        <v>0</v>
      </c>
      <c r="I44" t="n">
        <v>0</v>
      </c>
      <c r="J44" t="n">
        <v>0</v>
      </c>
      <c r="K44" t="n">
        <v>0</v>
      </c>
      <c r="L44" t="n">
        <v>0</v>
      </c>
      <c r="M44" t="n">
        <v>0</v>
      </c>
      <c r="N44" t="n">
        <v>0</v>
      </c>
    </row>
    <row r="45">
      <c r="A45" t="inlineStr">
        <is>
          <t>issue of the manor</t>
        </is>
      </c>
      <c r="B45" t="inlineStr">
        <is>
          <t>--- page 3 ---.</t>
        </is>
      </c>
      <c r="C45" t="n">
        <v>0</v>
      </c>
      <c r="D45" t="n">
        <v>0</v>
      </c>
      <c r="E45" t="n">
        <v>0</v>
      </c>
      <c r="F45" t="n">
        <v>0</v>
      </c>
      <c r="H45" t="n">
        <v>0</v>
      </c>
      <c r="I45" t="n">
        <v>0</v>
      </c>
      <c r="J45" t="n">
        <v>0</v>
      </c>
      <c r="K45" t="n">
        <v>0</v>
      </c>
      <c r="L45" t="n">
        <v>0</v>
      </c>
      <c r="M45" t="n">
        <v>0</v>
      </c>
      <c r="N45" t="n">
        <v>0</v>
      </c>
    </row>
    <row r="46">
      <c r="A46" t="inlineStr">
        <is>
          <t>issue of the manor</t>
        </is>
      </c>
      <c r="B46" t="inlineStr">
        <is>
          <t>the garden which is called westhaghe.</t>
        </is>
      </c>
      <c r="C46" t="n">
        <v>0</v>
      </c>
      <c r="D46" t="n">
        <v>0</v>
      </c>
      <c r="E46" t="n">
        <v>0</v>
      </c>
      <c r="F46" t="n">
        <v>0</v>
      </c>
      <c r="H46" t="n">
        <v>0</v>
      </c>
      <c r="I46" t="n">
        <v>0</v>
      </c>
      <c r="J46" t="n">
        <v>0</v>
      </c>
      <c r="K46" t="n">
        <v>0</v>
      </c>
      <c r="L46" t="n">
        <v>0</v>
      </c>
      <c r="M46" t="n">
        <v>0</v>
      </c>
      <c r="N46" t="n">
        <v>0</v>
      </c>
    </row>
    <row r="47">
      <c r="A47" t="inlineStr">
        <is>
          <t>issue of the manor</t>
        </is>
      </c>
      <c r="B47" t="inlineStr">
        <is>
          <t>from withies around the curia nothing this year because the willows were reddish and were cut in the preceding year and sold as shown in the account.</t>
        </is>
      </c>
      <c r="C47" t="n">
        <v>0</v>
      </c>
      <c r="D47" t="n">
        <v>0</v>
      </c>
      <c r="E47" t="n">
        <v>0</v>
      </c>
      <c r="F47" t="n">
        <v>0</v>
      </c>
      <c r="H47" t="n">
        <v>0</v>
      </c>
      <c r="I47" t="n">
        <v>0</v>
      </c>
      <c r="J47" t="n">
        <v>0</v>
      </c>
      <c r="K47" t="n">
        <v>0</v>
      </c>
      <c r="L47" t="n">
        <v>0</v>
      </c>
      <c r="M47" t="n">
        <v>0</v>
      </c>
      <c r="N47" t="n">
        <v>0</v>
      </c>
    </row>
    <row r="48">
      <c r="A48" t="inlineStr">
        <is>
          <t>issue of the manor</t>
        </is>
      </c>
      <c r="B48" t="inlineStr">
        <is>
          <t>and for 5 pence from pasture sold by hedges at la cleye.</t>
        </is>
      </c>
      <c r="C48" t="n">
        <v>0.02</v>
      </c>
      <c r="D48" t="n">
        <v>0</v>
      </c>
      <c r="E48" t="n">
        <v>0</v>
      </c>
      <c r="F48" t="n">
        <v>5</v>
      </c>
      <c r="H48" t="n">
        <v>0</v>
      </c>
      <c r="I48" t="n">
        <v>0</v>
      </c>
      <c r="J48" t="n">
        <v>0</v>
      </c>
      <c r="K48" t="n">
        <v>0</v>
      </c>
      <c r="L48" t="n">
        <v>0</v>
      </c>
      <c r="M48" t="n">
        <v>0</v>
      </c>
      <c r="N48" t="n">
        <v>0</v>
      </c>
    </row>
    <row r="49">
      <c r="A49" t="inlineStr">
        <is>
          <t>issue of the manor</t>
        </is>
      </c>
      <c r="B49" t="inlineStr">
        <is>
          <t>from mast in the woods nothing this year.</t>
        </is>
      </c>
      <c r="C49" t="n">
        <v>0</v>
      </c>
      <c r="D49" t="n">
        <v>0</v>
      </c>
      <c r="E49" t="n">
        <v>0</v>
      </c>
      <c r="F49" t="n">
        <v>0</v>
      </c>
      <c r="H49" t="n">
        <v>0</v>
      </c>
      <c r="I49" t="n">
        <v>0</v>
      </c>
      <c r="J49" t="n">
        <v>0</v>
      </c>
      <c r="K49" t="n">
        <v>0</v>
      </c>
      <c r="L49" t="n">
        <v>0</v>
      </c>
      <c r="M49" t="n">
        <v>0</v>
      </c>
      <c r="N49" t="n">
        <v>0</v>
      </c>
    </row>
    <row r="50">
      <c r="A50" t="inlineStr">
        <is>
          <t>issue of the manor</t>
        </is>
      </c>
      <c r="B50" t="inlineStr">
        <is>
          <t>from pasture in longemore nothing this year because it was fallow and depastured by the lord’s sheep and from babbecoompe nothing because it was sown.</t>
        </is>
      </c>
      <c r="C50" t="n">
        <v>0</v>
      </c>
      <c r="D50" t="n">
        <v>0</v>
      </c>
      <c r="E50" t="n">
        <v>0</v>
      </c>
      <c r="F50" t="n">
        <v>0</v>
      </c>
      <c r="H50" t="n">
        <v>0</v>
      </c>
      <c r="I50" t="n">
        <v>0</v>
      </c>
      <c r="J50" t="n">
        <v>0</v>
      </c>
      <c r="K50" t="n">
        <v>0</v>
      </c>
      <c r="L50" t="n">
        <v>0</v>
      </c>
      <c r="M50" t="n">
        <v>0</v>
      </c>
      <c r="N50" t="n">
        <v>0</v>
      </c>
    </row>
    <row r="51">
      <c r="A51" t="inlineStr">
        <is>
          <t>issue of the manor</t>
        </is>
      </c>
      <c r="B51" t="inlineStr">
        <is>
          <t>from pasture of the warren nothing this year because it was sown.</t>
        </is>
      </c>
      <c r="C51" t="n">
        <v>0</v>
      </c>
      <c r="D51" t="n">
        <v>0</v>
      </c>
      <c r="E51" t="n">
        <v>0</v>
      </c>
      <c r="F51" t="n">
        <v>0</v>
      </c>
      <c r="H51" t="n">
        <v>0</v>
      </c>
      <c r="I51" t="n">
        <v>0</v>
      </c>
      <c r="J51" t="n">
        <v>0</v>
      </c>
      <c r="K51" t="n">
        <v>0</v>
      </c>
      <c r="L51" t="n">
        <v>0</v>
      </c>
      <c r="M51" t="n">
        <v>0</v>
      </c>
      <c r="N51" t="n">
        <v>0</v>
      </c>
    </row>
    <row r="52">
      <c r="A52" t="inlineStr">
        <is>
          <t>issue of the manor</t>
        </is>
      </c>
      <c r="B52" t="inlineStr">
        <is>
          <t>and for [...] 2 shilling from 48 tosses of hay, of old hay, sold to earl warenne.</t>
        </is>
      </c>
      <c r="C52" t="n">
        <v>0.1</v>
      </c>
      <c r="D52" t="n">
        <v>0</v>
      </c>
      <c r="E52" t="n">
        <v>2</v>
      </c>
      <c r="F52" t="n">
        <v>0</v>
      </c>
      <c r="H52" t="n">
        <v>0</v>
      </c>
      <c r="I52" t="n">
        <v>0</v>
      </c>
      <c r="J52" t="n">
        <v>0</v>
      </c>
      <c r="K52" t="n">
        <v>0</v>
      </c>
      <c r="L52" t="n">
        <v>0</v>
      </c>
      <c r="M52" t="n">
        <v>0</v>
      </c>
      <c r="N52" t="n">
        <v>0</v>
      </c>
    </row>
    <row r="53">
      <c r="A53" t="inlineStr">
        <is>
          <t>issue of the manor</t>
        </is>
      </c>
      <c r="B53" t="inlineStr">
        <is>
          <t>and for 2 shilling received from herbage sold to the duke of cornwall, residing within the manor for one night.</t>
        </is>
      </c>
      <c r="C53" t="n">
        <v>0.1</v>
      </c>
      <c r="D53" t="n">
        <v>0</v>
      </c>
      <c r="E53" t="n">
        <v>2</v>
      </c>
      <c r="F53" t="n">
        <v>0</v>
      </c>
      <c r="H53" t="n">
        <v>0</v>
      </c>
      <c r="I53" t="n">
        <v>0</v>
      </c>
      <c r="J53" t="n">
        <v>0</v>
      </c>
      <c r="K53" t="n">
        <v>0</v>
      </c>
      <c r="L53" t="n">
        <v>0</v>
      </c>
      <c r="M53" t="n">
        <v>0</v>
      </c>
      <c r="N53" t="n">
        <v>0</v>
      </c>
    </row>
    <row r="54">
      <c r="A54" t="inlineStr">
        <is>
          <t>issue of the manor</t>
        </is>
      </c>
      <c r="B54" t="inlineStr">
        <is>
          <t>and for 12 pence received from straw sold at northwode and not more because the rest, with chaff, was depastured by the lord’s animals.</t>
        </is>
      </c>
      <c r="C54" t="n">
        <v>0.05</v>
      </c>
      <c r="D54" t="n">
        <v>0</v>
      </c>
      <c r="E54" t="n">
        <v>0</v>
      </c>
      <c r="F54" t="n">
        <v>12</v>
      </c>
      <c r="H54" t="n">
        <v>0</v>
      </c>
      <c r="I54" t="n">
        <v>0</v>
      </c>
      <c r="J54" t="n">
        <v>0</v>
      </c>
      <c r="K54" t="n">
        <v>0</v>
      </c>
      <c r="L54" t="n">
        <v>0</v>
      </c>
      <c r="M54" t="n">
        <v>0</v>
      </c>
      <c r="N54" t="n">
        <v>0</v>
      </c>
    </row>
    <row r="55">
      <c r="A55" t="inlineStr">
        <is>
          <t>issue of the manor</t>
        </is>
      </c>
      <c r="B55" t="inlineStr">
        <is>
          <t>and for 20 pence from stubble sold this year at ryhul and longerforlong.</t>
        </is>
      </c>
      <c r="C55" t="n">
        <v>0.08</v>
      </c>
      <c r="D55" t="n">
        <v>0</v>
      </c>
      <c r="E55" t="n">
        <v>0</v>
      </c>
      <c r="F55" t="n">
        <v>20</v>
      </c>
      <c r="H55" t="n">
        <v>0</v>
      </c>
      <c r="I55" t="n">
        <v>0</v>
      </c>
      <c r="J55" t="n">
        <v>0</v>
      </c>
      <c r="K55" t="n">
        <v>0</v>
      </c>
      <c r="L55" t="n">
        <v>0</v>
      </c>
      <c r="M55" t="n">
        <v>0</v>
      </c>
      <c r="N55" t="n">
        <v>0</v>
      </c>
    </row>
    <row r="56">
      <c r="A56" t="inlineStr">
        <is>
          <t>issue of the manor</t>
        </is>
      </c>
      <c r="B56" t="inlineStr">
        <is>
          <t>from issue of the garden nothing because there was no fruit this year and the herbage was depastured by the lord’s animals.</t>
        </is>
      </c>
      <c r="C56" t="n">
        <v>0</v>
      </c>
      <c r="D56" t="n">
        <v>0</v>
      </c>
      <c r="E56" t="n">
        <v>0</v>
      </c>
      <c r="F56" t="n">
        <v>0</v>
      </c>
      <c r="H56" t="n">
        <v>0</v>
      </c>
      <c r="I56" t="n">
        <v>0</v>
      </c>
      <c r="J56" t="n">
        <v>0</v>
      </c>
      <c r="K56" t="n">
        <v>0</v>
      </c>
      <c r="L56" t="n">
        <v>0</v>
      </c>
      <c r="M56" t="n">
        <v>0</v>
      </c>
      <c r="N56" t="n">
        <v>0</v>
      </c>
    </row>
    <row r="57">
      <c r="A57" t="inlineStr">
        <is>
          <t>issue of the manor</t>
        </is>
      </c>
      <c r="B57" t="inlineStr">
        <is>
          <t>and for 4 shilling from 144 doves sold, for every three 1pence and for 5 shilling 8 pence from hay sold to the lord’s household.</t>
        </is>
      </c>
      <c r="C57" t="n">
        <v>0.2</v>
      </c>
      <c r="D57" t="n">
        <v>0</v>
      </c>
      <c r="E57" t="n">
        <v>4</v>
      </c>
      <c r="F57" t="n">
        <v>1</v>
      </c>
      <c r="H57" t="n">
        <v>0</v>
      </c>
      <c r="I57" t="n">
        <v>0</v>
      </c>
      <c r="J57" t="n">
        <v>0</v>
      </c>
      <c r="K57" t="n">
        <v>0</v>
      </c>
      <c r="L57" t="n">
        <v>0</v>
      </c>
      <c r="M57" t="n">
        <v>0</v>
      </c>
      <c r="N57" t="n">
        <v>0</v>
      </c>
    </row>
    <row r="58">
      <c r="A58" t="inlineStr">
        <is>
          <t>issue of the manor</t>
        </is>
      </c>
      <c r="B58" t="inlineStr">
        <is>
          <t>sum 64 shilling 9½d.</t>
        </is>
      </c>
      <c r="C58" t="n">
        <v>3.2</v>
      </c>
      <c r="D58" t="n">
        <v>0</v>
      </c>
      <c r="E58" t="n">
        <v>64</v>
      </c>
      <c r="F58" t="n">
        <v>0</v>
      </c>
      <c r="H58" t="n">
        <v>0</v>
      </c>
      <c r="I58" t="n">
        <v>0</v>
      </c>
      <c r="J58" t="n">
        <v>0</v>
      </c>
      <c r="K58" t="n">
        <v>0</v>
      </c>
      <c r="L58" t="n">
        <v>0</v>
      </c>
      <c r="M58" t="n">
        <v>0</v>
      </c>
      <c r="N58" t="n">
        <v>0</v>
      </c>
    </row>
    <row r="59">
      <c r="A59" t="inlineStr">
        <is>
          <t>sale of corn</t>
        </is>
      </c>
      <c r="B59" t="inlineStr">
        <is>
          <t>the same answers for 21 pence received from 5 bushels of curallum of wheat sold, price of a bushel 3½d.</t>
        </is>
      </c>
      <c r="C59" t="n">
        <v>0.09</v>
      </c>
      <c r="D59" t="n">
        <v>0</v>
      </c>
      <c r="E59" t="n">
        <v>0</v>
      </c>
      <c r="F59" t="n">
        <v>21</v>
      </c>
      <c r="G59" t="inlineStr">
        <is>
          <t>wheat, curall</t>
        </is>
      </c>
      <c r="H59" t="n">
        <v>0</v>
      </c>
      <c r="I59" t="n">
        <v>5</v>
      </c>
      <c r="J59" t="n">
        <v>0.62</v>
      </c>
      <c r="K59" t="n">
        <v>0.62</v>
      </c>
      <c r="L59" t="n">
        <v>0</v>
      </c>
      <c r="M59" t="n">
        <v>0</v>
      </c>
      <c r="N59" t="n">
        <v>5</v>
      </c>
      <c r="AA59" t="n">
        <v>0</v>
      </c>
      <c r="AB59" t="n">
        <v>0</v>
      </c>
    </row>
    <row r="60">
      <c r="A60" t="inlineStr">
        <is>
          <t>sale of corn</t>
        </is>
      </c>
      <c r="B60" t="inlineStr">
        <is>
          <t>and for 12 shilling received from 3 quarters of rye sold in the month of september, price of a quarter 4 shilling and for 18 shilling 4½d received from 3 quarters 7½ bushels of rye, price of a quarter 4 shilling 8pence and for 4 shilling 1¼d received from 1 quarter 1 bushel 3 pecks of barley sold, price of a bushel 5pence and for 13 shilling 6¼d received from 10 quarters 6 bushels 3 pecks of oats sold to earl warenne, price of a quarter 15pence and for 4 shilling 11 pence from 3½ quarters of oats sold for expenses of the lord’s household.</t>
        </is>
      </c>
      <c r="C60" t="n">
        <v>0.63</v>
      </c>
      <c r="D60" t="n">
        <v>0</v>
      </c>
      <c r="E60" t="n">
        <v>12</v>
      </c>
      <c r="F60" t="n">
        <v>8</v>
      </c>
      <c r="G60" t="inlineStr">
        <is>
          <t>rye, barley, oats</t>
        </is>
      </c>
      <c r="H60" t="n">
        <v>13</v>
      </c>
      <c r="I60" t="n">
        <v>6</v>
      </c>
      <c r="J60" t="n">
        <v>13.75</v>
      </c>
      <c r="K60" t="n">
        <v>3</v>
      </c>
      <c r="L60" t="n">
        <v>10.75</v>
      </c>
      <c r="M60" t="n">
        <v>3</v>
      </c>
      <c r="N60" t="n">
        <v>0</v>
      </c>
      <c r="O60" t="n">
        <v>3</v>
      </c>
      <c r="P60" t="n">
        <v>0</v>
      </c>
      <c r="Q60" t="n">
        <v>10</v>
      </c>
      <c r="R60" t="n">
        <v>6</v>
      </c>
      <c r="AA60" t="n">
        <v>0</v>
      </c>
      <c r="AB60" t="n">
        <v>0</v>
      </c>
    </row>
    <row r="61">
      <c r="A61" t="inlineStr">
        <is>
          <t>sale of corn</t>
        </is>
      </c>
      <c r="B61" t="inlineStr">
        <is>
          <t>sum 54 shilling 8pence.</t>
        </is>
      </c>
      <c r="C61" t="n">
        <v>2.73</v>
      </c>
      <c r="D61" t="n">
        <v>0</v>
      </c>
      <c r="E61" t="n">
        <v>54</v>
      </c>
      <c r="F61" t="n">
        <v>8</v>
      </c>
      <c r="H61" t="n">
        <v>0</v>
      </c>
      <c r="I61" t="n">
        <v>0</v>
      </c>
      <c r="J61" t="n">
        <v>0</v>
      </c>
      <c r="K61" t="n">
        <v>0</v>
      </c>
      <c r="L61" t="n">
        <v>0</v>
      </c>
      <c r="M61" t="n">
        <v>0</v>
      </c>
      <c r="N61" t="n">
        <v>0</v>
      </c>
    </row>
    <row r="62">
      <c r="A62" t="inlineStr">
        <is>
          <t>sale of stock</t>
        </is>
      </c>
      <c r="B62" t="inlineStr">
        <is>
          <t>the same answers for 54 shilling received from 4 oxen because they were of no use to the stock, attested by the prior of sandon, price of which 13 shilling 6pence and for 10 shilling 6 pence received from 10 wethers and 4 ewes, old, sold, price of each of which 9pence and for 71 shilling from 71 hoggets sold.</t>
        </is>
      </c>
      <c r="C62" t="n">
        <v>2.73</v>
      </c>
      <c r="D62" t="n">
        <v>0</v>
      </c>
      <c r="E62" t="n">
        <v>54</v>
      </c>
      <c r="F62" t="n">
        <v>6</v>
      </c>
      <c r="H62" t="n">
        <v>0</v>
      </c>
      <c r="I62" t="n">
        <v>0</v>
      </c>
      <c r="J62" t="n">
        <v>0</v>
      </c>
      <c r="K62" t="n">
        <v>0</v>
      </c>
      <c r="L62" t="n">
        <v>0</v>
      </c>
      <c r="M62" t="n">
        <v>0</v>
      </c>
      <c r="N62" t="n">
        <v>0</v>
      </c>
    </row>
    <row r="63">
      <c r="A63" t="inlineStr">
        <is>
          <t>sale of stock</t>
        </is>
      </c>
      <c r="B63" t="inlineStr">
        <is>
          <t>sum £6 15 shilling 6pence.</t>
        </is>
      </c>
      <c r="C63" t="n">
        <v>6.78</v>
      </c>
      <c r="D63" t="n">
        <v>6</v>
      </c>
      <c r="E63" t="n">
        <v>15</v>
      </c>
      <c r="F63" t="n">
        <v>6</v>
      </c>
      <c r="H63" t="n">
        <v>0</v>
      </c>
      <c r="I63" t="n">
        <v>0</v>
      </c>
      <c r="J63" t="n">
        <v>0</v>
      </c>
      <c r="K63" t="n">
        <v>0</v>
      </c>
      <c r="L63" t="n">
        <v>0</v>
      </c>
      <c r="M63" t="n">
        <v>0</v>
      </c>
      <c r="N63" t="n">
        <v>0</v>
      </c>
    </row>
    <row r="64">
      <c r="A64" t="inlineStr">
        <is>
          <t>fines and marriage fines</t>
        </is>
      </c>
      <c r="B64" t="inlineStr">
        <is>
          <t>the same answers for 8 shilling from a fixed payment at the view of frankpledge for tithingpenny at the tourns of st martin and hockday.</t>
        </is>
      </c>
      <c r="C64" t="n">
        <v>0.4</v>
      </c>
      <c r="D64" t="n">
        <v>0</v>
      </c>
      <c r="E64" t="n">
        <v>8</v>
      </c>
      <c r="F64" t="n">
        <v>0</v>
      </c>
      <c r="H64" t="n">
        <v>0</v>
      </c>
      <c r="I64" t="n">
        <v>0</v>
      </c>
      <c r="J64" t="n">
        <v>0</v>
      </c>
      <c r="K64" t="n">
        <v>0</v>
      </c>
      <c r="L64" t="n">
        <v>0</v>
      </c>
      <c r="M64" t="n">
        <v>0</v>
      </c>
      <c r="N64" t="n">
        <v>0</v>
      </c>
    </row>
    <row r="65">
      <c r="A65" t="inlineStr">
        <is>
          <t>fines and marriage fines</t>
        </is>
      </c>
      <c r="B65" t="inlineStr">
        <is>
          <t>and for 2 shilling from peter derlyng and petronilla his wife [...].</t>
        </is>
      </c>
      <c r="C65" t="n">
        <v>0.1</v>
      </c>
      <c r="D65" t="n">
        <v>0</v>
      </c>
      <c r="E65" t="n">
        <v>2</v>
      </c>
      <c r="F65" t="n">
        <v>0</v>
      </c>
      <c r="H65" t="n">
        <v>0</v>
      </c>
      <c r="I65" t="n">
        <v>0</v>
      </c>
      <c r="J65" t="n">
        <v>0</v>
      </c>
      <c r="K65" t="n">
        <v>0</v>
      </c>
      <c r="L65" t="n">
        <v>0</v>
      </c>
      <c r="M65" t="n">
        <v>0</v>
      </c>
      <c r="N65" t="n">
        <v>0</v>
      </c>
    </row>
    <row r="66">
      <c r="A66" t="inlineStr">
        <is>
          <t>fines and marriage fines</t>
        </is>
      </c>
      <c r="B66" t="inlineStr">
        <is>
          <t>and for 4 shilling from gilbert selevyn for [...].</t>
        </is>
      </c>
      <c r="C66" t="n">
        <v>0.2</v>
      </c>
      <c r="D66" t="n">
        <v>0</v>
      </c>
      <c r="E66" t="n">
        <v>4</v>
      </c>
      <c r="F66" t="n">
        <v>0</v>
      </c>
      <c r="H66" t="n">
        <v>0</v>
      </c>
      <c r="I66" t="n">
        <v>0</v>
      </c>
      <c r="J66" t="n">
        <v>0</v>
      </c>
      <c r="K66" t="n">
        <v>0</v>
      </c>
      <c r="L66" t="n">
        <v>0</v>
      </c>
      <c r="M66" t="n">
        <v>0</v>
      </c>
      <c r="N66" t="n">
        <v>0</v>
      </c>
    </row>
    <row r="67">
      <c r="A67" t="inlineStr">
        <is>
          <t>perquisites of court</t>
        </is>
      </c>
      <c r="B67" t="inlineStr">
        <is>
          <t>the same answers for 15 pence received from the perquisites of a court held on the tuesday next after the feast of st luke [22 october].</t>
        </is>
      </c>
      <c r="C67" t="n">
        <v>0.06</v>
      </c>
      <c r="D67" t="n">
        <v>0</v>
      </c>
      <c r="E67" t="n">
        <v>0</v>
      </c>
      <c r="F67" t="n">
        <v>15</v>
      </c>
      <c r="H67" t="n">
        <v>0</v>
      </c>
      <c r="I67" t="n">
        <v>0</v>
      </c>
      <c r="J67" t="n">
        <v>0</v>
      </c>
      <c r="K67" t="n">
        <v>0</v>
      </c>
      <c r="L67" t="n">
        <v>0</v>
      </c>
      <c r="M67" t="n">
        <v>0</v>
      </c>
      <c r="N67" t="n">
        <v>0</v>
      </c>
    </row>
    <row r="68">
      <c r="A68" t="inlineStr">
        <is>
          <t>perquisites of court</t>
        </is>
      </c>
      <c r="B68" t="inlineStr">
        <is>
          <t>and for 17 shilling received from the perquisites of the tourn of st martin with a court held on the saturday next after the feast of st mathias the apostle [1 march] together with ½ mark from the heriot.</t>
        </is>
      </c>
      <c r="C68" t="n">
        <v>0.85</v>
      </c>
      <c r="D68" t="n">
        <v>0</v>
      </c>
      <c r="E68" t="n">
        <v>17</v>
      </c>
      <c r="F68" t="n">
        <v>0</v>
      </c>
      <c r="H68" t="n">
        <v>0</v>
      </c>
      <c r="I68" t="n">
        <v>0</v>
      </c>
      <c r="J68" t="n">
        <v>0</v>
      </c>
      <c r="K68" t="n">
        <v>0</v>
      </c>
      <c r="L68" t="n">
        <v>0</v>
      </c>
      <c r="M68" t="n">
        <v>0</v>
      </c>
      <c r="N68" t="n">
        <v>0</v>
      </c>
    </row>
    <row r="69">
      <c r="A69" t="inlineStr">
        <is>
          <t>perquisites of court</t>
        </is>
      </c>
      <c r="B69" t="inlineStr">
        <is>
          <t>--- page 4 ---.</t>
        </is>
      </c>
      <c r="C69" t="n">
        <v>0</v>
      </c>
      <c r="D69" t="n">
        <v>0</v>
      </c>
      <c r="E69" t="n">
        <v>0</v>
      </c>
      <c r="F69" t="n">
        <v>0</v>
      </c>
      <c r="H69" t="n">
        <v>0</v>
      </c>
      <c r="I69" t="n">
        <v>0</v>
      </c>
      <c r="J69" t="n">
        <v>0</v>
      </c>
      <c r="K69" t="n">
        <v>0</v>
      </c>
      <c r="L69" t="n">
        <v>0</v>
      </c>
      <c r="M69" t="n">
        <v>0</v>
      </c>
      <c r="N69" t="n">
        <v>0</v>
      </c>
    </row>
    <row r="70">
      <c r="A70" t="inlineStr">
        <is>
          <t>foreign receipts</t>
        </is>
      </c>
      <c r="B70" t="inlineStr">
        <is>
          <t>the same answers for 3 shilling received from three-quarters of a hundredweight of firewood that was at the manor for the stock of the lord’s household sold to earl warenne.</t>
        </is>
      </c>
      <c r="C70" t="n">
        <v>0.15</v>
      </c>
      <c r="D70" t="n">
        <v>0</v>
      </c>
      <c r="E70" t="n">
        <v>3</v>
      </c>
      <c r="F70" t="n">
        <v>0</v>
      </c>
      <c r="H70" t="n">
        <v>0</v>
      </c>
      <c r="I70" t="n">
        <v>0</v>
      </c>
      <c r="J70" t="n">
        <v>0</v>
      </c>
      <c r="K70" t="n">
        <v>0</v>
      </c>
      <c r="L70" t="n">
        <v>0</v>
      </c>
      <c r="M70" t="n">
        <v>0</v>
      </c>
      <c r="N70" t="n">
        <v>0</v>
      </c>
    </row>
    <row r="71">
      <c r="A71" t="inlineStr">
        <is>
          <t>foreign receipts</t>
        </is>
      </c>
      <c r="B71" t="inlineStr">
        <is>
          <t>and for 2 shilling received from 5 quarters of charcoal from the aforesaid stock sold to the same earl.</t>
        </is>
      </c>
      <c r="C71" t="n">
        <v>0.1</v>
      </c>
      <c r="D71" t="n">
        <v>0</v>
      </c>
      <c r="E71" t="n">
        <v>2</v>
      </c>
      <c r="F71" t="n">
        <v>0</v>
      </c>
      <c r="H71" t="n">
        <v>5</v>
      </c>
      <c r="I71" t="n">
        <v>0</v>
      </c>
      <c r="J71" t="n">
        <v>5</v>
      </c>
      <c r="K71" t="n">
        <v>5</v>
      </c>
      <c r="L71" t="n">
        <v>0</v>
      </c>
      <c r="M71" t="n">
        <v>5</v>
      </c>
      <c r="N71" t="n">
        <v>0</v>
      </c>
    </row>
    <row r="72">
      <c r="A72" t="inlineStr">
        <is>
          <t>foreign receipts</t>
        </is>
      </c>
      <c r="B72" t="inlineStr">
        <is>
          <t>and nothing is answered for three-quarters of a hundredweight of firewood taken for the use of the duke of cornwall while he resided within the manor, because his treasurer and his other ministers refused to pay for this stock of provisions in other manors.</t>
        </is>
      </c>
      <c r="C72" t="n">
        <v>0</v>
      </c>
      <c r="D72" t="n">
        <v>0</v>
      </c>
      <c r="E72" t="n">
        <v>0</v>
      </c>
      <c r="F72" t="n">
        <v>0</v>
      </c>
      <c r="H72" t="n">
        <v>0</v>
      </c>
      <c r="I72" t="n">
        <v>0</v>
      </c>
      <c r="J72" t="n">
        <v>0</v>
      </c>
      <c r="K72" t="n">
        <v>0</v>
      </c>
      <c r="L72" t="n">
        <v>0</v>
      </c>
      <c r="M72" t="n">
        <v>0</v>
      </c>
      <c r="N72" t="n">
        <v>0</v>
      </c>
    </row>
    <row r="73">
      <c r="A73" t="inlineStr">
        <is>
          <t>foreign receipts</t>
        </is>
      </c>
      <c r="B73" t="inlineStr">
        <is>
          <t>sum 5 shilling.</t>
        </is>
      </c>
      <c r="C73" t="n">
        <v>0.25</v>
      </c>
      <c r="D73" t="n">
        <v>0</v>
      </c>
      <c r="E73" t="n">
        <v>5</v>
      </c>
      <c r="F73" t="n">
        <v>0</v>
      </c>
      <c r="H73" t="n">
        <v>0</v>
      </c>
      <c r="I73" t="n">
        <v>0</v>
      </c>
      <c r="J73" t="n">
        <v>0</v>
      </c>
      <c r="K73" t="n">
        <v>0</v>
      </c>
      <c r="L73" t="n">
        <v>0</v>
      </c>
      <c r="M73" t="n">
        <v>0</v>
      </c>
      <c r="N73" t="n">
        <v>0</v>
      </c>
    </row>
    <row r="74">
      <c r="A74" t="inlineStr">
        <is>
          <t>sales at the audit</t>
        </is>
      </c>
      <c r="B74" t="inlineStr">
        <is>
          <t>and for 33 shilling 3 pence from things sold at the audit.</t>
        </is>
      </c>
      <c r="C74" t="n">
        <v>1.66</v>
      </c>
      <c r="D74" t="n">
        <v>0</v>
      </c>
      <c r="E74" t="n">
        <v>33</v>
      </c>
      <c r="F74" t="n">
        <v>3</v>
      </c>
      <c r="H74" t="n">
        <v>0</v>
      </c>
      <c r="I74" t="n">
        <v>0</v>
      </c>
      <c r="J74" t="n">
        <v>0</v>
      </c>
      <c r="K74" t="n">
        <v>0</v>
      </c>
      <c r="L74" t="n">
        <v>0</v>
      </c>
      <c r="M74" t="n">
        <v>0</v>
      </c>
      <c r="N74" t="n">
        <v>0</v>
      </c>
    </row>
    <row r="75">
      <c r="A75" t="inlineStr">
        <is>
          <t>sales at the audit</t>
        </is>
      </c>
      <c r="B75" t="inlineStr">
        <is>
          <t>sum 33 shilling 3pence.</t>
        </is>
      </c>
      <c r="C75" t="n">
        <v>1.66</v>
      </c>
      <c r="D75" t="n">
        <v>0</v>
      </c>
      <c r="E75" t="n">
        <v>33</v>
      </c>
      <c r="F75" t="n">
        <v>3</v>
      </c>
      <c r="H75" t="n">
        <v>0</v>
      </c>
      <c r="I75" t="n">
        <v>0</v>
      </c>
      <c r="J75" t="n">
        <v>0</v>
      </c>
      <c r="K75" t="n">
        <v>0</v>
      </c>
      <c r="L75" t="n">
        <v>0</v>
      </c>
      <c r="M75" t="n">
        <v>0</v>
      </c>
      <c r="N75" t="n">
        <v>0</v>
      </c>
    </row>
    <row r="76">
      <c r="A76" t="inlineStr">
        <is>
          <t>sales at the audit</t>
        </is>
      </c>
      <c r="B76" t="inlineStr">
        <is>
          <t>sum of all receipts with arrears £22 18 shilling 7¾d, besides wool.</t>
        </is>
      </c>
      <c r="C76" t="n">
        <v>22.9</v>
      </c>
      <c r="D76" t="n">
        <v>22</v>
      </c>
      <c r="E76" t="n">
        <v>18</v>
      </c>
      <c r="F76" t="n">
        <v>0</v>
      </c>
      <c r="H76" t="n">
        <v>0</v>
      </c>
      <c r="I76" t="n">
        <v>0</v>
      </c>
      <c r="J76" t="n">
        <v>0</v>
      </c>
      <c r="K76" t="n">
        <v>0</v>
      </c>
      <c r="L76" t="n">
        <v>0</v>
      </c>
      <c r="M76" t="n">
        <v>0</v>
      </c>
      <c r="N76" t="n">
        <v>0</v>
      </c>
    </row>
    <row r="77">
      <c r="A77" t="inlineStr">
        <is>
          <t>payment of rent</t>
        </is>
      </c>
      <c r="B77" t="inlineStr">
        <is>
          <t>the same accounts for rent paid to the abbot and convent of chertsey for the land of northwode at the feast of st michael 6 shilling likewise to the same for two ploughshares at the same term 18pence sum 7 shilling 6pence.</t>
        </is>
      </c>
      <c r="C77" t="n">
        <v>0.38</v>
      </c>
      <c r="D77" t="n">
        <v>0</v>
      </c>
      <c r="E77" t="n">
        <v>6</v>
      </c>
      <c r="F77" t="n">
        <v>18</v>
      </c>
      <c r="H77" t="n">
        <v>0</v>
      </c>
      <c r="I77" t="n">
        <v>0</v>
      </c>
      <c r="J77" t="n">
        <v>0</v>
      </c>
      <c r="K77" t="n">
        <v>0</v>
      </c>
      <c r="L77" t="n">
        <v>0</v>
      </c>
      <c r="M77" t="n">
        <v>0</v>
      </c>
      <c r="N77" t="n">
        <v>0</v>
      </c>
    </row>
    <row r="78">
      <c r="A78" t="inlineStr">
        <is>
          <t>cost of ploughs</t>
        </is>
      </c>
      <c r="B78" t="inlineStr">
        <is>
          <t>the same accounts for iron and steel bought with the stipend of a smith for the year 3 shilling 6[d].</t>
        </is>
      </c>
      <c r="C78" t="n">
        <v>0.15</v>
      </c>
      <c r="D78" t="n">
        <v>0</v>
      </c>
      <c r="E78" t="n">
        <v>3</v>
      </c>
      <c r="F78" t="n">
        <v>0</v>
      </c>
      <c r="H78" t="n">
        <v>0</v>
      </c>
      <c r="I78" t="n">
        <v>0</v>
      </c>
      <c r="J78" t="n">
        <v>0</v>
      </c>
      <c r="K78" t="n">
        <v>0</v>
      </c>
      <c r="L78" t="n">
        <v>0</v>
      </c>
      <c r="M78" t="n">
        <v>0</v>
      </c>
      <c r="N78" t="n">
        <v>0</v>
      </c>
    </row>
    <row r="79">
      <c r="A79" t="inlineStr">
        <is>
          <t>cost of ploughs</t>
        </is>
      </c>
      <c r="B79" t="inlineStr">
        <is>
          <t>two plough feet bought 6pence.</t>
        </is>
      </c>
      <c r="C79" t="n">
        <v>0.03</v>
      </c>
      <c r="D79" t="n">
        <v>0</v>
      </c>
      <c r="E79" t="n">
        <v>0</v>
      </c>
      <c r="F79" t="n">
        <v>6</v>
      </c>
      <c r="H79" t="n">
        <v>0</v>
      </c>
      <c r="I79" t="n">
        <v>0</v>
      </c>
      <c r="J79" t="n">
        <v>0</v>
      </c>
      <c r="K79" t="n">
        <v>0</v>
      </c>
      <c r="L79" t="n">
        <v>0</v>
      </c>
      <c r="M79" t="n">
        <v>0</v>
      </c>
      <c r="N79" t="n">
        <v>0</v>
      </c>
    </row>
    <row r="80">
      <c r="A80" t="inlineStr">
        <is>
          <t>cost of ploughs</t>
        </is>
      </c>
      <c r="B80" t="inlineStr">
        <is>
          <t>two yokes bought 2pence.</t>
        </is>
      </c>
      <c r="C80" t="n">
        <v>0.01</v>
      </c>
      <c r="D80" t="n">
        <v>0</v>
      </c>
      <c r="E80" t="n">
        <v>0</v>
      </c>
      <c r="F80" t="n">
        <v>2</v>
      </c>
      <c r="H80" t="n">
        <v>0</v>
      </c>
      <c r="I80" t="n">
        <v>0</v>
      </c>
      <c r="J80" t="n">
        <v>0</v>
      </c>
      <c r="K80" t="n">
        <v>0</v>
      </c>
      <c r="L80" t="n">
        <v>0</v>
      </c>
      <c r="M80" t="n">
        <v>0</v>
      </c>
      <c r="N80" t="n">
        <v>0</v>
      </c>
    </row>
    <row r="81">
      <c r="A81" t="inlineStr">
        <is>
          <t>cost of ploughs</t>
        </is>
      </c>
      <c r="B81" t="inlineStr">
        <is>
          <t>one plough covered with boards and fitted with a chip twice for the year 6 pence, so much because it was worn out.</t>
        </is>
      </c>
      <c r="C81" t="n">
        <v>0.03</v>
      </c>
      <c r="D81" t="n">
        <v>0</v>
      </c>
      <c r="E81" t="n">
        <v>0</v>
      </c>
      <c r="F81" t="n">
        <v>6</v>
      </c>
      <c r="H81" t="n">
        <v>0</v>
      </c>
      <c r="I81" t="n">
        <v>0</v>
      </c>
      <c r="J81" t="n">
        <v>0</v>
      </c>
      <c r="K81" t="n">
        <v>0</v>
      </c>
      <c r="L81" t="n">
        <v>0</v>
      </c>
      <c r="M81" t="n">
        <v>0</v>
      </c>
      <c r="N81" t="n">
        <v>0</v>
      </c>
    </row>
    <row r="82">
      <c r="A82" t="inlineStr">
        <is>
          <t>cost of ploughs</t>
        </is>
      </c>
      <c r="B82" t="inlineStr">
        <is>
          <t>fitting the said plough with an axle on two occasions 2pence.</t>
        </is>
      </c>
      <c r="C82" t="n">
        <v>0.01</v>
      </c>
      <c r="D82" t="n">
        <v>0</v>
      </c>
      <c r="E82" t="n">
        <v>0</v>
      </c>
      <c r="F82" t="n">
        <v>2</v>
      </c>
      <c r="H82" t="n">
        <v>0</v>
      </c>
      <c r="I82" t="n">
        <v>0</v>
      </c>
      <c r="J82" t="n">
        <v>0</v>
      </c>
      <c r="K82" t="n">
        <v>0</v>
      </c>
      <c r="L82" t="n">
        <v>0</v>
      </c>
      <c r="M82" t="n">
        <v>0</v>
      </c>
      <c r="N82" t="n">
        <v>0</v>
      </c>
    </row>
    <row r="83">
      <c r="A83" t="inlineStr">
        <is>
          <t>cost of ploughs</t>
        </is>
      </c>
      <c r="B83" t="inlineStr">
        <is>
          <t>one pair of wheels bought for the same 7pence.</t>
        </is>
      </c>
      <c r="C83" t="n">
        <v>0.03</v>
      </c>
      <c r="D83" t="n">
        <v>0</v>
      </c>
      <c r="E83" t="n">
        <v>0</v>
      </c>
      <c r="F83" t="n">
        <v>7</v>
      </c>
      <c r="H83" t="n">
        <v>0</v>
      </c>
      <c r="I83" t="n">
        <v>0</v>
      </c>
      <c r="J83" t="n">
        <v>0</v>
      </c>
      <c r="K83" t="n">
        <v>0</v>
      </c>
      <c r="L83" t="n">
        <v>0</v>
      </c>
      <c r="M83" t="n">
        <v>0</v>
      </c>
      <c r="N83" t="n">
        <v>0</v>
      </c>
    </row>
    <row r="84">
      <c r="A84" t="inlineStr">
        <is>
          <t>cost of ploughs</t>
        </is>
      </c>
      <c r="B84" t="inlineStr">
        <is>
          <t>stipend of one ploughdriver for the year 5 shilling sum 10 shilling 5pence.</t>
        </is>
      </c>
      <c r="C84" t="n">
        <v>0.27</v>
      </c>
      <c r="D84" t="n">
        <v>0</v>
      </c>
      <c r="E84" t="n">
        <v>5</v>
      </c>
      <c r="F84" t="n">
        <v>5</v>
      </c>
      <c r="H84" t="n">
        <v>0</v>
      </c>
      <c r="I84" t="n">
        <v>0</v>
      </c>
      <c r="J84" t="n">
        <v>0</v>
      </c>
      <c r="K84" t="n">
        <v>0</v>
      </c>
      <c r="L84" t="n">
        <v>0</v>
      </c>
      <c r="M84" t="n">
        <v>0</v>
      </c>
      <c r="N84" t="n">
        <v>0</v>
      </c>
    </row>
    <row r="85">
      <c r="A85" t="inlineStr">
        <is>
          <t>cost of customary tenants</t>
        </is>
      </c>
      <c r="B85" t="inlineStr">
        <is>
          <t>the same accounts for 28 herrings bought for the expenses of 14 customary tenants harrowing for one day at the sowing of oats 3½d, namely to each two herrings and bread from stock as elsewhere.</t>
        </is>
      </c>
      <c r="C85" t="n">
        <v>0</v>
      </c>
      <c r="D85" t="n">
        <v>0</v>
      </c>
      <c r="E85" t="n">
        <v>0</v>
      </c>
      <c r="F85" t="n">
        <v>0</v>
      </c>
      <c r="G85" t="inlineStr">
        <is>
          <t>oats</t>
        </is>
      </c>
      <c r="H85" t="n">
        <v>0</v>
      </c>
      <c r="I85" t="n">
        <v>0</v>
      </c>
      <c r="J85" t="n">
        <v>0</v>
      </c>
      <c r="K85" t="n">
        <v>0</v>
      </c>
      <c r="L85" t="n">
        <v>0</v>
      </c>
      <c r="M85" t="n">
        <v>0</v>
      </c>
      <c r="N85" t="n">
        <v>0</v>
      </c>
    </row>
    <row r="86">
      <c r="A86" t="inlineStr">
        <is>
          <t>cost of customary tenants</t>
        </is>
      </c>
      <c r="B86" t="inlineStr">
        <is>
          <t>likewise in expenses of 19 customary tenants carrying the lord’s manure out of the manor onto the lord’s land for two days this year 2 shilling 4 pence, each taking for a day by custom ¾d.</t>
        </is>
      </c>
      <c r="C86" t="n">
        <v>0.12</v>
      </c>
      <c r="D86" t="n">
        <v>0</v>
      </c>
      <c r="E86" t="n">
        <v>2</v>
      </c>
      <c r="F86" t="n">
        <v>4</v>
      </c>
      <c r="H86" t="n">
        <v>0</v>
      </c>
      <c r="I86" t="n">
        <v>0</v>
      </c>
      <c r="J86" t="n">
        <v>0</v>
      </c>
      <c r="K86" t="n">
        <v>0</v>
      </c>
      <c r="L86" t="n">
        <v>0</v>
      </c>
      <c r="M86" t="n">
        <v>0</v>
      </c>
      <c r="N86" t="n">
        <v>0</v>
      </c>
    </row>
    <row r="87">
      <c r="A87" t="inlineStr">
        <is>
          <t>cost of customary tenants</t>
        </is>
      </c>
      <c r="B87" t="inlineStr">
        <is>
          <t>sum 2 shilling 7½d.</t>
        </is>
      </c>
      <c r="C87" t="n">
        <v>0.1</v>
      </c>
      <c r="D87" t="n">
        <v>0</v>
      </c>
      <c r="E87" t="n">
        <v>2</v>
      </c>
      <c r="F87" t="n">
        <v>0</v>
      </c>
      <c r="H87" t="n">
        <v>0</v>
      </c>
      <c r="I87" t="n">
        <v>0</v>
      </c>
      <c r="J87" t="n">
        <v>0</v>
      </c>
      <c r="K87" t="n">
        <v>0</v>
      </c>
      <c r="L87" t="n">
        <v>0</v>
      </c>
      <c r="M87" t="n">
        <v>0</v>
      </c>
      <c r="N87" t="n">
        <v>0</v>
      </c>
    </row>
    <row r="88">
      <c r="A88" t="inlineStr">
        <is>
          <t>cost of carts</t>
        </is>
      </c>
      <c r="B88" t="inlineStr">
        <is>
          <t>the same accounts for three iron tyres bought for fitting to, and mending, broken wheels 5 pence, because the wheels were worn out.</t>
        </is>
      </c>
      <c r="C88" t="n">
        <v>0.02</v>
      </c>
      <c r="D88" t="n">
        <v>0</v>
      </c>
      <c r="E88" t="n">
        <v>0</v>
      </c>
      <c r="F88" t="n">
        <v>5</v>
      </c>
      <c r="H88" t="n">
        <v>0</v>
      </c>
      <c r="I88" t="n">
        <v>0</v>
      </c>
      <c r="J88" t="n">
        <v>0</v>
      </c>
      <c r="K88" t="n">
        <v>0</v>
      </c>
      <c r="L88" t="n">
        <v>0</v>
      </c>
      <c r="M88" t="n">
        <v>0</v>
      </c>
      <c r="N88" t="n">
        <v>0</v>
      </c>
    </row>
    <row r="89">
      <c r="A89" t="inlineStr">
        <is>
          <t>cost of carts</t>
        </is>
      </c>
      <c r="B89" t="inlineStr">
        <is>
          <t>eight clouts bought for the cart for the year 8pence.</t>
        </is>
      </c>
      <c r="C89" t="n">
        <v>0.03</v>
      </c>
      <c r="D89" t="n">
        <v>0</v>
      </c>
      <c r="E89" t="n">
        <v>0</v>
      </c>
      <c r="F89" t="n">
        <v>8</v>
      </c>
      <c r="H89" t="n">
        <v>0</v>
      </c>
      <c r="I89" t="n">
        <v>0</v>
      </c>
      <c r="J89" t="n">
        <v>0</v>
      </c>
      <c r="K89" t="n">
        <v>0</v>
      </c>
      <c r="L89" t="n">
        <v>0</v>
      </c>
      <c r="M89" t="n">
        <v>0</v>
      </c>
      <c r="N89" t="n">
        <v>0</v>
      </c>
    </row>
    <row r="90">
      <c r="A90" t="inlineStr">
        <is>
          <t>cost of carts</t>
        </is>
      </c>
      <c r="B90" t="inlineStr">
        <is>
          <t>nails for the same and for renewing 1pence.</t>
        </is>
      </c>
      <c r="C90" t="n">
        <v>0</v>
      </c>
      <c r="D90" t="n">
        <v>0</v>
      </c>
      <c r="E90" t="n">
        <v>0</v>
      </c>
      <c r="F90" t="n">
        <v>1</v>
      </c>
      <c r="H90" t="n">
        <v>0</v>
      </c>
      <c r="I90" t="n">
        <v>0</v>
      </c>
      <c r="J90" t="n">
        <v>0</v>
      </c>
      <c r="K90" t="n">
        <v>0</v>
      </c>
      <c r="L90" t="n">
        <v>0</v>
      </c>
      <c r="M90" t="n">
        <v>0</v>
      </c>
      <c r="N90" t="n">
        <v>0</v>
      </c>
    </row>
    <row r="91">
      <c r="A91" t="inlineStr">
        <is>
          <t>cost of carts</t>
        </is>
      </c>
      <c r="B91" t="inlineStr">
        <is>
          <t>grease bought for the.</t>
        </is>
      </c>
      <c r="C91" t="n">
        <v>0</v>
      </c>
      <c r="D91" t="n">
        <v>0</v>
      </c>
      <c r="E91" t="n">
        <v>0</v>
      </c>
      <c r="F91" t="n">
        <v>0</v>
      </c>
      <c r="H91" t="n">
        <v>0</v>
      </c>
      <c r="I91" t="n">
        <v>0</v>
      </c>
      <c r="J91" t="n">
        <v>0</v>
      </c>
      <c r="K91" t="n">
        <v>0</v>
      </c>
      <c r="L91" t="n">
        <v>0</v>
      </c>
      <c r="M91" t="n">
        <v>0</v>
      </c>
      <c r="N91" t="n">
        <v>0</v>
      </c>
    </row>
    <row r="92">
      <c r="A92" t="inlineStr">
        <is>
          <t>cost of carts</t>
        </is>
      </c>
      <c r="B92" t="inlineStr">
        <is>
          <t>--- page 5 ---.</t>
        </is>
      </c>
      <c r="C92" t="n">
        <v>0</v>
      </c>
      <c r="D92" t="n">
        <v>0</v>
      </c>
      <c r="E92" t="n">
        <v>0</v>
      </c>
      <c r="F92" t="n">
        <v>0</v>
      </c>
      <c r="H92" t="n">
        <v>0</v>
      </c>
      <c r="I92" t="n">
        <v>0</v>
      </c>
      <c r="J92" t="n">
        <v>0</v>
      </c>
      <c r="K92" t="n">
        <v>0</v>
      </c>
      <c r="L92" t="n">
        <v>0</v>
      </c>
      <c r="M92" t="n">
        <v>0</v>
      </c>
      <c r="N92" t="n">
        <v>0</v>
      </c>
    </row>
    <row r="93">
      <c r="A93" t="inlineStr">
        <is>
          <t>cost of carts</t>
        </is>
      </c>
      <c r="B93" t="inlineStr">
        <is>
          <t>same for the year 3pence.</t>
        </is>
      </c>
      <c r="C93" t="n">
        <v>0.01</v>
      </c>
      <c r="D93" t="n">
        <v>0</v>
      </c>
      <c r="E93" t="n">
        <v>0</v>
      </c>
      <c r="F93" t="n">
        <v>3</v>
      </c>
      <c r="H93" t="n">
        <v>0</v>
      </c>
      <c r="I93" t="n">
        <v>0</v>
      </c>
      <c r="J93" t="n">
        <v>0</v>
      </c>
      <c r="K93" t="n">
        <v>0</v>
      </c>
      <c r="L93" t="n">
        <v>0</v>
      </c>
      <c r="M93" t="n">
        <v>0</v>
      </c>
      <c r="N93" t="n">
        <v>0</v>
      </c>
    </row>
    <row r="94">
      <c r="A94" t="inlineStr">
        <is>
          <t>cost of carts</t>
        </is>
      </c>
      <c r="B94" t="inlineStr">
        <is>
          <t>one base bought for the saddle of the cart 4pence.</t>
        </is>
      </c>
      <c r="C94" t="n">
        <v>0.02</v>
      </c>
      <c r="D94" t="n">
        <v>0</v>
      </c>
      <c r="E94" t="n">
        <v>0</v>
      </c>
      <c r="F94" t="n">
        <v>4</v>
      </c>
      <c r="H94" t="n">
        <v>0</v>
      </c>
      <c r="I94" t="n">
        <v>0</v>
      </c>
      <c r="J94" t="n">
        <v>0</v>
      </c>
      <c r="K94" t="n">
        <v>0</v>
      </c>
      <c r="L94" t="n">
        <v>0</v>
      </c>
      <c r="M94" t="n">
        <v>0</v>
      </c>
      <c r="N94" t="n">
        <v>0</v>
      </c>
    </row>
    <row r="95">
      <c r="A95" t="inlineStr">
        <is>
          <t>cost of carts</t>
        </is>
      </c>
      <c r="B95" t="inlineStr">
        <is>
          <t>white-tawed leather bought for mending the harness of the cart for the year 3pence.</t>
        </is>
      </c>
      <c r="C95" t="n">
        <v>0.01</v>
      </c>
      <c r="D95" t="n">
        <v>0</v>
      </c>
      <c r="E95" t="n">
        <v>0</v>
      </c>
      <c r="F95" t="n">
        <v>3</v>
      </c>
      <c r="H95" t="n">
        <v>0</v>
      </c>
      <c r="I95" t="n">
        <v>0</v>
      </c>
      <c r="J95" t="n">
        <v>0</v>
      </c>
      <c r="K95" t="n">
        <v>0</v>
      </c>
      <c r="L95" t="n">
        <v>0</v>
      </c>
      <c r="M95" t="n">
        <v>0</v>
      </c>
      <c r="N95" t="n">
        <v>0</v>
      </c>
    </row>
    <row r="96">
      <c r="A96" t="inlineStr">
        <is>
          <t>cost of carts</t>
        </is>
      </c>
      <c r="B96" t="inlineStr">
        <is>
          <t>two halters bought 2pence.</t>
        </is>
      </c>
      <c r="C96" t="n">
        <v>0.01</v>
      </c>
      <c r="D96" t="n">
        <v>0</v>
      </c>
      <c r="E96" t="n">
        <v>0</v>
      </c>
      <c r="F96" t="n">
        <v>2</v>
      </c>
      <c r="H96" t="n">
        <v>0</v>
      </c>
      <c r="I96" t="n">
        <v>0</v>
      </c>
      <c r="J96" t="n">
        <v>0</v>
      </c>
      <c r="K96" t="n">
        <v>0</v>
      </c>
      <c r="L96" t="n">
        <v>0</v>
      </c>
      <c r="M96" t="n">
        <v>0</v>
      </c>
      <c r="N96" t="n">
        <v>0</v>
      </c>
    </row>
    <row r="97">
      <c r="A97" t="inlineStr">
        <is>
          <t>cost of carts</t>
        </is>
      </c>
      <c r="B97" t="inlineStr">
        <is>
          <t>one pair of traces bought 5pence.</t>
        </is>
      </c>
      <c r="C97" t="n">
        <v>0.02</v>
      </c>
      <c r="D97" t="n">
        <v>0</v>
      </c>
      <c r="E97" t="n">
        <v>0</v>
      </c>
      <c r="F97" t="n">
        <v>5</v>
      </c>
      <c r="H97" t="n">
        <v>0</v>
      </c>
      <c r="I97" t="n">
        <v>0</v>
      </c>
      <c r="J97" t="n">
        <v>0</v>
      </c>
      <c r="K97" t="n">
        <v>0</v>
      </c>
      <c r="L97" t="n">
        <v>0</v>
      </c>
      <c r="M97" t="n">
        <v>0</v>
      </c>
      <c r="N97" t="n">
        <v>0</v>
      </c>
    </row>
    <row r="98">
      <c r="A98" t="inlineStr">
        <is>
          <t>cost of carts</t>
        </is>
      </c>
      <c r="B98" t="inlineStr">
        <is>
          <t>a carpenter for one axle for the cart 1pence.</t>
        </is>
      </c>
      <c r="C98" t="n">
        <v>0</v>
      </c>
      <c r="D98" t="n">
        <v>0</v>
      </c>
      <c r="E98" t="n">
        <v>0</v>
      </c>
      <c r="F98" t="n">
        <v>1</v>
      </c>
      <c r="H98" t="n">
        <v>0</v>
      </c>
      <c r="I98" t="n">
        <v>0</v>
      </c>
      <c r="J98" t="n">
        <v>0</v>
      </c>
      <c r="K98" t="n">
        <v>0</v>
      </c>
      <c r="L98" t="n">
        <v>0</v>
      </c>
      <c r="M98" t="n">
        <v>0</v>
      </c>
      <c r="N98" t="n">
        <v>0</v>
      </c>
    </row>
    <row r="99">
      <c r="A99" t="inlineStr">
        <is>
          <t>cost of carts</t>
        </is>
      </c>
      <c r="B99" t="inlineStr">
        <is>
          <t>shoeing 2 horses of the manor for the year 2 shilling 6pence.</t>
        </is>
      </c>
      <c r="C99" t="n">
        <v>0.12</v>
      </c>
      <c r="D99" t="n">
        <v>0</v>
      </c>
      <c r="E99" t="n">
        <v>2</v>
      </c>
      <c r="F99" t="n">
        <v>6</v>
      </c>
      <c r="H99" t="n">
        <v>0</v>
      </c>
      <c r="I99" t="n">
        <v>0</v>
      </c>
      <c r="J99" t="n">
        <v>0</v>
      </c>
      <c r="K99" t="n">
        <v>0</v>
      </c>
      <c r="L99" t="n">
        <v>0</v>
      </c>
      <c r="M99" t="n">
        <v>0</v>
      </c>
      <c r="N99" t="n">
        <v>0</v>
      </c>
    </row>
    <row r="100">
      <c r="A100" t="inlineStr">
        <is>
          <t>cost of carts</t>
        </is>
      </c>
      <c r="B100" t="inlineStr">
        <is>
          <t>stipend of one carter for the year 5 shilling sum 10 shilling 2pence.</t>
        </is>
      </c>
      <c r="C100" t="n">
        <v>0.26</v>
      </c>
      <c r="D100" t="n">
        <v>0</v>
      </c>
      <c r="E100" t="n">
        <v>5</v>
      </c>
      <c r="F100" t="n">
        <v>2</v>
      </c>
      <c r="H100" t="n">
        <v>0</v>
      </c>
      <c r="I100" t="n">
        <v>0</v>
      </c>
      <c r="J100" t="n">
        <v>0</v>
      </c>
      <c r="K100" t="n">
        <v>0</v>
      </c>
      <c r="L100" t="n">
        <v>0</v>
      </c>
      <c r="M100" t="n">
        <v>0</v>
      </c>
      <c r="N100" t="n">
        <v>0</v>
      </c>
    </row>
    <row r="101">
      <c r="A101" t="inlineStr">
        <is>
          <t>small necessaries</t>
        </is>
      </c>
      <c r="B101" t="inlineStr">
        <is>
          <t>the same accounts for 1 bushel of salt bought for expenses of the manor for the year 4pence.</t>
        </is>
      </c>
      <c r="C101" t="n">
        <v>0.02</v>
      </c>
      <c r="D101" t="n">
        <v>0</v>
      </c>
      <c r="E101" t="n">
        <v>0</v>
      </c>
      <c r="F101" t="n">
        <v>4</v>
      </c>
      <c r="H101" t="n">
        <v>0</v>
      </c>
      <c r="I101" t="n">
        <v>0</v>
      </c>
      <c r="J101" t="n">
        <v>0</v>
      </c>
      <c r="K101" t="n">
        <v>0</v>
      </c>
      <c r="L101" t="n">
        <v>0</v>
      </c>
      <c r="M101" t="n">
        <v>0</v>
      </c>
      <c r="N101" t="n">
        <v>0</v>
      </c>
    </row>
    <row r="102">
      <c r="A102" t="inlineStr">
        <is>
          <t>small necessaries</t>
        </is>
      </c>
      <c r="B102" t="inlineStr">
        <is>
          <t>one shovel and one spade with iron bought 5½d.</t>
        </is>
      </c>
      <c r="C102" t="n">
        <v>0</v>
      </c>
      <c r="D102" t="n">
        <v>0</v>
      </c>
      <c r="E102" t="n">
        <v>0</v>
      </c>
      <c r="F102" t="n">
        <v>0</v>
      </c>
      <c r="H102" t="n">
        <v>0</v>
      </c>
      <c r="I102" t="n">
        <v>0</v>
      </c>
      <c r="J102" t="n">
        <v>0</v>
      </c>
      <c r="K102" t="n">
        <v>0</v>
      </c>
      <c r="L102" t="n">
        <v>0</v>
      </c>
      <c r="M102" t="n">
        <v>0</v>
      </c>
      <c r="N102" t="n">
        <v>0</v>
      </c>
    </row>
    <row r="103">
      <c r="A103" t="inlineStr">
        <is>
          <t>small necessaries</t>
        </is>
      </c>
      <c r="B103" t="inlineStr">
        <is>
          <t>one harrow made from the lord’s timber 2½d.</t>
        </is>
      </c>
      <c r="C103" t="n">
        <v>0</v>
      </c>
      <c r="D103" t="n">
        <v>0</v>
      </c>
      <c r="E103" t="n">
        <v>0</v>
      </c>
      <c r="F103" t="n">
        <v>0</v>
      </c>
      <c r="H103" t="n">
        <v>0</v>
      </c>
      <c r="I103" t="n">
        <v>0</v>
      </c>
      <c r="J103" t="n">
        <v>0</v>
      </c>
      <c r="K103" t="n">
        <v>0</v>
      </c>
      <c r="L103" t="n">
        <v>0</v>
      </c>
      <c r="M103" t="n">
        <v>0</v>
      </c>
      <c r="N103" t="n">
        <v>0</v>
      </c>
    </row>
    <row r="104">
      <c r="A104" t="inlineStr">
        <is>
          <t>small necessaries</t>
        </is>
      </c>
      <c r="B104" t="inlineStr">
        <is>
          <t>castrating 16 male lambs 2pence.</t>
        </is>
      </c>
      <c r="C104" t="n">
        <v>0.01</v>
      </c>
      <c r="D104" t="n">
        <v>0</v>
      </c>
      <c r="E104" t="n">
        <v>0</v>
      </c>
      <c r="F104" t="n">
        <v>2</v>
      </c>
      <c r="H104" t="n">
        <v>0</v>
      </c>
      <c r="I104" t="n">
        <v>0</v>
      </c>
      <c r="J104" t="n">
        <v>0</v>
      </c>
      <c r="K104" t="n">
        <v>0</v>
      </c>
      <c r="L104" t="n">
        <v>0</v>
      </c>
      <c r="M104" t="n">
        <v>0</v>
      </c>
      <c r="N104" t="n">
        <v>0</v>
      </c>
    </row>
    <row r="105">
      <c r="A105" t="inlineStr">
        <is>
          <t>small necessaries</t>
        </is>
      </c>
      <c r="B105" t="inlineStr">
        <is>
          <t>tithe paid for 2 lambs on the point of death not taken from the stock 1pence sum 15pence.</t>
        </is>
      </c>
      <c r="C105" t="n">
        <v>0</v>
      </c>
      <c r="D105" t="n">
        <v>0</v>
      </c>
      <c r="E105" t="n">
        <v>0</v>
      </c>
      <c r="F105" t="n">
        <v>1</v>
      </c>
      <c r="H105" t="n">
        <v>0</v>
      </c>
      <c r="I105" t="n">
        <v>0</v>
      </c>
      <c r="J105" t="n">
        <v>0</v>
      </c>
      <c r="K105" t="n">
        <v>0</v>
      </c>
      <c r="L105" t="n">
        <v>0</v>
      </c>
      <c r="M105" t="n">
        <v>0</v>
      </c>
      <c r="N105" t="n">
        <v>0</v>
      </c>
    </row>
    <row r="106">
      <c r="A106" t="inlineStr">
        <is>
          <t>cost of the sheephouse</t>
        </is>
      </c>
      <c r="B106" t="inlineStr">
        <is>
          <t>the same accounts for eight hurdles bought for the lord’s fold 12 pence, price of a hurdle 1½d.</t>
        </is>
      </c>
      <c r="C106" t="n">
        <v>0.05</v>
      </c>
      <c r="D106" t="n">
        <v>0</v>
      </c>
      <c r="E106" t="n">
        <v>0</v>
      </c>
      <c r="F106" t="n">
        <v>12</v>
      </c>
      <c r="H106" t="n">
        <v>0</v>
      </c>
      <c r="I106" t="n">
        <v>0</v>
      </c>
      <c r="J106" t="n">
        <v>0</v>
      </c>
      <c r="K106" t="n">
        <v>0</v>
      </c>
      <c r="L106" t="n">
        <v>0</v>
      </c>
      <c r="M106" t="n">
        <v>0</v>
      </c>
      <c r="N106" t="n">
        <v>0</v>
      </c>
    </row>
    <row r="107">
      <c r="A107" t="inlineStr">
        <is>
          <t>cost of the sheephouse</t>
        </is>
      </c>
      <c r="B107" t="inlineStr">
        <is>
          <t>six hurdles made from the lord’s withies and for gathering the said withies 4pence.</t>
        </is>
      </c>
      <c r="C107" t="n">
        <v>0.02</v>
      </c>
      <c r="D107" t="n">
        <v>0</v>
      </c>
      <c r="E107" t="n">
        <v>0</v>
      </c>
      <c r="F107" t="n">
        <v>4</v>
      </c>
      <c r="H107" t="n">
        <v>0</v>
      </c>
      <c r="I107" t="n">
        <v>0</v>
      </c>
      <c r="J107" t="n">
        <v>0</v>
      </c>
      <c r="K107" t="n">
        <v>0</v>
      </c>
      <c r="L107" t="n">
        <v>0</v>
      </c>
      <c r="M107" t="n">
        <v>0</v>
      </c>
      <c r="N107" t="n">
        <v>0</v>
      </c>
    </row>
    <row r="108">
      <c r="A108" t="inlineStr">
        <is>
          <t>cost of the sheephouse</t>
        </is>
      </c>
      <c r="B108" t="inlineStr">
        <is>
          <t>2 gallons of tar bought for making sheep salve 8pence.</t>
        </is>
      </c>
      <c r="C108" t="n">
        <v>0.03</v>
      </c>
      <c r="D108" t="n">
        <v>0</v>
      </c>
      <c r="E108" t="n">
        <v>0</v>
      </c>
      <c r="F108" t="n">
        <v>8</v>
      </c>
      <c r="H108" t="n">
        <v>0</v>
      </c>
      <c r="I108" t="n">
        <v>0</v>
      </c>
      <c r="J108" t="n">
        <v>0</v>
      </c>
      <c r="K108" t="n">
        <v>0</v>
      </c>
      <c r="L108" t="n">
        <v>0</v>
      </c>
      <c r="M108" t="n">
        <v>0</v>
      </c>
      <c r="N108" t="n">
        <v>0</v>
      </c>
    </row>
    <row r="109">
      <c r="A109" t="inlineStr">
        <is>
          <t>cost of the sheephouse</t>
        </is>
      </c>
      <c r="B109" t="inlineStr">
        <is>
          <t>3 gallons of grease bought for the same 2 shilling 8pence.</t>
        </is>
      </c>
      <c r="C109" t="n">
        <v>0.13</v>
      </c>
      <c r="D109" t="n">
        <v>0</v>
      </c>
      <c r="E109" t="n">
        <v>2</v>
      </c>
      <c r="F109" t="n">
        <v>8</v>
      </c>
      <c r="H109" t="n">
        <v>0</v>
      </c>
      <c r="I109" t="n">
        <v>0</v>
      </c>
      <c r="J109" t="n">
        <v>0</v>
      </c>
      <c r="K109" t="n">
        <v>0</v>
      </c>
      <c r="L109" t="n">
        <v>0</v>
      </c>
      <c r="M109" t="n">
        <v>0</v>
      </c>
      <c r="N109" t="n">
        <v>0</v>
      </c>
    </row>
    <row r="110">
      <c r="A110" t="inlineStr">
        <is>
          <t>cost of the sheephouse</t>
        </is>
      </c>
      <c r="B110" t="inlineStr">
        <is>
          <t>customary payment of seven customary tenants washing and shearing the lord’s sheep that were on land pertaining to the manor of esher 5¼d, to each by custom ¾d.</t>
        </is>
      </c>
      <c r="C110" t="n">
        <v>0</v>
      </c>
      <c r="D110" t="n">
        <v>0</v>
      </c>
      <c r="E110" t="n">
        <v>0</v>
      </c>
      <c r="F110" t="n">
        <v>0</v>
      </c>
      <c r="H110" t="n">
        <v>0</v>
      </c>
      <c r="I110" t="n">
        <v>0</v>
      </c>
      <c r="J110" t="n">
        <v>0</v>
      </c>
      <c r="K110" t="n">
        <v>0</v>
      </c>
      <c r="L110" t="n">
        <v>0</v>
      </c>
      <c r="M110" t="n">
        <v>0</v>
      </c>
      <c r="N110" t="n">
        <v>0</v>
      </c>
    </row>
    <row r="111">
      <c r="A111" t="inlineStr">
        <is>
          <t>cost of the sheephouse</t>
        </is>
      </c>
      <c r="B111" t="inlineStr">
        <is>
          <t>likewise in washing and shearing 140 of the lord’s sheep that were on the land of northwode 14 pence, for every 10 1 pence, because the customary tenants refused to do this because they were not within the fee of esher.</t>
        </is>
      </c>
      <c r="C111" t="n">
        <v>0.06</v>
      </c>
      <c r="D111" t="n">
        <v>0</v>
      </c>
      <c r="E111" t="n">
        <v>0</v>
      </c>
      <c r="F111" t="n">
        <v>14</v>
      </c>
      <c r="H111" t="n">
        <v>0</v>
      </c>
      <c r="I111" t="n">
        <v>0</v>
      </c>
      <c r="J111" t="n">
        <v>0</v>
      </c>
      <c r="K111" t="n">
        <v>0</v>
      </c>
      <c r="L111" t="n">
        <v>0</v>
      </c>
      <c r="M111" t="n">
        <v>0</v>
      </c>
      <c r="N111" t="n">
        <v>0</v>
      </c>
    </row>
    <row r="112">
      <c r="A112" t="inlineStr">
        <is>
          <t>cost of the sheephouse</t>
        </is>
      </c>
      <c r="B112" t="inlineStr">
        <is>
          <t>stipend of one shepherd for the year 5 shilling.</t>
        </is>
      </c>
      <c r="C112" t="n">
        <v>0.25</v>
      </c>
      <c r="D112" t="n">
        <v>0</v>
      </c>
      <c r="E112" t="n">
        <v>5</v>
      </c>
      <c r="F112" t="n">
        <v>0</v>
      </c>
      <c r="H112" t="n">
        <v>0</v>
      </c>
      <c r="I112" t="n">
        <v>0</v>
      </c>
      <c r="J112" t="n">
        <v>0</v>
      </c>
      <c r="K112" t="n">
        <v>0</v>
      </c>
      <c r="L112" t="n">
        <v>0</v>
      </c>
      <c r="M112" t="n">
        <v>0</v>
      </c>
      <c r="N112" t="n">
        <v>0</v>
      </c>
    </row>
    <row r="113">
      <c r="A113" t="inlineStr">
        <is>
          <t>cost of the sheephouse</t>
        </is>
      </c>
      <c r="B113" t="inlineStr">
        <is>
          <t>stipend of one boy guarding the lord’s hoggets separately at southwode from the feast of st michael until the feast of pentecost [1 june] 15pence sum 12 shilling 6¼d.</t>
        </is>
      </c>
      <c r="C113" t="n">
        <v>0.66</v>
      </c>
      <c r="D113" t="n">
        <v>0</v>
      </c>
      <c r="E113" t="n">
        <v>12</v>
      </c>
      <c r="F113" t="n">
        <v>15</v>
      </c>
      <c r="H113" t="n">
        <v>0</v>
      </c>
      <c r="I113" t="n">
        <v>0</v>
      </c>
      <c r="J113" t="n">
        <v>0</v>
      </c>
      <c r="K113" t="n">
        <v>0</v>
      </c>
      <c r="L113" t="n">
        <v>0</v>
      </c>
      <c r="M113" t="n">
        <v>0</v>
      </c>
      <c r="N113" t="n">
        <v>0</v>
      </c>
    </row>
    <row r="114">
      <c r="A114" t="inlineStr">
        <is>
          <t>cost of buildings</t>
        </is>
      </c>
      <c r="B114" t="inlineStr">
        <is>
          <t>the same accounts for one roofer hired for roofing on the grange and oxshed of northwode and on one piece of the wall next to the bridge of the manor of esher together with his helper for eight days 2 shilling 8 pence, taking for a day 4pence.</t>
        </is>
      </c>
      <c r="C114" t="n">
        <v>0.13</v>
      </c>
      <c r="D114" t="n">
        <v>0</v>
      </c>
      <c r="E114" t="n">
        <v>2</v>
      </c>
      <c r="F114" t="n">
        <v>8</v>
      </c>
      <c r="H114" t="n">
        <v>0</v>
      </c>
      <c r="I114" t="n">
        <v>0</v>
      </c>
      <c r="J114" t="n">
        <v>0</v>
      </c>
      <c r="K114" t="n">
        <v>0</v>
      </c>
      <c r="L114" t="n">
        <v>0</v>
      </c>
      <c r="M114" t="n">
        <v>0</v>
      </c>
      <c r="N114" t="n">
        <v>0</v>
      </c>
    </row>
    <row r="115">
      <c r="A115" t="inlineStr">
        <is>
          <t>cost of buildings</t>
        </is>
      </c>
      <c r="B115" t="inlineStr">
        <is>
          <t>100 laths bought for the same 3pence.</t>
        </is>
      </c>
      <c r="C115" t="n">
        <v>0.01</v>
      </c>
      <c r="D115" t="n">
        <v>0</v>
      </c>
      <c r="E115" t="n">
        <v>0</v>
      </c>
      <c r="F115" t="n">
        <v>3</v>
      </c>
      <c r="H115" t="n">
        <v>0</v>
      </c>
      <c r="I115" t="n">
        <v>0</v>
      </c>
      <c r="J115" t="n">
        <v>0</v>
      </c>
      <c r="K115" t="n">
        <v>0</v>
      </c>
      <c r="L115" t="n">
        <v>0</v>
      </c>
      <c r="M115" t="n">
        <v>0</v>
      </c>
      <c r="N115" t="n">
        <v>0</v>
      </c>
    </row>
    <row r="116">
      <c r="A116" t="inlineStr">
        <is>
          <t>cost of buildings</t>
        </is>
      </c>
      <c r="B116" t="inlineStr">
        <is>
          <t>300 lath nails bought for the same 3½d.</t>
        </is>
      </c>
      <c r="C116" t="n">
        <v>0</v>
      </c>
      <c r="D116" t="n">
        <v>0</v>
      </c>
      <c r="E116" t="n">
        <v>0</v>
      </c>
      <c r="F116" t="n">
        <v>0</v>
      </c>
      <c r="H116" t="n">
        <v>0</v>
      </c>
      <c r="I116" t="n">
        <v>0</v>
      </c>
      <c r="J116" t="n">
        <v>0</v>
      </c>
      <c r="K116" t="n">
        <v>0</v>
      </c>
      <c r="L116" t="n">
        <v>0</v>
      </c>
      <c r="M116" t="n">
        <v>0</v>
      </c>
      <c r="N116" t="n">
        <v>0</v>
      </c>
    </row>
    <row r="117">
      <c r="A117" t="inlineStr">
        <is>
          <t>cost of buildings</t>
        </is>
      </c>
      <c r="B117" t="inlineStr">
        <is>
          <t>sum 3 shilling 2½d.</t>
        </is>
      </c>
      <c r="C117" t="n">
        <v>0.15</v>
      </c>
      <c r="D117" t="n">
        <v>0</v>
      </c>
      <c r="E117" t="n">
        <v>3</v>
      </c>
      <c r="F117" t="n">
        <v>0</v>
      </c>
      <c r="H117" t="n">
        <v>0</v>
      </c>
      <c r="I117" t="n">
        <v>0</v>
      </c>
      <c r="J117" t="n">
        <v>0</v>
      </c>
      <c r="K117" t="n">
        <v>0</v>
      </c>
      <c r="L117" t="n">
        <v>0</v>
      </c>
      <c r="M117" t="n">
        <v>0</v>
      </c>
      <c r="N117" t="n">
        <v>0</v>
      </c>
    </row>
    <row r="118">
      <c r="A118" t="inlineStr">
        <is>
          <t>threshing corn</t>
        </is>
      </c>
      <c r="B118" t="inlineStr">
        <is>
          <t>the same accounts for threshing 9 quarters 1 bushel of wheat and curallum, 32 quarters 5 bushels of rye, and 4 bushels of peas by piecework 7 shilling ½d, for a quarter 2pence.</t>
        </is>
      </c>
      <c r="C118" t="n">
        <v>0.36</v>
      </c>
      <c r="D118" t="n">
        <v>0</v>
      </c>
      <c r="E118" t="n">
        <v>7</v>
      </c>
      <c r="F118" t="n">
        <v>2</v>
      </c>
      <c r="G118" t="inlineStr">
        <is>
          <t>wheat, rye, peas, curall</t>
        </is>
      </c>
      <c r="H118" t="n">
        <v>32</v>
      </c>
      <c r="I118" t="n">
        <v>9</v>
      </c>
      <c r="J118" t="n">
        <v>33.12</v>
      </c>
      <c r="K118" t="n">
        <v>9</v>
      </c>
      <c r="L118" t="n">
        <v>24.12</v>
      </c>
      <c r="M118" t="n">
        <v>9</v>
      </c>
      <c r="N118" t="n">
        <v>0</v>
      </c>
      <c r="O118" t="n">
        <v>32</v>
      </c>
      <c r="P118" t="n">
        <v>5</v>
      </c>
      <c r="Q118" t="n">
        <v>0</v>
      </c>
      <c r="R118" t="n">
        <v>4</v>
      </c>
    </row>
    <row r="119">
      <c r="A119" t="inlineStr">
        <is>
          <t>threshing corn</t>
        </is>
      </c>
      <c r="B119" t="inlineStr">
        <is>
          <t>1 quarter 2 bushels of barley threshed by piecework 2pence.</t>
        </is>
      </c>
      <c r="C119" t="n">
        <v>0.01</v>
      </c>
      <c r="D119" t="n">
        <v>0</v>
      </c>
      <c r="E119" t="n">
        <v>0</v>
      </c>
      <c r="F119" t="n">
        <v>2</v>
      </c>
      <c r="G119" t="inlineStr">
        <is>
          <t>barley</t>
        </is>
      </c>
      <c r="H119" t="n">
        <v>0</v>
      </c>
      <c r="I119" t="n">
        <v>2</v>
      </c>
      <c r="J119" t="n">
        <v>0.25</v>
      </c>
      <c r="K119" t="n">
        <v>0.25</v>
      </c>
      <c r="L119" t="n">
        <v>0</v>
      </c>
      <c r="M119" t="n">
        <v>0</v>
      </c>
      <c r="N119" t="n">
        <v>2</v>
      </c>
    </row>
    <row r="120">
      <c r="A120" t="inlineStr">
        <is>
          <t>threshing corn</t>
        </is>
      </c>
      <c r="B120" t="inlineStr">
        <is>
          <t>44 quarters 3 bushels of oats threshed by piecework 3 shilling 8½d, for a quarter 1pence.</t>
        </is>
      </c>
      <c r="C120" t="n">
        <v>0.15</v>
      </c>
      <c r="D120" t="n">
        <v>0</v>
      </c>
      <c r="E120" t="n">
        <v>3</v>
      </c>
      <c r="F120" t="n">
        <v>1</v>
      </c>
      <c r="G120" t="inlineStr">
        <is>
          <t>oats</t>
        </is>
      </c>
      <c r="H120" t="n">
        <v>44</v>
      </c>
      <c r="I120" t="n">
        <v>3</v>
      </c>
      <c r="J120" t="n">
        <v>44.38</v>
      </c>
      <c r="K120" t="n">
        <v>44.38</v>
      </c>
      <c r="L120" t="n">
        <v>0</v>
      </c>
      <c r="M120" t="n">
        <v>44</v>
      </c>
      <c r="N120" t="n">
        <v>3</v>
      </c>
    </row>
    <row r="121">
      <c r="A121" t="inlineStr">
        <is>
          <t>threshing corn</t>
        </is>
      </c>
      <c r="B121" t="inlineStr">
        <is>
          <t>winnowing all the aforesaid corn, which totalled 87 quarters 7 bushels, 2¼d, for a quarter ¼d.</t>
        </is>
      </c>
      <c r="C121" t="n">
        <v>0</v>
      </c>
      <c r="D121" t="n">
        <v>0</v>
      </c>
      <c r="E121" t="n">
        <v>0</v>
      </c>
      <c r="F121" t="n">
        <v>0</v>
      </c>
      <c r="H121" t="n">
        <v>87</v>
      </c>
      <c r="I121" t="n">
        <v>7</v>
      </c>
      <c r="J121" t="n">
        <v>87.88</v>
      </c>
      <c r="K121" t="n">
        <v>87.88</v>
      </c>
      <c r="L121" t="n">
        <v>0</v>
      </c>
      <c r="M121" t="n">
        <v>87</v>
      </c>
      <c r="N121" t="n">
        <v>7</v>
      </c>
    </row>
    <row r="122">
      <c r="A122" t="inlineStr">
        <is>
          <t>threshing corn</t>
        </is>
      </c>
      <c r="B122" t="inlineStr">
        <is>
          <t>sum 12 shilling 8¾d.</t>
        </is>
      </c>
      <c r="C122" t="n">
        <v>0.6</v>
      </c>
      <c r="D122" t="n">
        <v>0</v>
      </c>
      <c r="E122" t="n">
        <v>12</v>
      </c>
      <c r="F122" t="n">
        <v>0</v>
      </c>
      <c r="H122" t="n">
        <v>0</v>
      </c>
      <c r="I122" t="n">
        <v>0</v>
      </c>
      <c r="J122" t="n">
        <v>0</v>
      </c>
      <c r="K122" t="n">
        <v>0</v>
      </c>
      <c r="L122" t="n">
        <v>0</v>
      </c>
      <c r="M122" t="n">
        <v>0</v>
      </c>
      <c r="N122" t="n">
        <v>0</v>
      </c>
    </row>
    <row r="123">
      <c r="A123" t="inlineStr">
        <is>
          <t>purchase of corn</t>
        </is>
      </c>
      <c r="B123" t="inlineStr">
        <is>
          <t>the same accounts for 1 quarter of oats bought, as shown elsewhere, 15pence sum 15pence.</t>
        </is>
      </c>
      <c r="C123" t="n">
        <v>0.06</v>
      </c>
      <c r="D123" t="n">
        <v>0</v>
      </c>
      <c r="E123" t="n">
        <v>0</v>
      </c>
      <c r="F123" t="n">
        <v>15</v>
      </c>
      <c r="G123" t="inlineStr">
        <is>
          <t>oats</t>
        </is>
      </c>
      <c r="H123" t="n">
        <v>0</v>
      </c>
      <c r="I123" t="n">
        <v>0</v>
      </c>
      <c r="J123" t="n">
        <v>0</v>
      </c>
      <c r="K123" t="n">
        <v>0</v>
      </c>
      <c r="L123" t="n">
        <v>0</v>
      </c>
      <c r="M123" t="n">
        <v>0</v>
      </c>
      <c r="N123" t="n">
        <v>0</v>
      </c>
    </row>
    <row r="124">
      <c r="A124" t="inlineStr">
        <is>
          <t>purchase of corn</t>
        </is>
      </c>
      <c r="B124" t="inlineStr">
        <is>
          <t>--- page 6 ---.</t>
        </is>
      </c>
      <c r="C124" t="n">
        <v>0</v>
      </c>
      <c r="D124" t="n">
        <v>0</v>
      </c>
      <c r="E124" t="n">
        <v>0</v>
      </c>
      <c r="F124" t="n">
        <v>0</v>
      </c>
      <c r="H124" t="n">
        <v>0</v>
      </c>
      <c r="I124" t="n">
        <v>0</v>
      </c>
      <c r="J124" t="n">
        <v>0</v>
      </c>
      <c r="K124" t="n">
        <v>0</v>
      </c>
      <c r="L124" t="n">
        <v>0</v>
      </c>
      <c r="M124" t="n">
        <v>0</v>
      </c>
      <c r="N124" t="n">
        <v>0</v>
      </c>
    </row>
    <row r="125">
      <c r="A125" t="inlineStr">
        <is>
          <t>purchase of stock</t>
        </is>
      </c>
      <c r="B125" t="inlineStr">
        <is>
          <t>the same accounts as paid for 4 oxen bought for stock 50 shilling, attested by the same prior.</t>
        </is>
      </c>
      <c r="C125" t="n">
        <v>2.5</v>
      </c>
      <c r="D125" t="n">
        <v>0</v>
      </c>
      <c r="E125" t="n">
        <v>50</v>
      </c>
      <c r="F125" t="n">
        <v>0</v>
      </c>
      <c r="H125" t="n">
        <v>0</v>
      </c>
      <c r="I125" t="n">
        <v>0</v>
      </c>
      <c r="J125" t="n">
        <v>0</v>
      </c>
      <c r="K125" t="n">
        <v>0</v>
      </c>
      <c r="L125" t="n">
        <v>0</v>
      </c>
      <c r="M125" t="n">
        <v>0</v>
      </c>
      <c r="N125" t="n">
        <v>0</v>
      </c>
    </row>
    <row r="126">
      <c r="A126" t="inlineStr">
        <is>
          <t>purchase of stock</t>
        </is>
      </c>
      <c r="B126" t="inlineStr">
        <is>
          <t>76 lambs bought before shearing 42 shilling 9pence.</t>
        </is>
      </c>
      <c r="C126" t="n">
        <v>2.14</v>
      </c>
      <c r="D126" t="n">
        <v>0</v>
      </c>
      <c r="E126" t="n">
        <v>42</v>
      </c>
      <c r="F126" t="n">
        <v>9</v>
      </c>
      <c r="H126" t="n">
        <v>0</v>
      </c>
      <c r="I126" t="n">
        <v>0</v>
      </c>
      <c r="J126" t="n">
        <v>0</v>
      </c>
      <c r="K126" t="n">
        <v>0</v>
      </c>
      <c r="L126" t="n">
        <v>0</v>
      </c>
      <c r="M126" t="n">
        <v>0</v>
      </c>
      <c r="N126" t="n">
        <v>0</v>
      </c>
    </row>
    <row r="127">
      <c r="A127" t="inlineStr">
        <is>
          <t>purchase of stock</t>
        </is>
      </c>
      <c r="B127" t="inlineStr">
        <is>
          <t>34 lambs bought after shearing 22 shilling 8 pence, price of each 8pence sum 115 shilling 5pence.</t>
        </is>
      </c>
      <c r="C127" t="n">
        <v>1.13</v>
      </c>
      <c r="D127" t="n">
        <v>0</v>
      </c>
      <c r="E127" t="n">
        <v>22</v>
      </c>
      <c r="F127" t="n">
        <v>8</v>
      </c>
      <c r="H127" t="n">
        <v>0</v>
      </c>
      <c r="I127" t="n">
        <v>0</v>
      </c>
      <c r="J127" t="n">
        <v>0</v>
      </c>
      <c r="K127" t="n">
        <v>0</v>
      </c>
      <c r="L127" t="n">
        <v>0</v>
      </c>
      <c r="M127" t="n">
        <v>0</v>
      </c>
      <c r="N127" t="n">
        <v>0</v>
      </c>
    </row>
    <row r="128">
      <c r="A128" t="inlineStr">
        <is>
          <t>weeding and mowing</t>
        </is>
      </c>
      <c r="B128" t="inlineStr">
        <is>
          <t>the same accounts for weeding the lord’s corn at northwode this year 3 pence and at esher nothing because [by] the famuli.</t>
        </is>
      </c>
      <c r="C128" t="n">
        <v>0.01</v>
      </c>
      <c r="D128" t="n">
        <v>0</v>
      </c>
      <c r="E128" t="n">
        <v>0</v>
      </c>
      <c r="F128" t="n">
        <v>3</v>
      </c>
      <c r="H128" t="n">
        <v>0</v>
      </c>
      <c r="I128" t="n">
        <v>0</v>
      </c>
      <c r="J128" t="n">
        <v>0</v>
      </c>
      <c r="K128" t="n">
        <v>0</v>
      </c>
      <c r="L128" t="n">
        <v>0</v>
      </c>
      <c r="M128" t="n">
        <v>0</v>
      </c>
      <c r="N128" t="n">
        <v>0</v>
      </c>
    </row>
    <row r="129">
      <c r="A129" t="inlineStr">
        <is>
          <t>weeding and mowing</t>
        </is>
      </c>
      <c r="B129" t="inlineStr">
        <is>
          <t>expenses of customary tenants mowing the meadow of brodemed: bread and an accompaniment from stock, as elsewhere.</t>
        </is>
      </c>
      <c r="C129" t="n">
        <v>0</v>
      </c>
      <c r="D129" t="n">
        <v>0</v>
      </c>
      <c r="E129" t="n">
        <v>0</v>
      </c>
      <c r="F129" t="n">
        <v>0</v>
      </c>
      <c r="H129" t="n">
        <v>0</v>
      </c>
      <c r="I129" t="n">
        <v>0</v>
      </c>
      <c r="J129" t="n">
        <v>0</v>
      </c>
      <c r="K129" t="n">
        <v>0</v>
      </c>
      <c r="L129" t="n">
        <v>0</v>
      </c>
      <c r="M129" t="n">
        <v>0</v>
      </c>
      <c r="N129" t="n">
        <v>0</v>
      </c>
    </row>
    <row r="130">
      <c r="A130" t="inlineStr">
        <is>
          <t>weeding and mowing</t>
        </is>
      </c>
      <c r="B130" t="inlineStr">
        <is>
          <t>mowing and pitching the meadow of hullemed, the meadow of lake next to crumbe, and the meadow formerly of legarda atte mulle, containing in all 3 acres of meadow 22 pence, because [there was] much hay this year.</t>
        </is>
      </c>
      <c r="C130" t="n">
        <v>0.09</v>
      </c>
      <c r="D130" t="n">
        <v>0</v>
      </c>
      <c r="E130" t="n">
        <v>0</v>
      </c>
      <c r="F130" t="n">
        <v>22</v>
      </c>
      <c r="H130" t="n">
        <v>0</v>
      </c>
      <c r="I130" t="n">
        <v>0</v>
      </c>
      <c r="J130" t="n">
        <v>0</v>
      </c>
      <c r="K130" t="n">
        <v>0</v>
      </c>
      <c r="L130" t="n">
        <v>0</v>
      </c>
      <c r="M130" t="n">
        <v>0</v>
      </c>
      <c r="N130" t="n">
        <v>0</v>
      </c>
    </row>
    <row r="131">
      <c r="A131" t="inlineStr">
        <is>
          <t>weeding and mowing</t>
        </is>
      </c>
      <c r="B131" t="inlineStr">
        <is>
          <t>expenses of customary tenants carrying hay from brodemed to the manor: in an accompaniment 4 pence.</t>
        </is>
      </c>
      <c r="C131" t="n">
        <v>0.02</v>
      </c>
      <c r="D131" t="n">
        <v>0</v>
      </c>
      <c r="E131" t="n">
        <v>0</v>
      </c>
      <c r="F131" t="n">
        <v>4</v>
      </c>
      <c r="H131" t="n">
        <v>0</v>
      </c>
      <c r="I131" t="n">
        <v>0</v>
      </c>
      <c r="J131" t="n">
        <v>0</v>
      </c>
      <c r="K131" t="n">
        <v>0</v>
      </c>
      <c r="L131" t="n">
        <v>0</v>
      </c>
      <c r="M131" t="n">
        <v>0</v>
      </c>
      <c r="N131" t="n">
        <v>0</v>
      </c>
    </row>
    <row r="132">
      <c r="A132" t="inlineStr">
        <is>
          <t>weeding and mowing</t>
        </is>
      </c>
      <c r="B132" t="inlineStr">
        <is>
          <t>and bread from stock as elsewhere.</t>
        </is>
      </c>
      <c r="C132" t="n">
        <v>0</v>
      </c>
      <c r="D132" t="n">
        <v>0</v>
      </c>
      <c r="E132" t="n">
        <v>0</v>
      </c>
      <c r="F132" t="n">
        <v>0</v>
      </c>
      <c r="H132" t="n">
        <v>0</v>
      </c>
      <c r="I132" t="n">
        <v>0</v>
      </c>
      <c r="J132" t="n">
        <v>0</v>
      </c>
      <c r="K132" t="n">
        <v>0</v>
      </c>
      <c r="L132" t="n">
        <v>0</v>
      </c>
      <c r="M132" t="n">
        <v>0</v>
      </c>
      <c r="N132" t="n">
        <v>0</v>
      </c>
    </row>
    <row r="133">
      <c r="A133" t="inlineStr">
        <is>
          <t>weeding and mowing</t>
        </is>
      </c>
      <c r="B133" t="inlineStr">
        <is>
          <t>sum 2 shilling 5pence.</t>
        </is>
      </c>
      <c r="C133" t="n">
        <v>0.12</v>
      </c>
      <c r="D133" t="n">
        <v>0</v>
      </c>
      <c r="E133" t="n">
        <v>2</v>
      </c>
      <c r="F133" t="n">
        <v>5</v>
      </c>
      <c r="H133" t="n">
        <v>0</v>
      </c>
      <c r="I133" t="n">
        <v>0</v>
      </c>
      <c r="J133" t="n">
        <v>0</v>
      </c>
      <c r="K133" t="n">
        <v>0</v>
      </c>
      <c r="L133" t="n">
        <v>0</v>
      </c>
      <c r="M133" t="n">
        <v>0</v>
      </c>
      <c r="N133" t="n">
        <v>0</v>
      </c>
    </row>
    <row r="134">
      <c r="A134" t="inlineStr">
        <is>
          <t>cost of harvest</t>
        </is>
      </c>
      <c r="B134" t="inlineStr">
        <is>
          <t>the same accounts for an accompaniment bought for expenses of customary tenants at two boonworks called ‘waterbedrip’, each boonwork of 25 men reaping and binding all the lord’s corn at esher besides 1 acre of rye, 2 acres of peas, and 3 acres of oats, which were reaped by piecework, namely in 300 herrings 3 shilling 6 pence, price of a hundred 14 pence, to each by custom for a day six herrings.</t>
        </is>
      </c>
      <c r="C134" t="n">
        <v>0.17</v>
      </c>
      <c r="D134" t="n">
        <v>0</v>
      </c>
      <c r="E134" t="n">
        <v>3</v>
      </c>
      <c r="F134" t="n">
        <v>6</v>
      </c>
      <c r="G134" t="inlineStr">
        <is>
          <t>rye, oats, peas</t>
        </is>
      </c>
      <c r="H134" t="n">
        <v>0</v>
      </c>
      <c r="I134" t="n">
        <v>0</v>
      </c>
      <c r="J134" t="n">
        <v>0</v>
      </c>
      <c r="K134" t="n">
        <v>0</v>
      </c>
      <c r="L134" t="n">
        <v>0</v>
      </c>
      <c r="M134" t="n">
        <v>0</v>
      </c>
      <c r="N134" t="n">
        <v>0</v>
      </c>
    </row>
    <row r="135">
      <c r="A135" t="inlineStr">
        <is>
          <t>cost of harvest</t>
        </is>
      </c>
      <c r="B135" t="inlineStr">
        <is>
          <t>cheese bought for the same 6pence.</t>
        </is>
      </c>
      <c r="C135" t="n">
        <v>0.03</v>
      </c>
      <c r="D135" t="n">
        <v>0</v>
      </c>
      <c r="E135" t="n">
        <v>0</v>
      </c>
      <c r="F135" t="n">
        <v>6</v>
      </c>
      <c r="H135" t="n">
        <v>0</v>
      </c>
      <c r="I135" t="n">
        <v>0</v>
      </c>
      <c r="J135" t="n">
        <v>0</v>
      </c>
      <c r="K135" t="n">
        <v>0</v>
      </c>
      <c r="L135" t="n">
        <v>0</v>
      </c>
      <c r="M135" t="n">
        <v>0</v>
      </c>
      <c r="N135" t="n">
        <v>0</v>
      </c>
    </row>
    <row r="136">
      <c r="A136" t="inlineStr">
        <is>
          <t>cost of harvest</t>
        </is>
      </c>
      <c r="B136" t="inlineStr">
        <is>
          <t>reaping and binding 1 acre of rye, 2 acres of peas, and 3 acres of oats by piecework because they were not able to be done by the aforesaid two boonworks 2 shilling 6 pence, attested by the prior of sandon.</t>
        </is>
      </c>
      <c r="C136" t="n">
        <v>0.12</v>
      </c>
      <c r="D136" t="n">
        <v>0</v>
      </c>
      <c r="E136" t="n">
        <v>2</v>
      </c>
      <c r="F136" t="n">
        <v>6</v>
      </c>
      <c r="G136" t="inlineStr">
        <is>
          <t>rye, oats, peas</t>
        </is>
      </c>
      <c r="H136" t="n">
        <v>0</v>
      </c>
      <c r="I136" t="n">
        <v>0</v>
      </c>
      <c r="J136" t="n">
        <v>0</v>
      </c>
      <c r="K136" t="n">
        <v>0</v>
      </c>
      <c r="L136" t="n">
        <v>0</v>
      </c>
      <c r="M136" t="n">
        <v>0</v>
      </c>
      <c r="N136" t="n">
        <v>0</v>
      </c>
    </row>
    <row r="137">
      <c r="A137" t="inlineStr">
        <is>
          <t>cost of harvest</t>
        </is>
      </c>
      <c r="B137" t="inlineStr">
        <is>
          <t>likewise in reaping and binding 12 acres of rye, 20 acres 3 roods of oats at northwode by piecework 13 shilling 7¾d, for an acre 5 pence this year, by witness of the same prior.</t>
        </is>
      </c>
      <c r="C137" t="n">
        <v>0.67</v>
      </c>
      <c r="D137" t="n">
        <v>0</v>
      </c>
      <c r="E137" t="n">
        <v>13</v>
      </c>
      <c r="F137" t="n">
        <v>5</v>
      </c>
      <c r="G137" t="inlineStr">
        <is>
          <t>rye, oats</t>
        </is>
      </c>
      <c r="H137" t="n">
        <v>0</v>
      </c>
      <c r="I137" t="n">
        <v>0</v>
      </c>
      <c r="J137" t="n">
        <v>0</v>
      </c>
      <c r="K137" t="n">
        <v>0</v>
      </c>
      <c r="L137" t="n">
        <v>0</v>
      </c>
      <c r="M137" t="n">
        <v>0</v>
      </c>
      <c r="N137" t="n">
        <v>0</v>
      </c>
    </row>
    <row r="138">
      <c r="A138" t="inlineStr">
        <is>
          <t>cost of harvest</t>
        </is>
      </c>
      <c r="B138" t="inlineStr">
        <is>
          <t>sum 20 shilling 1¾d.</t>
        </is>
      </c>
      <c r="C138" t="n">
        <v>1</v>
      </c>
      <c r="D138" t="n">
        <v>0</v>
      </c>
      <c r="E138" t="n">
        <v>20</v>
      </c>
      <c r="F138" t="n">
        <v>0</v>
      </c>
      <c r="H138" t="n">
        <v>0</v>
      </c>
      <c r="I138" t="n">
        <v>0</v>
      </c>
      <c r="J138" t="n">
        <v>0</v>
      </c>
      <c r="K138" t="n">
        <v>0</v>
      </c>
      <c r="L138" t="n">
        <v>0</v>
      </c>
      <c r="M138" t="n">
        <v>0</v>
      </c>
      <c r="N138" t="n">
        <v>0</v>
      </c>
    </row>
    <row r="139">
      <c r="A139" t="inlineStr">
        <is>
          <t>foreign expenses</t>
        </is>
      </c>
      <c r="B139" t="inlineStr">
        <is>
          <t>the same accounts for driving 71 female hoggets to bishops sutton 6 pence, by order of the lord adam, stockman.</t>
        </is>
      </c>
      <c r="C139" t="n">
        <v>0.03</v>
      </c>
      <c r="D139" t="n">
        <v>0</v>
      </c>
      <c r="E139" t="n">
        <v>0</v>
      </c>
      <c r="F139" t="n">
        <v>6</v>
      </c>
      <c r="H139" t="n">
        <v>0</v>
      </c>
      <c r="I139" t="n">
        <v>0</v>
      </c>
      <c r="J139" t="n">
        <v>0</v>
      </c>
      <c r="K139" t="n">
        <v>0</v>
      </c>
      <c r="L139" t="n">
        <v>0</v>
      </c>
      <c r="M139" t="n">
        <v>0</v>
      </c>
      <c r="N139" t="n">
        <v>0</v>
      </c>
    </row>
    <row r="140">
      <c r="A140" t="inlineStr">
        <is>
          <t>foreign expenses</t>
        </is>
      </c>
      <c r="B140" t="inlineStr">
        <is>
          <t>bringing and carrying all the wool received at the shearing of the lord’s sheep, as shown elsewhere, to farnham 7pence sum 13pence.</t>
        </is>
      </c>
      <c r="C140" t="n">
        <v>0.03</v>
      </c>
      <c r="D140" t="n">
        <v>0</v>
      </c>
      <c r="E140" t="n">
        <v>0</v>
      </c>
      <c r="F140" t="n">
        <v>7</v>
      </c>
      <c r="H140" t="n">
        <v>0</v>
      </c>
      <c r="I140" t="n">
        <v>0</v>
      </c>
      <c r="J140" t="n">
        <v>0</v>
      </c>
      <c r="K140" t="n">
        <v>0</v>
      </c>
      <c r="L140" t="n">
        <v>0</v>
      </c>
      <c r="M140" t="n">
        <v>0</v>
      </c>
      <c r="N140" t="n">
        <v>0</v>
      </c>
    </row>
    <row r="141">
      <c r="A141" t="inlineStr">
        <is>
          <t>expenses of the steward</t>
        </is>
      </c>
      <c r="B141" t="inlineStr">
        <is>
          <t>the same accounts for the expenses of walter joce, steward, for his visit in the month of march 5 shilling 11 pence, by sealed bill.</t>
        </is>
      </c>
      <c r="C141" t="n">
        <v>0.3</v>
      </c>
      <c r="D141" t="n">
        <v>0</v>
      </c>
      <c r="E141" t="n">
        <v>5</v>
      </c>
      <c r="F141" t="n">
        <v>11</v>
      </c>
      <c r="H141" t="n">
        <v>0</v>
      </c>
      <c r="I141" t="n">
        <v>0</v>
      </c>
      <c r="J141" t="n">
        <v>0</v>
      </c>
      <c r="K141" t="n">
        <v>0</v>
      </c>
      <c r="L141" t="n">
        <v>0</v>
      </c>
      <c r="M141" t="n">
        <v>0</v>
      </c>
      <c r="N141" t="n">
        <v>0</v>
      </c>
    </row>
    <row r="142">
      <c r="A142" t="inlineStr">
        <is>
          <t>expenses of the steward</t>
        </is>
      </c>
      <c r="B142" t="inlineStr">
        <is>
          <t>sum 5 shilling 11pence.</t>
        </is>
      </c>
      <c r="C142" t="n">
        <v>0.3</v>
      </c>
      <c r="D142" t="n">
        <v>0</v>
      </c>
      <c r="E142" t="n">
        <v>5</v>
      </c>
      <c r="F142" t="n">
        <v>11</v>
      </c>
      <c r="H142" t="n">
        <v>0</v>
      </c>
      <c r="I142" t="n">
        <v>0</v>
      </c>
      <c r="J142" t="n">
        <v>0</v>
      </c>
      <c r="K142" t="n">
        <v>0</v>
      </c>
      <c r="L142" t="n">
        <v>0</v>
      </c>
      <c r="M142" t="n">
        <v>0</v>
      </c>
      <c r="N142" t="n">
        <v>0</v>
      </c>
    </row>
    <row r="143">
      <c r="A143" t="inlineStr">
        <is>
          <t>expenses of the steward</t>
        </is>
      </c>
      <c r="B143" t="inlineStr">
        <is>
          <t>&lt;p&gt;sum of all expenses £10 6 shilling 7¾d.&lt;br&gt;.</t>
        </is>
      </c>
      <c r="C143" t="n">
        <v>10.3</v>
      </c>
      <c r="D143" t="n">
        <v>10</v>
      </c>
      <c r="E143" t="n">
        <v>6</v>
      </c>
      <c r="F143" t="n">
        <v>0</v>
      </c>
      <c r="H143" t="n">
        <v>0</v>
      </c>
      <c r="I143" t="n">
        <v>0</v>
      </c>
      <c r="J143" t="n">
        <v>0</v>
      </c>
      <c r="K143" t="n">
        <v>0</v>
      </c>
      <c r="L143" t="n">
        <v>0</v>
      </c>
      <c r="M143" t="n">
        <v>0</v>
      </c>
      <c r="N143" t="n">
        <v>0</v>
      </c>
    </row>
    <row r="144">
      <c r="A144" t="inlineStr">
        <is>
          <t>expenses of the steward</t>
        </is>
      </c>
      <c r="B144" t="inlineStr">
        <is>
          <t>and he owes £12 11 shilling 11½d.&lt;/p&gt;.</t>
        </is>
      </c>
      <c r="C144" t="n">
        <v>12.55</v>
      </c>
      <c r="D144" t="n">
        <v>12</v>
      </c>
      <c r="E144" t="n">
        <v>11</v>
      </c>
      <c r="F144" t="n">
        <v>0</v>
      </c>
      <c r="H144" t="n">
        <v>0</v>
      </c>
      <c r="I144" t="n">
        <v>0</v>
      </c>
      <c r="J144" t="n">
        <v>0</v>
      </c>
      <c r="K144" t="n">
        <v>0</v>
      </c>
      <c r="L144" t="n">
        <v>0</v>
      </c>
      <c r="M144" t="n">
        <v>0</v>
      </c>
      <c r="N144" t="n">
        <v>0</v>
      </c>
    </row>
    <row r="145">
      <c r="A145" t="inlineStr">
        <is>
          <t>expenses of the steward</t>
        </is>
      </c>
      <c r="B145" t="inlineStr">
        <is>
          <t>of which allowed to the same 10 shilling 7 pence paid to lord william de meone, treasurer of the lord’s household, in various provisions for the expenses of the said household, by one writ.</t>
        </is>
      </c>
      <c r="C145" t="n">
        <v>0.53</v>
      </c>
      <c r="D145" t="n">
        <v>0</v>
      </c>
      <c r="E145" t="n">
        <v>10</v>
      </c>
      <c r="F145" t="n">
        <v>7</v>
      </c>
      <c r="H145" t="n">
        <v>0</v>
      </c>
      <c r="I145" t="n">
        <v>0</v>
      </c>
      <c r="J145" t="n">
        <v>0</v>
      </c>
      <c r="K145" t="n">
        <v>0</v>
      </c>
      <c r="L145" t="n">
        <v>0</v>
      </c>
      <c r="M145" t="n">
        <v>0</v>
      </c>
      <c r="N145" t="n">
        <v>0</v>
      </c>
    </row>
    <row r="146">
      <c r="A146" t="inlineStr">
        <is>
          <t>expenses of the steward</t>
        </is>
      </c>
      <c r="B146" t="inlineStr">
        <is>
          <t>sum 10 shilling 7pence.</t>
        </is>
      </c>
      <c r="C146" t="n">
        <v>0.53</v>
      </c>
      <c r="D146" t="n">
        <v>0</v>
      </c>
      <c r="E146" t="n">
        <v>10</v>
      </c>
      <c r="F146" t="n">
        <v>7</v>
      </c>
      <c r="H146" t="n">
        <v>0</v>
      </c>
      <c r="I146" t="n">
        <v>0</v>
      </c>
      <c r="J146" t="n">
        <v>0</v>
      </c>
      <c r="K146" t="n">
        <v>0</v>
      </c>
      <c r="L146" t="n">
        <v>0</v>
      </c>
      <c r="M146" t="n">
        <v>0</v>
      </c>
      <c r="N146" t="n">
        <v>0</v>
      </c>
    </row>
    <row r="147">
      <c r="A147" t="inlineStr">
        <is>
          <t>expenses of the steward</t>
        </is>
      </c>
      <c r="B147" t="inlineStr">
        <is>
          <t>--- page 7 ---.</t>
        </is>
      </c>
      <c r="C147" t="n">
        <v>0</v>
      </c>
      <c r="D147" t="n">
        <v>0</v>
      </c>
      <c r="E147" t="n">
        <v>0</v>
      </c>
      <c r="F147" t="n">
        <v>0</v>
      </c>
      <c r="H147" t="n">
        <v>0</v>
      </c>
      <c r="I147" t="n">
        <v>0</v>
      </c>
      <c r="J147" t="n">
        <v>0</v>
      </c>
      <c r="K147" t="n">
        <v>0</v>
      </c>
      <c r="L147" t="n">
        <v>0</v>
      </c>
      <c r="M147" t="n">
        <v>0</v>
      </c>
      <c r="N147" t="n">
        <v>0</v>
      </c>
    </row>
    <row r="148">
      <c r="A148" t="inlineStr">
        <is>
          <t>expenses of the steward</t>
        </is>
      </c>
      <c r="B148" t="inlineStr">
        <is>
          <t>payment of money.</t>
        </is>
      </c>
      <c r="C148" t="n">
        <v>0</v>
      </c>
      <c r="D148" t="n">
        <v>0</v>
      </c>
      <c r="E148" t="n">
        <v>0</v>
      </c>
      <c r="F148" t="n">
        <v>0</v>
      </c>
      <c r="H148" t="n">
        <v>0</v>
      </c>
      <c r="I148" t="n">
        <v>0</v>
      </c>
      <c r="J148" t="n">
        <v>0</v>
      </c>
      <c r="K148" t="n">
        <v>0</v>
      </c>
      <c r="L148" t="n">
        <v>0</v>
      </c>
      <c r="M148" t="n">
        <v>0</v>
      </c>
      <c r="N148" t="n">
        <v>0</v>
      </c>
    </row>
    <row r="149">
      <c r="A149" t="inlineStr">
        <is>
          <t>expenses of the steward</t>
        </is>
      </c>
      <c r="B149" t="inlineStr">
        <is>
          <t>and paid to lord john de nubbelegh, treasurer of wolvesey, £9 5 shilling 7 pence, by one tally.</t>
        </is>
      </c>
      <c r="C149" t="n">
        <v>9.279999999999999</v>
      </c>
      <c r="D149" t="n">
        <v>9</v>
      </c>
      <c r="E149" t="n">
        <v>5</v>
      </c>
      <c r="F149" t="n">
        <v>7</v>
      </c>
      <c r="H149" t="n">
        <v>0</v>
      </c>
      <c r="I149" t="n">
        <v>0</v>
      </c>
      <c r="J149" t="n">
        <v>0</v>
      </c>
      <c r="K149" t="n">
        <v>0</v>
      </c>
      <c r="L149" t="n">
        <v>0</v>
      </c>
      <c r="M149" t="n">
        <v>0</v>
      </c>
      <c r="N149" t="n">
        <v>0</v>
      </c>
    </row>
    <row r="150">
      <c r="A150" t="inlineStr">
        <is>
          <t>expenses of the steward</t>
        </is>
      </c>
      <c r="B150" t="inlineStr">
        <is>
          <t>sum of all allowances and payments £9 16 shilling 2½d.</t>
        </is>
      </c>
      <c r="C150" t="n">
        <v>9.800000000000001</v>
      </c>
      <c r="D150" t="n">
        <v>9</v>
      </c>
      <c r="E150" t="n">
        <v>16</v>
      </c>
      <c r="F150" t="n">
        <v>0</v>
      </c>
      <c r="H150" t="n">
        <v>0</v>
      </c>
      <c r="I150" t="n">
        <v>0</v>
      </c>
      <c r="J150" t="n">
        <v>0</v>
      </c>
      <c r="K150" t="n">
        <v>0</v>
      </c>
      <c r="L150" t="n">
        <v>0</v>
      </c>
      <c r="M150" t="n">
        <v>0</v>
      </c>
      <c r="N150" t="n">
        <v>0</v>
      </c>
    </row>
    <row r="151">
      <c r="A151" t="inlineStr">
        <is>
          <t>expenses of the steward</t>
        </is>
      </c>
      <c r="B151" t="inlineStr">
        <is>
          <t>and he owes net 55 shilling 9pence.</t>
        </is>
      </c>
      <c r="C151" t="n">
        <v>2.79</v>
      </c>
      <c r="D151" t="n">
        <v>0</v>
      </c>
      <c r="E151" t="n">
        <v>55</v>
      </c>
      <c r="F151" t="n">
        <v>9</v>
      </c>
      <c r="H151" t="n">
        <v>0</v>
      </c>
      <c r="I151" t="n">
        <v>0</v>
      </c>
      <c r="J151" t="n">
        <v>0</v>
      </c>
      <c r="K151" t="n">
        <v>0</v>
      </c>
      <c r="L151" t="n">
        <v>0</v>
      </c>
      <c r="M151" t="n">
        <v>0</v>
      </c>
      <c r="N151" t="n">
        <v>0</v>
      </c>
    </row>
    <row r="152">
      <c r="A152" t="inlineStr">
        <is>
          <t>wheat</t>
        </is>
      </c>
      <c r="B152" t="inlineStr">
        <is>
          <t>richard sewyne, reeve there, answers for 8 quarters 1 bushel of wheat received from issue of the granges of esher as well as northwode, threshed by piecework, razed measure, by one tally against the prior of sandon.</t>
        </is>
      </c>
      <c r="C152" t="n">
        <v>0</v>
      </c>
      <c r="D152" t="n">
        <v>0</v>
      </c>
      <c r="E152" t="n">
        <v>0</v>
      </c>
      <c r="F152" t="n">
        <v>0</v>
      </c>
      <c r="G152" t="inlineStr">
        <is>
          <t>wheat</t>
        </is>
      </c>
      <c r="H152" t="n">
        <v>8</v>
      </c>
      <c r="I152" t="n">
        <v>0</v>
      </c>
      <c r="J152" t="n">
        <v>8</v>
      </c>
      <c r="K152" t="n">
        <v>8</v>
      </c>
      <c r="L152" t="n">
        <v>0</v>
      </c>
      <c r="M152" t="n">
        <v>8</v>
      </c>
      <c r="N152" t="n">
        <v>0</v>
      </c>
    </row>
    <row r="153">
      <c r="A153" t="inlineStr">
        <is>
          <t>wheat</t>
        </is>
      </c>
      <c r="B153" t="inlineStr">
        <is>
          <t>and for 1 quarter of curallum received from issue of the said granges, threshed by the same, now by the same tally.</t>
        </is>
      </c>
      <c r="C153" t="n">
        <v>0</v>
      </c>
      <c r="D153" t="n">
        <v>0</v>
      </c>
      <c r="E153" t="n">
        <v>0</v>
      </c>
      <c r="F153" t="n">
        <v>0</v>
      </c>
      <c r="G153" t="inlineStr">
        <is>
          <t>curall</t>
        </is>
      </c>
      <c r="H153" t="n">
        <v>0</v>
      </c>
      <c r="I153" t="n">
        <v>0</v>
      </c>
      <c r="J153" t="n">
        <v>0</v>
      </c>
      <c r="K153" t="n">
        <v>0</v>
      </c>
      <c r="L153" t="n">
        <v>0</v>
      </c>
      <c r="M153" t="n">
        <v>0</v>
      </c>
      <c r="N153" t="n">
        <v>0</v>
      </c>
    </row>
    <row r="154">
      <c r="A154" t="inlineStr">
        <is>
          <t>wheat</t>
        </is>
      </c>
      <c r="B154" t="inlineStr">
        <is>
          <t>sum 9 quarters 1 bushel.</t>
        </is>
      </c>
      <c r="C154" t="n">
        <v>0</v>
      </c>
      <c r="D154" t="n">
        <v>0</v>
      </c>
      <c r="E154" t="n">
        <v>0</v>
      </c>
      <c r="F154" t="n">
        <v>0</v>
      </c>
      <c r="H154" t="n">
        <v>9</v>
      </c>
      <c r="I154" t="n">
        <v>0</v>
      </c>
      <c r="J154" t="n">
        <v>9</v>
      </c>
      <c r="K154" t="n">
        <v>9</v>
      </c>
      <c r="L154" t="n">
        <v>0</v>
      </c>
      <c r="M154" t="n">
        <v>9</v>
      </c>
      <c r="N154" t="n">
        <v>0</v>
      </c>
    </row>
    <row r="155">
      <c r="A155" t="inlineStr">
        <is>
          <t>wheat</t>
        </is>
      </c>
      <c r="B155" t="inlineStr">
        <is>
          <t>of which accounted for in seed over 6 acres 3 roods of land at esher in le buricheye and dyneslond 1 quarter 7 bushels, thus over an acre 2 bushels 1 peck.</t>
        </is>
      </c>
      <c r="C155" t="n">
        <v>0</v>
      </c>
      <c r="D155" t="n">
        <v>0</v>
      </c>
      <c r="E155" t="n">
        <v>0</v>
      </c>
      <c r="F155" t="n">
        <v>0</v>
      </c>
      <c r="H155" t="n">
        <v>0</v>
      </c>
      <c r="I155" t="n">
        <v>2</v>
      </c>
      <c r="J155" t="n">
        <v>0.25</v>
      </c>
      <c r="K155" t="n">
        <v>0.88</v>
      </c>
      <c r="L155" t="n">
        <v>-0.62</v>
      </c>
      <c r="M155" t="n">
        <v>0</v>
      </c>
      <c r="N155" t="n">
        <v>7</v>
      </c>
      <c r="O155" t="n">
        <v>0</v>
      </c>
      <c r="P155" t="n">
        <v>2</v>
      </c>
    </row>
    <row r="156">
      <c r="A156" t="inlineStr">
        <is>
          <t>wheat</t>
        </is>
      </c>
      <c r="B156" t="inlineStr">
        <is>
          <t>and sold 6 bushels of curallum.</t>
        </is>
      </c>
      <c r="C156" t="n">
        <v>0</v>
      </c>
      <c r="D156" t="n">
        <v>0</v>
      </c>
      <c r="E156" t="n">
        <v>0</v>
      </c>
      <c r="F156" t="n">
        <v>0</v>
      </c>
      <c r="G156" t="inlineStr">
        <is>
          <t>curall</t>
        </is>
      </c>
      <c r="H156" t="n">
        <v>0</v>
      </c>
      <c r="I156" t="n">
        <v>6</v>
      </c>
      <c r="J156" t="n">
        <v>0.75</v>
      </c>
      <c r="K156" t="n">
        <v>0.75</v>
      </c>
      <c r="L156" t="n">
        <v>0</v>
      </c>
      <c r="M156" t="n">
        <v>0</v>
      </c>
      <c r="N156" t="n">
        <v>6</v>
      </c>
    </row>
    <row r="157">
      <c r="A157" t="inlineStr">
        <is>
          <t>wheat</t>
        </is>
      </c>
      <c r="B157" t="inlineStr">
        <is>
          <t>sold at the audit 6 quarters 4 bushels, for 32 shilling 6pence sum as above.</t>
        </is>
      </c>
      <c r="C157" t="n">
        <v>1.62</v>
      </c>
      <c r="D157" t="n">
        <v>0</v>
      </c>
      <c r="E157" t="n">
        <v>32</v>
      </c>
      <c r="F157" t="n">
        <v>6</v>
      </c>
      <c r="H157" t="n">
        <v>6</v>
      </c>
      <c r="I157" t="n">
        <v>4</v>
      </c>
      <c r="J157" t="n">
        <v>6.5</v>
      </c>
      <c r="K157" t="n">
        <v>6.5</v>
      </c>
      <c r="L157" t="n">
        <v>0</v>
      </c>
      <c r="M157" t="n">
        <v>6</v>
      </c>
      <c r="N157" t="n">
        <v>4</v>
      </c>
    </row>
    <row r="158">
      <c r="A158" t="inlineStr">
        <is>
          <t>wheat</t>
        </is>
      </c>
      <c r="B158" t="inlineStr">
        <is>
          <t>and it equals.</t>
        </is>
      </c>
      <c r="C158" t="n">
        <v>0</v>
      </c>
      <c r="D158" t="n">
        <v>0</v>
      </c>
      <c r="E158" t="n">
        <v>0</v>
      </c>
      <c r="F158" t="n">
        <v>0</v>
      </c>
      <c r="H158" t="n">
        <v>0</v>
      </c>
      <c r="I158" t="n">
        <v>0</v>
      </c>
      <c r="J158" t="n">
        <v>0</v>
      </c>
      <c r="K158" t="n">
        <v>0</v>
      </c>
      <c r="L158" t="n">
        <v>0</v>
      </c>
      <c r="M158" t="n">
        <v>0</v>
      </c>
      <c r="N158" t="n">
        <v>0</v>
      </c>
    </row>
    <row r="159">
      <c r="A159" t="inlineStr">
        <is>
          <t>rye</t>
        </is>
      </c>
      <c r="B159" t="inlineStr">
        <is>
          <t>the same answers for 32 quarters 5 bushels of rye received from issue of the said two granges, threshed by piecework, razed measure, by one tally against the aforesaid prior, of which from issue of northwode 13 quarters 1 bushel.</t>
        </is>
      </c>
      <c r="C159" t="n">
        <v>0</v>
      </c>
      <c r="D159" t="n">
        <v>0</v>
      </c>
      <c r="E159" t="n">
        <v>0</v>
      </c>
      <c r="F159" t="n">
        <v>0</v>
      </c>
      <c r="G159" t="inlineStr">
        <is>
          <t>rye</t>
        </is>
      </c>
      <c r="H159" t="n">
        <v>13</v>
      </c>
      <c r="I159" t="n">
        <v>5</v>
      </c>
      <c r="J159" t="n">
        <v>13.62</v>
      </c>
      <c r="K159" t="n">
        <v>32.62</v>
      </c>
      <c r="L159" t="n">
        <v>-19</v>
      </c>
      <c r="M159" t="n">
        <v>32</v>
      </c>
      <c r="N159" t="n">
        <v>5</v>
      </c>
      <c r="O159" t="n">
        <v>13</v>
      </c>
      <c r="P159" t="n">
        <v>0</v>
      </c>
    </row>
    <row r="160">
      <c r="A160" t="inlineStr">
        <is>
          <t>rye</t>
        </is>
      </c>
      <c r="B160" t="inlineStr">
        <is>
          <t>sum 32 quarters 5 bushels.</t>
        </is>
      </c>
      <c r="C160" t="n">
        <v>0</v>
      </c>
      <c r="D160" t="n">
        <v>0</v>
      </c>
      <c r="E160" t="n">
        <v>0</v>
      </c>
      <c r="F160" t="n">
        <v>0</v>
      </c>
      <c r="H160" t="n">
        <v>32</v>
      </c>
      <c r="I160" t="n">
        <v>5</v>
      </c>
      <c r="J160" t="n">
        <v>32.62</v>
      </c>
      <c r="K160" t="n">
        <v>32.62</v>
      </c>
      <c r="L160" t="n">
        <v>0</v>
      </c>
      <c r="M160" t="n">
        <v>32</v>
      </c>
      <c r="N160" t="n">
        <v>5</v>
      </c>
    </row>
    <row r="161">
      <c r="A161" t="inlineStr">
        <is>
          <t>rye</t>
        </is>
      </c>
      <c r="B161" t="inlineStr">
        <is>
          <t>of which accounted for in seed over 28 acres by estimation, sown at esher as well as at northwode in parcels, 7 quarters 7 bushels, thus an acre takes 2 bushels 1 peck.</t>
        </is>
      </c>
      <c r="C161" t="n">
        <v>0</v>
      </c>
      <c r="D161" t="n">
        <v>0</v>
      </c>
      <c r="E161" t="n">
        <v>0</v>
      </c>
      <c r="F161" t="n">
        <v>0</v>
      </c>
      <c r="H161" t="n">
        <v>7</v>
      </c>
      <c r="I161" t="n">
        <v>2</v>
      </c>
      <c r="J161" t="n">
        <v>7.25</v>
      </c>
      <c r="K161" t="n">
        <v>7.88</v>
      </c>
      <c r="L161" t="n">
        <v>-0.62</v>
      </c>
      <c r="M161" t="n">
        <v>7</v>
      </c>
      <c r="N161" t="n">
        <v>7</v>
      </c>
      <c r="O161" t="n">
        <v>0</v>
      </c>
      <c r="P161" t="n">
        <v>2</v>
      </c>
    </row>
    <row r="162">
      <c r="A162" t="inlineStr">
        <is>
          <t>rye</t>
        </is>
      </c>
      <c r="B162" t="inlineStr">
        <is>
          <t>to mixed corn for payment of the famuli, below, 16 quarters 2 bushels.</t>
        </is>
      </c>
      <c r="C162" t="n">
        <v>0</v>
      </c>
      <c r="D162" t="n">
        <v>0</v>
      </c>
      <c r="E162" t="n">
        <v>0</v>
      </c>
      <c r="F162" t="n">
        <v>0</v>
      </c>
      <c r="H162" t="n">
        <v>16</v>
      </c>
      <c r="I162" t="n">
        <v>2</v>
      </c>
      <c r="J162" t="n">
        <v>16.25</v>
      </c>
      <c r="K162" t="n">
        <v>16.25</v>
      </c>
      <c r="L162" t="n">
        <v>0</v>
      </c>
      <c r="M162" t="n">
        <v>16</v>
      </c>
      <c r="N162" t="n">
        <v>2</v>
      </c>
    </row>
    <row r="163">
      <c r="A163" t="inlineStr">
        <is>
          <t>rye</t>
        </is>
      </c>
      <c r="B163" t="inlineStr">
        <is>
          <t>customary payment to 14 customary tenants harrowing at the sowing of oats for one day 1 bushel.</t>
        </is>
      </c>
      <c r="C163" t="n">
        <v>0</v>
      </c>
      <c r="D163" t="n">
        <v>0</v>
      </c>
      <c r="E163" t="n">
        <v>0</v>
      </c>
      <c r="F163" t="n">
        <v>0</v>
      </c>
      <c r="G163" t="inlineStr">
        <is>
          <t>oats</t>
        </is>
      </c>
      <c r="H163" t="n">
        <v>0</v>
      </c>
      <c r="I163" t="n">
        <v>0</v>
      </c>
      <c r="J163" t="n">
        <v>0</v>
      </c>
      <c r="K163" t="n">
        <v>0</v>
      </c>
      <c r="L163" t="n">
        <v>0</v>
      </c>
      <c r="M163" t="n">
        <v>0</v>
      </c>
      <c r="N163" t="n">
        <v>0</v>
      </c>
    </row>
    <row r="164">
      <c r="A164" t="inlineStr">
        <is>
          <t>rye</t>
        </is>
      </c>
      <c r="B164" t="inlineStr">
        <is>
          <t>customary payment to customary tenants mowing the meadow of brodedmed and for the carriage of hay from the same meadow 3 bushels.</t>
        </is>
      </c>
      <c r="C164" t="n">
        <v>0</v>
      </c>
      <c r="D164" t="n">
        <v>0</v>
      </c>
      <c r="E164" t="n">
        <v>0</v>
      </c>
      <c r="F164" t="n">
        <v>0</v>
      </c>
      <c r="H164" t="n">
        <v>0</v>
      </c>
      <c r="I164" t="n">
        <v>3</v>
      </c>
      <c r="J164" t="n">
        <v>0.38</v>
      </c>
      <c r="K164" t="n">
        <v>0.38</v>
      </c>
      <c r="L164" t="n">
        <v>0</v>
      </c>
      <c r="M164" t="n">
        <v>0</v>
      </c>
      <c r="N164" t="n">
        <v>3</v>
      </c>
    </row>
    <row r="165">
      <c r="A165" t="inlineStr">
        <is>
          <t>rye</t>
        </is>
      </c>
      <c r="B165" t="inlineStr">
        <is>
          <t>expenses of the same reaping and binding the lord’s corn at esher for two wet boonworks, besides 1 acre of rye, 2 acres of peas, and 3 acres of oats that were reaped this year by piecework, 6 bushels by custom.</t>
        </is>
      </c>
      <c r="C165" t="n">
        <v>0</v>
      </c>
      <c r="D165" t="n">
        <v>0</v>
      </c>
      <c r="E165" t="n">
        <v>0</v>
      </c>
      <c r="F165" t="n">
        <v>0</v>
      </c>
      <c r="G165" t="inlineStr">
        <is>
          <t>rye, oats, peas</t>
        </is>
      </c>
      <c r="H165" t="n">
        <v>0</v>
      </c>
      <c r="I165" t="n">
        <v>6</v>
      </c>
      <c r="J165" t="n">
        <v>0.75</v>
      </c>
      <c r="K165" t="n">
        <v>0.75</v>
      </c>
      <c r="L165" t="n">
        <v>0</v>
      </c>
      <c r="M165" t="n">
        <v>0</v>
      </c>
      <c r="N165" t="n">
        <v>6</v>
      </c>
    </row>
    <row r="166">
      <c r="A166" t="inlineStr">
        <is>
          <t>rye</t>
        </is>
      </c>
      <c r="B166" t="inlineStr">
        <is>
          <t>and sold 6 quarters 7½ bushels, the eighth bushel heaped.</t>
        </is>
      </c>
      <c r="C166" t="n">
        <v>0</v>
      </c>
      <c r="D166" t="n">
        <v>0</v>
      </c>
      <c r="E166" t="n">
        <v>0</v>
      </c>
      <c r="F166" t="n">
        <v>0</v>
      </c>
      <c r="H166" t="n">
        <v>6</v>
      </c>
      <c r="I166" t="n">
        <v>0</v>
      </c>
      <c r="J166" t="n">
        <v>6</v>
      </c>
      <c r="K166" t="n">
        <v>6</v>
      </c>
      <c r="L166" t="n">
        <v>0</v>
      </c>
      <c r="M166" t="n">
        <v>6</v>
      </c>
      <c r="N166" t="n">
        <v>0</v>
      </c>
    </row>
    <row r="167">
      <c r="A167" t="inlineStr">
        <is>
          <t>rye</t>
        </is>
      </c>
      <c r="B167" t="inlineStr">
        <is>
          <t>a heap given for the same 1½ bushels.</t>
        </is>
      </c>
      <c r="C167" t="n">
        <v>0</v>
      </c>
      <c r="D167" t="n">
        <v>0</v>
      </c>
      <c r="E167" t="n">
        <v>0</v>
      </c>
      <c r="F167" t="n">
        <v>0</v>
      </c>
      <c r="H167" t="n">
        <v>0</v>
      </c>
      <c r="I167" t="n">
        <v>0</v>
      </c>
      <c r="J167" t="n">
        <v>0</v>
      </c>
      <c r="K167" t="n">
        <v>0</v>
      </c>
      <c r="L167" t="n">
        <v>0</v>
      </c>
      <c r="M167" t="n">
        <v>0</v>
      </c>
      <c r="N167" t="n">
        <v>0</v>
      </c>
    </row>
    <row r="168">
      <c r="A168" t="inlineStr">
        <is>
          <t>rye</t>
        </is>
      </c>
      <c r="B168" t="inlineStr">
        <is>
          <t>sum as above.</t>
        </is>
      </c>
      <c r="C168" t="n">
        <v>0</v>
      </c>
      <c r="D168" t="n">
        <v>0</v>
      </c>
      <c r="E168" t="n">
        <v>0</v>
      </c>
      <c r="F168" t="n">
        <v>0</v>
      </c>
      <c r="H168" t="n">
        <v>0</v>
      </c>
      <c r="I168" t="n">
        <v>0</v>
      </c>
      <c r="J168" t="n">
        <v>0</v>
      </c>
      <c r="K168" t="n">
        <v>0</v>
      </c>
      <c r="L168" t="n">
        <v>0</v>
      </c>
      <c r="M168" t="n">
        <v>0</v>
      </c>
      <c r="N168" t="n">
        <v>0</v>
      </c>
    </row>
    <row r="169">
      <c r="A169" t="inlineStr">
        <is>
          <t>rye</t>
        </is>
      </c>
      <c r="B169" t="inlineStr">
        <is>
          <t>and it equals.</t>
        </is>
      </c>
      <c r="C169" t="n">
        <v>0</v>
      </c>
      <c r="D169" t="n">
        <v>0</v>
      </c>
      <c r="E169" t="n">
        <v>0</v>
      </c>
      <c r="F169" t="n">
        <v>0</v>
      </c>
      <c r="H169" t="n">
        <v>0</v>
      </c>
      <c r="I169" t="n">
        <v>0</v>
      </c>
      <c r="J169" t="n">
        <v>0</v>
      </c>
      <c r="K169" t="n">
        <v>0</v>
      </c>
      <c r="L169" t="n">
        <v>0</v>
      </c>
      <c r="M169" t="n">
        <v>0</v>
      </c>
      <c r="N169" t="n">
        <v>0</v>
      </c>
    </row>
    <row r="170">
      <c r="A170" t="inlineStr">
        <is>
          <t>peas</t>
        </is>
      </c>
      <c r="B170" t="inlineStr">
        <is>
          <t>and for 4 bushels of peas received from issue of the grange of esher threshed by piecework by one tally against the said prior.</t>
        </is>
      </c>
      <c r="C170" t="n">
        <v>0</v>
      </c>
      <c r="D170" t="n">
        <v>0</v>
      </c>
      <c r="E170" t="n">
        <v>0</v>
      </c>
      <c r="F170" t="n">
        <v>0</v>
      </c>
      <c r="G170" t="inlineStr">
        <is>
          <t>peas</t>
        </is>
      </c>
      <c r="H170" t="n">
        <v>0</v>
      </c>
      <c r="I170" t="n">
        <v>4</v>
      </c>
      <c r="J170" t="n">
        <v>0.5</v>
      </c>
      <c r="K170" t="n">
        <v>0.5</v>
      </c>
      <c r="L170" t="n">
        <v>0</v>
      </c>
      <c r="M170" t="n">
        <v>0</v>
      </c>
      <c r="N170" t="n">
        <v>4</v>
      </c>
    </row>
    <row r="171">
      <c r="A171" t="inlineStr">
        <is>
          <t>peas</t>
        </is>
      </c>
      <c r="B171" t="inlineStr">
        <is>
          <t>sum 4 bushels.</t>
        </is>
      </c>
      <c r="C171" t="n">
        <v>0</v>
      </c>
      <c r="D171" t="n">
        <v>0</v>
      </c>
      <c r="E171" t="n">
        <v>0</v>
      </c>
      <c r="F171" t="n">
        <v>0</v>
      </c>
      <c r="H171" t="n">
        <v>0</v>
      </c>
      <c r="I171" t="n">
        <v>4</v>
      </c>
      <c r="J171" t="n">
        <v>0.5</v>
      </c>
      <c r="K171" t="n">
        <v>0.5</v>
      </c>
      <c r="L171" t="n">
        <v>0</v>
      </c>
      <c r="M171" t="n">
        <v>0</v>
      </c>
      <c r="N171" t="n">
        <v>4</v>
      </c>
    </row>
    <row r="172">
      <c r="A172" t="inlineStr">
        <is>
          <t>peas</t>
        </is>
      </c>
      <c r="B172" t="inlineStr">
        <is>
          <t>and it was sown over 2 acres at esher.</t>
        </is>
      </c>
      <c r="C172" t="n">
        <v>0</v>
      </c>
      <c r="D172" t="n">
        <v>0</v>
      </c>
      <c r="E172" t="n">
        <v>0</v>
      </c>
      <c r="F172" t="n">
        <v>0</v>
      </c>
      <c r="H172" t="n">
        <v>0</v>
      </c>
      <c r="I172" t="n">
        <v>0</v>
      </c>
      <c r="J172" t="n">
        <v>0</v>
      </c>
      <c r="K172" t="n">
        <v>0</v>
      </c>
      <c r="L172" t="n">
        <v>0</v>
      </c>
      <c r="M172" t="n">
        <v>0</v>
      </c>
      <c r="N172" t="n">
        <v>0</v>
      </c>
    </row>
    <row r="173">
      <c r="A173" t="inlineStr">
        <is>
          <t>peas</t>
        </is>
      </c>
      <c r="B173" t="inlineStr">
        <is>
          <t>and it equals.</t>
        </is>
      </c>
      <c r="C173" t="n">
        <v>0</v>
      </c>
      <c r="D173" t="n">
        <v>0</v>
      </c>
      <c r="E173" t="n">
        <v>0</v>
      </c>
      <c r="F173" t="n">
        <v>0</v>
      </c>
      <c r="H173" t="n">
        <v>0</v>
      </c>
      <c r="I173" t="n">
        <v>0</v>
      </c>
      <c r="J173" t="n">
        <v>0</v>
      </c>
      <c r="K173" t="n">
        <v>0</v>
      </c>
      <c r="L173" t="n">
        <v>0</v>
      </c>
      <c r="M173" t="n">
        <v>0</v>
      </c>
      <c r="N173" t="n">
        <v>0</v>
      </c>
    </row>
    <row r="174">
      <c r="A174" t="inlineStr">
        <is>
          <t>barley</t>
        </is>
      </c>
      <c r="B174" t="inlineStr">
        <is>
          <t>the same answers for 1 quarter 2 bushels of barley received from issue of the grange of esher, threshed by piecework, razed measure, by tally against the said prior.</t>
        </is>
      </c>
      <c r="C174" t="n">
        <v>0</v>
      </c>
      <c r="D174" t="n">
        <v>0</v>
      </c>
      <c r="E174" t="n">
        <v>0</v>
      </c>
      <c r="F174" t="n">
        <v>0</v>
      </c>
      <c r="G174" t="inlineStr">
        <is>
          <t>barley</t>
        </is>
      </c>
      <c r="H174" t="n">
        <v>0</v>
      </c>
      <c r="I174" t="n">
        <v>2</v>
      </c>
      <c r="J174" t="n">
        <v>0.25</v>
      </c>
      <c r="K174" t="n">
        <v>0.25</v>
      </c>
      <c r="L174" t="n">
        <v>0</v>
      </c>
      <c r="M174" t="n">
        <v>0</v>
      </c>
      <c r="N174" t="n">
        <v>2</v>
      </c>
    </row>
    <row r="175">
      <c r="A175" t="inlineStr">
        <is>
          <t>barley</t>
        </is>
      </c>
      <c r="B175" t="inlineStr">
        <is>
          <t>sum 1 quarter 2 bushels.</t>
        </is>
      </c>
      <c r="C175" t="n">
        <v>0</v>
      </c>
      <c r="D175" t="n">
        <v>0</v>
      </c>
      <c r="E175" t="n">
        <v>0</v>
      </c>
      <c r="F175" t="n">
        <v>0</v>
      </c>
      <c r="H175" t="n">
        <v>0</v>
      </c>
      <c r="I175" t="n">
        <v>2</v>
      </c>
      <c r="J175" t="n">
        <v>0.25</v>
      </c>
      <c r="K175" t="n">
        <v>0.25</v>
      </c>
      <c r="L175" t="n">
        <v>0</v>
      </c>
      <c r="M175" t="n">
        <v>0</v>
      </c>
      <c r="N175" t="n">
        <v>2</v>
      </c>
    </row>
    <row r="176">
      <c r="A176" t="inlineStr">
        <is>
          <t>barley</t>
        </is>
      </c>
      <c r="B176" t="inlineStr">
        <is>
          <t>of which accounted for as sold 1 quarter 1 bushel 3 pecks, the eighth bushel heaped.</t>
        </is>
      </c>
      <c r="C176" t="n">
        <v>0</v>
      </c>
      <c r="D176" t="n">
        <v>0</v>
      </c>
      <c r="E176" t="n">
        <v>0</v>
      </c>
      <c r="F176" t="n">
        <v>0</v>
      </c>
      <c r="H176" t="n">
        <v>0</v>
      </c>
      <c r="I176" t="n">
        <v>0</v>
      </c>
      <c r="J176" t="n">
        <v>0</v>
      </c>
      <c r="K176" t="n">
        <v>0</v>
      </c>
      <c r="L176" t="n">
        <v>0</v>
      </c>
      <c r="M176" t="n">
        <v>0</v>
      </c>
      <c r="N176" t="n">
        <v>0</v>
      </c>
    </row>
    <row r="177">
      <c r="A177" t="inlineStr">
        <is>
          <t>barley</t>
        </is>
      </c>
      <c r="B177" t="inlineStr">
        <is>
          <t>a heap given for the same 1 peck.</t>
        </is>
      </c>
      <c r="C177" t="n">
        <v>0</v>
      </c>
      <c r="D177" t="n">
        <v>0</v>
      </c>
      <c r="E177" t="n">
        <v>0</v>
      </c>
      <c r="F177" t="n">
        <v>0</v>
      </c>
      <c r="H177" t="n">
        <v>0</v>
      </c>
      <c r="I177" t="n">
        <v>0</v>
      </c>
      <c r="J177" t="n">
        <v>0</v>
      </c>
      <c r="K177" t="n">
        <v>0</v>
      </c>
      <c r="L177" t="n">
        <v>0</v>
      </c>
      <c r="M177" t="n">
        <v>0</v>
      </c>
      <c r="N177" t="n">
        <v>0</v>
      </c>
    </row>
    <row r="178">
      <c r="A178" t="inlineStr">
        <is>
          <t>barley</t>
        </is>
      </c>
      <c r="B178" t="inlineStr">
        <is>
          <t>sum as above.</t>
        </is>
      </c>
      <c r="C178" t="n">
        <v>0</v>
      </c>
      <c r="D178" t="n">
        <v>0</v>
      </c>
      <c r="E178" t="n">
        <v>0</v>
      </c>
      <c r="F178" t="n">
        <v>0</v>
      </c>
      <c r="H178" t="n">
        <v>0</v>
      </c>
      <c r="I178" t="n">
        <v>0</v>
      </c>
      <c r="J178" t="n">
        <v>0</v>
      </c>
      <c r="K178" t="n">
        <v>0</v>
      </c>
      <c r="L178" t="n">
        <v>0</v>
      </c>
      <c r="M178" t="n">
        <v>0</v>
      </c>
      <c r="N178" t="n">
        <v>0</v>
      </c>
    </row>
    <row r="179">
      <c r="A179" t="inlineStr">
        <is>
          <t>barley</t>
        </is>
      </c>
      <c r="B179" t="inlineStr">
        <is>
          <t>and it equals.</t>
        </is>
      </c>
      <c r="C179" t="n">
        <v>0</v>
      </c>
      <c r="D179" t="n">
        <v>0</v>
      </c>
      <c r="E179" t="n">
        <v>0</v>
      </c>
      <c r="F179" t="n">
        <v>0</v>
      </c>
      <c r="H179" t="n">
        <v>0</v>
      </c>
      <c r="I179" t="n">
        <v>0</v>
      </c>
      <c r="J179" t="n">
        <v>0</v>
      </c>
      <c r="K179" t="n">
        <v>0</v>
      </c>
      <c r="L179" t="n">
        <v>0</v>
      </c>
      <c r="M179" t="n">
        <v>0</v>
      </c>
      <c r="N179" t="n">
        <v>0</v>
      </c>
    </row>
    <row r="180">
      <c r="A180" t="inlineStr">
        <is>
          <t>barley</t>
        </is>
      </c>
      <c r="B180" t="inlineStr">
        <is>
          <t>--- page 8 ---.</t>
        </is>
      </c>
      <c r="C180" t="n">
        <v>0</v>
      </c>
      <c r="D180" t="n">
        <v>0</v>
      </c>
      <c r="E180" t="n">
        <v>0</v>
      </c>
      <c r="F180" t="n">
        <v>0</v>
      </c>
      <c r="H180" t="n">
        <v>0</v>
      </c>
      <c r="I180" t="n">
        <v>0</v>
      </c>
      <c r="J180" t="n">
        <v>0</v>
      </c>
      <c r="K180" t="n">
        <v>0</v>
      </c>
      <c r="L180" t="n">
        <v>0</v>
      </c>
      <c r="M180" t="n">
        <v>0</v>
      </c>
      <c r="N180" t="n">
        <v>0</v>
      </c>
    </row>
    <row r="181">
      <c r="A181" t="inlineStr">
        <is>
          <t>oats</t>
        </is>
      </c>
      <c r="B181" t="inlineStr">
        <is>
          <t>the same answers for 9 quarters 2 bushels of large oats received from issue of the grange of esher threshed by piecework, razed measure, by one tally against the same prior.</t>
        </is>
      </c>
      <c r="C181" t="n">
        <v>0</v>
      </c>
      <c r="D181" t="n">
        <v>0</v>
      </c>
      <c r="E181" t="n">
        <v>0</v>
      </c>
      <c r="F181" t="n">
        <v>0</v>
      </c>
      <c r="G181" t="inlineStr">
        <is>
          <t>oats</t>
        </is>
      </c>
      <c r="H181" t="n">
        <v>9</v>
      </c>
      <c r="I181" t="n">
        <v>2</v>
      </c>
      <c r="J181" t="n">
        <v>9.25</v>
      </c>
      <c r="K181" t="n">
        <v>9.25</v>
      </c>
      <c r="L181" t="n">
        <v>0</v>
      </c>
      <c r="M181" t="n">
        <v>9</v>
      </c>
      <c r="N181" t="n">
        <v>2</v>
      </c>
    </row>
    <row r="182">
      <c r="A182" t="inlineStr">
        <is>
          <t>oats</t>
        </is>
      </c>
      <c r="B182" t="inlineStr">
        <is>
          <t>and for 35 quarters 1 bushel of oats received from issue of the granges of esher and northwode, threshed by piecework, razed measure, by the same tally, of which at northwode 16 quarters.</t>
        </is>
      </c>
      <c r="C182" t="n">
        <v>0</v>
      </c>
      <c r="D182" t="n">
        <v>0</v>
      </c>
      <c r="E182" t="n">
        <v>0</v>
      </c>
      <c r="F182" t="n">
        <v>0</v>
      </c>
      <c r="G182" t="inlineStr">
        <is>
          <t>oats</t>
        </is>
      </c>
      <c r="H182" t="n">
        <v>16</v>
      </c>
      <c r="I182" t="n">
        <v>0</v>
      </c>
      <c r="J182" t="n">
        <v>16</v>
      </c>
      <c r="K182" t="n">
        <v>35</v>
      </c>
      <c r="L182" t="n">
        <v>-19</v>
      </c>
      <c r="M182" t="n">
        <v>35</v>
      </c>
      <c r="N182" t="n">
        <v>0</v>
      </c>
      <c r="O182" t="n">
        <v>16</v>
      </c>
      <c r="P182" t="n">
        <v>0</v>
      </c>
    </row>
    <row r="183">
      <c r="A183" t="inlineStr">
        <is>
          <t>oats</t>
        </is>
      </c>
      <c r="B183" t="inlineStr">
        <is>
          <t>and for 1 quarter of small oats received in three shocks of sheaves by estimation from the same issue for fodder for the oxen, a shock containing 15 sheaves.</t>
        </is>
      </c>
      <c r="C183" t="n">
        <v>0</v>
      </c>
      <c r="D183" t="n">
        <v>0</v>
      </c>
      <c r="E183" t="n">
        <v>0</v>
      </c>
      <c r="F183" t="n">
        <v>0</v>
      </c>
      <c r="G183" t="inlineStr">
        <is>
          <t>oats</t>
        </is>
      </c>
      <c r="H183" t="n">
        <v>0</v>
      </c>
      <c r="I183" t="n">
        <v>0</v>
      </c>
      <c r="J183" t="n">
        <v>0</v>
      </c>
      <c r="K183" t="n">
        <v>0</v>
      </c>
      <c r="L183" t="n">
        <v>0</v>
      </c>
      <c r="M183" t="n">
        <v>0</v>
      </c>
      <c r="N183" t="n">
        <v>0</v>
      </c>
    </row>
    <row r="184">
      <c r="A184" t="inlineStr">
        <is>
          <t>oats</t>
        </is>
      </c>
      <c r="B184" t="inlineStr">
        <is>
          <t>and for 1 quarter of oats bought, the eighth bushel heaped.</t>
        </is>
      </c>
      <c r="C184" t="n">
        <v>0</v>
      </c>
      <c r="D184" t="n">
        <v>0</v>
      </c>
      <c r="E184" t="n">
        <v>0</v>
      </c>
      <c r="F184" t="n">
        <v>0</v>
      </c>
      <c r="G184" t="inlineStr">
        <is>
          <t>oats</t>
        </is>
      </c>
      <c r="H184" t="n">
        <v>0</v>
      </c>
      <c r="I184" t="n">
        <v>0</v>
      </c>
      <c r="J184" t="n">
        <v>0</v>
      </c>
      <c r="K184" t="n">
        <v>0</v>
      </c>
      <c r="L184" t="n">
        <v>0</v>
      </c>
      <c r="M184" t="n">
        <v>0</v>
      </c>
      <c r="N184" t="n">
        <v>0</v>
      </c>
    </row>
    <row r="185">
      <c r="A185" t="inlineStr">
        <is>
          <t>oats</t>
        </is>
      </c>
      <c r="B185" t="inlineStr">
        <is>
          <t>and for 1 peck from increment for the heap.</t>
        </is>
      </c>
      <c r="C185" t="n">
        <v>0</v>
      </c>
      <c r="D185" t="n">
        <v>0</v>
      </c>
      <c r="E185" t="n">
        <v>0</v>
      </c>
      <c r="F185" t="n">
        <v>0</v>
      </c>
      <c r="H185" t="n">
        <v>0</v>
      </c>
      <c r="I185" t="n">
        <v>0</v>
      </c>
      <c r="J185" t="n">
        <v>0</v>
      </c>
      <c r="K185" t="n">
        <v>0</v>
      </c>
      <c r="L185" t="n">
        <v>0</v>
      </c>
      <c r="M185" t="n">
        <v>0</v>
      </c>
      <c r="N185" t="n">
        <v>0</v>
      </c>
    </row>
    <row r="186">
      <c r="A186" t="inlineStr">
        <is>
          <t>oats</t>
        </is>
      </c>
      <c r="B186" t="inlineStr">
        <is>
          <t>and for 1 quarter 1½ bushels from increment.</t>
        </is>
      </c>
      <c r="C186" t="n">
        <v>0</v>
      </c>
      <c r="D186" t="n">
        <v>0</v>
      </c>
      <c r="E186" t="n">
        <v>0</v>
      </c>
      <c r="F186" t="n">
        <v>0</v>
      </c>
      <c r="H186" t="n">
        <v>0</v>
      </c>
      <c r="I186" t="n">
        <v>0</v>
      </c>
      <c r="J186" t="n">
        <v>0</v>
      </c>
      <c r="K186" t="n">
        <v>0</v>
      </c>
      <c r="L186" t="n">
        <v>0</v>
      </c>
      <c r="M186" t="n">
        <v>0</v>
      </c>
      <c r="N186" t="n">
        <v>0</v>
      </c>
    </row>
    <row r="187">
      <c r="A187" t="inlineStr">
        <is>
          <t>oats</t>
        </is>
      </c>
      <c r="B187" t="inlineStr">
        <is>
          <t>sum 47 quarters 3 bushels 3 pecks.</t>
        </is>
      </c>
      <c r="C187" t="n">
        <v>0</v>
      </c>
      <c r="D187" t="n">
        <v>0</v>
      </c>
      <c r="E187" t="n">
        <v>0</v>
      </c>
      <c r="F187" t="n">
        <v>0</v>
      </c>
      <c r="H187" t="n">
        <v>47</v>
      </c>
      <c r="I187" t="n">
        <v>3</v>
      </c>
      <c r="J187" t="n">
        <v>47.38</v>
      </c>
      <c r="K187" t="n">
        <v>47.38</v>
      </c>
      <c r="L187" t="n">
        <v>0</v>
      </c>
      <c r="M187" t="n">
        <v>47</v>
      </c>
      <c r="N187" t="n">
        <v>3</v>
      </c>
    </row>
    <row r="188">
      <c r="A188" t="inlineStr">
        <is>
          <t>oats</t>
        </is>
      </c>
      <c r="B188" t="inlineStr">
        <is>
          <t>the same accounts in seed over 26 acres 3 roods of land at esher and over 20 acres 3 roods at northwode 25 quarters 6 bushels, of which 7 quarters was large oats, thus an acre takes 4½ bushels.</t>
        </is>
      </c>
      <c r="C188" t="n">
        <v>0</v>
      </c>
      <c r="D188" t="n">
        <v>0</v>
      </c>
      <c r="E188" t="n">
        <v>0</v>
      </c>
      <c r="F188" t="n">
        <v>0</v>
      </c>
      <c r="G188" t="inlineStr">
        <is>
          <t>oats</t>
        </is>
      </c>
      <c r="H188" t="n">
        <v>7</v>
      </c>
      <c r="I188" t="n">
        <v>6</v>
      </c>
      <c r="J188" t="n">
        <v>7.75</v>
      </c>
      <c r="K188" t="n">
        <v>25.75</v>
      </c>
      <c r="L188" t="n">
        <v>-18</v>
      </c>
      <c r="M188" t="n">
        <v>25</v>
      </c>
      <c r="N188" t="n">
        <v>6</v>
      </c>
      <c r="O188" t="n">
        <v>7</v>
      </c>
      <c r="P188" t="n">
        <v>0</v>
      </c>
    </row>
    <row r="189">
      <c r="A189" t="inlineStr">
        <is>
          <t>oats</t>
        </is>
      </c>
      <c r="B189" t="inlineStr">
        <is>
          <t>flour made for pottage for the manorial famuli for the year 1 quarter 6 bushels.</t>
        </is>
      </c>
      <c r="C189" t="n">
        <v>0</v>
      </c>
      <c r="D189" t="n">
        <v>0</v>
      </c>
      <c r="E189" t="n">
        <v>0</v>
      </c>
      <c r="F189" t="n">
        <v>0</v>
      </c>
      <c r="H189" t="n">
        <v>0</v>
      </c>
      <c r="I189" t="n">
        <v>6</v>
      </c>
      <c r="J189" t="n">
        <v>0.75</v>
      </c>
      <c r="K189" t="n">
        <v>0.75</v>
      </c>
      <c r="L189" t="n">
        <v>0</v>
      </c>
      <c r="M189" t="n">
        <v>0</v>
      </c>
      <c r="N189" t="n">
        <v>6</v>
      </c>
    </row>
    <row r="190">
      <c r="A190" t="inlineStr">
        <is>
          <t>oats</t>
        </is>
      </c>
      <c r="B190" t="inlineStr">
        <is>
          <t>fodder for 2 cart horses of the manor in winter at sowing time 1½ quarters this year.</t>
        </is>
      </c>
      <c r="C190" t="n">
        <v>0</v>
      </c>
      <c r="D190" t="n">
        <v>0</v>
      </c>
      <c r="E190" t="n">
        <v>0</v>
      </c>
      <c r="F190" t="n">
        <v>0</v>
      </c>
      <c r="H190" t="n">
        <v>0</v>
      </c>
      <c r="I190" t="n">
        <v>0</v>
      </c>
      <c r="J190" t="n">
        <v>0</v>
      </c>
      <c r="K190" t="n">
        <v>0</v>
      </c>
      <c r="L190" t="n">
        <v>0</v>
      </c>
      <c r="M190" t="n">
        <v>0</v>
      </c>
      <c r="N190" t="n">
        <v>0</v>
      </c>
    </row>
    <row r="191">
      <c r="A191" t="inlineStr">
        <is>
          <t>oats</t>
        </is>
      </c>
      <c r="B191" t="inlineStr">
        <is>
          <t>fodder for 6 oxen ploughing at sowing time in sheaves as above, estimated at 1 quarter.</t>
        </is>
      </c>
      <c r="C191" t="n">
        <v>0</v>
      </c>
      <c r="D191" t="n">
        <v>0</v>
      </c>
      <c r="E191" t="n">
        <v>0</v>
      </c>
      <c r="F191" t="n">
        <v>0</v>
      </c>
      <c r="H191" t="n">
        <v>0</v>
      </c>
      <c r="I191" t="n">
        <v>0</v>
      </c>
      <c r="J191" t="n">
        <v>0</v>
      </c>
      <c r="K191" t="n">
        <v>0</v>
      </c>
      <c r="L191" t="n">
        <v>0</v>
      </c>
      <c r="M191" t="n">
        <v>0</v>
      </c>
      <c r="N191" t="n">
        <v>0</v>
      </c>
    </row>
    <row r="192">
      <c r="A192" t="inlineStr">
        <is>
          <t>oats</t>
        </is>
      </c>
      <c r="B192" t="inlineStr">
        <is>
          <t>fodder for the horses of the steward for his coming for holding court and supervising the manor 2 quarters 1½ bushels by tally and sealed bill.</t>
        </is>
      </c>
      <c r="C192" t="n">
        <v>0</v>
      </c>
      <c r="D192" t="n">
        <v>0</v>
      </c>
      <c r="E192" t="n">
        <v>0</v>
      </c>
      <c r="F192" t="n">
        <v>0</v>
      </c>
      <c r="H192" t="n">
        <v>2</v>
      </c>
      <c r="I192" t="n">
        <v>0</v>
      </c>
      <c r="J192" t="n">
        <v>2</v>
      </c>
      <c r="K192" t="n">
        <v>2</v>
      </c>
      <c r="L192" t="n">
        <v>0</v>
      </c>
      <c r="M192" t="n">
        <v>2</v>
      </c>
      <c r="N192" t="n">
        <v>0</v>
      </c>
    </row>
    <row r="193">
      <c r="A193" t="inlineStr">
        <is>
          <t>oats</t>
        </is>
      </c>
      <c r="B193" t="inlineStr">
        <is>
          <t>given to the purveyor of the household of the duke of cornwall for taking neither the lord’s oats nor hay within the manor 4 bushels.</t>
        </is>
      </c>
      <c r="C193" t="n">
        <v>0</v>
      </c>
      <c r="D193" t="n">
        <v>0</v>
      </c>
      <c r="E193" t="n">
        <v>0</v>
      </c>
      <c r="F193" t="n">
        <v>0</v>
      </c>
      <c r="G193" t="inlineStr">
        <is>
          <t>oats</t>
        </is>
      </c>
      <c r="H193" t="n">
        <v>0</v>
      </c>
      <c r="I193" t="n">
        <v>4</v>
      </c>
      <c r="J193" t="n">
        <v>0.5</v>
      </c>
      <c r="K193" t="n">
        <v>0.5</v>
      </c>
      <c r="L193" t="n">
        <v>0</v>
      </c>
      <c r="M193" t="n">
        <v>0</v>
      </c>
      <c r="N193" t="n">
        <v>4</v>
      </c>
    </row>
    <row r="194">
      <c r="A194" t="inlineStr">
        <is>
          <t>oats</t>
        </is>
      </c>
      <c r="B194" t="inlineStr">
        <is>
          <t>and sold 14 quarters 2½ bushels 1 peck, for the expenses of the lord’s household 3½ quarters, razed measure, and 10 quarters 6½ bushels for the use of earl warenne, residing within the manor for one night, the eighth bushel heaped.</t>
        </is>
      </c>
      <c r="C194" t="n">
        <v>0</v>
      </c>
      <c r="D194" t="n">
        <v>0</v>
      </c>
      <c r="E194" t="n">
        <v>0</v>
      </c>
      <c r="F194" t="n">
        <v>0</v>
      </c>
      <c r="H194" t="n">
        <v>10</v>
      </c>
      <c r="I194" t="n">
        <v>0</v>
      </c>
      <c r="J194" t="n">
        <v>10</v>
      </c>
      <c r="K194" t="n">
        <v>14</v>
      </c>
      <c r="L194" t="n">
        <v>-4</v>
      </c>
      <c r="M194" t="n">
        <v>14</v>
      </c>
      <c r="N194" t="n">
        <v>0</v>
      </c>
      <c r="O194" t="n">
        <v>10</v>
      </c>
      <c r="P194" t="n">
        <v>0</v>
      </c>
    </row>
    <row r="195">
      <c r="A195" t="inlineStr">
        <is>
          <t>oats</t>
        </is>
      </c>
      <c r="B195" t="inlineStr">
        <is>
          <t>heaps given for the same 2½ bushels.</t>
        </is>
      </c>
      <c r="C195" t="n">
        <v>0</v>
      </c>
      <c r="D195" t="n">
        <v>0</v>
      </c>
      <c r="E195" t="n">
        <v>0</v>
      </c>
      <c r="F195" t="n">
        <v>0</v>
      </c>
      <c r="H195" t="n">
        <v>0</v>
      </c>
      <c r="I195" t="n">
        <v>0</v>
      </c>
      <c r="J195" t="n">
        <v>0</v>
      </c>
      <c r="K195" t="n">
        <v>0</v>
      </c>
      <c r="L195" t="n">
        <v>0</v>
      </c>
      <c r="M195" t="n">
        <v>0</v>
      </c>
      <c r="N195" t="n">
        <v>0</v>
      </c>
    </row>
    <row r="196">
      <c r="A196" t="inlineStr">
        <is>
          <t>oats</t>
        </is>
      </c>
      <c r="B196" t="inlineStr">
        <is>
          <t>and at the audit 2 bushels, for 6pence sum as above.</t>
        </is>
      </c>
      <c r="C196" t="n">
        <v>0.03</v>
      </c>
      <c r="D196" t="n">
        <v>0</v>
      </c>
      <c r="E196" t="n">
        <v>0</v>
      </c>
      <c r="F196" t="n">
        <v>6</v>
      </c>
      <c r="H196" t="n">
        <v>0</v>
      </c>
      <c r="I196" t="n">
        <v>2</v>
      </c>
      <c r="J196" t="n">
        <v>0.25</v>
      </c>
      <c r="K196" t="n">
        <v>0.25</v>
      </c>
      <c r="L196" t="n">
        <v>0</v>
      </c>
      <c r="M196" t="n">
        <v>0</v>
      </c>
      <c r="N196" t="n">
        <v>2</v>
      </c>
    </row>
    <row r="197">
      <c r="A197" t="inlineStr">
        <is>
          <t>oats</t>
        </is>
      </c>
      <c r="B197" t="inlineStr">
        <is>
          <t>and it equals.</t>
        </is>
      </c>
      <c r="C197" t="n">
        <v>0</v>
      </c>
      <c r="D197" t="n">
        <v>0</v>
      </c>
      <c r="E197" t="n">
        <v>0</v>
      </c>
      <c r="F197" t="n">
        <v>0</v>
      </c>
      <c r="H197" t="n">
        <v>0</v>
      </c>
      <c r="I197" t="n">
        <v>0</v>
      </c>
      <c r="J197" t="n">
        <v>0</v>
      </c>
      <c r="K197" t="n">
        <v>0</v>
      </c>
      <c r="L197" t="n">
        <v>0</v>
      </c>
      <c r="M197" t="n">
        <v>0</v>
      </c>
      <c r="N197" t="n">
        <v>0</v>
      </c>
    </row>
    <row r="198">
      <c r="A198" t="inlineStr">
        <is>
          <t>payment of the famuli</t>
        </is>
      </c>
      <c r="B198" t="inlineStr">
        <is>
          <t>the same answers for 16 quarters 2 bushels of rye, as above, received for payment of the famuli.</t>
        </is>
      </c>
      <c r="C198" t="n">
        <v>0</v>
      </c>
      <c r="D198" t="n">
        <v>0</v>
      </c>
      <c r="E198" t="n">
        <v>0</v>
      </c>
      <c r="F198" t="n">
        <v>0</v>
      </c>
      <c r="G198" t="inlineStr">
        <is>
          <t>rye</t>
        </is>
      </c>
      <c r="H198" t="n">
        <v>16</v>
      </c>
      <c r="I198" t="n">
        <v>2</v>
      </c>
      <c r="J198" t="n">
        <v>16.25</v>
      </c>
      <c r="K198" t="n">
        <v>16.25</v>
      </c>
      <c r="L198" t="n">
        <v>0</v>
      </c>
      <c r="M198" t="n">
        <v>16</v>
      </c>
      <c r="N198" t="n">
        <v>2</v>
      </c>
    </row>
    <row r="199">
      <c r="A199" t="inlineStr">
        <is>
          <t>payment of the famuli</t>
        </is>
      </c>
      <c r="B199" t="inlineStr">
        <is>
          <t>sum 16 quarters 2 bushels.</t>
        </is>
      </c>
      <c r="C199" t="n">
        <v>0</v>
      </c>
      <c r="D199" t="n">
        <v>0</v>
      </c>
      <c r="E199" t="n">
        <v>0</v>
      </c>
      <c r="F199" t="n">
        <v>0</v>
      </c>
      <c r="H199" t="n">
        <v>16</v>
      </c>
      <c r="I199" t="n">
        <v>2</v>
      </c>
      <c r="J199" t="n">
        <v>16.25</v>
      </c>
      <c r="K199" t="n">
        <v>16.25</v>
      </c>
      <c r="L199" t="n">
        <v>0</v>
      </c>
      <c r="M199" t="n">
        <v>16</v>
      </c>
      <c r="N199" t="n">
        <v>2</v>
      </c>
    </row>
    <row r="200">
      <c r="A200" t="inlineStr">
        <is>
          <t>payment of the famuli</t>
        </is>
      </c>
      <c r="B200" t="inlineStr">
        <is>
          <t>of which accounted for in payment of one ploughman, who is also the carter, taking a quarter for 10 weeks for the year 5 quarters 1½ bushels.</t>
        </is>
      </c>
      <c r="C200" t="n">
        <v>0</v>
      </c>
      <c r="D200" t="n">
        <v>0</v>
      </c>
      <c r="E200" t="n">
        <v>0</v>
      </c>
      <c r="F200" t="n">
        <v>0</v>
      </c>
      <c r="H200" t="n">
        <v>5</v>
      </c>
      <c r="I200" t="n">
        <v>0</v>
      </c>
      <c r="J200" t="n">
        <v>5</v>
      </c>
      <c r="K200" t="n">
        <v>5</v>
      </c>
      <c r="L200" t="n">
        <v>0</v>
      </c>
      <c r="M200" t="n">
        <v>5</v>
      </c>
      <c r="N200" t="n">
        <v>0</v>
      </c>
    </row>
    <row r="201">
      <c r="A201" t="inlineStr">
        <is>
          <t>payment of the famuli</t>
        </is>
      </c>
      <c r="B201" t="inlineStr">
        <is>
          <t>payment of one ploughdriver and one shepherd each taking a quarter for 12 weeks for the year 8 quarters 5 bushels.</t>
        </is>
      </c>
      <c r="C201" t="n">
        <v>0</v>
      </c>
      <c r="D201" t="n">
        <v>0</v>
      </c>
      <c r="E201" t="n">
        <v>0</v>
      </c>
      <c r="F201" t="n">
        <v>0</v>
      </c>
      <c r="H201" t="n">
        <v>8</v>
      </c>
      <c r="I201" t="n">
        <v>5</v>
      </c>
      <c r="J201" t="n">
        <v>8.619999999999999</v>
      </c>
      <c r="K201" t="n">
        <v>8.619999999999999</v>
      </c>
      <c r="L201" t="n">
        <v>0</v>
      </c>
      <c r="M201" t="n">
        <v>8</v>
      </c>
      <c r="N201" t="n">
        <v>5</v>
      </c>
    </row>
    <row r="202">
      <c r="A202" t="inlineStr">
        <is>
          <t>payment of the famuli</t>
        </is>
      </c>
      <c r="B202" t="inlineStr">
        <is>
          <t>payment of one boy helping to guard the lord’s hoggets separately, from the feast of st michael until the feast of pentecost [1 june] for 35 weeks 2 quarters 1½ bushels, taking for a week ½ bushel.</t>
        </is>
      </c>
      <c r="C202" t="n">
        <v>0</v>
      </c>
      <c r="D202" t="n">
        <v>0</v>
      </c>
      <c r="E202" t="n">
        <v>0</v>
      </c>
      <c r="F202" t="n">
        <v>0</v>
      </c>
      <c r="H202" t="n">
        <v>2</v>
      </c>
      <c r="I202" t="n">
        <v>0</v>
      </c>
      <c r="J202" t="n">
        <v>2</v>
      </c>
      <c r="K202" t="n">
        <v>2</v>
      </c>
      <c r="L202" t="n">
        <v>0</v>
      </c>
      <c r="M202" t="n">
        <v>2</v>
      </c>
      <c r="N202" t="n">
        <v>0</v>
      </c>
    </row>
    <row r="203">
      <c r="A203" t="inlineStr">
        <is>
          <t>payment of the famuli</t>
        </is>
      </c>
      <c r="B203" t="inlineStr">
        <is>
          <t>payment of one harrower harrowing at lenten sowing for four weeks this year 2 bushels.</t>
        </is>
      </c>
      <c r="C203" t="n">
        <v>0</v>
      </c>
      <c r="D203" t="n">
        <v>0</v>
      </c>
      <c r="E203" t="n">
        <v>0</v>
      </c>
      <c r="F203" t="n">
        <v>0</v>
      </c>
      <c r="H203" t="n">
        <v>0</v>
      </c>
      <c r="I203" t="n">
        <v>2</v>
      </c>
      <c r="J203" t="n">
        <v>0.25</v>
      </c>
      <c r="K203" t="n">
        <v>0.25</v>
      </c>
      <c r="L203" t="n">
        <v>0</v>
      </c>
      <c r="M203" t="n">
        <v>0</v>
      </c>
      <c r="N203" t="n">
        <v>2</v>
      </c>
    </row>
    <row r="204">
      <c r="A204" t="inlineStr">
        <is>
          <t>payment of the famuli</t>
        </is>
      </c>
      <c r="B204" t="inlineStr">
        <is>
          <t>sum as above.</t>
        </is>
      </c>
      <c r="C204" t="n">
        <v>0</v>
      </c>
      <c r="D204" t="n">
        <v>0</v>
      </c>
      <c r="E204" t="n">
        <v>0</v>
      </c>
      <c r="F204" t="n">
        <v>0</v>
      </c>
      <c r="H204" t="n">
        <v>0</v>
      </c>
      <c r="I204" t="n">
        <v>0</v>
      </c>
      <c r="J204" t="n">
        <v>0</v>
      </c>
      <c r="K204" t="n">
        <v>0</v>
      </c>
      <c r="L204" t="n">
        <v>0</v>
      </c>
      <c r="M204" t="n">
        <v>0</v>
      </c>
      <c r="N204" t="n">
        <v>0</v>
      </c>
    </row>
    <row r="205">
      <c r="A205" t="inlineStr">
        <is>
          <t>payment of the famuli</t>
        </is>
      </c>
      <c r="B205" t="inlineStr">
        <is>
          <t>and it equals.</t>
        </is>
      </c>
      <c r="C205" t="n">
        <v>0</v>
      </c>
      <c r="D205" t="n">
        <v>0</v>
      </c>
      <c r="E205" t="n">
        <v>0</v>
      </c>
      <c r="F205" t="n">
        <v>0</v>
      </c>
      <c r="H205" t="n">
        <v>0</v>
      </c>
      <c r="I205" t="n">
        <v>0</v>
      </c>
      <c r="J205" t="n">
        <v>0</v>
      </c>
      <c r="K205" t="n">
        <v>0</v>
      </c>
      <c r="L205" t="n">
        <v>0</v>
      </c>
      <c r="M205" t="n">
        <v>0</v>
      </c>
      <c r="N205" t="n">
        <v>0</v>
      </c>
    </row>
    <row r="206">
      <c r="A206" t="inlineStr">
        <is>
          <t>cart horses</t>
        </is>
      </c>
      <c r="B206" t="inlineStr">
        <is>
          <t>and for 2 cart horses that remained.</t>
        </is>
      </c>
      <c r="C206" t="n">
        <v>0</v>
      </c>
      <c r="D206" t="n">
        <v>0</v>
      </c>
      <c r="E206" t="n">
        <v>0</v>
      </c>
      <c r="F206" t="n">
        <v>0</v>
      </c>
      <c r="H206" t="n">
        <v>0</v>
      </c>
      <c r="I206" t="n">
        <v>0</v>
      </c>
      <c r="J206" t="n">
        <v>0</v>
      </c>
      <c r="K206" t="n">
        <v>0</v>
      </c>
      <c r="L206" t="n">
        <v>0</v>
      </c>
      <c r="M206" t="n">
        <v>0</v>
      </c>
      <c r="N206" t="n">
        <v>0</v>
      </c>
    </row>
    <row r="207">
      <c r="A207" t="inlineStr">
        <is>
          <t>cart horses</t>
        </is>
      </c>
      <c r="B207" t="inlineStr">
        <is>
          <t>sum 2. and 2 cart horses remain.</t>
        </is>
      </c>
      <c r="C207" t="n">
        <v>0</v>
      </c>
      <c r="D207" t="n">
        <v>0</v>
      </c>
      <c r="E207" t="n">
        <v>0</v>
      </c>
      <c r="F207" t="n">
        <v>0</v>
      </c>
      <c r="H207" t="n">
        <v>0</v>
      </c>
      <c r="I207" t="n">
        <v>0</v>
      </c>
      <c r="J207" t="n">
        <v>0</v>
      </c>
      <c r="K207" t="n">
        <v>0</v>
      </c>
      <c r="L207" t="n">
        <v>0</v>
      </c>
      <c r="M207" t="n">
        <v>0</v>
      </c>
      <c r="N207" t="n">
        <v>0</v>
      </c>
    </row>
    <row r="208">
      <c r="A208" t="inlineStr">
        <is>
          <t>oxen</t>
        </is>
      </c>
      <c r="B208" t="inlineStr">
        <is>
          <t>and for 6 oxen that remained.</t>
        </is>
      </c>
      <c r="C208" t="n">
        <v>0</v>
      </c>
      <c r="D208" t="n">
        <v>0</v>
      </c>
      <c r="E208" t="n">
        <v>0</v>
      </c>
      <c r="F208" t="n">
        <v>0</v>
      </c>
      <c r="H208" t="n">
        <v>0</v>
      </c>
      <c r="I208" t="n">
        <v>0</v>
      </c>
      <c r="J208" t="n">
        <v>0</v>
      </c>
      <c r="K208" t="n">
        <v>0</v>
      </c>
      <c r="L208" t="n">
        <v>0</v>
      </c>
      <c r="M208" t="n">
        <v>0</v>
      </c>
      <c r="N208" t="n">
        <v>0</v>
      </c>
    </row>
    <row r="209">
      <c r="A209" t="inlineStr">
        <is>
          <t>oxen</t>
        </is>
      </c>
      <c r="B209" t="inlineStr">
        <is>
          <t>and for 4 bought.</t>
        </is>
      </c>
      <c r="C209" t="n">
        <v>0</v>
      </c>
      <c r="D209" t="n">
        <v>0</v>
      </c>
      <c r="E209" t="n">
        <v>0</v>
      </c>
      <c r="F209" t="n">
        <v>0</v>
      </c>
      <c r="H209" t="n">
        <v>0</v>
      </c>
      <c r="I209" t="n">
        <v>0</v>
      </c>
      <c r="J209" t="n">
        <v>0</v>
      </c>
      <c r="K209" t="n">
        <v>0</v>
      </c>
      <c r="L209" t="n">
        <v>0</v>
      </c>
      <c r="M209" t="n">
        <v>0</v>
      </c>
      <c r="N209" t="n">
        <v>0</v>
      </c>
    </row>
    <row r="210">
      <c r="A210" t="inlineStr">
        <is>
          <t>oxen</t>
        </is>
      </c>
      <c r="B210" t="inlineStr">
        <is>
          <t>sum 10. of which accounted for as sold 4. sum 4. and 6 oxen remain.</t>
        </is>
      </c>
      <c r="C210" t="n">
        <v>0</v>
      </c>
      <c r="D210" t="n">
        <v>0</v>
      </c>
      <c r="E210" t="n">
        <v>0</v>
      </c>
      <c r="F210" t="n">
        <v>0</v>
      </c>
      <c r="H210" t="n">
        <v>0</v>
      </c>
      <c r="I210" t="n">
        <v>0</v>
      </c>
      <c r="J210" t="n">
        <v>0</v>
      </c>
      <c r="K210" t="n">
        <v>0</v>
      </c>
      <c r="L210" t="n">
        <v>0</v>
      </c>
      <c r="M210" t="n">
        <v>0</v>
      </c>
      <c r="N210" t="n">
        <v>0</v>
      </c>
    </row>
    <row r="211">
      <c r="A211" t="inlineStr">
        <is>
          <t>oxen</t>
        </is>
      </c>
      <c r="B211" t="inlineStr">
        <is>
          <t>--- page 9 ---.</t>
        </is>
      </c>
      <c r="C211" t="n">
        <v>0</v>
      </c>
      <c r="D211" t="n">
        <v>0</v>
      </c>
      <c r="E211" t="n">
        <v>0</v>
      </c>
      <c r="F211" t="n">
        <v>0</v>
      </c>
      <c r="H211" t="n">
        <v>0</v>
      </c>
      <c r="I211" t="n">
        <v>0</v>
      </c>
      <c r="J211" t="n">
        <v>0</v>
      </c>
      <c r="K211" t="n">
        <v>0</v>
      </c>
      <c r="L211" t="n">
        <v>0</v>
      </c>
      <c r="M211" t="n">
        <v>0</v>
      </c>
      <c r="N211" t="n">
        <v>0</v>
      </c>
    </row>
    <row r="212">
      <c r="A212" t="inlineStr">
        <is>
          <t>wethers</t>
        </is>
      </c>
      <c r="B212" t="inlineStr">
        <is>
          <t>the same answers for 151 wethers that remained.</t>
        </is>
      </c>
      <c r="C212" t="n">
        <v>0</v>
      </c>
      <c r="D212" t="n">
        <v>0</v>
      </c>
      <c r="E212" t="n">
        <v>0</v>
      </c>
      <c r="F212" t="n">
        <v>0</v>
      </c>
      <c r="H212" t="n">
        <v>0</v>
      </c>
      <c r="I212" t="n">
        <v>0</v>
      </c>
      <c r="J212" t="n">
        <v>0</v>
      </c>
      <c r="K212" t="n">
        <v>0</v>
      </c>
      <c r="L212" t="n">
        <v>0</v>
      </c>
      <c r="M212" t="n">
        <v>0</v>
      </c>
      <c r="N212" t="n">
        <v>0</v>
      </c>
    </row>
    <row r="213">
      <c r="A213" t="inlineStr">
        <is>
          <t>wethers</t>
        </is>
      </c>
      <c r="B213" t="inlineStr">
        <is>
          <t>and for 32 maturing to these from hoggets after shearing.</t>
        </is>
      </c>
      <c r="C213" t="n">
        <v>0</v>
      </c>
      <c r="D213" t="n">
        <v>0</v>
      </c>
      <c r="E213" t="n">
        <v>0</v>
      </c>
      <c r="F213" t="n">
        <v>0</v>
      </c>
      <c r="H213" t="n">
        <v>0</v>
      </c>
      <c r="I213" t="n">
        <v>0</v>
      </c>
      <c r="J213" t="n">
        <v>0</v>
      </c>
      <c r="K213" t="n">
        <v>0</v>
      </c>
      <c r="L213" t="n">
        <v>0</v>
      </c>
      <c r="M213" t="n">
        <v>0</v>
      </c>
      <c r="N213" t="n">
        <v>0</v>
      </c>
    </row>
    <row r="214">
      <c r="A214" t="inlineStr">
        <is>
          <t>wethers</t>
        </is>
      </c>
      <c r="B214" t="inlineStr">
        <is>
          <t>sum 190. of which accounted for in murrain before shearing 8 and after shearing 3..</t>
        </is>
      </c>
      <c r="C214" t="n">
        <v>0</v>
      </c>
      <c r="D214" t="n">
        <v>0</v>
      </c>
      <c r="E214" t="n">
        <v>0</v>
      </c>
      <c r="F214" t="n">
        <v>0</v>
      </c>
      <c r="H214" t="n">
        <v>0</v>
      </c>
      <c r="I214" t="n">
        <v>0</v>
      </c>
      <c r="J214" t="n">
        <v>0</v>
      </c>
      <c r="K214" t="n">
        <v>0</v>
      </c>
      <c r="L214" t="n">
        <v>0</v>
      </c>
      <c r="M214" t="n">
        <v>0</v>
      </c>
      <c r="N214" t="n">
        <v>0</v>
      </c>
    </row>
    <row r="215">
      <c r="A215" t="inlineStr">
        <is>
          <t>wethers</t>
        </is>
      </c>
      <c r="B215" t="inlineStr">
        <is>
          <t>customary payment to customary tenants mowing the meadow of brodemed 1 wether after shearing.</t>
        </is>
      </c>
      <c r="C215" t="n">
        <v>0</v>
      </c>
      <c r="D215" t="n">
        <v>0</v>
      </c>
      <c r="E215" t="n">
        <v>0</v>
      </c>
      <c r="F215" t="n">
        <v>0</v>
      </c>
      <c r="H215" t="n">
        <v>0</v>
      </c>
      <c r="I215" t="n">
        <v>0</v>
      </c>
      <c r="J215" t="n">
        <v>0</v>
      </c>
      <c r="K215" t="n">
        <v>0</v>
      </c>
      <c r="L215" t="n">
        <v>0</v>
      </c>
      <c r="M215" t="n">
        <v>0</v>
      </c>
      <c r="N215" t="n">
        <v>0</v>
      </c>
    </row>
    <row r="216">
      <c r="A216" t="inlineStr">
        <is>
          <t>wethers</t>
        </is>
      </c>
      <c r="B216" t="inlineStr">
        <is>
          <t>and sold 10 kebbs after shearing.</t>
        </is>
      </c>
      <c r="C216" t="n">
        <v>0</v>
      </c>
      <c r="D216" t="n">
        <v>0</v>
      </c>
      <c r="E216" t="n">
        <v>0</v>
      </c>
      <c r="F216" t="n">
        <v>0</v>
      </c>
      <c r="H216" t="n">
        <v>0</v>
      </c>
      <c r="I216" t="n">
        <v>0</v>
      </c>
      <c r="J216" t="n">
        <v>0</v>
      </c>
      <c r="K216" t="n">
        <v>0</v>
      </c>
      <c r="L216" t="n">
        <v>0</v>
      </c>
      <c r="M216" t="n">
        <v>0</v>
      </c>
      <c r="N216" t="n">
        <v>0</v>
      </c>
    </row>
    <row r="217">
      <c r="A217" t="inlineStr">
        <is>
          <t>wethers</t>
        </is>
      </c>
      <c r="B217" t="inlineStr">
        <is>
          <t>sum 22. and 168 wethers remain.</t>
        </is>
      </c>
      <c r="C217" t="n">
        <v>0</v>
      </c>
      <c r="D217" t="n">
        <v>0</v>
      </c>
      <c r="E217" t="n">
        <v>0</v>
      </c>
      <c r="F217" t="n">
        <v>0</v>
      </c>
      <c r="H217" t="n">
        <v>0</v>
      </c>
      <c r="I217" t="n">
        <v>0</v>
      </c>
      <c r="J217" t="n">
        <v>0</v>
      </c>
      <c r="K217" t="n">
        <v>0</v>
      </c>
      <c r="L217" t="n">
        <v>0</v>
      </c>
      <c r="M217" t="n">
        <v>0</v>
      </c>
      <c r="N217" t="n">
        <v>0</v>
      </c>
    </row>
    <row r="218">
      <c r="A218" t="inlineStr">
        <is>
          <t>rams</t>
        </is>
      </c>
      <c r="B218" t="inlineStr">
        <is>
          <t>and for 2 rams maturing from hoggets after shearing.</t>
        </is>
      </c>
      <c r="C218" t="n">
        <v>0</v>
      </c>
      <c r="D218" t="n">
        <v>0</v>
      </c>
      <c r="E218" t="n">
        <v>0</v>
      </c>
      <c r="F218" t="n">
        <v>0</v>
      </c>
      <c r="H218" t="n">
        <v>0</v>
      </c>
      <c r="I218" t="n">
        <v>0</v>
      </c>
      <c r="J218" t="n">
        <v>0</v>
      </c>
      <c r="K218" t="n">
        <v>0</v>
      </c>
      <c r="L218" t="n">
        <v>0</v>
      </c>
      <c r="M218" t="n">
        <v>0</v>
      </c>
      <c r="N218" t="n">
        <v>0</v>
      </c>
    </row>
    <row r="219">
      <c r="A219" t="inlineStr">
        <is>
          <t>rams</t>
        </is>
      </c>
      <c r="B219" t="inlineStr">
        <is>
          <t>and 2 rams remain.</t>
        </is>
      </c>
      <c r="C219" t="n">
        <v>0</v>
      </c>
      <c r="D219" t="n">
        <v>0</v>
      </c>
      <c r="E219" t="n">
        <v>0</v>
      </c>
      <c r="F219" t="n">
        <v>0</v>
      </c>
      <c r="H219" t="n">
        <v>0</v>
      </c>
      <c r="I219" t="n">
        <v>0</v>
      </c>
      <c r="J219" t="n">
        <v>0</v>
      </c>
      <c r="K219" t="n">
        <v>0</v>
      </c>
      <c r="L219" t="n">
        <v>0</v>
      </c>
      <c r="M219" t="n">
        <v>0</v>
      </c>
      <c r="N219" t="n">
        <v>0</v>
      </c>
    </row>
    <row r="220">
      <c r="A220" t="inlineStr">
        <is>
          <t>ewes</t>
        </is>
      </c>
      <c r="B220" t="inlineStr">
        <is>
          <t>and for 43 ewes that remained.</t>
        </is>
      </c>
      <c r="C220" t="n">
        <v>0</v>
      </c>
      <c r="D220" t="n">
        <v>0</v>
      </c>
      <c r="E220" t="n">
        <v>0</v>
      </c>
      <c r="F220" t="n">
        <v>0</v>
      </c>
      <c r="H220" t="n">
        <v>0</v>
      </c>
      <c r="I220" t="n">
        <v>0</v>
      </c>
      <c r="J220" t="n">
        <v>0</v>
      </c>
      <c r="K220" t="n">
        <v>0</v>
      </c>
      <c r="L220" t="n">
        <v>0</v>
      </c>
      <c r="M220" t="n">
        <v>0</v>
      </c>
      <c r="N220" t="n">
        <v>0</v>
      </c>
    </row>
    <row r="221">
      <c r="A221" t="inlineStr">
        <is>
          <t>ewes</t>
        </is>
      </c>
      <c r="B221" t="inlineStr">
        <is>
          <t>and for 5 maturing to these from hoggets after shearing.</t>
        </is>
      </c>
      <c r="C221" t="n">
        <v>0</v>
      </c>
      <c r="D221" t="n">
        <v>0</v>
      </c>
      <c r="E221" t="n">
        <v>0</v>
      </c>
      <c r="F221" t="n">
        <v>0</v>
      </c>
      <c r="H221" t="n">
        <v>0</v>
      </c>
      <c r="I221" t="n">
        <v>0</v>
      </c>
      <c r="J221" t="n">
        <v>0</v>
      </c>
      <c r="K221" t="n">
        <v>0</v>
      </c>
      <c r="L221" t="n">
        <v>0</v>
      </c>
      <c r="M221" t="n">
        <v>0</v>
      </c>
      <c r="N221" t="n">
        <v>0</v>
      </c>
    </row>
    <row r="222">
      <c r="A222" t="inlineStr">
        <is>
          <t>ewes</t>
        </is>
      </c>
      <c r="B222" t="inlineStr">
        <is>
          <t>sum 48. of which accounted for in murrain before lambing 3. and sold 4 kebbs after shearing.</t>
        </is>
      </c>
      <c r="C222" t="n">
        <v>0</v>
      </c>
      <c r="D222" t="n">
        <v>0</v>
      </c>
      <c r="E222" t="n">
        <v>0</v>
      </c>
      <c r="F222" t="n">
        <v>0</v>
      </c>
      <c r="H222" t="n">
        <v>0</v>
      </c>
      <c r="I222" t="n">
        <v>0</v>
      </c>
      <c r="J222" t="n">
        <v>0</v>
      </c>
      <c r="K222" t="n">
        <v>0</v>
      </c>
      <c r="L222" t="n">
        <v>0</v>
      </c>
      <c r="M222" t="n">
        <v>0</v>
      </c>
      <c r="N222" t="n">
        <v>0</v>
      </c>
    </row>
    <row r="223">
      <c r="A223" t="inlineStr">
        <is>
          <t>ewes</t>
        </is>
      </c>
      <c r="B223" t="inlineStr">
        <is>
          <t>sum 7. and 41 ewes remain.</t>
        </is>
      </c>
      <c r="C223" t="n">
        <v>0</v>
      </c>
      <c r="D223" t="n">
        <v>0</v>
      </c>
      <c r="E223" t="n">
        <v>0</v>
      </c>
      <c r="F223" t="n">
        <v>0</v>
      </c>
      <c r="H223" t="n">
        <v>0</v>
      </c>
      <c r="I223" t="n">
        <v>0</v>
      </c>
      <c r="J223" t="n">
        <v>0</v>
      </c>
      <c r="K223" t="n">
        <v>0</v>
      </c>
      <c r="L223" t="n">
        <v>0</v>
      </c>
      <c r="M223" t="n">
        <v>0</v>
      </c>
      <c r="N223" t="n">
        <v>0</v>
      </c>
    </row>
    <row r="224">
      <c r="A224" t="inlineStr">
        <is>
          <t>hoggets</t>
        </is>
      </c>
      <c r="B224" t="inlineStr">
        <is>
          <t>and for 127 hoggets that remained in the past year as lambs.</t>
        </is>
      </c>
      <c r="C224" t="n">
        <v>0</v>
      </c>
      <c r="D224" t="n">
        <v>0</v>
      </c>
      <c r="E224" t="n">
        <v>0</v>
      </c>
      <c r="F224" t="n">
        <v>0</v>
      </c>
      <c r="H224" t="n">
        <v>0</v>
      </c>
      <c r="I224" t="n">
        <v>0</v>
      </c>
      <c r="J224" t="n">
        <v>0</v>
      </c>
      <c r="K224" t="n">
        <v>0</v>
      </c>
      <c r="L224" t="n">
        <v>0</v>
      </c>
      <c r="M224" t="n">
        <v>0</v>
      </c>
      <c r="N224" t="n">
        <v>0</v>
      </c>
    </row>
    <row r="225">
      <c r="A225" t="inlineStr">
        <is>
          <t>hoggets</t>
        </is>
      </c>
      <c r="B225" t="inlineStr">
        <is>
          <t>sum 127. of which in murrain before shearing 60 and after shearing 1. sold to the reeve of bishops sutton 71 female hoggets in the month of august.</t>
        </is>
      </c>
      <c r="C225" t="n">
        <v>0</v>
      </c>
      <c r="D225" t="n">
        <v>0</v>
      </c>
      <c r="E225" t="n">
        <v>0</v>
      </c>
      <c r="F225" t="n">
        <v>0</v>
      </c>
      <c r="H225" t="n">
        <v>0</v>
      </c>
      <c r="I225" t="n">
        <v>0</v>
      </c>
      <c r="J225" t="n">
        <v>0</v>
      </c>
      <c r="K225" t="n">
        <v>0</v>
      </c>
      <c r="L225" t="n">
        <v>0</v>
      </c>
      <c r="M225" t="n">
        <v>0</v>
      </c>
      <c r="N225" t="n">
        <v>0</v>
      </c>
    </row>
    <row r="226">
      <c r="A226" t="inlineStr">
        <is>
          <t>hoggets</t>
        </is>
      </c>
      <c r="B226" t="inlineStr">
        <is>
          <t>maturing into wethers 39 and into rams 2 and into ewes 5. sum as above.</t>
        </is>
      </c>
      <c r="C226" t="n">
        <v>0</v>
      </c>
      <c r="D226" t="n">
        <v>0</v>
      </c>
      <c r="E226" t="n">
        <v>0</v>
      </c>
      <c r="F226" t="n">
        <v>0</v>
      </c>
      <c r="H226" t="n">
        <v>0</v>
      </c>
      <c r="I226" t="n">
        <v>0</v>
      </c>
      <c r="J226" t="n">
        <v>0</v>
      </c>
      <c r="K226" t="n">
        <v>0</v>
      </c>
      <c r="L226" t="n">
        <v>0</v>
      </c>
      <c r="M226" t="n">
        <v>0</v>
      </c>
      <c r="N226" t="n">
        <v>0</v>
      </c>
    </row>
    <row r="227">
      <c r="A227" t="inlineStr">
        <is>
          <t>hoggets</t>
        </is>
      </c>
      <c r="B227" t="inlineStr">
        <is>
          <t>and none remain.</t>
        </is>
      </c>
      <c r="C227" t="n">
        <v>0</v>
      </c>
      <c r="D227" t="n">
        <v>0</v>
      </c>
      <c r="E227" t="n">
        <v>0</v>
      </c>
      <c r="F227" t="n">
        <v>0</v>
      </c>
      <c r="H227" t="n">
        <v>0</v>
      </c>
      <c r="I227" t="n">
        <v>0</v>
      </c>
      <c r="J227" t="n">
        <v>0</v>
      </c>
      <c r="K227" t="n">
        <v>0</v>
      </c>
      <c r="L227" t="n">
        <v>0</v>
      </c>
      <c r="M227" t="n">
        <v>0</v>
      </c>
      <c r="N227" t="n">
        <v>0</v>
      </c>
    </row>
    <row r="228">
      <c r="A228" t="inlineStr">
        <is>
          <t>lambs</t>
        </is>
      </c>
      <c r="B228" t="inlineStr">
        <is>
          <t>and for 23 lambs received from issue this year and not more because 3 ewes died before lambing, 17 ewes were barren.</t>
        </is>
      </c>
      <c r="C228" t="n">
        <v>0</v>
      </c>
      <c r="D228" t="n">
        <v>0</v>
      </c>
      <c r="E228" t="n">
        <v>0</v>
      </c>
      <c r="F228" t="n">
        <v>0</v>
      </c>
      <c r="H228" t="n">
        <v>0</v>
      </c>
      <c r="I228" t="n">
        <v>0</v>
      </c>
      <c r="J228" t="n">
        <v>0</v>
      </c>
      <c r="K228" t="n">
        <v>0</v>
      </c>
      <c r="L228" t="n">
        <v>0</v>
      </c>
      <c r="M228" t="n">
        <v>0</v>
      </c>
      <c r="N228" t="n">
        <v>0</v>
      </c>
    </row>
    <row r="229">
      <c r="A229" t="inlineStr">
        <is>
          <t>lambs</t>
        </is>
      </c>
      <c r="B229" t="inlineStr">
        <is>
          <t>and for 2 lambs of 2 hoggets.</t>
        </is>
      </c>
      <c r="C229" t="n">
        <v>0</v>
      </c>
      <c r="D229" t="n">
        <v>0</v>
      </c>
      <c r="E229" t="n">
        <v>0</v>
      </c>
      <c r="F229" t="n">
        <v>0</v>
      </c>
      <c r="H229" t="n">
        <v>0</v>
      </c>
      <c r="I229" t="n">
        <v>0</v>
      </c>
      <c r="J229" t="n">
        <v>0</v>
      </c>
      <c r="K229" t="n">
        <v>0</v>
      </c>
      <c r="L229" t="n">
        <v>0</v>
      </c>
      <c r="M229" t="n">
        <v>0</v>
      </c>
      <c r="N229" t="n">
        <v>0</v>
      </c>
    </row>
    <row r="230">
      <c r="A230" t="inlineStr">
        <is>
          <t>lambs</t>
        </is>
      </c>
      <c r="B230" t="inlineStr">
        <is>
          <t>and for 110 bought, of which from alresford after shearing 4 and from sevenhampton 30 after shearing, and from the stock of yateley 76, which were sheared at alresford.</t>
        </is>
      </c>
      <c r="C230" t="n">
        <v>0</v>
      </c>
      <c r="D230" t="n">
        <v>0</v>
      </c>
      <c r="E230" t="n">
        <v>0</v>
      </c>
      <c r="F230" t="n">
        <v>0</v>
      </c>
      <c r="H230" t="n">
        <v>0</v>
      </c>
      <c r="I230" t="n">
        <v>0</v>
      </c>
      <c r="J230" t="n">
        <v>0</v>
      </c>
      <c r="K230" t="n">
        <v>0</v>
      </c>
      <c r="L230" t="n">
        <v>0</v>
      </c>
      <c r="M230" t="n">
        <v>0</v>
      </c>
      <c r="N230" t="n">
        <v>0</v>
      </c>
    </row>
    <row r="231">
      <c r="A231" t="inlineStr">
        <is>
          <t>lambs</t>
        </is>
      </c>
      <c r="B231" t="inlineStr">
        <is>
          <t>sum 135. of which in murrain before shearing 3..</t>
        </is>
      </c>
      <c r="C231" t="n">
        <v>0</v>
      </c>
      <c r="D231" t="n">
        <v>0</v>
      </c>
      <c r="E231" t="n">
        <v>0</v>
      </c>
      <c r="F231" t="n">
        <v>0</v>
      </c>
      <c r="H231" t="n">
        <v>0</v>
      </c>
      <c r="I231" t="n">
        <v>0</v>
      </c>
      <c r="J231" t="n">
        <v>0</v>
      </c>
      <c r="K231" t="n">
        <v>0</v>
      </c>
      <c r="L231" t="n">
        <v>0</v>
      </c>
      <c r="M231" t="n">
        <v>0</v>
      </c>
      <c r="N231" t="n">
        <v>0</v>
      </c>
    </row>
    <row r="232">
      <c r="A232" t="inlineStr">
        <is>
          <t>lambs</t>
        </is>
      </c>
      <c r="B232" t="inlineStr">
        <is>
          <t>tithe 2..</t>
        </is>
      </c>
      <c r="C232" t="n">
        <v>0</v>
      </c>
      <c r="D232" t="n">
        <v>0</v>
      </c>
      <c r="E232" t="n">
        <v>0</v>
      </c>
      <c r="F232" t="n">
        <v>0</v>
      </c>
      <c r="H232" t="n">
        <v>0</v>
      </c>
      <c r="I232" t="n">
        <v>0</v>
      </c>
      <c r="J232" t="n">
        <v>0</v>
      </c>
      <c r="K232" t="n">
        <v>0</v>
      </c>
      <c r="L232" t="n">
        <v>0</v>
      </c>
      <c r="M232" t="n">
        <v>0</v>
      </c>
      <c r="N232" t="n">
        <v>0</v>
      </c>
    </row>
    <row r="233">
      <c r="A233" t="inlineStr">
        <is>
          <t>lambs</t>
        </is>
      </c>
      <c r="B233" t="inlineStr">
        <is>
          <t>murrain after shearing 1. sum 6. and 129 lambs remain.</t>
        </is>
      </c>
      <c r="C233" t="n">
        <v>0</v>
      </c>
      <c r="D233" t="n">
        <v>0</v>
      </c>
      <c r="E233" t="n">
        <v>0</v>
      </c>
      <c r="F233" t="n">
        <v>0</v>
      </c>
      <c r="H233" t="n">
        <v>0</v>
      </c>
      <c r="I233" t="n">
        <v>0</v>
      </c>
      <c r="J233" t="n">
        <v>0</v>
      </c>
      <c r="K233" t="n">
        <v>0</v>
      </c>
      <c r="L233" t="n">
        <v>0</v>
      </c>
      <c r="M233" t="n">
        <v>0</v>
      </c>
      <c r="N233" t="n">
        <v>0</v>
      </c>
    </row>
    <row r="234">
      <c r="A234" t="inlineStr">
        <is>
          <t>cocks and hens</t>
        </is>
      </c>
      <c r="B234" t="inlineStr">
        <is>
          <t>the same answers for 5 cocks and 5 hens received from ‘churchscot’.</t>
        </is>
      </c>
      <c r="C234" t="n">
        <v>0</v>
      </c>
      <c r="D234" t="n">
        <v>0</v>
      </c>
      <c r="E234" t="n">
        <v>0</v>
      </c>
      <c r="F234" t="n">
        <v>0</v>
      </c>
      <c r="H234" t="n">
        <v>0</v>
      </c>
      <c r="I234" t="n">
        <v>0</v>
      </c>
      <c r="J234" t="n">
        <v>0</v>
      </c>
      <c r="K234" t="n">
        <v>0</v>
      </c>
      <c r="L234" t="n">
        <v>0</v>
      </c>
      <c r="M234" t="n">
        <v>0</v>
      </c>
      <c r="N234" t="n">
        <v>0</v>
      </c>
    </row>
    <row r="235">
      <c r="A235" t="inlineStr">
        <is>
          <t>cocks and hens</t>
        </is>
      </c>
      <c r="B235" t="inlineStr">
        <is>
          <t>sum 10. and sold as within.</t>
        </is>
      </c>
      <c r="C235" t="n">
        <v>0</v>
      </c>
      <c r="D235" t="n">
        <v>0</v>
      </c>
      <c r="E235" t="n">
        <v>0</v>
      </c>
      <c r="F235" t="n">
        <v>0</v>
      </c>
      <c r="H235" t="n">
        <v>0</v>
      </c>
      <c r="I235" t="n">
        <v>0</v>
      </c>
      <c r="J235" t="n">
        <v>0</v>
      </c>
      <c r="K235" t="n">
        <v>0</v>
      </c>
      <c r="L235" t="n">
        <v>0</v>
      </c>
      <c r="M235" t="n">
        <v>0</v>
      </c>
      <c r="N235" t="n">
        <v>0</v>
      </c>
    </row>
    <row r="236">
      <c r="A236" t="inlineStr">
        <is>
          <t>cocks and hens</t>
        </is>
      </c>
      <c r="B236" t="inlineStr">
        <is>
          <t>and it equals.</t>
        </is>
      </c>
      <c r="C236" t="n">
        <v>0</v>
      </c>
      <c r="D236" t="n">
        <v>0</v>
      </c>
      <c r="E236" t="n">
        <v>0</v>
      </c>
      <c r="F236" t="n">
        <v>0</v>
      </c>
      <c r="H236" t="n">
        <v>0</v>
      </c>
      <c r="I236" t="n">
        <v>0</v>
      </c>
      <c r="J236" t="n">
        <v>0</v>
      </c>
      <c r="K236" t="n">
        <v>0</v>
      </c>
      <c r="L236" t="n">
        <v>0</v>
      </c>
      <c r="M236" t="n">
        <v>0</v>
      </c>
      <c r="N236" t="n">
        <v>0</v>
      </c>
    </row>
    <row r="237">
      <c r="A237" t="inlineStr">
        <is>
          <t>coarse wool</t>
        </is>
      </c>
      <c r="B237" t="inlineStr">
        <is>
          <t>the same answers for 43 fleeces of wethers, 40 fleeces of ewes, and 118 fleeces of hoggets coming from shearing this year.</t>
        </is>
      </c>
      <c r="C237" t="n">
        <v>0</v>
      </c>
      <c r="D237" t="n">
        <v>0</v>
      </c>
      <c r="E237" t="n">
        <v>0</v>
      </c>
      <c r="F237" t="n">
        <v>0</v>
      </c>
      <c r="H237" t="n">
        <v>0</v>
      </c>
      <c r="I237" t="n">
        <v>0</v>
      </c>
      <c r="J237" t="n">
        <v>0</v>
      </c>
      <c r="K237" t="n">
        <v>0</v>
      </c>
      <c r="L237" t="n">
        <v>0</v>
      </c>
      <c r="M237" t="n">
        <v>0</v>
      </c>
      <c r="N237" t="n">
        <v>0</v>
      </c>
    </row>
    <row r="238">
      <c r="A238" t="inlineStr">
        <is>
          <t>coarse wool</t>
        </is>
      </c>
      <c r="B238" t="inlineStr">
        <is>
          <t>sum 301 fleeces.</t>
        </is>
      </c>
      <c r="C238" t="n">
        <v>0</v>
      </c>
      <c r="D238" t="n">
        <v>0</v>
      </c>
      <c r="E238" t="n">
        <v>0</v>
      </c>
      <c r="F238" t="n">
        <v>0</v>
      </c>
      <c r="H238" t="n">
        <v>0</v>
      </c>
      <c r="I238" t="n">
        <v>0</v>
      </c>
      <c r="J238" t="n">
        <v>0</v>
      </c>
      <c r="K238" t="n">
        <v>0</v>
      </c>
      <c r="L238" t="n">
        <v>0</v>
      </c>
      <c r="M238" t="n">
        <v>0</v>
      </c>
      <c r="N238" t="n">
        <v>0</v>
      </c>
    </row>
    <row r="239">
      <c r="A239" t="inlineStr">
        <is>
          <t>coarse wool</t>
        </is>
      </c>
      <c r="B239" t="inlineStr">
        <is>
          <t>of which accounted for in tithe paid 30 fleeces.</t>
        </is>
      </c>
      <c r="C239" t="n">
        <v>0</v>
      </c>
      <c r="D239" t="n">
        <v>0</v>
      </c>
      <c r="E239" t="n">
        <v>0</v>
      </c>
      <c r="F239" t="n">
        <v>0</v>
      </c>
      <c r="H239" t="n">
        <v>0</v>
      </c>
      <c r="I239" t="n">
        <v>0</v>
      </c>
      <c r="J239" t="n">
        <v>0</v>
      </c>
      <c r="K239" t="n">
        <v>0</v>
      </c>
      <c r="L239" t="n">
        <v>0</v>
      </c>
      <c r="M239" t="n">
        <v>0</v>
      </c>
      <c r="N239" t="n">
        <v>0</v>
      </c>
    </row>
    <row r="240">
      <c r="A240" t="inlineStr">
        <is>
          <t>coarse wool</t>
        </is>
      </c>
      <c r="B240" t="inlineStr">
        <is>
          <t>paid to wolvesey 270 fleeces weighing [...].</t>
        </is>
      </c>
      <c r="C240" t="n">
        <v>0</v>
      </c>
      <c r="D240" t="n">
        <v>0</v>
      </c>
      <c r="E240" t="n">
        <v>0</v>
      </c>
      <c r="F240" t="n">
        <v>0</v>
      </c>
      <c r="H240" t="n">
        <v>0</v>
      </c>
      <c r="I240" t="n">
        <v>0</v>
      </c>
      <c r="J240" t="n">
        <v>0</v>
      </c>
      <c r="K240" t="n">
        <v>0</v>
      </c>
      <c r="L240" t="n">
        <v>0</v>
      </c>
      <c r="M240" t="n">
        <v>0</v>
      </c>
      <c r="N240" t="n">
        <v>0</v>
      </c>
    </row>
    <row r="241">
      <c r="A241" t="inlineStr">
        <is>
          <t>coarse wool</t>
        </is>
      </c>
      <c r="B241" t="inlineStr">
        <is>
          <t>sold at the audit 1 fleece for 3pence sum as above.</t>
        </is>
      </c>
      <c r="C241" t="n">
        <v>0.01</v>
      </c>
      <c r="D241" t="n">
        <v>0</v>
      </c>
      <c r="E241" t="n">
        <v>0</v>
      </c>
      <c r="F241" t="n">
        <v>3</v>
      </c>
      <c r="H241" t="n">
        <v>0</v>
      </c>
      <c r="I241" t="n">
        <v>0</v>
      </c>
      <c r="J241" t="n">
        <v>0</v>
      </c>
      <c r="K241" t="n">
        <v>0</v>
      </c>
      <c r="L241" t="n">
        <v>0</v>
      </c>
      <c r="M241" t="n">
        <v>0</v>
      </c>
      <c r="N241" t="n">
        <v>0</v>
      </c>
    </row>
    <row r="242">
      <c r="A242" t="inlineStr">
        <is>
          <t>coarse wool</t>
        </is>
      </c>
      <c r="B242" t="inlineStr">
        <is>
          <t>and it equals.</t>
        </is>
      </c>
      <c r="C242" t="n">
        <v>0</v>
      </c>
      <c r="D242" t="n">
        <v>0</v>
      </c>
      <c r="E242" t="n">
        <v>0</v>
      </c>
      <c r="F242" t="n">
        <v>0</v>
      </c>
      <c r="H242" t="n">
        <v>0</v>
      </c>
      <c r="I242" t="n">
        <v>0</v>
      </c>
      <c r="J242" t="n">
        <v>0</v>
      </c>
      <c r="K242" t="n">
        <v>0</v>
      </c>
      <c r="L242" t="n">
        <v>0</v>
      </c>
      <c r="M242" t="n">
        <v>0</v>
      </c>
      <c r="N242" t="n">
        <v>0</v>
      </c>
    </row>
    <row r="243">
      <c r="A243" t="inlineStr">
        <is>
          <t>coarse wool</t>
        </is>
      </c>
      <c r="B243" t="inlineStr">
        <is>
          <t>--- page 10 ---.</t>
        </is>
      </c>
      <c r="C243" t="n">
        <v>0</v>
      </c>
      <c r="D243" t="n">
        <v>0</v>
      </c>
      <c r="E243" t="n">
        <v>0</v>
      </c>
      <c r="F243" t="n">
        <v>0</v>
      </c>
      <c r="H243" t="n">
        <v>0</v>
      </c>
      <c r="I243" t="n">
        <v>0</v>
      </c>
      <c r="J243" t="n">
        <v>0</v>
      </c>
      <c r="K243" t="n">
        <v>0</v>
      </c>
      <c r="L243" t="n">
        <v>0</v>
      </c>
      <c r="M243" t="n">
        <v>0</v>
      </c>
      <c r="N243" t="n">
        <v>0</v>
      </c>
    </row>
    <row r="244">
      <c r="A244" t="inlineStr">
        <is>
          <t>coarse wool</t>
        </is>
      </c>
      <c r="B244" t="inlineStr">
        <is>
          <t>broken wool.</t>
        </is>
      </c>
      <c r="C244" t="n">
        <v>0</v>
      </c>
      <c r="D244" t="n">
        <v>0</v>
      </c>
      <c r="E244" t="n">
        <v>0</v>
      </c>
      <c r="F244" t="n">
        <v>0</v>
      </c>
      <c r="H244" t="n">
        <v>0</v>
      </c>
      <c r="I244" t="n">
        <v>0</v>
      </c>
      <c r="J244" t="n">
        <v>0</v>
      </c>
      <c r="K244" t="n">
        <v>0</v>
      </c>
      <c r="L244" t="n">
        <v>0</v>
      </c>
      <c r="M244" t="n">
        <v>0</v>
      </c>
      <c r="N244" t="n">
        <v>0</v>
      </c>
    </row>
    <row r="245">
      <c r="A245" t="inlineStr">
        <is>
          <t>coarse wool</t>
        </is>
      </c>
      <c r="B245" t="inlineStr">
        <is>
          <t>and for 2 pounds of broken wool received at the shearing of the lord’s sheep.</t>
        </is>
      </c>
      <c r="C245" t="n">
        <v>0</v>
      </c>
      <c r="D245" t="n">
        <v>0</v>
      </c>
      <c r="E245" t="n">
        <v>0</v>
      </c>
      <c r="F245" t="n">
        <v>0</v>
      </c>
      <c r="H245" t="n">
        <v>0</v>
      </c>
      <c r="I245" t="n">
        <v>0</v>
      </c>
      <c r="J245" t="n">
        <v>0</v>
      </c>
      <c r="K245" t="n">
        <v>0</v>
      </c>
      <c r="L245" t="n">
        <v>0</v>
      </c>
      <c r="M245" t="n">
        <v>0</v>
      </c>
      <c r="N245" t="n">
        <v>0</v>
      </c>
    </row>
    <row r="246">
      <c r="A246" t="inlineStr">
        <is>
          <t>coarse wool</t>
        </is>
      </c>
      <c r="B246" t="inlineStr">
        <is>
          <t>from lambs’ wool nothing is answered because they were not sheared this year.</t>
        </is>
      </c>
      <c r="C246" t="n">
        <v>0</v>
      </c>
      <c r="D246" t="n">
        <v>0</v>
      </c>
      <c r="E246" t="n">
        <v>0</v>
      </c>
      <c r="F246" t="n">
        <v>0</v>
      </c>
      <c r="H246" t="n">
        <v>0</v>
      </c>
      <c r="I246" t="n">
        <v>0</v>
      </c>
      <c r="J246" t="n">
        <v>0</v>
      </c>
      <c r="K246" t="n">
        <v>0</v>
      </c>
      <c r="L246" t="n">
        <v>0</v>
      </c>
      <c r="M246" t="n">
        <v>0</v>
      </c>
      <c r="N246" t="n">
        <v>0</v>
      </c>
    </row>
    <row r="247">
      <c r="A247" t="inlineStr">
        <is>
          <t>coarse wool</t>
        </is>
      </c>
      <c r="B247" t="inlineStr">
        <is>
          <t>sum 2 pounds.</t>
        </is>
      </c>
      <c r="C247" t="n">
        <v>0</v>
      </c>
      <c r="D247" t="n">
        <v>0</v>
      </c>
      <c r="E247" t="n">
        <v>0</v>
      </c>
      <c r="F247" t="n">
        <v>0</v>
      </c>
      <c r="H247" t="n">
        <v>0</v>
      </c>
      <c r="I247" t="n">
        <v>0</v>
      </c>
      <c r="J247" t="n">
        <v>0</v>
      </c>
      <c r="K247" t="n">
        <v>0</v>
      </c>
      <c r="L247" t="n">
        <v>0</v>
      </c>
      <c r="M247" t="n">
        <v>0</v>
      </c>
      <c r="N247" t="n">
        <v>0</v>
      </c>
    </row>
    <row r="248">
      <c r="A248" t="inlineStr">
        <is>
          <t>coarse wool</t>
        </is>
      </c>
      <c r="B248" t="inlineStr">
        <is>
          <t>and sold as within.</t>
        </is>
      </c>
      <c r="C248" t="n">
        <v>0</v>
      </c>
      <c r="D248" t="n">
        <v>0</v>
      </c>
      <c r="E248" t="n">
        <v>0</v>
      </c>
      <c r="F248" t="n">
        <v>0</v>
      </c>
      <c r="H248" t="n">
        <v>0</v>
      </c>
      <c r="I248" t="n">
        <v>0</v>
      </c>
      <c r="J248" t="n">
        <v>0</v>
      </c>
      <c r="K248" t="n">
        <v>0</v>
      </c>
      <c r="L248" t="n">
        <v>0</v>
      </c>
      <c r="M248" t="n">
        <v>0</v>
      </c>
      <c r="N248" t="n">
        <v>0</v>
      </c>
    </row>
    <row r="249">
      <c r="A249" t="inlineStr">
        <is>
          <t>coarse wool</t>
        </is>
      </c>
      <c r="B249" t="inlineStr">
        <is>
          <t>and it equals.</t>
        </is>
      </c>
      <c r="C249" t="n">
        <v>0</v>
      </c>
      <c r="D249" t="n">
        <v>0</v>
      </c>
      <c r="E249" t="n">
        <v>0</v>
      </c>
      <c r="F249" t="n">
        <v>0</v>
      </c>
      <c r="H249" t="n">
        <v>0</v>
      </c>
      <c r="I249" t="n">
        <v>0</v>
      </c>
      <c r="J249" t="n">
        <v>0</v>
      </c>
      <c r="K249" t="n">
        <v>0</v>
      </c>
      <c r="L249" t="n">
        <v>0</v>
      </c>
      <c r="M249" t="n">
        <v>0</v>
      </c>
      <c r="N249" t="n">
        <v>0</v>
      </c>
    </row>
    <row r="250">
      <c r="A250" t="inlineStr">
        <is>
          <t>coarse wool</t>
        </is>
      </c>
      <c r="B250" t="inlineStr">
        <is>
          <t>woolfells.</t>
        </is>
      </c>
      <c r="C250" t="n">
        <v>0</v>
      </c>
      <c r="D250" t="n">
        <v>0</v>
      </c>
      <c r="E250" t="n">
        <v>0</v>
      </c>
      <c r="F250" t="n">
        <v>0</v>
      </c>
      <c r="H250" t="n">
        <v>0</v>
      </c>
      <c r="I250" t="n">
        <v>0</v>
      </c>
      <c r="J250" t="n">
        <v>0</v>
      </c>
      <c r="K250" t="n">
        <v>0</v>
      </c>
      <c r="L250" t="n">
        <v>0</v>
      </c>
      <c r="M250" t="n">
        <v>0</v>
      </c>
      <c r="N250" t="n">
        <v>0</v>
      </c>
    </row>
    <row r="251">
      <c r="A251" t="inlineStr">
        <is>
          <t>coarse wool</t>
        </is>
      </c>
      <c r="B251" t="inlineStr">
        <is>
          <t>the same answers for 8 woolfells of wethers, 3 woolfells of ewes, and 9 woolfells of hoggets received from murrain before shearing.</t>
        </is>
      </c>
      <c r="C251" t="n">
        <v>0</v>
      </c>
      <c r="D251" t="n">
        <v>0</v>
      </c>
      <c r="E251" t="n">
        <v>0</v>
      </c>
      <c r="F251" t="n">
        <v>0</v>
      </c>
      <c r="H251" t="n">
        <v>0</v>
      </c>
      <c r="I251" t="n">
        <v>0</v>
      </c>
      <c r="J251" t="n">
        <v>0</v>
      </c>
      <c r="K251" t="n">
        <v>0</v>
      </c>
      <c r="L251" t="n">
        <v>0</v>
      </c>
      <c r="M251" t="n">
        <v>0</v>
      </c>
      <c r="N251" t="n">
        <v>0</v>
      </c>
    </row>
    <row r="252">
      <c r="A252" t="inlineStr">
        <is>
          <t>coarse wool</t>
        </is>
      </c>
      <c r="B252" t="inlineStr">
        <is>
          <t>sum 20. and sold as within.</t>
        </is>
      </c>
      <c r="C252" t="n">
        <v>0</v>
      </c>
      <c r="D252" t="n">
        <v>0</v>
      </c>
      <c r="E252" t="n">
        <v>0</v>
      </c>
      <c r="F252" t="n">
        <v>0</v>
      </c>
      <c r="H252" t="n">
        <v>0</v>
      </c>
      <c r="I252" t="n">
        <v>0</v>
      </c>
      <c r="J252" t="n">
        <v>0</v>
      </c>
      <c r="K252" t="n">
        <v>0</v>
      </c>
      <c r="L252" t="n">
        <v>0</v>
      </c>
      <c r="M252" t="n">
        <v>0</v>
      </c>
      <c r="N252" t="n">
        <v>0</v>
      </c>
    </row>
    <row r="253">
      <c r="A253" t="inlineStr">
        <is>
          <t>coarse wool</t>
        </is>
      </c>
      <c r="B253" t="inlineStr">
        <is>
          <t>and it equals.</t>
        </is>
      </c>
      <c r="C253" t="n">
        <v>0</v>
      </c>
      <c r="D253" t="n">
        <v>0</v>
      </c>
      <c r="E253" t="n">
        <v>0</v>
      </c>
      <c r="F253" t="n">
        <v>0</v>
      </c>
      <c r="H253" t="n">
        <v>0</v>
      </c>
      <c r="I253" t="n">
        <v>0</v>
      </c>
      <c r="J253" t="n">
        <v>0</v>
      </c>
      <c r="K253" t="n">
        <v>0</v>
      </c>
      <c r="L253" t="n">
        <v>0</v>
      </c>
      <c r="M253" t="n">
        <v>0</v>
      </c>
      <c r="N253" t="n">
        <v>0</v>
      </c>
    </row>
    <row r="254">
      <c r="A254" t="inlineStr">
        <is>
          <t>coarse wool</t>
        </is>
      </c>
      <c r="B254" t="inlineStr">
        <is>
          <t>pelts and small pelts of lambs.</t>
        </is>
      </c>
      <c r="C254" t="n">
        <v>0</v>
      </c>
      <c r="D254" t="n">
        <v>0</v>
      </c>
      <c r="E254" t="n">
        <v>0</v>
      </c>
      <c r="F254" t="n">
        <v>0</v>
      </c>
      <c r="H254" t="n">
        <v>0</v>
      </c>
      <c r="I254" t="n">
        <v>0</v>
      </c>
      <c r="J254" t="n">
        <v>0</v>
      </c>
      <c r="K254" t="n">
        <v>0</v>
      </c>
      <c r="L254" t="n">
        <v>0</v>
      </c>
      <c r="M254" t="n">
        <v>0</v>
      </c>
      <c r="N254" t="n">
        <v>0</v>
      </c>
    </row>
    <row r="255">
      <c r="A255" t="inlineStr">
        <is>
          <t>coarse wool</t>
        </is>
      </c>
      <c r="B255" t="inlineStr">
        <is>
          <t>the same answers for 3 pelts of wethers, 1 pelt of a hogget, and 3 pelts of lambs in murrain as above.</t>
        </is>
      </c>
      <c r="C255" t="n">
        <v>0</v>
      </c>
      <c r="D255" t="n">
        <v>0</v>
      </c>
      <c r="E255" t="n">
        <v>0</v>
      </c>
      <c r="F255" t="n">
        <v>0</v>
      </c>
      <c r="H255" t="n">
        <v>0</v>
      </c>
      <c r="I255" t="n">
        <v>0</v>
      </c>
      <c r="J255" t="n">
        <v>0</v>
      </c>
      <c r="K255" t="n">
        <v>0</v>
      </c>
      <c r="L255" t="n">
        <v>0</v>
      </c>
      <c r="M255" t="n">
        <v>0</v>
      </c>
      <c r="N255" t="n">
        <v>0</v>
      </c>
    </row>
    <row r="256">
      <c r="A256" t="inlineStr">
        <is>
          <t>coarse wool</t>
        </is>
      </c>
      <c r="B256" t="inlineStr">
        <is>
          <t>sum 7. and sold as within.</t>
        </is>
      </c>
      <c r="C256" t="n">
        <v>0</v>
      </c>
      <c r="D256" t="n">
        <v>0</v>
      </c>
      <c r="E256" t="n">
        <v>0</v>
      </c>
      <c r="F256" t="n">
        <v>0</v>
      </c>
      <c r="H256" t="n">
        <v>0</v>
      </c>
      <c r="I256" t="n">
        <v>0</v>
      </c>
      <c r="J256" t="n">
        <v>0</v>
      </c>
      <c r="K256" t="n">
        <v>0</v>
      </c>
      <c r="L256" t="n">
        <v>0</v>
      </c>
      <c r="M256" t="n">
        <v>0</v>
      </c>
      <c r="N256" t="n">
        <v>0</v>
      </c>
    </row>
    <row r="257">
      <c r="A257" t="inlineStr">
        <is>
          <t>coarse wool</t>
        </is>
      </c>
      <c r="B257" t="inlineStr">
        <is>
          <t>and it equals.</t>
        </is>
      </c>
      <c r="C257" t="n">
        <v>0</v>
      </c>
      <c r="D257" t="n">
        <v>0</v>
      </c>
      <c r="E257" t="n">
        <v>0</v>
      </c>
      <c r="F257" t="n">
        <v>0</v>
      </c>
      <c r="H257" t="n">
        <v>0</v>
      </c>
      <c r="I257" t="n">
        <v>0</v>
      </c>
      <c r="J257" t="n">
        <v>0</v>
      </c>
      <c r="K257" t="n">
        <v>0</v>
      </c>
      <c r="L257" t="n">
        <v>0</v>
      </c>
      <c r="M257" t="n">
        <v>0</v>
      </c>
      <c r="N257" t="n">
        <v>0</v>
      </c>
    </row>
    <row r="258">
      <c r="A258" t="inlineStr">
        <is>
          <t>coarse wool</t>
        </is>
      </c>
      <c r="B258" t="inlineStr">
        <is>
          <t>issue of the dovecot.</t>
        </is>
      </c>
      <c r="C258" t="n">
        <v>0</v>
      </c>
      <c r="D258" t="n">
        <v>0</v>
      </c>
      <c r="E258" t="n">
        <v>0</v>
      </c>
      <c r="F258" t="n">
        <v>0</v>
      </c>
      <c r="H258" t="n">
        <v>0</v>
      </c>
      <c r="I258" t="n">
        <v>0</v>
      </c>
      <c r="J258" t="n">
        <v>0</v>
      </c>
      <c r="K258" t="n">
        <v>0</v>
      </c>
      <c r="L258" t="n">
        <v>0</v>
      </c>
      <c r="M258" t="n">
        <v>0</v>
      </c>
      <c r="N258" t="n">
        <v>0</v>
      </c>
    </row>
    <row r="259">
      <c r="A259" t="inlineStr">
        <is>
          <t>coarse wool</t>
        </is>
      </c>
      <c r="B259" t="inlineStr">
        <is>
          <t>the same answers for 160 young doves received from issue of the dovecot this year.</t>
        </is>
      </c>
      <c r="C259" t="n">
        <v>0</v>
      </c>
      <c r="D259" t="n">
        <v>0</v>
      </c>
      <c r="E259" t="n">
        <v>0</v>
      </c>
      <c r="F259" t="n">
        <v>0</v>
      </c>
      <c r="H259" t="n">
        <v>0</v>
      </c>
      <c r="I259" t="n">
        <v>0</v>
      </c>
      <c r="J259" t="n">
        <v>0</v>
      </c>
      <c r="K259" t="n">
        <v>0</v>
      </c>
      <c r="L259" t="n">
        <v>0</v>
      </c>
      <c r="M259" t="n">
        <v>0</v>
      </c>
      <c r="N259" t="n">
        <v>0</v>
      </c>
    </row>
    <row r="260">
      <c r="A260" t="inlineStr">
        <is>
          <t>coarse wool</t>
        </is>
      </c>
      <c r="B260" t="inlineStr">
        <is>
          <t>and not more because for the whole summer nothing came from there on account of the multitude of vermin in the same dovecot and breeding in the garden this year, until they were destroyed by the bailiff.</t>
        </is>
      </c>
      <c r="C260" t="n">
        <v>0</v>
      </c>
      <c r="D260" t="n">
        <v>0</v>
      </c>
      <c r="E260" t="n">
        <v>0</v>
      </c>
      <c r="F260" t="n">
        <v>0</v>
      </c>
      <c r="H260" t="n">
        <v>0</v>
      </c>
      <c r="I260" t="n">
        <v>0</v>
      </c>
      <c r="J260" t="n">
        <v>0</v>
      </c>
      <c r="K260" t="n">
        <v>0</v>
      </c>
      <c r="L260" t="n">
        <v>0</v>
      </c>
      <c r="M260" t="n">
        <v>0</v>
      </c>
      <c r="N260" t="n">
        <v>0</v>
      </c>
    </row>
    <row r="261">
      <c r="A261" t="inlineStr">
        <is>
          <t>coarse wool</t>
        </is>
      </c>
      <c r="B261" t="inlineStr">
        <is>
          <t>sum 160. of which accounted for in tithe paid 16. and sold 144, as within.</t>
        </is>
      </c>
      <c r="C261" t="n">
        <v>0</v>
      </c>
      <c r="D261" t="n">
        <v>0</v>
      </c>
      <c r="E261" t="n">
        <v>0</v>
      </c>
      <c r="F261" t="n">
        <v>0</v>
      </c>
      <c r="H261" t="n">
        <v>0</v>
      </c>
      <c r="I261" t="n">
        <v>0</v>
      </c>
      <c r="J261" t="n">
        <v>0</v>
      </c>
      <c r="K261" t="n">
        <v>0</v>
      </c>
      <c r="L261" t="n">
        <v>0</v>
      </c>
      <c r="M261" t="n">
        <v>0</v>
      </c>
      <c r="N261" t="n">
        <v>0</v>
      </c>
    </row>
    <row r="262">
      <c r="A262" t="inlineStr">
        <is>
          <t>coarse wool</t>
        </is>
      </c>
      <c r="B262" t="inlineStr">
        <is>
          <t>sum as above.</t>
        </is>
      </c>
      <c r="C262" t="n">
        <v>0</v>
      </c>
      <c r="D262" t="n">
        <v>0</v>
      </c>
      <c r="E262" t="n">
        <v>0</v>
      </c>
      <c r="F262" t="n">
        <v>0</v>
      </c>
      <c r="H262" t="n">
        <v>0</v>
      </c>
      <c r="I262" t="n">
        <v>0</v>
      </c>
      <c r="J262" t="n">
        <v>0</v>
      </c>
      <c r="K262" t="n">
        <v>0</v>
      </c>
      <c r="L262" t="n">
        <v>0</v>
      </c>
      <c r="M262" t="n">
        <v>0</v>
      </c>
      <c r="N262" t="n">
        <v>0</v>
      </c>
    </row>
    <row r="263">
      <c r="A263" t="inlineStr">
        <is>
          <t>coarse wool</t>
        </is>
      </c>
      <c r="B263" t="inlineStr">
        <is>
          <t>and it equals.</t>
        </is>
      </c>
      <c r="C263" t="n">
        <v>0</v>
      </c>
      <c r="D263" t="n">
        <v>0</v>
      </c>
      <c r="E263" t="n">
        <v>0</v>
      </c>
      <c r="F263" t="n">
        <v>0</v>
      </c>
      <c r="H263" t="n">
        <v>0</v>
      </c>
      <c r="I263" t="n">
        <v>0</v>
      </c>
      <c r="J263" t="n">
        <v>0</v>
      </c>
      <c r="K263" t="n">
        <v>0</v>
      </c>
      <c r="L263" t="n">
        <v>0</v>
      </c>
      <c r="M263" t="n">
        <v>0</v>
      </c>
      <c r="N263" t="n">
        <v>0</v>
      </c>
    </row>
    <row r="264">
      <c r="A264" t="inlineStr">
        <is>
          <t>coarse wool</t>
        </is>
      </c>
      <c r="B264" t="inlineStr">
        <is>
          <t>issue of the garden.</t>
        </is>
      </c>
      <c r="C264" t="n">
        <v>0</v>
      </c>
      <c r="D264" t="n">
        <v>0</v>
      </c>
      <c r="E264" t="n">
        <v>0</v>
      </c>
      <c r="F264" t="n">
        <v>0</v>
      </c>
      <c r="H264" t="n">
        <v>0</v>
      </c>
      <c r="I264" t="n">
        <v>0</v>
      </c>
      <c r="J264" t="n">
        <v>0</v>
      </c>
      <c r="K264" t="n">
        <v>0</v>
      </c>
      <c r="L264" t="n">
        <v>0</v>
      </c>
      <c r="M264" t="n">
        <v>0</v>
      </c>
      <c r="N264" t="n">
        <v>0</v>
      </c>
    </row>
    <row r="265">
      <c r="A265" t="inlineStr">
        <is>
          <t>coarse wool</t>
        </is>
      </c>
      <c r="B265" t="inlineStr">
        <is>
          <t>from issue of the garden nothing because there was no fruit this year.</t>
        </is>
      </c>
      <c r="C265" t="n">
        <v>0</v>
      </c>
      <c r="D265" t="n">
        <v>0</v>
      </c>
      <c r="E265" t="n">
        <v>0</v>
      </c>
      <c r="F265" t="n">
        <v>0</v>
      </c>
      <c r="H265" t="n">
        <v>0</v>
      </c>
      <c r="I265" t="n">
        <v>0</v>
      </c>
      <c r="J265" t="n">
        <v>0</v>
      </c>
      <c r="K265" t="n">
        <v>0</v>
      </c>
      <c r="L265" t="n">
        <v>0</v>
      </c>
      <c r="M265" t="n">
        <v>0</v>
      </c>
      <c r="N265" t="n">
        <v>0</v>
      </c>
    </row>
    <row r="266">
      <c r="A266" t="inlineStr">
        <is>
          <t>34. 30 september 1347 to 29 september 1348</t>
        </is>
      </c>
      <c r="B266" t="inlineStr">
        <is>
          <t>this account brings us to the edge of a precipice, for the summer of 1348 witnessed the first cases of the black death in england, on the shores of dorset.</t>
        </is>
      </c>
      <c r="C266" t="n">
        <v>0</v>
      </c>
      <c r="D266" t="n">
        <v>0</v>
      </c>
      <c r="E266" t="n">
        <v>0</v>
      </c>
      <c r="F266" t="n">
        <v>0</v>
      </c>
      <c r="H266" t="n">
        <v>0</v>
      </c>
      <c r="I266" t="n">
        <v>0</v>
      </c>
      <c r="J266" t="n">
        <v>0</v>
      </c>
      <c r="K266" t="n">
        <v>0</v>
      </c>
      <c r="L266" t="n">
        <v>0</v>
      </c>
      <c r="M266" t="n">
        <v>0</v>
      </c>
      <c r="N266" t="n">
        <v>0</v>
      </c>
    </row>
    <row r="267">
      <c r="A267" t="inlineStr">
        <is>
          <t>34. 30 september 1347 to 29 september 1348</t>
        </is>
      </c>
      <c r="B267" t="inlineStr">
        <is>
          <t>subsequently, the disease spread rapidly along a number of routes and, in little over a year, perhaps as much as half of the population of england had died.</t>
        </is>
      </c>
      <c r="C267" t="n">
        <v>0</v>
      </c>
      <c r="D267" t="n">
        <v>0</v>
      </c>
      <c r="E267" t="n">
        <v>0</v>
      </c>
      <c r="F267" t="n">
        <v>0</v>
      </c>
      <c r="H267" t="n">
        <v>0</v>
      </c>
      <c r="I267" t="n">
        <v>0</v>
      </c>
      <c r="J267" t="n">
        <v>0</v>
      </c>
      <c r="K267" t="n">
        <v>0</v>
      </c>
      <c r="L267" t="n">
        <v>0</v>
      </c>
      <c r="M267" t="n">
        <v>0</v>
      </c>
      <c r="N267" t="n">
        <v>0</v>
      </c>
    </row>
    <row r="268">
      <c r="A268" t="inlineStr">
        <is>
          <t>34. 30 september 1347 to 29 september 1348</t>
        </is>
      </c>
      <c r="B268" t="inlineStr">
        <is>
          <t>because they were about to be plunged into an unthinkable abyss, details about the lives of individuals in 1347/8 take on a fascinating hue, their actions recording and their aspirations evoking the last vestiges of a passing age.</t>
        </is>
      </c>
      <c r="C268" t="n">
        <v>0</v>
      </c>
      <c r="D268" t="n">
        <v>0</v>
      </c>
      <c r="E268" t="n">
        <v>0</v>
      </c>
      <c r="F268" t="n">
        <v>0</v>
      </c>
      <c r="H268" t="n">
        <v>0</v>
      </c>
      <c r="I268" t="n">
        <v>0</v>
      </c>
      <c r="J268" t="n">
        <v>0</v>
      </c>
      <c r="K268" t="n">
        <v>0</v>
      </c>
      <c r="L268" t="n">
        <v>0</v>
      </c>
      <c r="M268" t="n">
        <v>0</v>
      </c>
      <c r="N268" t="n">
        <v>0</v>
      </c>
    </row>
    <row r="269">
      <c r="A269" t="inlineStr">
        <is>
          <t>34. 30 september 1347 to 29 september 1348</t>
        </is>
      </c>
      <c r="B269" t="inlineStr">
        <is>
          <t>at esher, for example, we hear for the first time of richard le moul, who took on a triangular plot ‘of the lord’s waste’, ‘so that he may build [on it]’.</t>
        </is>
      </c>
      <c r="C269" t="n">
        <v>0</v>
      </c>
      <c r="D269" t="n">
        <v>0</v>
      </c>
      <c r="E269" t="n">
        <v>0</v>
      </c>
      <c r="F269" t="n">
        <v>0</v>
      </c>
      <c r="H269" t="n">
        <v>0</v>
      </c>
      <c r="I269" t="n">
        <v>0</v>
      </c>
      <c r="J269" t="n">
        <v>0</v>
      </c>
      <c r="K269" t="n">
        <v>0</v>
      </c>
      <c r="L269" t="n">
        <v>0</v>
      </c>
      <c r="M269" t="n">
        <v>0</v>
      </c>
      <c r="N269" t="n">
        <v>0</v>
      </c>
    </row>
    <row r="270">
      <c r="A270" t="inlineStr">
        <is>
          <t>34. 30 september 1347 to 29 september 1348</t>
        </is>
      </c>
      <c r="B270" t="inlineStr">
        <is>
          <t>laconic though these entries are, they immediately conjure up a picture of a new phase of life, of challenges and hard work, yet satisfaction and optimism.</t>
        </is>
      </c>
      <c r="C270" t="n">
        <v>0</v>
      </c>
      <c r="D270" t="n">
        <v>0</v>
      </c>
      <c r="E270" t="n">
        <v>0</v>
      </c>
      <c r="F270" t="n">
        <v>0</v>
      </c>
      <c r="H270" t="n">
        <v>0</v>
      </c>
      <c r="I270" t="n">
        <v>0</v>
      </c>
      <c r="J270" t="n">
        <v>0</v>
      </c>
      <c r="K270" t="n">
        <v>0</v>
      </c>
      <c r="L270" t="n">
        <v>0</v>
      </c>
      <c r="M270" t="n">
        <v>0</v>
      </c>
      <c r="N270" t="n">
        <v>0</v>
      </c>
    </row>
    <row r="271">
      <c r="A271" t="inlineStr">
        <is>
          <t>34. 30 september 1347 to 29 september 1348</t>
        </is>
      </c>
      <c r="B271" t="inlineStr">
        <is>
          <t>we are also informed about the new living arrangements adopted by isabel derlyng, widow, mother, and grandmother, who took on 2 acres of land at wexford as a retirement holding.</t>
        </is>
      </c>
      <c r="C271" t="n">
        <v>0</v>
      </c>
      <c r="D271" t="n">
        <v>0</v>
      </c>
      <c r="E271" t="n">
        <v>0</v>
      </c>
      <c r="F271" t="n">
        <v>0</v>
      </c>
      <c r="H271" t="n">
        <v>0</v>
      </c>
      <c r="I271" t="n">
        <v>0</v>
      </c>
      <c r="J271" t="n">
        <v>0</v>
      </c>
      <c r="K271" t="n">
        <v>0</v>
      </c>
      <c r="L271" t="n">
        <v>0</v>
      </c>
      <c r="M271" t="n">
        <v>0</v>
      </c>
      <c r="N271" t="n">
        <v>0</v>
      </c>
    </row>
    <row r="272">
      <c r="A272" t="inlineStr">
        <is>
          <t>34. 30 september 1347 to 29 september 1348</t>
        </is>
      </c>
      <c r="B272" t="inlineStr">
        <is>
          <t>with an eye to the future, the land was jointly held by her daughters matilda and johanna, with whom it would remain after their mother had lived out ‘the term of her life’.</t>
        </is>
      </c>
      <c r="C272" t="n">
        <v>0</v>
      </c>
      <c r="D272" t="n">
        <v>0</v>
      </c>
      <c r="E272" t="n">
        <v>0</v>
      </c>
      <c r="F272" t="n">
        <v>0</v>
      </c>
      <c r="H272" t="n">
        <v>0</v>
      </c>
      <c r="I272" t="n">
        <v>0</v>
      </c>
      <c r="J272" t="n">
        <v>0</v>
      </c>
      <c r="K272" t="n">
        <v>0</v>
      </c>
      <c r="L272" t="n">
        <v>0</v>
      </c>
      <c r="M272" t="n">
        <v>0</v>
      </c>
      <c r="N272" t="n">
        <v>0</v>
      </c>
    </row>
    <row r="273">
      <c r="A273" t="inlineStr">
        <is>
          <t>34. 30 september 1347 to 29 september 1348</t>
        </is>
      </c>
      <c r="B273" t="inlineStr">
        <is>
          <t>the normal rhythms of agricultural life are just as.</t>
        </is>
      </c>
      <c r="C273" t="n">
        <v>0</v>
      </c>
      <c r="D273" t="n">
        <v>0</v>
      </c>
      <c r="E273" t="n">
        <v>0</v>
      </c>
      <c r="F273" t="n">
        <v>0</v>
      </c>
      <c r="H273" t="n">
        <v>0</v>
      </c>
      <c r="I273" t="n">
        <v>0</v>
      </c>
      <c r="J273" t="n">
        <v>0</v>
      </c>
      <c r="K273" t="n">
        <v>0</v>
      </c>
      <c r="L273" t="n">
        <v>0</v>
      </c>
      <c r="M273" t="n">
        <v>0</v>
      </c>
      <c r="N273"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20"/>
  <sheetViews>
    <sheetView workbookViewId="0">
      <selection activeCell="A1" sqref="A1"/>
    </sheetView>
  </sheetViews>
  <sheetFormatPr baseColWidth="8" defaultRowHeight="15"/>
  <cols>
    <col width="41.453125" customWidth="1" min="1" max="1"/>
    <col width="8.81640625" customWidth="1" min="2" max="2"/>
    <col width="12.81640625" customWidth="1" min="6" max="6"/>
    <col width="8.81640625" customWidth="1" min="7" max="7"/>
    <col width="12.453125" customWidth="1" min="8" max="8"/>
    <col width="8.81640625" customWidth="1" min="9" max="9"/>
    <col width="8.81640625" customWidth="1" min="10" max="10"/>
  </cols>
  <sheetData>
    <row r="1">
      <c r="A1" s="127" t="inlineStr">
        <is>
          <t>ESHER_1342 RECEIPTS</t>
        </is>
      </c>
      <c r="B1" s="128" t="n"/>
      <c r="C1" s="128" t="n"/>
      <c r="D1" s="128" t="n"/>
      <c r="E1" s="128" t="n"/>
      <c r="F1" s="128" t="n"/>
      <c r="G1" s="128" t="n"/>
      <c r="H1" s="128" t="n"/>
      <c r="I1" s="128" t="n"/>
    </row>
    <row r="2">
      <c r="A2" s="140" t="inlineStr">
        <is>
          <t>Heading</t>
        </is>
      </c>
      <c r="B2" s="141" t="inlineStr">
        <is>
          <t>£</t>
        </is>
      </c>
      <c r="C2" s="142" t="inlineStr">
        <is>
          <t>s</t>
        </is>
      </c>
      <c r="D2" s="142" t="inlineStr">
        <is>
          <t>d</t>
        </is>
      </c>
      <c r="E2" s="142" t="n"/>
      <c r="F2" s="143" t="inlineStr">
        <is>
          <t>Total in £</t>
        </is>
      </c>
      <c r="G2" s="144" t="inlineStr">
        <is>
          <t>Error</t>
        </is>
      </c>
      <c r="H2" s="145" t="inlineStr">
        <is>
          <t>Notes</t>
        </is>
      </c>
      <c r="I2" s="146" t="inlineStr">
        <is>
          <t>Own notes</t>
        </is>
      </c>
    </row>
    <row r="3">
      <c r="A3" s="137" t="inlineStr">
        <is>
          <t>Arrears</t>
        </is>
      </c>
      <c r="B3" s="128" t="n">
        <v>0</v>
      </c>
      <c r="C3" s="128" t="n">
        <v>29</v>
      </c>
      <c r="D3" s="128" t="n">
        <v>0</v>
      </c>
      <c r="E3" s="128" t="n"/>
      <c r="F3" s="128" t="n">
        <v>1.45</v>
      </c>
      <c r="G3" s="128" t="n"/>
      <c r="H3" s="128" t="inlineStr">
        <is>
          <t>Richard Sewyne, reeve, answers for 29 shilling 6¼d received from arrears from the account for the preceding year.</t>
        </is>
      </c>
      <c r="I3" s="128" t="n"/>
    </row>
    <row r="4">
      <c r="A4" s="136" t="inlineStr">
        <is>
          <t>Arrears</t>
        </is>
      </c>
      <c r="B4" s="128" t="n">
        <v>0</v>
      </c>
      <c r="C4" s="128" t="n">
        <v>29</v>
      </c>
      <c r="D4" s="128" t="n">
        <v>0</v>
      </c>
      <c r="E4" s="128" t="n"/>
      <c r="F4" s="128" t="n">
        <v>1.45</v>
      </c>
      <c r="G4" s="128" t="n"/>
      <c r="H4" s="128" t="inlineStr">
        <is>
          <t>Sum 29 shilling 6¼d.</t>
        </is>
      </c>
      <c r="I4" s="128" t="n"/>
    </row>
    <row r="5">
      <c r="A5" s="138" t="inlineStr">
        <is>
          <t>Arrears total</t>
        </is>
      </c>
      <c r="B5" s="139" t="n"/>
      <c r="C5" s="139" t="n"/>
      <c r="D5" s="139" t="n"/>
      <c r="E5" s="139" t="n"/>
      <c r="F5" s="139" t="n">
        <v>2.9</v>
      </c>
      <c r="G5" s="139" t="n">
        <v>1.45</v>
      </c>
      <c r="H5" s="139" t="inlineStr">
        <is>
          <t>Total</t>
        </is>
      </c>
      <c r="I5" s="139" t="n"/>
    </row>
    <row r="6">
      <c r="A6" s="136" t="n"/>
      <c r="B6" s="128" t="n"/>
      <c r="C6" s="128" t="n"/>
      <c r="D6" s="128" t="n"/>
      <c r="E6" s="128" t="n"/>
      <c r="F6" s="128" t="n"/>
      <c r="G6" s="128" t="n"/>
      <c r="H6" s="128" t="n"/>
      <c r="I6" s="128" t="n"/>
    </row>
    <row r="7">
      <c r="A7" s="137" t="inlineStr">
        <is>
          <t>Sale of corn</t>
        </is>
      </c>
      <c r="B7" s="128" t="n">
        <v>0</v>
      </c>
      <c r="C7" s="128" t="n">
        <v>0</v>
      </c>
      <c r="D7" s="128" t="n">
        <v>21</v>
      </c>
      <c r="E7" s="128" t="n"/>
      <c r="F7" s="128" t="n">
        <v>0.09</v>
      </c>
      <c r="G7" s="128" t="n"/>
      <c r="H7" s="128" t="inlineStr">
        <is>
          <t>The same answers for 21 pence received from 5 bushels of curallum of wheat sold, price of a bushel 3½d.</t>
        </is>
      </c>
      <c r="I7" s="128" t="n"/>
    </row>
    <row r="8">
      <c r="A8" s="136" t="inlineStr">
        <is>
          <t>Sale of corn</t>
        </is>
      </c>
      <c r="B8" s="128" t="n">
        <v>0</v>
      </c>
      <c r="C8" s="128" t="n">
        <v>12</v>
      </c>
      <c r="D8" s="128" t="n">
        <v>8</v>
      </c>
      <c r="E8" s="128" t="n"/>
      <c r="F8" s="128" t="n">
        <v>0.63</v>
      </c>
      <c r="G8" s="128" t="n"/>
      <c r="H8" s="128" t="inlineStr">
        <is>
          <t>And for 12 shilling received from 3 quarters of rye sold in the month of September, price of a quarter 4 shilling And for 18 shilling 4½d received from 3 quarters 7½ bushels of rye, price of a quarter 4 shilling 8pence And for 4 shilling 1¼d received from 1 quarter 1 bushel 3 pecks of barley sold, price of a bushel 5pence And for 13 shilling 6¼d received from 10 quarters 6 bushels 3 pecks of oats sold to Earl Warenne, price of a quarter 15pence And for 4 shilling 11 pence from 3½ quarters of oats sold for expenses of the lord’s household.</t>
        </is>
      </c>
      <c r="I8" s="128" t="n"/>
    </row>
    <row r="9">
      <c r="A9" s="136" t="inlineStr">
        <is>
          <t>Sale of corn</t>
        </is>
      </c>
      <c r="B9" s="128" t="n">
        <v>0</v>
      </c>
      <c r="C9" s="128" t="n">
        <v>54</v>
      </c>
      <c r="D9" s="128" t="n">
        <v>8</v>
      </c>
      <c r="E9" s="128" t="n"/>
      <c r="F9" s="128" t="n">
        <v>2.73</v>
      </c>
      <c r="G9" s="128" t="n"/>
      <c r="H9" s="128" t="inlineStr">
        <is>
          <t>Sum 54 shilling 8pence.</t>
        </is>
      </c>
      <c r="I9" s="128" t="n"/>
    </row>
    <row r="10">
      <c r="A10" s="138" t="inlineStr">
        <is>
          <t>Sale of corn total</t>
        </is>
      </c>
      <c r="B10" s="139" t="n"/>
      <c r="C10" s="139" t="n"/>
      <c r="D10" s="139" t="n"/>
      <c r="E10" s="139" t="n"/>
      <c r="F10" s="139" t="n">
        <v>3.45</v>
      </c>
      <c r="G10" s="139" t="n">
        <v>0.72</v>
      </c>
      <c r="H10" s="139" t="inlineStr">
        <is>
          <t>Total</t>
        </is>
      </c>
      <c r="I10" s="139" t="n"/>
    </row>
    <row r="11">
      <c r="A11" s="136" t="n"/>
      <c r="B11" s="128" t="n"/>
      <c r="C11" s="128" t="n"/>
      <c r="D11" s="128" t="n"/>
      <c r="E11" s="128" t="n"/>
      <c r="F11" s="128" t="n"/>
      <c r="G11" s="128" t="n"/>
      <c r="H11" s="128" t="n"/>
      <c r="I11" s="128" t="n"/>
    </row>
    <row r="12">
      <c r="A12" s="137" t="inlineStr">
        <is>
          <t>Sale of stock</t>
        </is>
      </c>
      <c r="B12" s="128" t="n">
        <v>0</v>
      </c>
      <c r="C12" s="128" t="n">
        <v>54</v>
      </c>
      <c r="D12" s="128" t="n">
        <v>6</v>
      </c>
      <c r="E12" s="128" t="n"/>
      <c r="F12" s="128" t="n">
        <v>2.73</v>
      </c>
      <c r="G12" s="128" t="n"/>
      <c r="H12" s="128" t="inlineStr">
        <is>
          <t>The same answers for 54 shilling received from 4 oxen because they were of no use to the stock, attested by the prior of Sandon, price of which 13 shilling 6pence And for 10 shilling 6 pence received from 10 wethers and 4 ewes, old, sold, price of each of which 9pence And for 71 shilling from 71 hoggets sold.</t>
        </is>
      </c>
      <c r="I12" s="128" t="n"/>
    </row>
    <row r="13">
      <c r="A13" s="136" t="inlineStr">
        <is>
          <t>Sale of stock</t>
        </is>
      </c>
      <c r="B13" s="128" t="n">
        <v>6</v>
      </c>
      <c r="C13" s="128" t="n">
        <v>15</v>
      </c>
      <c r="D13" s="128" t="n">
        <v>6</v>
      </c>
      <c r="E13" s="128" t="n"/>
      <c r="F13" s="128" t="n">
        <v>6.78</v>
      </c>
      <c r="G13" s="128" t="n"/>
      <c r="H13" s="128" t="inlineStr">
        <is>
          <t>Sum £6 15 shilling 6pence.</t>
        </is>
      </c>
      <c r="I13" s="128" t="n"/>
    </row>
    <row r="14">
      <c r="A14" s="138" t="inlineStr">
        <is>
          <t>Sale of stock total</t>
        </is>
      </c>
      <c r="B14" s="139" t="n"/>
      <c r="C14" s="139" t="n"/>
      <c r="D14" s="139" t="n"/>
      <c r="E14" s="139" t="n"/>
      <c r="F14" s="139" t="n">
        <v>9.51</v>
      </c>
      <c r="G14" s="139" t="n">
        <v>2.73</v>
      </c>
      <c r="H14" s="139" t="inlineStr">
        <is>
          <t>Total</t>
        </is>
      </c>
      <c r="I14" s="139" t="n"/>
    </row>
    <row r="15">
      <c r="A15" s="136" t="n"/>
      <c r="B15" s="128" t="n"/>
      <c r="C15" s="128" t="n"/>
      <c r="D15" s="128" t="n"/>
      <c r="E15" s="128" t="n"/>
      <c r="F15" s="128" t="n"/>
      <c r="G15" s="128" t="n"/>
      <c r="H15" s="128" t="n"/>
      <c r="I15" s="128" t="n"/>
    </row>
    <row r="16">
      <c r="A16" s="137" t="inlineStr">
        <is>
          <t>Perquisites of court</t>
        </is>
      </c>
      <c r="B16" s="128" t="n">
        <v>0</v>
      </c>
      <c r="C16" s="128" t="n">
        <v>0</v>
      </c>
      <c r="D16" s="128" t="n">
        <v>15</v>
      </c>
      <c r="E16" s="128" t="n"/>
      <c r="F16" s="128" t="n">
        <v>0.06</v>
      </c>
      <c r="G16" s="128" t="n"/>
      <c r="H16" s="128" t="inlineStr">
        <is>
          <t>The same answers for 15 pence received from the perquisites of a court held on the Tuesday next after the feast of St Luke [22 October].</t>
        </is>
      </c>
      <c r="I16" s="128" t="n"/>
    </row>
    <row r="17">
      <c r="A17" s="136" t="inlineStr">
        <is>
          <t>Perquisites of court</t>
        </is>
      </c>
      <c r="B17" s="128" t="n">
        <v>0</v>
      </c>
      <c r="C17" s="128" t="n">
        <v>17</v>
      </c>
      <c r="D17" s="128" t="n">
        <v>0</v>
      </c>
      <c r="E17" s="128" t="n"/>
      <c r="F17" s="128" t="n">
        <v>0.85</v>
      </c>
      <c r="G17" s="128" t="n"/>
      <c r="H17" s="128" t="inlineStr">
        <is>
          <t>And for 17 shilling received from the perquisites of the tourn of St Martin with a court held on the Saturday next after the feast of St Mathias the Apostle [1 March] together with ½ mark from the heriot.</t>
        </is>
      </c>
      <c r="I17" s="128" t="n"/>
    </row>
    <row r="18">
      <c r="A18" s="138" t="inlineStr">
        <is>
          <t>Perquisites of court total</t>
        </is>
      </c>
      <c r="B18" s="139" t="n">
        <v>0</v>
      </c>
      <c r="C18" s="139" t="n">
        <v>0</v>
      </c>
      <c r="D18" s="139" t="n">
        <v>0</v>
      </c>
      <c r="E18" s="139" t="n"/>
      <c r="F18" s="139" t="n">
        <v>0.9099999999999999</v>
      </c>
      <c r="G18" s="139" t="n">
        <v>0</v>
      </c>
      <c r="H18" s="139" t="inlineStr">
        <is>
          <t>--- Page 4 ---.</t>
        </is>
      </c>
      <c r="I18" s="139" t="n"/>
    </row>
    <row r="19">
      <c r="A19" s="38" t="inlineStr">
        <is>
          <t>Total of all receipts recorded in accounts (calculated here)</t>
        </is>
      </c>
      <c r="F19">
        <f>SUMIF(A1:A18,"* total",F1:F18)-SUMIF(A1:A18,"Arrears total",F1:F18)</f>
        <v/>
      </c>
    </row>
    <row r="20">
      <c r="A20" s="38" t="inlineStr">
        <is>
          <t>Total of all receipts (calculated here) incl arrears</t>
        </is>
      </c>
      <c r="F20">
        <f>F19+SUMIF(A1:A18,"Arrears total",F1:F18)</f>
        <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E1:E1"/>
  <sheetViews>
    <sheetView workbookViewId="0">
      <selection activeCell="A1" sqref="A1"/>
    </sheetView>
  </sheetViews>
  <sheetFormatPr baseColWidth="8" defaultRowHeight="15"/>
  <sheetData>
    <row r="1"/>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I53"/>
  <sheetViews>
    <sheetView workbookViewId="0">
      <selection activeCell="A1" sqref="A1"/>
    </sheetView>
  </sheetViews>
  <sheetFormatPr baseColWidth="8" defaultRowHeight="15"/>
  <sheetData>
    <row r="1">
      <c r="A1" t="inlineStr">
        <is>
          <t>Heading</t>
        </is>
      </c>
      <c r="B1" t="inlineStr">
        <is>
          <t>Sentence</t>
        </is>
      </c>
      <c r="C1" t="inlineStr">
        <is>
          <t>Quarters 1_x</t>
        </is>
      </c>
      <c r="D1" t="inlineStr">
        <is>
          <t>Bushels 1_x</t>
        </is>
      </c>
      <c r="E1" t="inlineStr">
        <is>
          <t>Sown Quarters</t>
        </is>
      </c>
      <c r="F1" t="inlineStr">
        <is>
          <t>Sown Bushels</t>
        </is>
      </c>
      <c r="G1" t="inlineStr">
        <is>
          <t>Sown Total Quarters</t>
        </is>
      </c>
      <c r="H1" t="inlineStr">
        <is>
          <t>Bought in Quarters</t>
        </is>
      </c>
      <c r="I1" t="inlineStr">
        <is>
          <t>Bought in Bushels</t>
        </is>
      </c>
      <c r="J1" t="inlineStr">
        <is>
          <t>Bought in Total Quarters</t>
        </is>
      </c>
      <c r="K1" t="inlineStr">
        <is>
          <t>Tithe Quarters</t>
        </is>
      </c>
      <c r="L1" t="inlineStr">
        <is>
          <t>Tithe Bushels</t>
        </is>
      </c>
      <c r="M1" t="inlineStr">
        <is>
          <t>Tithe Total Quarters</t>
        </is>
      </c>
      <c r="N1" t="inlineStr">
        <is>
          <t>Manorial servants &amp; livestock Quarters</t>
        </is>
      </c>
      <c r="O1" t="inlineStr">
        <is>
          <t>Manorial servants &amp; livestock Bushels</t>
        </is>
      </c>
      <c r="P1" t="inlineStr">
        <is>
          <t>Manorial servants &amp; livestock Total Quarters</t>
        </is>
      </c>
      <c r="Q1" t="inlineStr">
        <is>
          <t>Sold Quarters</t>
        </is>
      </c>
      <c r="R1" t="inlineStr">
        <is>
          <t>Sold Bushels</t>
        </is>
      </c>
      <c r="S1" t="inlineStr">
        <is>
          <t>Sold Total Quarters</t>
        </is>
      </c>
      <c r="T1" t="inlineStr">
        <is>
          <t>Account Quarters</t>
        </is>
      </c>
      <c r="U1" t="inlineStr">
        <is>
          <t>Account Bushels</t>
        </is>
      </c>
      <c r="V1" t="inlineStr">
        <is>
          <t>Account Total Quarters</t>
        </is>
      </c>
      <c r="W1" t="inlineStr">
        <is>
          <t>bought only</t>
        </is>
      </c>
      <c r="X1" t="inlineStr">
        <is>
          <t>Total Quarters Except 1</t>
        </is>
      </c>
      <c r="Y1" t="inlineStr">
        <is>
          <t>Total Bushels Except 1</t>
        </is>
      </c>
      <c r="Z1" t="inlineStr">
        <is>
          <t>Total Corn Cross-Check</t>
        </is>
      </c>
      <c r="AA1" t="inlineStr">
        <is>
          <t>Total Corn Manorial Account</t>
        </is>
      </c>
      <c r="AB1" t="inlineStr">
        <is>
          <t>Corn Quantity Error</t>
        </is>
      </c>
      <c r="AC1" t="inlineStr">
        <is>
          <t>Quarters 1_y</t>
        </is>
      </c>
      <c r="AD1" t="inlineStr">
        <is>
          <t>Bushels 1_y</t>
        </is>
      </c>
      <c r="AE1" t="inlineStr">
        <is>
          <t>Quarters 2</t>
        </is>
      </c>
      <c r="AF1" t="inlineStr">
        <is>
          <t>Bushels 2</t>
        </is>
      </c>
      <c r="AG1" t="inlineStr">
        <is>
          <t>Quarters 3</t>
        </is>
      </c>
      <c r="AH1" t="inlineStr">
        <is>
          <t>Bushels 3</t>
        </is>
      </c>
      <c r="AI1" t="inlineStr">
        <is>
          <t>Total Bought Quarters</t>
        </is>
      </c>
    </row>
    <row r="2">
      <c r="A2" t="inlineStr">
        <is>
          <t>expenses of the steward</t>
        </is>
      </c>
      <c r="B2" t="inlineStr">
        <is>
          <t>total</t>
        </is>
      </c>
      <c r="C2" t="n">
        <v>0</v>
      </c>
      <c r="D2" t="n">
        <v>0</v>
      </c>
      <c r="E2" t="n">
        <v>0</v>
      </c>
      <c r="F2" t="n">
        <v>0</v>
      </c>
      <c r="G2" t="n">
        <v>0</v>
      </c>
      <c r="H2" t="n">
        <v>0</v>
      </c>
      <c r="I2" t="n">
        <v>0</v>
      </c>
      <c r="J2" t="n">
        <v>0</v>
      </c>
      <c r="K2" t="n">
        <v>0</v>
      </c>
      <c r="L2" t="n">
        <v>0</v>
      </c>
      <c r="M2" t="n">
        <v>0</v>
      </c>
      <c r="N2" t="n">
        <v>0</v>
      </c>
      <c r="O2" t="n">
        <v>0</v>
      </c>
      <c r="P2" t="n">
        <v>0</v>
      </c>
      <c r="Q2" t="n">
        <v>0</v>
      </c>
      <c r="R2" t="n">
        <v>0</v>
      </c>
      <c r="S2" t="n">
        <v>0</v>
      </c>
      <c r="T2" t="n">
        <v>0</v>
      </c>
      <c r="U2" t="n">
        <v>0</v>
      </c>
      <c r="V2" t="n">
        <v>0</v>
      </c>
      <c r="W2" t="n">
        <v>0</v>
      </c>
      <c r="AI2" t="n">
        <v>0</v>
      </c>
    </row>
    <row r="3">
      <c r="A3" t="inlineStr">
        <is>
          <t>wheat</t>
        </is>
      </c>
      <c r="B3" t="inlineStr">
        <is>
          <t>richard sewyne, reeve there, answers for 8 quarters 1 bushel of wheat received from issue of the granges of esher as well as northwode, threshed by piecework, razed measure, by one tally against the prior of sandon.</t>
        </is>
      </c>
      <c r="C3" t="n">
        <v>0</v>
      </c>
      <c r="D3" t="n">
        <v>0</v>
      </c>
      <c r="E3" t="n">
        <v>0</v>
      </c>
      <c r="F3" t="n">
        <v>0</v>
      </c>
      <c r="G3" t="n">
        <v>0</v>
      </c>
      <c r="H3" t="n">
        <v>0</v>
      </c>
      <c r="I3" t="n">
        <v>0</v>
      </c>
      <c r="J3" t="n">
        <v>0</v>
      </c>
      <c r="K3" t="n">
        <v>0</v>
      </c>
      <c r="L3" t="n">
        <v>0</v>
      </c>
      <c r="M3" t="n">
        <v>0</v>
      </c>
      <c r="N3" t="n">
        <v>0</v>
      </c>
      <c r="O3" t="n">
        <v>0</v>
      </c>
      <c r="P3" t="n">
        <v>0</v>
      </c>
      <c r="Q3" t="n">
        <v>0</v>
      </c>
      <c r="R3" t="n">
        <v>0</v>
      </c>
      <c r="S3" t="n">
        <v>0</v>
      </c>
      <c r="T3" t="n">
        <v>0</v>
      </c>
      <c r="U3" t="n">
        <v>0</v>
      </c>
      <c r="V3" t="n">
        <v>0</v>
      </c>
      <c r="W3" t="n">
        <v>0</v>
      </c>
      <c r="X3" t="n">
        <v>8</v>
      </c>
      <c r="Y3" t="n">
        <v>0</v>
      </c>
      <c r="Z3" t="n">
        <v>8</v>
      </c>
      <c r="AA3" t="n">
        <v>8</v>
      </c>
      <c r="AB3" t="n">
        <v>0</v>
      </c>
      <c r="AC3" t="n">
        <v>8</v>
      </c>
      <c r="AD3" t="n">
        <v>0</v>
      </c>
      <c r="AI3" t="n">
        <v>0</v>
      </c>
    </row>
    <row r="4">
      <c r="A4" t="inlineStr">
        <is>
          <t>wheat</t>
        </is>
      </c>
      <c r="B4" t="inlineStr">
        <is>
          <t>and for 1 quarter of curallum received from issue of the said granges, threshed by the same, now by the same tally.</t>
        </is>
      </c>
      <c r="C4" t="n">
        <v>0</v>
      </c>
      <c r="D4" t="n">
        <v>0</v>
      </c>
      <c r="E4" t="n">
        <v>0</v>
      </c>
      <c r="F4" t="n">
        <v>0</v>
      </c>
      <c r="G4" t="n">
        <v>0</v>
      </c>
      <c r="H4" t="n">
        <v>0</v>
      </c>
      <c r="I4" t="n">
        <v>0</v>
      </c>
      <c r="J4" t="n">
        <v>0</v>
      </c>
      <c r="K4" t="n">
        <v>0</v>
      </c>
      <c r="L4" t="n">
        <v>0</v>
      </c>
      <c r="M4" t="n">
        <v>0</v>
      </c>
      <c r="N4" t="n">
        <v>0</v>
      </c>
      <c r="O4" t="n">
        <v>0</v>
      </c>
      <c r="P4" t="n">
        <v>0</v>
      </c>
      <c r="Q4" t="n">
        <v>0</v>
      </c>
      <c r="R4" t="n">
        <v>0</v>
      </c>
      <c r="S4" t="n">
        <v>0</v>
      </c>
      <c r="T4" t="n">
        <v>0</v>
      </c>
      <c r="U4" t="n">
        <v>0</v>
      </c>
      <c r="V4" t="n">
        <v>0</v>
      </c>
      <c r="W4" t="n">
        <v>0</v>
      </c>
      <c r="X4" t="n">
        <v>0</v>
      </c>
      <c r="Y4" t="n">
        <v>0</v>
      </c>
      <c r="Z4" t="n">
        <v>0</v>
      </c>
      <c r="AA4" t="n">
        <v>0</v>
      </c>
      <c r="AB4" t="n">
        <v>0</v>
      </c>
      <c r="AC4" t="n">
        <v>0</v>
      </c>
      <c r="AD4" t="n">
        <v>0</v>
      </c>
      <c r="AI4" t="n">
        <v>0</v>
      </c>
    </row>
    <row r="5">
      <c r="A5" t="inlineStr">
        <is>
          <t>wheat</t>
        </is>
      </c>
      <c r="B5" t="inlineStr">
        <is>
          <t>sum 9 quarters 1 bushel.</t>
        </is>
      </c>
      <c r="C5" t="n">
        <v>0</v>
      </c>
      <c r="D5" t="n">
        <v>0</v>
      </c>
      <c r="E5" t="n">
        <v>0</v>
      </c>
      <c r="F5" t="n">
        <v>0</v>
      </c>
      <c r="G5" t="n">
        <v>0</v>
      </c>
      <c r="H5" t="n">
        <v>0</v>
      </c>
      <c r="I5" t="n">
        <v>0</v>
      </c>
      <c r="J5" t="n">
        <v>0</v>
      </c>
      <c r="K5" t="n">
        <v>0</v>
      </c>
      <c r="L5" t="n">
        <v>0</v>
      </c>
      <c r="M5" t="n">
        <v>0</v>
      </c>
      <c r="N5" t="n">
        <v>0</v>
      </c>
      <c r="O5" t="n">
        <v>0</v>
      </c>
      <c r="P5" t="n">
        <v>0</v>
      </c>
      <c r="Q5" t="n">
        <v>0</v>
      </c>
      <c r="R5" t="n">
        <v>0</v>
      </c>
      <c r="S5" t="n">
        <v>0</v>
      </c>
      <c r="T5" t="n">
        <v>0</v>
      </c>
      <c r="U5" t="n">
        <v>0</v>
      </c>
      <c r="V5" t="n">
        <v>0</v>
      </c>
      <c r="W5" t="n">
        <v>0</v>
      </c>
      <c r="X5" t="n">
        <v>9</v>
      </c>
      <c r="Y5" t="n">
        <v>0</v>
      </c>
      <c r="Z5" t="n">
        <v>9</v>
      </c>
      <c r="AA5" t="n">
        <v>9</v>
      </c>
      <c r="AB5" t="n">
        <v>0</v>
      </c>
      <c r="AC5" t="n">
        <v>9</v>
      </c>
      <c r="AD5" t="n">
        <v>0</v>
      </c>
      <c r="AI5" t="n">
        <v>0</v>
      </c>
    </row>
    <row r="6">
      <c r="A6" t="inlineStr">
        <is>
          <t>wheat</t>
        </is>
      </c>
      <c r="B6" t="inlineStr">
        <is>
          <t>of which accounted for in seed over 6 acres 3 roods of land at esher in le buricheye and dyneslond 1 quarter 7 bushels, thus over an acre 2 bushels 1 peck.</t>
        </is>
      </c>
      <c r="C6" t="n">
        <v>0</v>
      </c>
      <c r="D6" t="n">
        <v>0</v>
      </c>
      <c r="E6" t="n">
        <v>0</v>
      </c>
      <c r="F6" t="n">
        <v>0</v>
      </c>
      <c r="G6" t="n">
        <v>0</v>
      </c>
      <c r="H6" t="n">
        <v>0</v>
      </c>
      <c r="I6" t="n">
        <v>0</v>
      </c>
      <c r="J6" t="n">
        <v>0</v>
      </c>
      <c r="K6" t="n">
        <v>0</v>
      </c>
      <c r="L6" t="n">
        <v>0</v>
      </c>
      <c r="M6" t="n">
        <v>0</v>
      </c>
      <c r="N6" t="n">
        <v>0</v>
      </c>
      <c r="O6" t="n">
        <v>0</v>
      </c>
      <c r="P6" t="n">
        <v>0</v>
      </c>
      <c r="Q6" t="n">
        <v>0</v>
      </c>
      <c r="R6" t="n">
        <v>0</v>
      </c>
      <c r="S6" t="n">
        <v>0</v>
      </c>
      <c r="T6" t="n">
        <v>0</v>
      </c>
      <c r="U6" t="n">
        <v>0</v>
      </c>
      <c r="V6" t="n">
        <v>0</v>
      </c>
      <c r="W6" t="n">
        <v>0</v>
      </c>
      <c r="X6" t="n">
        <v>0</v>
      </c>
      <c r="Y6" t="n">
        <v>2</v>
      </c>
      <c r="Z6" t="n">
        <v>0.25</v>
      </c>
      <c r="AA6" t="n">
        <v>0.88</v>
      </c>
      <c r="AB6" t="n">
        <v>-0.62</v>
      </c>
      <c r="AC6" t="n">
        <v>0</v>
      </c>
      <c r="AD6" t="n">
        <v>7</v>
      </c>
      <c r="AE6" t="n">
        <v>0</v>
      </c>
      <c r="AF6" t="n">
        <v>2</v>
      </c>
      <c r="AI6" t="n">
        <v>0</v>
      </c>
    </row>
    <row r="7">
      <c r="A7" t="inlineStr">
        <is>
          <t>wheat</t>
        </is>
      </c>
      <c r="B7" t="inlineStr">
        <is>
          <t>and sold 6 bushels of curallum.</t>
        </is>
      </c>
      <c r="C7" t="n">
        <v>0</v>
      </c>
      <c r="D7" t="n">
        <v>0</v>
      </c>
      <c r="E7" t="n">
        <v>0</v>
      </c>
      <c r="F7" t="n">
        <v>0</v>
      </c>
      <c r="G7" t="n">
        <v>0</v>
      </c>
      <c r="H7" t="n">
        <v>0</v>
      </c>
      <c r="I7" t="n">
        <v>0</v>
      </c>
      <c r="J7" t="n">
        <v>0</v>
      </c>
      <c r="K7" t="n">
        <v>0</v>
      </c>
      <c r="L7" t="n">
        <v>0</v>
      </c>
      <c r="M7" t="n">
        <v>0</v>
      </c>
      <c r="N7" t="n">
        <v>0</v>
      </c>
      <c r="O7" t="n">
        <v>0</v>
      </c>
      <c r="P7" t="n">
        <v>0</v>
      </c>
      <c r="Q7" t="n">
        <v>0</v>
      </c>
      <c r="R7" t="n">
        <v>0</v>
      </c>
      <c r="S7" t="n">
        <v>0</v>
      </c>
      <c r="T7" t="n">
        <v>0</v>
      </c>
      <c r="U7" t="n">
        <v>0</v>
      </c>
      <c r="V7" t="n">
        <v>0</v>
      </c>
      <c r="W7" t="n">
        <v>0</v>
      </c>
      <c r="X7" t="n">
        <v>0</v>
      </c>
      <c r="Y7" t="n">
        <v>6</v>
      </c>
      <c r="Z7" t="n">
        <v>0.75</v>
      </c>
      <c r="AA7" t="n">
        <v>0.75</v>
      </c>
      <c r="AB7" t="n">
        <v>0</v>
      </c>
      <c r="AC7" t="n">
        <v>0</v>
      </c>
      <c r="AD7" t="n">
        <v>6</v>
      </c>
      <c r="AI7" t="n">
        <v>0</v>
      </c>
    </row>
    <row r="8">
      <c r="A8" t="inlineStr">
        <is>
          <t>wheat</t>
        </is>
      </c>
      <c r="B8" t="inlineStr">
        <is>
          <t>sold at the audit 6 quarters 4 bushels, for 32 shilling 6pence sum as above.</t>
        </is>
      </c>
      <c r="C8" t="n">
        <v>0</v>
      </c>
      <c r="D8" t="n">
        <v>0</v>
      </c>
      <c r="E8" t="n">
        <v>0</v>
      </c>
      <c r="F8" t="n">
        <v>0</v>
      </c>
      <c r="G8" t="n">
        <v>0</v>
      </c>
      <c r="H8" t="n">
        <v>0</v>
      </c>
      <c r="I8" t="n">
        <v>0</v>
      </c>
      <c r="J8" t="n">
        <v>0</v>
      </c>
      <c r="K8" t="n">
        <v>0</v>
      </c>
      <c r="L8" t="n">
        <v>0</v>
      </c>
      <c r="M8" t="n">
        <v>0</v>
      </c>
      <c r="N8" t="n">
        <v>0</v>
      </c>
      <c r="O8" t="n">
        <v>0</v>
      </c>
      <c r="P8" t="n">
        <v>0</v>
      </c>
      <c r="Q8" t="n">
        <v>6</v>
      </c>
      <c r="R8" t="n">
        <v>4</v>
      </c>
      <c r="S8" t="n">
        <v>6.5</v>
      </c>
      <c r="T8" t="n">
        <v>0</v>
      </c>
      <c r="U8" t="n">
        <v>0</v>
      </c>
      <c r="V8" t="n">
        <v>0</v>
      </c>
      <c r="W8" t="n">
        <v>0</v>
      </c>
      <c r="X8" t="n">
        <v>6</v>
      </c>
      <c r="Y8" t="n">
        <v>4</v>
      </c>
      <c r="Z8" t="n">
        <v>6.5</v>
      </c>
      <c r="AA8" t="n">
        <v>6.5</v>
      </c>
      <c r="AB8" t="n">
        <v>0</v>
      </c>
      <c r="AC8" t="n">
        <v>6</v>
      </c>
      <c r="AD8" t="n">
        <v>4</v>
      </c>
      <c r="AI8" t="n">
        <v>0</v>
      </c>
    </row>
    <row r="9">
      <c r="A9" t="inlineStr">
        <is>
          <t>wheat</t>
        </is>
      </c>
      <c r="B9" t="inlineStr">
        <is>
          <t>and it equals.</t>
        </is>
      </c>
      <c r="C9" t="n">
        <v>0</v>
      </c>
      <c r="D9" t="n">
        <v>0</v>
      </c>
      <c r="E9" t="n">
        <v>0</v>
      </c>
      <c r="F9" t="n">
        <v>0</v>
      </c>
      <c r="G9" t="n">
        <v>0</v>
      </c>
      <c r="H9" t="n">
        <v>0</v>
      </c>
      <c r="I9" t="n">
        <v>0</v>
      </c>
      <c r="J9" t="n">
        <v>0</v>
      </c>
      <c r="K9" t="n">
        <v>0</v>
      </c>
      <c r="L9" t="n">
        <v>0</v>
      </c>
      <c r="M9" t="n">
        <v>0</v>
      </c>
      <c r="N9" t="n">
        <v>0</v>
      </c>
      <c r="O9" t="n">
        <v>0</v>
      </c>
      <c r="P9" t="n">
        <v>0</v>
      </c>
      <c r="Q9" t="n">
        <v>0</v>
      </c>
      <c r="R9" t="n">
        <v>0</v>
      </c>
      <c r="S9" t="n">
        <v>0</v>
      </c>
      <c r="T9" t="n">
        <v>0</v>
      </c>
      <c r="U9" t="n">
        <v>0</v>
      </c>
      <c r="V9" t="n">
        <v>0</v>
      </c>
      <c r="W9" t="n">
        <v>0</v>
      </c>
      <c r="X9" t="n">
        <v>0</v>
      </c>
      <c r="Y9" t="n">
        <v>0</v>
      </c>
      <c r="Z9" t="n">
        <v>0</v>
      </c>
      <c r="AA9" t="n">
        <v>0</v>
      </c>
      <c r="AB9" t="n">
        <v>0</v>
      </c>
      <c r="AC9" t="n">
        <v>0</v>
      </c>
      <c r="AD9" t="n">
        <v>0</v>
      </c>
      <c r="AI9" t="n">
        <v>0</v>
      </c>
    </row>
    <row r="10">
      <c r="A10" t="inlineStr">
        <is>
          <t>wheat</t>
        </is>
      </c>
      <c r="B10" t="inlineStr">
        <is>
          <t>total</t>
        </is>
      </c>
      <c r="C10" t="n">
        <v>0</v>
      </c>
      <c r="D10" t="n">
        <v>0</v>
      </c>
      <c r="E10" t="n">
        <v>0</v>
      </c>
      <c r="F10" t="n">
        <v>0</v>
      </c>
      <c r="G10" t="n">
        <v>0</v>
      </c>
      <c r="H10" t="n">
        <v>0</v>
      </c>
      <c r="I10" t="n">
        <v>0</v>
      </c>
      <c r="J10" t="n">
        <v>0</v>
      </c>
      <c r="K10" t="n">
        <v>0</v>
      </c>
      <c r="L10" t="n">
        <v>0</v>
      </c>
      <c r="M10" t="n">
        <v>0</v>
      </c>
      <c r="N10" t="n">
        <v>0</v>
      </c>
      <c r="O10" t="n">
        <v>0</v>
      </c>
      <c r="P10" t="n">
        <v>0</v>
      </c>
      <c r="Q10" t="n">
        <v>0</v>
      </c>
      <c r="R10" t="n">
        <v>0</v>
      </c>
      <c r="S10" t="n">
        <v>0</v>
      </c>
      <c r="T10" t="n">
        <v>0</v>
      </c>
      <c r="U10" t="n">
        <v>0</v>
      </c>
      <c r="V10" t="n">
        <v>0</v>
      </c>
      <c r="W10" t="n">
        <v>0</v>
      </c>
      <c r="AI10" t="n">
        <v>0</v>
      </c>
    </row>
    <row r="11">
      <c r="A11" t="inlineStr">
        <is>
          <t>rye</t>
        </is>
      </c>
      <c r="B11" t="inlineStr">
        <is>
          <t>the same answers for 32 quarters 5 bushels of rye received from issue of the said two granges, threshed by piecework, razed measure, by one tally against the aforesaid prior, of which from issue of northwode 13 quarters 1 bushel.</t>
        </is>
      </c>
      <c r="C11" t="n">
        <v>0</v>
      </c>
      <c r="D11" t="n">
        <v>0</v>
      </c>
      <c r="E11" t="n">
        <v>0</v>
      </c>
      <c r="F11" t="n">
        <v>0</v>
      </c>
      <c r="G11" t="n">
        <v>0</v>
      </c>
      <c r="H11" t="n">
        <v>0</v>
      </c>
      <c r="I11" t="n">
        <v>0</v>
      </c>
      <c r="J11" t="n">
        <v>0</v>
      </c>
      <c r="K11" t="n">
        <v>0</v>
      </c>
      <c r="L11" t="n">
        <v>0</v>
      </c>
      <c r="M11" t="n">
        <v>0</v>
      </c>
      <c r="N11" t="n">
        <v>0</v>
      </c>
      <c r="O11" t="n">
        <v>0</v>
      </c>
      <c r="P11" t="n">
        <v>0</v>
      </c>
      <c r="Q11" t="n">
        <v>0</v>
      </c>
      <c r="R11" t="n">
        <v>0</v>
      </c>
      <c r="S11" t="n">
        <v>0</v>
      </c>
      <c r="T11" t="n">
        <v>0</v>
      </c>
      <c r="U11" t="n">
        <v>0</v>
      </c>
      <c r="V11" t="n">
        <v>0</v>
      </c>
      <c r="W11" t="n">
        <v>0</v>
      </c>
      <c r="X11" t="n">
        <v>13</v>
      </c>
      <c r="Y11" t="n">
        <v>5</v>
      </c>
      <c r="Z11" t="n">
        <v>13.62</v>
      </c>
      <c r="AA11" t="n">
        <v>32.62</v>
      </c>
      <c r="AB11" t="n">
        <v>-19</v>
      </c>
      <c r="AC11" t="n">
        <v>32</v>
      </c>
      <c r="AD11" t="n">
        <v>5</v>
      </c>
      <c r="AE11" t="n">
        <v>13</v>
      </c>
      <c r="AF11" t="n">
        <v>0</v>
      </c>
      <c r="AI11" t="n">
        <v>0</v>
      </c>
    </row>
    <row r="12">
      <c r="A12" t="inlineStr">
        <is>
          <t>rye</t>
        </is>
      </c>
      <c r="B12" t="inlineStr">
        <is>
          <t>sum 32 quarters 5 bushels.</t>
        </is>
      </c>
      <c r="C12" t="n">
        <v>0</v>
      </c>
      <c r="D12" t="n">
        <v>0</v>
      </c>
      <c r="E12" t="n">
        <v>0</v>
      </c>
      <c r="F12" t="n">
        <v>0</v>
      </c>
      <c r="G12" t="n">
        <v>0</v>
      </c>
      <c r="H12" t="n">
        <v>0</v>
      </c>
      <c r="I12" t="n">
        <v>0</v>
      </c>
      <c r="J12" t="n">
        <v>0</v>
      </c>
      <c r="K12" t="n">
        <v>0</v>
      </c>
      <c r="L12" t="n">
        <v>0</v>
      </c>
      <c r="M12" t="n">
        <v>0</v>
      </c>
      <c r="N12" t="n">
        <v>0</v>
      </c>
      <c r="O12" t="n">
        <v>0</v>
      </c>
      <c r="P12" t="n">
        <v>0</v>
      </c>
      <c r="Q12" t="n">
        <v>0</v>
      </c>
      <c r="R12" t="n">
        <v>0</v>
      </c>
      <c r="S12" t="n">
        <v>0</v>
      </c>
      <c r="T12" t="n">
        <v>0</v>
      </c>
      <c r="U12" t="n">
        <v>0</v>
      </c>
      <c r="V12" t="n">
        <v>0</v>
      </c>
      <c r="W12" t="n">
        <v>0</v>
      </c>
      <c r="X12" t="n">
        <v>32</v>
      </c>
      <c r="Y12" t="n">
        <v>5</v>
      </c>
      <c r="Z12" t="n">
        <v>32.62</v>
      </c>
      <c r="AA12" t="n">
        <v>32.62</v>
      </c>
      <c r="AB12" t="n">
        <v>0</v>
      </c>
      <c r="AC12" t="n">
        <v>32</v>
      </c>
      <c r="AD12" t="n">
        <v>5</v>
      </c>
      <c r="AI12" t="n">
        <v>0</v>
      </c>
    </row>
    <row r="13">
      <c r="A13" t="inlineStr">
        <is>
          <t>rye</t>
        </is>
      </c>
      <c r="B13" t="inlineStr">
        <is>
          <t>of which accounted for in seed over 28 acres by estimation, sown at esher as well as at northwode in parcels, 7 quarters 7 bushels, thus an acre takes 2 bushels 1 peck.</t>
        </is>
      </c>
      <c r="C13" t="n">
        <v>0</v>
      </c>
      <c r="D13" t="n">
        <v>0</v>
      </c>
      <c r="E13" t="n">
        <v>7</v>
      </c>
      <c r="F13" t="n">
        <v>7</v>
      </c>
      <c r="G13" t="n">
        <v>7.88</v>
      </c>
      <c r="H13" t="n">
        <v>0</v>
      </c>
      <c r="I13" t="n">
        <v>0</v>
      </c>
      <c r="J13" t="n">
        <v>0</v>
      </c>
      <c r="K13" t="n">
        <v>0</v>
      </c>
      <c r="L13" t="n">
        <v>0</v>
      </c>
      <c r="M13" t="n">
        <v>0</v>
      </c>
      <c r="N13" t="n">
        <v>0</v>
      </c>
      <c r="O13" t="n">
        <v>0</v>
      </c>
      <c r="P13" t="n">
        <v>0</v>
      </c>
      <c r="Q13" t="n">
        <v>0</v>
      </c>
      <c r="R13" t="n">
        <v>0</v>
      </c>
      <c r="S13" t="n">
        <v>0</v>
      </c>
      <c r="T13" t="n">
        <v>0</v>
      </c>
      <c r="U13" t="n">
        <v>0</v>
      </c>
      <c r="V13" t="n">
        <v>0</v>
      </c>
      <c r="W13" t="n">
        <v>0</v>
      </c>
      <c r="X13" t="n">
        <v>7</v>
      </c>
      <c r="Y13" t="n">
        <v>2</v>
      </c>
      <c r="Z13" t="n">
        <v>7.25</v>
      </c>
      <c r="AA13" t="n">
        <v>7.88</v>
      </c>
      <c r="AB13" t="n">
        <v>-0.62</v>
      </c>
      <c r="AC13" t="n">
        <v>7</v>
      </c>
      <c r="AD13" t="n">
        <v>7</v>
      </c>
      <c r="AE13" t="n">
        <v>0</v>
      </c>
      <c r="AF13" t="n">
        <v>2</v>
      </c>
      <c r="AI13" t="n">
        <v>0</v>
      </c>
    </row>
    <row r="14">
      <c r="A14" t="inlineStr">
        <is>
          <t>rye</t>
        </is>
      </c>
      <c r="B14" t="inlineStr">
        <is>
          <t>to mixed corn for payment of the famuli, below, 16 quarters 2 bushels.</t>
        </is>
      </c>
      <c r="C14" t="n">
        <v>0</v>
      </c>
      <c r="D14" t="n">
        <v>0</v>
      </c>
      <c r="E14" t="n">
        <v>0</v>
      </c>
      <c r="F14" t="n">
        <v>0</v>
      </c>
      <c r="G14" t="n">
        <v>0</v>
      </c>
      <c r="H14" t="n">
        <v>0</v>
      </c>
      <c r="I14" t="n">
        <v>0</v>
      </c>
      <c r="J14" t="n">
        <v>0</v>
      </c>
      <c r="K14" t="n">
        <v>0</v>
      </c>
      <c r="L14" t="n">
        <v>0</v>
      </c>
      <c r="M14" t="n">
        <v>0</v>
      </c>
      <c r="N14" t="n">
        <v>0</v>
      </c>
      <c r="O14" t="n">
        <v>0</v>
      </c>
      <c r="P14" t="n">
        <v>0</v>
      </c>
      <c r="Q14" t="n">
        <v>0</v>
      </c>
      <c r="R14" t="n">
        <v>0</v>
      </c>
      <c r="S14" t="n">
        <v>0</v>
      </c>
      <c r="T14" t="n">
        <v>0</v>
      </c>
      <c r="U14" t="n">
        <v>0</v>
      </c>
      <c r="V14" t="n">
        <v>0</v>
      </c>
      <c r="W14" t="n">
        <v>0</v>
      </c>
      <c r="X14" t="n">
        <v>16</v>
      </c>
      <c r="Y14" t="n">
        <v>2</v>
      </c>
      <c r="Z14" t="n">
        <v>16.25</v>
      </c>
      <c r="AA14" t="n">
        <v>16.25</v>
      </c>
      <c r="AB14" t="n">
        <v>0</v>
      </c>
      <c r="AC14" t="n">
        <v>16</v>
      </c>
      <c r="AD14" t="n">
        <v>2</v>
      </c>
      <c r="AI14" t="n">
        <v>0</v>
      </c>
    </row>
    <row r="15">
      <c r="A15" t="inlineStr">
        <is>
          <t>rye</t>
        </is>
      </c>
      <c r="B15" t="inlineStr">
        <is>
          <t>customary payment to 14 customary tenants harrowing at the sowing of oats for one day 1 bushel.</t>
        </is>
      </c>
      <c r="C15" t="n">
        <v>0</v>
      </c>
      <c r="D15" t="n">
        <v>0</v>
      </c>
      <c r="E15" t="n">
        <v>0</v>
      </c>
      <c r="F15" t="n">
        <v>0</v>
      </c>
      <c r="G15" t="n">
        <v>0</v>
      </c>
      <c r="H15" t="n">
        <v>0</v>
      </c>
      <c r="I15" t="n">
        <v>0</v>
      </c>
      <c r="J15" t="n">
        <v>0</v>
      </c>
      <c r="K15" t="n">
        <v>0</v>
      </c>
      <c r="L15" t="n">
        <v>0</v>
      </c>
      <c r="M15" t="n">
        <v>0</v>
      </c>
      <c r="N15" t="n">
        <v>0</v>
      </c>
      <c r="O15" t="n">
        <v>0</v>
      </c>
      <c r="P15" t="n">
        <v>0</v>
      </c>
      <c r="Q15" t="n">
        <v>0</v>
      </c>
      <c r="R15" t="n">
        <v>0</v>
      </c>
      <c r="S15" t="n">
        <v>0</v>
      </c>
      <c r="T15" t="n">
        <v>0</v>
      </c>
      <c r="U15" t="n">
        <v>0</v>
      </c>
      <c r="V15" t="n">
        <v>0</v>
      </c>
      <c r="W15" t="n">
        <v>0</v>
      </c>
      <c r="X15" t="n">
        <v>0</v>
      </c>
      <c r="Y15" t="n">
        <v>0</v>
      </c>
      <c r="Z15" t="n">
        <v>0</v>
      </c>
      <c r="AA15" t="n">
        <v>0</v>
      </c>
      <c r="AB15" t="n">
        <v>0</v>
      </c>
      <c r="AC15" t="n">
        <v>0</v>
      </c>
      <c r="AD15" t="n">
        <v>0</v>
      </c>
      <c r="AI15" t="n">
        <v>0</v>
      </c>
    </row>
    <row r="16">
      <c r="A16" t="inlineStr">
        <is>
          <t>rye</t>
        </is>
      </c>
      <c r="B16" t="inlineStr">
        <is>
          <t>customary payment to customary tenants mowing the meadow of brodedmed and for the carriage of hay from the same meadow 3 bushels.</t>
        </is>
      </c>
      <c r="C16" t="n">
        <v>0</v>
      </c>
      <c r="D16" t="n">
        <v>0</v>
      </c>
      <c r="E16" t="n">
        <v>0</v>
      </c>
      <c r="F16" t="n">
        <v>0</v>
      </c>
      <c r="G16" t="n">
        <v>0</v>
      </c>
      <c r="H16" t="n">
        <v>0</v>
      </c>
      <c r="I16" t="n">
        <v>0</v>
      </c>
      <c r="J16" t="n">
        <v>0</v>
      </c>
      <c r="K16" t="n">
        <v>0</v>
      </c>
      <c r="L16" t="n">
        <v>0</v>
      </c>
      <c r="M16" t="n">
        <v>0</v>
      </c>
      <c r="N16" t="n">
        <v>0</v>
      </c>
      <c r="O16" t="n">
        <v>0</v>
      </c>
      <c r="P16" t="n">
        <v>0</v>
      </c>
      <c r="Q16" t="n">
        <v>0</v>
      </c>
      <c r="R16" t="n">
        <v>0</v>
      </c>
      <c r="S16" t="n">
        <v>0</v>
      </c>
      <c r="T16" t="n">
        <v>0</v>
      </c>
      <c r="U16" t="n">
        <v>0</v>
      </c>
      <c r="V16" t="n">
        <v>0</v>
      </c>
      <c r="W16" t="n">
        <v>0</v>
      </c>
      <c r="X16" t="n">
        <v>0</v>
      </c>
      <c r="Y16" t="n">
        <v>3</v>
      </c>
      <c r="Z16" t="n">
        <v>0.38</v>
      </c>
      <c r="AA16" t="n">
        <v>0.38</v>
      </c>
      <c r="AB16" t="n">
        <v>0</v>
      </c>
      <c r="AC16" t="n">
        <v>0</v>
      </c>
      <c r="AD16" t="n">
        <v>3</v>
      </c>
      <c r="AI16" t="n">
        <v>0</v>
      </c>
    </row>
    <row r="17">
      <c r="A17" t="inlineStr">
        <is>
          <t>rye</t>
        </is>
      </c>
      <c r="B17" t="inlineStr">
        <is>
          <t>expenses of the same reaping and binding the lord’s corn at esher for two wet boonworks, besides 1 acre of rye, 2 acres of peas, and 3 acres of oats that were reaped this year by piecework, 6 bushels by custom.</t>
        </is>
      </c>
      <c r="C17" t="n">
        <v>0</v>
      </c>
      <c r="D17" t="n">
        <v>0</v>
      </c>
      <c r="E17" t="n">
        <v>0</v>
      </c>
      <c r="F17" t="n">
        <v>0</v>
      </c>
      <c r="G17" t="n">
        <v>0</v>
      </c>
      <c r="H17" t="n">
        <v>0</v>
      </c>
      <c r="I17" t="n">
        <v>0</v>
      </c>
      <c r="J17" t="n">
        <v>0</v>
      </c>
      <c r="K17" t="n">
        <v>0</v>
      </c>
      <c r="L17" t="n">
        <v>0</v>
      </c>
      <c r="M17" t="n">
        <v>0</v>
      </c>
      <c r="N17" t="n">
        <v>0</v>
      </c>
      <c r="O17" t="n">
        <v>0</v>
      </c>
      <c r="P17" t="n">
        <v>0</v>
      </c>
      <c r="Q17" t="n">
        <v>0</v>
      </c>
      <c r="R17" t="n">
        <v>0</v>
      </c>
      <c r="S17" t="n">
        <v>0</v>
      </c>
      <c r="T17" t="n">
        <v>0</v>
      </c>
      <c r="U17" t="n">
        <v>0</v>
      </c>
      <c r="V17" t="n">
        <v>0</v>
      </c>
      <c r="W17" t="n">
        <v>0</v>
      </c>
      <c r="X17" t="n">
        <v>0</v>
      </c>
      <c r="Y17" t="n">
        <v>6</v>
      </c>
      <c r="Z17" t="n">
        <v>0.75</v>
      </c>
      <c r="AA17" t="n">
        <v>0.75</v>
      </c>
      <c r="AB17" t="n">
        <v>0</v>
      </c>
      <c r="AC17" t="n">
        <v>0</v>
      </c>
      <c r="AD17" t="n">
        <v>6</v>
      </c>
      <c r="AI17" t="n">
        <v>0</v>
      </c>
    </row>
    <row r="18">
      <c r="A18" t="inlineStr">
        <is>
          <t>rye</t>
        </is>
      </c>
      <c r="B18" t="inlineStr">
        <is>
          <t>and sold 6 quarters 7½ bushels, the eighth bushel heaped.</t>
        </is>
      </c>
      <c r="C18" t="n">
        <v>0</v>
      </c>
      <c r="D18" t="n">
        <v>0</v>
      </c>
      <c r="E18" t="n">
        <v>0</v>
      </c>
      <c r="F18" t="n">
        <v>0</v>
      </c>
      <c r="G18" t="n">
        <v>0</v>
      </c>
      <c r="H18" t="n">
        <v>0</v>
      </c>
      <c r="I18" t="n">
        <v>0</v>
      </c>
      <c r="J18" t="n">
        <v>0</v>
      </c>
      <c r="K18" t="n">
        <v>0</v>
      </c>
      <c r="L18" t="n">
        <v>0</v>
      </c>
      <c r="M18" t="n">
        <v>0</v>
      </c>
      <c r="N18" t="n">
        <v>0</v>
      </c>
      <c r="O18" t="n">
        <v>0</v>
      </c>
      <c r="P18" t="n">
        <v>0</v>
      </c>
      <c r="Q18" t="n">
        <v>6</v>
      </c>
      <c r="R18" t="n">
        <v>0</v>
      </c>
      <c r="S18" t="n">
        <v>6</v>
      </c>
      <c r="T18" t="n">
        <v>0</v>
      </c>
      <c r="U18" t="n">
        <v>0</v>
      </c>
      <c r="V18" t="n">
        <v>0</v>
      </c>
      <c r="W18" t="n">
        <v>0</v>
      </c>
      <c r="X18" t="n">
        <v>6</v>
      </c>
      <c r="Y18" t="n">
        <v>0</v>
      </c>
      <c r="Z18" t="n">
        <v>6</v>
      </c>
      <c r="AA18" t="n">
        <v>6</v>
      </c>
      <c r="AB18" t="n">
        <v>0</v>
      </c>
      <c r="AC18" t="n">
        <v>6</v>
      </c>
      <c r="AD18" t="n">
        <v>0</v>
      </c>
      <c r="AI18" t="n">
        <v>0</v>
      </c>
    </row>
    <row r="19">
      <c r="A19" t="inlineStr">
        <is>
          <t>rye</t>
        </is>
      </c>
      <c r="B19" t="inlineStr">
        <is>
          <t>a heap given for the same 1½ bushels.</t>
        </is>
      </c>
      <c r="C19" t="n">
        <v>0</v>
      </c>
      <c r="D19" t="n">
        <v>0</v>
      </c>
      <c r="E19" t="n">
        <v>0</v>
      </c>
      <c r="F19" t="n">
        <v>0</v>
      </c>
      <c r="G19" t="n">
        <v>0</v>
      </c>
      <c r="H19" t="n">
        <v>0</v>
      </c>
      <c r="I19" t="n">
        <v>0</v>
      </c>
      <c r="J19" t="n">
        <v>0</v>
      </c>
      <c r="K19" t="n">
        <v>0</v>
      </c>
      <c r="L19" t="n">
        <v>0</v>
      </c>
      <c r="M19" t="n">
        <v>0</v>
      </c>
      <c r="N19" t="n">
        <v>0</v>
      </c>
      <c r="O19" t="n">
        <v>0</v>
      </c>
      <c r="P19" t="n">
        <v>0</v>
      </c>
      <c r="Q19" t="n">
        <v>0</v>
      </c>
      <c r="R19" t="n">
        <v>0</v>
      </c>
      <c r="S19" t="n">
        <v>0</v>
      </c>
      <c r="T19" t="n">
        <v>0</v>
      </c>
      <c r="U19" t="n">
        <v>0</v>
      </c>
      <c r="V19" t="n">
        <v>0</v>
      </c>
      <c r="W19" t="n">
        <v>0</v>
      </c>
      <c r="X19" t="n">
        <v>0</v>
      </c>
      <c r="Y19" t="n">
        <v>0</v>
      </c>
      <c r="Z19" t="n">
        <v>0</v>
      </c>
      <c r="AA19" t="n">
        <v>0</v>
      </c>
      <c r="AB19" t="n">
        <v>0</v>
      </c>
      <c r="AC19" t="n">
        <v>0</v>
      </c>
      <c r="AD19" t="n">
        <v>0</v>
      </c>
      <c r="AI19" t="n">
        <v>0</v>
      </c>
    </row>
    <row r="20">
      <c r="A20" t="inlineStr">
        <is>
          <t>rye</t>
        </is>
      </c>
      <c r="B20" t="inlineStr">
        <is>
          <t>sum as above.</t>
        </is>
      </c>
      <c r="C20" t="n">
        <v>0</v>
      </c>
      <c r="D20" t="n">
        <v>0</v>
      </c>
      <c r="E20" t="n">
        <v>0</v>
      </c>
      <c r="F20" t="n">
        <v>0</v>
      </c>
      <c r="G20" t="n">
        <v>0</v>
      </c>
      <c r="H20" t="n">
        <v>0</v>
      </c>
      <c r="I20" t="n">
        <v>0</v>
      </c>
      <c r="J20" t="n">
        <v>0</v>
      </c>
      <c r="K20" t="n">
        <v>0</v>
      </c>
      <c r="L20" t="n">
        <v>0</v>
      </c>
      <c r="M20" t="n">
        <v>0</v>
      </c>
      <c r="N20" t="n">
        <v>0</v>
      </c>
      <c r="O20" t="n">
        <v>0</v>
      </c>
      <c r="P20" t="n">
        <v>0</v>
      </c>
      <c r="Q20" t="n">
        <v>0</v>
      </c>
      <c r="R20" t="n">
        <v>0</v>
      </c>
      <c r="S20" t="n">
        <v>0</v>
      </c>
      <c r="T20" t="n">
        <v>0</v>
      </c>
      <c r="U20" t="n">
        <v>0</v>
      </c>
      <c r="V20" t="n">
        <v>0</v>
      </c>
      <c r="W20" t="n">
        <v>0</v>
      </c>
      <c r="X20" t="n">
        <v>0</v>
      </c>
      <c r="Y20" t="n">
        <v>0</v>
      </c>
      <c r="Z20" t="n">
        <v>0</v>
      </c>
      <c r="AA20" t="n">
        <v>0</v>
      </c>
      <c r="AB20" t="n">
        <v>0</v>
      </c>
      <c r="AC20" t="n">
        <v>0</v>
      </c>
      <c r="AD20" t="n">
        <v>0</v>
      </c>
      <c r="AI20" t="n">
        <v>0</v>
      </c>
    </row>
    <row r="21">
      <c r="A21" t="inlineStr">
        <is>
          <t>rye</t>
        </is>
      </c>
      <c r="B21" t="inlineStr">
        <is>
          <t>and it equals.</t>
        </is>
      </c>
      <c r="C21" t="n">
        <v>0</v>
      </c>
      <c r="D21" t="n">
        <v>0</v>
      </c>
      <c r="E21" t="n">
        <v>0</v>
      </c>
      <c r="F21" t="n">
        <v>0</v>
      </c>
      <c r="G21" t="n">
        <v>0</v>
      </c>
      <c r="H21" t="n">
        <v>0</v>
      </c>
      <c r="I21" t="n">
        <v>0</v>
      </c>
      <c r="J21" t="n">
        <v>0</v>
      </c>
      <c r="K21" t="n">
        <v>0</v>
      </c>
      <c r="L21" t="n">
        <v>0</v>
      </c>
      <c r="M21" t="n">
        <v>0</v>
      </c>
      <c r="N21" t="n">
        <v>0</v>
      </c>
      <c r="O21" t="n">
        <v>0</v>
      </c>
      <c r="P21" t="n">
        <v>0</v>
      </c>
      <c r="Q21" t="n">
        <v>0</v>
      </c>
      <c r="R21" t="n">
        <v>0</v>
      </c>
      <c r="S21" t="n">
        <v>0</v>
      </c>
      <c r="T21" t="n">
        <v>0</v>
      </c>
      <c r="U21" t="n">
        <v>0</v>
      </c>
      <c r="V21" t="n">
        <v>0</v>
      </c>
      <c r="W21" t="n">
        <v>0</v>
      </c>
      <c r="X21" t="n">
        <v>0</v>
      </c>
      <c r="Y21" t="n">
        <v>0</v>
      </c>
      <c r="Z21" t="n">
        <v>0</v>
      </c>
      <c r="AA21" t="n">
        <v>0</v>
      </c>
      <c r="AB21" t="n">
        <v>0</v>
      </c>
      <c r="AC21" t="n">
        <v>0</v>
      </c>
      <c r="AD21" t="n">
        <v>0</v>
      </c>
      <c r="AI21" t="n">
        <v>0</v>
      </c>
    </row>
    <row r="22">
      <c r="A22" t="inlineStr">
        <is>
          <t>rye</t>
        </is>
      </c>
      <c r="B22" t="inlineStr">
        <is>
          <t>total</t>
        </is>
      </c>
      <c r="C22" t="n">
        <v>0</v>
      </c>
      <c r="D22" t="n">
        <v>0</v>
      </c>
      <c r="E22" t="n">
        <v>0</v>
      </c>
      <c r="F22" t="n">
        <v>0</v>
      </c>
      <c r="G22" t="n">
        <v>0</v>
      </c>
      <c r="H22" t="n">
        <v>0</v>
      </c>
      <c r="I22" t="n">
        <v>0</v>
      </c>
      <c r="J22" t="n">
        <v>0</v>
      </c>
      <c r="K22" t="n">
        <v>0</v>
      </c>
      <c r="L22" t="n">
        <v>0</v>
      </c>
      <c r="M22" t="n">
        <v>0</v>
      </c>
      <c r="N22" t="n">
        <v>0</v>
      </c>
      <c r="O22" t="n">
        <v>0</v>
      </c>
      <c r="P22" t="n">
        <v>0</v>
      </c>
      <c r="Q22" t="n">
        <v>0</v>
      </c>
      <c r="R22" t="n">
        <v>0</v>
      </c>
      <c r="S22" t="n">
        <v>0</v>
      </c>
      <c r="T22" t="n">
        <v>0</v>
      </c>
      <c r="U22" t="n">
        <v>0</v>
      </c>
      <c r="V22" t="n">
        <v>0</v>
      </c>
      <c r="W22" t="n">
        <v>0</v>
      </c>
      <c r="AI22" t="n">
        <v>0</v>
      </c>
    </row>
    <row r="23">
      <c r="A23" t="inlineStr">
        <is>
          <t>peas</t>
        </is>
      </c>
      <c r="B23" t="inlineStr">
        <is>
          <t>and for 4 bushels of peas received from issue of the grange of esher threshed by piecework by one tally against the said prior.</t>
        </is>
      </c>
      <c r="C23" t="n">
        <v>0</v>
      </c>
      <c r="D23" t="n">
        <v>0</v>
      </c>
      <c r="E23" t="n">
        <v>0</v>
      </c>
      <c r="F23" t="n">
        <v>0</v>
      </c>
      <c r="G23" t="n">
        <v>0</v>
      </c>
      <c r="H23" t="n">
        <v>0</v>
      </c>
      <c r="I23" t="n">
        <v>0</v>
      </c>
      <c r="J23" t="n">
        <v>0</v>
      </c>
      <c r="K23" t="n">
        <v>0</v>
      </c>
      <c r="L23" t="n">
        <v>0</v>
      </c>
      <c r="M23" t="n">
        <v>0</v>
      </c>
      <c r="N23" t="n">
        <v>0</v>
      </c>
      <c r="O23" t="n">
        <v>0</v>
      </c>
      <c r="P23" t="n">
        <v>0</v>
      </c>
      <c r="Q23" t="n">
        <v>0</v>
      </c>
      <c r="R23" t="n">
        <v>0</v>
      </c>
      <c r="S23" t="n">
        <v>0</v>
      </c>
      <c r="T23" t="n">
        <v>0</v>
      </c>
      <c r="U23" t="n">
        <v>0</v>
      </c>
      <c r="V23" t="n">
        <v>0</v>
      </c>
      <c r="W23" t="n">
        <v>0</v>
      </c>
      <c r="X23" t="n">
        <v>0</v>
      </c>
      <c r="Y23" t="n">
        <v>4</v>
      </c>
      <c r="Z23" t="n">
        <v>0.5</v>
      </c>
      <c r="AA23" t="n">
        <v>0.5</v>
      </c>
      <c r="AB23" t="n">
        <v>0</v>
      </c>
      <c r="AC23" t="n">
        <v>0</v>
      </c>
      <c r="AD23" t="n">
        <v>4</v>
      </c>
      <c r="AI23" t="n">
        <v>0</v>
      </c>
    </row>
    <row r="24">
      <c r="A24" t="inlineStr">
        <is>
          <t>peas</t>
        </is>
      </c>
      <c r="B24" t="inlineStr">
        <is>
          <t>sum 4 bushels.</t>
        </is>
      </c>
      <c r="C24" t="n">
        <v>0</v>
      </c>
      <c r="D24" t="n">
        <v>0</v>
      </c>
      <c r="E24" t="n">
        <v>0</v>
      </c>
      <c r="F24" t="n">
        <v>0</v>
      </c>
      <c r="G24" t="n">
        <v>0</v>
      </c>
      <c r="H24" t="n">
        <v>0</v>
      </c>
      <c r="I24" t="n">
        <v>0</v>
      </c>
      <c r="J24" t="n">
        <v>0</v>
      </c>
      <c r="K24" t="n">
        <v>0</v>
      </c>
      <c r="L24" t="n">
        <v>0</v>
      </c>
      <c r="M24" t="n">
        <v>0</v>
      </c>
      <c r="N24" t="n">
        <v>0</v>
      </c>
      <c r="O24" t="n">
        <v>0</v>
      </c>
      <c r="P24" t="n">
        <v>0</v>
      </c>
      <c r="Q24" t="n">
        <v>0</v>
      </c>
      <c r="R24" t="n">
        <v>0</v>
      </c>
      <c r="S24" t="n">
        <v>0</v>
      </c>
      <c r="T24" t="n">
        <v>0</v>
      </c>
      <c r="U24" t="n">
        <v>0</v>
      </c>
      <c r="V24" t="n">
        <v>0</v>
      </c>
      <c r="W24" t="n">
        <v>0</v>
      </c>
      <c r="X24" t="n">
        <v>0</v>
      </c>
      <c r="Y24" t="n">
        <v>4</v>
      </c>
      <c r="Z24" t="n">
        <v>0.5</v>
      </c>
      <c r="AA24" t="n">
        <v>0.5</v>
      </c>
      <c r="AB24" t="n">
        <v>0</v>
      </c>
      <c r="AC24" t="n">
        <v>0</v>
      </c>
      <c r="AD24" t="n">
        <v>4</v>
      </c>
      <c r="AI24" t="n">
        <v>0</v>
      </c>
    </row>
    <row r="25">
      <c r="A25" t="inlineStr">
        <is>
          <t>peas</t>
        </is>
      </c>
      <c r="B25" t="inlineStr">
        <is>
          <t>and it was sown over 2 acres at esher.</t>
        </is>
      </c>
      <c r="C25" t="n">
        <v>0</v>
      </c>
      <c r="D25" t="n">
        <v>0</v>
      </c>
      <c r="E25" t="n">
        <v>0</v>
      </c>
      <c r="F25" t="n">
        <v>0</v>
      </c>
      <c r="G25" t="n">
        <v>0</v>
      </c>
      <c r="H25" t="n">
        <v>0</v>
      </c>
      <c r="I25" t="n">
        <v>0</v>
      </c>
      <c r="J25" t="n">
        <v>0</v>
      </c>
      <c r="K25" t="n">
        <v>0</v>
      </c>
      <c r="L25" t="n">
        <v>0</v>
      </c>
      <c r="M25" t="n">
        <v>0</v>
      </c>
      <c r="N25" t="n">
        <v>0</v>
      </c>
      <c r="O25" t="n">
        <v>0</v>
      </c>
      <c r="P25" t="n">
        <v>0</v>
      </c>
      <c r="Q25" t="n">
        <v>0</v>
      </c>
      <c r="R25" t="n">
        <v>0</v>
      </c>
      <c r="S25" t="n">
        <v>0</v>
      </c>
      <c r="T25" t="n">
        <v>0</v>
      </c>
      <c r="U25" t="n">
        <v>0</v>
      </c>
      <c r="V25" t="n">
        <v>0</v>
      </c>
      <c r="W25" t="n">
        <v>0</v>
      </c>
      <c r="X25" t="n">
        <v>0</v>
      </c>
      <c r="Y25" t="n">
        <v>0</v>
      </c>
      <c r="Z25" t="n">
        <v>0</v>
      </c>
      <c r="AA25" t="n">
        <v>0</v>
      </c>
      <c r="AB25" t="n">
        <v>0</v>
      </c>
      <c r="AC25" t="n">
        <v>0</v>
      </c>
      <c r="AD25" t="n">
        <v>0</v>
      </c>
      <c r="AI25" t="n">
        <v>0</v>
      </c>
    </row>
    <row r="26">
      <c r="A26" t="inlineStr">
        <is>
          <t>peas</t>
        </is>
      </c>
      <c r="B26" t="inlineStr">
        <is>
          <t>and it equals.</t>
        </is>
      </c>
      <c r="C26" t="n">
        <v>0</v>
      </c>
      <c r="D26" t="n">
        <v>0</v>
      </c>
      <c r="E26" t="n">
        <v>0</v>
      </c>
      <c r="F26" t="n">
        <v>0</v>
      </c>
      <c r="G26" t="n">
        <v>0</v>
      </c>
      <c r="H26" t="n">
        <v>0</v>
      </c>
      <c r="I26" t="n">
        <v>0</v>
      </c>
      <c r="J26" t="n">
        <v>0</v>
      </c>
      <c r="K26" t="n">
        <v>0</v>
      </c>
      <c r="L26" t="n">
        <v>0</v>
      </c>
      <c r="M26" t="n">
        <v>0</v>
      </c>
      <c r="N26" t="n">
        <v>0</v>
      </c>
      <c r="O26" t="n">
        <v>0</v>
      </c>
      <c r="P26" t="n">
        <v>0</v>
      </c>
      <c r="Q26" t="n">
        <v>0</v>
      </c>
      <c r="R26" t="n">
        <v>0</v>
      </c>
      <c r="S26" t="n">
        <v>0</v>
      </c>
      <c r="T26" t="n">
        <v>0</v>
      </c>
      <c r="U26" t="n">
        <v>0</v>
      </c>
      <c r="V26" t="n">
        <v>0</v>
      </c>
      <c r="W26" t="n">
        <v>0</v>
      </c>
      <c r="X26" t="n">
        <v>0</v>
      </c>
      <c r="Y26" t="n">
        <v>0</v>
      </c>
      <c r="Z26" t="n">
        <v>0</v>
      </c>
      <c r="AA26" t="n">
        <v>0</v>
      </c>
      <c r="AB26" t="n">
        <v>0</v>
      </c>
      <c r="AC26" t="n">
        <v>0</v>
      </c>
      <c r="AD26" t="n">
        <v>0</v>
      </c>
      <c r="AI26" t="n">
        <v>0</v>
      </c>
    </row>
    <row r="27">
      <c r="A27" t="inlineStr">
        <is>
          <t>peas</t>
        </is>
      </c>
      <c r="B27" t="inlineStr">
        <is>
          <t>total</t>
        </is>
      </c>
      <c r="C27" t="n">
        <v>0</v>
      </c>
      <c r="D27" t="n">
        <v>0</v>
      </c>
      <c r="E27" t="n">
        <v>0</v>
      </c>
      <c r="F27" t="n">
        <v>0</v>
      </c>
      <c r="G27" t="n">
        <v>0</v>
      </c>
      <c r="H27" t="n">
        <v>0</v>
      </c>
      <c r="I27" t="n">
        <v>0</v>
      </c>
      <c r="J27" t="n">
        <v>0</v>
      </c>
      <c r="K27" t="n">
        <v>0</v>
      </c>
      <c r="L27" t="n">
        <v>0</v>
      </c>
      <c r="M27" t="n">
        <v>0</v>
      </c>
      <c r="N27" t="n">
        <v>0</v>
      </c>
      <c r="O27" t="n">
        <v>0</v>
      </c>
      <c r="P27" t="n">
        <v>0</v>
      </c>
      <c r="Q27" t="n">
        <v>0</v>
      </c>
      <c r="R27" t="n">
        <v>0</v>
      </c>
      <c r="S27" t="n">
        <v>0</v>
      </c>
      <c r="T27" t="n">
        <v>0</v>
      </c>
      <c r="U27" t="n">
        <v>0</v>
      </c>
      <c r="V27" t="n">
        <v>0</v>
      </c>
      <c r="W27" t="n">
        <v>0</v>
      </c>
      <c r="AI27" t="n">
        <v>0</v>
      </c>
    </row>
    <row r="28">
      <c r="A28" t="inlineStr">
        <is>
          <t>barley</t>
        </is>
      </c>
      <c r="B28" t="inlineStr">
        <is>
          <t>the same answers for 1 quarter 2 bushels of barley received from issue of the grange of esher, threshed by piecework, razed measure, by tally against the said prior.</t>
        </is>
      </c>
      <c r="C28" t="n">
        <v>0</v>
      </c>
      <c r="D28" t="n">
        <v>0</v>
      </c>
      <c r="E28" t="n">
        <v>0</v>
      </c>
      <c r="F28" t="n">
        <v>0</v>
      </c>
      <c r="G28" t="n">
        <v>0</v>
      </c>
      <c r="H28" t="n">
        <v>0</v>
      </c>
      <c r="I28" t="n">
        <v>0</v>
      </c>
      <c r="J28" t="n">
        <v>0</v>
      </c>
      <c r="K28" t="n">
        <v>0</v>
      </c>
      <c r="L28" t="n">
        <v>0</v>
      </c>
      <c r="M28" t="n">
        <v>0</v>
      </c>
      <c r="N28" t="n">
        <v>0</v>
      </c>
      <c r="O28" t="n">
        <v>0</v>
      </c>
      <c r="P28" t="n">
        <v>0</v>
      </c>
      <c r="Q28" t="n">
        <v>0</v>
      </c>
      <c r="R28" t="n">
        <v>0</v>
      </c>
      <c r="S28" t="n">
        <v>0</v>
      </c>
      <c r="T28" t="n">
        <v>0</v>
      </c>
      <c r="U28" t="n">
        <v>0</v>
      </c>
      <c r="V28" t="n">
        <v>0</v>
      </c>
      <c r="W28" t="n">
        <v>0</v>
      </c>
      <c r="X28" t="n">
        <v>0</v>
      </c>
      <c r="Y28" t="n">
        <v>2</v>
      </c>
      <c r="Z28" t="n">
        <v>0.25</v>
      </c>
      <c r="AA28" t="n">
        <v>0.25</v>
      </c>
      <c r="AB28" t="n">
        <v>0</v>
      </c>
      <c r="AC28" t="n">
        <v>0</v>
      </c>
      <c r="AD28" t="n">
        <v>2</v>
      </c>
      <c r="AI28" t="n">
        <v>0</v>
      </c>
    </row>
    <row r="29">
      <c r="A29" t="inlineStr">
        <is>
          <t>barley</t>
        </is>
      </c>
      <c r="B29" t="inlineStr">
        <is>
          <t>sum 1 quarter 2 bushels.</t>
        </is>
      </c>
      <c r="C29" t="n">
        <v>0</v>
      </c>
      <c r="D29" t="n">
        <v>0</v>
      </c>
      <c r="E29" t="n">
        <v>0</v>
      </c>
      <c r="F29" t="n">
        <v>0</v>
      </c>
      <c r="G29" t="n">
        <v>0</v>
      </c>
      <c r="H29" t="n">
        <v>0</v>
      </c>
      <c r="I29" t="n">
        <v>0</v>
      </c>
      <c r="J29" t="n">
        <v>0</v>
      </c>
      <c r="K29" t="n">
        <v>0</v>
      </c>
      <c r="L29" t="n">
        <v>0</v>
      </c>
      <c r="M29" t="n">
        <v>0</v>
      </c>
      <c r="N29" t="n">
        <v>0</v>
      </c>
      <c r="O29" t="n">
        <v>0</v>
      </c>
      <c r="P29" t="n">
        <v>0</v>
      </c>
      <c r="Q29" t="n">
        <v>0</v>
      </c>
      <c r="R29" t="n">
        <v>0</v>
      </c>
      <c r="S29" t="n">
        <v>0</v>
      </c>
      <c r="T29" t="n">
        <v>0</v>
      </c>
      <c r="U29" t="n">
        <v>0</v>
      </c>
      <c r="V29" t="n">
        <v>0</v>
      </c>
      <c r="W29" t="n">
        <v>0</v>
      </c>
      <c r="X29" t="n">
        <v>0</v>
      </c>
      <c r="Y29" t="n">
        <v>2</v>
      </c>
      <c r="Z29" t="n">
        <v>0.25</v>
      </c>
      <c r="AA29" t="n">
        <v>0.25</v>
      </c>
      <c r="AB29" t="n">
        <v>0</v>
      </c>
      <c r="AC29" t="n">
        <v>0</v>
      </c>
      <c r="AD29" t="n">
        <v>2</v>
      </c>
      <c r="AI29" t="n">
        <v>0</v>
      </c>
    </row>
    <row r="30">
      <c r="A30" t="inlineStr">
        <is>
          <t>barley</t>
        </is>
      </c>
      <c r="B30" t="inlineStr">
        <is>
          <t>of which accounted for as sold 1 quarter 1 bushel 3 pecks, the eighth bushel heaped.</t>
        </is>
      </c>
      <c r="C30" t="n">
        <v>0</v>
      </c>
      <c r="D30" t="n">
        <v>0</v>
      </c>
      <c r="E30" t="n">
        <v>0</v>
      </c>
      <c r="F30" t="n">
        <v>0</v>
      </c>
      <c r="G30" t="n">
        <v>0</v>
      </c>
      <c r="H30" t="n">
        <v>0</v>
      </c>
      <c r="I30" t="n">
        <v>0</v>
      </c>
      <c r="J30" t="n">
        <v>0</v>
      </c>
      <c r="K30" t="n">
        <v>0</v>
      </c>
      <c r="L30" t="n">
        <v>0</v>
      </c>
      <c r="M30" t="n">
        <v>0</v>
      </c>
      <c r="N30" t="n">
        <v>0</v>
      </c>
      <c r="O30" t="n">
        <v>0</v>
      </c>
      <c r="P30" t="n">
        <v>0</v>
      </c>
      <c r="Q30" t="n">
        <v>0</v>
      </c>
      <c r="R30" t="n">
        <v>0</v>
      </c>
      <c r="S30" t="n">
        <v>0</v>
      </c>
      <c r="T30" t="n">
        <v>0</v>
      </c>
      <c r="U30" t="n">
        <v>0</v>
      </c>
      <c r="V30" t="n">
        <v>0</v>
      </c>
      <c r="W30" t="n">
        <v>0</v>
      </c>
      <c r="X30" t="n">
        <v>0</v>
      </c>
      <c r="Y30" t="n">
        <v>0</v>
      </c>
      <c r="Z30" t="n">
        <v>0</v>
      </c>
      <c r="AA30" t="n">
        <v>0</v>
      </c>
      <c r="AB30" t="n">
        <v>0</v>
      </c>
      <c r="AC30" t="n">
        <v>0</v>
      </c>
      <c r="AD30" t="n">
        <v>0</v>
      </c>
      <c r="AI30" t="n">
        <v>0</v>
      </c>
    </row>
    <row r="31">
      <c r="A31" t="inlineStr">
        <is>
          <t>barley</t>
        </is>
      </c>
      <c r="B31" t="inlineStr">
        <is>
          <t>a heap given for the same 1 peck.</t>
        </is>
      </c>
      <c r="C31" t="n">
        <v>0</v>
      </c>
      <c r="D31" t="n">
        <v>0</v>
      </c>
      <c r="E31" t="n">
        <v>0</v>
      </c>
      <c r="F31" t="n">
        <v>0</v>
      </c>
      <c r="G31" t="n">
        <v>0</v>
      </c>
      <c r="H31" t="n">
        <v>0</v>
      </c>
      <c r="I31" t="n">
        <v>0</v>
      </c>
      <c r="J31" t="n">
        <v>0</v>
      </c>
      <c r="K31" t="n">
        <v>0</v>
      </c>
      <c r="L31" t="n">
        <v>0</v>
      </c>
      <c r="M31" t="n">
        <v>0</v>
      </c>
      <c r="N31" t="n">
        <v>0</v>
      </c>
      <c r="O31" t="n">
        <v>0</v>
      </c>
      <c r="P31" t="n">
        <v>0</v>
      </c>
      <c r="Q31" t="n">
        <v>0</v>
      </c>
      <c r="R31" t="n">
        <v>0</v>
      </c>
      <c r="S31" t="n">
        <v>0</v>
      </c>
      <c r="T31" t="n">
        <v>0</v>
      </c>
      <c r="U31" t="n">
        <v>0</v>
      </c>
      <c r="V31" t="n">
        <v>0</v>
      </c>
      <c r="W31" t="n">
        <v>0</v>
      </c>
      <c r="X31" t="n">
        <v>0</v>
      </c>
      <c r="Y31" t="n">
        <v>0</v>
      </c>
      <c r="Z31" t="n">
        <v>0</v>
      </c>
      <c r="AA31" t="n">
        <v>0</v>
      </c>
      <c r="AB31" t="n">
        <v>0</v>
      </c>
      <c r="AC31" t="n">
        <v>0</v>
      </c>
      <c r="AD31" t="n">
        <v>0</v>
      </c>
      <c r="AI31" t="n">
        <v>0</v>
      </c>
    </row>
    <row r="32">
      <c r="A32" t="inlineStr">
        <is>
          <t>barley</t>
        </is>
      </c>
      <c r="B32" t="inlineStr">
        <is>
          <t>sum as above.</t>
        </is>
      </c>
      <c r="C32" t="n">
        <v>0</v>
      </c>
      <c r="D32" t="n">
        <v>0</v>
      </c>
      <c r="E32" t="n">
        <v>0</v>
      </c>
      <c r="F32" t="n">
        <v>0</v>
      </c>
      <c r="G32" t="n">
        <v>0</v>
      </c>
      <c r="H32" t="n">
        <v>0</v>
      </c>
      <c r="I32" t="n">
        <v>0</v>
      </c>
      <c r="J32" t="n">
        <v>0</v>
      </c>
      <c r="K32" t="n">
        <v>0</v>
      </c>
      <c r="L32" t="n">
        <v>0</v>
      </c>
      <c r="M32" t="n">
        <v>0</v>
      </c>
      <c r="N32" t="n">
        <v>0</v>
      </c>
      <c r="O32" t="n">
        <v>0</v>
      </c>
      <c r="P32" t="n">
        <v>0</v>
      </c>
      <c r="Q32" t="n">
        <v>0</v>
      </c>
      <c r="R32" t="n">
        <v>0</v>
      </c>
      <c r="S32" t="n">
        <v>0</v>
      </c>
      <c r="T32" t="n">
        <v>0</v>
      </c>
      <c r="U32" t="n">
        <v>0</v>
      </c>
      <c r="V32" t="n">
        <v>0</v>
      </c>
      <c r="W32" t="n">
        <v>0</v>
      </c>
      <c r="X32" t="n">
        <v>0</v>
      </c>
      <c r="Y32" t="n">
        <v>0</v>
      </c>
      <c r="Z32" t="n">
        <v>0</v>
      </c>
      <c r="AA32" t="n">
        <v>0</v>
      </c>
      <c r="AB32" t="n">
        <v>0</v>
      </c>
      <c r="AC32" t="n">
        <v>0</v>
      </c>
      <c r="AD32" t="n">
        <v>0</v>
      </c>
      <c r="AI32" t="n">
        <v>0</v>
      </c>
    </row>
    <row r="33">
      <c r="A33" t="inlineStr">
        <is>
          <t>barley</t>
        </is>
      </c>
      <c r="B33" t="inlineStr">
        <is>
          <t>and it equals.</t>
        </is>
      </c>
      <c r="C33" t="n">
        <v>0</v>
      </c>
      <c r="D33" t="n">
        <v>0</v>
      </c>
      <c r="E33" t="n">
        <v>0</v>
      </c>
      <c r="F33" t="n">
        <v>0</v>
      </c>
      <c r="G33" t="n">
        <v>0</v>
      </c>
      <c r="H33" t="n">
        <v>0</v>
      </c>
      <c r="I33" t="n">
        <v>0</v>
      </c>
      <c r="J33" t="n">
        <v>0</v>
      </c>
      <c r="K33" t="n">
        <v>0</v>
      </c>
      <c r="L33" t="n">
        <v>0</v>
      </c>
      <c r="M33" t="n">
        <v>0</v>
      </c>
      <c r="N33" t="n">
        <v>0</v>
      </c>
      <c r="O33" t="n">
        <v>0</v>
      </c>
      <c r="P33" t="n">
        <v>0</v>
      </c>
      <c r="Q33" t="n">
        <v>0</v>
      </c>
      <c r="R33" t="n">
        <v>0</v>
      </c>
      <c r="S33" t="n">
        <v>0</v>
      </c>
      <c r="T33" t="n">
        <v>0</v>
      </c>
      <c r="U33" t="n">
        <v>0</v>
      </c>
      <c r="V33" t="n">
        <v>0</v>
      </c>
      <c r="W33" t="n">
        <v>0</v>
      </c>
      <c r="X33" t="n">
        <v>0</v>
      </c>
      <c r="Y33" t="n">
        <v>0</v>
      </c>
      <c r="Z33" t="n">
        <v>0</v>
      </c>
      <c r="AA33" t="n">
        <v>0</v>
      </c>
      <c r="AB33" t="n">
        <v>0</v>
      </c>
      <c r="AC33" t="n">
        <v>0</v>
      </c>
      <c r="AD33" t="n">
        <v>0</v>
      </c>
      <c r="AI33" t="n">
        <v>0</v>
      </c>
    </row>
    <row r="34">
      <c r="A34" t="inlineStr">
        <is>
          <t>barley</t>
        </is>
      </c>
      <c r="B34" t="inlineStr">
        <is>
          <t>--- page 8 ---.</t>
        </is>
      </c>
      <c r="C34" t="n">
        <v>0</v>
      </c>
      <c r="D34" t="n">
        <v>0</v>
      </c>
      <c r="E34" t="n">
        <v>0</v>
      </c>
      <c r="F34" t="n">
        <v>0</v>
      </c>
      <c r="G34" t="n">
        <v>0</v>
      </c>
      <c r="H34" t="n">
        <v>0</v>
      </c>
      <c r="I34" t="n">
        <v>0</v>
      </c>
      <c r="J34" t="n">
        <v>0</v>
      </c>
      <c r="K34" t="n">
        <v>0</v>
      </c>
      <c r="L34" t="n">
        <v>0</v>
      </c>
      <c r="M34" t="n">
        <v>0</v>
      </c>
      <c r="N34" t="n">
        <v>0</v>
      </c>
      <c r="O34" t="n">
        <v>0</v>
      </c>
      <c r="P34" t="n">
        <v>0</v>
      </c>
      <c r="Q34" t="n">
        <v>0</v>
      </c>
      <c r="R34" t="n">
        <v>0</v>
      </c>
      <c r="S34" t="n">
        <v>0</v>
      </c>
      <c r="T34" t="n">
        <v>0</v>
      </c>
      <c r="U34" t="n">
        <v>0</v>
      </c>
      <c r="V34" t="n">
        <v>0</v>
      </c>
      <c r="W34" t="n">
        <v>0</v>
      </c>
      <c r="X34" t="n">
        <v>0</v>
      </c>
      <c r="Y34" t="n">
        <v>0</v>
      </c>
      <c r="Z34" t="n">
        <v>0</v>
      </c>
      <c r="AA34" t="n">
        <v>0</v>
      </c>
      <c r="AB34" t="n">
        <v>0</v>
      </c>
      <c r="AC34" t="n">
        <v>0</v>
      </c>
      <c r="AD34" t="n">
        <v>0</v>
      </c>
      <c r="AI34" t="n">
        <v>0</v>
      </c>
    </row>
    <row r="35">
      <c r="A35" t="inlineStr">
        <is>
          <t>barley</t>
        </is>
      </c>
      <c r="B35" t="inlineStr">
        <is>
          <t>total</t>
        </is>
      </c>
      <c r="C35" t="n">
        <v>0</v>
      </c>
      <c r="D35" t="n">
        <v>0</v>
      </c>
      <c r="E35" t="n">
        <v>0</v>
      </c>
      <c r="F35" t="n">
        <v>0</v>
      </c>
      <c r="G35" t="n">
        <v>0</v>
      </c>
      <c r="H35" t="n">
        <v>0</v>
      </c>
      <c r="I35" t="n">
        <v>0</v>
      </c>
      <c r="J35" t="n">
        <v>0</v>
      </c>
      <c r="K35" t="n">
        <v>0</v>
      </c>
      <c r="L35" t="n">
        <v>0</v>
      </c>
      <c r="M35" t="n">
        <v>0</v>
      </c>
      <c r="N35" t="n">
        <v>0</v>
      </c>
      <c r="O35" t="n">
        <v>0</v>
      </c>
      <c r="P35" t="n">
        <v>0</v>
      </c>
      <c r="Q35" t="n">
        <v>0</v>
      </c>
      <c r="R35" t="n">
        <v>0</v>
      </c>
      <c r="S35" t="n">
        <v>0</v>
      </c>
      <c r="T35" t="n">
        <v>0</v>
      </c>
      <c r="U35" t="n">
        <v>0</v>
      </c>
      <c r="V35" t="n">
        <v>0</v>
      </c>
      <c r="W35" t="n">
        <v>0</v>
      </c>
      <c r="AI35" t="n">
        <v>0</v>
      </c>
    </row>
    <row r="36">
      <c r="A36" t="inlineStr">
        <is>
          <t>oats</t>
        </is>
      </c>
      <c r="B36" t="inlineStr">
        <is>
          <t>the same answers for 9 quarters 2 bushels of large oats received from issue of the grange of esher threshed by piecework, razed measure, by one tally against the same prior.</t>
        </is>
      </c>
      <c r="C36" t="n">
        <v>0</v>
      </c>
      <c r="D36" t="n">
        <v>0</v>
      </c>
      <c r="E36" t="n">
        <v>0</v>
      </c>
      <c r="F36" t="n">
        <v>0</v>
      </c>
      <c r="G36" t="n">
        <v>0</v>
      </c>
      <c r="H36" t="n">
        <v>0</v>
      </c>
      <c r="I36" t="n">
        <v>0</v>
      </c>
      <c r="J36" t="n">
        <v>0</v>
      </c>
      <c r="K36" t="n">
        <v>0</v>
      </c>
      <c r="L36" t="n">
        <v>0</v>
      </c>
      <c r="M36" t="n">
        <v>0</v>
      </c>
      <c r="N36" t="n">
        <v>0</v>
      </c>
      <c r="O36" t="n">
        <v>0</v>
      </c>
      <c r="P36" t="n">
        <v>0</v>
      </c>
      <c r="Q36" t="n">
        <v>0</v>
      </c>
      <c r="R36" t="n">
        <v>0</v>
      </c>
      <c r="S36" t="n">
        <v>0</v>
      </c>
      <c r="T36" t="n">
        <v>0</v>
      </c>
      <c r="U36" t="n">
        <v>0</v>
      </c>
      <c r="V36" t="n">
        <v>0</v>
      </c>
      <c r="W36" t="n">
        <v>0</v>
      </c>
      <c r="X36" t="n">
        <v>9</v>
      </c>
      <c r="Y36" t="n">
        <v>2</v>
      </c>
      <c r="Z36" t="n">
        <v>9.25</v>
      </c>
      <c r="AA36" t="n">
        <v>9.25</v>
      </c>
      <c r="AB36" t="n">
        <v>0</v>
      </c>
      <c r="AC36" t="n">
        <v>9</v>
      </c>
      <c r="AD36" t="n">
        <v>2</v>
      </c>
      <c r="AI36" t="n">
        <v>0</v>
      </c>
    </row>
    <row r="37">
      <c r="A37" t="inlineStr">
        <is>
          <t>oats</t>
        </is>
      </c>
      <c r="B37" t="inlineStr">
        <is>
          <t>and for 35 quarters 1 bushel of oats received from issue of the granges of esher and northwode, threshed by piecework, razed measure, by the same tally, of which at northwode 16 quarters.</t>
        </is>
      </c>
      <c r="C37" t="n">
        <v>0</v>
      </c>
      <c r="D37" t="n">
        <v>0</v>
      </c>
      <c r="E37" t="n">
        <v>0</v>
      </c>
      <c r="F37" t="n">
        <v>0</v>
      </c>
      <c r="G37" t="n">
        <v>0</v>
      </c>
      <c r="H37" t="n">
        <v>0</v>
      </c>
      <c r="I37" t="n">
        <v>0</v>
      </c>
      <c r="J37" t="n">
        <v>0</v>
      </c>
      <c r="K37" t="n">
        <v>0</v>
      </c>
      <c r="L37" t="n">
        <v>0</v>
      </c>
      <c r="M37" t="n">
        <v>0</v>
      </c>
      <c r="N37" t="n">
        <v>0</v>
      </c>
      <c r="O37" t="n">
        <v>0</v>
      </c>
      <c r="P37" t="n">
        <v>0</v>
      </c>
      <c r="Q37" t="n">
        <v>0</v>
      </c>
      <c r="R37" t="n">
        <v>0</v>
      </c>
      <c r="S37" t="n">
        <v>0</v>
      </c>
      <c r="T37" t="n">
        <v>0</v>
      </c>
      <c r="U37" t="n">
        <v>0</v>
      </c>
      <c r="V37" t="n">
        <v>0</v>
      </c>
      <c r="W37" t="n">
        <v>0</v>
      </c>
      <c r="X37" t="n">
        <v>16</v>
      </c>
      <c r="Y37" t="n">
        <v>0</v>
      </c>
      <c r="Z37" t="n">
        <v>16</v>
      </c>
      <c r="AA37" t="n">
        <v>35</v>
      </c>
      <c r="AB37" t="n">
        <v>-19</v>
      </c>
      <c r="AC37" t="n">
        <v>35</v>
      </c>
      <c r="AD37" t="n">
        <v>0</v>
      </c>
      <c r="AE37" t="n">
        <v>16</v>
      </c>
      <c r="AF37" t="n">
        <v>0</v>
      </c>
      <c r="AI37" t="n">
        <v>0</v>
      </c>
    </row>
    <row r="38">
      <c r="A38" t="inlineStr">
        <is>
          <t>oats</t>
        </is>
      </c>
      <c r="B38" t="inlineStr">
        <is>
          <t>and for 1 quarter of small oats received in three shocks of sheaves by estimation from the same issue for fodder for the oxen, a shock containing 15 sheaves.</t>
        </is>
      </c>
      <c r="C38" t="n">
        <v>0</v>
      </c>
      <c r="D38" t="n">
        <v>0</v>
      </c>
      <c r="E38" t="n">
        <v>0</v>
      </c>
      <c r="F38" t="n">
        <v>0</v>
      </c>
      <c r="G38" t="n">
        <v>0</v>
      </c>
      <c r="H38" t="n">
        <v>0</v>
      </c>
      <c r="I38" t="n">
        <v>0</v>
      </c>
      <c r="J38" t="n">
        <v>0</v>
      </c>
      <c r="K38" t="n">
        <v>0</v>
      </c>
      <c r="L38" t="n">
        <v>0</v>
      </c>
      <c r="M38" t="n">
        <v>0</v>
      </c>
      <c r="N38" t="n">
        <v>0</v>
      </c>
      <c r="O38" t="n">
        <v>0</v>
      </c>
      <c r="P38" t="n">
        <v>0</v>
      </c>
      <c r="Q38" t="n">
        <v>0</v>
      </c>
      <c r="R38" t="n">
        <v>0</v>
      </c>
      <c r="S38" t="n">
        <v>0</v>
      </c>
      <c r="T38" t="n">
        <v>0</v>
      </c>
      <c r="U38" t="n">
        <v>0</v>
      </c>
      <c r="V38" t="n">
        <v>0</v>
      </c>
      <c r="W38" t="n">
        <v>0</v>
      </c>
      <c r="X38" t="n">
        <v>0</v>
      </c>
      <c r="Y38" t="n">
        <v>0</v>
      </c>
      <c r="Z38" t="n">
        <v>0</v>
      </c>
      <c r="AA38" t="n">
        <v>0</v>
      </c>
      <c r="AB38" t="n">
        <v>0</v>
      </c>
      <c r="AC38" t="n">
        <v>0</v>
      </c>
      <c r="AD38" t="n">
        <v>0</v>
      </c>
      <c r="AI38" t="n">
        <v>0</v>
      </c>
    </row>
    <row r="39">
      <c r="A39" t="inlineStr">
        <is>
          <t>oats</t>
        </is>
      </c>
      <c r="B39" t="inlineStr">
        <is>
          <t>and for 1 quarter of oats bought, the eighth bushel heaped.</t>
        </is>
      </c>
      <c r="C39" t="n">
        <v>0</v>
      </c>
      <c r="D39" t="n">
        <v>0</v>
      </c>
      <c r="E39" t="n">
        <v>0</v>
      </c>
      <c r="F39" t="n">
        <v>0</v>
      </c>
      <c r="G39" t="n">
        <v>0</v>
      </c>
      <c r="H39" t="n">
        <v>0</v>
      </c>
      <c r="I39" t="n">
        <v>0</v>
      </c>
      <c r="J39" t="n">
        <v>0</v>
      </c>
      <c r="K39" t="n">
        <v>0</v>
      </c>
      <c r="L39" t="n">
        <v>0</v>
      </c>
      <c r="M39" t="n">
        <v>0</v>
      </c>
      <c r="N39" t="n">
        <v>0</v>
      </c>
      <c r="O39" t="n">
        <v>0</v>
      </c>
      <c r="P39" t="n">
        <v>0</v>
      </c>
      <c r="Q39" t="n">
        <v>0</v>
      </c>
      <c r="R39" t="n">
        <v>0</v>
      </c>
      <c r="S39" t="n">
        <v>0</v>
      </c>
      <c r="T39" t="n">
        <v>0</v>
      </c>
      <c r="U39" t="n">
        <v>0</v>
      </c>
      <c r="V39" t="n">
        <v>0</v>
      </c>
      <c r="W39" t="n">
        <v>0</v>
      </c>
      <c r="X39" t="n">
        <v>0</v>
      </c>
      <c r="Y39" t="n">
        <v>0</v>
      </c>
      <c r="Z39" t="n">
        <v>0</v>
      </c>
      <c r="AA39" t="n">
        <v>0</v>
      </c>
      <c r="AB39" t="n">
        <v>0</v>
      </c>
      <c r="AC39" t="n">
        <v>0</v>
      </c>
      <c r="AD39" t="n">
        <v>0</v>
      </c>
      <c r="AI39" t="n">
        <v>0</v>
      </c>
    </row>
    <row r="40">
      <c r="A40" t="inlineStr">
        <is>
          <t>oats</t>
        </is>
      </c>
      <c r="B40" t="inlineStr">
        <is>
          <t>and for 1 peck from increment for the heap.</t>
        </is>
      </c>
      <c r="C40" t="n">
        <v>0</v>
      </c>
      <c r="D40" t="n">
        <v>0</v>
      </c>
      <c r="E40" t="n">
        <v>0</v>
      </c>
      <c r="F40" t="n">
        <v>0</v>
      </c>
      <c r="G40" t="n">
        <v>0</v>
      </c>
      <c r="H40" t="n">
        <v>0</v>
      </c>
      <c r="I40" t="n">
        <v>0</v>
      </c>
      <c r="J40" t="n">
        <v>0</v>
      </c>
      <c r="K40" t="n">
        <v>0</v>
      </c>
      <c r="L40" t="n">
        <v>0</v>
      </c>
      <c r="M40" t="n">
        <v>0</v>
      </c>
      <c r="N40" t="n">
        <v>0</v>
      </c>
      <c r="O40" t="n">
        <v>0</v>
      </c>
      <c r="P40" t="n">
        <v>0</v>
      </c>
      <c r="Q40" t="n">
        <v>0</v>
      </c>
      <c r="R40" t="n">
        <v>0</v>
      </c>
      <c r="S40" t="n">
        <v>0</v>
      </c>
      <c r="T40" t="n">
        <v>0</v>
      </c>
      <c r="U40" t="n">
        <v>0</v>
      </c>
      <c r="V40" t="n">
        <v>0</v>
      </c>
      <c r="W40" t="n">
        <v>0</v>
      </c>
      <c r="X40" t="n">
        <v>0</v>
      </c>
      <c r="Y40" t="n">
        <v>0</v>
      </c>
      <c r="Z40" t="n">
        <v>0</v>
      </c>
      <c r="AA40" t="n">
        <v>0</v>
      </c>
      <c r="AB40" t="n">
        <v>0</v>
      </c>
      <c r="AC40" t="n">
        <v>0</v>
      </c>
      <c r="AD40" t="n">
        <v>0</v>
      </c>
      <c r="AI40" t="n">
        <v>0</v>
      </c>
    </row>
    <row r="41">
      <c r="A41" t="inlineStr">
        <is>
          <t>oats</t>
        </is>
      </c>
      <c r="B41" t="inlineStr">
        <is>
          <t>and for 1 quarter 1½ bushels from increment.</t>
        </is>
      </c>
      <c r="C41" t="n">
        <v>0</v>
      </c>
      <c r="D41" t="n">
        <v>0</v>
      </c>
      <c r="E41" t="n">
        <v>0</v>
      </c>
      <c r="F41" t="n">
        <v>0</v>
      </c>
      <c r="G41" t="n">
        <v>0</v>
      </c>
      <c r="H41" t="n">
        <v>0</v>
      </c>
      <c r="I41" t="n">
        <v>0</v>
      </c>
      <c r="J41" t="n">
        <v>0</v>
      </c>
      <c r="K41" t="n">
        <v>0</v>
      </c>
      <c r="L41" t="n">
        <v>0</v>
      </c>
      <c r="M41" t="n">
        <v>0</v>
      </c>
      <c r="N41" t="n">
        <v>0</v>
      </c>
      <c r="O41" t="n">
        <v>0</v>
      </c>
      <c r="P41" t="n">
        <v>0</v>
      </c>
      <c r="Q41" t="n">
        <v>0</v>
      </c>
      <c r="R41" t="n">
        <v>0</v>
      </c>
      <c r="S41" t="n">
        <v>0</v>
      </c>
      <c r="T41" t="n">
        <v>0</v>
      </c>
      <c r="U41" t="n">
        <v>0</v>
      </c>
      <c r="V41" t="n">
        <v>0</v>
      </c>
      <c r="W41" t="n">
        <v>0</v>
      </c>
      <c r="X41" t="n">
        <v>0</v>
      </c>
      <c r="Y41" t="n">
        <v>0</v>
      </c>
      <c r="Z41" t="n">
        <v>0</v>
      </c>
      <c r="AA41" t="n">
        <v>0</v>
      </c>
      <c r="AB41" t="n">
        <v>0</v>
      </c>
      <c r="AC41" t="n">
        <v>0</v>
      </c>
      <c r="AD41" t="n">
        <v>0</v>
      </c>
      <c r="AI41" t="n">
        <v>0</v>
      </c>
    </row>
    <row r="42">
      <c r="A42" t="inlineStr">
        <is>
          <t>oats</t>
        </is>
      </c>
      <c r="B42" t="inlineStr">
        <is>
          <t>sum 47 quarters 3 bushels 3 pecks.</t>
        </is>
      </c>
      <c r="C42" t="n">
        <v>0</v>
      </c>
      <c r="D42" t="n">
        <v>0</v>
      </c>
      <c r="E42" t="n">
        <v>0</v>
      </c>
      <c r="F42" t="n">
        <v>0</v>
      </c>
      <c r="G42" t="n">
        <v>0</v>
      </c>
      <c r="H42" t="n">
        <v>0</v>
      </c>
      <c r="I42" t="n">
        <v>0</v>
      </c>
      <c r="J42" t="n">
        <v>0</v>
      </c>
      <c r="K42" t="n">
        <v>0</v>
      </c>
      <c r="L42" t="n">
        <v>0</v>
      </c>
      <c r="M42" t="n">
        <v>0</v>
      </c>
      <c r="N42" t="n">
        <v>0</v>
      </c>
      <c r="O42" t="n">
        <v>0</v>
      </c>
      <c r="P42" t="n">
        <v>0</v>
      </c>
      <c r="Q42" t="n">
        <v>0</v>
      </c>
      <c r="R42" t="n">
        <v>0</v>
      </c>
      <c r="S42" t="n">
        <v>0</v>
      </c>
      <c r="T42" t="n">
        <v>0</v>
      </c>
      <c r="U42" t="n">
        <v>0</v>
      </c>
      <c r="V42" t="n">
        <v>0</v>
      </c>
      <c r="W42" t="n">
        <v>0</v>
      </c>
      <c r="X42" t="n">
        <v>47</v>
      </c>
      <c r="Y42" t="n">
        <v>3</v>
      </c>
      <c r="Z42" t="n">
        <v>47.38</v>
      </c>
      <c r="AA42" t="n">
        <v>47.38</v>
      </c>
      <c r="AB42" t="n">
        <v>0</v>
      </c>
      <c r="AC42" t="n">
        <v>47</v>
      </c>
      <c r="AD42" t="n">
        <v>3</v>
      </c>
      <c r="AI42" t="n">
        <v>0</v>
      </c>
    </row>
    <row r="43">
      <c r="A43" t="inlineStr">
        <is>
          <t>oats</t>
        </is>
      </c>
      <c r="B43" t="inlineStr">
        <is>
          <t>the same accounts in seed over 26 acres 3 roods of land at esher and over 20 acres 3 roods at northwode 25 quarters 6 bushels, of which 7 quarters was large oats, thus an acre takes 4½ bushels.</t>
        </is>
      </c>
      <c r="C43" t="n">
        <v>0</v>
      </c>
      <c r="D43" t="n">
        <v>0</v>
      </c>
      <c r="E43" t="n">
        <v>0</v>
      </c>
      <c r="F43" t="n">
        <v>0</v>
      </c>
      <c r="G43" t="n">
        <v>0</v>
      </c>
      <c r="H43" t="n">
        <v>0</v>
      </c>
      <c r="I43" t="n">
        <v>0</v>
      </c>
      <c r="J43" t="n">
        <v>0</v>
      </c>
      <c r="K43" t="n">
        <v>0</v>
      </c>
      <c r="L43" t="n">
        <v>0</v>
      </c>
      <c r="M43" t="n">
        <v>0</v>
      </c>
      <c r="N43" t="n">
        <v>0</v>
      </c>
      <c r="O43" t="n">
        <v>0</v>
      </c>
      <c r="P43" t="n">
        <v>0</v>
      </c>
      <c r="Q43" t="n">
        <v>0</v>
      </c>
      <c r="R43" t="n">
        <v>0</v>
      </c>
      <c r="S43" t="n">
        <v>0</v>
      </c>
      <c r="T43" t="n">
        <v>0</v>
      </c>
      <c r="U43" t="n">
        <v>0</v>
      </c>
      <c r="V43" t="n">
        <v>0</v>
      </c>
      <c r="W43" t="n">
        <v>0</v>
      </c>
      <c r="X43" t="n">
        <v>7</v>
      </c>
      <c r="Y43" t="n">
        <v>6</v>
      </c>
      <c r="Z43" t="n">
        <v>7.75</v>
      </c>
      <c r="AA43" t="n">
        <v>25.75</v>
      </c>
      <c r="AB43" t="n">
        <v>-18</v>
      </c>
      <c r="AC43" t="n">
        <v>25</v>
      </c>
      <c r="AD43" t="n">
        <v>6</v>
      </c>
      <c r="AE43" t="n">
        <v>7</v>
      </c>
      <c r="AF43" t="n">
        <v>0</v>
      </c>
      <c r="AI43" t="n">
        <v>0</v>
      </c>
    </row>
    <row r="44">
      <c r="A44" t="inlineStr">
        <is>
          <t>oats</t>
        </is>
      </c>
      <c r="B44" t="inlineStr">
        <is>
          <t>flour made for pottage for the manorial famuli for the year 1 quarter 6 bushels.</t>
        </is>
      </c>
      <c r="C44" t="n">
        <v>0</v>
      </c>
      <c r="D44" t="n">
        <v>0</v>
      </c>
      <c r="E44" t="n">
        <v>0</v>
      </c>
      <c r="F44" t="n">
        <v>0</v>
      </c>
      <c r="G44" t="n">
        <v>0</v>
      </c>
      <c r="H44" t="n">
        <v>0</v>
      </c>
      <c r="I44" t="n">
        <v>0</v>
      </c>
      <c r="J44" t="n">
        <v>0</v>
      </c>
      <c r="K44" t="n">
        <v>0</v>
      </c>
      <c r="L44" t="n">
        <v>0</v>
      </c>
      <c r="M44" t="n">
        <v>0</v>
      </c>
      <c r="N44" t="n">
        <v>0</v>
      </c>
      <c r="O44" t="n">
        <v>0</v>
      </c>
      <c r="P44" t="n">
        <v>0</v>
      </c>
      <c r="Q44" t="n">
        <v>0</v>
      </c>
      <c r="R44" t="n">
        <v>0</v>
      </c>
      <c r="S44" t="n">
        <v>0</v>
      </c>
      <c r="T44" t="n">
        <v>0</v>
      </c>
      <c r="U44" t="n">
        <v>0</v>
      </c>
      <c r="V44" t="n">
        <v>0</v>
      </c>
      <c r="W44" t="n">
        <v>0</v>
      </c>
      <c r="X44" t="n">
        <v>0</v>
      </c>
      <c r="Y44" t="n">
        <v>6</v>
      </c>
      <c r="Z44" t="n">
        <v>0.75</v>
      </c>
      <c r="AA44" t="n">
        <v>0.75</v>
      </c>
      <c r="AB44" t="n">
        <v>0</v>
      </c>
      <c r="AC44" t="n">
        <v>0</v>
      </c>
      <c r="AD44" t="n">
        <v>6</v>
      </c>
      <c r="AI44" t="n">
        <v>0</v>
      </c>
    </row>
    <row r="45">
      <c r="A45" t="inlineStr">
        <is>
          <t>oats</t>
        </is>
      </c>
      <c r="B45" t="inlineStr">
        <is>
          <t>fodder for 2 cart horses of the manor in winter at sowing time 1½ quarters this year.</t>
        </is>
      </c>
      <c r="C45" t="n">
        <v>0</v>
      </c>
      <c r="D45" t="n">
        <v>0</v>
      </c>
      <c r="E45" t="n">
        <v>0</v>
      </c>
      <c r="F45" t="n">
        <v>0</v>
      </c>
      <c r="G45" t="n">
        <v>0</v>
      </c>
      <c r="H45" t="n">
        <v>0</v>
      </c>
      <c r="I45" t="n">
        <v>0</v>
      </c>
      <c r="J45" t="n">
        <v>0</v>
      </c>
      <c r="K45" t="n">
        <v>0</v>
      </c>
      <c r="L45" t="n">
        <v>0</v>
      </c>
      <c r="M45" t="n">
        <v>0</v>
      </c>
      <c r="N45" t="n">
        <v>0</v>
      </c>
      <c r="O45" t="n">
        <v>0</v>
      </c>
      <c r="P45" t="n">
        <v>0</v>
      </c>
      <c r="Q45" t="n">
        <v>0</v>
      </c>
      <c r="R45" t="n">
        <v>0</v>
      </c>
      <c r="S45" t="n">
        <v>0</v>
      </c>
      <c r="T45" t="n">
        <v>0</v>
      </c>
      <c r="U45" t="n">
        <v>0</v>
      </c>
      <c r="V45" t="n">
        <v>0</v>
      </c>
      <c r="W45" t="n">
        <v>0</v>
      </c>
      <c r="X45" t="n">
        <v>0</v>
      </c>
      <c r="Y45" t="n">
        <v>0</v>
      </c>
      <c r="Z45" t="n">
        <v>0</v>
      </c>
      <c r="AA45" t="n">
        <v>0</v>
      </c>
      <c r="AB45" t="n">
        <v>0</v>
      </c>
      <c r="AC45" t="n">
        <v>0</v>
      </c>
      <c r="AD45" t="n">
        <v>0</v>
      </c>
      <c r="AI45" t="n">
        <v>0</v>
      </c>
    </row>
    <row r="46">
      <c r="A46" t="inlineStr">
        <is>
          <t>oats</t>
        </is>
      </c>
      <c r="B46" t="inlineStr">
        <is>
          <t>fodder for 6 oxen ploughing at sowing time in sheaves as above, estimated at 1 quarter.</t>
        </is>
      </c>
      <c r="C46" t="n">
        <v>0</v>
      </c>
      <c r="D46" t="n">
        <v>0</v>
      </c>
      <c r="E46" t="n">
        <v>0</v>
      </c>
      <c r="F46" t="n">
        <v>0</v>
      </c>
      <c r="G46" t="n">
        <v>0</v>
      </c>
      <c r="H46" t="n">
        <v>0</v>
      </c>
      <c r="I46" t="n">
        <v>0</v>
      </c>
      <c r="J46" t="n">
        <v>0</v>
      </c>
      <c r="K46" t="n">
        <v>0</v>
      </c>
      <c r="L46" t="n">
        <v>0</v>
      </c>
      <c r="M46" t="n">
        <v>0</v>
      </c>
      <c r="N46" t="n">
        <v>0</v>
      </c>
      <c r="O46" t="n">
        <v>0</v>
      </c>
      <c r="P46" t="n">
        <v>0</v>
      </c>
      <c r="Q46" t="n">
        <v>0</v>
      </c>
      <c r="R46" t="n">
        <v>0</v>
      </c>
      <c r="S46" t="n">
        <v>0</v>
      </c>
      <c r="T46" t="n">
        <v>0</v>
      </c>
      <c r="U46" t="n">
        <v>0</v>
      </c>
      <c r="V46" t="n">
        <v>0</v>
      </c>
      <c r="W46" t="n">
        <v>0</v>
      </c>
      <c r="X46" t="n">
        <v>0</v>
      </c>
      <c r="Y46" t="n">
        <v>0</v>
      </c>
      <c r="Z46" t="n">
        <v>0</v>
      </c>
      <c r="AA46" t="n">
        <v>0</v>
      </c>
      <c r="AB46" t="n">
        <v>0</v>
      </c>
      <c r="AC46" t="n">
        <v>0</v>
      </c>
      <c r="AD46" t="n">
        <v>0</v>
      </c>
      <c r="AI46" t="n">
        <v>0</v>
      </c>
    </row>
    <row r="47">
      <c r="A47" t="inlineStr">
        <is>
          <t>oats</t>
        </is>
      </c>
      <c r="B47" t="inlineStr">
        <is>
          <t>fodder for the horses of the steward for his coming for holding court and supervising the manor 2 quarters 1½ bushels by tally and sealed bill.</t>
        </is>
      </c>
      <c r="C47" t="n">
        <v>0</v>
      </c>
      <c r="D47" t="n">
        <v>0</v>
      </c>
      <c r="E47" t="n">
        <v>0</v>
      </c>
      <c r="F47" t="n">
        <v>0</v>
      </c>
      <c r="G47" t="n">
        <v>0</v>
      </c>
      <c r="H47" t="n">
        <v>0</v>
      </c>
      <c r="I47" t="n">
        <v>0</v>
      </c>
      <c r="J47" t="n">
        <v>0</v>
      </c>
      <c r="K47" t="n">
        <v>0</v>
      </c>
      <c r="L47" t="n">
        <v>0</v>
      </c>
      <c r="M47" t="n">
        <v>0</v>
      </c>
      <c r="N47" t="n">
        <v>0</v>
      </c>
      <c r="O47" t="n">
        <v>0</v>
      </c>
      <c r="P47" t="n">
        <v>0</v>
      </c>
      <c r="Q47" t="n">
        <v>0</v>
      </c>
      <c r="R47" t="n">
        <v>0</v>
      </c>
      <c r="S47" t="n">
        <v>0</v>
      </c>
      <c r="T47" t="n">
        <v>0</v>
      </c>
      <c r="U47" t="n">
        <v>0</v>
      </c>
      <c r="V47" t="n">
        <v>0</v>
      </c>
      <c r="W47" t="n">
        <v>0</v>
      </c>
      <c r="X47" t="n">
        <v>2</v>
      </c>
      <c r="Y47" t="n">
        <v>0</v>
      </c>
      <c r="Z47" t="n">
        <v>2</v>
      </c>
      <c r="AA47" t="n">
        <v>2</v>
      </c>
      <c r="AB47" t="n">
        <v>0</v>
      </c>
      <c r="AC47" t="n">
        <v>2</v>
      </c>
      <c r="AD47" t="n">
        <v>0</v>
      </c>
      <c r="AI47" t="n">
        <v>0</v>
      </c>
    </row>
    <row r="48">
      <c r="A48" t="inlineStr">
        <is>
          <t>oats</t>
        </is>
      </c>
      <c r="B48" t="inlineStr">
        <is>
          <t>given to the purveyor of the household of the duke of cornwall for taking neither the lord’s oats nor hay within the manor 4 bushels.</t>
        </is>
      </c>
      <c r="C48" t="n">
        <v>0</v>
      </c>
      <c r="D48" t="n">
        <v>0</v>
      </c>
      <c r="E48" t="n">
        <v>0</v>
      </c>
      <c r="F48" t="n">
        <v>0</v>
      </c>
      <c r="G48" t="n">
        <v>0</v>
      </c>
      <c r="H48" t="n">
        <v>0</v>
      </c>
      <c r="I48" t="n">
        <v>0</v>
      </c>
      <c r="J48" t="n">
        <v>0</v>
      </c>
      <c r="K48" t="n">
        <v>0</v>
      </c>
      <c r="L48" t="n">
        <v>0</v>
      </c>
      <c r="M48" t="n">
        <v>0</v>
      </c>
      <c r="N48" t="n">
        <v>0</v>
      </c>
      <c r="O48" t="n">
        <v>0</v>
      </c>
      <c r="P48" t="n">
        <v>0</v>
      </c>
      <c r="Q48" t="n">
        <v>0</v>
      </c>
      <c r="R48" t="n">
        <v>0</v>
      </c>
      <c r="S48" t="n">
        <v>0</v>
      </c>
      <c r="T48" t="n">
        <v>0</v>
      </c>
      <c r="U48" t="n">
        <v>0</v>
      </c>
      <c r="V48" t="n">
        <v>0</v>
      </c>
      <c r="W48" t="n">
        <v>0</v>
      </c>
      <c r="X48" t="n">
        <v>0</v>
      </c>
      <c r="Y48" t="n">
        <v>4</v>
      </c>
      <c r="Z48" t="n">
        <v>0.5</v>
      </c>
      <c r="AA48" t="n">
        <v>0.5</v>
      </c>
      <c r="AB48" t="n">
        <v>0</v>
      </c>
      <c r="AC48" t="n">
        <v>0</v>
      </c>
      <c r="AD48" t="n">
        <v>4</v>
      </c>
      <c r="AI48" t="n">
        <v>0</v>
      </c>
    </row>
    <row r="49">
      <c r="A49" t="inlineStr">
        <is>
          <t>oats</t>
        </is>
      </c>
      <c r="B49" t="inlineStr">
        <is>
          <t>and sold 14 quarters 2½ bushels 1 peck, for the expenses of the lord’s household 3½ quarters, razed measure, and 10 quarters 6½ bushels for the use of earl warenne, residing within the manor for one night, the eighth bushel heaped.</t>
        </is>
      </c>
      <c r="C49" t="n">
        <v>0</v>
      </c>
      <c r="D49" t="n">
        <v>0</v>
      </c>
      <c r="E49" t="n">
        <v>0</v>
      </c>
      <c r="F49" t="n">
        <v>0</v>
      </c>
      <c r="G49" t="n">
        <v>0</v>
      </c>
      <c r="H49" t="n">
        <v>0</v>
      </c>
      <c r="I49" t="n">
        <v>0</v>
      </c>
      <c r="J49" t="n">
        <v>0</v>
      </c>
      <c r="K49" t="n">
        <v>0</v>
      </c>
      <c r="L49" t="n">
        <v>0</v>
      </c>
      <c r="M49" t="n">
        <v>0</v>
      </c>
      <c r="N49" t="n">
        <v>0</v>
      </c>
      <c r="O49" t="n">
        <v>0</v>
      </c>
      <c r="P49" t="n">
        <v>0</v>
      </c>
      <c r="Q49" t="n">
        <v>24</v>
      </c>
      <c r="R49" t="n">
        <v>0</v>
      </c>
      <c r="S49" t="n">
        <v>24</v>
      </c>
      <c r="T49" t="n">
        <v>0</v>
      </c>
      <c r="U49" t="n">
        <v>0</v>
      </c>
      <c r="V49" t="n">
        <v>0</v>
      </c>
      <c r="W49" t="n">
        <v>0</v>
      </c>
      <c r="X49" t="n">
        <v>10</v>
      </c>
      <c r="Y49" t="n">
        <v>0</v>
      </c>
      <c r="Z49" t="n">
        <v>10</v>
      </c>
      <c r="AA49" t="n">
        <v>14</v>
      </c>
      <c r="AB49" t="n">
        <v>-4</v>
      </c>
      <c r="AC49" t="n">
        <v>14</v>
      </c>
      <c r="AD49" t="n">
        <v>0</v>
      </c>
      <c r="AE49" t="n">
        <v>10</v>
      </c>
      <c r="AF49" t="n">
        <v>0</v>
      </c>
      <c r="AI49" t="n">
        <v>0</v>
      </c>
    </row>
    <row r="50">
      <c r="A50" t="inlineStr">
        <is>
          <t>oats</t>
        </is>
      </c>
      <c r="B50" t="inlineStr">
        <is>
          <t>heaps given for the same 2½ bushels.</t>
        </is>
      </c>
      <c r="C50" t="n">
        <v>0</v>
      </c>
      <c r="D50" t="n">
        <v>0</v>
      </c>
      <c r="E50" t="n">
        <v>0</v>
      </c>
      <c r="F50" t="n">
        <v>0</v>
      </c>
      <c r="G50" t="n">
        <v>0</v>
      </c>
      <c r="H50" t="n">
        <v>0</v>
      </c>
      <c r="I50" t="n">
        <v>0</v>
      </c>
      <c r="J50" t="n">
        <v>0</v>
      </c>
      <c r="K50" t="n">
        <v>0</v>
      </c>
      <c r="L50" t="n">
        <v>0</v>
      </c>
      <c r="M50" t="n">
        <v>0</v>
      </c>
      <c r="N50" t="n">
        <v>0</v>
      </c>
      <c r="O50" t="n">
        <v>0</v>
      </c>
      <c r="P50" t="n">
        <v>0</v>
      </c>
      <c r="Q50" t="n">
        <v>0</v>
      </c>
      <c r="R50" t="n">
        <v>0</v>
      </c>
      <c r="S50" t="n">
        <v>0</v>
      </c>
      <c r="T50" t="n">
        <v>0</v>
      </c>
      <c r="U50" t="n">
        <v>0</v>
      </c>
      <c r="V50" t="n">
        <v>0</v>
      </c>
      <c r="W50" t="n">
        <v>0</v>
      </c>
      <c r="X50" t="n">
        <v>0</v>
      </c>
      <c r="Y50" t="n">
        <v>0</v>
      </c>
      <c r="Z50" t="n">
        <v>0</v>
      </c>
      <c r="AA50" t="n">
        <v>0</v>
      </c>
      <c r="AB50" t="n">
        <v>0</v>
      </c>
      <c r="AC50" t="n">
        <v>0</v>
      </c>
      <c r="AD50" t="n">
        <v>0</v>
      </c>
      <c r="AI50" t="n">
        <v>0</v>
      </c>
    </row>
    <row r="51">
      <c r="A51" t="inlineStr">
        <is>
          <t>oats</t>
        </is>
      </c>
      <c r="B51" t="inlineStr">
        <is>
          <t>and at the audit 2 bushels, for 6pence sum as above.</t>
        </is>
      </c>
      <c r="C51" t="n">
        <v>0</v>
      </c>
      <c r="D51" t="n">
        <v>0</v>
      </c>
      <c r="E51" t="n">
        <v>0</v>
      </c>
      <c r="F51" t="n">
        <v>0</v>
      </c>
      <c r="G51" t="n">
        <v>0</v>
      </c>
      <c r="H51" t="n">
        <v>0</v>
      </c>
      <c r="I51" t="n">
        <v>0</v>
      </c>
      <c r="J51" t="n">
        <v>0</v>
      </c>
      <c r="K51" t="n">
        <v>0</v>
      </c>
      <c r="L51" t="n">
        <v>0</v>
      </c>
      <c r="M51" t="n">
        <v>0</v>
      </c>
      <c r="N51" t="n">
        <v>0</v>
      </c>
      <c r="O51" t="n">
        <v>0</v>
      </c>
      <c r="P51" t="n">
        <v>0</v>
      </c>
      <c r="Q51" t="n">
        <v>0</v>
      </c>
      <c r="R51" t="n">
        <v>0</v>
      </c>
      <c r="S51" t="n">
        <v>0</v>
      </c>
      <c r="T51" t="n">
        <v>0</v>
      </c>
      <c r="U51" t="n">
        <v>0</v>
      </c>
      <c r="V51" t="n">
        <v>0</v>
      </c>
      <c r="W51" t="n">
        <v>0</v>
      </c>
      <c r="X51" t="n">
        <v>0</v>
      </c>
      <c r="Y51" t="n">
        <v>2</v>
      </c>
      <c r="Z51" t="n">
        <v>0.25</v>
      </c>
      <c r="AA51" t="n">
        <v>0.25</v>
      </c>
      <c r="AB51" t="n">
        <v>0</v>
      </c>
      <c r="AC51" t="n">
        <v>0</v>
      </c>
      <c r="AD51" t="n">
        <v>2</v>
      </c>
      <c r="AI51" t="n">
        <v>0</v>
      </c>
    </row>
    <row r="52">
      <c r="A52" t="inlineStr">
        <is>
          <t>oats</t>
        </is>
      </c>
      <c r="B52" t="inlineStr">
        <is>
          <t>and it equals.</t>
        </is>
      </c>
      <c r="C52" t="n">
        <v>0</v>
      </c>
      <c r="D52" t="n">
        <v>0</v>
      </c>
      <c r="E52" t="n">
        <v>0</v>
      </c>
      <c r="F52" t="n">
        <v>0</v>
      </c>
      <c r="G52" t="n">
        <v>0</v>
      </c>
      <c r="H52" t="n">
        <v>0</v>
      </c>
      <c r="I52" t="n">
        <v>0</v>
      </c>
      <c r="J52" t="n">
        <v>0</v>
      </c>
      <c r="K52" t="n">
        <v>0</v>
      </c>
      <c r="L52" t="n">
        <v>0</v>
      </c>
      <c r="M52" t="n">
        <v>0</v>
      </c>
      <c r="N52" t="n">
        <v>0</v>
      </c>
      <c r="O52" t="n">
        <v>0</v>
      </c>
      <c r="P52" t="n">
        <v>0</v>
      </c>
      <c r="Q52" t="n">
        <v>0</v>
      </c>
      <c r="R52" t="n">
        <v>0</v>
      </c>
      <c r="S52" t="n">
        <v>0</v>
      </c>
      <c r="T52" t="n">
        <v>0</v>
      </c>
      <c r="U52" t="n">
        <v>0</v>
      </c>
      <c r="V52" t="n">
        <v>0</v>
      </c>
      <c r="W52" t="n">
        <v>0</v>
      </c>
      <c r="X52" t="n">
        <v>0</v>
      </c>
      <c r="Y52" t="n">
        <v>0</v>
      </c>
      <c r="Z52" t="n">
        <v>0</v>
      </c>
      <c r="AA52" t="n">
        <v>0</v>
      </c>
      <c r="AB52" t="n">
        <v>0</v>
      </c>
      <c r="AC52" t="n">
        <v>0</v>
      </c>
      <c r="AD52" t="n">
        <v>0</v>
      </c>
      <c r="AI52" t="n">
        <v>0</v>
      </c>
    </row>
    <row r="53">
      <c r="A53" t="inlineStr">
        <is>
          <t>oats</t>
        </is>
      </c>
      <c r="B53" t="inlineStr">
        <is>
          <t>total</t>
        </is>
      </c>
      <c r="C53" t="n">
        <v>0</v>
      </c>
      <c r="D53" t="n">
        <v>0</v>
      </c>
      <c r="E53" t="n">
        <v>0</v>
      </c>
      <c r="F53" t="n">
        <v>0</v>
      </c>
      <c r="G53" t="n">
        <v>0</v>
      </c>
      <c r="H53" t="n">
        <v>0</v>
      </c>
      <c r="I53" t="n">
        <v>0</v>
      </c>
      <c r="J53" t="n">
        <v>0</v>
      </c>
      <c r="K53" t="n">
        <v>0</v>
      </c>
      <c r="L53" t="n">
        <v>0</v>
      </c>
      <c r="M53" t="n">
        <v>0</v>
      </c>
      <c r="N53" t="n">
        <v>0</v>
      </c>
      <c r="O53" t="n">
        <v>0</v>
      </c>
      <c r="P53" t="n">
        <v>0</v>
      </c>
      <c r="Q53" t="n">
        <v>0</v>
      </c>
      <c r="R53" t="n">
        <v>0</v>
      </c>
      <c r="S53" t="n">
        <v>0</v>
      </c>
      <c r="T53" t="n">
        <v>0</v>
      </c>
      <c r="U53" t="n">
        <v>0</v>
      </c>
      <c r="V53" t="n">
        <v>0</v>
      </c>
      <c r="W53" t="n">
        <v>0</v>
      </c>
      <c r="AI53" t="n">
        <v>0</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Q17"/>
  <sheetViews>
    <sheetView workbookViewId="0">
      <selection activeCell="A1" sqref="A1"/>
    </sheetView>
  </sheetViews>
  <sheetFormatPr baseColWidth="8" defaultRowHeight="15"/>
  <sheetData>
    <row r="1">
      <c r="A1" t="inlineStr">
        <is>
          <t>Gross Output</t>
        </is>
      </c>
      <c r="B1" t="inlineStr">
        <is>
          <t>Bought Only Aggregated</t>
        </is>
      </c>
      <c r="C1" t="inlineStr">
        <is>
          <t>Account Quarters</t>
        </is>
      </c>
      <c r="D1" t="inlineStr">
        <is>
          <t>Account Bushels</t>
        </is>
      </c>
      <c r="E1" t="inlineStr">
        <is>
          <t>Account Total Quarters</t>
        </is>
      </c>
      <c r="F1" t="inlineStr">
        <is>
          <t>Bought in Quarters</t>
        </is>
      </c>
      <c r="G1" t="inlineStr">
        <is>
          <t>Bought in Bushels</t>
        </is>
      </c>
      <c r="H1" t="inlineStr">
        <is>
          <t>Total Bought Quarters</t>
        </is>
      </c>
      <c r="I1" t="inlineStr">
        <is>
          <t>Sold Quarters</t>
        </is>
      </c>
      <c r="J1" t="inlineStr">
        <is>
          <t>Sold Bushels</t>
        </is>
      </c>
      <c r="K1" t="inlineStr">
        <is>
          <t>Sold Total Quarters</t>
        </is>
      </c>
      <c r="L1" t="inlineStr">
        <is>
          <t>Total Corn Quantity</t>
        </is>
      </c>
      <c r="M1" t="inlineStr">
        <is>
          <t>Difference Produced+Bought-Sold</t>
        </is>
      </c>
      <c r="N1" t="inlineStr">
        <is>
          <t>Weighted Average Price per Quarter</t>
        </is>
      </c>
      <c r="O1" t="inlineStr">
        <is>
          <t>Non-Weighted Average Price per Quarter</t>
        </is>
      </c>
      <c r="P1" t="inlineStr">
        <is>
          <t>Value of Total Production weighted</t>
        </is>
      </c>
      <c r="Q1" t="inlineStr">
        <is>
          <t>Value of Total Production unweighted</t>
        </is>
      </c>
    </row>
    <row r="2">
      <c r="A2" t="inlineStr">
        <is>
          <t>expenses of the steward</t>
        </is>
      </c>
      <c r="B2" t="n">
        <v>0</v>
      </c>
      <c r="C2" t="n">
        <v>0</v>
      </c>
      <c r="D2" t="n">
        <v>0</v>
      </c>
      <c r="E2" t="n">
        <v>0</v>
      </c>
      <c r="F2" t="n">
        <v>0</v>
      </c>
      <c r="G2" t="n">
        <v>0</v>
      </c>
      <c r="H2" t="n">
        <v>0</v>
      </c>
      <c r="I2" t="n">
        <v>0</v>
      </c>
      <c r="J2" t="n">
        <v>0</v>
      </c>
      <c r="K2" t="n">
        <v>0</v>
      </c>
      <c r="L2" t="n">
        <v>0</v>
      </c>
      <c r="M2" t="n">
        <v>0</v>
      </c>
    </row>
    <row r="3">
      <c r="A3" t="inlineStr">
        <is>
          <t>wheat</t>
        </is>
      </c>
      <c r="B3" t="n">
        <v>0</v>
      </c>
      <c r="C3" t="n">
        <v>0</v>
      </c>
      <c r="D3" t="n">
        <v>0</v>
      </c>
      <c r="E3" t="n">
        <v>0</v>
      </c>
      <c r="F3" t="n">
        <v>0</v>
      </c>
      <c r="G3" t="n">
        <v>0</v>
      </c>
      <c r="H3" t="n">
        <v>0</v>
      </c>
      <c r="I3" t="n">
        <v>6</v>
      </c>
      <c r="J3" t="n">
        <v>4</v>
      </c>
      <c r="K3" t="n">
        <v>6.5</v>
      </c>
      <c r="L3" t="n">
        <v>0</v>
      </c>
      <c r="M3" t="n">
        <v>-6.5</v>
      </c>
    </row>
    <row r="4">
      <c r="A4" t="inlineStr">
        <is>
          <t>rye</t>
        </is>
      </c>
      <c r="B4" t="n">
        <v>0</v>
      </c>
      <c r="C4" t="n">
        <v>0</v>
      </c>
      <c r="D4" t="n">
        <v>0</v>
      </c>
      <c r="E4" t="n">
        <v>0</v>
      </c>
      <c r="F4" t="n">
        <v>0</v>
      </c>
      <c r="G4" t="n">
        <v>0</v>
      </c>
      <c r="H4" t="n">
        <v>0</v>
      </c>
      <c r="I4" t="n">
        <v>6</v>
      </c>
      <c r="J4" t="n">
        <v>0</v>
      </c>
      <c r="K4" t="n">
        <v>6</v>
      </c>
      <c r="L4" t="n">
        <v>0</v>
      </c>
      <c r="M4" t="n">
        <v>-6</v>
      </c>
    </row>
    <row r="5">
      <c r="A5" t="inlineStr">
        <is>
          <t>peas</t>
        </is>
      </c>
      <c r="B5" t="n">
        <v>0</v>
      </c>
      <c r="C5" t="n">
        <v>0</v>
      </c>
      <c r="D5" t="n">
        <v>0</v>
      </c>
      <c r="E5" t="n">
        <v>0</v>
      </c>
      <c r="F5" t="n">
        <v>0</v>
      </c>
      <c r="G5" t="n">
        <v>0</v>
      </c>
      <c r="H5" t="n">
        <v>0</v>
      </c>
      <c r="I5" t="n">
        <v>0</v>
      </c>
      <c r="J5" t="n">
        <v>0</v>
      </c>
      <c r="K5" t="n">
        <v>0</v>
      </c>
      <c r="L5" t="n">
        <v>0</v>
      </c>
      <c r="M5" t="n">
        <v>0</v>
      </c>
    </row>
    <row r="6">
      <c r="A6" t="inlineStr">
        <is>
          <t>barley</t>
        </is>
      </c>
      <c r="B6" t="n">
        <v>0</v>
      </c>
      <c r="C6" t="n">
        <v>0</v>
      </c>
      <c r="D6" t="n">
        <v>0</v>
      </c>
      <c r="E6" t="n">
        <v>0</v>
      </c>
      <c r="F6" t="n">
        <v>0</v>
      </c>
      <c r="G6" t="n">
        <v>0</v>
      </c>
      <c r="H6" t="n">
        <v>0</v>
      </c>
      <c r="I6" t="n">
        <v>0</v>
      </c>
      <c r="J6" t="n">
        <v>0</v>
      </c>
      <c r="K6" t="n">
        <v>0</v>
      </c>
      <c r="L6" t="n">
        <v>0</v>
      </c>
      <c r="M6" t="n">
        <v>0</v>
      </c>
    </row>
    <row r="7">
      <c r="A7" t="inlineStr">
        <is>
          <t>oats</t>
        </is>
      </c>
      <c r="B7" t="n">
        <v>0</v>
      </c>
      <c r="C7" t="n">
        <v>0</v>
      </c>
      <c r="D7" t="n">
        <v>0</v>
      </c>
      <c r="E7" t="n">
        <v>0</v>
      </c>
      <c r="F7" t="n">
        <v>0</v>
      </c>
      <c r="G7" t="n">
        <v>0</v>
      </c>
      <c r="H7" t="n">
        <v>0</v>
      </c>
      <c r="I7" t="n">
        <v>24</v>
      </c>
      <c r="J7" t="n">
        <v>0</v>
      </c>
      <c r="K7" t="n">
        <v>24</v>
      </c>
      <c r="L7" t="n">
        <v>0</v>
      </c>
      <c r="M7" t="n">
        <v>-24</v>
      </c>
    </row>
    <row r="8">
      <c r="A8" t="inlineStr">
        <is>
          <t>Mancorn</t>
        </is>
      </c>
      <c r="B8" t="n">
        <v>0</v>
      </c>
      <c r="C8" t="n">
        <v>0</v>
      </c>
      <c r="D8" t="n">
        <v>0</v>
      </c>
      <c r="E8" t="n">
        <v>0</v>
      </c>
      <c r="F8" t="n">
        <v>0</v>
      </c>
      <c r="G8" t="n">
        <v>0</v>
      </c>
      <c r="H8" t="n">
        <v>0</v>
      </c>
      <c r="I8" t="n">
        <v>0</v>
      </c>
      <c r="J8" t="n">
        <v>0</v>
      </c>
      <c r="K8" t="n">
        <v>0</v>
      </c>
      <c r="L8" t="n">
        <v>0</v>
      </c>
      <c r="M8" t="n">
        <v>0</v>
      </c>
    </row>
    <row r="9">
      <c r="A9" t="inlineStr">
        <is>
          <t>Maslin</t>
        </is>
      </c>
      <c r="B9" t="n">
        <v>0</v>
      </c>
      <c r="C9" t="n">
        <v>0</v>
      </c>
      <c r="D9" t="n">
        <v>0</v>
      </c>
      <c r="E9" t="n">
        <v>0</v>
      </c>
      <c r="F9" t="n">
        <v>0</v>
      </c>
      <c r="G9" t="n">
        <v>0</v>
      </c>
      <c r="H9" t="n">
        <v>0</v>
      </c>
      <c r="I9" t="n">
        <v>0</v>
      </c>
      <c r="J9" t="n">
        <v>0</v>
      </c>
      <c r="K9" t="n">
        <v>0</v>
      </c>
      <c r="L9" t="n">
        <v>0</v>
      </c>
      <c r="M9" t="n">
        <v>0</v>
      </c>
    </row>
    <row r="10">
      <c r="A10" t="inlineStr">
        <is>
          <t>First-grade malt</t>
        </is>
      </c>
      <c r="B10" t="n">
        <v>0</v>
      </c>
      <c r="C10" t="n">
        <v>0</v>
      </c>
      <c r="D10" t="n">
        <v>0</v>
      </c>
      <c r="E10" t="n">
        <v>0</v>
      </c>
      <c r="F10" t="n">
        <v>0</v>
      </c>
      <c r="G10" t="n">
        <v>0</v>
      </c>
      <c r="H10" t="n">
        <v>0</v>
      </c>
      <c r="I10" t="n">
        <v>0</v>
      </c>
      <c r="J10" t="n">
        <v>0</v>
      </c>
      <c r="K10" t="n">
        <v>0</v>
      </c>
      <c r="L10" t="n">
        <v>0</v>
      </c>
      <c r="M10" t="n">
        <v>0</v>
      </c>
    </row>
    <row r="11">
      <c r="A11" t="inlineStr">
        <is>
          <t>Second-grade malt</t>
        </is>
      </c>
      <c r="B11" t="n">
        <v>0</v>
      </c>
      <c r="C11" t="n">
        <v>0</v>
      </c>
      <c r="D11" t="n">
        <v>0</v>
      </c>
      <c r="E11" t="n">
        <v>0</v>
      </c>
      <c r="F11" t="n">
        <v>0</v>
      </c>
      <c r="G11" t="n">
        <v>0</v>
      </c>
      <c r="H11" t="n">
        <v>0</v>
      </c>
      <c r="I11" t="n">
        <v>0</v>
      </c>
      <c r="J11" t="n">
        <v>0</v>
      </c>
      <c r="K11" t="n">
        <v>0</v>
      </c>
      <c r="L11" t="n">
        <v>0</v>
      </c>
      <c r="M11" t="n">
        <v>0</v>
      </c>
    </row>
    <row r="12">
      <c r="A12" t="inlineStr">
        <is>
          <t>Oatmeal</t>
        </is>
      </c>
      <c r="B12" t="n">
        <v>0</v>
      </c>
      <c r="C12" t="n">
        <v>0</v>
      </c>
      <c r="D12" t="n">
        <v>0</v>
      </c>
      <c r="E12" t="n">
        <v>0</v>
      </c>
      <c r="F12" t="n">
        <v>0</v>
      </c>
      <c r="G12" t="n">
        <v>0</v>
      </c>
      <c r="H12" t="n">
        <v>0</v>
      </c>
      <c r="I12" t="n">
        <v>0</v>
      </c>
      <c r="J12" t="n">
        <v>0</v>
      </c>
      <c r="K12" t="n">
        <v>0</v>
      </c>
      <c r="L12" t="n">
        <v>0</v>
      </c>
      <c r="M12" t="n">
        <v>0</v>
      </c>
    </row>
    <row r="13">
      <c r="A13" t="inlineStr">
        <is>
          <t>Vetches</t>
        </is>
      </c>
      <c r="B13" t="n">
        <v>0</v>
      </c>
      <c r="C13" t="n">
        <v>0</v>
      </c>
      <c r="D13" t="n">
        <v>0</v>
      </c>
      <c r="E13" t="n">
        <v>0</v>
      </c>
      <c r="F13" t="n">
        <v>0</v>
      </c>
      <c r="G13" t="n">
        <v>0</v>
      </c>
      <c r="H13" t="n">
        <v>0</v>
      </c>
      <c r="I13" t="n">
        <v>0</v>
      </c>
      <c r="J13" t="n">
        <v>0</v>
      </c>
      <c r="K13" t="n">
        <v>0</v>
      </c>
      <c r="L13" t="n">
        <v>0</v>
      </c>
      <c r="M13" t="n">
        <v>0</v>
      </c>
    </row>
    <row r="14">
      <c r="A14" t="inlineStr">
        <is>
          <t>Dredge</t>
        </is>
      </c>
      <c r="B14" t="n">
        <v>0</v>
      </c>
      <c r="C14" t="n">
        <v>0</v>
      </c>
      <c r="D14" t="n">
        <v>0</v>
      </c>
      <c r="E14" t="n">
        <v>0</v>
      </c>
      <c r="F14" t="n">
        <v>0</v>
      </c>
      <c r="G14" t="n">
        <v>0</v>
      </c>
      <c r="H14" t="n">
        <v>0</v>
      </c>
      <c r="I14" t="n">
        <v>0</v>
      </c>
      <c r="J14" t="n">
        <v>0</v>
      </c>
      <c r="K14" t="n">
        <v>0</v>
      </c>
      <c r="L14" t="n">
        <v>0</v>
      </c>
      <c r="M14" t="n">
        <v>0</v>
      </c>
    </row>
    <row r="15">
      <c r="A15" t="inlineStr">
        <is>
          <t>Malt</t>
        </is>
      </c>
      <c r="B15" t="n">
        <v>0</v>
      </c>
      <c r="C15" t="n">
        <v>0</v>
      </c>
      <c r="D15" t="n">
        <v>0</v>
      </c>
      <c r="E15" t="n">
        <v>0</v>
      </c>
      <c r="F15" t="n">
        <v>0</v>
      </c>
      <c r="G15" t="n">
        <v>0</v>
      </c>
      <c r="H15" t="n">
        <v>0</v>
      </c>
      <c r="I15" t="n">
        <v>0</v>
      </c>
      <c r="J15" t="n">
        <v>0</v>
      </c>
      <c r="K15" t="n">
        <v>0</v>
      </c>
      <c r="L15" t="n">
        <v>0</v>
      </c>
      <c r="M15" t="n">
        <v>0</v>
      </c>
    </row>
    <row r="16">
      <c r="A16" t="inlineStr">
        <is>
          <t>Meal</t>
        </is>
      </c>
      <c r="B16" t="n">
        <v>0</v>
      </c>
      <c r="C16" t="n">
        <v>0</v>
      </c>
      <c r="D16" t="n">
        <v>0</v>
      </c>
      <c r="E16" t="n">
        <v>0</v>
      </c>
      <c r="F16" t="n">
        <v>0</v>
      </c>
      <c r="G16" t="n">
        <v>0</v>
      </c>
      <c r="H16" t="n">
        <v>0</v>
      </c>
      <c r="I16" t="n">
        <v>0</v>
      </c>
      <c r="J16" t="n">
        <v>0</v>
      </c>
      <c r="K16" t="n">
        <v>0</v>
      </c>
      <c r="L16" t="n">
        <v>0</v>
      </c>
      <c r="M16" t="n">
        <v>0</v>
      </c>
    </row>
    <row r="17">
      <c r="A17" t="inlineStr">
        <is>
          <t>Curall</t>
        </is>
      </c>
      <c r="B17" t="n">
        <v>0</v>
      </c>
      <c r="C17" t="n">
        <v>0</v>
      </c>
      <c r="D17" t="n">
        <v>0</v>
      </c>
      <c r="E17" t="n">
        <v>0</v>
      </c>
      <c r="F17" t="n">
        <v>0</v>
      </c>
      <c r="G17" t="n">
        <v>0</v>
      </c>
      <c r="H17" t="n">
        <v>0</v>
      </c>
      <c r="I17" t="n">
        <v>0</v>
      </c>
      <c r="J17" t="n">
        <v>0</v>
      </c>
      <c r="K17" t="n">
        <v>0</v>
      </c>
      <c r="L17" t="n">
        <v>0</v>
      </c>
      <c r="M17" t="n">
        <v>0</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AH4"/>
  <sheetViews>
    <sheetView workbookViewId="0">
      <selection activeCell="A1" sqref="A1"/>
    </sheetView>
  </sheetViews>
  <sheetFormatPr baseColWidth="8" defaultRowHeight="15"/>
  <sheetData>
    <row r="1">
      <c r="A1" t="inlineStr">
        <is>
          <t>Heading</t>
        </is>
      </c>
      <c r="B1" t="inlineStr">
        <is>
          <t>Sentence</t>
        </is>
      </c>
      <c r="C1" t="inlineStr">
        <is>
          <t>Total in Pounds</t>
        </is>
      </c>
      <c r="D1" t="inlineStr">
        <is>
          <t>Pounds</t>
        </is>
      </c>
      <c r="E1" t="inlineStr">
        <is>
          <t>Shillings</t>
        </is>
      </c>
      <c r="F1" t="inlineStr">
        <is>
          <t>Pence</t>
        </is>
      </c>
      <c r="G1" t="inlineStr">
        <is>
          <t>Corn</t>
        </is>
      </c>
      <c r="H1" t="inlineStr">
        <is>
          <t>Total Quarters Except 1</t>
        </is>
      </c>
      <c r="I1" t="inlineStr">
        <is>
          <t>Total Bushels Except 1</t>
        </is>
      </c>
      <c r="J1" t="inlineStr">
        <is>
          <t>Total Corn Cross-Check</t>
        </is>
      </c>
      <c r="K1" t="inlineStr">
        <is>
          <t>Total Corn Manorial Account</t>
        </is>
      </c>
      <c r="L1" t="inlineStr">
        <is>
          <t>Corn Quantity Error</t>
        </is>
      </c>
      <c r="M1" t="inlineStr">
        <is>
          <t>Quarters 0</t>
        </is>
      </c>
      <c r="N1" t="inlineStr">
        <is>
          <t>Bushels 0</t>
        </is>
      </c>
      <c r="O1" t="inlineStr">
        <is>
          <t>shilling a quarter 1</t>
        </is>
      </c>
      <c r="P1" t="inlineStr">
        <is>
          <t>pence a quarter 1</t>
        </is>
      </c>
      <c r="Q1" t="inlineStr">
        <is>
          <t>Quarters 1</t>
        </is>
      </c>
      <c r="R1" t="inlineStr">
        <is>
          <t>Bushels 1</t>
        </is>
      </c>
      <c r="S1" t="inlineStr">
        <is>
          <t>shilling a quarter 2</t>
        </is>
      </c>
      <c r="T1" t="inlineStr">
        <is>
          <t>pence a quarter 2</t>
        </is>
      </c>
      <c r="U1" t="inlineStr">
        <is>
          <t>Quarters 2</t>
        </is>
      </c>
      <c r="V1" t="inlineStr">
        <is>
          <t>Bushels 2</t>
        </is>
      </c>
      <c r="W1" t="inlineStr">
        <is>
          <t>shilling a quarter 3</t>
        </is>
      </c>
      <c r="X1" t="inlineStr">
        <is>
          <t>pence a quarter 3</t>
        </is>
      </c>
      <c r="Y1" t="inlineStr">
        <is>
          <t>shilling a quarter 4</t>
        </is>
      </c>
      <c r="Z1" t="inlineStr">
        <is>
          <t>pence a quarter 4</t>
        </is>
      </c>
      <c r="AA1" t="inlineStr">
        <is>
          <t>£ a quarter 1</t>
        </is>
      </c>
      <c r="AB1" t="inlineStr">
        <is>
          <t>£ a quarter 2</t>
        </is>
      </c>
      <c r="AC1" t="inlineStr">
        <is>
          <t>£ a quarter 3</t>
        </is>
      </c>
      <c r="AD1" t="inlineStr">
        <is>
          <t>£ a quarter 4</t>
        </is>
      </c>
      <c r="AE1" t="inlineStr">
        <is>
          <t>Quarters Sold</t>
        </is>
      </c>
      <c r="AF1" t="inlineStr">
        <is>
          <t>Weighted Average Price per Quarter</t>
        </is>
      </c>
      <c r="AG1" t="inlineStr">
        <is>
          <t>Non-Weighted Average Price per Quarter</t>
        </is>
      </c>
      <c r="AH1" t="inlineStr">
        <is>
          <t>Corn lowercase</t>
        </is>
      </c>
    </row>
    <row r="2">
      <c r="A2" t="inlineStr">
        <is>
          <t>sale of corn</t>
        </is>
      </c>
      <c r="B2" t="inlineStr">
        <is>
          <t>the same answers for 21 pence received from 5 bushels of curallum of wheat sold, price of a bushel 3½d.</t>
        </is>
      </c>
      <c r="C2" t="n">
        <v>0.09</v>
      </c>
      <c r="D2" t="n">
        <v>0</v>
      </c>
      <c r="E2" t="n">
        <v>0</v>
      </c>
      <c r="F2" t="n">
        <v>21</v>
      </c>
      <c r="G2" t="inlineStr">
        <is>
          <t>wheat, curall</t>
        </is>
      </c>
      <c r="H2" t="n">
        <v>0</v>
      </c>
      <c r="I2" t="n">
        <v>5</v>
      </c>
      <c r="J2" t="n">
        <v>0.62</v>
      </c>
      <c r="K2" t="n">
        <v>0.62</v>
      </c>
      <c r="L2" t="n">
        <v>0</v>
      </c>
      <c r="M2" t="n">
        <v>0</v>
      </c>
      <c r="N2" t="n">
        <v>5</v>
      </c>
      <c r="AA2" t="n">
        <v>0.14</v>
      </c>
      <c r="AE2" t="n">
        <v>0.62</v>
      </c>
      <c r="AF2" t="n">
        <v>0.14</v>
      </c>
      <c r="AG2" t="n">
        <v>0.14</v>
      </c>
      <c r="AH2" t="inlineStr">
        <is>
          <t>wheat, curall</t>
        </is>
      </c>
    </row>
    <row r="3">
      <c r="A3" t="inlineStr">
        <is>
          <t>sale of corn</t>
        </is>
      </c>
      <c r="B3" t="inlineStr">
        <is>
          <t>and for 12 shilling received from 3 quarters of rye sold in the month of september, price of a quarter 4 shilling and for 18 shilling 4½d received from 3 quarters 7½ bushels of rye, price of a quarter 4 shilling 8pence and for 4 shilling 1¼d received from 1 quarter 1 bushel 3 pecks of barley sold, price of a bushel 5pence and for 13 shilling 6¼d received from 10 quarters 6 bushels 3 pecks of oats sold to earl warenne, price of a quarter 15pence and for 4 shilling 11 pence from 3½ quarters of oats sold for expenses of the lord’s household.</t>
        </is>
      </c>
      <c r="C3" t="n">
        <v>0.63</v>
      </c>
      <c r="D3" t="n">
        <v>0</v>
      </c>
      <c r="E3" t="n">
        <v>12</v>
      </c>
      <c r="F3" t="n">
        <v>8</v>
      </c>
      <c r="G3" t="inlineStr">
        <is>
          <t>rye, barley, oats</t>
        </is>
      </c>
      <c r="H3" t="n">
        <v>13</v>
      </c>
      <c r="I3" t="n">
        <v>6</v>
      </c>
      <c r="J3" t="n">
        <v>13.75</v>
      </c>
      <c r="K3" t="n">
        <v>3</v>
      </c>
      <c r="L3" t="n">
        <v>10.75</v>
      </c>
      <c r="M3" t="n">
        <v>3</v>
      </c>
      <c r="N3" t="n">
        <v>0</v>
      </c>
      <c r="Q3" t="n">
        <v>3</v>
      </c>
      <c r="R3" t="n">
        <v>0</v>
      </c>
      <c r="U3" t="n">
        <v>10</v>
      </c>
      <c r="V3" t="n">
        <v>6</v>
      </c>
      <c r="AA3" t="n">
        <v>0.21</v>
      </c>
      <c r="AE3" t="n">
        <v>3</v>
      </c>
      <c r="AF3" t="n">
        <v>0.21</v>
      </c>
      <c r="AG3" t="n">
        <v>0.21</v>
      </c>
      <c r="AH3" t="inlineStr">
        <is>
          <t>rye, barley, oats</t>
        </is>
      </c>
    </row>
    <row r="4">
      <c r="A4" t="inlineStr">
        <is>
          <t>sale of corn</t>
        </is>
      </c>
      <c r="B4" t="inlineStr">
        <is>
          <t>sum 54 shilling 8pence.</t>
        </is>
      </c>
      <c r="C4" t="n">
        <v>2.73</v>
      </c>
      <c r="D4" t="n">
        <v>0</v>
      </c>
      <c r="E4" t="n">
        <v>54</v>
      </c>
      <c r="F4" t="n">
        <v>8</v>
      </c>
      <c r="H4" t="n">
        <v>0</v>
      </c>
      <c r="I4" t="n">
        <v>0</v>
      </c>
      <c r="J4" t="n">
        <v>0</v>
      </c>
      <c r="K4" t="n">
        <v>0</v>
      </c>
      <c r="L4" t="n">
        <v>0</v>
      </c>
      <c r="M4" t="n">
        <v>0</v>
      </c>
      <c r="N4" t="n">
        <v>0</v>
      </c>
      <c r="AA4" t="inlineStr">
        <is>
          <t>inf</t>
        </is>
      </c>
      <c r="AE4" t="n">
        <v>0</v>
      </c>
      <c r="AF4" t="inlineStr">
        <is>
          <t>inf</t>
        </is>
      </c>
      <c r="AG4" t="inlineStr">
        <is>
          <t>inf</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J64"/>
  <sheetViews>
    <sheetView workbookViewId="0">
      <selection activeCell="A1" sqref="A1"/>
    </sheetView>
  </sheetViews>
  <sheetFormatPr baseColWidth="8" defaultRowHeight="15"/>
  <cols>
    <col width="34.453125" customWidth="1" min="1" max="1"/>
    <col width="8.81640625" customWidth="1" min="2" max="2"/>
    <col width="8.81640625" customWidth="1" min="6" max="6"/>
    <col width="8.81640625" customWidth="1" min="7" max="7"/>
    <col width="43" customWidth="1" min="8" max="8"/>
  </cols>
  <sheetData>
    <row r="1">
      <c r="A1" s="127" t="inlineStr">
        <is>
          <t>ESHER_1342 EXPENSES</t>
        </is>
      </c>
      <c r="B1" s="128" t="n"/>
      <c r="C1" s="128" t="n"/>
      <c r="D1" s="128" t="n"/>
      <c r="E1" s="128" t="n"/>
      <c r="F1" s="128" t="n"/>
      <c r="G1" s="128" t="n"/>
      <c r="H1" s="128" t="n"/>
    </row>
    <row r="2" ht="31" customHeight="1">
      <c r="A2" s="129" t="inlineStr">
        <is>
          <t>Heading</t>
        </is>
      </c>
      <c r="B2" s="130" t="inlineStr">
        <is>
          <t>£</t>
        </is>
      </c>
      <c r="C2" s="131" t="inlineStr">
        <is>
          <t>s</t>
        </is>
      </c>
      <c r="D2" s="131" t="inlineStr">
        <is>
          <t>d</t>
        </is>
      </c>
      <c r="E2" s="132" t="n"/>
      <c r="F2" s="133" t="inlineStr">
        <is>
          <t>Total in £</t>
        </is>
      </c>
      <c r="G2" s="134" t="inlineStr">
        <is>
          <t>Error</t>
        </is>
      </c>
      <c r="H2" s="135" t="inlineStr">
        <is>
          <t>Sentence</t>
        </is>
      </c>
      <c r="I2" t="inlineStr">
        <is>
          <t>Fixed Investments</t>
        </is>
      </c>
      <c r="J2" t="inlineStr">
        <is>
          <t>Demesne Fixed Investments</t>
        </is>
      </c>
    </row>
    <row r="3">
      <c r="A3" s="136" t="n"/>
      <c r="B3" s="128" t="n"/>
      <c r="C3" s="128" t="n"/>
      <c r="D3" s="128" t="n"/>
      <c r="E3" s="128" t="n"/>
      <c r="F3" s="128" t="n"/>
      <c r="G3" s="128" t="n"/>
      <c r="H3" s="128" t="n"/>
    </row>
    <row r="4">
      <c r="A4" s="137" t="inlineStr">
        <is>
          <t>Cost of ploughs</t>
        </is>
      </c>
      <c r="B4" s="128" t="n">
        <v>0</v>
      </c>
      <c r="C4" s="128" t="n">
        <v>3</v>
      </c>
      <c r="D4" s="128" t="n">
        <v>0</v>
      </c>
      <c r="E4" s="128" t="n"/>
      <c r="F4" s="128" t="n">
        <v>0.15</v>
      </c>
      <c r="G4" s="128" t="n"/>
      <c r="H4" s="128" t="inlineStr">
        <is>
          <t>The same accounts for iron and steel bought with the stipend of a smith for the year 3 shilling 6[d].</t>
        </is>
      </c>
    </row>
    <row r="5">
      <c r="A5" s="136" t="inlineStr">
        <is>
          <t>Cost of ploughs</t>
        </is>
      </c>
      <c r="B5" s="128" t="n">
        <v>0</v>
      </c>
      <c r="C5" s="128" t="n">
        <v>0</v>
      </c>
      <c r="D5" s="128" t="n">
        <v>6</v>
      </c>
      <c r="E5" s="128" t="n"/>
      <c r="F5" s="128" t="n">
        <v>0.03</v>
      </c>
      <c r="G5" s="128" t="n"/>
      <c r="H5" s="128" t="inlineStr">
        <is>
          <t>two plough feet bought 6pence.</t>
        </is>
      </c>
    </row>
    <row r="6">
      <c r="A6" s="136" t="inlineStr">
        <is>
          <t>Cost of ploughs</t>
        </is>
      </c>
      <c r="B6" s="128" t="n">
        <v>0</v>
      </c>
      <c r="C6" s="128" t="n">
        <v>0</v>
      </c>
      <c r="D6" s="128" t="n">
        <v>2</v>
      </c>
      <c r="E6" s="128" t="n"/>
      <c r="F6" s="128" t="n">
        <v>0.01</v>
      </c>
      <c r="G6" s="128" t="n"/>
      <c r="H6" s="128" t="inlineStr">
        <is>
          <t>two yokes bought 2pence.</t>
        </is>
      </c>
    </row>
    <row r="7">
      <c r="A7" s="136" t="inlineStr">
        <is>
          <t>Cost of ploughs</t>
        </is>
      </c>
      <c r="B7" s="128" t="n">
        <v>0</v>
      </c>
      <c r="C7" s="128" t="n">
        <v>0</v>
      </c>
      <c r="D7" s="128" t="n">
        <v>6</v>
      </c>
      <c r="E7" s="128" t="n"/>
      <c r="F7" s="128" t="n">
        <v>0.03</v>
      </c>
      <c r="G7" s="128" t="n"/>
      <c r="H7" s="128" t="inlineStr">
        <is>
          <t>one plough covered with boards and fitted with a chip twice for the year 6 pence, so much because it was worn out.</t>
        </is>
      </c>
    </row>
    <row r="8">
      <c r="A8" s="136" t="inlineStr">
        <is>
          <t>Cost of ploughs</t>
        </is>
      </c>
      <c r="B8" s="128" t="n">
        <v>0</v>
      </c>
      <c r="C8" s="128" t="n">
        <v>0</v>
      </c>
      <c r="D8" s="128" t="n">
        <v>2</v>
      </c>
      <c r="E8" s="128" t="n"/>
      <c r="F8" s="128" t="n">
        <v>0.01</v>
      </c>
      <c r="G8" s="128" t="n"/>
      <c r="H8" s="128" t="inlineStr">
        <is>
          <t>fitting the said plough with an axle on two occasions 2pence.</t>
        </is>
      </c>
    </row>
    <row r="9">
      <c r="A9" s="136" t="inlineStr">
        <is>
          <t>Cost of ploughs</t>
        </is>
      </c>
      <c r="B9" s="128" t="n">
        <v>0</v>
      </c>
      <c r="C9" s="128" t="n">
        <v>0</v>
      </c>
      <c r="D9" s="128" t="n">
        <v>7</v>
      </c>
      <c r="E9" s="128" t="n"/>
      <c r="F9" s="128" t="n">
        <v>0.03</v>
      </c>
      <c r="G9" s="128" t="n"/>
      <c r="H9" s="128" t="inlineStr">
        <is>
          <t>one pair of wheels bought for the same 7pence.</t>
        </is>
      </c>
    </row>
    <row r="10">
      <c r="A10" s="136" t="inlineStr">
        <is>
          <t>Cost of ploughs</t>
        </is>
      </c>
      <c r="B10" s="128" t="n">
        <v>0</v>
      </c>
      <c r="C10" s="128" t="n">
        <v>5</v>
      </c>
      <c r="D10" s="128" t="n">
        <v>5</v>
      </c>
      <c r="E10" s="128" t="n"/>
      <c r="F10" s="128" t="n">
        <v>0.27</v>
      </c>
      <c r="G10" s="128" t="n"/>
      <c r="H10" s="128" t="inlineStr">
        <is>
          <t>stipend of one ploughdriver for the year 5 shilling Sum 10 shilling 5pence.</t>
        </is>
      </c>
    </row>
    <row r="11">
      <c r="A11" s="138" t="inlineStr">
        <is>
          <t>Cost of ploughs total</t>
        </is>
      </c>
      <c r="B11" s="139" t="n"/>
      <c r="C11" s="139" t="n"/>
      <c r="D11" s="139" t="n"/>
      <c r="E11" s="139" t="n"/>
      <c r="F11" s="139" t="n">
        <v>0.53</v>
      </c>
      <c r="G11" s="139" t="n">
        <v>0.26</v>
      </c>
      <c r="H11" s="139" t="inlineStr">
        <is>
          <t>Total</t>
        </is>
      </c>
    </row>
    <row r="12">
      <c r="A12" s="136" t="n"/>
      <c r="B12" s="128" t="n"/>
      <c r="C12" s="128" t="n"/>
      <c r="D12" s="128" t="n"/>
      <c r="E12" s="128" t="n"/>
      <c r="F12" s="128" t="n"/>
      <c r="G12" s="128" t="n"/>
      <c r="H12" s="128" t="n"/>
    </row>
    <row r="13">
      <c r="A13" s="137" t="inlineStr">
        <is>
          <t>Cost of carts</t>
        </is>
      </c>
      <c r="B13" s="128" t="n">
        <v>0</v>
      </c>
      <c r="C13" s="128" t="n">
        <v>0</v>
      </c>
      <c r="D13" s="128" t="n">
        <v>5</v>
      </c>
      <c r="E13" s="128" t="n"/>
      <c r="F13" s="128" t="n">
        <v>0.02</v>
      </c>
      <c r="G13" s="128" t="n"/>
      <c r="H13" s="128" t="inlineStr">
        <is>
          <t>The same accounts for three iron tyres bought for fitting to, and mending, broken wheels 5 pence, because the wheels were worn out.</t>
        </is>
      </c>
    </row>
    <row r="14">
      <c r="A14" s="136" t="inlineStr">
        <is>
          <t>Cost of carts</t>
        </is>
      </c>
      <c r="B14" s="128" t="n">
        <v>0</v>
      </c>
      <c r="C14" s="128" t="n">
        <v>0</v>
      </c>
      <c r="D14" s="128" t="n">
        <v>8</v>
      </c>
      <c r="E14" s="128" t="n"/>
      <c r="F14" s="128" t="n">
        <v>0.03</v>
      </c>
      <c r="G14" s="128" t="n"/>
      <c r="H14" s="128" t="inlineStr">
        <is>
          <t>eight clouts bought for the cart for the year 8pence.</t>
        </is>
      </c>
    </row>
    <row r="15">
      <c r="A15" s="136" t="inlineStr">
        <is>
          <t>Cost of carts</t>
        </is>
      </c>
      <c r="B15" s="128" t="n">
        <v>0</v>
      </c>
      <c r="C15" s="128" t="n">
        <v>0</v>
      </c>
      <c r="D15" s="128" t="n">
        <v>1</v>
      </c>
      <c r="E15" s="128" t="n"/>
      <c r="F15" s="128" t="n">
        <v>0</v>
      </c>
      <c r="G15" s="128" t="n"/>
      <c r="H15" s="128" t="inlineStr">
        <is>
          <t>nails for the same and for renewing 1pence.</t>
        </is>
      </c>
    </row>
    <row r="16">
      <c r="A16" s="136" t="inlineStr">
        <is>
          <t>Cost of carts</t>
        </is>
      </c>
      <c r="B16" s="128" t="n">
        <v>0</v>
      </c>
      <c r="C16" s="128" t="n">
        <v>0</v>
      </c>
      <c r="D16" s="128" t="n">
        <v>0</v>
      </c>
      <c r="E16" s="128" t="n"/>
      <c r="F16" s="128" t="n">
        <v>0</v>
      </c>
      <c r="G16" s="128" t="n"/>
      <c r="H16" s="128" t="inlineStr">
        <is>
          <t>grease bought for the.</t>
        </is>
      </c>
    </row>
    <row r="17">
      <c r="A17" s="136" t="inlineStr">
        <is>
          <t>Cost of carts</t>
        </is>
      </c>
      <c r="B17" s="128" t="n">
        <v>0</v>
      </c>
      <c r="C17" s="128" t="n">
        <v>0</v>
      </c>
      <c r="D17" s="128" t="n">
        <v>0</v>
      </c>
      <c r="E17" s="128" t="n"/>
      <c r="F17" s="128" t="n">
        <v>0</v>
      </c>
      <c r="G17" s="128" t="n"/>
      <c r="H17" s="128" t="inlineStr">
        <is>
          <t>--- Page 5 ---.</t>
        </is>
      </c>
    </row>
    <row r="18">
      <c r="A18" s="136" t="inlineStr">
        <is>
          <t>Cost of carts</t>
        </is>
      </c>
      <c r="B18" s="128" t="n">
        <v>0</v>
      </c>
      <c r="C18" s="128" t="n">
        <v>0</v>
      </c>
      <c r="D18" s="128" t="n">
        <v>3</v>
      </c>
      <c r="E18" s="128" t="n"/>
      <c r="F18" s="128" t="n">
        <v>0.01</v>
      </c>
      <c r="G18" s="128" t="n"/>
      <c r="H18" s="128" t="inlineStr">
        <is>
          <t>same for the year 3pence.</t>
        </is>
      </c>
    </row>
    <row r="19">
      <c r="A19" s="136" t="inlineStr">
        <is>
          <t>Cost of carts</t>
        </is>
      </c>
      <c r="B19" s="128" t="n">
        <v>0</v>
      </c>
      <c r="C19" s="128" t="n">
        <v>0</v>
      </c>
      <c r="D19" s="128" t="n">
        <v>4</v>
      </c>
      <c r="E19" s="128" t="n"/>
      <c r="F19" s="128" t="n">
        <v>0.02</v>
      </c>
      <c r="G19" s="128" t="n"/>
      <c r="H19" s="128" t="inlineStr">
        <is>
          <t>one base bought for the saddle of the cart 4pence.</t>
        </is>
      </c>
    </row>
    <row r="20">
      <c r="A20" s="136" t="inlineStr">
        <is>
          <t>Cost of carts</t>
        </is>
      </c>
      <c r="B20" s="128" t="n">
        <v>0</v>
      </c>
      <c r="C20" s="128" t="n">
        <v>0</v>
      </c>
      <c r="D20" s="128" t="n">
        <v>3</v>
      </c>
      <c r="E20" s="128" t="n"/>
      <c r="F20" s="128" t="n">
        <v>0.01</v>
      </c>
      <c r="G20" s="128" t="n"/>
      <c r="H20" s="128" t="inlineStr">
        <is>
          <t>white-tawed leather bought for mending the harness of the cart for the year 3pence.</t>
        </is>
      </c>
    </row>
    <row r="21">
      <c r="A21" s="136" t="inlineStr">
        <is>
          <t>Cost of carts</t>
        </is>
      </c>
      <c r="B21" s="128" t="n">
        <v>0</v>
      </c>
      <c r="C21" s="128" t="n">
        <v>0</v>
      </c>
      <c r="D21" s="128" t="n">
        <v>2</v>
      </c>
      <c r="E21" s="128" t="n"/>
      <c r="F21" s="128" t="n">
        <v>0.01</v>
      </c>
      <c r="G21" s="128" t="n"/>
      <c r="H21" s="128" t="inlineStr">
        <is>
          <t>two halters bought 2pence.</t>
        </is>
      </c>
    </row>
    <row r="22">
      <c r="A22" s="136" t="inlineStr">
        <is>
          <t>Cost of carts</t>
        </is>
      </c>
      <c r="B22" s="128" t="n">
        <v>0</v>
      </c>
      <c r="C22" s="128" t="n">
        <v>0</v>
      </c>
      <c r="D22" s="128" t="n">
        <v>5</v>
      </c>
      <c r="E22" s="128" t="n"/>
      <c r="F22" s="128" t="n">
        <v>0.02</v>
      </c>
      <c r="G22" s="128" t="n"/>
      <c r="H22" s="128" t="inlineStr">
        <is>
          <t>one pair of traces bought 5pence.</t>
        </is>
      </c>
    </row>
    <row r="23">
      <c r="A23" s="136" t="inlineStr">
        <is>
          <t>Cost of carts</t>
        </is>
      </c>
      <c r="B23" s="128" t="n">
        <v>0</v>
      </c>
      <c r="C23" s="128" t="n">
        <v>0</v>
      </c>
      <c r="D23" s="128" t="n">
        <v>1</v>
      </c>
      <c r="E23" s="128" t="n"/>
      <c r="F23" s="128" t="n">
        <v>0</v>
      </c>
      <c r="G23" s="128" t="n"/>
      <c r="H23" s="128" t="inlineStr">
        <is>
          <t>a carpenter for one axle for the cart 1pence.</t>
        </is>
      </c>
    </row>
    <row r="24">
      <c r="A24" s="136" t="inlineStr">
        <is>
          <t>Cost of carts</t>
        </is>
      </c>
      <c r="B24" s="128" t="n">
        <v>0</v>
      </c>
      <c r="C24" s="128" t="n">
        <v>2</v>
      </c>
      <c r="D24" s="128" t="n">
        <v>6</v>
      </c>
      <c r="E24" s="128" t="n"/>
      <c r="F24" s="128" t="n">
        <v>0.12</v>
      </c>
      <c r="G24" s="128" t="n"/>
      <c r="H24" s="128" t="inlineStr">
        <is>
          <t>shoeing 2 horses of the manor for the year 2 shilling 6pence.</t>
        </is>
      </c>
    </row>
    <row r="25">
      <c r="A25" s="136" t="inlineStr">
        <is>
          <t>Cost of carts</t>
        </is>
      </c>
      <c r="B25" s="128" t="n">
        <v>0</v>
      </c>
      <c r="C25" s="128" t="n">
        <v>5</v>
      </c>
      <c r="D25" s="128" t="n">
        <v>2</v>
      </c>
      <c r="E25" s="128" t="n"/>
      <c r="F25" s="128" t="n">
        <v>0.26</v>
      </c>
      <c r="G25" s="128" t="n"/>
      <c r="H25" s="128" t="inlineStr">
        <is>
          <t>stipend of one carter for the year 5 shilling Sum 10 shilling 2pence.</t>
        </is>
      </c>
    </row>
    <row r="26">
      <c r="A26" s="138" t="inlineStr">
        <is>
          <t>Cost of carts total</t>
        </is>
      </c>
      <c r="B26" s="139" t="n"/>
      <c r="C26" s="139" t="n"/>
      <c r="D26" s="139" t="n"/>
      <c r="E26" s="139" t="n"/>
      <c r="F26" s="139" t="n">
        <v>0.5</v>
      </c>
      <c r="G26" s="139" t="n">
        <v>0.24</v>
      </c>
      <c r="H26" s="139" t="inlineStr">
        <is>
          <t>Total</t>
        </is>
      </c>
    </row>
    <row r="27">
      <c r="A27" s="136" t="n"/>
      <c r="B27" s="128" t="n"/>
      <c r="C27" s="128" t="n"/>
      <c r="D27" s="128" t="n"/>
      <c r="E27" s="128" t="n"/>
      <c r="F27" s="128" t="n"/>
      <c r="G27" s="128" t="n"/>
      <c r="H27" s="128" t="n"/>
    </row>
    <row r="28">
      <c r="A28" s="137" t="inlineStr">
        <is>
          <t>Small necessaries</t>
        </is>
      </c>
      <c r="B28" s="128" t="n">
        <v>0</v>
      </c>
      <c r="C28" s="128" t="n">
        <v>0</v>
      </c>
      <c r="D28" s="128" t="n">
        <v>4</v>
      </c>
      <c r="E28" s="128" t="n"/>
      <c r="F28" s="128" t="n">
        <v>0.02</v>
      </c>
      <c r="G28" s="128" t="n"/>
      <c r="H28" s="128" t="inlineStr">
        <is>
          <t>The same accounts for 1 bushel of salt bought for expenses of the manor for the year 4pence.</t>
        </is>
      </c>
    </row>
    <row r="29">
      <c r="A29" s="136" t="inlineStr">
        <is>
          <t>Small necessaries</t>
        </is>
      </c>
      <c r="B29" s="128" t="n">
        <v>0</v>
      </c>
      <c r="C29" s="128" t="n">
        <v>0</v>
      </c>
      <c r="D29" s="128" t="n">
        <v>0</v>
      </c>
      <c r="E29" s="128" t="n"/>
      <c r="F29" s="128" t="n">
        <v>0</v>
      </c>
      <c r="G29" s="128" t="n"/>
      <c r="H29" s="128" t="inlineStr">
        <is>
          <t>one shovel and one spade with iron bought 5½d.</t>
        </is>
      </c>
    </row>
    <row r="30">
      <c r="A30" s="136" t="inlineStr">
        <is>
          <t>Small necessaries</t>
        </is>
      </c>
      <c r="B30" s="128" t="n">
        <v>0</v>
      </c>
      <c r="C30" s="128" t="n">
        <v>0</v>
      </c>
      <c r="D30" s="128" t="n">
        <v>0</v>
      </c>
      <c r="E30" s="128" t="n"/>
      <c r="F30" s="128" t="n">
        <v>0</v>
      </c>
      <c r="G30" s="128" t="n"/>
      <c r="H30" s="128" t="inlineStr">
        <is>
          <t>one harrow made from the lord’s timber 2½d.</t>
        </is>
      </c>
    </row>
    <row r="31">
      <c r="A31" s="136" t="inlineStr">
        <is>
          <t>Small necessaries</t>
        </is>
      </c>
      <c r="B31" s="128" t="n">
        <v>0</v>
      </c>
      <c r="C31" s="128" t="n">
        <v>0</v>
      </c>
      <c r="D31" s="128" t="n">
        <v>2</v>
      </c>
      <c r="E31" s="128" t="n"/>
      <c r="F31" s="128" t="n">
        <v>0.01</v>
      </c>
      <c r="G31" s="128" t="n"/>
      <c r="H31" s="128" t="inlineStr">
        <is>
          <t>castrating 16 male lambs 2pence.</t>
        </is>
      </c>
    </row>
    <row r="32">
      <c r="A32" s="136" t="inlineStr">
        <is>
          <t>Small necessaries</t>
        </is>
      </c>
      <c r="B32" s="128" t="n">
        <v>0</v>
      </c>
      <c r="C32" s="128" t="n">
        <v>0</v>
      </c>
      <c r="D32" s="128" t="n">
        <v>1</v>
      </c>
      <c r="E32" s="128" t="n"/>
      <c r="F32" s="128" t="n">
        <v>0</v>
      </c>
      <c r="G32" s="128" t="n"/>
      <c r="H32" s="128" t="inlineStr">
        <is>
          <t>tithe paid for 2 lambs on the point of death not taken from the stock 1pence Sum 15pence.</t>
        </is>
      </c>
    </row>
    <row r="33">
      <c r="A33" s="138" t="inlineStr">
        <is>
          <t>Small necessaries total</t>
        </is>
      </c>
      <c r="B33" s="139" t="n"/>
      <c r="C33" s="139" t="n"/>
      <c r="D33" s="139" t="n"/>
      <c r="E33" s="139" t="n"/>
      <c r="F33" s="139" t="n">
        <v>0.03</v>
      </c>
      <c r="G33" s="139" t="n">
        <v>0.03</v>
      </c>
      <c r="H33" s="139" t="inlineStr">
        <is>
          <t>Total</t>
        </is>
      </c>
    </row>
    <row r="34">
      <c r="A34" s="136" t="n"/>
      <c r="B34" s="128" t="n"/>
      <c r="C34" s="128" t="n"/>
      <c r="D34" s="128" t="n"/>
      <c r="E34" s="128" t="n"/>
      <c r="F34" s="128" t="n"/>
      <c r="G34" s="128" t="n"/>
      <c r="H34" s="128" t="n"/>
    </row>
    <row r="35">
      <c r="A35" s="137" t="inlineStr">
        <is>
          <t>Cost of buildings</t>
        </is>
      </c>
      <c r="B35" s="128" t="n">
        <v>0</v>
      </c>
      <c r="C35" s="128" t="n">
        <v>2</v>
      </c>
      <c r="D35" s="128" t="n">
        <v>8</v>
      </c>
      <c r="E35" s="128" t="n"/>
      <c r="F35" s="128" t="n">
        <v>0.13</v>
      </c>
      <c r="G35" s="128" t="n"/>
      <c r="H35" s="128" t="inlineStr">
        <is>
          <t>The same accounts for one roofer hired for roofing on the grange and oxshed of Northwode and on one piece of the wall next to the bridge of the manor of Esher together with his helper for eight days 2 shilling 8 pence, taking for a day 4pence.</t>
        </is>
      </c>
    </row>
    <row r="36">
      <c r="A36" s="136" t="inlineStr">
        <is>
          <t>Cost of buildings</t>
        </is>
      </c>
      <c r="B36" s="128" t="n">
        <v>0</v>
      </c>
      <c r="C36" s="128" t="n">
        <v>0</v>
      </c>
      <c r="D36" s="128" t="n">
        <v>3</v>
      </c>
      <c r="E36" s="128" t="n"/>
      <c r="F36" s="128" t="n">
        <v>0.01</v>
      </c>
      <c r="G36" s="128" t="n"/>
      <c r="H36" s="128" t="inlineStr">
        <is>
          <t>100 laths bought for the same 3pence.</t>
        </is>
      </c>
    </row>
    <row r="37">
      <c r="A37" s="136" t="inlineStr">
        <is>
          <t>Cost of buildings</t>
        </is>
      </c>
      <c r="B37" s="128" t="n">
        <v>0</v>
      </c>
      <c r="C37" s="128" t="n">
        <v>0</v>
      </c>
      <c r="D37" s="128" t="n">
        <v>0</v>
      </c>
      <c r="E37" s="128" t="n"/>
      <c r="F37" s="128" t="n">
        <v>0</v>
      </c>
      <c r="G37" s="128" t="n"/>
      <c r="H37" s="128" t="inlineStr">
        <is>
          <t>300 lath nails bought for the same 3½d.</t>
        </is>
      </c>
    </row>
    <row r="38">
      <c r="A38" s="136" t="inlineStr">
        <is>
          <t>Cost of buildings</t>
        </is>
      </c>
      <c r="B38" s="128" t="n">
        <v>0</v>
      </c>
      <c r="C38" s="128" t="n">
        <v>3</v>
      </c>
      <c r="D38" s="128" t="n">
        <v>0</v>
      </c>
      <c r="E38" s="128" t="n"/>
      <c r="F38" s="128" t="n">
        <v>0.15</v>
      </c>
      <c r="G38" s="128" t="n"/>
      <c r="H38" s="128" t="inlineStr">
        <is>
          <t>Sum 3 shilling 2½d.</t>
        </is>
      </c>
    </row>
    <row r="39">
      <c r="A39" s="138" t="inlineStr">
        <is>
          <t>Cost of buildings total</t>
        </is>
      </c>
      <c r="B39" s="139" t="n"/>
      <c r="C39" s="139" t="n"/>
      <c r="D39" s="139" t="n"/>
      <c r="E39" s="139" t="n"/>
      <c r="F39" s="139" t="n">
        <v>0.29</v>
      </c>
      <c r="G39" s="139" t="n">
        <v>0.14</v>
      </c>
      <c r="H39" s="139" t="inlineStr">
        <is>
          <t>Total</t>
        </is>
      </c>
    </row>
    <row r="40">
      <c r="A40" s="136" t="n"/>
      <c r="B40" s="128" t="n"/>
      <c r="C40" s="128" t="n"/>
      <c r="D40" s="128" t="n"/>
      <c r="E40" s="128" t="n"/>
      <c r="F40" s="128" t="n"/>
      <c r="G40" s="128" t="n"/>
      <c r="H40" s="128" t="n"/>
    </row>
    <row r="41">
      <c r="A41" s="137" t="inlineStr">
        <is>
          <t>Purchase of corn</t>
        </is>
      </c>
      <c r="B41" s="128" t="n">
        <v>0</v>
      </c>
      <c r="C41" s="128" t="n">
        <v>0</v>
      </c>
      <c r="D41" s="128" t="n">
        <v>15</v>
      </c>
      <c r="E41" s="128" t="n"/>
      <c r="F41" s="128" t="n">
        <v>0.06</v>
      </c>
      <c r="G41" s="128" t="n"/>
      <c r="H41" s="128" t="inlineStr">
        <is>
          <t>The same accounts for 1 quarter of oats bought, as shown elsewhere, 15pence Sum 15pence.</t>
        </is>
      </c>
    </row>
    <row r="42">
      <c r="A42" s="136" t="inlineStr">
        <is>
          <t>Purchase of corn</t>
        </is>
      </c>
      <c r="B42" s="128" t="n">
        <v>0</v>
      </c>
      <c r="C42" s="128" t="n">
        <v>0</v>
      </c>
      <c r="D42" s="128" t="n">
        <v>0</v>
      </c>
      <c r="E42" s="128" t="n"/>
      <c r="F42" s="128" t="n">
        <v>0</v>
      </c>
      <c r="G42" s="128" t="n"/>
      <c r="H42" s="128" t="inlineStr">
        <is>
          <t>--- Page 6 ---.</t>
        </is>
      </c>
    </row>
    <row r="43">
      <c r="A43" s="138" t="inlineStr">
        <is>
          <t>Purchase of corn total</t>
        </is>
      </c>
      <c r="B43" s="139" t="n"/>
      <c r="C43" s="139" t="n"/>
      <c r="D43" s="139" t="n"/>
      <c r="E43" s="139" t="n"/>
      <c r="F43" s="139" t="n">
        <v>0.06</v>
      </c>
      <c r="G43" s="139" t="n">
        <v>0.06</v>
      </c>
      <c r="H43" s="139" t="inlineStr">
        <is>
          <t>Total</t>
        </is>
      </c>
    </row>
    <row r="44">
      <c r="A44" s="136" t="n"/>
      <c r="B44" s="128" t="n"/>
      <c r="C44" s="128" t="n"/>
      <c r="D44" s="128" t="n"/>
      <c r="E44" s="128" t="n"/>
      <c r="F44" s="128" t="n"/>
      <c r="G44" s="128" t="n"/>
      <c r="H44" s="128" t="n"/>
    </row>
    <row r="45">
      <c r="A45" s="137" t="inlineStr">
        <is>
          <t>Purchase of stock</t>
        </is>
      </c>
      <c r="B45" s="128" t="n">
        <v>0</v>
      </c>
      <c r="C45" s="128" t="n">
        <v>50</v>
      </c>
      <c r="D45" s="128" t="n">
        <v>0</v>
      </c>
      <c r="E45" s="128" t="n"/>
      <c r="F45" s="128" t="n">
        <v>2.5</v>
      </c>
      <c r="G45" s="128" t="n"/>
      <c r="H45" s="128" t="inlineStr">
        <is>
          <t>The same accounts as paid for 4 oxen bought for stock 50 shilling, attested by the same prior.</t>
        </is>
      </c>
    </row>
    <row r="46">
      <c r="A46" s="136" t="inlineStr">
        <is>
          <t>Purchase of stock</t>
        </is>
      </c>
      <c r="B46" s="128" t="n">
        <v>0</v>
      </c>
      <c r="C46" s="128" t="n">
        <v>42</v>
      </c>
      <c r="D46" s="128" t="n">
        <v>9</v>
      </c>
      <c r="E46" s="128" t="n"/>
      <c r="F46" s="128" t="n">
        <v>2.14</v>
      </c>
      <c r="G46" s="128" t="n"/>
      <c r="H46" s="128" t="inlineStr">
        <is>
          <t>76 lambs bought before shearing 42 shilling 9pence.</t>
        </is>
      </c>
    </row>
    <row r="47">
      <c r="A47" s="136" t="inlineStr">
        <is>
          <t>Purchase of stock</t>
        </is>
      </c>
      <c r="B47" s="128" t="n">
        <v>0</v>
      </c>
      <c r="C47" s="128" t="n">
        <v>22</v>
      </c>
      <c r="D47" s="128" t="n">
        <v>8</v>
      </c>
      <c r="E47" s="128" t="n"/>
      <c r="F47" s="128" t="n">
        <v>1.13</v>
      </c>
      <c r="G47" s="128" t="n"/>
      <c r="H47" s="128" t="inlineStr">
        <is>
          <t>34 lambs bought after shearing 22 shilling 8 pence, price of each 8pence Sum 115 shilling 5pence.</t>
        </is>
      </c>
    </row>
    <row r="48">
      <c r="A48" s="138" t="inlineStr">
        <is>
          <t>Purchase of stock total</t>
        </is>
      </c>
      <c r="B48" s="139" t="n"/>
      <c r="C48" s="139" t="n"/>
      <c r="D48" s="139" t="n"/>
      <c r="E48" s="139" t="n"/>
      <c r="F48" s="139" t="n">
        <v>5.77</v>
      </c>
      <c r="G48" s="139" t="n">
        <v>4.64</v>
      </c>
      <c r="H48" s="139" t="inlineStr">
        <is>
          <t>Total</t>
        </is>
      </c>
    </row>
    <row r="49">
      <c r="A49" s="136" t="n"/>
      <c r="B49" s="128" t="n"/>
      <c r="C49" s="128" t="n"/>
      <c r="D49" s="128" t="n"/>
      <c r="E49" s="128" t="n"/>
      <c r="F49" s="128" t="n"/>
      <c r="G49" s="128" t="n"/>
      <c r="H49" s="128" t="n"/>
    </row>
    <row r="50">
      <c r="A50" s="137" t="inlineStr">
        <is>
          <t>Foreign expenses</t>
        </is>
      </c>
      <c r="B50" s="128" t="n">
        <v>0</v>
      </c>
      <c r="C50" s="128" t="n">
        <v>0</v>
      </c>
      <c r="D50" s="128" t="n">
        <v>6</v>
      </c>
      <c r="E50" s="128" t="n"/>
      <c r="F50" s="128" t="n">
        <v>0.03</v>
      </c>
      <c r="G50" s="128" t="n"/>
      <c r="H50" s="128" t="inlineStr">
        <is>
          <t>The same accounts for driving 71 female hoggets to Bishops Sutton 6 pence, by order of the Lord Adam, stockman.</t>
        </is>
      </c>
    </row>
    <row r="51">
      <c r="A51" s="136" t="inlineStr">
        <is>
          <t>Foreign expenses</t>
        </is>
      </c>
      <c r="B51" s="128" t="n">
        <v>0</v>
      </c>
      <c r="C51" s="128" t="n">
        <v>0</v>
      </c>
      <c r="D51" s="128" t="n">
        <v>7</v>
      </c>
      <c r="E51" s="128" t="n"/>
      <c r="F51" s="128" t="n">
        <v>0.03</v>
      </c>
      <c r="G51" s="128" t="n"/>
      <c r="H51" s="128" t="inlineStr">
        <is>
          <t>bringing and carrying all the wool received at the shearing of the lord’s sheep, as shown elsewhere, to Farnham 7pence Sum 13pence.</t>
        </is>
      </c>
    </row>
    <row r="52">
      <c r="A52" s="138" t="inlineStr">
        <is>
          <t>Foreign expenses total</t>
        </is>
      </c>
      <c r="B52" s="139" t="n"/>
      <c r="C52" s="139" t="n"/>
      <c r="D52" s="139" t="n"/>
      <c r="E52" s="139" t="n"/>
      <c r="F52" s="139" t="n">
        <v>0.06</v>
      </c>
      <c r="G52" s="139" t="n">
        <v>0.03</v>
      </c>
      <c r="H52" s="139" t="inlineStr">
        <is>
          <t>Total</t>
        </is>
      </c>
    </row>
    <row r="53">
      <c r="A53" s="136" t="n"/>
      <c r="B53" s="128" t="n"/>
      <c r="C53" s="128" t="n"/>
      <c r="D53" s="128" t="n"/>
      <c r="E53" s="128" t="n"/>
      <c r="F53" s="128" t="n"/>
      <c r="G53" s="128" t="n"/>
      <c r="H53" s="128" t="n"/>
    </row>
    <row r="54">
      <c r="A54" s="137" t="inlineStr">
        <is>
          <t>Expenses of the steward</t>
        </is>
      </c>
      <c r="B54" s="128" t="n">
        <v>0</v>
      </c>
      <c r="C54" s="128" t="n">
        <v>5</v>
      </c>
      <c r="D54" s="128" t="n">
        <v>11</v>
      </c>
      <c r="E54" s="128" t="n"/>
      <c r="F54" s="128" t="n">
        <v>0.3</v>
      </c>
      <c r="G54" s="128" t="n"/>
      <c r="H54" s="128" t="inlineStr">
        <is>
          <t>The same accounts for the expenses of Walter Joce, steward, for his visit in the month of March 5 shilling 11 pence, by sealed bill.</t>
        </is>
      </c>
    </row>
    <row r="55">
      <c r="A55" s="136" t="inlineStr">
        <is>
          <t>Expenses of the steward</t>
        </is>
      </c>
      <c r="B55" s="128" t="n">
        <v>0</v>
      </c>
      <c r="C55" s="128" t="n">
        <v>5</v>
      </c>
      <c r="D55" s="128" t="n">
        <v>11</v>
      </c>
      <c r="E55" s="128" t="n"/>
      <c r="F55" s="128" t="n">
        <v>0.3</v>
      </c>
      <c r="G55" s="128" t="n"/>
      <c r="H55" s="128" t="inlineStr">
        <is>
          <t>Sum 5 shilling 11pence.</t>
        </is>
      </c>
    </row>
    <row r="56">
      <c r="A56" s="136" t="inlineStr">
        <is>
          <t>Expenses of the steward</t>
        </is>
      </c>
      <c r="B56" s="128" t="n">
        <v>10</v>
      </c>
      <c r="C56" s="128" t="n">
        <v>6</v>
      </c>
      <c r="D56" s="128" t="n">
        <v>0</v>
      </c>
      <c r="E56" s="128" t="n"/>
      <c r="F56" s="128" t="n">
        <v>10.3</v>
      </c>
      <c r="G56" s="128" t="n"/>
      <c r="H56" s="128" t="inlineStr">
        <is>
          <t>&lt;P&gt;Sum of all expenses £10 6 shilling 7¾d.&lt;br&gt;.</t>
        </is>
      </c>
    </row>
    <row r="57">
      <c r="A57" s="136" t="inlineStr">
        <is>
          <t>Expenses of the steward</t>
        </is>
      </c>
      <c r="B57" s="128" t="n">
        <v>12</v>
      </c>
      <c r="C57" s="128" t="n">
        <v>11</v>
      </c>
      <c r="D57" s="128" t="n">
        <v>0</v>
      </c>
      <c r="E57" s="128" t="n"/>
      <c r="F57" s="128" t="n">
        <v>12.55</v>
      </c>
      <c r="G57" s="128" t="n"/>
      <c r="H57" s="128" t="inlineStr">
        <is>
          <t>And he owes £12 11 shilling 11½d.&lt;/P&gt;.</t>
        </is>
      </c>
    </row>
    <row r="58">
      <c r="A58" s="136" t="inlineStr">
        <is>
          <t>Expenses of the steward</t>
        </is>
      </c>
      <c r="B58" s="128" t="n">
        <v>0</v>
      </c>
      <c r="C58" s="128" t="n">
        <v>10</v>
      </c>
      <c r="D58" s="128" t="n">
        <v>7</v>
      </c>
      <c r="E58" s="128" t="n"/>
      <c r="F58" s="128" t="n">
        <v>0.53</v>
      </c>
      <c r="G58" s="128" t="n"/>
      <c r="H58" s="128" t="inlineStr">
        <is>
          <t>Of which allowed to the same 10 shilling 7 pence paid to Lord William de Meone, treasurer of the lord’s household, in various provisions for the expenses of the said household, by one writ.</t>
        </is>
      </c>
    </row>
    <row r="59">
      <c r="A59" s="136" t="inlineStr">
        <is>
          <t>Expenses of the steward</t>
        </is>
      </c>
      <c r="B59" s="128" t="n">
        <v>0</v>
      </c>
      <c r="C59" s="128" t="n">
        <v>10</v>
      </c>
      <c r="D59" s="128" t="n">
        <v>7</v>
      </c>
      <c r="E59" s="128" t="n"/>
      <c r="F59" s="128" t="n">
        <v>0.53</v>
      </c>
      <c r="G59" s="128" t="n"/>
      <c r="H59" s="128" t="inlineStr">
        <is>
          <t>Sum 10 shilling 7pence.</t>
        </is>
      </c>
    </row>
    <row r="60">
      <c r="A60" s="136" t="inlineStr">
        <is>
          <t>Expenses of the steward</t>
        </is>
      </c>
      <c r="B60" s="128" t="n">
        <v>0</v>
      </c>
      <c r="C60" s="128" t="n">
        <v>0</v>
      </c>
      <c r="D60" s="128" t="n">
        <v>0</v>
      </c>
      <c r="E60" s="128" t="n"/>
      <c r="F60" s="128" t="n">
        <v>0</v>
      </c>
      <c r="G60" s="128" t="n"/>
      <c r="H60" s="128" t="inlineStr">
        <is>
          <t>--- Page 7 ---.</t>
        </is>
      </c>
    </row>
    <row r="61">
      <c r="A61" s="136" t="inlineStr">
        <is>
          <t>Expenses of the steward</t>
        </is>
      </c>
      <c r="B61" s="128" t="n">
        <v>0</v>
      </c>
      <c r="C61" s="128" t="n">
        <v>0</v>
      </c>
      <c r="D61" s="128" t="n">
        <v>0</v>
      </c>
      <c r="E61" s="128" t="n"/>
      <c r="F61" s="128" t="n">
        <v>0</v>
      </c>
      <c r="G61" s="128" t="n"/>
      <c r="H61" s="128" t="inlineStr">
        <is>
          <t>Payment of money.</t>
        </is>
      </c>
    </row>
    <row r="62">
      <c r="A62" s="136" t="inlineStr">
        <is>
          <t>Expenses of the steward</t>
        </is>
      </c>
      <c r="B62" s="128" t="n">
        <v>9</v>
      </c>
      <c r="C62" s="128" t="n">
        <v>5</v>
      </c>
      <c r="D62" s="128" t="n">
        <v>7</v>
      </c>
      <c r="E62" s="128" t="n"/>
      <c r="F62" s="128" t="n">
        <v>9.279999999999999</v>
      </c>
      <c r="G62" s="128" t="n"/>
      <c r="H62" s="128" t="inlineStr">
        <is>
          <t>And paid to Lord John de Nubbelegh, treasurer of Wolvesey, £9 5 shilling 7 pence, by one tally.</t>
        </is>
      </c>
    </row>
    <row r="63">
      <c r="A63" s="136" t="inlineStr">
        <is>
          <t>Expenses of the steward</t>
        </is>
      </c>
      <c r="B63" s="128" t="n">
        <v>9</v>
      </c>
      <c r="C63" s="128" t="n">
        <v>16</v>
      </c>
      <c r="D63" s="128" t="n">
        <v>0</v>
      </c>
      <c r="E63" s="128" t="n"/>
      <c r="F63" s="128" t="n">
        <v>9.800000000000001</v>
      </c>
      <c r="G63" s="128" t="n"/>
      <c r="H63" s="128" t="inlineStr">
        <is>
          <t>Sum of all allowances and payments £9 16 shilling 2½d.</t>
        </is>
      </c>
    </row>
    <row r="64">
      <c r="A64" s="138" t="inlineStr">
        <is>
          <t>Expenses of the steward total</t>
        </is>
      </c>
      <c r="B64" s="139" t="n">
        <v>0</v>
      </c>
      <c r="C64" s="139" t="n">
        <v>55</v>
      </c>
      <c r="D64" s="139" t="n">
        <v>9</v>
      </c>
      <c r="E64" s="139" t="n"/>
      <c r="F64" s="139" t="n">
        <v>2.79</v>
      </c>
      <c r="G64" s="139" t="n">
        <v>-7.01</v>
      </c>
      <c r="H64" s="139" t="inlineStr">
        <is>
          <t>And he owes net 55 shilling 9pence.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2024-09-06T15:22:17Z</dcterms:created>
  <dcterms:modified xmlns:dcterms="http://purl.org/dc/terms/" xmlns:xsi="http://www.w3.org/2001/XMLSchema-instance" xsi:type="dcterms:W3CDTF">2026-02-18T12:19:10Z</dcterms:modified>
  <cp:lastModifiedBy>Kowalski, Kuba</cp:lastModifiedBy>
</cp:coreProperties>
</file>
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HIGHCLERE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6.19</v>
      </c>
      <c r="D4" s="13" t="n"/>
      <c r="E4" s="13" t="n"/>
    </row>
    <row r="5">
      <c r="A5" s="15" t="inlineStr">
        <is>
          <t>Rents of assize total</t>
        </is>
      </c>
      <c r="B5" s="76" t="n">
        <v>23.59</v>
      </c>
    </row>
    <row r="6">
      <c r="A6" s="15" t="inlineStr">
        <is>
          <t>Quittances total</t>
        </is>
      </c>
      <c r="B6" s="76" t="n"/>
    </row>
    <row r="7">
      <c r="A7" s="15" t="inlineStr">
        <is>
          <t>Defaults of rent total</t>
        </is>
      </c>
      <c r="B7" s="76" t="n">
        <v>4.21</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7.76</v>
      </c>
    </row>
    <row r="12">
      <c r="A12" s="76" t="inlineStr">
        <is>
          <t>Total of rents remaining clear total</t>
        </is>
      </c>
      <c r="B12" s="76" t="n">
        <v>15.83</v>
      </c>
    </row>
    <row r="13">
      <c r="A13" s="76" t="inlineStr">
        <is>
          <t>Farms total</t>
        </is>
      </c>
      <c r="B13" s="76" t="n"/>
    </row>
    <row r="14">
      <c r="A14" s="15" t="inlineStr">
        <is>
          <t>Annual recognizances total</t>
        </is>
      </c>
      <c r="B14" s="76" t="n"/>
    </row>
    <row r="15">
      <c r="A15" s="15" t="inlineStr">
        <is>
          <t>Issues of the Manor total</t>
        </is>
      </c>
      <c r="B15" s="76" t="n">
        <v>2.55</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2.13</v>
      </c>
    </row>
    <row r="20">
      <c r="A20" s="15" t="inlineStr">
        <is>
          <t>Pleas &amp; perquisites total</t>
        </is>
      </c>
      <c r="B20" s="76" t="n">
        <v>0.12</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'Receipts'!F89</f>
        <v/>
      </c>
      <c r="C25" s="10">
        <f>B23-B25</f>
        <v/>
      </c>
    </row>
    <row r="26">
      <c r="A26" s="83" t="inlineStr">
        <is>
          <t>Total recorded in the accounts incl. arrears</t>
        </is>
      </c>
      <c r="B26">
        <f>'Receipts'!F90</f>
        <v/>
      </c>
      <c r="D26" s="13" t="n"/>
      <c r="E26" s="13" t="n"/>
    </row>
    <row r="27">
      <c r="A27" s="15" t="n"/>
    </row>
    <row r="28">
      <c r="A28" s="15" t="n"/>
    </row>
    <row r="29">
      <c r="A29" s="16" t="inlineStr">
        <is>
          <t>EXPENSES</t>
        </is>
      </c>
    </row>
    <row r="30">
      <c r="A30" s="15" t="inlineStr">
        <is>
          <t>Cost of ploughs total</t>
        </is>
      </c>
      <c r="B30" t="n">
        <v>0</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0.52</v>
      </c>
    </row>
    <row r="43">
      <c r="A43" s="85" t="inlineStr">
        <is>
          <t>Annual fees</t>
        </is>
      </c>
      <c r="B43" s="86" t="n"/>
      <c r="C43" s="87" t="n"/>
      <c r="D43" s="88" t="n"/>
    </row>
    <row r="44">
      <c r="A44" s="82" t="inlineStr">
        <is>
          <t>Total of all expenses per account</t>
        </is>
      </c>
      <c r="B44" s="84">
        <f>'Expenses'!F34</f>
        <v/>
      </c>
    </row>
    <row r="45">
      <c r="A45" s="82" t="inlineStr">
        <is>
          <t>Total of all expenses (calculated here)</t>
        </is>
      </c>
      <c r="B45" s="84">
        <f>'Expenses'!F35</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27.9</v>
      </c>
    </row>
    <row r="51">
      <c r="A51" s="15" t="n"/>
    </row>
    <row r="52">
      <c r="A52" s="18" t="inlineStr">
        <is>
          <t>Allowances</t>
        </is>
      </c>
      <c r="B52" s="84" t="n"/>
    </row>
    <row r="53">
      <c r="A53" s="18" t="inlineStr">
        <is>
          <t>Cash deliveries</t>
        </is>
      </c>
      <c r="B53" s="84" t="n">
        <v>19</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10</v>
      </c>
      <c r="C94" s="76">
        <f>'Stock'!L12</f>
        <v/>
      </c>
      <c r="D94" s="76">
        <f>C94-B94</f>
        <v/>
      </c>
      <c r="F94" s="84">
        <f>'Stock'!L12*'Stock'!O12</f>
        <v/>
      </c>
      <c r="G94" s="84">
        <f>D94*'Stock'!O12</f>
        <v/>
      </c>
    </row>
    <row r="95">
      <c r="A95" s="15" t="inlineStr">
        <is>
          <t>Bulls</t>
        </is>
      </c>
      <c r="B95" s="76" t="n">
        <v>2</v>
      </c>
      <c r="C95" s="76">
        <f>'Stock'!L13</f>
        <v/>
      </c>
      <c r="D95" s="76">
        <f>C95-B95</f>
        <v/>
      </c>
      <c r="F95" s="84">
        <f>'Stock'!L13*'Stock'!O13</f>
        <v/>
      </c>
      <c r="G95" s="84">
        <f>D95*'Stock'!O13</f>
        <v/>
      </c>
    </row>
    <row r="96">
      <c r="A96" s="15" t="inlineStr">
        <is>
          <t>Cows</t>
        </is>
      </c>
      <c r="B96" s="76" t="n">
        <v>19</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446</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9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HIGHCLERE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6</v>
      </c>
      <c r="C3" s="128" t="n">
        <v>3</v>
      </c>
      <c r="D3" s="128" t="n">
        <v>9</v>
      </c>
      <c r="E3" s="128" t="n"/>
      <c r="F3" s="128" t="n">
        <v>6.19</v>
      </c>
      <c r="G3" s="128" t="n"/>
      <c r="H3" s="128" t="inlineStr">
        <is>
          <t>The same answers for £6 3 shilling 9pence of arrears from the last account of the preceding year.</t>
        </is>
      </c>
      <c r="I3" s="128" t="n"/>
    </row>
    <row r="4">
      <c r="A4" s="137" t="inlineStr">
        <is>
          <t>Arrears</t>
        </is>
      </c>
      <c r="B4" s="128" t="n">
        <v>6</v>
      </c>
      <c r="C4" s="128" t="n">
        <v>3</v>
      </c>
      <c r="D4" s="128" t="n">
        <v>9</v>
      </c>
      <c r="E4" s="128" t="n"/>
      <c r="F4" s="128" t="n">
        <v>6.19</v>
      </c>
      <c r="G4" s="128" t="n"/>
      <c r="H4" s="128" t="inlineStr">
        <is>
          <t>Total, £6 3 shilling 9pence.</t>
        </is>
      </c>
      <c r="I4" s="128" t="n"/>
    </row>
    <row r="5">
      <c r="A5" s="138" t="inlineStr">
        <is>
          <t>Arrears total</t>
        </is>
      </c>
      <c r="B5" s="139" t="n"/>
      <c r="C5" s="139" t="n"/>
      <c r="D5" s="139" t="n"/>
      <c r="E5" s="139" t="n"/>
      <c r="F5" s="139" t="n">
        <v>6.19</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v>
      </c>
      <c r="C7" s="128" t="n">
        <v>19</v>
      </c>
      <c r="D7" s="128" t="n">
        <v>2.75</v>
      </c>
      <c r="E7" s="128" t="n"/>
      <c r="F7" s="128" t="n">
        <v>1.96</v>
      </c>
      <c r="G7" s="128" t="n"/>
      <c r="H7" s="128" t="inlineStr">
        <is>
          <t>And for £1 19 shilling 2.75pence for all rents of assize there at Christmas.</t>
        </is>
      </c>
      <c r="I7" s="128" t="n"/>
    </row>
    <row r="8">
      <c r="A8" s="137" t="inlineStr">
        <is>
          <t>Rents of assize</t>
        </is>
      </c>
      <c r="B8" s="128" t="n">
        <v>3</v>
      </c>
      <c r="C8" s="128" t="n">
        <v>11</v>
      </c>
      <c r="D8" s="128" t="n">
        <v>2.75</v>
      </c>
      <c r="E8" s="128" t="n"/>
      <c r="F8" s="128" t="n">
        <v>3.56</v>
      </c>
      <c r="G8" s="128" t="n"/>
      <c r="H8" s="128" t="inlineStr">
        <is>
          <t>£3 11 shilling 2.75pence at Easter (23 March).</t>
        </is>
      </c>
      <c r="I8" s="128" t="n"/>
    </row>
    <row r="9">
      <c r="A9" s="137" t="inlineStr">
        <is>
          <t>Rents of assize</t>
        </is>
      </c>
      <c r="B9" s="128" t="n">
        <v>2</v>
      </c>
      <c r="C9" s="128" t="n">
        <v>5</v>
      </c>
      <c r="D9" s="128" t="n">
        <v>2.75</v>
      </c>
      <c r="E9" s="128" t="n"/>
      <c r="F9" s="128" t="n">
        <v>2.26</v>
      </c>
      <c r="G9" s="128" t="n"/>
      <c r="H9" s="128" t="inlineStr">
        <is>
          <t>£2 5 shilling 2.75pence at the Nativity of the blessed John the Baptist (24 June).</t>
        </is>
      </c>
      <c r="I9" s="128" t="n"/>
    </row>
    <row r="10">
      <c r="A10" s="137" t="inlineStr">
        <is>
          <t>Rents of assize</t>
        </is>
      </c>
      <c r="B10" s="128" t="n">
        <v>15</v>
      </c>
      <c r="C10" s="128" t="n">
        <v>16</v>
      </c>
      <c r="D10" s="128" t="n">
        <v>2.75</v>
      </c>
      <c r="E10" s="128" t="n"/>
      <c r="F10" s="128" t="n">
        <v>15.81</v>
      </c>
      <c r="G10" s="128" t="n"/>
      <c r="H10" s="128" t="inlineStr">
        <is>
          <t>£15 16 shilling 2.75pence at Michaelmas (29 September).</t>
        </is>
      </c>
      <c r="I10" s="128" t="n"/>
    </row>
    <row r="11">
      <c r="A11" s="137" t="inlineStr">
        <is>
          <t>Rents of assize</t>
        </is>
      </c>
      <c r="B11" s="128" t="n">
        <v>23</v>
      </c>
      <c r="C11" s="128" t="n">
        <v>11</v>
      </c>
      <c r="D11" s="128" t="n">
        <v>11</v>
      </c>
      <c r="E11" s="128" t="n"/>
      <c r="F11" s="128" t="n">
        <v>23.6</v>
      </c>
      <c r="G11" s="128" t="n"/>
      <c r="H11" s="128" t="inlineStr">
        <is>
          <t>Total, £23 11 shilling 11pence.</t>
        </is>
      </c>
      <c r="I11" s="128" t="n"/>
    </row>
    <row r="12">
      <c r="A12" s="138" t="inlineStr">
        <is>
          <t>Rents of assize total</t>
        </is>
      </c>
      <c r="B12" s="139" t="n"/>
      <c r="C12" s="139" t="n"/>
      <c r="D12" s="139" t="n"/>
      <c r="E12" s="139" t="n"/>
      <c r="F12" s="139" t="n">
        <v>23.59</v>
      </c>
      <c r="G12" s="139" t="n">
        <v>-0.01</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0</v>
      </c>
      <c r="C14" s="128" t="n">
        <v>0</v>
      </c>
      <c r="D14" s="128" t="n">
        <v>10</v>
      </c>
      <c r="E14" s="128" t="n"/>
      <c r="F14" s="128" t="n">
        <v>0.04</v>
      </c>
      <c r="G14" s="128" t="n"/>
      <c r="H14" s="128" t="inlineStr">
        <is>
          <t>In default of 24 acres of land drawn into demesne, 10pence for the year.</t>
        </is>
      </c>
      <c r="I14" s="128" t="n"/>
    </row>
    <row r="15">
      <c r="A15" s="137" t="inlineStr">
        <is>
          <t>Defaults of rent</t>
        </is>
      </c>
      <c r="B15" s="128" t="n">
        <v>0</v>
      </c>
      <c r="C15" s="128" t="n">
        <v>13</v>
      </c>
      <c r="D15" s="128" t="n">
        <v>4</v>
      </c>
      <c r="E15" s="128" t="n"/>
      <c r="F15" s="128" t="n">
        <v>0.67</v>
      </c>
      <c r="G15" s="128" t="n"/>
      <c r="H15" s="128" t="inlineStr">
        <is>
          <t>10 virgates of land drawn into the park, 13 shilling 4pence for the year.</t>
        </is>
      </c>
      <c r="I15" s="128" t="n"/>
    </row>
    <row r="16">
      <c r="A16" s="137" t="inlineStr">
        <is>
          <t>Defaults of rent</t>
        </is>
      </c>
      <c r="B16" s="128" t="n">
        <v>0</v>
      </c>
      <c r="C16" s="128" t="n">
        <v>1</v>
      </c>
      <c r="D16" s="128" t="n">
        <v>0</v>
      </c>
      <c r="E16" s="128" t="n"/>
      <c r="F16" s="128" t="n">
        <v>0.05</v>
      </c>
      <c r="G16" s="128" t="n"/>
      <c r="H16" s="128" t="inlineStr">
        <is>
          <t>the land of the skinner 1 shilling.</t>
        </is>
      </c>
      <c r="I16" s="128" t="n"/>
    </row>
    <row r="17">
      <c r="A17" s="137" t="inlineStr">
        <is>
          <t>Defaults of rent</t>
        </is>
      </c>
      <c r="B17" s="128" t="n">
        <v>0</v>
      </c>
      <c r="C17" s="128" t="n">
        <v>4</v>
      </c>
      <c r="D17" s="128" t="n">
        <v>6</v>
      </c>
      <c r="E17" s="128" t="n"/>
      <c r="F17" s="128" t="n">
        <v>0.23</v>
      </c>
      <c r="G17" s="128" t="n"/>
      <c r="H17" s="128" t="inlineStr">
        <is>
          <t>the land of Benedict Clerc' drawn into demesne, 4 shilling 6pence for the year.</t>
        </is>
      </c>
      <c r="I17" s="128" t="n"/>
    </row>
    <row r="18">
      <c r="A18" s="137" t="inlineStr">
        <is>
          <t>Defaults of rent</t>
        </is>
      </c>
      <c r="B18" s="128" t="n">
        <v>0</v>
      </c>
      <c r="C18" s="128" t="n">
        <v>17</v>
      </c>
      <c r="D18" s="128" t="n">
        <v>9</v>
      </c>
      <c r="E18" s="128" t="n"/>
      <c r="F18" s="128" t="n">
        <v>0.89</v>
      </c>
      <c r="G18" s="128" t="n"/>
      <c r="H18" s="128" t="inlineStr">
        <is>
          <t>the land which belonged to Alexander le Whyte drawn into demesne, 17 shilling 9pence for the year.</t>
        </is>
      </c>
      <c r="I18" s="128" t="n"/>
    </row>
    <row r="19">
      <c r="A19" s="137" t="inlineStr">
        <is>
          <t>Defaults of rent</t>
        </is>
      </c>
      <c r="B19" s="128" t="n">
        <v>0</v>
      </c>
      <c r="C19" s="128" t="n">
        <v>3</v>
      </c>
      <c r="D19" s="128" t="n">
        <v>0</v>
      </c>
      <c r="E19" s="128" t="n"/>
      <c r="F19" s="128" t="n">
        <v>0.15</v>
      </c>
      <c r="G19" s="128" t="n"/>
      <c r="H19" s="128" t="inlineStr">
        <is>
          <t>the land of Hawkley, 3 shilling for the year.</t>
        </is>
      </c>
      <c r="I19" s="128" t="n"/>
    </row>
    <row r="20">
      <c r="A20" s="137" t="inlineStr">
        <is>
          <t>Defaults of rent</t>
        </is>
      </c>
      <c r="B20" s="128" t="n">
        <v>0</v>
      </c>
      <c r="C20" s="128" t="n">
        <v>0</v>
      </c>
      <c r="D20" s="128" t="n">
        <v>4</v>
      </c>
      <c r="E20" s="128" t="n"/>
      <c r="F20" s="128" t="n">
        <v>0.02</v>
      </c>
      <c r="G20" s="128" t="n"/>
      <c r="H20" s="128" t="inlineStr">
        <is>
          <t>1 house which belonged to Nicholas atte Sele, pulled down by statute, 4pence.</t>
        </is>
      </c>
      <c r="I20" s="128" t="n"/>
    </row>
    <row r="21">
      <c r="A21" s="137" t="inlineStr">
        <is>
          <t>Defaults of rent</t>
        </is>
      </c>
      <c r="B21" s="128" t="n">
        <v>0</v>
      </c>
      <c r="C21" s="128" t="n">
        <v>2</v>
      </c>
      <c r="D21" s="128" t="n">
        <v>9</v>
      </c>
      <c r="E21" s="128" t="n"/>
      <c r="F21" s="128" t="n">
        <v>0.14</v>
      </c>
      <c r="G21" s="128" t="n"/>
      <c r="H21" s="128" t="inlineStr">
        <is>
          <t>the land of Richard Sone, for 7.5 acres 1 rood of land drawn into the park, 2 shilling 9pence for the year, for which he has an exchange in the manor of Burghclere, and he pays for the same there as made clear in that account.</t>
        </is>
      </c>
      <c r="I21" s="128" t="n"/>
    </row>
    <row r="22">
      <c r="A22" s="137" t="inlineStr">
        <is>
          <t>Defaults of rent</t>
        </is>
      </c>
      <c r="B22" s="128" t="n">
        <v>0</v>
      </c>
      <c r="C22" s="128" t="n">
        <v>3</v>
      </c>
      <c r="D22" s="128" t="n">
        <v>9</v>
      </c>
      <c r="E22" s="128" t="n"/>
      <c r="F22" s="128" t="n">
        <v>0.19</v>
      </c>
      <c r="G22" s="128" t="n"/>
      <c r="H22" s="128" t="inlineStr">
        <is>
          <t>the land of Alice Newe, for 9 acres of land drawn into the park, 3 shilling 9pence, for which she has an exchange in the manor of Burghclere, and she pays for the same there.</t>
        </is>
      </c>
      <c r="I22" s="128" t="n"/>
    </row>
    <row r="23">
      <c r="A23" s="137" t="inlineStr">
        <is>
          <t>Defaults of rent</t>
        </is>
      </c>
      <c r="B23" s="128" t="n">
        <v>0</v>
      </c>
      <c r="C23" s="128" t="n">
        <v>0</v>
      </c>
      <c r="D23" s="128" t="n">
        <v>6</v>
      </c>
      <c r="E23" s="128" t="n"/>
      <c r="F23" s="128" t="n">
        <v>0.03</v>
      </c>
      <c r="G23" s="128" t="n"/>
      <c r="H23" s="128" t="inlineStr">
        <is>
          <t>the land of Adam Semere, for 1.5 acres of land drawn into the park, 6pence, for which he has an exchange in the manor of Burghclere, and he pays for the same there.</t>
        </is>
      </c>
      <c r="I23" s="128" t="n"/>
    </row>
    <row r="24">
      <c r="A24" s="137" t="inlineStr">
        <is>
          <t>Defaults of rent</t>
        </is>
      </c>
      <c r="B24" s="128" t="n">
        <v>0</v>
      </c>
      <c r="C24" s="128" t="n">
        <v>1</v>
      </c>
      <c r="D24" s="128" t="n">
        <v>4.5</v>
      </c>
      <c r="E24" s="128" t="n"/>
      <c r="F24" s="128" t="n">
        <v>0.07000000000000001</v>
      </c>
      <c r="G24" s="128" t="n"/>
      <c r="H24" s="128" t="inlineStr">
        <is>
          <t>the land of John Randolf, for 3 acres 1 rood of land drawn into the park, 1 shilling 4.5pence for the year, for which he has an exchange in the manor of Burghclere, and he pays for the same there.</t>
        </is>
      </c>
      <c r="I24" s="128" t="n"/>
    </row>
    <row r="25">
      <c r="A25" s="137" t="inlineStr">
        <is>
          <t>Defaults of rent</t>
        </is>
      </c>
      <c r="B25" s="128" t="n">
        <v>0</v>
      </c>
      <c r="C25" s="128" t="n">
        <v>1</v>
      </c>
      <c r="D25" s="128" t="n">
        <v>4.5</v>
      </c>
      <c r="E25" s="128" t="n"/>
      <c r="F25" s="128" t="n">
        <v>0.07000000000000001</v>
      </c>
      <c r="G25" s="128" t="n"/>
      <c r="H25" s="128" t="inlineStr">
        <is>
          <t>the land of John Kippyng', for 3 acres 1 rood of land drawn into the park, 1 shilling 4.5pence for the year, for which he has an exchange in the manor of Burghclere, and he pays for the same there.</t>
        </is>
      </c>
      <c r="I25" s="128" t="n"/>
    </row>
    <row r="26">
      <c r="A26" s="137" t="inlineStr">
        <is>
          <t>Defaults of rent</t>
        </is>
      </c>
      <c r="B26" s="128" t="n">
        <v>0</v>
      </c>
      <c r="C26" s="128" t="n">
        <v>2</v>
      </c>
      <c r="D26" s="128" t="n">
        <v>9</v>
      </c>
      <c r="E26" s="128" t="n"/>
      <c r="F26" s="128" t="n">
        <v>0.14</v>
      </c>
      <c r="G26" s="128" t="n"/>
      <c r="H26" s="128" t="inlineStr">
        <is>
          <t>the land of Robert Lok', 6.5 acres 1 rood of land drawn into the park, 2 shilling 9pence, for which he has an exchange in the manor of Burghclere, and he pays for the same there.</t>
        </is>
      </c>
      <c r="I26" s="128" t="n"/>
    </row>
    <row r="27">
      <c r="A27" s="137" t="inlineStr">
        <is>
          <t>Defaults of rent</t>
        </is>
      </c>
      <c r="B27" s="128" t="n">
        <v>0</v>
      </c>
      <c r="C27" s="128" t="n">
        <v>2</v>
      </c>
      <c r="D27" s="128" t="n">
        <v>0</v>
      </c>
      <c r="E27" s="128" t="n"/>
      <c r="F27" s="128" t="n">
        <v>0.1</v>
      </c>
      <c r="G27" s="128" t="n"/>
      <c r="H27" s="128" t="inlineStr">
        <is>
          <t>the land of John Elys, for 4 acres 1 rood of land drawn into demesne, 2 shilling for the year, for which he has an exchange  in the manor of Burghclere, and he pays for the same there.</t>
        </is>
      </c>
      <c r="I27" s="128" t="n"/>
    </row>
    <row r="28">
      <c r="A28" s="137" t="inlineStr">
        <is>
          <t>Defaults of rent</t>
        </is>
      </c>
      <c r="B28" s="128" t="n">
        <v>0</v>
      </c>
      <c r="C28" s="128" t="n">
        <v>6</v>
      </c>
      <c r="D28" s="128" t="n">
        <v>3</v>
      </c>
      <c r="E28" s="128" t="n"/>
      <c r="F28" s="128" t="n">
        <v>0.31</v>
      </c>
      <c r="G28" s="128" t="n"/>
      <c r="H28" s="128" t="inlineStr">
        <is>
          <t>the land of Adam Stubbe, for 12.5 acres drawn into demesne because he was unwilling to hold it longer, 6 shilling 3pence for the year.</t>
        </is>
      </c>
      <c r="I28" s="128" t="n"/>
    </row>
    <row r="29">
      <c r="A29" s="137" t="inlineStr">
        <is>
          <t>Defaults of rent</t>
        </is>
      </c>
      <c r="B29" s="128" t="n">
        <v>0</v>
      </c>
      <c r="C29" s="128" t="n">
        <v>0</v>
      </c>
      <c r="D29" s="128" t="n">
        <v>1</v>
      </c>
      <c r="E29" s="128" t="n"/>
      <c r="F29" s="128" t="n">
        <v>0</v>
      </c>
      <c r="G29" s="128" t="n"/>
      <c r="H29" s="128" t="inlineStr">
        <is>
          <t>the land formerly of John Battyng' drawn into the park 1pence.</t>
        </is>
      </c>
      <c r="I29" s="128" t="n"/>
    </row>
    <row r="30">
      <c r="A30" s="137" t="inlineStr">
        <is>
          <t>Defaults of rent</t>
        </is>
      </c>
      <c r="B30" s="128" t="n">
        <v>0</v>
      </c>
      <c r="C30" s="128" t="n">
        <v>2</v>
      </c>
      <c r="D30" s="128" t="n">
        <v>9</v>
      </c>
      <c r="E30" s="128" t="n"/>
      <c r="F30" s="128" t="n">
        <v>0.14</v>
      </c>
      <c r="G30" s="128" t="n"/>
      <c r="H30" s="128" t="inlineStr">
        <is>
          <t>6.5 acres of purpresture formerly of Henry atte Sele drawn into the park 2 shilling 9pence.</t>
        </is>
      </c>
      <c r="I30" s="128" t="n"/>
    </row>
    <row r="31">
      <c r="A31" s="137" t="inlineStr">
        <is>
          <t>Defaults of rent</t>
        </is>
      </c>
      <c r="B31" s="128" t="n">
        <v>0</v>
      </c>
      <c r="C31" s="128" t="n">
        <v>1</v>
      </c>
      <c r="D31" s="128" t="n">
        <v>3</v>
      </c>
      <c r="E31" s="128" t="n"/>
      <c r="F31" s="128" t="n">
        <v>0.06</v>
      </c>
      <c r="G31" s="128" t="n"/>
      <c r="H31" s="128" t="inlineStr">
        <is>
          <t>2.5 acres of purpresture formerly of Robert Legat drawn into the park, 1 shilling 3pence for the year.</t>
        </is>
      </c>
      <c r="I31" s="128" t="n"/>
    </row>
    <row r="32">
      <c r="A32" s="137" t="inlineStr">
        <is>
          <t>Defaults of rent</t>
        </is>
      </c>
      <c r="B32" s="128" t="n">
        <v>0</v>
      </c>
      <c r="C32" s="128" t="n">
        <v>2</v>
      </c>
      <c r="D32" s="128" t="n">
        <v>9</v>
      </c>
      <c r="E32" s="128" t="n"/>
      <c r="F32" s="128" t="n">
        <v>0.14</v>
      </c>
      <c r="G32" s="128" t="n"/>
      <c r="H32" s="128" t="inlineStr">
        <is>
          <t>5.5 acres of purpresture formerly of John Newe drawn into the park 2 shilling 9pence.</t>
        </is>
      </c>
      <c r="I32" s="128" t="n"/>
    </row>
    <row r="33">
      <c r="A33" s="137" t="inlineStr">
        <is>
          <t>Defaults of rent</t>
        </is>
      </c>
      <c r="B33" s="128" t="n">
        <v>0</v>
      </c>
      <c r="C33" s="128" t="n">
        <v>0</v>
      </c>
      <c r="D33" s="128" t="n">
        <v>0</v>
      </c>
      <c r="E33" s="128" t="n"/>
      <c r="F33" s="128" t="n">
        <v>0</v>
      </c>
      <c r="G33" s="128" t="n"/>
      <c r="H33" s="128" t="inlineStr">
        <is>
          <t>8 acres of land.</t>
        </is>
      </c>
      <c r="I33" s="128" t="n"/>
    </row>
    <row r="34">
      <c r="A34" s="137" t="inlineStr">
        <is>
          <t>Defaults of rent</t>
        </is>
      </c>
      <c r="B34" s="128" t="n">
        <v>0</v>
      </c>
      <c r="C34" s="128" t="n">
        <v>4</v>
      </c>
      <c r="D34" s="128" t="n">
        <v>0</v>
      </c>
      <c r="E34" s="128" t="n"/>
      <c r="F34" s="128" t="n">
        <v>0.2</v>
      </c>
      <c r="G34" s="128" t="n"/>
      <c r="H34" s="128" t="inlineStr">
        <is>
          <t>of John Cutell' drawn into the park 4 shilling.</t>
        </is>
      </c>
      <c r="I34" s="128" t="n"/>
    </row>
    <row r="35">
      <c r="A35" s="137" t="inlineStr">
        <is>
          <t>Defaults of rent</t>
        </is>
      </c>
      <c r="B35" s="128" t="n">
        <v>0</v>
      </c>
      <c r="C35" s="128" t="n">
        <v>1</v>
      </c>
      <c r="D35" s="128" t="n">
        <v>0</v>
      </c>
      <c r="E35" s="128" t="n"/>
      <c r="F35" s="128" t="n">
        <v>0.05</v>
      </c>
      <c r="G35" s="128" t="n"/>
      <c r="H35" s="128" t="inlineStr">
        <is>
          <t>2 acres of purpresture formerly of William Honywell' drawn into the park, 1 shilling for the year.</t>
        </is>
      </c>
      <c r="I35" s="128" t="n"/>
    </row>
    <row r="36">
      <c r="A36" s="137" t="inlineStr">
        <is>
          <t>Defaults of rent</t>
        </is>
      </c>
      <c r="B36" s="128" t="n">
        <v>0</v>
      </c>
      <c r="C36" s="128" t="n">
        <v>1</v>
      </c>
      <c r="D36" s="128" t="n">
        <v>4.5</v>
      </c>
      <c r="E36" s="128" t="n"/>
      <c r="F36" s="128" t="n">
        <v>0.07000000000000001</v>
      </c>
      <c r="G36" s="128" t="n"/>
      <c r="H36" s="128" t="inlineStr">
        <is>
          <t>2 acres 3 roods of purpresture formerly of William Kyng' drawn into the park, 1 shilling 4.5pence for the year.</t>
        </is>
      </c>
      <c r="I36" s="128" t="n"/>
    </row>
    <row r="37">
      <c r="A37" s="137" t="inlineStr">
        <is>
          <t>Defaults of rent</t>
        </is>
      </c>
      <c r="B37" s="128" t="n">
        <v>0</v>
      </c>
      <c r="C37" s="128" t="n">
        <v>4</v>
      </c>
      <c r="D37" s="128" t="n">
        <v>61</v>
      </c>
      <c r="E37" s="128" t="n"/>
      <c r="F37" s="128" t="n">
        <v>0.45</v>
      </c>
      <c r="G37" s="128" t="n"/>
      <c r="H37" s="128" t="inlineStr">
        <is>
          <t>9 acres of purpresture and a third part of 1 rood of purpresture formerly of John Lag' drawn into the park, 4 shilling 61 pence for the year.</t>
        </is>
      </c>
      <c r="I37" s="128" t="n"/>
    </row>
    <row r="38">
      <c r="A38" s="137" t="inlineStr">
        <is>
          <t>Defaults of rent</t>
        </is>
      </c>
      <c r="B38" s="128" t="n">
        <v>3</v>
      </c>
      <c r="C38" s="128" t="n">
        <v>19</v>
      </c>
      <c r="D38" s="128" t="n">
        <v>3</v>
      </c>
      <c r="E38" s="128" t="n"/>
      <c r="F38" s="128" t="n">
        <v>3.96</v>
      </c>
      <c r="G38" s="128" t="n"/>
      <c r="H38" s="128" t="inlineStr">
        <is>
          <t>Total, £3 19 shilling 3pence.</t>
        </is>
      </c>
      <c r="I38" s="128" t="n"/>
    </row>
    <row r="39">
      <c r="A39" s="138" t="inlineStr">
        <is>
          <t>Defaults of rent total</t>
        </is>
      </c>
      <c r="B39" s="139" t="n"/>
      <c r="C39" s="139" t="n"/>
      <c r="D39" s="139" t="n"/>
      <c r="E39" s="139" t="n"/>
      <c r="F39" s="139" t="n">
        <v>4.21</v>
      </c>
      <c r="G39" s="139" t="n">
        <v>0.25</v>
      </c>
      <c r="H39" s="139" t="inlineStr">
        <is>
          <t>Total</t>
        </is>
      </c>
      <c r="I39" s="139" t="n"/>
    </row>
    <row r="40">
      <c r="A40" s="137" t="n"/>
      <c r="B40" s="128" t="n"/>
      <c r="C40" s="128" t="n"/>
      <c r="D40" s="128" t="n"/>
      <c r="E40" s="128" t="n"/>
      <c r="F40" s="128" t="n"/>
      <c r="G40" s="128" t="n"/>
      <c r="H40" s="128" t="n"/>
      <c r="I40" s="128" t="n"/>
    </row>
    <row r="41">
      <c r="A41" s="136" t="inlineStr">
        <is>
          <t>Total of quittances and defaults of rent</t>
        </is>
      </c>
      <c r="B41" s="128" t="n">
        <v>7</v>
      </c>
      <c r="C41" s="128" t="n">
        <v>15</v>
      </c>
      <c r="D41" s="128" t="n">
        <v>3.5</v>
      </c>
      <c r="E41" s="128" t="n"/>
      <c r="F41" s="128" t="n">
        <v>7.76</v>
      </c>
      <c r="G41" s="128" t="n"/>
      <c r="H41" s="128" t="inlineStr">
        <is>
          <t>Total of quittances and defaults of rent, £7 15 shilling 3.5pence.</t>
        </is>
      </c>
      <c r="I41" s="128" t="n"/>
    </row>
    <row r="42">
      <c r="A42" s="138" t="inlineStr">
        <is>
          <t>Total of quittances and defaults of rent total</t>
        </is>
      </c>
      <c r="B42" s="139" t="n"/>
      <c r="C42" s="139" t="n"/>
      <c r="D42" s="139" t="n"/>
      <c r="E42" s="139" t="n"/>
      <c r="F42" s="139" t="n">
        <v>7.76</v>
      </c>
      <c r="G42" s="139" t="n">
        <v>0</v>
      </c>
      <c r="H42" s="139" t="inlineStr">
        <is>
          <t>Total</t>
        </is>
      </c>
      <c r="I42" s="139" t="n"/>
    </row>
    <row r="43">
      <c r="A43" s="137" t="n"/>
      <c r="B43" s="128" t="n"/>
      <c r="C43" s="128" t="n"/>
      <c r="D43" s="128" t="n"/>
      <c r="E43" s="128" t="n"/>
      <c r="F43" s="128" t="n"/>
      <c r="G43" s="128" t="n"/>
      <c r="H43" s="128" t="n"/>
      <c r="I43" s="128" t="n"/>
    </row>
    <row r="44">
      <c r="A44" s="136" t="inlineStr">
        <is>
          <t>Total of rents remaining clear</t>
        </is>
      </c>
      <c r="B44" s="128" t="n">
        <v>15</v>
      </c>
      <c r="C44" s="128" t="n">
        <v>16</v>
      </c>
      <c r="D44" s="128" t="n">
        <v>7.5</v>
      </c>
      <c r="E44" s="128" t="n"/>
      <c r="F44" s="128" t="n">
        <v>15.83</v>
      </c>
      <c r="G44" s="128" t="n"/>
      <c r="H44" s="128" t="inlineStr">
        <is>
          <t>Total of rents remaining clear, £15 16 shilling 7.5pence.</t>
        </is>
      </c>
      <c r="I44" s="128" t="n"/>
    </row>
    <row r="45">
      <c r="A45" s="138" t="inlineStr">
        <is>
          <t>Total of rents remaining clear total</t>
        </is>
      </c>
      <c r="B45" s="139" t="n"/>
      <c r="C45" s="139" t="n"/>
      <c r="D45" s="139" t="n"/>
      <c r="E45" s="139" t="n"/>
      <c r="F45" s="139" t="n">
        <v>15.83</v>
      </c>
      <c r="G45" s="139" t="n">
        <v>0</v>
      </c>
      <c r="H45" s="139" t="inlineStr">
        <is>
          <t>Total</t>
        </is>
      </c>
      <c r="I45" s="139" t="n"/>
    </row>
    <row r="46">
      <c r="A46" s="137" t="n"/>
      <c r="B46" s="128" t="n"/>
      <c r="C46" s="128" t="n"/>
      <c r="D46" s="128" t="n"/>
      <c r="E46" s="128" t="n"/>
      <c r="F46" s="128" t="n"/>
      <c r="G46" s="128" t="n"/>
      <c r="H46" s="128" t="n"/>
      <c r="I46" s="128" t="n"/>
    </row>
    <row r="47">
      <c r="A47" s="136" t="inlineStr">
        <is>
          <t>Issues of the manor</t>
        </is>
      </c>
      <c r="B47" s="128" t="n">
        <v>0</v>
      </c>
      <c r="C47" s="128" t="n">
        <v>4</v>
      </c>
      <c r="D47" s="128" t="n">
        <v>5.5</v>
      </c>
      <c r="E47" s="128" t="n"/>
      <c r="F47" s="128" t="n">
        <v>0.22</v>
      </c>
      <c r="G47" s="128" t="n"/>
      <c r="H47" s="128" t="inlineStr">
        <is>
          <t>And for 4 shilling 5.5pence from the pannage of the pigs of the customary tenants at Martinmas, that is, for 31 pigs, at 1pence each, and 45 piglets, at 0.5pence each.</t>
        </is>
      </c>
      <c r="I47" s="128" t="n"/>
    </row>
    <row r="48">
      <c r="A48" s="137" t="inlineStr">
        <is>
          <t>Issues of the manor</t>
        </is>
      </c>
      <c r="B48" s="128" t="n">
        <v>0</v>
      </c>
      <c r="C48" s="128" t="n">
        <v>0</v>
      </c>
      <c r="D48" s="128" t="n">
        <v>0</v>
      </c>
      <c r="E48" s="128" t="n"/>
      <c r="F48" s="128" t="n">
        <v>0</v>
      </c>
      <c r="G48" s="128" t="n"/>
      <c r="H48" s="128" t="inlineStr">
        <is>
          <t>nothing from the agistment of pigs in the park this year.</t>
        </is>
      </c>
      <c r="I48" s="128" t="n"/>
    </row>
    <row r="49">
      <c r="A49" s="137" t="inlineStr">
        <is>
          <t>Issues of the manor</t>
        </is>
      </c>
      <c r="B49" s="128" t="n">
        <v>0</v>
      </c>
      <c r="C49" s="128" t="n">
        <v>1</v>
      </c>
      <c r="D49" s="128" t="n">
        <v>6</v>
      </c>
      <c r="E49" s="128" t="n"/>
      <c r="F49" s="128" t="n">
        <v>0.08</v>
      </c>
      <c r="G49" s="128" t="n"/>
      <c r="H49" s="128" t="inlineStr">
        <is>
          <t>1 shilling 6pence from the men of Hawkley according to custom at Michaelmas for not mowing the meadow of Wolvesey.</t>
        </is>
      </c>
      <c r="I49" s="128" t="n"/>
    </row>
    <row r="50">
      <c r="A50" s="137" t="inlineStr">
        <is>
          <t>Issues of the manor</t>
        </is>
      </c>
      <c r="B50" s="128" t="n">
        <v>0</v>
      </c>
      <c r="C50" s="128" t="n">
        <v>2</v>
      </c>
      <c r="D50" s="128" t="n">
        <v>0</v>
      </c>
      <c r="E50" s="128" t="n"/>
      <c r="F50" s="128" t="n">
        <v>0.1</v>
      </c>
      <c r="G50" s="128" t="n"/>
      <c r="H50" s="128" t="inlineStr">
        <is>
          <t>2 shilling from the pinfold at Michaelmas, however the number of oxen or sheep is not put down because they give a fixed amount however many they have.</t>
        </is>
      </c>
      <c r="I50" s="128" t="n"/>
    </row>
    <row r="51">
      <c r="A51" s="137" t="inlineStr">
        <is>
          <t>Issues of the manor</t>
        </is>
      </c>
      <c r="B51" s="128" t="n">
        <v>0</v>
      </c>
      <c r="C51" s="128" t="n">
        <v>10</v>
      </c>
      <c r="D51" s="128" t="n">
        <v>4</v>
      </c>
      <c r="E51" s="128" t="n"/>
      <c r="F51" s="128" t="n">
        <v>0.52</v>
      </c>
      <c r="G51" s="128" t="n"/>
      <c r="H51" s="128" t="inlineStr">
        <is>
          <t>10 shilling 4pence from the agistment of cattle in the park this year and not more by reason of the coppice and the lord's hunting (fermis) and for the scarcity of pasture this year.</t>
        </is>
      </c>
      <c r="I51" s="128" t="n"/>
    </row>
    <row r="52">
      <c r="A52" s="137" t="inlineStr">
        <is>
          <t>Issues of the manor</t>
        </is>
      </c>
      <c r="B52" s="128" t="n">
        <v>0</v>
      </c>
      <c r="C52" s="128" t="n">
        <v>0</v>
      </c>
      <c r="D52" s="128" t="n">
        <v>0</v>
      </c>
      <c r="E52" s="128" t="n"/>
      <c r="F52" s="128" t="n">
        <v>0</v>
      </c>
      <c r="G52" s="128" t="n"/>
      <c r="H52" s="128" t="inlineStr">
        <is>
          <t>nothing from the sale of heath in la Wasshe this year.</t>
        </is>
      </c>
      <c r="I52" s="128" t="n"/>
    </row>
    <row r="53">
      <c r="A53" s="137" t="inlineStr">
        <is>
          <t>Issues of the manor</t>
        </is>
      </c>
      <c r="B53" s="128" t="n">
        <v>0</v>
      </c>
      <c r="C53" s="128" t="n">
        <v>0</v>
      </c>
      <c r="D53" s="128" t="n">
        <v>0</v>
      </c>
      <c r="E53" s="128" t="n"/>
      <c r="F53" s="128" t="n">
        <v>0</v>
      </c>
      <c r="G53" s="128" t="n"/>
      <c r="H53" s="128" t="inlineStr">
        <is>
          <t>nothing from old pollards this year.</t>
        </is>
      </c>
      <c r="I53" s="128" t="n"/>
    </row>
    <row r="54">
      <c r="A54" s="137" t="inlineStr">
        <is>
          <t>Issues of the manor</t>
        </is>
      </c>
      <c r="B54" s="128" t="n">
        <v>0</v>
      </c>
      <c r="C54" s="128" t="n">
        <v>0</v>
      </c>
      <c r="D54" s="128" t="n">
        <v>0</v>
      </c>
      <c r="E54" s="128" t="n"/>
      <c r="F54" s="128" t="n">
        <v>0</v>
      </c>
      <c r="G54" s="128" t="n"/>
      <c r="H54" s="128" t="inlineStr">
        <is>
          <t>nothing from the sale of ash trees this year.</t>
        </is>
      </c>
      <c r="I54" s="128" t="n"/>
    </row>
    <row r="55">
      <c r="A55" s="137" t="inlineStr">
        <is>
          <t>Issues of the manor</t>
        </is>
      </c>
      <c r="B55" s="128" t="n">
        <v>0</v>
      </c>
      <c r="C55" s="128" t="n">
        <v>0</v>
      </c>
      <c r="D55" s="128" t="n">
        <v>0</v>
      </c>
      <c r="E55" s="128" t="n"/>
      <c r="F55" s="128" t="n">
        <v>0</v>
      </c>
      <c r="G55" s="128" t="n"/>
      <c r="H55" s="128" t="inlineStr">
        <is>
          <t>nothing from wool locks this year because entangled with the fleeces.</t>
        </is>
      </c>
      <c r="I55" s="128" t="n"/>
    </row>
    <row r="56">
      <c r="A56" s="137" t="inlineStr">
        <is>
          <t>Issues of the manor</t>
        </is>
      </c>
      <c r="B56" s="128" t="n">
        <v>0</v>
      </c>
      <c r="C56" s="128" t="n">
        <v>0</v>
      </c>
      <c r="D56" s="128" t="n">
        <v>0</v>
      </c>
      <c r="E56" s="128" t="n"/>
      <c r="F56" s="128" t="n">
        <v>0</v>
      </c>
      <c r="G56" s="128" t="n"/>
      <c r="H56" s="128" t="inlineStr">
        <is>
          <t>nothing from hides this year.</t>
        </is>
      </c>
      <c r="I56" s="128" t="n"/>
    </row>
    <row r="57">
      <c r="A57" s="137" t="inlineStr">
        <is>
          <t>Issues of the manor</t>
        </is>
      </c>
      <c r="B57" s="128" t="n">
        <v>0</v>
      </c>
      <c r="C57" s="128" t="n">
        <v>2</v>
      </c>
      <c r="D57" s="128" t="n">
        <v>4</v>
      </c>
      <c r="E57" s="128" t="n"/>
      <c r="F57" s="128" t="n">
        <v>0.12</v>
      </c>
      <c r="G57" s="128" t="n"/>
      <c r="H57" s="128" t="inlineStr">
        <is>
          <t>2 shilling from 6 woolskins sold from murrain as made clear elsewhere, at 4pence a skin.</t>
        </is>
      </c>
      <c r="I57" s="128" t="n"/>
    </row>
    <row r="58">
      <c r="A58" s="137" t="inlineStr">
        <is>
          <t>Issues of the manor</t>
        </is>
      </c>
      <c r="B58" s="128" t="n">
        <v>0</v>
      </c>
      <c r="C58" s="128" t="n">
        <v>0</v>
      </c>
      <c r="D58" s="128" t="n">
        <v>2</v>
      </c>
      <c r="E58" s="128" t="n"/>
      <c r="F58" s="128" t="n">
        <v>0.01</v>
      </c>
      <c r="G58" s="128" t="n"/>
      <c r="H58" s="128" t="inlineStr">
        <is>
          <t>2pence from the bare skins sold of 2 wethers in murrain after shearing.</t>
        </is>
      </c>
      <c r="I58" s="128" t="n"/>
    </row>
    <row r="59">
      <c r="A59" s="137" t="inlineStr">
        <is>
          <t>Issues of the manor</t>
        </is>
      </c>
      <c r="B59" s="128" t="n">
        <v>0</v>
      </c>
      <c r="C59" s="128" t="n">
        <v>5</v>
      </c>
      <c r="D59" s="128" t="n">
        <v>2</v>
      </c>
      <c r="E59" s="128" t="n"/>
      <c r="F59" s="128" t="n">
        <v>0.26</v>
      </c>
      <c r="G59" s="128" t="n"/>
      <c r="H59" s="128" t="inlineStr">
        <is>
          <t>5 shilling 2pence from 31 cocks and hens sold as made clear elsewhere.</t>
        </is>
      </c>
      <c r="I59" s="128" t="n"/>
    </row>
    <row r="60">
      <c r="A60" s="137" t="inlineStr">
        <is>
          <t>Issues of the manor</t>
        </is>
      </c>
      <c r="B60" s="128" t="n">
        <v>0</v>
      </c>
      <c r="C60" s="128" t="n">
        <v>0</v>
      </c>
      <c r="D60" s="128" t="n">
        <v>10.75</v>
      </c>
      <c r="E60" s="128" t="n"/>
      <c r="F60" s="128" t="n">
        <v>0.04</v>
      </c>
      <c r="G60" s="128" t="n"/>
      <c r="H60" s="128" t="inlineStr">
        <is>
          <t>10.75pence from 216 eggs sold as made clear elsewhere.</t>
        </is>
      </c>
      <c r="I60" s="128" t="n"/>
    </row>
    <row r="61">
      <c r="A61" s="137" t="inlineStr">
        <is>
          <t>Issues of the manor</t>
        </is>
      </c>
      <c r="B61" s="128" t="n">
        <v>0</v>
      </c>
      <c r="C61" s="128" t="n">
        <v>0</v>
      </c>
      <c r="D61" s="128" t="n">
        <v>0</v>
      </c>
      <c r="E61" s="128" t="n"/>
      <c r="F61" s="128" t="n">
        <v>0</v>
      </c>
      <c r="G61" s="128" t="n"/>
      <c r="H61" s="128" t="inlineStr">
        <is>
          <t>nothing from the milking of cows this year because the farmer has the cows with the demesne land.</t>
        </is>
      </c>
      <c r="I61" s="128" t="n"/>
    </row>
    <row r="62">
      <c r="A62" s="137" t="inlineStr">
        <is>
          <t>Issues of the manor</t>
        </is>
      </c>
      <c r="B62" s="128" t="n">
        <v>0</v>
      </c>
      <c r="C62" s="128" t="n">
        <v>0</v>
      </c>
      <c r="D62" s="128" t="n">
        <v>0</v>
      </c>
      <c r="E62" s="128" t="n"/>
      <c r="F62" s="128" t="n">
        <v>0</v>
      </c>
      <c r="G62" s="128" t="n"/>
      <c r="H62" s="128" t="inlineStr">
        <is>
          <t>nothing from the issue of the dovecote here because below under the heading of farms.</t>
        </is>
      </c>
      <c r="I62" s="128" t="n"/>
    </row>
    <row r="63">
      <c r="A63" s="137" t="inlineStr">
        <is>
          <t>Issues of the manor</t>
        </is>
      </c>
      <c r="B63" s="128" t="n">
        <v>0</v>
      </c>
      <c r="C63" s="128" t="n">
        <v>18</v>
      </c>
      <c r="D63" s="128" t="n">
        <v>0</v>
      </c>
      <c r="E63" s="128" t="n"/>
      <c r="F63" s="128" t="n">
        <v>0.9</v>
      </c>
      <c r="G63" s="128" t="n"/>
      <c r="H63" s="128"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I63" s="128" t="n"/>
    </row>
    <row r="64">
      <c r="A64" s="137" t="inlineStr">
        <is>
          <t>Issues of the manor</t>
        </is>
      </c>
      <c r="B64" s="128" t="n">
        <v>0</v>
      </c>
      <c r="C64" s="128" t="n">
        <v>0</v>
      </c>
      <c r="D64" s="128" t="n">
        <v>0</v>
      </c>
      <c r="E64" s="128" t="n"/>
      <c r="F64" s="128" t="n">
        <v>0</v>
      </c>
      <c r="G64" s="128" t="n"/>
      <c r="H64" s="128" t="inlineStr">
        <is>
          <t>nothing from the sale of underwood in Suddon' this year.</t>
        </is>
      </c>
      <c r="I64" s="128" t="n"/>
    </row>
    <row r="65">
      <c r="A65" s="137" t="inlineStr">
        <is>
          <t>Issues of the manor</t>
        </is>
      </c>
      <c r="B65" s="128" t="n">
        <v>0</v>
      </c>
      <c r="C65" s="128" t="n">
        <v>0</v>
      </c>
      <c r="D65" s="128" t="n">
        <v>0</v>
      </c>
      <c r="E65" s="128" t="n"/>
      <c r="F65" s="128" t="n">
        <v>0</v>
      </c>
      <c r="G65" s="128" t="n"/>
      <c r="H65" s="128" t="inlineStr">
        <is>
          <t>nothing from brushwood (burg') and alder this year.</t>
        </is>
      </c>
      <c r="I65" s="128" t="n"/>
    </row>
    <row r="66">
      <c r="A66" s="137" t="inlineStr">
        <is>
          <t>Issues of the manor</t>
        </is>
      </c>
      <c r="B66" s="128" t="n">
        <v>0</v>
      </c>
      <c r="C66" s="128" t="n">
        <v>6</v>
      </c>
      <c r="D66" s="128" t="n">
        <v>0</v>
      </c>
      <c r="E66" s="128" t="n"/>
      <c r="F66" s="128" t="n">
        <v>0.3</v>
      </c>
      <c r="G66" s="128" t="n"/>
      <c r="H66" s="128" t="inlineStr">
        <is>
          <t>6 shilling from 1,000 plain tiles sold as made clear elsewhere.</t>
        </is>
      </c>
      <c r="I66" s="128" t="n"/>
    </row>
    <row r="67">
      <c r="A67" s="137" t="inlineStr">
        <is>
          <t>Issues of the manor</t>
        </is>
      </c>
      <c r="B67" s="128" t="n">
        <v>0</v>
      </c>
      <c r="C67" s="128" t="n">
        <v>0</v>
      </c>
      <c r="D67" s="128" t="n">
        <v>0</v>
      </c>
      <c r="E67" s="128" t="n"/>
      <c r="F67" s="128" t="n">
        <v>0</v>
      </c>
      <c r="G67" s="128" t="n"/>
      <c r="H67" s="128" t="inlineStr">
        <is>
          <t>nothing from the sale of lime this year.</t>
        </is>
      </c>
      <c r="I67" s="128" t="n"/>
    </row>
    <row r="68">
      <c r="A68" s="137" t="inlineStr">
        <is>
          <t>Issues of the manor</t>
        </is>
      </c>
      <c r="B68" s="128" t="n">
        <v>0</v>
      </c>
      <c r="C68" s="128" t="n">
        <v>0</v>
      </c>
      <c r="D68" s="128" t="n">
        <v>0</v>
      </c>
      <c r="E68" s="128" t="n"/>
      <c r="F68" s="128" t="n">
        <v>0</v>
      </c>
      <c r="G68" s="128" t="n"/>
      <c r="H68" s="128" t="inlineStr">
        <is>
          <t>nothing from the sale of shingles this year.</t>
        </is>
      </c>
      <c r="I68" s="128" t="n"/>
    </row>
    <row r="69">
      <c r="A69" s="137" t="inlineStr">
        <is>
          <t>Issues of the manor</t>
        </is>
      </c>
      <c r="B69" s="128" t="n">
        <v>2</v>
      </c>
      <c r="C69" s="128" t="n">
        <v>10</v>
      </c>
      <c r="D69" s="128" t="n">
        <v>6.25</v>
      </c>
      <c r="E69" s="128" t="n"/>
      <c r="F69" s="128" t="n">
        <v>2.53</v>
      </c>
      <c r="G69" s="128" t="n"/>
      <c r="H69" s="128" t="inlineStr">
        <is>
          <t>Total, £2 10 shilling 6.25pence.</t>
        </is>
      </c>
      <c r="I69" s="128" t="n"/>
    </row>
    <row r="70">
      <c r="A70" s="138" t="inlineStr">
        <is>
          <t>Issues of the manor total</t>
        </is>
      </c>
      <c r="B70" s="139" t="n"/>
      <c r="C70" s="139" t="n"/>
      <c r="D70" s="139" t="n"/>
      <c r="E70" s="139" t="n"/>
      <c r="F70" s="139" t="n">
        <v>2.55</v>
      </c>
      <c r="G70" s="139" t="n">
        <v>0.02</v>
      </c>
      <c r="H70" s="139" t="inlineStr">
        <is>
          <t>Total</t>
        </is>
      </c>
      <c r="I70" s="139" t="n"/>
    </row>
    <row r="71">
      <c r="A71" s="137" t="n"/>
      <c r="B71" s="128" t="n"/>
      <c r="C71" s="128" t="n"/>
      <c r="D71" s="128" t="n"/>
      <c r="E71" s="128" t="n"/>
      <c r="F71" s="128" t="n"/>
      <c r="G71" s="128" t="n"/>
      <c r="H71" s="128" t="n"/>
      <c r="I71" s="128" t="n"/>
    </row>
    <row r="72">
      <c r="A72" s="136" t="inlineStr">
        <is>
          <t>Sale of stock</t>
        </is>
      </c>
      <c r="B72" s="128" t="n">
        <v>2</v>
      </c>
      <c r="C72" s="128" t="n">
        <v>5</v>
      </c>
      <c r="D72" s="128" t="n">
        <v>0</v>
      </c>
      <c r="E72" s="128" t="n"/>
      <c r="F72" s="128" t="n">
        <v>2.25</v>
      </c>
      <c r="G72" s="128" t="n"/>
      <c r="H72" s="128" t="inlineStr">
        <is>
          <t>And for £2 5 shilling from 27 kebb wethers sold before shearing, at 1 shilling 8pence each, sold this year on account of the dearness and scarcity of sheep in the Vale of the White Horse.</t>
        </is>
      </c>
      <c r="I72" s="128" t="n"/>
    </row>
    <row r="73">
      <c r="A73" s="137" t="inlineStr">
        <is>
          <t>Sale of stock</t>
        </is>
      </c>
      <c r="B73" s="128" t="n">
        <v>2</v>
      </c>
      <c r="C73" s="128" t="n">
        <v>5</v>
      </c>
      <c r="D73" s="128" t="n">
        <v>0</v>
      </c>
      <c r="E73" s="128" t="n"/>
      <c r="F73" s="128" t="n">
        <v>2.25</v>
      </c>
      <c r="G73" s="128" t="n"/>
      <c r="H73" s="128" t="inlineStr">
        <is>
          <t>Total, £2 5 shilling.</t>
        </is>
      </c>
      <c r="I73" s="128" t="n"/>
    </row>
    <row r="74">
      <c r="A74" s="138" t="inlineStr">
        <is>
          <t>Sale of stock total</t>
        </is>
      </c>
      <c r="B74" s="139" t="n"/>
      <c r="C74" s="139" t="n"/>
      <c r="D74" s="139" t="n"/>
      <c r="E74" s="139" t="n"/>
      <c r="F74" s="139" t="n">
        <v>2.25</v>
      </c>
      <c r="G74" s="139" t="n">
        <v>0</v>
      </c>
      <c r="H74" s="139" t="inlineStr">
        <is>
          <t>Total</t>
        </is>
      </c>
      <c r="I74" s="139" t="n"/>
    </row>
    <row r="75">
      <c r="A75" s="137" t="n"/>
      <c r="B75" s="128" t="n"/>
      <c r="C75" s="128" t="n"/>
      <c r="D75" s="128" t="n"/>
      <c r="E75" s="128" t="n"/>
      <c r="F75" s="128" t="n"/>
      <c r="G75" s="128" t="n"/>
      <c r="H75" s="128" t="n"/>
      <c r="I75" s="128" t="n"/>
    </row>
    <row r="76">
      <c r="A76" s="136" t="inlineStr">
        <is>
          <t>Entry and marriage fines</t>
        </is>
      </c>
      <c r="B76" s="128" t="n">
        <v>0</v>
      </c>
      <c r="C76" s="128" t="n">
        <v>4</v>
      </c>
      <c r="D76" s="128" t="n">
        <v>0</v>
      </c>
      <c r="E76" s="128" t="n"/>
      <c r="F76" s="128" t="n">
        <v>0.2</v>
      </c>
      <c r="G76" s="128" t="n"/>
      <c r="H76" s="128" t="inlineStr">
        <is>
          <t>And for 4 shilling from tithingpenny at the tourns of Martinmas and Hockday.</t>
        </is>
      </c>
      <c r="I76" s="128" t="n"/>
    </row>
    <row r="77">
      <c r="A77" s="137" t="inlineStr">
        <is>
          <t>Entry and marriage fines</t>
        </is>
      </c>
      <c r="B77" s="128" t="n">
        <v>0</v>
      </c>
      <c r="C77" s="128" t="n">
        <v>2</v>
      </c>
      <c r="D77" s="128" t="n">
        <v>0</v>
      </c>
      <c r="E77" s="128" t="n"/>
      <c r="F77" s="128" t="n">
        <v>0.1</v>
      </c>
      <c r="G77" s="128" t="n"/>
      <c r="H77" s="128"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I77" s="128" t="n"/>
    </row>
    <row r="78">
      <c r="A78" s="137" t="inlineStr">
        <is>
          <t>Entry and marriage fines</t>
        </is>
      </c>
      <c r="B78" s="128" t="n">
        <v>0</v>
      </c>
      <c r="C78" s="128" t="n">
        <v>1</v>
      </c>
      <c r="D78" s="128" t="n">
        <v>8</v>
      </c>
      <c r="E78" s="128" t="n"/>
      <c r="F78" s="128" t="n">
        <v>0.08</v>
      </c>
      <c r="G78" s="128" t="n"/>
      <c r="H78" s="128" t="inlineStr">
        <is>
          <t>1 shilling 8pence from Juliana, who was wife of Richard Gale, to retain 1 messuage 1 virgate of villein land and 1 croft of purpresture called Dryverescrofte in Hawkley in the tithing of Highclere which belonged to the aforesaid Richard her husband.</t>
        </is>
      </c>
      <c r="I78" s="128" t="n"/>
    </row>
    <row r="79">
      <c r="A79" s="137" t="inlineStr">
        <is>
          <t>Entry and marriage fines</t>
        </is>
      </c>
      <c r="B79" s="128" t="n">
        <v>0</v>
      </c>
      <c r="C79" s="128" t="n">
        <v>5</v>
      </c>
      <c r="D79" s="128" t="n">
        <v>0</v>
      </c>
      <c r="E79" s="128" t="n"/>
      <c r="F79" s="128" t="n">
        <v>0.25</v>
      </c>
      <c r="G79" s="128" t="n"/>
      <c r="H79" s="128" t="inlineStr">
        <is>
          <t>5 shilling from Robert Reignold' to have Juliana, who was wife of Richard Gale, with her land, that is, 1 messuage 1 virgate of villein land and 1 croft of purpresture called Dryverescrofte in the tithing of Highclere.</t>
        </is>
      </c>
      <c r="I79" s="128" t="n"/>
    </row>
    <row r="80">
      <c r="A80" s="137" t="inlineStr">
        <is>
          <t>Entry and marriage fines</t>
        </is>
      </c>
      <c r="B80" s="128" t="n">
        <v>1</v>
      </c>
      <c r="C80" s="128" t="n">
        <v>10</v>
      </c>
      <c r="D80" s="128" t="n">
        <v>0</v>
      </c>
      <c r="E80" s="128" t="n"/>
      <c r="F80" s="128" t="n">
        <v>1.5</v>
      </c>
      <c r="G80" s="128" t="n"/>
      <c r="H80" s="128" t="inlineStr">
        <is>
          <t>£1 10 shilling from John Wodecote, Robert Wodecote and Richard Urry for various transgressions done in the lord's warren of Highclere, taking rabbits.</t>
        </is>
      </c>
      <c r="I80" s="128" t="n"/>
    </row>
    <row r="81">
      <c r="A81" s="137" t="inlineStr">
        <is>
          <t>Entry and marriage fines</t>
        </is>
      </c>
      <c r="B81" s="128" t="n">
        <v>2</v>
      </c>
      <c r="C81" s="128" t="n">
        <v>2</v>
      </c>
      <c r="D81" s="128" t="n">
        <v>8</v>
      </c>
      <c r="E81" s="128" t="n"/>
      <c r="F81" s="128" t="n">
        <v>2.13</v>
      </c>
      <c r="G81" s="128" t="n"/>
      <c r="H81" s="128" t="inlineStr">
        <is>
          <t>Total, £2 2 shilling 8pence.</t>
        </is>
      </c>
      <c r="I81" s="128" t="n"/>
    </row>
    <row r="82">
      <c r="A82" s="138" t="inlineStr">
        <is>
          <t>Entry and marriage fines total</t>
        </is>
      </c>
      <c r="B82" s="139" t="n"/>
      <c r="C82" s="139" t="n"/>
      <c r="D82" s="139" t="n"/>
      <c r="E82" s="139" t="n"/>
      <c r="F82" s="139" t="n">
        <v>2.13</v>
      </c>
      <c r="G82" s="139" t="n">
        <v>0</v>
      </c>
      <c r="H82" s="139" t="inlineStr">
        <is>
          <t>Total</t>
        </is>
      </c>
      <c r="I82" s="139" t="n"/>
    </row>
    <row r="83">
      <c r="A83" s="137" t="n"/>
      <c r="B83" s="128" t="n"/>
      <c r="C83" s="128" t="n"/>
      <c r="D83" s="128" t="n"/>
      <c r="E83" s="128" t="n"/>
      <c r="F83" s="128" t="n"/>
      <c r="G83" s="128" t="n"/>
      <c r="H83" s="128" t="n"/>
      <c r="I83" s="128" t="n"/>
    </row>
    <row r="84">
      <c r="A84" s="136" t="inlineStr">
        <is>
          <t>Perquisites of court</t>
        </is>
      </c>
      <c r="B84" s="128" t="n">
        <v>0</v>
      </c>
      <c r="C84" s="128" t="n">
        <v>1</v>
      </c>
      <c r="D84" s="128" t="n">
        <v>0</v>
      </c>
      <c r="E84" s="128" t="n"/>
      <c r="F84" s="128" t="n">
        <v>0.05</v>
      </c>
      <c r="G84" s="128" t="n"/>
      <c r="H84" s="128" t="inlineStr">
        <is>
          <t>And for 1 shilling from the perquisites of the tourn of Martinmas (11 November).</t>
        </is>
      </c>
      <c r="I84" s="128" t="n"/>
    </row>
    <row r="85">
      <c r="A85" s="137" t="inlineStr">
        <is>
          <t>Perquisites of court</t>
        </is>
      </c>
      <c r="B85" s="128" t="n">
        <v>0</v>
      </c>
      <c r="C85" s="128" t="n">
        <v>0</v>
      </c>
      <c r="D85" s="128" t="n">
        <v>2</v>
      </c>
      <c r="E85" s="128" t="n"/>
      <c r="F85" s="128" t="n">
        <v>0.01</v>
      </c>
      <c r="G85" s="128" t="n"/>
      <c r="H85" s="128" t="inlineStr">
        <is>
          <t>2pence from the perquisites of the courts held between the 2 tourns.</t>
        </is>
      </c>
      <c r="I85" s="128" t="n"/>
    </row>
    <row r="86">
      <c r="A86" s="137" t="inlineStr">
        <is>
          <t>Perquisites of court</t>
        </is>
      </c>
      <c r="B86" s="128" t="n">
        <v>0</v>
      </c>
      <c r="C86" s="128" t="n">
        <v>1</v>
      </c>
      <c r="D86" s="128" t="n">
        <v>0</v>
      </c>
      <c r="E86" s="128" t="n"/>
      <c r="F86" s="128" t="n">
        <v>0.05</v>
      </c>
      <c r="G86" s="128" t="n"/>
      <c r="H86" s="128" t="inlineStr">
        <is>
          <t>1 shilling from the perquisites of the tourn of Hockday (1 April).</t>
        </is>
      </c>
      <c r="I86" s="128" t="n"/>
    </row>
    <row r="87">
      <c r="A87" s="137" t="inlineStr">
        <is>
          <t>Perquisites of court</t>
        </is>
      </c>
      <c r="B87" s="128" t="n">
        <v>0</v>
      </c>
      <c r="C87" s="128" t="n">
        <v>0</v>
      </c>
      <c r="D87" s="128" t="n">
        <v>2</v>
      </c>
      <c r="E87" s="128" t="n"/>
      <c r="F87" s="128" t="n">
        <v>0.01</v>
      </c>
      <c r="G87" s="128" t="n"/>
      <c r="H87" s="128" t="inlineStr">
        <is>
          <t>2pence from the perquisites of the courts held after the said tourn.</t>
        </is>
      </c>
      <c r="I87" s="128" t="n"/>
    </row>
    <row r="88">
      <c r="A88" s="138" t="inlineStr">
        <is>
          <t>Perquisites of court total</t>
        </is>
      </c>
      <c r="B88" s="139" t="n">
        <v>0</v>
      </c>
      <c r="C88" s="139" t="n">
        <v>2</v>
      </c>
      <c r="D88" s="139" t="n">
        <v>4</v>
      </c>
      <c r="E88" s="139" t="n"/>
      <c r="F88" s="139" t="n">
        <v>0.12</v>
      </c>
      <c r="G88" s="139" t="n">
        <v>0.11</v>
      </c>
      <c r="H88" s="139" t="inlineStr">
        <is>
          <t>Total, 2 shilling 4pence.</t>
        </is>
      </c>
      <c r="I88" s="139" t="n"/>
    </row>
    <row r="89">
      <c r="A89" s="38" t="inlineStr">
        <is>
          <t>Total of all receipts recorded in accounts (calculated here)</t>
        </is>
      </c>
      <c r="F89">
        <f>SUMIF(A1:A88,"* total",F1:F88)-SUMIF(A1:A88,"Arrears total",F1:F88)</f>
        <v/>
      </c>
    </row>
    <row r="90">
      <c r="A90" s="38" t="inlineStr">
        <is>
          <t>Total of all receipts (calculated here) incl arrears</t>
        </is>
      </c>
      <c r="F90">
        <f>F89+SUMIF(A1:A88,"Arrears total",F1:F88)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HIGHCLERE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0</v>
      </c>
      <c r="D4" s="128" t="n">
        <v>0</v>
      </c>
      <c r="E4" s="128" t="n"/>
      <c r="F4" s="128" t="n">
        <v>0</v>
      </c>
      <c r="G4" s="128" t="n"/>
      <c r="H4" s="128" t="n"/>
    </row>
    <row r="5">
      <c r="A5" s="138" t="inlineStr">
        <is>
          <t>Cost of ploughs total</t>
        </is>
      </c>
      <c r="B5" s="139" t="n"/>
      <c r="C5" s="139" t="n"/>
      <c r="D5" s="139" t="n"/>
      <c r="E5" s="139" t="n"/>
      <c r="F5" s="139" t="n">
        <v>0</v>
      </c>
      <c r="G5" s="139" t="n">
        <v>0</v>
      </c>
      <c r="H5" s="139" t="n"/>
    </row>
    <row r="6">
      <c r="A6" s="137" t="n"/>
      <c r="B6" s="128" t="n"/>
      <c r="C6" s="128" t="n"/>
      <c r="D6" s="128" t="n"/>
      <c r="E6" s="128" t="n"/>
      <c r="F6" s="128" t="n"/>
      <c r="G6" s="128" t="n"/>
      <c r="H6" s="128" t="n"/>
    </row>
    <row r="7">
      <c r="A7" s="136" t="inlineStr">
        <is>
          <t>Cost of the park</t>
        </is>
      </c>
      <c r="B7" s="128" t="n">
        <v>3</v>
      </c>
      <c r="C7" s="128" t="n">
        <v>0</v>
      </c>
      <c r="D7" s="128" t="n">
        <v>10</v>
      </c>
      <c r="E7" s="128" t="n"/>
      <c r="F7" s="128" t="n">
        <v>3.04</v>
      </c>
      <c r="G7" s="128" t="n"/>
      <c r="H7" s="128" t="n"/>
    </row>
    <row r="8">
      <c r="A8" s="137" t="inlineStr">
        <is>
          <t>Cost of the park</t>
        </is>
      </c>
      <c r="B8" s="128" t="n">
        <v>0</v>
      </c>
      <c r="C8" s="128" t="n">
        <v>6</v>
      </c>
      <c r="D8" s="128" t="n">
        <v>8</v>
      </c>
      <c r="E8" s="128" t="n"/>
      <c r="F8" s="128" t="n">
        <v>0.33</v>
      </c>
      <c r="G8" s="128" t="n"/>
      <c r="H8" s="128" t="n"/>
    </row>
    <row r="9">
      <c r="A9" s="137" t="inlineStr">
        <is>
          <t>Cost of the park</t>
        </is>
      </c>
      <c r="B9" s="128" t="n">
        <v>0</v>
      </c>
      <c r="C9" s="128" t="n">
        <v>6</v>
      </c>
      <c r="D9" s="128" t="n">
        <v>8</v>
      </c>
      <c r="E9" s="128" t="n"/>
      <c r="F9" s="128" t="n">
        <v>0.33</v>
      </c>
      <c r="G9" s="128" t="n"/>
      <c r="H9" s="128" t="n"/>
    </row>
    <row r="10">
      <c r="A10" s="137" t="inlineStr">
        <is>
          <t>Cost of the park</t>
        </is>
      </c>
      <c r="B10" s="128" t="n">
        <v>0</v>
      </c>
      <c r="C10" s="128" t="n">
        <v>3</v>
      </c>
      <c r="D10" s="128" t="n">
        <v>0</v>
      </c>
      <c r="E10" s="128" t="n"/>
      <c r="F10" s="128" t="n">
        <v>0.15</v>
      </c>
      <c r="G10" s="128" t="n"/>
      <c r="H10" s="128" t="n"/>
    </row>
    <row r="11">
      <c r="A11" s="137" t="inlineStr">
        <is>
          <t>Cost of the park</t>
        </is>
      </c>
      <c r="B11" s="128" t="n">
        <v>0</v>
      </c>
      <c r="C11" s="128" t="n">
        <v>6</v>
      </c>
      <c r="D11" s="128" t="n">
        <v>3</v>
      </c>
      <c r="E11" s="128" t="n"/>
      <c r="F11" s="128" t="n">
        <v>0.31</v>
      </c>
      <c r="G11" s="128" t="n"/>
      <c r="H11" s="128" t="n"/>
    </row>
    <row r="12">
      <c r="A12" s="137" t="inlineStr">
        <is>
          <t>Cost of the park</t>
        </is>
      </c>
      <c r="B12" s="128" t="n">
        <v>0</v>
      </c>
      <c r="C12" s="128" t="n">
        <v>8</v>
      </c>
      <c r="D12" s="128" t="n">
        <v>3</v>
      </c>
      <c r="E12" s="128" t="n"/>
      <c r="F12" s="128" t="n">
        <v>0.41</v>
      </c>
      <c r="G12" s="128" t="n"/>
      <c r="H12" s="128" t="n"/>
    </row>
    <row r="13">
      <c r="A13" s="137" t="inlineStr">
        <is>
          <t>Cost of the park</t>
        </is>
      </c>
      <c r="B13" s="128" t="n">
        <v>0</v>
      </c>
      <c r="C13" s="128" t="n">
        <v>2</v>
      </c>
      <c r="D13" s="128" t="n">
        <v>0</v>
      </c>
      <c r="E13" s="128" t="n"/>
      <c r="F13" s="128" t="n">
        <v>0.1</v>
      </c>
      <c r="G13" s="128" t="n"/>
      <c r="H13" s="128" t="n"/>
    </row>
    <row r="14">
      <c r="A14" s="137" t="inlineStr">
        <is>
          <t>Cost of the park</t>
        </is>
      </c>
      <c r="B14" s="128" t="n">
        <v>4</v>
      </c>
      <c r="C14" s="128" t="n">
        <v>13</v>
      </c>
      <c r="D14" s="128" t="n">
        <v>8</v>
      </c>
      <c r="E14" s="128" t="n"/>
      <c r="F14" s="128" t="n">
        <v>4.68</v>
      </c>
      <c r="G14" s="128" t="n"/>
      <c r="H14" s="128" t="n"/>
    </row>
    <row r="15">
      <c r="A15" s="138" t="inlineStr">
        <is>
          <t>Cost of the park total</t>
        </is>
      </c>
      <c r="B15" s="139" t="n"/>
      <c r="C15" s="139" t="n"/>
      <c r="D15" s="139" t="n"/>
      <c r="E15" s="139" t="n"/>
      <c r="F15" s="139" t="n">
        <v>4.67</v>
      </c>
      <c r="G15" s="139" t="n">
        <v>-0.01</v>
      </c>
      <c r="H15" s="139" t="n"/>
    </row>
    <row r="16">
      <c r="A16" s="137" t="n"/>
      <c r="B16" s="128" t="n"/>
      <c r="C16" s="128" t="n"/>
      <c r="D16" s="128" t="n"/>
      <c r="E16" s="128" t="n"/>
      <c r="F16" s="128" t="n"/>
      <c r="G16" s="128" t="n"/>
      <c r="H16" s="128" t="n"/>
    </row>
    <row r="17">
      <c r="A17" s="136" t="inlineStr">
        <is>
          <t>Expenses of the steward</t>
        </is>
      </c>
      <c r="B17" s="128" t="n">
        <v>0</v>
      </c>
      <c r="C17" s="128" t="n">
        <v>0</v>
      </c>
      <c r="D17" s="128" t="n">
        <v>0</v>
      </c>
      <c r="E17" s="128" t="n"/>
      <c r="F17" s="128" t="n">
        <v>0</v>
      </c>
      <c r="G17" s="128" t="n"/>
      <c r="H17" s="128" t="n"/>
    </row>
    <row r="18">
      <c r="A18" s="137" t="inlineStr">
        <is>
          <t>Expenses of the steward</t>
        </is>
      </c>
      <c r="B18" s="128" t="n">
        <v>0</v>
      </c>
      <c r="C18" s="128" t="n">
        <v>10</v>
      </c>
      <c r="D18" s="128" t="n">
        <v>5</v>
      </c>
      <c r="E18" s="128" t="n"/>
      <c r="F18" s="128" t="n">
        <v>0.52</v>
      </c>
      <c r="G18" s="128" t="n"/>
      <c r="H18" s="128" t="n"/>
    </row>
    <row r="19">
      <c r="A19" s="137" t="inlineStr">
        <is>
          <t>Expenses of the steward</t>
        </is>
      </c>
      <c r="B19" s="128" t="n">
        <v>0</v>
      </c>
      <c r="C19" s="128" t="n">
        <v>10</v>
      </c>
      <c r="D19" s="128" t="n">
        <v>5</v>
      </c>
      <c r="E19" s="128" t="n"/>
      <c r="F19" s="128" t="n">
        <v>0.52</v>
      </c>
      <c r="G19" s="128" t="n"/>
      <c r="H19" s="128" t="n"/>
    </row>
    <row r="20">
      <c r="A20" s="138" t="inlineStr">
        <is>
          <t>Expenses of the steward total</t>
        </is>
      </c>
      <c r="B20" s="139" t="n"/>
      <c r="C20" s="139" t="n"/>
      <c r="D20" s="139" t="n"/>
      <c r="E20" s="139" t="n"/>
      <c r="F20" s="139" t="n">
        <v>0.52</v>
      </c>
      <c r="G20" s="139" t="n">
        <v>0</v>
      </c>
      <c r="H20" s="139" t="n"/>
    </row>
    <row r="21">
      <c r="A21" s="137" t="n"/>
      <c r="B21" s="128" t="n"/>
      <c r="C21" s="128" t="n"/>
      <c r="D21" s="128" t="n"/>
      <c r="E21" s="128" t="n"/>
      <c r="F21" s="128" t="n"/>
      <c r="G21" s="128" t="n"/>
      <c r="H21" s="128" t="n"/>
    </row>
    <row r="22">
      <c r="A22" s="137" t="inlineStr">
        <is>
          <t>Total of all expenses</t>
        </is>
      </c>
      <c r="B22" s="128" t="n">
        <v>22</v>
      </c>
      <c r="C22" s="128" t="n">
        <v>3</v>
      </c>
      <c r="D22" s="128" t="n">
        <v>3</v>
      </c>
      <c r="E22" s="128" t="n"/>
      <c r="F22" s="128" t="n">
        <v>22.16</v>
      </c>
      <c r="G22" s="128" t="n"/>
      <c r="H22" s="128" t="n"/>
    </row>
    <row r="23">
      <c r="A23" s="137" t="inlineStr">
        <is>
          <t>Total of all expenses</t>
        </is>
      </c>
      <c r="B23" s="128" t="n"/>
      <c r="C23" s="128" t="n"/>
      <c r="D23" s="128" t="n"/>
      <c r="E23" s="128" t="n"/>
      <c r="F23" s="128" t="n">
        <v>0</v>
      </c>
      <c r="G23" s="128" t="n">
        <v>-22.16</v>
      </c>
      <c r="H23" s="128" t="n"/>
    </row>
    <row r="24">
      <c r="A24" s="137" t="n"/>
      <c r="B24" s="128" t="n"/>
      <c r="C24" s="128" t="n"/>
      <c r="D24" s="128" t="n"/>
      <c r="E24" s="128" t="n"/>
      <c r="F24" s="128" t="n"/>
      <c r="G24" s="128" t="n"/>
      <c r="H24" s="128" t="n"/>
    </row>
    <row r="25">
      <c r="A25" s="136" t="inlineStr">
        <is>
          <t>And he owes</t>
        </is>
      </c>
      <c r="B25" s="128" t="n">
        <v>27</v>
      </c>
      <c r="C25" s="128" t="n">
        <v>18</v>
      </c>
      <c r="D25" s="128" t="n">
        <v>0</v>
      </c>
      <c r="E25" s="128" t="n"/>
      <c r="F25" s="128" t="n">
        <v>27.9</v>
      </c>
      <c r="G25" s="128" t="n"/>
      <c r="H25" s="128" t="n"/>
    </row>
    <row r="26">
      <c r="A26" s="138" t="inlineStr">
        <is>
          <t>And he owes total</t>
        </is>
      </c>
      <c r="B26" s="139" t="n"/>
      <c r="C26" s="139" t="n"/>
      <c r="D26" s="139" t="n"/>
      <c r="E26" s="139" t="n"/>
      <c r="F26" s="139" t="n">
        <v>27.9</v>
      </c>
      <c r="G26" s="139" t="n">
        <v>0</v>
      </c>
      <c r="H26" s="139" t="n"/>
    </row>
    <row r="27">
      <c r="A27" s="137" t="n"/>
      <c r="B27" s="128" t="n"/>
      <c r="C27" s="128" t="n"/>
      <c r="D27" s="128" t="n"/>
      <c r="E27" s="128" t="n"/>
      <c r="F27" s="128" t="n"/>
      <c r="G27" s="128" t="n"/>
      <c r="H27" s="128" t="n"/>
    </row>
    <row r="28">
      <c r="A28" s="136" t="inlineStr">
        <is>
          <t>Cash deliveries</t>
        </is>
      </c>
      <c r="B28" s="128" t="n">
        <v>19</v>
      </c>
      <c r="C28" s="128" t="n">
        <v>0</v>
      </c>
      <c r="D28" s="128" t="n">
        <v>0</v>
      </c>
      <c r="E28" s="128" t="n"/>
      <c r="F28" s="128" t="n">
        <v>19</v>
      </c>
      <c r="G28" s="128" t="n"/>
      <c r="H28" s="128" t="n"/>
    </row>
    <row r="29">
      <c r="A29" s="137" t="inlineStr">
        <is>
          <t>Cash deliveries</t>
        </is>
      </c>
      <c r="B29" s="128" t="n">
        <v>19</v>
      </c>
      <c r="C29" s="128" t="n">
        <v>0</v>
      </c>
      <c r="D29" s="128" t="n">
        <v>0</v>
      </c>
      <c r="E29" s="128" t="n"/>
      <c r="F29" s="128" t="n">
        <v>19</v>
      </c>
      <c r="G29" s="128" t="n"/>
      <c r="H29" s="128" t="n"/>
    </row>
    <row r="30">
      <c r="A30" s="138" t="inlineStr">
        <is>
          <t>Cash deliveries total</t>
        </is>
      </c>
      <c r="B30" s="139" t="n"/>
      <c r="C30" s="139" t="n"/>
      <c r="D30" s="139" t="n"/>
      <c r="E30" s="139" t="n"/>
      <c r="F30" s="139" t="n">
        <v>19</v>
      </c>
      <c r="G30" s="139" t="n">
        <v>0</v>
      </c>
      <c r="H30" s="139" t="n"/>
    </row>
    <row r="31">
      <c r="A31" s="137" t="n"/>
      <c r="B31" s="128" t="n"/>
      <c r="C31" s="128" t="n"/>
      <c r="D31" s="128" t="n"/>
      <c r="E31" s="128" t="n"/>
      <c r="F31" s="128" t="n"/>
      <c r="G31" s="128" t="n"/>
      <c r="H31" s="128" t="n"/>
    </row>
    <row r="32">
      <c r="A32" s="136" t="inlineStr">
        <is>
          <t>Total of all allowances and cash deliveries</t>
        </is>
      </c>
      <c r="B32" s="128" t="n">
        <v>23</v>
      </c>
      <c r="C32" s="128" t="n">
        <v>4</v>
      </c>
      <c r="D32" s="128" t="n">
        <v>0</v>
      </c>
      <c r="E32" s="128" t="n"/>
      <c r="F32" s="128" t="n">
        <v>23.2</v>
      </c>
      <c r="G32" s="128" t="n"/>
      <c r="H32" s="128" t="n"/>
    </row>
    <row r="33"/>
    <row r="34">
      <c r="A34" s="38" t="inlineStr">
        <is>
          <t>Total of all expenses per account</t>
        </is>
      </c>
      <c r="B34" t="n">
        <v>22</v>
      </c>
      <c r="C34" t="n">
        <v>3</v>
      </c>
      <c r="D34" t="n">
        <v>3</v>
      </c>
      <c r="F34">
        <f>F22</f>
        <v/>
      </c>
    </row>
    <row r="35">
      <c r="A35" s="38" t="inlineStr">
        <is>
          <t>Total of all expenses (calculated here)</t>
        </is>
      </c>
      <c r="F35">
        <f>SUMIF(A1:A21,"* total",F1:F21)</f>
        <v/>
      </c>
    </row>
    <row r="36">
      <c r="A36" s="38" t="inlineStr">
        <is>
          <t>Total fixed investment</t>
        </is>
      </c>
    </row>
    <row r="37">
      <c r="A37"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HIGHCLERE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10</v>
      </c>
      <c r="C12" t="n">
        <v>0</v>
      </c>
      <c r="H12" t="n">
        <v>0</v>
      </c>
      <c r="I12" t="n">
        <v>0</v>
      </c>
      <c r="L12">
        <f>B12+C12-H12</f>
        <v/>
      </c>
      <c r="M12">
        <f>L12-B12</f>
        <v/>
      </c>
      <c r="N12">
        <f>C12</f>
        <v/>
      </c>
      <c r="O12" t="n">
        <v>0</v>
      </c>
      <c r="P12" s="72">
        <f>O12*K12</f>
        <v/>
      </c>
      <c r="R12" t="n">
        <v>0</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19</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8</v>
      </c>
      <c r="C18" t="n">
        <v>0</v>
      </c>
      <c r="H18" t="n">
        <v>0</v>
      </c>
      <c r="I18" t="n">
        <v>0</v>
      </c>
      <c r="L18">
        <f>B18+C18-H18</f>
        <v/>
      </c>
      <c r="M18">
        <f>L18-B18</f>
        <v/>
      </c>
      <c r="N18">
        <f>C18</f>
        <v/>
      </c>
      <c r="O18" t="n">
        <v>0</v>
      </c>
      <c r="P18" s="72">
        <f>O18*K18</f>
        <v/>
      </c>
      <c r="R18" t="n">
        <v>0</v>
      </c>
      <c r="S18">
        <f>O18*M18</f>
        <v/>
      </c>
      <c r="T18">
        <f>O18*N18</f>
        <v/>
      </c>
    </row>
    <row r="19">
      <c r="A19" t="inlineStr">
        <is>
          <t>Wethers</t>
        </is>
      </c>
      <c r="B19" t="n">
        <v>446</v>
      </c>
      <c r="C19" t="n">
        <v>0</v>
      </c>
      <c r="H19" t="n">
        <v>32</v>
      </c>
      <c r="I19" t="n">
        <v>6</v>
      </c>
      <c r="L19">
        <f>B19+C19-H19</f>
        <v/>
      </c>
      <c r="M19">
        <f>L19-B19</f>
        <v/>
      </c>
      <c r="N19">
        <f>C19</f>
        <v/>
      </c>
      <c r="O19" t="n">
        <v>0.0703125</v>
      </c>
      <c r="P19" s="72">
        <f>O19*K19</f>
        <v/>
      </c>
      <c r="R19" t="n">
        <v>2.25</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37</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6</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2</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0.26</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8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highclere</t>
        </is>
      </c>
      <c r="B2" t="inlineStr">
        <is>
          <t>the account of john balhorn,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£6 3 shilling 9pence of arrears from the last account of the preceding year.</t>
        </is>
      </c>
      <c r="C3" t="n">
        <v>6.19</v>
      </c>
      <c r="D3" t="n">
        <v>6</v>
      </c>
      <c r="E3" t="n">
        <v>3</v>
      </c>
      <c r="F3" t="n">
        <v>9</v>
      </c>
      <c r="H3" t="n">
        <v>0</v>
      </c>
      <c r="I3" t="n">
        <v>0</v>
      </c>
      <c r="J3" t="n">
        <v>0</v>
      </c>
      <c r="K3" t="n">
        <v>0</v>
      </c>
      <c r="L3" t="n">
        <v>0</v>
      </c>
      <c r="M3" t="n">
        <v>0</v>
      </c>
      <c r="N3" t="n">
        <v>0</v>
      </c>
    </row>
    <row r="4">
      <c r="A4" t="inlineStr">
        <is>
          <t>arrears</t>
        </is>
      </c>
      <c r="B4" t="inlineStr">
        <is>
          <t>total, £6 3 shilling 9pence.</t>
        </is>
      </c>
      <c r="C4" t="n">
        <v>6.19</v>
      </c>
      <c r="D4" t="n">
        <v>6</v>
      </c>
      <c r="E4" t="n">
        <v>3</v>
      </c>
      <c r="F4" t="n">
        <v>9</v>
      </c>
      <c r="H4" t="n">
        <v>0</v>
      </c>
      <c r="I4" t="n">
        <v>0</v>
      </c>
      <c r="J4" t="n">
        <v>0</v>
      </c>
      <c r="K4" t="n">
        <v>0</v>
      </c>
      <c r="L4" t="n">
        <v>0</v>
      </c>
      <c r="M4" t="n">
        <v>0</v>
      </c>
      <c r="N4" t="n">
        <v>0</v>
      </c>
    </row>
    <row r="5">
      <c r="A5" t="inlineStr">
        <is>
          <t>rents of assize</t>
        </is>
      </c>
      <c r="B5" t="inlineStr">
        <is>
          <t>and for £1 19 shilling 2.75pence for all rents of assize there at christmas.</t>
        </is>
      </c>
      <c r="C5" t="n">
        <v>1.96</v>
      </c>
      <c r="D5" t="n">
        <v>1</v>
      </c>
      <c r="E5" t="n">
        <v>19</v>
      </c>
      <c r="F5" t="n">
        <v>2.75</v>
      </c>
      <c r="H5" t="n">
        <v>0</v>
      </c>
      <c r="I5" t="n">
        <v>0</v>
      </c>
      <c r="J5" t="n">
        <v>0</v>
      </c>
      <c r="K5" t="n">
        <v>0</v>
      </c>
      <c r="L5" t="n">
        <v>0</v>
      </c>
      <c r="M5" t="n">
        <v>0</v>
      </c>
      <c r="N5" t="n">
        <v>0</v>
      </c>
    </row>
    <row r="6">
      <c r="A6" t="inlineStr">
        <is>
          <t>rents of assize</t>
        </is>
      </c>
      <c r="B6" t="inlineStr">
        <is>
          <t>£3 11 shilling 2.75pence at easter (23 march).</t>
        </is>
      </c>
      <c r="C6" t="n">
        <v>3.56</v>
      </c>
      <c r="D6" t="n">
        <v>3</v>
      </c>
      <c r="E6" t="n">
        <v>11</v>
      </c>
      <c r="F6" t="n">
        <v>2.75</v>
      </c>
      <c r="H6" t="n">
        <v>0</v>
      </c>
      <c r="I6" t="n">
        <v>0</v>
      </c>
      <c r="J6" t="n">
        <v>0</v>
      </c>
      <c r="K6" t="n">
        <v>0</v>
      </c>
      <c r="L6" t="n">
        <v>0</v>
      </c>
      <c r="M6" t="n">
        <v>0</v>
      </c>
      <c r="N6" t="n">
        <v>0</v>
      </c>
    </row>
    <row r="7">
      <c r="A7" t="inlineStr">
        <is>
          <t>rents of assize</t>
        </is>
      </c>
      <c r="B7" t="inlineStr">
        <is>
          <t>£2 5 shilling 2.75pence at the nativity of the blessed john the baptist (24 june).</t>
        </is>
      </c>
      <c r="C7" t="n">
        <v>2.26</v>
      </c>
      <c r="D7" t="n">
        <v>2</v>
      </c>
      <c r="E7" t="n">
        <v>5</v>
      </c>
      <c r="F7" t="n">
        <v>2.75</v>
      </c>
      <c r="H7" t="n">
        <v>0</v>
      </c>
      <c r="I7" t="n">
        <v>0</v>
      </c>
      <c r="J7" t="n">
        <v>0</v>
      </c>
      <c r="K7" t="n">
        <v>0</v>
      </c>
      <c r="L7" t="n">
        <v>0</v>
      </c>
      <c r="M7" t="n">
        <v>0</v>
      </c>
      <c r="N7" t="n">
        <v>0</v>
      </c>
    </row>
    <row r="8">
      <c r="A8" t="inlineStr">
        <is>
          <t>rents of assize</t>
        </is>
      </c>
      <c r="B8" t="inlineStr">
        <is>
          <t>£15 16 shilling 2.75pence at michaelmas (29 september).</t>
        </is>
      </c>
      <c r="C8" t="n">
        <v>15.81</v>
      </c>
      <c r="D8" t="n">
        <v>15</v>
      </c>
      <c r="E8" t="n">
        <v>16</v>
      </c>
      <c r="F8" t="n">
        <v>2.75</v>
      </c>
      <c r="H8" t="n">
        <v>0</v>
      </c>
      <c r="I8" t="n">
        <v>0</v>
      </c>
      <c r="J8" t="n">
        <v>0</v>
      </c>
      <c r="K8" t="n">
        <v>0</v>
      </c>
      <c r="L8" t="n">
        <v>0</v>
      </c>
      <c r="M8" t="n">
        <v>0</v>
      </c>
      <c r="N8" t="n">
        <v>0</v>
      </c>
    </row>
    <row r="9">
      <c r="A9" t="inlineStr">
        <is>
          <t>rents of assize</t>
        </is>
      </c>
      <c r="B9" t="inlineStr">
        <is>
          <t>total, £23 11 shilling 11pence.</t>
        </is>
      </c>
      <c r="C9" t="n">
        <v>23.6</v>
      </c>
      <c r="D9" t="n">
        <v>23</v>
      </c>
      <c r="E9" t="n">
        <v>11</v>
      </c>
      <c r="F9" t="n">
        <v>11</v>
      </c>
      <c r="H9" t="n">
        <v>0</v>
      </c>
      <c r="I9" t="n">
        <v>0</v>
      </c>
      <c r="J9" t="n">
        <v>0</v>
      </c>
      <c r="K9" t="n">
        <v>0</v>
      </c>
      <c r="L9" t="n">
        <v>0</v>
      </c>
      <c r="M9" t="n">
        <v>0</v>
      </c>
      <c r="N9" t="n">
        <v>0</v>
      </c>
    </row>
    <row r="10">
      <c r="A10" t="inlineStr">
        <is>
          <t>quittances of rent</t>
        </is>
      </c>
      <c r="B10" t="inlineStr">
        <is>
          <t>in quittance of rent of 1 reeve, nothing, because there is none.</t>
        </is>
      </c>
      <c r="C10" t="n">
        <v>0</v>
      </c>
      <c r="D10" t="n">
        <v>0</v>
      </c>
      <c r="E10" t="n">
        <v>0</v>
      </c>
      <c r="F10" t="n">
        <v>0</v>
      </c>
      <c r="H10" t="n">
        <v>0</v>
      </c>
      <c r="I10" t="n">
        <v>0</v>
      </c>
      <c r="J10" t="n">
        <v>0</v>
      </c>
      <c r="K10" t="n">
        <v>0</v>
      </c>
      <c r="L10" t="n">
        <v>0</v>
      </c>
      <c r="M10" t="n">
        <v>0</v>
      </c>
      <c r="N10" t="n">
        <v>0</v>
      </c>
    </row>
    <row r="11">
      <c r="A11" t="inlineStr">
        <is>
          <t>quittances of rent</t>
        </is>
      </c>
      <c r="B11" t="inlineStr">
        <is>
          <t>1 hayward, nothing, because there is none.</t>
        </is>
      </c>
      <c r="C11" t="n">
        <v>0</v>
      </c>
      <c r="D11" t="n">
        <v>0</v>
      </c>
      <c r="E11" t="n">
        <v>0</v>
      </c>
      <c r="F11" t="n">
        <v>0</v>
      </c>
      <c r="H11" t="n">
        <v>0</v>
      </c>
      <c r="I11" t="n">
        <v>0</v>
      </c>
      <c r="J11" t="n">
        <v>0</v>
      </c>
      <c r="K11" t="n">
        <v>0</v>
      </c>
      <c r="L11" t="n">
        <v>0</v>
      </c>
      <c r="M11" t="n">
        <v>0</v>
      </c>
      <c r="N11" t="n">
        <v>0</v>
      </c>
    </row>
    <row r="12">
      <c r="A12" t="inlineStr">
        <is>
          <t>quittances of rent</t>
        </is>
      </c>
      <c r="B12" t="inlineStr">
        <is>
          <t>1 woodward of holhurst, nothing, because there is none.</t>
        </is>
      </c>
      <c r="C12" t="n">
        <v>0</v>
      </c>
      <c r="D12" t="n">
        <v>0</v>
      </c>
      <c r="E12" t="n">
        <v>0</v>
      </c>
      <c r="F12" t="n">
        <v>0</v>
      </c>
      <c r="H12" t="n">
        <v>0</v>
      </c>
      <c r="I12" t="n">
        <v>0</v>
      </c>
      <c r="J12" t="n">
        <v>0</v>
      </c>
      <c r="K12" t="n">
        <v>0</v>
      </c>
      <c r="L12" t="n">
        <v>0</v>
      </c>
      <c r="M12" t="n">
        <v>0</v>
      </c>
      <c r="N12" t="n">
        <v>0</v>
      </c>
    </row>
    <row r="13">
      <c r="A13" t="inlineStr">
        <is>
          <t>quittances of rent</t>
        </is>
      </c>
      <c r="B13" t="inlineStr">
        <is>
          <t>1 cowherd, nothing, because it pertains to the farmer.</t>
        </is>
      </c>
      <c r="C13" t="n">
        <v>0</v>
      </c>
      <c r="D13" t="n">
        <v>0</v>
      </c>
      <c r="E13" t="n">
        <v>0</v>
      </c>
      <c r="F13" t="n">
        <v>0</v>
      </c>
      <c r="H13" t="n">
        <v>0</v>
      </c>
      <c r="I13" t="n">
        <v>0</v>
      </c>
      <c r="J13" t="n">
        <v>0</v>
      </c>
      <c r="K13" t="n">
        <v>0</v>
      </c>
      <c r="L13" t="n">
        <v>0</v>
      </c>
      <c r="M13" t="n">
        <v>0</v>
      </c>
      <c r="N13" t="n">
        <v>0</v>
      </c>
    </row>
    <row r="14">
      <c r="A14" t="inlineStr">
        <is>
          <t>quittances of rent</t>
        </is>
      </c>
      <c r="B14" t="inlineStr">
        <is>
          <t>1 ploughman, nothing, because it pertains to the farmer.</t>
        </is>
      </c>
      <c r="C14" t="n">
        <v>0</v>
      </c>
      <c r="D14" t="n">
        <v>0</v>
      </c>
      <c r="E14" t="n">
        <v>0</v>
      </c>
      <c r="F14" t="n">
        <v>0</v>
      </c>
      <c r="H14" t="n">
        <v>0</v>
      </c>
      <c r="I14" t="n">
        <v>0</v>
      </c>
      <c r="J14" t="n">
        <v>0</v>
      </c>
      <c r="K14" t="n">
        <v>0</v>
      </c>
      <c r="L14" t="n">
        <v>0</v>
      </c>
      <c r="M14" t="n">
        <v>0</v>
      </c>
      <c r="N14" t="n">
        <v>0</v>
      </c>
    </row>
    <row r="15">
      <c r="A15" t="inlineStr">
        <is>
          <t>quittances of rent</t>
        </is>
      </c>
      <c r="B15" t="inlineStr">
        <is>
          <t>1 granger, nothing, because there is none.</t>
        </is>
      </c>
      <c r="C15" t="n">
        <v>0</v>
      </c>
      <c r="D15" t="n">
        <v>0</v>
      </c>
      <c r="E15" t="n">
        <v>0</v>
      </c>
      <c r="F15" t="n">
        <v>0</v>
      </c>
      <c r="H15" t="n">
        <v>0</v>
      </c>
      <c r="I15" t="n">
        <v>0</v>
      </c>
      <c r="J15" t="n">
        <v>0</v>
      </c>
      <c r="K15" t="n">
        <v>0</v>
      </c>
      <c r="L15" t="n">
        <v>0</v>
      </c>
      <c r="M15" t="n">
        <v>0</v>
      </c>
      <c r="N15" t="n">
        <v>0</v>
      </c>
    </row>
    <row r="16">
      <c r="A16" t="inlineStr">
        <is>
          <t>quittances of rent</t>
        </is>
      </c>
      <c r="B16" t="inlineStr">
        <is>
          <t>1 swineherd, nothing, because there is none.</t>
        </is>
      </c>
      <c r="C16" t="n">
        <v>0</v>
      </c>
      <c r="D16" t="n">
        <v>0</v>
      </c>
      <c r="E16" t="n">
        <v>0</v>
      </c>
      <c r="F16" t="n">
        <v>0</v>
      </c>
      <c r="H16" t="n">
        <v>0</v>
      </c>
      <c r="I16" t="n">
        <v>0</v>
      </c>
      <c r="J16" t="n">
        <v>0</v>
      </c>
      <c r="K16" t="n">
        <v>0</v>
      </c>
      <c r="L16" t="n">
        <v>0</v>
      </c>
      <c r="M16" t="n">
        <v>0</v>
      </c>
      <c r="N16" t="n">
        <v>0</v>
      </c>
    </row>
    <row r="17">
      <c r="A17" t="inlineStr">
        <is>
          <t>quittances of rent</t>
        </is>
      </c>
      <c r="B17" t="inlineStr">
        <is>
          <t>1 smith, nothing, because it pertains to the fanner.</t>
        </is>
      </c>
      <c r="C17" t="n">
        <v>0</v>
      </c>
      <c r="D17" t="n">
        <v>0</v>
      </c>
      <c r="E17" t="n">
        <v>0</v>
      </c>
      <c r="F17" t="n">
        <v>0</v>
      </c>
      <c r="H17" t="n">
        <v>0</v>
      </c>
      <c r="I17" t="n">
        <v>0</v>
      </c>
      <c r="J17" t="n">
        <v>0</v>
      </c>
      <c r="K17" t="n">
        <v>0</v>
      </c>
      <c r="L17" t="n">
        <v>0</v>
      </c>
      <c r="M17" t="n">
        <v>0</v>
      </c>
      <c r="N17" t="n">
        <v>0</v>
      </c>
    </row>
    <row r="18">
      <c r="A18" t="inlineStr">
        <is>
          <t>quittances of rent</t>
        </is>
      </c>
      <c r="B18" t="inlineStr">
        <is>
          <t>total, nothing.</t>
        </is>
      </c>
      <c r="C18" t="n">
        <v>0</v>
      </c>
      <c r="D18" t="n">
        <v>0</v>
      </c>
      <c r="E18" t="n">
        <v>0</v>
      </c>
      <c r="F18" t="n">
        <v>0</v>
      </c>
      <c r="H18" t="n">
        <v>0</v>
      </c>
      <c r="I18" t="n">
        <v>0</v>
      </c>
      <c r="J18" t="n">
        <v>0</v>
      </c>
      <c r="K18" t="n">
        <v>0</v>
      </c>
      <c r="L18" t="n">
        <v>0</v>
      </c>
      <c r="M18" t="n">
        <v>0</v>
      </c>
      <c r="N18" t="n">
        <v>0</v>
      </c>
    </row>
    <row r="19">
      <c r="A19" t="inlineStr">
        <is>
          <t>defaults of rent</t>
        </is>
      </c>
      <c r="B19" t="inlineStr">
        <is>
          <t>in default of 24 acres of land drawn into demesne, 10pence for the year.</t>
        </is>
      </c>
      <c r="C19" t="n">
        <v>0.04</v>
      </c>
      <c r="D19" t="n">
        <v>0</v>
      </c>
      <c r="E19" t="n">
        <v>0</v>
      </c>
      <c r="F19" t="n">
        <v>10</v>
      </c>
      <c r="H19" t="n">
        <v>0</v>
      </c>
      <c r="I19" t="n">
        <v>0</v>
      </c>
      <c r="J19" t="n">
        <v>0</v>
      </c>
      <c r="K19" t="n">
        <v>0</v>
      </c>
      <c r="L19" t="n">
        <v>0</v>
      </c>
      <c r="M19" t="n">
        <v>0</v>
      </c>
      <c r="N19" t="n">
        <v>0</v>
      </c>
    </row>
    <row r="20">
      <c r="A20" t="inlineStr">
        <is>
          <t>defaults of rent</t>
        </is>
      </c>
      <c r="B20" t="inlineStr">
        <is>
          <t>10 virgates of land drawn into the park, 13 shilling 4pence for the year.</t>
        </is>
      </c>
      <c r="C20" t="n">
        <v>0.67</v>
      </c>
      <c r="D20" t="n">
        <v>0</v>
      </c>
      <c r="E20" t="n">
        <v>13</v>
      </c>
      <c r="F20" t="n">
        <v>4</v>
      </c>
      <c r="H20" t="n">
        <v>0</v>
      </c>
      <c r="I20" t="n">
        <v>0</v>
      </c>
      <c r="J20" t="n">
        <v>0</v>
      </c>
      <c r="K20" t="n">
        <v>0</v>
      </c>
      <c r="L20" t="n">
        <v>0</v>
      </c>
      <c r="M20" t="n">
        <v>0</v>
      </c>
      <c r="N20" t="n">
        <v>0</v>
      </c>
    </row>
    <row r="21">
      <c r="A21" t="inlineStr">
        <is>
          <t>defaults of rent</t>
        </is>
      </c>
      <c r="B21" t="inlineStr">
        <is>
          <t>the land of the skinner 1 shilling.</t>
        </is>
      </c>
      <c r="C21" t="n">
        <v>0.05</v>
      </c>
      <c r="D21" t="n">
        <v>0</v>
      </c>
      <c r="E21" t="n">
        <v>1</v>
      </c>
      <c r="F21" t="n">
        <v>0</v>
      </c>
      <c r="H21" t="n">
        <v>0</v>
      </c>
      <c r="I21" t="n">
        <v>0</v>
      </c>
      <c r="J21" t="n">
        <v>0</v>
      </c>
      <c r="K21" t="n">
        <v>0</v>
      </c>
      <c r="L21" t="n">
        <v>0</v>
      </c>
      <c r="M21" t="n">
        <v>0</v>
      </c>
      <c r="N21" t="n">
        <v>0</v>
      </c>
    </row>
    <row r="22">
      <c r="A22" t="inlineStr">
        <is>
          <t>defaults of rent</t>
        </is>
      </c>
      <c r="B22" t="inlineStr">
        <is>
          <t>the land of benedict clerc' drawn into demesne, 4 shilling 6pence for the year.</t>
        </is>
      </c>
      <c r="C22" t="n">
        <v>0.23</v>
      </c>
      <c r="D22" t="n">
        <v>0</v>
      </c>
      <c r="E22" t="n">
        <v>4</v>
      </c>
      <c r="F22" t="n">
        <v>6</v>
      </c>
      <c r="H22" t="n">
        <v>0</v>
      </c>
      <c r="I22" t="n">
        <v>0</v>
      </c>
      <c r="J22" t="n">
        <v>0</v>
      </c>
      <c r="K22" t="n">
        <v>0</v>
      </c>
      <c r="L22" t="n">
        <v>0</v>
      </c>
      <c r="M22" t="n">
        <v>0</v>
      </c>
      <c r="N22" t="n">
        <v>0</v>
      </c>
    </row>
    <row r="23">
      <c r="A23" t="inlineStr">
        <is>
          <t>defaults of rent</t>
        </is>
      </c>
      <c r="B23" t="inlineStr">
        <is>
          <t>the land which belonged to alexander le whyte drawn into demesne, 17 shilling 9pence for the year.</t>
        </is>
      </c>
      <c r="C23" t="n">
        <v>0.89</v>
      </c>
      <c r="D23" t="n">
        <v>0</v>
      </c>
      <c r="E23" t="n">
        <v>17</v>
      </c>
      <c r="F23" t="n">
        <v>9</v>
      </c>
      <c r="H23" t="n">
        <v>0</v>
      </c>
      <c r="I23" t="n">
        <v>0</v>
      </c>
      <c r="J23" t="n">
        <v>0</v>
      </c>
      <c r="K23" t="n">
        <v>0</v>
      </c>
      <c r="L23" t="n">
        <v>0</v>
      </c>
      <c r="M23" t="n">
        <v>0</v>
      </c>
      <c r="N23" t="n">
        <v>0</v>
      </c>
    </row>
    <row r="24">
      <c r="A24" t="inlineStr">
        <is>
          <t>defaults of rent</t>
        </is>
      </c>
      <c r="B24" t="inlineStr">
        <is>
          <t>the land of hawkley, 3 shilling for the year.</t>
        </is>
      </c>
      <c r="C24" t="n">
        <v>0.15</v>
      </c>
      <c r="D24" t="n">
        <v>0</v>
      </c>
      <c r="E24" t="n">
        <v>3</v>
      </c>
      <c r="F24" t="n">
        <v>0</v>
      </c>
      <c r="H24" t="n">
        <v>0</v>
      </c>
      <c r="I24" t="n">
        <v>0</v>
      </c>
      <c r="J24" t="n">
        <v>0</v>
      </c>
      <c r="K24" t="n">
        <v>0</v>
      </c>
      <c r="L24" t="n">
        <v>0</v>
      </c>
      <c r="M24" t="n">
        <v>0</v>
      </c>
      <c r="N24" t="n">
        <v>0</v>
      </c>
    </row>
    <row r="25">
      <c r="A25" t="inlineStr">
        <is>
          <t>defaults of rent</t>
        </is>
      </c>
      <c r="B25" t="inlineStr">
        <is>
          <t>1 house which belonged to nicholas atte sele, pulled down by statute, 4pence.</t>
        </is>
      </c>
      <c r="C25" t="n">
        <v>0.02</v>
      </c>
      <c r="D25" t="n">
        <v>0</v>
      </c>
      <c r="E25" t="n">
        <v>0</v>
      </c>
      <c r="F25" t="n">
        <v>4</v>
      </c>
      <c r="H25" t="n">
        <v>0</v>
      </c>
      <c r="I25" t="n">
        <v>0</v>
      </c>
      <c r="J25" t="n">
        <v>0</v>
      </c>
      <c r="K25" t="n">
        <v>0</v>
      </c>
      <c r="L25" t="n">
        <v>0</v>
      </c>
      <c r="M25" t="n">
        <v>0</v>
      </c>
      <c r="N25" t="n">
        <v>0</v>
      </c>
    </row>
    <row r="26">
      <c r="A26" t="inlineStr">
        <is>
          <t>defaults of rent</t>
        </is>
      </c>
      <c r="B26" t="inlineStr">
        <is>
          <t>the land of richard sone, for 7.5 acres 1 rood of land drawn into the park, 2 shilling 9pence for the year, for which he has an exchange in the manor of burghclere, and he pays for the same there as made clear in that account.</t>
        </is>
      </c>
      <c r="C26" t="n">
        <v>0.14</v>
      </c>
      <c r="D26" t="n">
        <v>0</v>
      </c>
      <c r="E26" t="n">
        <v>2</v>
      </c>
      <c r="F26" t="n">
        <v>9</v>
      </c>
      <c r="H26" t="n">
        <v>0</v>
      </c>
      <c r="I26" t="n">
        <v>0</v>
      </c>
      <c r="J26" t="n">
        <v>0</v>
      </c>
      <c r="K26" t="n">
        <v>0</v>
      </c>
      <c r="L26" t="n">
        <v>0</v>
      </c>
      <c r="M26" t="n">
        <v>0</v>
      </c>
      <c r="N26" t="n">
        <v>0</v>
      </c>
    </row>
    <row r="27">
      <c r="A27" t="inlineStr">
        <is>
          <t>defaults of rent</t>
        </is>
      </c>
      <c r="B27" t="inlineStr">
        <is>
          <t>the land of alice newe, for 9 acres of land drawn into the park, 3 shilling 9pence, for which she has an exchange in the manor of burghclere, and she pays for the same there.</t>
        </is>
      </c>
      <c r="C27" t="n">
        <v>0.19</v>
      </c>
      <c r="D27" t="n">
        <v>0</v>
      </c>
      <c r="E27" t="n">
        <v>3</v>
      </c>
      <c r="F27" t="n">
        <v>9</v>
      </c>
      <c r="H27" t="n">
        <v>0</v>
      </c>
      <c r="I27" t="n">
        <v>0</v>
      </c>
      <c r="J27" t="n">
        <v>0</v>
      </c>
      <c r="K27" t="n">
        <v>0</v>
      </c>
      <c r="L27" t="n">
        <v>0</v>
      </c>
      <c r="M27" t="n">
        <v>0</v>
      </c>
      <c r="N27" t="n">
        <v>0</v>
      </c>
    </row>
    <row r="28">
      <c r="A28" t="inlineStr">
        <is>
          <t>defaults of rent</t>
        </is>
      </c>
      <c r="B28" t="inlineStr">
        <is>
          <t>the land of adam semere, for 1.5 acres of land drawn into the park, 6pence, for which he has an exchange in the manor of burghclere, and he pays for the same there.</t>
        </is>
      </c>
      <c r="C28" t="n">
        <v>0.03</v>
      </c>
      <c r="D28" t="n">
        <v>0</v>
      </c>
      <c r="E28" t="n">
        <v>0</v>
      </c>
      <c r="F28" t="n">
        <v>6</v>
      </c>
      <c r="H28" t="n">
        <v>0</v>
      </c>
      <c r="I28" t="n">
        <v>0</v>
      </c>
      <c r="J28" t="n">
        <v>0</v>
      </c>
      <c r="K28" t="n">
        <v>0</v>
      </c>
      <c r="L28" t="n">
        <v>0</v>
      </c>
      <c r="M28" t="n">
        <v>0</v>
      </c>
      <c r="N28" t="n">
        <v>0</v>
      </c>
    </row>
    <row r="29">
      <c r="A29" t="inlineStr">
        <is>
          <t>defaults of rent</t>
        </is>
      </c>
      <c r="B29" t="inlineStr">
        <is>
          <t>the land of john randolf, for 3 acres 1 rood of land drawn into the park, 1 shilling 4.5pence for the year, for which he has an exchange in the manor of burghclere, and he pays for the same there.</t>
        </is>
      </c>
      <c r="C29" t="n">
        <v>0.07000000000000001</v>
      </c>
      <c r="D29" t="n">
        <v>0</v>
      </c>
      <c r="E29" t="n">
        <v>1</v>
      </c>
      <c r="F29" t="n">
        <v>4.5</v>
      </c>
      <c r="H29" t="n">
        <v>0</v>
      </c>
      <c r="I29" t="n">
        <v>0</v>
      </c>
      <c r="J29" t="n">
        <v>0</v>
      </c>
      <c r="K29" t="n">
        <v>0</v>
      </c>
      <c r="L29" t="n">
        <v>0</v>
      </c>
      <c r="M29" t="n">
        <v>0</v>
      </c>
      <c r="N29" t="n">
        <v>0</v>
      </c>
    </row>
    <row r="30">
      <c r="A30" t="inlineStr">
        <is>
          <t>defaults of rent</t>
        </is>
      </c>
      <c r="B30" t="inlineStr">
        <is>
          <t>the land of john kippyng', for 3 acres 1 rood of land drawn into the park, 1 shilling 4.5pence for the year, for which he has an exchange in the manor of burghclere, and he pays for the same there.</t>
        </is>
      </c>
      <c r="C30" t="n">
        <v>0.07000000000000001</v>
      </c>
      <c r="D30" t="n">
        <v>0</v>
      </c>
      <c r="E30" t="n">
        <v>1</v>
      </c>
      <c r="F30" t="n">
        <v>4.5</v>
      </c>
      <c r="H30" t="n">
        <v>0</v>
      </c>
      <c r="I30" t="n">
        <v>0</v>
      </c>
      <c r="J30" t="n">
        <v>0</v>
      </c>
      <c r="K30" t="n">
        <v>0</v>
      </c>
      <c r="L30" t="n">
        <v>0</v>
      </c>
      <c r="M30" t="n">
        <v>0</v>
      </c>
      <c r="N30" t="n">
        <v>0</v>
      </c>
    </row>
    <row r="31">
      <c r="A31" t="inlineStr">
        <is>
          <t>defaults of rent</t>
        </is>
      </c>
      <c r="B31" t="inlineStr">
        <is>
          <t>the land of robert lok', 6.5 acres 1 rood of land drawn into the park, 2 shilling 9pence, for which he has an exchange in the manor of burghclere, and he pays for the same there.</t>
        </is>
      </c>
      <c r="C31" t="n">
        <v>0.14</v>
      </c>
      <c r="D31" t="n">
        <v>0</v>
      </c>
      <c r="E31" t="n">
        <v>2</v>
      </c>
      <c r="F31" t="n">
        <v>9</v>
      </c>
      <c r="H31" t="n">
        <v>0</v>
      </c>
      <c r="I31" t="n">
        <v>0</v>
      </c>
      <c r="J31" t="n">
        <v>0</v>
      </c>
      <c r="K31" t="n">
        <v>0</v>
      </c>
      <c r="L31" t="n">
        <v>0</v>
      </c>
      <c r="M31" t="n">
        <v>0</v>
      </c>
      <c r="N31" t="n">
        <v>0</v>
      </c>
    </row>
    <row r="32">
      <c r="A32" t="inlineStr">
        <is>
          <t>defaults of rent</t>
        </is>
      </c>
      <c r="B32" t="inlineStr">
        <is>
          <t>the land of john elys, for 4 acres 1 rood of land drawn into demesne, 2 shilling for the year, for which he has an exchange  in the manor of burghclere, and he pays for the same there.</t>
        </is>
      </c>
      <c r="C32" t="n">
        <v>0.1</v>
      </c>
      <c r="D32" t="n">
        <v>0</v>
      </c>
      <c r="E32" t="n">
        <v>2</v>
      </c>
      <c r="F32" t="n">
        <v>0</v>
      </c>
      <c r="H32" t="n">
        <v>0</v>
      </c>
      <c r="I32" t="n">
        <v>0</v>
      </c>
      <c r="J32" t="n">
        <v>0</v>
      </c>
      <c r="K32" t="n">
        <v>0</v>
      </c>
      <c r="L32" t="n">
        <v>0</v>
      </c>
      <c r="M32" t="n">
        <v>0</v>
      </c>
      <c r="N32" t="n">
        <v>0</v>
      </c>
    </row>
    <row r="33">
      <c r="A33" t="inlineStr">
        <is>
          <t>defaults of rent</t>
        </is>
      </c>
      <c r="B33" t="inlineStr">
        <is>
          <t>the land of adam stubbe, for 12.5 acres drawn into demesne because he was unwilling to hold it longer, 6 shilling 3pence for the year.</t>
        </is>
      </c>
      <c r="C33" t="n">
        <v>0.31</v>
      </c>
      <c r="D33" t="n">
        <v>0</v>
      </c>
      <c r="E33" t="n">
        <v>6</v>
      </c>
      <c r="F33" t="n">
        <v>3</v>
      </c>
      <c r="H33" t="n">
        <v>0</v>
      </c>
      <c r="I33" t="n">
        <v>0</v>
      </c>
      <c r="J33" t="n">
        <v>0</v>
      </c>
      <c r="K33" t="n">
        <v>0</v>
      </c>
      <c r="L33" t="n">
        <v>0</v>
      </c>
      <c r="M33" t="n">
        <v>0</v>
      </c>
      <c r="N33" t="n">
        <v>0</v>
      </c>
    </row>
    <row r="34">
      <c r="A34" t="inlineStr">
        <is>
          <t>defaults of rent</t>
        </is>
      </c>
      <c r="B34" t="inlineStr">
        <is>
          <t>the land formerly of john battyng' drawn into the park 1pence.</t>
        </is>
      </c>
      <c r="C34" t="n">
        <v>0</v>
      </c>
      <c r="D34" t="n">
        <v>0</v>
      </c>
      <c r="E34" t="n">
        <v>0</v>
      </c>
      <c r="F34" t="n">
        <v>1</v>
      </c>
      <c r="H34" t="n">
        <v>0</v>
      </c>
      <c r="I34" t="n">
        <v>0</v>
      </c>
      <c r="J34" t="n">
        <v>0</v>
      </c>
      <c r="K34" t="n">
        <v>0</v>
      </c>
      <c r="L34" t="n">
        <v>0</v>
      </c>
      <c r="M34" t="n">
        <v>0</v>
      </c>
      <c r="N34" t="n">
        <v>0</v>
      </c>
    </row>
    <row r="35">
      <c r="A35" t="inlineStr">
        <is>
          <t>defaults of rent</t>
        </is>
      </c>
      <c r="B35" t="inlineStr">
        <is>
          <t>6.5 acres of purpresture formerly of henry atte sele drawn into the park 2 shilling 9pence.</t>
        </is>
      </c>
      <c r="C35" t="n">
        <v>0.14</v>
      </c>
      <c r="D35" t="n">
        <v>0</v>
      </c>
      <c r="E35" t="n">
        <v>2</v>
      </c>
      <c r="F35" t="n">
        <v>9</v>
      </c>
      <c r="H35" t="n">
        <v>0</v>
      </c>
      <c r="I35" t="n">
        <v>0</v>
      </c>
      <c r="J35" t="n">
        <v>0</v>
      </c>
      <c r="K35" t="n">
        <v>0</v>
      </c>
      <c r="L35" t="n">
        <v>0</v>
      </c>
      <c r="M35" t="n">
        <v>0</v>
      </c>
      <c r="N35" t="n">
        <v>0</v>
      </c>
    </row>
    <row r="36">
      <c r="A36" t="inlineStr">
        <is>
          <t>defaults of rent</t>
        </is>
      </c>
      <c r="B36" t="inlineStr">
        <is>
          <t>2.5 acres of purpresture formerly of robert legat drawn into the park, 1 shilling 3pence for the year.</t>
        </is>
      </c>
      <c r="C36" t="n">
        <v>0.06</v>
      </c>
      <c r="D36" t="n">
        <v>0</v>
      </c>
      <c r="E36" t="n">
        <v>1</v>
      </c>
      <c r="F36" t="n">
        <v>3</v>
      </c>
      <c r="H36" t="n">
        <v>0</v>
      </c>
      <c r="I36" t="n">
        <v>0</v>
      </c>
      <c r="J36" t="n">
        <v>0</v>
      </c>
      <c r="K36" t="n">
        <v>0</v>
      </c>
      <c r="L36" t="n">
        <v>0</v>
      </c>
      <c r="M36" t="n">
        <v>0</v>
      </c>
      <c r="N36" t="n">
        <v>0</v>
      </c>
    </row>
    <row r="37">
      <c r="A37" t="inlineStr">
        <is>
          <t>defaults of rent</t>
        </is>
      </c>
      <c r="B37" t="inlineStr">
        <is>
          <t>5.5 acres of purpresture formerly of john newe drawn into the park 2 shilling 9pence.</t>
        </is>
      </c>
      <c r="C37" t="n">
        <v>0.14</v>
      </c>
      <c r="D37" t="n">
        <v>0</v>
      </c>
      <c r="E37" t="n">
        <v>2</v>
      </c>
      <c r="F37" t="n">
        <v>9</v>
      </c>
      <c r="H37" t="n">
        <v>0</v>
      </c>
      <c r="I37" t="n">
        <v>0</v>
      </c>
      <c r="J37" t="n">
        <v>0</v>
      </c>
      <c r="K37" t="n">
        <v>0</v>
      </c>
      <c r="L37" t="n">
        <v>0</v>
      </c>
      <c r="M37" t="n">
        <v>0</v>
      </c>
      <c r="N37" t="n">
        <v>0</v>
      </c>
    </row>
    <row r="38">
      <c r="A38" t="inlineStr">
        <is>
          <t>defaults of rent</t>
        </is>
      </c>
      <c r="B38" t="inlineStr">
        <is>
          <t>8 acres of land.</t>
        </is>
      </c>
      <c r="C38" t="n">
        <v>0</v>
      </c>
      <c r="D38" t="n">
        <v>0</v>
      </c>
      <c r="E38" t="n">
        <v>0</v>
      </c>
      <c r="F38" t="n">
        <v>0</v>
      </c>
      <c r="H38" t="n">
        <v>0</v>
      </c>
      <c r="I38" t="n">
        <v>0</v>
      </c>
      <c r="J38" t="n">
        <v>0</v>
      </c>
      <c r="K38" t="n">
        <v>0</v>
      </c>
      <c r="L38" t="n">
        <v>0</v>
      </c>
      <c r="M38" t="n">
        <v>0</v>
      </c>
      <c r="N38" t="n">
        <v>0</v>
      </c>
    </row>
    <row r="39">
      <c r="A39" t="inlineStr">
        <is>
          <t>defaults of rent</t>
        </is>
      </c>
      <c r="B39" t="inlineStr">
        <is>
          <t>of john cutell' drawn into the park 4 shilling.</t>
        </is>
      </c>
      <c r="C39" t="n">
        <v>0.2</v>
      </c>
      <c r="D39" t="n">
        <v>0</v>
      </c>
      <c r="E39" t="n">
        <v>4</v>
      </c>
      <c r="F39" t="n">
        <v>0</v>
      </c>
      <c r="H39" t="n">
        <v>0</v>
      </c>
      <c r="I39" t="n">
        <v>0</v>
      </c>
      <c r="J39" t="n">
        <v>0</v>
      </c>
      <c r="K39" t="n">
        <v>0</v>
      </c>
      <c r="L39" t="n">
        <v>0</v>
      </c>
      <c r="M39" t="n">
        <v>0</v>
      </c>
      <c r="N39" t="n">
        <v>0</v>
      </c>
    </row>
    <row r="40">
      <c r="A40" t="inlineStr">
        <is>
          <t>defaults of rent</t>
        </is>
      </c>
      <c r="B40" t="inlineStr">
        <is>
          <t>2 acres of purpresture formerly of william honywell' drawn into the park, 1 shilling for the year.</t>
        </is>
      </c>
      <c r="C40" t="n">
        <v>0.05</v>
      </c>
      <c r="D40" t="n">
        <v>0</v>
      </c>
      <c r="E40" t="n">
        <v>1</v>
      </c>
      <c r="F40" t="n">
        <v>0</v>
      </c>
      <c r="H40" t="n">
        <v>0</v>
      </c>
      <c r="I40" t="n">
        <v>0</v>
      </c>
      <c r="J40" t="n">
        <v>0</v>
      </c>
      <c r="K40" t="n">
        <v>0</v>
      </c>
      <c r="L40" t="n">
        <v>0</v>
      </c>
      <c r="M40" t="n">
        <v>0</v>
      </c>
      <c r="N40" t="n">
        <v>0</v>
      </c>
    </row>
    <row r="41">
      <c r="A41" t="inlineStr">
        <is>
          <t>defaults of rent</t>
        </is>
      </c>
      <c r="B41" t="inlineStr">
        <is>
          <t>2 acres 3 roods of purpresture formerly of william kyng' drawn into the park, 1 shilling 4.5pence for the year.</t>
        </is>
      </c>
      <c r="C41" t="n">
        <v>0.07000000000000001</v>
      </c>
      <c r="D41" t="n">
        <v>0</v>
      </c>
      <c r="E41" t="n">
        <v>1</v>
      </c>
      <c r="F41" t="n">
        <v>4.5</v>
      </c>
      <c r="H41" t="n">
        <v>0</v>
      </c>
      <c r="I41" t="n">
        <v>0</v>
      </c>
      <c r="J41" t="n">
        <v>0</v>
      </c>
      <c r="K41" t="n">
        <v>0</v>
      </c>
      <c r="L41" t="n">
        <v>0</v>
      </c>
      <c r="M41" t="n">
        <v>0</v>
      </c>
      <c r="N41" t="n">
        <v>0</v>
      </c>
    </row>
    <row r="42">
      <c r="A42" t="inlineStr">
        <is>
          <t>defaults of rent</t>
        </is>
      </c>
      <c r="B42" t="inlineStr">
        <is>
          <t>9 acres of purpresture and a third part of 1 rood of purpresture formerly of john lag' drawn into the park, 4 shilling 61 pence for the year.</t>
        </is>
      </c>
      <c r="C42" t="n">
        <v>0.45</v>
      </c>
      <c r="D42" t="n">
        <v>0</v>
      </c>
      <c r="E42" t="n">
        <v>4</v>
      </c>
      <c r="F42" t="n">
        <v>61</v>
      </c>
      <c r="H42" t="n">
        <v>0</v>
      </c>
      <c r="I42" t="n">
        <v>0</v>
      </c>
      <c r="J42" t="n">
        <v>0</v>
      </c>
      <c r="K42" t="n">
        <v>0</v>
      </c>
      <c r="L42" t="n">
        <v>0</v>
      </c>
      <c r="M42" t="n">
        <v>0</v>
      </c>
      <c r="N42" t="n">
        <v>0</v>
      </c>
    </row>
    <row r="43">
      <c r="A43" t="inlineStr">
        <is>
          <t>defaults of rent</t>
        </is>
      </c>
      <c r="B43" t="inlineStr">
        <is>
          <t>total, £3 19 shilling 3pence.</t>
        </is>
      </c>
      <c r="C43" t="n">
        <v>3.96</v>
      </c>
      <c r="D43" t="n">
        <v>3</v>
      </c>
      <c r="E43" t="n">
        <v>19</v>
      </c>
      <c r="F43" t="n">
        <v>3</v>
      </c>
      <c r="H43" t="n">
        <v>0</v>
      </c>
      <c r="I43" t="n">
        <v>0</v>
      </c>
      <c r="J43" t="n">
        <v>0</v>
      </c>
      <c r="K43" t="n">
        <v>0</v>
      </c>
      <c r="L43" t="n">
        <v>0</v>
      </c>
      <c r="M43" t="n">
        <v>0</v>
      </c>
      <c r="N43" t="n">
        <v>0</v>
      </c>
    </row>
    <row r="44">
      <c r="A44" t="inlineStr">
        <is>
          <t>defaults of rent through the first pestilence, this being the sixty-second year</t>
        </is>
      </c>
      <c r="B44" t="inlineStr">
        <is>
          <t>in default of 2 acres 1 rood of land formerly of richard le cartere in the lord's hands 1 shilling 1.5pence.</t>
        </is>
      </c>
      <c r="C44" t="n">
        <v>0.06</v>
      </c>
      <c r="D44" t="n">
        <v>0</v>
      </c>
      <c r="E44" t="n">
        <v>1</v>
      </c>
      <c r="F44" t="n">
        <v>1.5</v>
      </c>
      <c r="H44" t="n">
        <v>0</v>
      </c>
      <c r="I44" t="n">
        <v>0</v>
      </c>
      <c r="J44" t="n">
        <v>0</v>
      </c>
      <c r="K44" t="n">
        <v>0</v>
      </c>
      <c r="L44" t="n">
        <v>0</v>
      </c>
      <c r="M44" t="n">
        <v>0</v>
      </c>
      <c r="N44" t="n">
        <v>0</v>
      </c>
    </row>
    <row r="45">
      <c r="A45" t="inlineStr">
        <is>
          <t>defaults of rent through the first pestilence, this being the sixty-second year</t>
        </is>
      </c>
      <c r="B45" t="inlineStr">
        <is>
          <t>1 plot of purpresture formerly of isabel atte sele in the lord's hands 3pence.</t>
        </is>
      </c>
      <c r="C45" t="n">
        <v>0.01</v>
      </c>
      <c r="D45" t="n">
        <v>0</v>
      </c>
      <c r="E45" t="n">
        <v>0</v>
      </c>
      <c r="F45" t="n">
        <v>3</v>
      </c>
      <c r="H45" t="n">
        <v>0</v>
      </c>
      <c r="I45" t="n">
        <v>0</v>
      </c>
      <c r="J45" t="n">
        <v>0</v>
      </c>
      <c r="K45" t="n">
        <v>0</v>
      </c>
      <c r="L45" t="n">
        <v>0</v>
      </c>
      <c r="M45" t="n">
        <v>0</v>
      </c>
      <c r="N45" t="n">
        <v>0</v>
      </c>
    </row>
    <row r="46">
      <c r="A46" t="inlineStr">
        <is>
          <t>defaults of rent through the first pestilence, this being the sixty-second year</t>
        </is>
      </c>
      <c r="B46" t="inlineStr">
        <is>
          <t>36 acres 3 roods of purpresture formerly of thomas wheolton' in the lord's hands 18 shilling 4.5pence.</t>
        </is>
      </c>
      <c r="C46" t="n">
        <v>0.92</v>
      </c>
      <c r="D46" t="n">
        <v>0</v>
      </c>
      <c r="E46" t="n">
        <v>18</v>
      </c>
      <c r="F46" t="n">
        <v>4.5</v>
      </c>
      <c r="H46" t="n">
        <v>0</v>
      </c>
      <c r="I46" t="n">
        <v>0</v>
      </c>
      <c r="J46" t="n">
        <v>0</v>
      </c>
      <c r="K46" t="n">
        <v>0</v>
      </c>
      <c r="L46" t="n">
        <v>0</v>
      </c>
      <c r="M46" t="n">
        <v>0</v>
      </c>
      <c r="N46" t="n">
        <v>0</v>
      </c>
    </row>
    <row r="47">
      <c r="A47" t="inlineStr">
        <is>
          <t>defaults of rent through the first pestilence, this being the sixty-second year</t>
        </is>
      </c>
      <c r="B47" t="inlineStr">
        <is>
          <t>2.5 acres of purpresture formerly of adam stubbe in the lord's hands 1 shilling 3pence.</t>
        </is>
      </c>
      <c r="C47" t="n">
        <v>0.06</v>
      </c>
      <c r="D47" t="n">
        <v>0</v>
      </c>
      <c r="E47" t="n">
        <v>1</v>
      </c>
      <c r="F47" t="n">
        <v>3</v>
      </c>
      <c r="H47" t="n">
        <v>0</v>
      </c>
      <c r="I47" t="n">
        <v>0</v>
      </c>
      <c r="J47" t="n">
        <v>0</v>
      </c>
      <c r="K47" t="n">
        <v>0</v>
      </c>
      <c r="L47" t="n">
        <v>0</v>
      </c>
      <c r="M47" t="n">
        <v>0</v>
      </c>
      <c r="N47" t="n">
        <v>0</v>
      </c>
    </row>
    <row r="48">
      <c r="A48" t="inlineStr">
        <is>
          <t>defaults of rent through the first pestilence, this being the sixty-second year</t>
        </is>
      </c>
      <c r="B48" t="inlineStr">
        <is>
          <t>9 acres of purpresture formerly of william atte tounesende in the lord's hands because it lies vacant 4 shilling 6pence.</t>
        </is>
      </c>
      <c r="C48" t="n">
        <v>0.23</v>
      </c>
      <c r="D48" t="n">
        <v>0</v>
      </c>
      <c r="E48" t="n">
        <v>4</v>
      </c>
      <c r="F48" t="n">
        <v>6</v>
      </c>
      <c r="H48" t="n">
        <v>0</v>
      </c>
      <c r="I48" t="n">
        <v>0</v>
      </c>
      <c r="J48" t="n">
        <v>0</v>
      </c>
      <c r="K48" t="n">
        <v>0</v>
      </c>
      <c r="L48" t="n">
        <v>0</v>
      </c>
      <c r="M48" t="n">
        <v>0</v>
      </c>
      <c r="N48" t="n">
        <v>0</v>
      </c>
    </row>
    <row r="49">
      <c r="A49" t="inlineStr">
        <is>
          <t>defaults of rent through the first pestilence, this being the sixty-second year</t>
        </is>
      </c>
      <c r="B49" t="inlineStr">
        <is>
          <t>total, £1 5 shilling 6pence.</t>
        </is>
      </c>
      <c r="C49" t="n">
        <v>1.27</v>
      </c>
      <c r="D49" t="n">
        <v>1</v>
      </c>
      <c r="E49" t="n">
        <v>5</v>
      </c>
      <c r="F49" t="n">
        <v>6</v>
      </c>
      <c r="H49" t="n">
        <v>0</v>
      </c>
      <c r="I49" t="n">
        <v>0</v>
      </c>
      <c r="J49" t="n">
        <v>0</v>
      </c>
      <c r="K49" t="n">
        <v>0</v>
      </c>
      <c r="L49" t="n">
        <v>0</v>
      </c>
      <c r="M49" t="n">
        <v>0</v>
      </c>
      <c r="N49" t="n">
        <v>0</v>
      </c>
    </row>
    <row r="50">
      <c r="A50" t="inlineStr">
        <is>
          <t>defaults of rent through the second pestilence, this being the forty-ninth year</t>
        </is>
      </c>
      <c r="B50" t="inlineStr">
        <is>
          <t>in default of 21 acres of purpresture in la wasshe formerly of richard wykyng' in the lord's hands through the pestilence 10 shilling 6pence.</t>
        </is>
      </c>
      <c r="C50" t="n">
        <v>0.53</v>
      </c>
      <c r="D50" t="n">
        <v>0</v>
      </c>
      <c r="E50" t="n">
        <v>10</v>
      </c>
      <c r="F50" t="n">
        <v>6</v>
      </c>
      <c r="H50" t="n">
        <v>0</v>
      </c>
      <c r="I50" t="n">
        <v>0</v>
      </c>
      <c r="J50" t="n">
        <v>0</v>
      </c>
      <c r="K50" t="n">
        <v>0</v>
      </c>
      <c r="L50" t="n">
        <v>0</v>
      </c>
      <c r="M50" t="n">
        <v>0</v>
      </c>
      <c r="N50" t="n">
        <v>0</v>
      </c>
    </row>
    <row r="51">
      <c r="A51" t="inlineStr">
        <is>
          <t>defaults of rent through the second pestilence, this being the forty-ninth year</t>
        </is>
      </c>
      <c r="B51" t="inlineStr">
        <is>
          <t>1 cottage with a curtilage formerly of margery atte delle 4 shilling, because the said margery abandoned it and refused to hold it any longer.</t>
        </is>
      </c>
      <c r="C51" t="n">
        <v>0.2</v>
      </c>
      <c r="D51" t="n">
        <v>0</v>
      </c>
      <c r="E51" t="n">
        <v>4</v>
      </c>
      <c r="F51" t="n">
        <v>0</v>
      </c>
      <c r="H51" t="n">
        <v>0</v>
      </c>
      <c r="I51" t="n">
        <v>0</v>
      </c>
      <c r="J51" t="n">
        <v>0</v>
      </c>
      <c r="K51" t="n">
        <v>0</v>
      </c>
      <c r="L51" t="n">
        <v>0</v>
      </c>
      <c r="M51" t="n">
        <v>0</v>
      </c>
      <c r="N51" t="n">
        <v>0</v>
      </c>
    </row>
    <row r="52">
      <c r="A52" t="inlineStr">
        <is>
          <t>defaults of rent through the second pestilence, this being the forty-ninth year</t>
        </is>
      </c>
      <c r="B52" t="inlineStr">
        <is>
          <t>1 cotland and 3 acres of purpresture formerly of richard le cartere 3 shilling 6pence.</t>
        </is>
      </c>
      <c r="C52" t="n">
        <v>0.17</v>
      </c>
      <c r="D52" t="n">
        <v>0</v>
      </c>
      <c r="E52" t="n">
        <v>3</v>
      </c>
      <c r="F52" t="n">
        <v>6</v>
      </c>
      <c r="H52" t="n">
        <v>0</v>
      </c>
      <c r="I52" t="n">
        <v>0</v>
      </c>
      <c r="J52" t="n">
        <v>0</v>
      </c>
      <c r="K52" t="n">
        <v>0</v>
      </c>
      <c r="L52" t="n">
        <v>0</v>
      </c>
      <c r="M52" t="n">
        <v>0</v>
      </c>
      <c r="N52" t="n">
        <v>0</v>
      </c>
    </row>
    <row r="53">
      <c r="A53" t="inlineStr">
        <is>
          <t>defaults of rent through the second pestilence, this being the forty-ninth year</t>
        </is>
      </c>
      <c r="B53" t="inlineStr">
        <is>
          <t>1 cotland and 10 acres of purpresture formerly of john cole which edith scathelok recently held by charter 7 shilling.</t>
        </is>
      </c>
      <c r="C53" t="n">
        <v>0.35</v>
      </c>
      <c r="D53" t="n">
        <v>0</v>
      </c>
      <c r="E53" t="n">
        <v>7</v>
      </c>
      <c r="F53" t="n">
        <v>0</v>
      </c>
      <c r="H53" t="n">
        <v>0</v>
      </c>
      <c r="I53" t="n">
        <v>0</v>
      </c>
      <c r="J53" t="n">
        <v>0</v>
      </c>
      <c r="K53" t="n">
        <v>0</v>
      </c>
      <c r="L53" t="n">
        <v>0</v>
      </c>
      <c r="M53" t="n">
        <v>0</v>
      </c>
      <c r="N53" t="n">
        <v>0</v>
      </c>
    </row>
    <row r="54">
      <c r="A54" t="inlineStr">
        <is>
          <t>defaults of rent through the second pestilence, this being the forty-ninth year</t>
        </is>
      </c>
      <c r="B54" t="inlineStr">
        <is>
          <t>1 virgate of land formerly of hugh houndesbourne in the lord's hands for the same 5 shilling.</t>
        </is>
      </c>
      <c r="C54" t="n">
        <v>0.25</v>
      </c>
      <c r="D54" t="n">
        <v>0</v>
      </c>
      <c r="E54" t="n">
        <v>5</v>
      </c>
      <c r="F54" t="n">
        <v>0</v>
      </c>
      <c r="H54" t="n">
        <v>0</v>
      </c>
      <c r="I54" t="n">
        <v>0</v>
      </c>
      <c r="J54" t="n">
        <v>0</v>
      </c>
      <c r="K54" t="n">
        <v>0</v>
      </c>
      <c r="L54" t="n">
        <v>0</v>
      </c>
      <c r="M54" t="n">
        <v>0</v>
      </c>
      <c r="N54" t="n">
        <v>0</v>
      </c>
    </row>
    <row r="55">
      <c r="A55" t="inlineStr">
        <is>
          <t>defaults of rent through the second pestilence, this being the forty-ninth year</t>
        </is>
      </c>
      <c r="B55" t="inlineStr">
        <is>
          <t>1 virgate of land formerly of john persaill' in the lord's hands 5 shilling.</t>
        </is>
      </c>
      <c r="C55" t="n">
        <v>0.25</v>
      </c>
      <c r="D55" t="n">
        <v>0</v>
      </c>
      <c r="E55" t="n">
        <v>5</v>
      </c>
      <c r="F55" t="n">
        <v>0</v>
      </c>
      <c r="H55" t="n">
        <v>0</v>
      </c>
      <c r="I55" t="n">
        <v>0</v>
      </c>
      <c r="J55" t="n">
        <v>0</v>
      </c>
      <c r="K55" t="n">
        <v>0</v>
      </c>
      <c r="L55" t="n">
        <v>0</v>
      </c>
      <c r="M55" t="n">
        <v>0</v>
      </c>
      <c r="N55" t="n">
        <v>0</v>
      </c>
    </row>
    <row r="56">
      <c r="A56" t="inlineStr">
        <is>
          <t>defaults of rent through the second pestilence, this being the forty-ninth year</t>
        </is>
      </c>
      <c r="B56" t="inlineStr">
        <is>
          <t>1 virgate of land formerly of john togh' lying in la wasshe in the lord's hands for the same 5 shilling.</t>
        </is>
      </c>
      <c r="C56" t="n">
        <v>0.25</v>
      </c>
      <c r="D56" t="n">
        <v>0</v>
      </c>
      <c r="E56" t="n">
        <v>5</v>
      </c>
      <c r="F56" t="n">
        <v>0</v>
      </c>
      <c r="H56" t="n">
        <v>0</v>
      </c>
      <c r="I56" t="n">
        <v>0</v>
      </c>
      <c r="J56" t="n">
        <v>0</v>
      </c>
      <c r="K56" t="n">
        <v>0</v>
      </c>
      <c r="L56" t="n">
        <v>0</v>
      </c>
      <c r="M56" t="n">
        <v>0</v>
      </c>
      <c r="N56" t="n">
        <v>0</v>
      </c>
    </row>
    <row r="57">
      <c r="A57" t="inlineStr">
        <is>
          <t>defaults of rent through the second pestilence, this being the forty-ninth year</t>
        </is>
      </c>
      <c r="B57" t="inlineStr">
        <is>
          <t>1 virgate of land formerly of walter hobekyng' in the lord's hands for the same 5 shilling.</t>
        </is>
      </c>
      <c r="C57" t="n">
        <v>0.25</v>
      </c>
      <c r="D57" t="n">
        <v>0</v>
      </c>
      <c r="E57" t="n">
        <v>5</v>
      </c>
      <c r="F57" t="n">
        <v>0</v>
      </c>
      <c r="H57" t="n">
        <v>0</v>
      </c>
      <c r="I57" t="n">
        <v>0</v>
      </c>
      <c r="J57" t="n">
        <v>0</v>
      </c>
      <c r="K57" t="n">
        <v>0</v>
      </c>
      <c r="L57" t="n">
        <v>0</v>
      </c>
      <c r="M57" t="n">
        <v>0</v>
      </c>
      <c r="N57" t="n">
        <v>0</v>
      </c>
    </row>
    <row r="58">
      <c r="A58" t="inlineStr">
        <is>
          <t>defaults of rent through the second pestilence, this being the forty-ninth year</t>
        </is>
      </c>
      <c r="B58" t="inlineStr">
        <is>
          <t>1 plot beside the king's highway between the palisade of the park and the parsonage of highclere 6.5pence, because it lies vacant and noone wished to lease it.</t>
        </is>
      </c>
      <c r="C58" t="n">
        <v>0.03</v>
      </c>
      <c r="D58" t="n">
        <v>0</v>
      </c>
      <c r="E58" t="n">
        <v>0</v>
      </c>
      <c r="F58" t="n">
        <v>6.5</v>
      </c>
      <c r="H58" t="n">
        <v>0</v>
      </c>
      <c r="I58" t="n">
        <v>0</v>
      </c>
      <c r="J58" t="n">
        <v>0</v>
      </c>
      <c r="K58" t="n">
        <v>0</v>
      </c>
      <c r="L58" t="n">
        <v>0</v>
      </c>
      <c r="M58" t="n">
        <v>0</v>
      </c>
      <c r="N58" t="n">
        <v>0</v>
      </c>
    </row>
    <row r="59">
      <c r="A59" t="inlineStr">
        <is>
          <t>defaults of rent through the second pestilence, this being the forty-ninth year</t>
        </is>
      </c>
      <c r="B59" t="inlineStr">
        <is>
          <t>1 virgate of land which belonged to robert fox because he abandoned it and refused to hold it any longer 5 shilling.</t>
        </is>
      </c>
      <c r="C59" t="n">
        <v>0.25</v>
      </c>
      <c r="D59" t="n">
        <v>0</v>
      </c>
      <c r="E59" t="n">
        <v>5</v>
      </c>
      <c r="F59" t="n">
        <v>0</v>
      </c>
      <c r="H59" t="n">
        <v>0</v>
      </c>
      <c r="I59" t="n">
        <v>0</v>
      </c>
      <c r="J59" t="n">
        <v>0</v>
      </c>
      <c r="K59" t="n">
        <v>0</v>
      </c>
      <c r="L59" t="n">
        <v>0</v>
      </c>
      <c r="M59" t="n">
        <v>0</v>
      </c>
      <c r="N59" t="n">
        <v>0</v>
      </c>
    </row>
    <row r="60">
      <c r="A60" t="inlineStr">
        <is>
          <t>defaults of rent through the second pestilence, this being the forty-ninth year</t>
        </is>
      </c>
      <c r="B60" t="inlineStr">
        <is>
          <t>total, £2 10 shilling 6.5pence.</t>
        </is>
      </c>
      <c r="C60" t="n">
        <v>2.53</v>
      </c>
      <c r="D60" t="n">
        <v>2</v>
      </c>
      <c r="E60" t="n">
        <v>10</v>
      </c>
      <c r="F60" t="n">
        <v>6.5</v>
      </c>
      <c r="H60" t="n">
        <v>0</v>
      </c>
      <c r="I60" t="n">
        <v>0</v>
      </c>
      <c r="J60" t="n">
        <v>0</v>
      </c>
      <c r="K60" t="n">
        <v>0</v>
      </c>
      <c r="L60" t="n">
        <v>0</v>
      </c>
      <c r="M60" t="n">
        <v>0</v>
      </c>
      <c r="N60" t="n">
        <v>0</v>
      </c>
    </row>
    <row r="61">
      <c r="A61" t="inlineStr">
        <is>
          <t>total of quittances and defaults of rent</t>
        </is>
      </c>
      <c r="B61" t="inlineStr">
        <is>
          <t>total of quittances and defaults of rent, £7 15 shilling 3.5pence.</t>
        </is>
      </c>
      <c r="C61" t="n">
        <v>7.76</v>
      </c>
      <c r="D61" t="n">
        <v>7</v>
      </c>
      <c r="E61" t="n">
        <v>15</v>
      </c>
      <c r="F61" t="n">
        <v>3.5</v>
      </c>
      <c r="H61" t="n">
        <v>0</v>
      </c>
      <c r="I61" t="n">
        <v>0</v>
      </c>
      <c r="J61" t="n">
        <v>0</v>
      </c>
      <c r="K61" t="n">
        <v>0</v>
      </c>
      <c r="L61" t="n">
        <v>0</v>
      </c>
      <c r="M61" t="n">
        <v>0</v>
      </c>
      <c r="N61" t="n">
        <v>0</v>
      </c>
    </row>
    <row r="62">
      <c r="A62" t="inlineStr">
        <is>
          <t>total of rents remaining clear</t>
        </is>
      </c>
      <c r="B62" t="inlineStr">
        <is>
          <t>total of rents remaining clear, £15 16 shilling 7.5pence.</t>
        </is>
      </c>
      <c r="C62" t="n">
        <v>15.83</v>
      </c>
      <c r="D62" t="n">
        <v>15</v>
      </c>
      <c r="E62" t="n">
        <v>16</v>
      </c>
      <c r="F62" t="n">
        <v>7.5</v>
      </c>
      <c r="H62" t="n">
        <v>0</v>
      </c>
      <c r="I62" t="n">
        <v>0</v>
      </c>
      <c r="J62" t="n">
        <v>0</v>
      </c>
      <c r="K62" t="n">
        <v>0</v>
      </c>
      <c r="L62" t="n">
        <v>0</v>
      </c>
      <c r="M62" t="n">
        <v>0</v>
      </c>
      <c r="N62" t="n">
        <v>0</v>
      </c>
    </row>
    <row r="63">
      <c r="A63" t="inlineStr">
        <is>
          <t>issues of the manor</t>
        </is>
      </c>
      <c r="B63" t="inlineStr">
        <is>
          <t>and for 4 shilling 5.5pence from the pannage of the pigs of the customary tenants at martinmas, that is, for 31 pigs, at 1pence each, and 45 piglets, at 0.5pence each.</t>
        </is>
      </c>
      <c r="C63" t="n">
        <v>0.22</v>
      </c>
      <c r="D63" t="n">
        <v>0</v>
      </c>
      <c r="E63" t="n">
        <v>4</v>
      </c>
      <c r="F63" t="n">
        <v>5.5</v>
      </c>
      <c r="H63" t="n">
        <v>0</v>
      </c>
      <c r="I63" t="n">
        <v>0</v>
      </c>
      <c r="J63" t="n">
        <v>0</v>
      </c>
      <c r="K63" t="n">
        <v>0</v>
      </c>
      <c r="L63" t="n">
        <v>0</v>
      </c>
      <c r="M63" t="n">
        <v>0</v>
      </c>
      <c r="N63" t="n">
        <v>0</v>
      </c>
    </row>
    <row r="64">
      <c r="A64" t="inlineStr">
        <is>
          <t>issues of the manor</t>
        </is>
      </c>
      <c r="B64" t="inlineStr">
        <is>
          <t>nothing from the agistment of pigs in the park this year.</t>
        </is>
      </c>
      <c r="C64" t="n">
        <v>0</v>
      </c>
      <c r="D64" t="n">
        <v>0</v>
      </c>
      <c r="E64" t="n">
        <v>0</v>
      </c>
      <c r="F64" t="n">
        <v>0</v>
      </c>
      <c r="H64" t="n">
        <v>0</v>
      </c>
      <c r="I64" t="n">
        <v>0</v>
      </c>
      <c r="J64" t="n">
        <v>0</v>
      </c>
      <c r="K64" t="n">
        <v>0</v>
      </c>
      <c r="L64" t="n">
        <v>0</v>
      </c>
      <c r="M64" t="n">
        <v>0</v>
      </c>
      <c r="N64" t="n">
        <v>0</v>
      </c>
    </row>
    <row r="65">
      <c r="A65" t="inlineStr">
        <is>
          <t>issues of the manor</t>
        </is>
      </c>
      <c r="B65" t="inlineStr">
        <is>
          <t>1 shilling 6pence from the men of hawkley according to custom at michaelmas for not mowing the meadow of wolvesey.</t>
        </is>
      </c>
      <c r="C65" t="n">
        <v>0.08</v>
      </c>
      <c r="D65" t="n">
        <v>0</v>
      </c>
      <c r="E65" t="n">
        <v>1</v>
      </c>
      <c r="F65" t="n">
        <v>6</v>
      </c>
      <c r="H65" t="n">
        <v>0</v>
      </c>
      <c r="I65" t="n">
        <v>0</v>
      </c>
      <c r="J65" t="n">
        <v>0</v>
      </c>
      <c r="K65" t="n">
        <v>0</v>
      </c>
      <c r="L65" t="n">
        <v>0</v>
      </c>
      <c r="M65" t="n">
        <v>0</v>
      </c>
      <c r="N65" t="n">
        <v>0</v>
      </c>
    </row>
    <row r="66">
      <c r="A66" t="inlineStr">
        <is>
          <t>issues of the manor</t>
        </is>
      </c>
      <c r="B66" t="inlineStr">
        <is>
          <t>2 shilling from the pinfold at michaelmas, however the number of oxen or sheep is not put down because they give a fixed amount however many they have.</t>
        </is>
      </c>
      <c r="C66" t="n">
        <v>0.1</v>
      </c>
      <c r="D66" t="n">
        <v>0</v>
      </c>
      <c r="E66" t="n">
        <v>2</v>
      </c>
      <c r="F66" t="n">
        <v>0</v>
      </c>
      <c r="H66" t="n">
        <v>0</v>
      </c>
      <c r="I66" t="n">
        <v>0</v>
      </c>
      <c r="J66" t="n">
        <v>0</v>
      </c>
      <c r="K66" t="n">
        <v>0</v>
      </c>
      <c r="L66" t="n">
        <v>0</v>
      </c>
      <c r="M66" t="n">
        <v>0</v>
      </c>
      <c r="N66" t="n">
        <v>0</v>
      </c>
    </row>
    <row r="67">
      <c r="A67" t="inlineStr">
        <is>
          <t>issues of the manor</t>
        </is>
      </c>
      <c r="B67" t="inlineStr">
        <is>
          <t>10 shilling 4pence from the agistment of cattle in the park this year and not more by reason of the coppice and the lord's hunting (fermis) and for the scarcity of pasture this year.</t>
        </is>
      </c>
      <c r="C67" t="n">
        <v>0.52</v>
      </c>
      <c r="D67" t="n">
        <v>0</v>
      </c>
      <c r="E67" t="n">
        <v>10</v>
      </c>
      <c r="F67" t="n">
        <v>4</v>
      </c>
      <c r="H67" t="n">
        <v>0</v>
      </c>
      <c r="I67" t="n">
        <v>0</v>
      </c>
      <c r="J67" t="n">
        <v>0</v>
      </c>
      <c r="K67" t="n">
        <v>0</v>
      </c>
      <c r="L67" t="n">
        <v>0</v>
      </c>
      <c r="M67" t="n">
        <v>0</v>
      </c>
      <c r="N67" t="n">
        <v>0</v>
      </c>
    </row>
    <row r="68">
      <c r="A68" t="inlineStr">
        <is>
          <t>issues of the manor</t>
        </is>
      </c>
      <c r="B68" t="inlineStr">
        <is>
          <t>nothing from the sale of heath in la wasshe this year.</t>
        </is>
      </c>
      <c r="C68" t="n">
        <v>0</v>
      </c>
      <c r="D68" t="n">
        <v>0</v>
      </c>
      <c r="E68" t="n">
        <v>0</v>
      </c>
      <c r="F68" t="n">
        <v>0</v>
      </c>
      <c r="H68" t="n">
        <v>0</v>
      </c>
      <c r="I68" t="n">
        <v>0</v>
      </c>
      <c r="J68" t="n">
        <v>0</v>
      </c>
      <c r="K68" t="n">
        <v>0</v>
      </c>
      <c r="L68" t="n">
        <v>0</v>
      </c>
      <c r="M68" t="n">
        <v>0</v>
      </c>
      <c r="N68" t="n">
        <v>0</v>
      </c>
    </row>
    <row r="69">
      <c r="A69" t="inlineStr">
        <is>
          <t>issues of the manor</t>
        </is>
      </c>
      <c r="B69" t="inlineStr">
        <is>
          <t>nothing from old pollards this year.</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sale of ash trees this year.</t>
        </is>
      </c>
      <c r="C70" t="n">
        <v>0</v>
      </c>
      <c r="D70" t="n">
        <v>0</v>
      </c>
      <c r="E70" t="n">
        <v>0</v>
      </c>
      <c r="F70" t="n">
        <v>0</v>
      </c>
      <c r="H70" t="n">
        <v>0</v>
      </c>
      <c r="I70" t="n">
        <v>0</v>
      </c>
      <c r="J70" t="n">
        <v>0</v>
      </c>
      <c r="K70" t="n">
        <v>0</v>
      </c>
      <c r="L70" t="n">
        <v>0</v>
      </c>
      <c r="M70" t="n">
        <v>0</v>
      </c>
      <c r="N70" t="n">
        <v>0</v>
      </c>
    </row>
    <row r="71">
      <c r="A71" t="inlineStr">
        <is>
          <t>issues of the manor</t>
        </is>
      </c>
      <c r="B71" t="inlineStr">
        <is>
          <t>nothing from wool locks this year because entangled with the fleeces.</t>
        </is>
      </c>
      <c r="C71" t="n">
        <v>0</v>
      </c>
      <c r="D71" t="n">
        <v>0</v>
      </c>
      <c r="E71" t="n">
        <v>0</v>
      </c>
      <c r="F71" t="n">
        <v>0</v>
      </c>
      <c r="H71" t="n">
        <v>0</v>
      </c>
      <c r="I71" t="n">
        <v>0</v>
      </c>
      <c r="J71" t="n">
        <v>0</v>
      </c>
      <c r="K71" t="n">
        <v>0</v>
      </c>
      <c r="L71" t="n">
        <v>0</v>
      </c>
      <c r="M71" t="n">
        <v>0</v>
      </c>
      <c r="N71" t="n">
        <v>0</v>
      </c>
    </row>
    <row r="72">
      <c r="A72" t="inlineStr">
        <is>
          <t>issues of the manor</t>
        </is>
      </c>
      <c r="B72" t="inlineStr">
        <is>
          <t>nothing from hides this year.</t>
        </is>
      </c>
      <c r="C72" t="n">
        <v>0</v>
      </c>
      <c r="D72" t="n">
        <v>0</v>
      </c>
      <c r="E72" t="n">
        <v>0</v>
      </c>
      <c r="F72" t="n">
        <v>0</v>
      </c>
      <c r="H72" t="n">
        <v>0</v>
      </c>
      <c r="I72" t="n">
        <v>0</v>
      </c>
      <c r="J72" t="n">
        <v>0</v>
      </c>
      <c r="K72" t="n">
        <v>0</v>
      </c>
      <c r="L72" t="n">
        <v>0</v>
      </c>
      <c r="M72" t="n">
        <v>0</v>
      </c>
      <c r="N72" t="n">
        <v>0</v>
      </c>
    </row>
    <row r="73">
      <c r="A73" t="inlineStr">
        <is>
          <t>issues of the manor</t>
        </is>
      </c>
      <c r="B73" t="inlineStr">
        <is>
          <t>2 shilling from 6 woolskins sold from murrain as made clear elsewhere, at 4pence a skin.</t>
        </is>
      </c>
      <c r="C73" t="n">
        <v>0.12</v>
      </c>
      <c r="D73" t="n">
        <v>0</v>
      </c>
      <c r="E73" t="n">
        <v>2</v>
      </c>
      <c r="F73" t="n">
        <v>4</v>
      </c>
      <c r="H73" t="n">
        <v>0</v>
      </c>
      <c r="I73" t="n">
        <v>0</v>
      </c>
      <c r="J73" t="n">
        <v>0</v>
      </c>
      <c r="K73" t="n">
        <v>0</v>
      </c>
      <c r="L73" t="n">
        <v>0</v>
      </c>
      <c r="M73" t="n">
        <v>0</v>
      </c>
      <c r="N73" t="n">
        <v>0</v>
      </c>
    </row>
    <row r="74">
      <c r="A74" t="inlineStr">
        <is>
          <t>issues of the manor</t>
        </is>
      </c>
      <c r="B74" t="inlineStr">
        <is>
          <t>2pence from the bare skins sold of 2 wethers in murrain after shearing.</t>
        </is>
      </c>
      <c r="C74" t="n">
        <v>0.01</v>
      </c>
      <c r="D74" t="n">
        <v>0</v>
      </c>
      <c r="E74" t="n">
        <v>0</v>
      </c>
      <c r="F74" t="n">
        <v>2</v>
      </c>
      <c r="H74" t="n">
        <v>0</v>
      </c>
      <c r="I74" t="n">
        <v>0</v>
      </c>
      <c r="J74" t="n">
        <v>0</v>
      </c>
      <c r="K74" t="n">
        <v>0</v>
      </c>
      <c r="L74" t="n">
        <v>0</v>
      </c>
      <c r="M74" t="n">
        <v>0</v>
      </c>
      <c r="N74" t="n">
        <v>0</v>
      </c>
    </row>
    <row r="75">
      <c r="A75" t="inlineStr">
        <is>
          <t>issues of the manor</t>
        </is>
      </c>
      <c r="B75" t="inlineStr">
        <is>
          <t>5 shilling 2pence from 31 cocks and hens sold as made clear elsewhere.</t>
        </is>
      </c>
      <c r="C75" t="n">
        <v>0.26</v>
      </c>
      <c r="D75" t="n">
        <v>0</v>
      </c>
      <c r="E75" t="n">
        <v>5</v>
      </c>
      <c r="F75" t="n">
        <v>2</v>
      </c>
      <c r="H75" t="n">
        <v>0</v>
      </c>
      <c r="I75" t="n">
        <v>0</v>
      </c>
      <c r="J75" t="n">
        <v>0</v>
      </c>
      <c r="K75" t="n">
        <v>0</v>
      </c>
      <c r="L75" t="n">
        <v>0</v>
      </c>
      <c r="M75" t="n">
        <v>0</v>
      </c>
      <c r="N75" t="n">
        <v>0</v>
      </c>
    </row>
    <row r="76">
      <c r="A76" t="inlineStr">
        <is>
          <t>issues of the manor</t>
        </is>
      </c>
      <c r="B76" t="inlineStr">
        <is>
          <t>10.75pence from 216 eggs sold as made clear elsewhere.</t>
        </is>
      </c>
      <c r="C76" t="n">
        <v>0.04</v>
      </c>
      <c r="D76" t="n">
        <v>0</v>
      </c>
      <c r="E76" t="n">
        <v>0</v>
      </c>
      <c r="F76" t="n">
        <v>10.75</v>
      </c>
      <c r="H76" t="n">
        <v>0</v>
      </c>
      <c r="I76" t="n">
        <v>0</v>
      </c>
      <c r="J76" t="n">
        <v>0</v>
      </c>
      <c r="K76" t="n">
        <v>0</v>
      </c>
      <c r="L76" t="n">
        <v>0</v>
      </c>
      <c r="M76" t="n">
        <v>0</v>
      </c>
      <c r="N76" t="n">
        <v>0</v>
      </c>
    </row>
    <row r="77">
      <c r="A77" t="inlineStr">
        <is>
          <t>issues of the manor</t>
        </is>
      </c>
      <c r="B77" t="inlineStr">
        <is>
          <t>nothing from the milking of cows this year because the farmer has the cows with the demesne land.</t>
        </is>
      </c>
      <c r="C77" t="n">
        <v>0</v>
      </c>
      <c r="D77" t="n">
        <v>0</v>
      </c>
      <c r="E77" t="n">
        <v>0</v>
      </c>
      <c r="F77" t="n">
        <v>0</v>
      </c>
      <c r="H77" t="n">
        <v>0</v>
      </c>
      <c r="I77" t="n">
        <v>0</v>
      </c>
      <c r="J77" t="n">
        <v>0</v>
      </c>
      <c r="K77" t="n">
        <v>0</v>
      </c>
      <c r="L77" t="n">
        <v>0</v>
      </c>
      <c r="M77" t="n">
        <v>0</v>
      </c>
      <c r="N77" t="n">
        <v>0</v>
      </c>
    </row>
    <row r="78">
      <c r="A78" t="inlineStr">
        <is>
          <t>issues of the manor</t>
        </is>
      </c>
      <c r="B78" t="inlineStr">
        <is>
          <t>nothing from the issue of the dovecote here because below under the heading of farms.</t>
        </is>
      </c>
      <c r="C78" t="n">
        <v>0</v>
      </c>
      <c r="D78" t="n">
        <v>0</v>
      </c>
      <c r="E78" t="n">
        <v>0</v>
      </c>
      <c r="F78" t="n">
        <v>0</v>
      </c>
      <c r="H78" t="n">
        <v>0</v>
      </c>
      <c r="I78" t="n">
        <v>0</v>
      </c>
      <c r="J78" t="n">
        <v>0</v>
      </c>
      <c r="K78" t="n">
        <v>0</v>
      </c>
      <c r="L78" t="n">
        <v>0</v>
      </c>
      <c r="M78" t="n">
        <v>0</v>
      </c>
      <c r="N78" t="n">
        <v>0</v>
      </c>
    </row>
    <row r="79">
      <c r="A79" t="inlineStr">
        <is>
          <t>issues of the manor</t>
        </is>
      </c>
      <c r="B79"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C79" t="n">
        <v>0.9</v>
      </c>
      <c r="D79" t="n">
        <v>0</v>
      </c>
      <c r="E79" t="n">
        <v>18</v>
      </c>
      <c r="F79" t="n">
        <v>0</v>
      </c>
      <c r="H79" t="n">
        <v>0</v>
      </c>
      <c r="I79" t="n">
        <v>0</v>
      </c>
      <c r="J79" t="n">
        <v>0</v>
      </c>
      <c r="K79" t="n">
        <v>0</v>
      </c>
      <c r="L79" t="n">
        <v>0</v>
      </c>
      <c r="M79" t="n">
        <v>0</v>
      </c>
      <c r="N79" t="n">
        <v>0</v>
      </c>
    </row>
    <row r="80">
      <c r="A80" t="inlineStr">
        <is>
          <t>issues of the manor</t>
        </is>
      </c>
      <c r="B80" t="inlineStr">
        <is>
          <t>nothing from the sale of underwood in suddon' this year.</t>
        </is>
      </c>
      <c r="C80" t="n">
        <v>0</v>
      </c>
      <c r="D80" t="n">
        <v>0</v>
      </c>
      <c r="E80" t="n">
        <v>0</v>
      </c>
      <c r="F80" t="n">
        <v>0</v>
      </c>
      <c r="H80" t="n">
        <v>0</v>
      </c>
      <c r="I80" t="n">
        <v>0</v>
      </c>
      <c r="J80" t="n">
        <v>0</v>
      </c>
      <c r="K80" t="n">
        <v>0</v>
      </c>
      <c r="L80" t="n">
        <v>0</v>
      </c>
      <c r="M80" t="n">
        <v>0</v>
      </c>
      <c r="N80" t="n">
        <v>0</v>
      </c>
    </row>
    <row r="81">
      <c r="A81" t="inlineStr">
        <is>
          <t>issues of the manor</t>
        </is>
      </c>
      <c r="B81" t="inlineStr">
        <is>
          <t>nothing from brushwood (burg') and alder this year.</t>
        </is>
      </c>
      <c r="C81" t="n">
        <v>0</v>
      </c>
      <c r="D81" t="n">
        <v>0</v>
      </c>
      <c r="E81" t="n">
        <v>0</v>
      </c>
      <c r="F81" t="n">
        <v>0</v>
      </c>
      <c r="H81" t="n">
        <v>0</v>
      </c>
      <c r="I81" t="n">
        <v>0</v>
      </c>
      <c r="J81" t="n">
        <v>0</v>
      </c>
      <c r="K81" t="n">
        <v>0</v>
      </c>
      <c r="L81" t="n">
        <v>0</v>
      </c>
      <c r="M81" t="n">
        <v>0</v>
      </c>
      <c r="N81" t="n">
        <v>0</v>
      </c>
    </row>
    <row r="82">
      <c r="A82" t="inlineStr">
        <is>
          <t>issues of the manor</t>
        </is>
      </c>
      <c r="B82" t="inlineStr">
        <is>
          <t>6 shilling from 1,000 plain tiles sold as made clear elsewhere.</t>
        </is>
      </c>
      <c r="C82" t="n">
        <v>0.3</v>
      </c>
      <c r="D82" t="n">
        <v>0</v>
      </c>
      <c r="E82" t="n">
        <v>6</v>
      </c>
      <c r="F82" t="n">
        <v>0</v>
      </c>
      <c r="H82" t="n">
        <v>0</v>
      </c>
      <c r="I82" t="n">
        <v>0</v>
      </c>
      <c r="J82" t="n">
        <v>0</v>
      </c>
      <c r="K82" t="n">
        <v>0</v>
      </c>
      <c r="L82" t="n">
        <v>0</v>
      </c>
      <c r="M82" t="n">
        <v>0</v>
      </c>
      <c r="N82" t="n">
        <v>0</v>
      </c>
    </row>
    <row r="83">
      <c r="A83" t="inlineStr">
        <is>
          <t>issues of the manor</t>
        </is>
      </c>
      <c r="B83" t="inlineStr">
        <is>
          <t>nothing from the sale of lime this year.</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sale of shingles this year.</t>
        </is>
      </c>
      <c r="C84" t="n">
        <v>0</v>
      </c>
      <c r="D84" t="n">
        <v>0</v>
      </c>
      <c r="E84" t="n">
        <v>0</v>
      </c>
      <c r="F84" t="n">
        <v>0</v>
      </c>
      <c r="H84" t="n">
        <v>0</v>
      </c>
      <c r="I84" t="n">
        <v>0</v>
      </c>
      <c r="J84" t="n">
        <v>0</v>
      </c>
      <c r="K84" t="n">
        <v>0</v>
      </c>
      <c r="L84" t="n">
        <v>0</v>
      </c>
      <c r="M84" t="n">
        <v>0</v>
      </c>
      <c r="N84" t="n">
        <v>0</v>
      </c>
    </row>
    <row r="85">
      <c r="A85" t="inlineStr">
        <is>
          <t>issues of the manor</t>
        </is>
      </c>
      <c r="B85" t="inlineStr">
        <is>
          <t>total, £2 10 shilling 6.25pence.</t>
        </is>
      </c>
      <c r="C85" t="n">
        <v>2.53</v>
      </c>
      <c r="D85" t="n">
        <v>2</v>
      </c>
      <c r="E85" t="n">
        <v>10</v>
      </c>
      <c r="F85" t="n">
        <v>6.25</v>
      </c>
      <c r="H85" t="n">
        <v>0</v>
      </c>
      <c r="I85" t="n">
        <v>0</v>
      </c>
      <c r="J85" t="n">
        <v>0</v>
      </c>
      <c r="K85" t="n">
        <v>0</v>
      </c>
      <c r="L85" t="n">
        <v>0</v>
      </c>
      <c r="M85" t="n">
        <v>0</v>
      </c>
      <c r="N85" t="n">
        <v>0</v>
      </c>
    </row>
    <row r="86">
      <c r="A86" t="inlineStr">
        <is>
          <t>issues of the lands and tenements in the lord's hands through the pestilence</t>
        </is>
      </c>
      <c r="B86" t="inlineStr">
        <is>
          <t>and for 1 shilling 1.5pence from the issue of 2 acres 1 rood of purpresture formerly of richard le cartere in the lord's hands through the death of the same.</t>
        </is>
      </c>
      <c r="C86" t="n">
        <v>0.06</v>
      </c>
      <c r="D86" t="n">
        <v>0</v>
      </c>
      <c r="E86" t="n">
        <v>1</v>
      </c>
      <c r="F86" t="n">
        <v>1.5</v>
      </c>
      <c r="H86" t="n">
        <v>0</v>
      </c>
      <c r="I86" t="n">
        <v>0</v>
      </c>
      <c r="J86" t="n">
        <v>0</v>
      </c>
      <c r="K86" t="n">
        <v>0</v>
      </c>
      <c r="L86" t="n">
        <v>0</v>
      </c>
      <c r="M86" t="n">
        <v>0</v>
      </c>
      <c r="N86" t="n">
        <v>0</v>
      </c>
    </row>
    <row r="87">
      <c r="A87" t="inlineStr">
        <is>
          <t>issues of the lands and tenements in the lord's hands through the pestilence</t>
        </is>
      </c>
      <c r="B87" t="inlineStr">
        <is>
          <t>nothing from 1 plot of purpresture formerly of isabel atte sele because the plot is vacant.</t>
        </is>
      </c>
      <c r="C87" t="n">
        <v>0</v>
      </c>
      <c r="D87" t="n">
        <v>0</v>
      </c>
      <c r="E87" t="n">
        <v>0</v>
      </c>
      <c r="F87" t="n">
        <v>0</v>
      </c>
      <c r="H87" t="n">
        <v>0</v>
      </c>
      <c r="I87" t="n">
        <v>0</v>
      </c>
      <c r="J87" t="n">
        <v>0</v>
      </c>
      <c r="K87" t="n">
        <v>0</v>
      </c>
      <c r="L87" t="n">
        <v>0</v>
      </c>
      <c r="M87" t="n">
        <v>0</v>
      </c>
      <c r="N87" t="n">
        <v>0</v>
      </c>
    </row>
    <row r="88">
      <c r="A88" t="inlineStr">
        <is>
          <t>issues of the lands and tenements in the lord's hands through the pestilence</t>
        </is>
      </c>
      <c r="B88" t="inlineStr">
        <is>
          <t>nothing from 36 acres 3 roods of purpresture formerly of thomas wheolton' because it lies vacant and in common and noone wished to lease it.</t>
        </is>
      </c>
      <c r="C88" t="n">
        <v>0</v>
      </c>
      <c r="D88" t="n">
        <v>0</v>
      </c>
      <c r="E88" t="n">
        <v>0</v>
      </c>
      <c r="F88" t="n">
        <v>0</v>
      </c>
      <c r="H88" t="n">
        <v>0</v>
      </c>
      <c r="I88" t="n">
        <v>0</v>
      </c>
      <c r="J88" t="n">
        <v>0</v>
      </c>
      <c r="K88" t="n">
        <v>0</v>
      </c>
      <c r="L88" t="n">
        <v>0</v>
      </c>
      <c r="M88" t="n">
        <v>0</v>
      </c>
      <c r="N88" t="n">
        <v>0</v>
      </c>
    </row>
    <row r="89">
      <c r="A89" t="inlineStr">
        <is>
          <t>issues of the lands and tenements in the lord's hands through the pestilence</t>
        </is>
      </c>
      <c r="B89" t="inlineStr">
        <is>
          <t>1 shilling 3pence from 2.5 acres of purpresture formerly of adam stubbe in the lord's hands for the same.</t>
        </is>
      </c>
      <c r="C89" t="n">
        <v>0.06</v>
      </c>
      <c r="D89" t="n">
        <v>0</v>
      </c>
      <c r="E89" t="n">
        <v>1</v>
      </c>
      <c r="F89" t="n">
        <v>3</v>
      </c>
      <c r="H89" t="n">
        <v>0</v>
      </c>
      <c r="I89" t="n">
        <v>0</v>
      </c>
      <c r="J89" t="n">
        <v>0</v>
      </c>
      <c r="K89" t="n">
        <v>0</v>
      </c>
      <c r="L89" t="n">
        <v>0</v>
      </c>
      <c r="M89" t="n">
        <v>0</v>
      </c>
      <c r="N89" t="n">
        <v>0</v>
      </c>
    </row>
    <row r="90">
      <c r="A90" t="inlineStr">
        <is>
          <t>issues of the lands and tenements in the lord's hands through the pestilence</t>
        </is>
      </c>
      <c r="B90" t="inlineStr">
        <is>
          <t>nothing from 9 acres of purpresture formerly of william atte tounesende because it lies vacant and in common.</t>
        </is>
      </c>
      <c r="C90" t="n">
        <v>0</v>
      </c>
      <c r="D90" t="n">
        <v>0</v>
      </c>
      <c r="E90" t="n">
        <v>0</v>
      </c>
      <c r="F90" t="n">
        <v>0</v>
      </c>
      <c r="H90" t="n">
        <v>0</v>
      </c>
      <c r="I90" t="n">
        <v>0</v>
      </c>
      <c r="J90" t="n">
        <v>0</v>
      </c>
      <c r="K90" t="n">
        <v>0</v>
      </c>
      <c r="L90" t="n">
        <v>0</v>
      </c>
      <c r="M90" t="n">
        <v>0</v>
      </c>
      <c r="N90" t="n">
        <v>0</v>
      </c>
    </row>
    <row r="91">
      <c r="A91" t="inlineStr">
        <is>
          <t>issues of the lands and tenements in the lord's hands through the pestilence</t>
        </is>
      </c>
      <c r="B91" t="inlineStr">
        <is>
          <t>5 shilling 6pence from 21 acres of purpresture in la wasshe formerly of richard wikyng' in the lord's hands through the death of the same in the second pestilence, and not more because it was not possible to demise it more dearly.</t>
        </is>
      </c>
      <c r="C91" t="n">
        <v>0.28</v>
      </c>
      <c r="D91" t="n">
        <v>0</v>
      </c>
      <c r="E91" t="n">
        <v>5</v>
      </c>
      <c r="F91" t="n">
        <v>6</v>
      </c>
      <c r="H91" t="n">
        <v>0</v>
      </c>
      <c r="I91" t="n">
        <v>0</v>
      </c>
      <c r="J91" t="n">
        <v>0</v>
      </c>
      <c r="K91" t="n">
        <v>0</v>
      </c>
      <c r="L91" t="n">
        <v>0</v>
      </c>
      <c r="M91" t="n">
        <v>0</v>
      </c>
      <c r="N91" t="n">
        <v>0</v>
      </c>
    </row>
    <row r="92">
      <c r="A92" t="inlineStr">
        <is>
          <t>issues of the lands and tenements in the lord's hands through the pestilence</t>
        </is>
      </c>
      <c r="B92" t="inlineStr">
        <is>
          <t>nothing from 1 cotland of margery atte delle.</t>
        </is>
      </c>
      <c r="C92" t="n">
        <v>0</v>
      </c>
      <c r="D92" t="n">
        <v>0</v>
      </c>
      <c r="E92" t="n">
        <v>0</v>
      </c>
      <c r="F92" t="n">
        <v>0</v>
      </c>
      <c r="H92" t="n">
        <v>0</v>
      </c>
      <c r="I92" t="n">
        <v>0</v>
      </c>
      <c r="J92" t="n">
        <v>0</v>
      </c>
      <c r="K92" t="n">
        <v>0</v>
      </c>
      <c r="L92" t="n">
        <v>0</v>
      </c>
      <c r="M92" t="n">
        <v>0</v>
      </c>
      <c r="N92" t="n">
        <v>0</v>
      </c>
    </row>
    <row r="93">
      <c r="A93" t="inlineStr">
        <is>
          <t>issues of the lands and tenements in the lord's hands through the pestilence</t>
        </is>
      </c>
      <c r="B93" t="inlineStr">
        <is>
          <t>3 shilling 6pence from 1 cotland and 3 acres of purpresture formerly of richard le cartere.</t>
        </is>
      </c>
      <c r="C93" t="n">
        <v>0.17</v>
      </c>
      <c r="D93" t="n">
        <v>0</v>
      </c>
      <c r="E93" t="n">
        <v>3</v>
      </c>
      <c r="F93" t="n">
        <v>6</v>
      </c>
      <c r="H93" t="n">
        <v>0</v>
      </c>
      <c r="I93" t="n">
        <v>0</v>
      </c>
      <c r="J93" t="n">
        <v>0</v>
      </c>
      <c r="K93" t="n">
        <v>0</v>
      </c>
      <c r="L93" t="n">
        <v>0</v>
      </c>
      <c r="M93" t="n">
        <v>0</v>
      </c>
      <c r="N93" t="n">
        <v>0</v>
      </c>
    </row>
    <row r="94">
      <c r="A94" t="inlineStr">
        <is>
          <t>issues of the lands and tenements in the lord's hands through the pestilence</t>
        </is>
      </c>
      <c r="B94" t="inlineStr">
        <is>
          <t>14 shilling 6pence from 1 cotland and 10 acres of purpresture formerly of john cole in the lord's hands for the same, let and granted to henry scathelok, edith his wife and the legitimate heirs of their bodies by charter of william wykeham, recently lord bishop of winchester.</t>
        </is>
      </c>
      <c r="C94" t="n">
        <v>0.72</v>
      </c>
      <c r="D94" t="n">
        <v>0</v>
      </c>
      <c r="E94" t="n">
        <v>14</v>
      </c>
      <c r="F94" t="n">
        <v>6</v>
      </c>
      <c r="H94" t="n">
        <v>0</v>
      </c>
      <c r="I94" t="n">
        <v>0</v>
      </c>
      <c r="J94" t="n">
        <v>0</v>
      </c>
      <c r="K94" t="n">
        <v>0</v>
      </c>
      <c r="L94" t="n">
        <v>0</v>
      </c>
      <c r="M94" t="n">
        <v>0</v>
      </c>
      <c r="N94" t="n">
        <v>0</v>
      </c>
    </row>
    <row r="95">
      <c r="A95" t="inlineStr">
        <is>
          <t>issues of the lands and tenements in the lord's hands through the pestilence</t>
        </is>
      </c>
      <c r="B95" t="inlineStr">
        <is>
          <t>5 shilling from 1 virgate of land formerly of hugh houndesbourne in the lord's hands for the same.</t>
        </is>
      </c>
      <c r="C95" t="n">
        <v>0.25</v>
      </c>
      <c r="D95" t="n">
        <v>0</v>
      </c>
      <c r="E95" t="n">
        <v>5</v>
      </c>
      <c r="F95" t="n">
        <v>0</v>
      </c>
      <c r="H95" t="n">
        <v>0</v>
      </c>
      <c r="I95" t="n">
        <v>0</v>
      </c>
      <c r="J95" t="n">
        <v>0</v>
      </c>
      <c r="K95" t="n">
        <v>0</v>
      </c>
      <c r="L95" t="n">
        <v>0</v>
      </c>
      <c r="M95" t="n">
        <v>0</v>
      </c>
      <c r="N95" t="n">
        <v>0</v>
      </c>
    </row>
    <row r="96">
      <c r="A96" t="inlineStr">
        <is>
          <t>issues of the lands and tenements in the lord's hands through the pestilence</t>
        </is>
      </c>
      <c r="B96" t="inlineStr">
        <is>
          <t>5 shilling from 1 virgate of land formerly of john persaill'.</t>
        </is>
      </c>
      <c r="C96" t="n">
        <v>0.25</v>
      </c>
      <c r="D96" t="n">
        <v>0</v>
      </c>
      <c r="E96" t="n">
        <v>5</v>
      </c>
      <c r="F96" t="n">
        <v>0</v>
      </c>
      <c r="H96" t="n">
        <v>0</v>
      </c>
      <c r="I96" t="n">
        <v>0</v>
      </c>
      <c r="J96" t="n">
        <v>0</v>
      </c>
      <c r="K96" t="n">
        <v>0</v>
      </c>
      <c r="L96" t="n">
        <v>0</v>
      </c>
      <c r="M96" t="n">
        <v>0</v>
      </c>
      <c r="N96" t="n">
        <v>0</v>
      </c>
    </row>
    <row r="97">
      <c r="A97" t="inlineStr">
        <is>
          <t>issues of the lands and tenements in the lord's hands through the pestilence</t>
        </is>
      </c>
      <c r="B97" t="inlineStr">
        <is>
          <t>nothing from 1 virgate of land formerly of thomas togh' lying in la wasshe because noone wished to lease it.</t>
        </is>
      </c>
      <c r="C97" t="n">
        <v>0</v>
      </c>
      <c r="D97" t="n">
        <v>0</v>
      </c>
      <c r="E97" t="n">
        <v>0</v>
      </c>
      <c r="F97" t="n">
        <v>0</v>
      </c>
      <c r="H97" t="n">
        <v>0</v>
      </c>
      <c r="I97" t="n">
        <v>0</v>
      </c>
      <c r="J97" t="n">
        <v>0</v>
      </c>
      <c r="K97" t="n">
        <v>0</v>
      </c>
      <c r="L97" t="n">
        <v>0</v>
      </c>
      <c r="M97" t="n">
        <v>0</v>
      </c>
      <c r="N97" t="n">
        <v>0</v>
      </c>
    </row>
    <row r="98">
      <c r="A98" t="inlineStr">
        <is>
          <t>issues of the lands and tenements in the lord's hands through the pestilence</t>
        </is>
      </c>
      <c r="B98" t="inlineStr">
        <is>
          <t>5 shilling from 1 virgate of land formerly of walter hobekyn.</t>
        </is>
      </c>
      <c r="C98" t="n">
        <v>0.25</v>
      </c>
      <c r="D98" t="n">
        <v>0</v>
      </c>
      <c r="E98" t="n">
        <v>5</v>
      </c>
      <c r="F98" t="n">
        <v>0</v>
      </c>
      <c r="H98" t="n">
        <v>0</v>
      </c>
      <c r="I98" t="n">
        <v>0</v>
      </c>
      <c r="J98" t="n">
        <v>0</v>
      </c>
      <c r="K98" t="n">
        <v>0</v>
      </c>
      <c r="L98" t="n">
        <v>0</v>
      </c>
      <c r="M98" t="n">
        <v>0</v>
      </c>
      <c r="N98" t="n">
        <v>0</v>
      </c>
    </row>
    <row r="99">
      <c r="A99" t="inlineStr">
        <is>
          <t>issues of the lands and tenements in the lord's hands through the pestilence</t>
        </is>
      </c>
      <c r="B99" t="inlineStr">
        <is>
          <t>nothing from 1 small plot beside the parsonage because it lies vacant.</t>
        </is>
      </c>
      <c r="C99" t="n">
        <v>0</v>
      </c>
      <c r="D99" t="n">
        <v>0</v>
      </c>
      <c r="E99" t="n">
        <v>0</v>
      </c>
      <c r="F99" t="n">
        <v>0</v>
      </c>
      <c r="H99" t="n">
        <v>0</v>
      </c>
      <c r="I99" t="n">
        <v>0</v>
      </c>
      <c r="J99" t="n">
        <v>0</v>
      </c>
      <c r="K99" t="n">
        <v>0</v>
      </c>
      <c r="L99" t="n">
        <v>0</v>
      </c>
      <c r="M99" t="n">
        <v>0</v>
      </c>
      <c r="N99" t="n">
        <v>0</v>
      </c>
    </row>
    <row r="100">
      <c r="A100" t="inlineStr">
        <is>
          <t>issues of the lands and tenements in the lord's hands through the pestilence</t>
        </is>
      </c>
      <c r="B100" t="inlineStr">
        <is>
          <t>9 shilling from 1 cotland of john atte sele and 2 cotlands of richard bolt in the lord's hands, demised to various men until someone should come to fine for the same.</t>
        </is>
      </c>
      <c r="C100" t="n">
        <v>0.45</v>
      </c>
      <c r="D100" t="n">
        <v>0</v>
      </c>
      <c r="E100" t="n">
        <v>9</v>
      </c>
      <c r="F100" t="n">
        <v>0</v>
      </c>
      <c r="H100" t="n">
        <v>0</v>
      </c>
      <c r="I100" t="n">
        <v>0</v>
      </c>
      <c r="J100" t="n">
        <v>0</v>
      </c>
      <c r="K100" t="n">
        <v>0</v>
      </c>
      <c r="L100" t="n">
        <v>0</v>
      </c>
      <c r="M100" t="n">
        <v>0</v>
      </c>
      <c r="N100" t="n">
        <v>0</v>
      </c>
    </row>
    <row r="101">
      <c r="A101" t="inlineStr">
        <is>
          <t>issues of the lands and tenements in the lord's hands through the pestilence</t>
        </is>
      </c>
      <c r="B101" t="inlineStr">
        <is>
          <t>1 shilling 6pence from 1 cotland of richard fox on.</t>
        </is>
      </c>
      <c r="C101" t="n">
        <v>0.08</v>
      </c>
      <c r="D101" t="n">
        <v>0</v>
      </c>
      <c r="E101" t="n">
        <v>1</v>
      </c>
      <c r="F101" t="n">
        <v>6</v>
      </c>
      <c r="H101" t="n">
        <v>0</v>
      </c>
      <c r="I101" t="n">
        <v>0</v>
      </c>
      <c r="J101" t="n">
        <v>0</v>
      </c>
      <c r="K101" t="n">
        <v>0</v>
      </c>
      <c r="L101" t="n">
        <v>0</v>
      </c>
      <c r="M101" t="n">
        <v>0</v>
      </c>
      <c r="N101" t="n">
        <v>0</v>
      </c>
    </row>
    <row r="102">
      <c r="A102" t="inlineStr">
        <is>
          <t>issues of the lands and tenements in the lord's hands through the pestilence</t>
        </is>
      </c>
      <c r="B102" t="inlineStr">
        <is>
          <t>top of the fixed rent.</t>
        </is>
      </c>
      <c r="C102" t="n">
        <v>0</v>
      </c>
      <c r="D102" t="n">
        <v>0</v>
      </c>
      <c r="E102" t="n">
        <v>0</v>
      </c>
      <c r="F102" t="n">
        <v>0</v>
      </c>
      <c r="H102" t="n">
        <v>0</v>
      </c>
      <c r="I102" t="n">
        <v>0</v>
      </c>
      <c r="J102" t="n">
        <v>0</v>
      </c>
      <c r="K102" t="n">
        <v>0</v>
      </c>
      <c r="L102" t="n">
        <v>0</v>
      </c>
      <c r="M102" t="n">
        <v>0</v>
      </c>
      <c r="N102" t="n">
        <v>0</v>
      </c>
    </row>
    <row r="103">
      <c r="A103" t="inlineStr">
        <is>
          <t>issues of the lands and tenements in the lord's hands through the pestilence</t>
        </is>
      </c>
      <c r="B103" t="inlineStr">
        <is>
          <t>total, £2 11 shilling 4.5pence.</t>
        </is>
      </c>
      <c r="C103" t="n">
        <v>2.57</v>
      </c>
      <c r="D103" t="n">
        <v>2</v>
      </c>
      <c r="E103" t="n">
        <v>11</v>
      </c>
      <c r="F103" t="n">
        <v>4.5</v>
      </c>
      <c r="H103" t="n">
        <v>0</v>
      </c>
      <c r="I103" t="n">
        <v>0</v>
      </c>
      <c r="J103" t="n">
        <v>0</v>
      </c>
      <c r="K103" t="n">
        <v>0</v>
      </c>
      <c r="L103" t="n">
        <v>0</v>
      </c>
      <c r="M103" t="n">
        <v>0</v>
      </c>
      <c r="N103" t="n">
        <v>0</v>
      </c>
    </row>
    <row r="104">
      <c r="A104" t="inlineStr">
        <is>
          <t>issues of the warren</t>
        </is>
      </c>
      <c r="B104" t="inlineStr">
        <is>
          <t>and for £4 1 shilling from 389 rabbits sold, at 2.5pence each, less 0.5pence in all, because delivered.</t>
        </is>
      </c>
      <c r="C104" t="n">
        <v>4.05</v>
      </c>
      <c r="D104" t="n">
        <v>4</v>
      </c>
      <c r="E104" t="n">
        <v>1</v>
      </c>
      <c r="F104" t="n">
        <v>0</v>
      </c>
      <c r="H104" t="n">
        <v>0</v>
      </c>
      <c r="I104" t="n">
        <v>0</v>
      </c>
      <c r="J104" t="n">
        <v>0</v>
      </c>
      <c r="K104" t="n">
        <v>0</v>
      </c>
      <c r="L104" t="n">
        <v>0</v>
      </c>
      <c r="M104" t="n">
        <v>0</v>
      </c>
      <c r="N104" t="n">
        <v>0</v>
      </c>
    </row>
    <row r="105">
      <c r="A105" t="inlineStr">
        <is>
          <t>issues of the warren</t>
        </is>
      </c>
      <c r="B105" t="inlineStr">
        <is>
          <t>for the stocking of the park of witney.</t>
        </is>
      </c>
      <c r="C105" t="n">
        <v>0</v>
      </c>
      <c r="D105" t="n">
        <v>0</v>
      </c>
      <c r="E105" t="n">
        <v>0</v>
      </c>
      <c r="F105" t="n">
        <v>0</v>
      </c>
      <c r="H105" t="n">
        <v>0</v>
      </c>
      <c r="I105" t="n">
        <v>0</v>
      </c>
      <c r="J105" t="n">
        <v>0</v>
      </c>
      <c r="K105" t="n">
        <v>0</v>
      </c>
      <c r="L105" t="n">
        <v>0</v>
      </c>
      <c r="M105" t="n">
        <v>0</v>
      </c>
      <c r="N105" t="n">
        <v>0</v>
      </c>
    </row>
    <row r="106">
      <c r="A106" t="inlineStr">
        <is>
          <t>issues of the warren</t>
        </is>
      </c>
      <c r="B106" t="inlineStr">
        <is>
          <t>total, £4 1 shilling.</t>
        </is>
      </c>
      <c r="C106" t="n">
        <v>4.05</v>
      </c>
      <c r="D106" t="n">
        <v>4</v>
      </c>
      <c r="E106" t="n">
        <v>1</v>
      </c>
      <c r="F106" t="n">
        <v>0</v>
      </c>
      <c r="H106" t="n">
        <v>0</v>
      </c>
      <c r="I106" t="n">
        <v>0</v>
      </c>
      <c r="J106" t="n">
        <v>0</v>
      </c>
      <c r="K106" t="n">
        <v>0</v>
      </c>
      <c r="L106" t="n">
        <v>0</v>
      </c>
      <c r="M106" t="n">
        <v>0</v>
      </c>
      <c r="N106" t="n">
        <v>0</v>
      </c>
    </row>
    <row r="107">
      <c r="A107" t="inlineStr">
        <is>
          <t>farm of the demesne lands</t>
        </is>
      </c>
      <c r="B107" t="inlineStr">
        <is>
          <t>and for £10 for the farm of the demesne lands, demised to john balhom' for 5 years, this year being the third, to be paid at the 4 principal terms of the year.</t>
        </is>
      </c>
      <c r="C107" t="n">
        <v>10</v>
      </c>
      <c r="D107" t="n">
        <v>10</v>
      </c>
      <c r="E107" t="n">
        <v>0</v>
      </c>
      <c r="F107" t="n">
        <v>0</v>
      </c>
      <c r="H107" t="n">
        <v>0</v>
      </c>
      <c r="I107" t="n">
        <v>0</v>
      </c>
      <c r="J107" t="n">
        <v>0</v>
      </c>
      <c r="K107" t="n">
        <v>0</v>
      </c>
      <c r="L107" t="n">
        <v>0</v>
      </c>
      <c r="M107" t="n">
        <v>0</v>
      </c>
      <c r="N107" t="n">
        <v>0</v>
      </c>
    </row>
    <row r="108">
      <c r="A108" t="inlineStr">
        <is>
          <t>farm of the demesne lands</t>
        </is>
      </c>
      <c r="B108" t="inlineStr">
        <is>
          <t>6 shilling 8pence for the farm of the dovecote for the year, demised to the same john for the abovesaid years.</t>
        </is>
      </c>
      <c r="C108" t="n">
        <v>0.33</v>
      </c>
      <c r="D108" t="n">
        <v>0</v>
      </c>
      <c r="E108" t="n">
        <v>6</v>
      </c>
      <c r="F108" t="n">
        <v>8</v>
      </c>
      <c r="H108" t="n">
        <v>0</v>
      </c>
      <c r="I108" t="n">
        <v>0</v>
      </c>
      <c r="J108" t="n">
        <v>0</v>
      </c>
      <c r="K108" t="n">
        <v>0</v>
      </c>
      <c r="L108" t="n">
        <v>0</v>
      </c>
      <c r="M108" t="n">
        <v>0</v>
      </c>
      <c r="N108" t="n">
        <v>0</v>
      </c>
    </row>
    <row r="109">
      <c r="A109" t="inlineStr">
        <is>
          <t>farm of the demesne lands</t>
        </is>
      </c>
      <c r="B109" t="inlineStr">
        <is>
          <t>total, £10 6 shilling 8pence.</t>
        </is>
      </c>
      <c r="C109" t="n">
        <v>10.33</v>
      </c>
      <c r="D109" t="n">
        <v>10</v>
      </c>
      <c r="E109" t="n">
        <v>6</v>
      </c>
      <c r="F109" t="n">
        <v>8</v>
      </c>
      <c r="H109" t="n">
        <v>0</v>
      </c>
      <c r="I109" t="n">
        <v>0</v>
      </c>
      <c r="J109" t="n">
        <v>0</v>
      </c>
      <c r="K109" t="n">
        <v>0</v>
      </c>
      <c r="L109" t="n">
        <v>0</v>
      </c>
      <c r="M109" t="n">
        <v>0</v>
      </c>
      <c r="N109" t="n">
        <v>0</v>
      </c>
    </row>
    <row r="110">
      <c r="A110" t="inlineStr">
        <is>
          <t>sale of labour services</t>
        </is>
      </c>
      <c r="B110" t="inlineStr">
        <is>
          <t>and for £3 6 shilling 6pence for the labour services of 10 virgates and 9 cotlands, that is, for 1 virgate of land of john honywell', 1 virgate of land of robert fox, 1 virgate of land of john gay, 1 virgate of land of john fox, 1 virgate of land of walter ely, 1 virgate of land of maurice stowe, 1 virgate of land recently of william stowe, 1 virgate of land of john robyn, 1 virgate of land of richard gale, 1 virgate of land of william duyke, 2 cotlands of john philippes, 2 cotlands of richard whyte, 1 cotland of robert hucheons, 1 cotland of richard norman, 1 cotland of john gome, 1 cotland of thomas gale and 1 cotland of richard lount and richard robyn, at 3 shilling 6pence for each virgate and cotland for the year.</t>
        </is>
      </c>
      <c r="C110" t="n">
        <v>3.32</v>
      </c>
      <c r="D110" t="n">
        <v>3</v>
      </c>
      <c r="E110" t="n">
        <v>6</v>
      </c>
      <c r="F110" t="n">
        <v>6</v>
      </c>
      <c r="H110" t="n">
        <v>0</v>
      </c>
      <c r="I110" t="n">
        <v>0</v>
      </c>
      <c r="J110" t="n">
        <v>0</v>
      </c>
      <c r="K110" t="n">
        <v>0</v>
      </c>
      <c r="L110" t="n">
        <v>0</v>
      </c>
      <c r="M110" t="n">
        <v>0</v>
      </c>
      <c r="N110" t="n">
        <v>0</v>
      </c>
    </row>
    <row r="111">
      <c r="A111" t="inlineStr">
        <is>
          <t>sale of labour services</t>
        </is>
      </c>
      <c r="B111" t="inlineStr">
        <is>
          <t>nothing for the labour services of 1 virgate of land of william stephen' because he does not do such labour services as made clear by the custumal.</t>
        </is>
      </c>
      <c r="C111" t="n">
        <v>0</v>
      </c>
      <c r="D111" t="n">
        <v>0</v>
      </c>
      <c r="E111" t="n">
        <v>0</v>
      </c>
      <c r="F111" t="n">
        <v>0</v>
      </c>
      <c r="H111" t="n">
        <v>0</v>
      </c>
      <c r="I111" t="n">
        <v>0</v>
      </c>
      <c r="J111" t="n">
        <v>0</v>
      </c>
      <c r="K111" t="n">
        <v>0</v>
      </c>
      <c r="L111" t="n">
        <v>0</v>
      </c>
      <c r="M111" t="n">
        <v>0</v>
      </c>
      <c r="N111" t="n">
        <v>0</v>
      </c>
    </row>
    <row r="112">
      <c r="A112" t="inlineStr">
        <is>
          <t>sale of labour services</t>
        </is>
      </c>
      <c r="B112" t="inlineStr">
        <is>
          <t>total, £3 6 shilling 6pence.</t>
        </is>
      </c>
      <c r="C112" t="n">
        <v>3.32</v>
      </c>
      <c r="D112" t="n">
        <v>3</v>
      </c>
      <c r="E112" t="n">
        <v>6</v>
      </c>
      <c r="F112" t="n">
        <v>6</v>
      </c>
      <c r="H112" t="n">
        <v>0</v>
      </c>
      <c r="I112" t="n">
        <v>0</v>
      </c>
      <c r="J112" t="n">
        <v>0</v>
      </c>
      <c r="K112" t="n">
        <v>0</v>
      </c>
      <c r="L112" t="n">
        <v>0</v>
      </c>
      <c r="M112" t="n">
        <v>0</v>
      </c>
      <c r="N112" t="n">
        <v>0</v>
      </c>
    </row>
    <row r="113">
      <c r="A113" t="inlineStr">
        <is>
          <t>sale of stock</t>
        </is>
      </c>
      <c r="B113" t="inlineStr">
        <is>
          <t>and for £2 5 shilling from 27 kebb wethers sold before shearing, at 1 shilling 8pence each, sold this year on account of the dearness and scarcity of sheep in the vale of the white horse.</t>
        </is>
      </c>
      <c r="C113" t="n">
        <v>2.25</v>
      </c>
      <c r="D113" t="n">
        <v>2</v>
      </c>
      <c r="E113" t="n">
        <v>5</v>
      </c>
      <c r="F113" t="n">
        <v>0</v>
      </c>
      <c r="H113" t="n">
        <v>0</v>
      </c>
      <c r="I113" t="n">
        <v>0</v>
      </c>
      <c r="J113" t="n">
        <v>0</v>
      </c>
      <c r="K113" t="n">
        <v>0</v>
      </c>
      <c r="L113" t="n">
        <v>0</v>
      </c>
      <c r="M113" t="n">
        <v>0</v>
      </c>
      <c r="N113" t="n">
        <v>0</v>
      </c>
    </row>
    <row r="114">
      <c r="A114" t="inlineStr">
        <is>
          <t>sale of stock</t>
        </is>
      </c>
      <c r="B114" t="inlineStr">
        <is>
          <t>total, £2 5 shilling.</t>
        </is>
      </c>
      <c r="C114" t="n">
        <v>2.25</v>
      </c>
      <c r="D114" t="n">
        <v>2</v>
      </c>
      <c r="E114" t="n">
        <v>5</v>
      </c>
      <c r="F114" t="n">
        <v>0</v>
      </c>
      <c r="H114" t="n">
        <v>0</v>
      </c>
      <c r="I114" t="n">
        <v>0</v>
      </c>
      <c r="J114" t="n">
        <v>0</v>
      </c>
      <c r="K114" t="n">
        <v>0</v>
      </c>
      <c r="L114" t="n">
        <v>0</v>
      </c>
      <c r="M114" t="n">
        <v>0</v>
      </c>
      <c r="N114" t="n">
        <v>0</v>
      </c>
    </row>
    <row r="115">
      <c r="A115" t="inlineStr">
        <is>
          <t>entry and marriage fines</t>
        </is>
      </c>
      <c r="B115" t="inlineStr">
        <is>
          <t>and for 4 shilling from tithingpenny at the tourns of martinmas and hockday.</t>
        </is>
      </c>
      <c r="C115" t="n">
        <v>0.2</v>
      </c>
      <c r="D115" t="n">
        <v>0</v>
      </c>
      <c r="E115" t="n">
        <v>4</v>
      </c>
      <c r="F115" t="n">
        <v>0</v>
      </c>
      <c r="H115" t="n">
        <v>0</v>
      </c>
      <c r="I115" t="n">
        <v>0</v>
      </c>
      <c r="J115" t="n">
        <v>0</v>
      </c>
      <c r="K115" t="n">
        <v>0</v>
      </c>
      <c r="L115" t="n">
        <v>0</v>
      </c>
      <c r="M115" t="n">
        <v>0</v>
      </c>
      <c r="N115" t="n">
        <v>0</v>
      </c>
    </row>
    <row r="116">
      <c r="A116" t="inlineStr">
        <is>
          <t>entry and marriage fines</t>
        </is>
      </c>
      <c r="B116"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C116" t="n">
        <v>0.1</v>
      </c>
      <c r="D116" t="n">
        <v>0</v>
      </c>
      <c r="E116" t="n">
        <v>2</v>
      </c>
      <c r="F116" t="n">
        <v>0</v>
      </c>
      <c r="H116" t="n">
        <v>0</v>
      </c>
      <c r="I116" t="n">
        <v>0</v>
      </c>
      <c r="J116" t="n">
        <v>0</v>
      </c>
      <c r="K116" t="n">
        <v>0</v>
      </c>
      <c r="L116" t="n">
        <v>0</v>
      </c>
      <c r="M116" t="n">
        <v>0</v>
      </c>
      <c r="N116" t="n">
        <v>0</v>
      </c>
    </row>
    <row r="117">
      <c r="A117" t="inlineStr">
        <is>
          <t>entry and marriage fines</t>
        </is>
      </c>
      <c r="B117" t="inlineStr">
        <is>
          <t>1 shilling 8pence from juliana, who was wife of richard gale, to retain 1 messuage 1 virgate of villein land and 1 croft of purpresture called dryverescrofte in hawkley in the tithing of highclere which belonged to the aforesaid richard her husband.</t>
        </is>
      </c>
      <c r="C117" t="n">
        <v>0.08</v>
      </c>
      <c r="D117" t="n">
        <v>0</v>
      </c>
      <c r="E117" t="n">
        <v>1</v>
      </c>
      <c r="F117" t="n">
        <v>8</v>
      </c>
      <c r="H117" t="n">
        <v>0</v>
      </c>
      <c r="I117" t="n">
        <v>0</v>
      </c>
      <c r="J117" t="n">
        <v>0</v>
      </c>
      <c r="K117" t="n">
        <v>0</v>
      </c>
      <c r="L117" t="n">
        <v>0</v>
      </c>
      <c r="M117" t="n">
        <v>0</v>
      </c>
      <c r="N117" t="n">
        <v>0</v>
      </c>
    </row>
    <row r="118">
      <c r="A118" t="inlineStr">
        <is>
          <t>entry and marriage fines</t>
        </is>
      </c>
      <c r="B118" t="inlineStr">
        <is>
          <t>5 shilling from robert reignold' to have juliana, who was wife of richard gale, with her land, that is, 1 messuage 1 virgate of villein land and 1 croft of purpresture called dryverescrofte in the tithing of highclere.</t>
        </is>
      </c>
      <c r="C118" t="n">
        <v>0.25</v>
      </c>
      <c r="D118" t="n">
        <v>0</v>
      </c>
      <c r="E118" t="n">
        <v>5</v>
      </c>
      <c r="F118" t="n">
        <v>0</v>
      </c>
      <c r="H118" t="n">
        <v>0</v>
      </c>
      <c r="I118" t="n">
        <v>0</v>
      </c>
      <c r="J118" t="n">
        <v>0</v>
      </c>
      <c r="K118" t="n">
        <v>0</v>
      </c>
      <c r="L118" t="n">
        <v>0</v>
      </c>
      <c r="M118" t="n">
        <v>0</v>
      </c>
      <c r="N118" t="n">
        <v>0</v>
      </c>
    </row>
    <row r="119">
      <c r="A119" t="inlineStr">
        <is>
          <t>entry and marriage fines</t>
        </is>
      </c>
      <c r="B119" t="inlineStr">
        <is>
          <t>£1 10 shilling from john wodecote, robert wodecote and richard urry for various transgressions done in the lord's warren of highclere, taking rabbits.</t>
        </is>
      </c>
      <c r="C119" t="n">
        <v>1.5</v>
      </c>
      <c r="D119" t="n">
        <v>1</v>
      </c>
      <c r="E119" t="n">
        <v>10</v>
      </c>
      <c r="F119" t="n">
        <v>0</v>
      </c>
      <c r="H119" t="n">
        <v>0</v>
      </c>
      <c r="I119" t="n">
        <v>0</v>
      </c>
      <c r="J119" t="n">
        <v>0</v>
      </c>
      <c r="K119" t="n">
        <v>0</v>
      </c>
      <c r="L119" t="n">
        <v>0</v>
      </c>
      <c r="M119" t="n">
        <v>0</v>
      </c>
      <c r="N119" t="n">
        <v>0</v>
      </c>
    </row>
    <row r="120">
      <c r="A120" t="inlineStr">
        <is>
          <t>entry and marriage fines</t>
        </is>
      </c>
      <c r="B120" t="inlineStr">
        <is>
          <t>total, £2 2 shilling 8pence.</t>
        </is>
      </c>
      <c r="C120" t="n">
        <v>2.13</v>
      </c>
      <c r="D120" t="n">
        <v>2</v>
      </c>
      <c r="E120" t="n">
        <v>2</v>
      </c>
      <c r="F120" t="n">
        <v>8</v>
      </c>
      <c r="H120" t="n">
        <v>0</v>
      </c>
      <c r="I120" t="n">
        <v>0</v>
      </c>
      <c r="J120" t="n">
        <v>0</v>
      </c>
      <c r="K120" t="n">
        <v>0</v>
      </c>
      <c r="L120" t="n">
        <v>0</v>
      </c>
      <c r="M120" t="n">
        <v>0</v>
      </c>
      <c r="N120" t="n">
        <v>0</v>
      </c>
    </row>
    <row r="121">
      <c r="A121" t="inlineStr">
        <is>
          <t>perquisites of court</t>
        </is>
      </c>
      <c r="B121" t="inlineStr">
        <is>
          <t>and for 1 shilling from the perquisites of the tourn of martinmas (11 november).</t>
        </is>
      </c>
      <c r="C121" t="n">
        <v>0.05</v>
      </c>
      <c r="D121" t="n">
        <v>0</v>
      </c>
      <c r="E121" t="n">
        <v>1</v>
      </c>
      <c r="F121" t="n">
        <v>0</v>
      </c>
      <c r="H121" t="n">
        <v>0</v>
      </c>
      <c r="I121" t="n">
        <v>0</v>
      </c>
      <c r="J121" t="n">
        <v>0</v>
      </c>
      <c r="K121" t="n">
        <v>0</v>
      </c>
      <c r="L121" t="n">
        <v>0</v>
      </c>
      <c r="M121" t="n">
        <v>0</v>
      </c>
      <c r="N121" t="n">
        <v>0</v>
      </c>
    </row>
    <row r="122">
      <c r="A122" t="inlineStr">
        <is>
          <t>perquisites of court</t>
        </is>
      </c>
      <c r="B122" t="inlineStr">
        <is>
          <t>2pence from the perquisites of the courts held between the 2 tourns.</t>
        </is>
      </c>
      <c r="C122" t="n">
        <v>0.01</v>
      </c>
      <c r="D122" t="n">
        <v>0</v>
      </c>
      <c r="E122" t="n">
        <v>0</v>
      </c>
      <c r="F122" t="n">
        <v>2</v>
      </c>
      <c r="H122" t="n">
        <v>0</v>
      </c>
      <c r="I122" t="n">
        <v>0</v>
      </c>
      <c r="J122" t="n">
        <v>0</v>
      </c>
      <c r="K122" t="n">
        <v>0</v>
      </c>
      <c r="L122" t="n">
        <v>0</v>
      </c>
      <c r="M122" t="n">
        <v>0</v>
      </c>
      <c r="N122" t="n">
        <v>0</v>
      </c>
    </row>
    <row r="123">
      <c r="A123" t="inlineStr">
        <is>
          <t>perquisites of court</t>
        </is>
      </c>
      <c r="B123" t="inlineStr">
        <is>
          <t>1 shilling from the perquisites of the tourn of hockday (1 april).</t>
        </is>
      </c>
      <c r="C123" t="n">
        <v>0.05</v>
      </c>
      <c r="D123" t="n">
        <v>0</v>
      </c>
      <c r="E123" t="n">
        <v>1</v>
      </c>
      <c r="F123" t="n">
        <v>0</v>
      </c>
      <c r="H123" t="n">
        <v>0</v>
      </c>
      <c r="I123" t="n">
        <v>0</v>
      </c>
      <c r="J123" t="n">
        <v>0</v>
      </c>
      <c r="K123" t="n">
        <v>0</v>
      </c>
      <c r="L123" t="n">
        <v>0</v>
      </c>
      <c r="M123" t="n">
        <v>0</v>
      </c>
      <c r="N123" t="n">
        <v>0</v>
      </c>
    </row>
    <row r="124">
      <c r="A124" t="inlineStr">
        <is>
          <t>perquisites of court</t>
        </is>
      </c>
      <c r="B124" t="inlineStr">
        <is>
          <t>2pence from the perquisites of the courts held after the said tourn.</t>
        </is>
      </c>
      <c r="C124" t="n">
        <v>0.01</v>
      </c>
      <c r="D124" t="n">
        <v>0</v>
      </c>
      <c r="E124" t="n">
        <v>0</v>
      </c>
      <c r="F124" t="n">
        <v>2</v>
      </c>
      <c r="H124" t="n">
        <v>0</v>
      </c>
      <c r="I124" t="n">
        <v>0</v>
      </c>
      <c r="J124" t="n">
        <v>0</v>
      </c>
      <c r="K124" t="n">
        <v>0</v>
      </c>
      <c r="L124" t="n">
        <v>0</v>
      </c>
      <c r="M124" t="n">
        <v>0</v>
      </c>
      <c r="N124" t="n">
        <v>0</v>
      </c>
    </row>
    <row r="125">
      <c r="A125" t="inlineStr">
        <is>
          <t>perquisites of court</t>
        </is>
      </c>
      <c r="B125" t="inlineStr">
        <is>
          <t>total, 2 shilling 4pence.</t>
        </is>
      </c>
      <c r="C125" t="n">
        <v>0.12</v>
      </c>
      <c r="D125" t="n">
        <v>0</v>
      </c>
      <c r="E125" t="n">
        <v>2</v>
      </c>
      <c r="F125" t="n">
        <v>4</v>
      </c>
      <c r="H125" t="n">
        <v>0</v>
      </c>
      <c r="I125" t="n">
        <v>0</v>
      </c>
      <c r="J125" t="n">
        <v>0</v>
      </c>
      <c r="K125" t="n">
        <v>0</v>
      </c>
      <c r="L125" t="n">
        <v>0</v>
      </c>
      <c r="M125" t="n">
        <v>0</v>
      </c>
      <c r="N125" t="n">
        <v>0</v>
      </c>
    </row>
    <row r="126">
      <c r="A126" t="inlineStr">
        <is>
          <t>sales at the audit</t>
        </is>
      </c>
      <c r="B126" t="inlineStr">
        <is>
          <t>and for 14 shilling 9.75pence from various sales at the audit as made clear elsewhere.</t>
        </is>
      </c>
      <c r="C126" t="n">
        <v>0.74</v>
      </c>
      <c r="D126" t="n">
        <v>0</v>
      </c>
      <c r="E126" t="n">
        <v>14</v>
      </c>
      <c r="F126" t="n">
        <v>9.75</v>
      </c>
      <c r="H126" t="n">
        <v>0</v>
      </c>
      <c r="I126" t="n">
        <v>0</v>
      </c>
      <c r="J126" t="n">
        <v>0</v>
      </c>
      <c r="K126" t="n">
        <v>0</v>
      </c>
      <c r="L126" t="n">
        <v>0</v>
      </c>
      <c r="M126" t="n">
        <v>0</v>
      </c>
      <c r="N126" t="n">
        <v>0</v>
      </c>
    </row>
    <row r="127">
      <c r="A127" t="inlineStr">
        <is>
          <t>sales at the audit</t>
        </is>
      </c>
      <c r="B127" t="inlineStr">
        <is>
          <t>total, 14 shilling 9.75pence.</t>
        </is>
      </c>
      <c r="C127" t="n">
        <v>0.74</v>
      </c>
      <c r="D127" t="n">
        <v>0</v>
      </c>
      <c r="E127" t="n">
        <v>14</v>
      </c>
      <c r="F127" t="n">
        <v>9.75</v>
      </c>
      <c r="H127" t="n">
        <v>0</v>
      </c>
      <c r="I127" t="n">
        <v>0</v>
      </c>
      <c r="J127" t="n">
        <v>0</v>
      </c>
      <c r="K127" t="n">
        <v>0</v>
      </c>
      <c r="L127" t="n">
        <v>0</v>
      </c>
      <c r="M127" t="n">
        <v>0</v>
      </c>
      <c r="N127" t="n">
        <v>0</v>
      </c>
    </row>
    <row r="128">
      <c r="A128" t="inlineStr">
        <is>
          <t>total of all receipts with arrears</t>
        </is>
      </c>
      <c r="B128" t="inlineStr">
        <is>
          <t>total of all receipts with arrears, £50 1 shilling 3pence.</t>
        </is>
      </c>
      <c r="C128" t="n">
        <v>50.06</v>
      </c>
      <c r="D128" t="n">
        <v>50</v>
      </c>
      <c r="E128" t="n">
        <v>1</v>
      </c>
      <c r="F128" t="n">
        <v>3</v>
      </c>
      <c r="H128" t="n">
        <v>0</v>
      </c>
      <c r="I128" t="n">
        <v>0</v>
      </c>
      <c r="J128" t="n">
        <v>0</v>
      </c>
      <c r="K128" t="n">
        <v>0</v>
      </c>
      <c r="L128" t="n">
        <v>0</v>
      </c>
      <c r="M128" t="n">
        <v>0</v>
      </c>
      <c r="N128" t="n">
        <v>0</v>
      </c>
    </row>
    <row r="129">
      <c r="A129" t="inlineStr">
        <is>
          <t>cost of ploughs</t>
        </is>
      </c>
      <c r="B129" t="inlineStr">
        <is>
          <t>nothing for the costs of ploughs and carts because they pertain to the farmer.</t>
        </is>
      </c>
      <c r="C129" t="n">
        <v>0</v>
      </c>
      <c r="D129" t="n">
        <v>0</v>
      </c>
      <c r="E129" t="n">
        <v>0</v>
      </c>
      <c r="F129" t="n">
        <v>0</v>
      </c>
      <c r="H129" t="n">
        <v>0</v>
      </c>
      <c r="I129" t="n">
        <v>0</v>
      </c>
      <c r="J129" t="n">
        <v>0</v>
      </c>
      <c r="K129" t="n">
        <v>0</v>
      </c>
      <c r="L129" t="n">
        <v>0</v>
      </c>
      <c r="M129" t="n">
        <v>0</v>
      </c>
      <c r="N129" t="n">
        <v>0</v>
      </c>
    </row>
    <row r="130">
      <c r="A130" t="inlineStr">
        <is>
          <t>purchase of corn and stock</t>
        </is>
      </c>
      <c r="B130" t="inlineStr">
        <is>
          <t>in 3.5 bushels of wheat bought for the provision of richard wyot, steward, holding the 2 tourns for the year 4 shilling 0.5pence, at 1 shilling 2pence a bushels.</t>
        </is>
      </c>
      <c r="C130" t="n">
        <v>0.2</v>
      </c>
      <c r="D130" t="n">
        <v>0</v>
      </c>
      <c r="E130" t="n">
        <v>4</v>
      </c>
      <c r="F130" t="n">
        <v>0.5</v>
      </c>
      <c r="G130" t="inlineStr">
        <is>
          <t>wheat</t>
        </is>
      </c>
      <c r="H130" t="n">
        <v>0</v>
      </c>
      <c r="I130" t="n">
        <v>3.5</v>
      </c>
      <c r="J130" t="n">
        <v>0.44</v>
      </c>
      <c r="K130" t="n">
        <v>0.44</v>
      </c>
      <c r="L130" t="n">
        <v>0</v>
      </c>
      <c r="M130" t="n">
        <v>0</v>
      </c>
      <c r="N130" t="n">
        <v>3.5</v>
      </c>
      <c r="Y130" t="n">
        <v>1</v>
      </c>
      <c r="Z130" t="n">
        <v>2</v>
      </c>
    </row>
    <row r="131">
      <c r="A131" t="inlineStr">
        <is>
          <t>purchase of corn and stock</t>
        </is>
      </c>
      <c r="B131" t="inlineStr">
        <is>
          <t>2 quarters 4 bushels of oats bought for the fodder of the horses of the same at the aforesaid toums 8 shilling 4pence, at 5pence a bushels.</t>
        </is>
      </c>
      <c r="C131" t="n">
        <v>0.42</v>
      </c>
      <c r="D131" t="n">
        <v>0</v>
      </c>
      <c r="E131" t="n">
        <v>8</v>
      </c>
      <c r="F131" t="n">
        <v>4</v>
      </c>
      <c r="G131" t="inlineStr">
        <is>
          <t>oats</t>
        </is>
      </c>
      <c r="H131" t="n">
        <v>2</v>
      </c>
      <c r="I131" t="n">
        <v>4</v>
      </c>
      <c r="J131" t="n">
        <v>2.5</v>
      </c>
      <c r="K131" t="n">
        <v>2.5</v>
      </c>
      <c r="L131" t="n">
        <v>0</v>
      </c>
      <c r="M131" t="n">
        <v>2</v>
      </c>
      <c r="N131" t="n">
        <v>4</v>
      </c>
      <c r="Y131" t="n">
        <v>0</v>
      </c>
      <c r="Z131" t="n">
        <v>5</v>
      </c>
    </row>
    <row r="132">
      <c r="A132" t="inlineStr">
        <is>
          <t>purchase of corn and stock</t>
        </is>
      </c>
      <c r="B132" t="inlineStr">
        <is>
          <t>37 hoggs bought before shearing from the reeve of ecchinswell £3 1 shilling 8pence, at 1 shilling 8pence each.</t>
        </is>
      </c>
      <c r="C132" t="n">
        <v>3.08</v>
      </c>
      <c r="D132" t="n">
        <v>3</v>
      </c>
      <c r="E132" t="n">
        <v>1</v>
      </c>
      <c r="F132" t="n">
        <v>8</v>
      </c>
      <c r="H132" t="n">
        <v>0</v>
      </c>
      <c r="I132" t="n">
        <v>0</v>
      </c>
      <c r="J132" t="n">
        <v>0</v>
      </c>
      <c r="K132" t="n">
        <v>0</v>
      </c>
      <c r="L132" t="n">
        <v>0</v>
      </c>
      <c r="M132" t="n">
        <v>0</v>
      </c>
      <c r="N132" t="n">
        <v>0</v>
      </c>
    </row>
    <row r="133">
      <c r="A133" t="inlineStr">
        <is>
          <t>purchase of corn and stock</t>
        </is>
      </c>
      <c r="B133" t="inlineStr">
        <is>
          <t>total, £3 14 shilling 0.5pence.</t>
        </is>
      </c>
      <c r="C133" t="n">
        <v>3.7</v>
      </c>
      <c r="D133" t="n">
        <v>3</v>
      </c>
      <c r="E133" t="n">
        <v>14</v>
      </c>
      <c r="F133" t="n">
        <v>0.5</v>
      </c>
      <c r="H133" t="n">
        <v>0</v>
      </c>
      <c r="I133" t="n">
        <v>0</v>
      </c>
      <c r="J133" t="n">
        <v>0</v>
      </c>
      <c r="K133" t="n">
        <v>0</v>
      </c>
      <c r="L133" t="n">
        <v>0</v>
      </c>
      <c r="M133" t="n">
        <v>0</v>
      </c>
      <c r="N133" t="n">
        <v>0</v>
      </c>
    </row>
    <row r="134">
      <c r="A134" t="inlineStr">
        <is>
          <t>repair of the buildings of the liberty</t>
        </is>
      </c>
      <c r="B134" t="inlineStr">
        <is>
          <t>in stipend of john sule and john shyngelere for 32 days roofing nearly anew the south side of the chapel and also mending the tiles and strengthening various defects of buildings both inside and outside the curia according to the greatest need £1 6 shilling 8pence, taking between them 10pence a day.</t>
        </is>
      </c>
      <c r="C134" t="n">
        <v>1.33</v>
      </c>
      <c r="D134" t="n">
        <v>1</v>
      </c>
      <c r="E134" t="n">
        <v>6</v>
      </c>
      <c r="F134" t="n">
        <v>8</v>
      </c>
      <c r="H134" t="n">
        <v>0</v>
      </c>
      <c r="I134" t="n">
        <v>0</v>
      </c>
      <c r="J134" t="n">
        <v>0</v>
      </c>
      <c r="K134" t="n">
        <v>0</v>
      </c>
      <c r="L134" t="n">
        <v>0</v>
      </c>
      <c r="M134" t="n">
        <v>0</v>
      </c>
      <c r="N134" t="n">
        <v>0</v>
      </c>
    </row>
    <row r="135">
      <c r="A135" t="inlineStr">
        <is>
          <t>repair of the buildings of the liberty</t>
        </is>
      </c>
      <c r="B135" t="inlineStr">
        <is>
          <t>1,100 laths split from the lord's timber 1 shilling.</t>
        </is>
      </c>
      <c r="C135" t="n">
        <v>0.05</v>
      </c>
      <c r="D135" t="n">
        <v>0</v>
      </c>
      <c r="E135" t="n">
        <v>1</v>
      </c>
      <c r="F135" t="n">
        <v>0</v>
      </c>
      <c r="H135" t="n">
        <v>0</v>
      </c>
      <c r="I135" t="n">
        <v>0</v>
      </c>
      <c r="J135" t="n">
        <v>0</v>
      </c>
      <c r="K135" t="n">
        <v>0</v>
      </c>
      <c r="L135" t="n">
        <v>0</v>
      </c>
      <c r="M135" t="n">
        <v>0</v>
      </c>
      <c r="N135" t="n">
        <v>0</v>
      </c>
    </row>
    <row r="136">
      <c r="A136" t="inlineStr">
        <is>
          <t>repair of the buildings of the liberty</t>
        </is>
      </c>
      <c r="B136" t="inlineStr">
        <is>
          <t>300 laths bought 1 shilling 3pence.</t>
        </is>
      </c>
      <c r="C136" t="n">
        <v>0.06</v>
      </c>
      <c r="D136" t="n">
        <v>0</v>
      </c>
      <c r="E136" t="n">
        <v>1</v>
      </c>
      <c r="F136" t="n">
        <v>3</v>
      </c>
      <c r="H136" t="n">
        <v>0</v>
      </c>
      <c r="I136" t="n">
        <v>0</v>
      </c>
      <c r="J136" t="n">
        <v>0</v>
      </c>
      <c r="K136" t="n">
        <v>0</v>
      </c>
      <c r="L136" t="n">
        <v>0</v>
      </c>
      <c r="M136" t="n">
        <v>0</v>
      </c>
      <c r="N136" t="n">
        <v>0</v>
      </c>
    </row>
    <row r="137">
      <c r="A137" t="inlineStr">
        <is>
          <t>repair of the buildings of the liberty</t>
        </is>
      </c>
      <c r="B137" t="inlineStr">
        <is>
          <t>5,000 lath-nails bought for the same 5 shilling 10pence, at 1 shilling 2pence a 1,000..</t>
        </is>
      </c>
      <c r="C137" t="n">
        <v>0.29</v>
      </c>
      <c r="D137" t="n">
        <v>0</v>
      </c>
      <c r="E137" t="n">
        <v>5</v>
      </c>
      <c r="F137" t="n">
        <v>10</v>
      </c>
      <c r="H137" t="n">
        <v>0</v>
      </c>
      <c r="I137" t="n">
        <v>0</v>
      </c>
      <c r="J137" t="n">
        <v>0</v>
      </c>
      <c r="K137" t="n">
        <v>0</v>
      </c>
      <c r="L137" t="n">
        <v>0</v>
      </c>
      <c r="M137" t="n">
        <v>0</v>
      </c>
      <c r="N137" t="n">
        <v>0</v>
      </c>
    </row>
    <row r="138">
      <c r="A138" t="inlineStr">
        <is>
          <t>repair of the buildings of the liberty</t>
        </is>
      </c>
      <c r="B138" t="inlineStr">
        <is>
          <t>7,600 pegs bought for roofing the chapel 1 shilling 11pence.</t>
        </is>
      </c>
      <c r="C138" t="n">
        <v>0.1</v>
      </c>
      <c r="D138" t="n">
        <v>0</v>
      </c>
      <c r="E138" t="n">
        <v>1</v>
      </c>
      <c r="F138" t="n">
        <v>11</v>
      </c>
      <c r="H138" t="n">
        <v>0</v>
      </c>
      <c r="I138" t="n">
        <v>0</v>
      </c>
      <c r="J138" t="n">
        <v>0</v>
      </c>
      <c r="K138" t="n">
        <v>0</v>
      </c>
      <c r="L138" t="n">
        <v>0</v>
      </c>
      <c r="M138" t="n">
        <v>0</v>
      </c>
      <c r="N138" t="n">
        <v>0</v>
      </c>
    </row>
    <row r="139">
      <c r="A139" t="inlineStr">
        <is>
          <t>repair of the buildings of the liberty</t>
        </is>
      </c>
      <c r="B139" t="inlineStr">
        <is>
          <t>100 board-nails bought for fastening the eaves-boards 6pence.</t>
        </is>
      </c>
      <c r="C139" t="n">
        <v>0.03</v>
      </c>
      <c r="D139" t="n">
        <v>0</v>
      </c>
      <c r="E139" t="n">
        <v>0</v>
      </c>
      <c r="F139" t="n">
        <v>6</v>
      </c>
      <c r="H139" t="n">
        <v>0</v>
      </c>
      <c r="I139" t="n">
        <v>0</v>
      </c>
      <c r="J139" t="n">
        <v>0</v>
      </c>
      <c r="K139" t="n">
        <v>0</v>
      </c>
      <c r="L139" t="n">
        <v>0</v>
      </c>
      <c r="M139" t="n">
        <v>0</v>
      </c>
      <c r="N139" t="n">
        <v>0</v>
      </c>
    </row>
    <row r="140">
      <c r="A140" t="inlineStr">
        <is>
          <t>repair of the buildings of the liberty</t>
        </is>
      </c>
      <c r="B140" t="inlineStr">
        <is>
          <t>hiring 2 men for 8.5 days to parget and whitewash the chamber of the middle gate and to parget and whitewash other defects of the walls 5 shilling 8pence, taking between them 8pence a day.</t>
        </is>
      </c>
      <c r="C140" t="n">
        <v>0.28</v>
      </c>
      <c r="D140" t="n">
        <v>0</v>
      </c>
      <c r="E140" t="n">
        <v>5</v>
      </c>
      <c r="F140" t="n">
        <v>8</v>
      </c>
      <c r="H140" t="n">
        <v>0</v>
      </c>
      <c r="I140" t="n">
        <v>0</v>
      </c>
      <c r="J140" t="n">
        <v>0</v>
      </c>
      <c r="K140" t="n">
        <v>0</v>
      </c>
      <c r="L140" t="n">
        <v>0</v>
      </c>
      <c r="M140" t="n">
        <v>0</v>
      </c>
      <c r="N140" t="n">
        <v>0</v>
      </c>
    </row>
    <row r="141">
      <c r="A141" t="inlineStr">
        <is>
          <t>repair of the buildings of the liberty</t>
        </is>
      </c>
      <c r="B141" t="inlineStr">
        <is>
          <t>carrying lime and sand for the same and for roofing the said buildings 3 shilling.</t>
        </is>
      </c>
      <c r="C141" t="n">
        <v>0.15</v>
      </c>
      <c r="D141" t="n">
        <v>0</v>
      </c>
      <c r="E141" t="n">
        <v>3</v>
      </c>
      <c r="F141" t="n">
        <v>0</v>
      </c>
      <c r="H141" t="n">
        <v>0</v>
      </c>
      <c r="I141" t="n">
        <v>0</v>
      </c>
      <c r="J141" t="n">
        <v>0</v>
      </c>
      <c r="K141" t="n">
        <v>0</v>
      </c>
      <c r="L141" t="n">
        <v>0</v>
      </c>
      <c r="M141" t="n">
        <v>0</v>
      </c>
      <c r="N141" t="n">
        <v>0</v>
      </c>
    </row>
    <row r="142">
      <c r="A142" t="inlineStr">
        <is>
          <t>repair of the buildings of the liberty</t>
        </is>
      </c>
      <c r="B142" t="inlineStr">
        <is>
          <t>24,000 plain tiles and 700 hollow tiles made and moulded from the lord's own clay this year £4 13 shilling, giving 3 shilling per 1,000 plain tiles and 3 shilling per 100 hollow tiles.</t>
        </is>
      </c>
      <c r="C142" t="n">
        <v>4.65</v>
      </c>
      <c r="D142" t="n">
        <v>4</v>
      </c>
      <c r="E142" t="n">
        <v>13</v>
      </c>
      <c r="F142" t="n">
        <v>0</v>
      </c>
      <c r="H142" t="n">
        <v>0</v>
      </c>
      <c r="I142" t="n">
        <v>0</v>
      </c>
      <c r="J142" t="n">
        <v>0</v>
      </c>
      <c r="K142" t="n">
        <v>0</v>
      </c>
      <c r="L142" t="n">
        <v>0</v>
      </c>
      <c r="M142" t="n">
        <v>0</v>
      </c>
      <c r="N142" t="n">
        <v>0</v>
      </c>
    </row>
    <row r="143">
      <c r="A143" t="inlineStr">
        <is>
          <t>repair of the buildings of the liberty</t>
        </is>
      </c>
      <c r="B143" t="inlineStr">
        <is>
          <t>quarrying clay for the same 10 shilling 4pence, giving 4pence for quarrying 1,000 plain tiles and 4pence for 100 hollow tiles.</t>
        </is>
      </c>
      <c r="C143" t="n">
        <v>0.52</v>
      </c>
      <c r="D143" t="n">
        <v>0</v>
      </c>
      <c r="E143" t="n">
        <v>10</v>
      </c>
      <c r="F143" t="n">
        <v>4</v>
      </c>
      <c r="H143" t="n">
        <v>0</v>
      </c>
      <c r="I143" t="n">
        <v>0</v>
      </c>
      <c r="J143" t="n">
        <v>0</v>
      </c>
      <c r="K143" t="n">
        <v>0</v>
      </c>
      <c r="L143" t="n">
        <v>0</v>
      </c>
      <c r="M143" t="n">
        <v>0</v>
      </c>
      <c r="N143" t="n">
        <v>0</v>
      </c>
    </row>
    <row r="144">
      <c r="A144" t="inlineStr">
        <is>
          <t>repair of the buildings of the liberty</t>
        </is>
      </c>
      <c r="B144" t="inlineStr">
        <is>
          <t>making and burning 15 quarters 4 bushels of limestone this year 5 shilling 2pence, giving 4pence a quarters.</t>
        </is>
      </c>
      <c r="C144" t="n">
        <v>0.26</v>
      </c>
      <c r="D144" t="n">
        <v>0</v>
      </c>
      <c r="E144" t="n">
        <v>5</v>
      </c>
      <c r="F144" t="n">
        <v>2</v>
      </c>
      <c r="H144" t="n">
        <v>15</v>
      </c>
      <c r="I144" t="n">
        <v>4</v>
      </c>
      <c r="J144" t="n">
        <v>15.5</v>
      </c>
      <c r="K144" t="n">
        <v>15.5</v>
      </c>
      <c r="L144" t="n">
        <v>0</v>
      </c>
      <c r="M144" t="n">
        <v>15</v>
      </c>
      <c r="N144" t="n">
        <v>4</v>
      </c>
    </row>
    <row r="145">
      <c r="A145" t="inlineStr">
        <is>
          <t>repair of the buildings of the liberty</t>
        </is>
      </c>
      <c r="B145" t="inlineStr">
        <is>
          <t>quarrying chalk for the same and carrying it to the furnace by piece-work 3 shilling.</t>
        </is>
      </c>
      <c r="C145" t="n">
        <v>0.15</v>
      </c>
      <c r="D145" t="n">
        <v>0</v>
      </c>
      <c r="E145" t="n">
        <v>3</v>
      </c>
      <c r="F145" t="n">
        <v>0</v>
      </c>
      <c r="H145" t="n">
        <v>0</v>
      </c>
      <c r="I145" t="n">
        <v>0</v>
      </c>
      <c r="J145" t="n">
        <v>0</v>
      </c>
      <c r="K145" t="n">
        <v>0</v>
      </c>
      <c r="L145" t="n">
        <v>0</v>
      </c>
      <c r="M145" t="n">
        <v>0</v>
      </c>
      <c r="N145" t="n">
        <v>0</v>
      </c>
    </row>
    <row r="146">
      <c r="A146" t="inlineStr">
        <is>
          <t>repair of the buildings of the liberty</t>
        </is>
      </c>
      <c r="B146" t="inlineStr">
        <is>
          <t>hiring 1 man to carry the said clay to the tile-kiln by piece-work for moulding the said tiles therefrom 5 shilling.</t>
        </is>
      </c>
      <c r="C146" t="n">
        <v>0.25</v>
      </c>
      <c r="D146" t="n">
        <v>0</v>
      </c>
      <c r="E146" t="n">
        <v>5</v>
      </c>
      <c r="F146" t="n">
        <v>0</v>
      </c>
      <c r="H146" t="n">
        <v>0</v>
      </c>
      <c r="I146" t="n">
        <v>0</v>
      </c>
      <c r="J146" t="n">
        <v>0</v>
      </c>
      <c r="K146" t="n">
        <v>0</v>
      </c>
      <c r="L146" t="n">
        <v>0</v>
      </c>
      <c r="M146" t="n">
        <v>0</v>
      </c>
      <c r="N146" t="n">
        <v>0</v>
      </c>
    </row>
    <row r="147">
      <c r="A147" t="inlineStr">
        <is>
          <t>repair of the buildings of the liberty</t>
        </is>
      </c>
      <c r="B147" t="inlineStr">
        <is>
          <t>hiring 1 man for 4 days to clear out and clean the barton in front of the tile-kiln for drying and whitewashing the tiles on the ground there 1 shilling 8pence, taking 5pence a day.</t>
        </is>
      </c>
      <c r="C147" t="n">
        <v>0.08</v>
      </c>
      <c r="D147" t="n">
        <v>0</v>
      </c>
      <c r="E147" t="n">
        <v>1</v>
      </c>
      <c r="F147" t="n">
        <v>8</v>
      </c>
      <c r="H147" t="n">
        <v>0</v>
      </c>
      <c r="I147" t="n">
        <v>0</v>
      </c>
      <c r="J147" t="n">
        <v>0</v>
      </c>
      <c r="K147" t="n">
        <v>0</v>
      </c>
      <c r="L147" t="n">
        <v>0</v>
      </c>
      <c r="M147" t="n">
        <v>0</v>
      </c>
      <c r="N147" t="n">
        <v>0</v>
      </c>
    </row>
    <row r="148">
      <c r="A148" t="inlineStr">
        <is>
          <t>repair of the buildings of the liberty</t>
        </is>
      </c>
      <c r="B148" t="inlineStr">
        <is>
          <t>hiring 2 men for 9 days to clear out, mend and strengthen the tile-kiln and to mend, strengthen and raise the tile-furnace just as it was needed 5 shilling, taking between them 10pence a day.</t>
        </is>
      </c>
      <c r="C148" t="n">
        <v>0.29</v>
      </c>
      <c r="D148" t="n">
        <v>0</v>
      </c>
      <c r="E148" t="n">
        <v>5</v>
      </c>
      <c r="F148" t="n">
        <v>10</v>
      </c>
      <c r="H148" t="n">
        <v>0</v>
      </c>
      <c r="I148" t="n">
        <v>0</v>
      </c>
      <c r="J148" t="n">
        <v>0</v>
      </c>
      <c r="K148" t="n">
        <v>0</v>
      </c>
      <c r="L148" t="n">
        <v>0</v>
      </c>
      <c r="M148" t="n">
        <v>0</v>
      </c>
      <c r="N148" t="n">
        <v>0</v>
      </c>
    </row>
    <row r="149">
      <c r="A149" t="inlineStr">
        <is>
          <t>repair of the buildings of the liberty</t>
        </is>
      </c>
      <c r="B149" t="inlineStr">
        <is>
          <t>enclosing and strengthening the walls of the tile-kiln and the fence around the barton 1 shilling.</t>
        </is>
      </c>
      <c r="C149" t="n">
        <v>0.05</v>
      </c>
      <c r="D149" t="n">
        <v>0</v>
      </c>
      <c r="E149" t="n">
        <v>1</v>
      </c>
      <c r="F149" t="n">
        <v>0</v>
      </c>
      <c r="H149" t="n">
        <v>0</v>
      </c>
      <c r="I149" t="n">
        <v>0</v>
      </c>
      <c r="J149" t="n">
        <v>0</v>
      </c>
      <c r="K149" t="n">
        <v>0</v>
      </c>
      <c r="L149" t="n">
        <v>0</v>
      </c>
      <c r="M149" t="n">
        <v>0</v>
      </c>
      <c r="N149" t="n">
        <v>0</v>
      </c>
    </row>
    <row r="150">
      <c r="A150" t="inlineStr">
        <is>
          <t>repair of the buildings of the liberty</t>
        </is>
      </c>
      <c r="B150" t="inlineStr">
        <is>
          <t>hiring 1 thatcher for 1 day to roof various defects of the aforesaid building 5pence.</t>
        </is>
      </c>
      <c r="C150" t="n">
        <v>0.02</v>
      </c>
      <c r="D150" t="n">
        <v>0</v>
      </c>
      <c r="E150" t="n">
        <v>0</v>
      </c>
      <c r="F150" t="n">
        <v>5</v>
      </c>
      <c r="H150" t="n">
        <v>0</v>
      </c>
      <c r="I150" t="n">
        <v>0</v>
      </c>
      <c r="J150" t="n">
        <v>0</v>
      </c>
      <c r="K150" t="n">
        <v>0</v>
      </c>
      <c r="L150" t="n">
        <v>0</v>
      </c>
      <c r="M150" t="n">
        <v>0</v>
      </c>
      <c r="N150" t="n">
        <v>0</v>
      </c>
    </row>
    <row r="151">
      <c r="A151" t="inlineStr">
        <is>
          <t>repair of the buildings of the liberty</t>
        </is>
      </c>
      <c r="B151" t="inlineStr">
        <is>
          <t>2 of his mates for the swill time 5pence.</t>
        </is>
      </c>
      <c r="C151" t="n">
        <v>0.02</v>
      </c>
      <c r="D151" t="n">
        <v>0</v>
      </c>
      <c r="E151" t="n">
        <v>0</v>
      </c>
      <c r="F151" t="n">
        <v>5</v>
      </c>
      <c r="H151" t="n">
        <v>0</v>
      </c>
      <c r="I151" t="n">
        <v>0</v>
      </c>
      <c r="J151" t="n">
        <v>0</v>
      </c>
      <c r="K151" t="n">
        <v>0</v>
      </c>
      <c r="L151" t="n">
        <v>0</v>
      </c>
      <c r="M151" t="n">
        <v>0</v>
      </c>
      <c r="N151" t="n">
        <v>0</v>
      </c>
    </row>
    <row r="152">
      <c r="A152" t="inlineStr">
        <is>
          <t>repair of the buildings of the liberty</t>
        </is>
      </c>
      <c r="B152" t="inlineStr">
        <is>
          <t>straw bought for the same 8pence.</t>
        </is>
      </c>
      <c r="C152" t="n">
        <v>0.03</v>
      </c>
      <c r="D152" t="n">
        <v>0</v>
      </c>
      <c r="E152" t="n">
        <v>0</v>
      </c>
      <c r="F152" t="n">
        <v>8</v>
      </c>
      <c r="H152" t="n">
        <v>0</v>
      </c>
      <c r="I152" t="n">
        <v>0</v>
      </c>
      <c r="J152" t="n">
        <v>0</v>
      </c>
      <c r="K152" t="n">
        <v>0</v>
      </c>
      <c r="L152" t="n">
        <v>0</v>
      </c>
      <c r="M152" t="n">
        <v>0</v>
      </c>
      <c r="N152" t="n">
        <v>0</v>
      </c>
    </row>
    <row r="153">
      <c r="A153" t="inlineStr">
        <is>
          <t>repair of the buildings of the liberty</t>
        </is>
      </c>
      <c r="B153" t="inlineStr">
        <is>
          <t>seeking 10 cart-loads of gravel (arene) at hawkley and carrying it to the tile-kiln for making the aforesaid tiles by piece-work 3 shilling 4pence.</t>
        </is>
      </c>
      <c r="C153" t="n">
        <v>0.17</v>
      </c>
      <c r="D153" t="n">
        <v>0</v>
      </c>
      <c r="E153" t="n">
        <v>3</v>
      </c>
      <c r="F153" t="n">
        <v>4</v>
      </c>
      <c r="H153" t="n">
        <v>0</v>
      </c>
      <c r="I153" t="n">
        <v>0</v>
      </c>
      <c r="J153" t="n">
        <v>0</v>
      </c>
      <c r="K153" t="n">
        <v>0</v>
      </c>
      <c r="L153" t="n">
        <v>0</v>
      </c>
      <c r="M153" t="n">
        <v>0</v>
      </c>
      <c r="N153" t="n">
        <v>0</v>
      </c>
    </row>
    <row r="154">
      <c r="A154" t="inlineStr">
        <is>
          <t>repair of the buildings of the liberty</t>
        </is>
      </c>
      <c r="B154" t="inlineStr">
        <is>
          <t>carrying 10 cart-loads of sand for the same 10pence.</t>
        </is>
      </c>
      <c r="C154" t="n">
        <v>0.04</v>
      </c>
      <c r="D154" t="n">
        <v>0</v>
      </c>
      <c r="E154" t="n">
        <v>0</v>
      </c>
      <c r="F154" t="n">
        <v>10</v>
      </c>
      <c r="H154" t="n">
        <v>0</v>
      </c>
      <c r="I154" t="n">
        <v>0</v>
      </c>
      <c r="J154" t="n">
        <v>0</v>
      </c>
      <c r="K154" t="n">
        <v>0</v>
      </c>
      <c r="L154" t="n">
        <v>0</v>
      </c>
      <c r="M154" t="n">
        <v>0</v>
      </c>
      <c r="N154" t="n">
        <v>0</v>
      </c>
    </row>
    <row r="155">
      <c r="A155" t="inlineStr">
        <is>
          <t>repair of the buildings of the liberty</t>
        </is>
      </c>
      <c r="B155" t="inlineStr">
        <is>
          <t>felling wood by piece-work for firing the aforesaid tiles 2 shilling 1pence.</t>
        </is>
      </c>
      <c r="C155" t="n">
        <v>0.1</v>
      </c>
      <c r="D155" t="n">
        <v>0</v>
      </c>
      <c r="E155" t="n">
        <v>2</v>
      </c>
      <c r="F155" t="n">
        <v>1</v>
      </c>
      <c r="H155" t="n">
        <v>0</v>
      </c>
      <c r="I155" t="n">
        <v>0</v>
      </c>
      <c r="J155" t="n">
        <v>0</v>
      </c>
      <c r="K155" t="n">
        <v>0</v>
      </c>
      <c r="L155" t="n">
        <v>0</v>
      </c>
      <c r="M155" t="n">
        <v>0</v>
      </c>
      <c r="N155" t="n">
        <v>0</v>
      </c>
    </row>
    <row r="156">
      <c r="A156" t="inlineStr">
        <is>
          <t>repair of the buildings of the liberty</t>
        </is>
      </c>
      <c r="B156" t="inlineStr">
        <is>
          <t>carrying the same to the furnace by piece-work 2 shilling.</t>
        </is>
      </c>
      <c r="C156" t="n">
        <v>0.1</v>
      </c>
      <c r="D156" t="n">
        <v>0</v>
      </c>
      <c r="E156" t="n">
        <v>2</v>
      </c>
      <c r="F156" t="n">
        <v>0</v>
      </c>
      <c r="H156" t="n">
        <v>0</v>
      </c>
      <c r="I156" t="n">
        <v>0</v>
      </c>
      <c r="J156" t="n">
        <v>0</v>
      </c>
      <c r="K156" t="n">
        <v>0</v>
      </c>
      <c r="L156" t="n">
        <v>0</v>
      </c>
      <c r="M156" t="n">
        <v>0</v>
      </c>
      <c r="N156" t="n">
        <v>0</v>
      </c>
    </row>
    <row r="157">
      <c r="A157" t="inlineStr">
        <is>
          <t>repair of the buildings of the liberty</t>
        </is>
      </c>
      <c r="B157" t="inlineStr">
        <is>
          <t>carrying 15 quarters of lime from the tile-furnace to the manor 8pence.</t>
        </is>
      </c>
      <c r="C157" t="n">
        <v>0.03</v>
      </c>
      <c r="D157" t="n">
        <v>0</v>
      </c>
      <c r="E157" t="n">
        <v>0</v>
      </c>
      <c r="F157" t="n">
        <v>8</v>
      </c>
      <c r="H157" t="n">
        <v>15</v>
      </c>
      <c r="I157" t="n">
        <v>0</v>
      </c>
      <c r="J157" t="n">
        <v>15</v>
      </c>
      <c r="K157" t="n">
        <v>15</v>
      </c>
      <c r="L157" t="n">
        <v>0</v>
      </c>
      <c r="M157" t="n">
        <v>15</v>
      </c>
      <c r="N157" t="n">
        <v>0</v>
      </c>
    </row>
    <row r="158">
      <c r="A158" t="inlineStr">
        <is>
          <t>repair of the buildings of the liberty</t>
        </is>
      </c>
      <c r="B158" t="inlineStr">
        <is>
          <t>hiring 1 shingler to roof the vestry for 8 days 3 shilling 4pence, taking 5pence a day.</t>
        </is>
      </c>
      <c r="C158" t="n">
        <v>0.17</v>
      </c>
      <c r="D158" t="n">
        <v>0</v>
      </c>
      <c r="E158" t="n">
        <v>3</v>
      </c>
      <c r="F158" t="n">
        <v>4</v>
      </c>
      <c r="H158" t="n">
        <v>0</v>
      </c>
      <c r="I158" t="n">
        <v>0</v>
      </c>
      <c r="J158" t="n">
        <v>0</v>
      </c>
      <c r="K158" t="n">
        <v>0</v>
      </c>
      <c r="L158" t="n">
        <v>0</v>
      </c>
      <c r="M158" t="n">
        <v>0</v>
      </c>
      <c r="N158" t="n">
        <v>0</v>
      </c>
    </row>
    <row r="159">
      <c r="A159" t="inlineStr">
        <is>
          <t>repair of the buildings of the liberty</t>
        </is>
      </c>
      <c r="B159" t="inlineStr">
        <is>
          <t>1 riddle bought for making tiles 2.5pence.</t>
        </is>
      </c>
      <c r="C159" t="n">
        <v>0.01</v>
      </c>
      <c r="D159" t="n">
        <v>0</v>
      </c>
      <c r="E159" t="n">
        <v>0</v>
      </c>
      <c r="F159" t="n">
        <v>2.5</v>
      </c>
      <c r="H159" t="n">
        <v>0</v>
      </c>
      <c r="I159" t="n">
        <v>0</v>
      </c>
      <c r="J159" t="n">
        <v>0</v>
      </c>
      <c r="K159" t="n">
        <v>0</v>
      </c>
      <c r="L159" t="n">
        <v>0</v>
      </c>
      <c r="M159" t="n">
        <v>0</v>
      </c>
      <c r="N159" t="n">
        <v>0</v>
      </c>
    </row>
    <row r="160">
      <c r="A160" t="inlineStr">
        <is>
          <t>repair of the buildings of the liberty</t>
        </is>
      </c>
      <c r="B160" t="inlineStr">
        <is>
          <t>2 hurdles made for keeping the tiles safe in the barton 3pence.</t>
        </is>
      </c>
      <c r="C160" t="n">
        <v>0.01</v>
      </c>
      <c r="D160" t="n">
        <v>0</v>
      </c>
      <c r="E160" t="n">
        <v>0</v>
      </c>
      <c r="F160" t="n">
        <v>3</v>
      </c>
      <c r="H160" t="n">
        <v>0</v>
      </c>
      <c r="I160" t="n">
        <v>0</v>
      </c>
      <c r="J160" t="n">
        <v>0</v>
      </c>
      <c r="K160" t="n">
        <v>0</v>
      </c>
      <c r="L160" t="n">
        <v>0</v>
      </c>
      <c r="M160" t="n">
        <v>0</v>
      </c>
      <c r="N160" t="n">
        <v>0</v>
      </c>
    </row>
    <row r="161">
      <c r="A161" t="inlineStr">
        <is>
          <t>repair of the buildings of the liberty</t>
        </is>
      </c>
      <c r="B161" t="inlineStr">
        <is>
          <t>carrying 9,600 plain and hollow tiles from the furnace to the manor 1 shilling 8pence.</t>
        </is>
      </c>
      <c r="C161" t="n">
        <v>0.08</v>
      </c>
      <c r="D161" t="n">
        <v>0</v>
      </c>
      <c r="E161" t="n">
        <v>1</v>
      </c>
      <c r="F161" t="n">
        <v>8</v>
      </c>
      <c r="H161" t="n">
        <v>0</v>
      </c>
      <c r="I161" t="n">
        <v>0</v>
      </c>
      <c r="J161" t="n">
        <v>0</v>
      </c>
      <c r="K161" t="n">
        <v>0</v>
      </c>
      <c r="L161" t="n">
        <v>0</v>
      </c>
      <c r="M161" t="n">
        <v>0</v>
      </c>
      <c r="N161" t="n">
        <v>0</v>
      </c>
    </row>
    <row r="162">
      <c r="A162" t="inlineStr">
        <is>
          <t>repair of the buildings of the liberty</t>
        </is>
      </c>
      <c r="B162" t="inlineStr">
        <is>
          <t>total, £9 5 shilling 10.5pence.</t>
        </is>
      </c>
      <c r="C162" t="n">
        <v>9.289999999999999</v>
      </c>
      <c r="D162" t="n">
        <v>9</v>
      </c>
      <c r="E162" t="n">
        <v>5</v>
      </c>
      <c r="F162" t="n">
        <v>10.5</v>
      </c>
      <c r="H162" t="n">
        <v>0</v>
      </c>
      <c r="I162" t="n">
        <v>0</v>
      </c>
      <c r="J162" t="n">
        <v>0</v>
      </c>
      <c r="K162" t="n">
        <v>0</v>
      </c>
      <c r="L162" t="n">
        <v>0</v>
      </c>
      <c r="M162" t="n">
        <v>0</v>
      </c>
      <c r="N162" t="n">
        <v>0</v>
      </c>
    </row>
    <row r="163">
      <c r="A163" t="inlineStr">
        <is>
          <t>cost of buildings with necessaries</t>
        </is>
      </c>
      <c r="B163" t="inlineStr">
        <is>
          <t>in hiring 1 carpenter for 3 days to make 1 pair of stocks from the lord's timber 1 shilling 3pence.</t>
        </is>
      </c>
      <c r="C163" t="n">
        <v>0.06</v>
      </c>
      <c r="D163" t="n">
        <v>0</v>
      </c>
      <c r="E163" t="n">
        <v>1</v>
      </c>
      <c r="F163" t="n">
        <v>3</v>
      </c>
      <c r="H163" t="n">
        <v>0</v>
      </c>
      <c r="I163" t="n">
        <v>0</v>
      </c>
      <c r="J163" t="n">
        <v>0</v>
      </c>
      <c r="K163" t="n">
        <v>0</v>
      </c>
      <c r="L163" t="n">
        <v>0</v>
      </c>
      <c r="M163" t="n">
        <v>0</v>
      </c>
      <c r="N163" t="n">
        <v>0</v>
      </c>
    </row>
    <row r="164">
      <c r="A164" t="inlineStr">
        <is>
          <t>cost of buildings with necessaries</t>
        </is>
      </c>
      <c r="B164" t="inlineStr">
        <is>
          <t>4 iron staples and 2 clasps bought for fastening the said stocks 6pence.</t>
        </is>
      </c>
      <c r="C164" t="n">
        <v>0.03</v>
      </c>
      <c r="D164" t="n">
        <v>0</v>
      </c>
      <c r="E164" t="n">
        <v>0</v>
      </c>
      <c r="F164" t="n">
        <v>6</v>
      </c>
      <c r="H164" t="n">
        <v>0</v>
      </c>
      <c r="I164" t="n">
        <v>0</v>
      </c>
      <c r="J164" t="n">
        <v>0</v>
      </c>
      <c r="K164" t="n">
        <v>0</v>
      </c>
      <c r="L164" t="n">
        <v>0</v>
      </c>
      <c r="M164" t="n">
        <v>0</v>
      </c>
      <c r="N164" t="n">
        <v>0</v>
      </c>
    </row>
    <row r="165">
      <c r="A165" t="inlineStr">
        <is>
          <t>cost of buildings with necessaries</t>
        </is>
      </c>
      <c r="B165" t="inlineStr">
        <is>
          <t>1 lock bought for the same 8pence.</t>
        </is>
      </c>
      <c r="C165" t="n">
        <v>0.03</v>
      </c>
      <c r="D165" t="n">
        <v>0</v>
      </c>
      <c r="E165" t="n">
        <v>0</v>
      </c>
      <c r="F165" t="n">
        <v>8</v>
      </c>
      <c r="H165" t="n">
        <v>0</v>
      </c>
      <c r="I165" t="n">
        <v>0</v>
      </c>
      <c r="J165" t="n">
        <v>0</v>
      </c>
      <c r="K165" t="n">
        <v>0</v>
      </c>
      <c r="L165" t="n">
        <v>0</v>
      </c>
      <c r="M165" t="n">
        <v>0</v>
      </c>
      <c r="N165" t="n">
        <v>0</v>
      </c>
    </row>
    <row r="166">
      <c r="A166" t="inlineStr">
        <is>
          <t>cost of buildings with necessaries</t>
        </is>
      </c>
      <c r="B166" t="inlineStr">
        <is>
          <t>carrying the wool of this manor to wolvesey this year 1 shilling 2pence.</t>
        </is>
      </c>
      <c r="C166" t="n">
        <v>0.06</v>
      </c>
      <c r="D166" t="n">
        <v>0</v>
      </c>
      <c r="E166" t="n">
        <v>1</v>
      </c>
      <c r="F166" t="n">
        <v>2</v>
      </c>
      <c r="H166" t="n">
        <v>0</v>
      </c>
      <c r="I166" t="n">
        <v>0</v>
      </c>
      <c r="J166" t="n">
        <v>0</v>
      </c>
      <c r="K166" t="n">
        <v>0</v>
      </c>
      <c r="L166" t="n">
        <v>0</v>
      </c>
      <c r="M166" t="n">
        <v>0</v>
      </c>
      <c r="N166" t="n">
        <v>0</v>
      </c>
    </row>
    <row r="167">
      <c r="A167" t="inlineStr">
        <is>
          <t>cost of buildings with necessaries</t>
        </is>
      </c>
      <c r="B167" t="inlineStr">
        <is>
          <t>total, 3 shilling 7pence.</t>
        </is>
      </c>
      <c r="C167" t="n">
        <v>0.18</v>
      </c>
      <c r="D167" t="n">
        <v>0</v>
      </c>
      <c r="E167" t="n">
        <v>3</v>
      </c>
      <c r="F167" t="n">
        <v>7</v>
      </c>
      <c r="H167" t="n">
        <v>0</v>
      </c>
      <c r="I167" t="n">
        <v>0</v>
      </c>
      <c r="J167" t="n">
        <v>0</v>
      </c>
      <c r="K167" t="n">
        <v>0</v>
      </c>
      <c r="L167" t="n">
        <v>0</v>
      </c>
      <c r="M167" t="n">
        <v>0</v>
      </c>
      <c r="N167" t="n">
        <v>0</v>
      </c>
    </row>
    <row r="168">
      <c r="A168" t="inlineStr">
        <is>
          <t>cost of the sheepcote</t>
        </is>
      </c>
      <c r="B168" t="inlineStr">
        <is>
          <t>in tar bought for greasing the lord's sheep 3 shilling.</t>
        </is>
      </c>
      <c r="C168" t="n">
        <v>0.15</v>
      </c>
      <c r="D168" t="n">
        <v>0</v>
      </c>
      <c r="E168" t="n">
        <v>3</v>
      </c>
      <c r="F168" t="n">
        <v>0</v>
      </c>
      <c r="H168" t="n">
        <v>0</v>
      </c>
      <c r="I168" t="n">
        <v>0</v>
      </c>
      <c r="J168" t="n">
        <v>0</v>
      </c>
      <c r="K168" t="n">
        <v>0</v>
      </c>
      <c r="L168" t="n">
        <v>0</v>
      </c>
      <c r="M168" t="n">
        <v>0</v>
      </c>
      <c r="N168" t="n">
        <v>0</v>
      </c>
    </row>
    <row r="169">
      <c r="A169" t="inlineStr">
        <is>
          <t>cost of the sheepcote</t>
        </is>
      </c>
      <c r="B169" t="inlineStr">
        <is>
          <t>grease bought for the same 5 shilling.</t>
        </is>
      </c>
      <c r="C169" t="n">
        <v>0.25</v>
      </c>
      <c r="D169" t="n">
        <v>0</v>
      </c>
      <c r="E169" t="n">
        <v>5</v>
      </c>
      <c r="F169" t="n">
        <v>0</v>
      </c>
      <c r="H169" t="n">
        <v>0</v>
      </c>
      <c r="I169" t="n">
        <v>0</v>
      </c>
      <c r="J169" t="n">
        <v>0</v>
      </c>
      <c r="K169" t="n">
        <v>0</v>
      </c>
      <c r="L169" t="n">
        <v>0</v>
      </c>
      <c r="M169" t="n">
        <v>0</v>
      </c>
      <c r="N169" t="n">
        <v>0</v>
      </c>
    </row>
    <row r="170">
      <c r="A170" t="inlineStr">
        <is>
          <t>cost of the sheepcote</t>
        </is>
      </c>
      <c r="B170" t="inlineStr">
        <is>
          <t>red ochre bought 6pence.</t>
        </is>
      </c>
      <c r="C170" t="n">
        <v>0.03</v>
      </c>
      <c r="D170" t="n">
        <v>0</v>
      </c>
      <c r="E170" t="n">
        <v>0</v>
      </c>
      <c r="F170" t="n">
        <v>6</v>
      </c>
      <c r="H170" t="n">
        <v>0</v>
      </c>
      <c r="I170" t="n">
        <v>0</v>
      </c>
      <c r="J170" t="n">
        <v>0</v>
      </c>
      <c r="K170" t="n">
        <v>0</v>
      </c>
      <c r="L170" t="n">
        <v>0</v>
      </c>
      <c r="M170" t="n">
        <v>0</v>
      </c>
      <c r="N170" t="n">
        <v>0</v>
      </c>
    </row>
    <row r="171">
      <c r="A171" t="inlineStr">
        <is>
          <t>cost of the sheepcote</t>
        </is>
      </c>
      <c r="B171" t="inlineStr">
        <is>
          <t>hay bought for supporting the feeble wethers in winter 4 shilling.</t>
        </is>
      </c>
      <c r="C171" t="n">
        <v>0.2</v>
      </c>
      <c r="D171" t="n">
        <v>0</v>
      </c>
      <c r="E171" t="n">
        <v>4</v>
      </c>
      <c r="F171" t="n">
        <v>0</v>
      </c>
      <c r="H171" t="n">
        <v>0</v>
      </c>
      <c r="I171" t="n">
        <v>0</v>
      </c>
      <c r="J171" t="n">
        <v>0</v>
      </c>
      <c r="K171" t="n">
        <v>0</v>
      </c>
      <c r="L171" t="n">
        <v>0</v>
      </c>
      <c r="M171" t="n">
        <v>0</v>
      </c>
      <c r="N171" t="n">
        <v>0</v>
      </c>
    </row>
    <row r="172">
      <c r="A172" t="inlineStr">
        <is>
          <t>cost of the sheepcote</t>
        </is>
      </c>
      <c r="B172" t="inlineStr">
        <is>
          <t>making well 60 female hoggs 1 shilling 8pence, at id. for each 3..</t>
        </is>
      </c>
      <c r="C172" t="n">
        <v>0.08</v>
      </c>
      <c r="D172" t="n">
        <v>0</v>
      </c>
      <c r="E172" t="n">
        <v>1</v>
      </c>
      <c r="F172" t="n">
        <v>8</v>
      </c>
      <c r="H172" t="n">
        <v>0</v>
      </c>
      <c r="I172" t="n">
        <v>0</v>
      </c>
      <c r="J172" t="n">
        <v>0</v>
      </c>
      <c r="K172" t="n">
        <v>0</v>
      </c>
      <c r="L172" t="n">
        <v>0</v>
      </c>
      <c r="M172" t="n">
        <v>0</v>
      </c>
      <c r="N172" t="n">
        <v>0</v>
      </c>
    </row>
    <row r="173">
      <c r="A173" t="inlineStr">
        <is>
          <t>cost of the sheepcote</t>
        </is>
      </c>
      <c r="B173" t="inlineStr">
        <is>
          <t>collecting stubble for wattling the fold 8pence.</t>
        </is>
      </c>
      <c r="C173" t="n">
        <v>0.03</v>
      </c>
      <c r="D173" t="n">
        <v>0</v>
      </c>
      <c r="E173" t="n">
        <v>0</v>
      </c>
      <c r="F173" t="n">
        <v>8</v>
      </c>
      <c r="H173" t="n">
        <v>0</v>
      </c>
      <c r="I173" t="n">
        <v>0</v>
      </c>
      <c r="J173" t="n">
        <v>0</v>
      </c>
      <c r="K173" t="n">
        <v>0</v>
      </c>
      <c r="L173" t="n">
        <v>0</v>
      </c>
      <c r="M173" t="n">
        <v>0</v>
      </c>
      <c r="N173" t="n">
        <v>0</v>
      </c>
    </row>
    <row r="174">
      <c r="A174" t="inlineStr">
        <is>
          <t>cost of the sheepcote</t>
        </is>
      </c>
      <c r="B174" t="inlineStr">
        <is>
          <t>total, 14 shilling 10pence.</t>
        </is>
      </c>
      <c r="C174" t="n">
        <v>0.74</v>
      </c>
      <c r="D174" t="n">
        <v>0</v>
      </c>
      <c r="E174" t="n">
        <v>14</v>
      </c>
      <c r="F174" t="n">
        <v>10</v>
      </c>
      <c r="H174" t="n">
        <v>0</v>
      </c>
      <c r="I174" t="n">
        <v>0</v>
      </c>
      <c r="J174" t="n">
        <v>0</v>
      </c>
      <c r="K174" t="n">
        <v>0</v>
      </c>
      <c r="L174" t="n">
        <v>0</v>
      </c>
      <c r="M174" t="n">
        <v>0</v>
      </c>
      <c r="N174" t="n">
        <v>0</v>
      </c>
    </row>
    <row r="175">
      <c r="A175" t="inlineStr">
        <is>
          <t>cost of the park</t>
        </is>
      </c>
      <c r="B175" t="inlineStr">
        <is>
          <t>in wages of 1 park-keeper for the year who is also the warrener £3 10pence, taking 2pence a day.</t>
        </is>
      </c>
      <c r="C175" t="n">
        <v>3.04</v>
      </c>
      <c r="D175" t="n">
        <v>3</v>
      </c>
      <c r="E175" t="n">
        <v>0</v>
      </c>
      <c r="F175" t="n">
        <v>10</v>
      </c>
      <c r="H175" t="n">
        <v>0</v>
      </c>
      <c r="I175" t="n">
        <v>0</v>
      </c>
      <c r="J175" t="n">
        <v>0</v>
      </c>
      <c r="K175" t="n">
        <v>0</v>
      </c>
      <c r="L175" t="n">
        <v>0</v>
      </c>
      <c r="M175" t="n">
        <v>0</v>
      </c>
      <c r="N175" t="n">
        <v>0</v>
      </c>
    </row>
    <row r="176">
      <c r="A176" t="inlineStr">
        <is>
          <t>cost of the park</t>
        </is>
      </c>
      <c r="B176" t="inlineStr">
        <is>
          <t>stipend of the same 6 shilling 8pence.</t>
        </is>
      </c>
      <c r="C176" t="n">
        <v>0.33</v>
      </c>
      <c r="D176" t="n">
        <v>0</v>
      </c>
      <c r="E176" t="n">
        <v>6</v>
      </c>
      <c r="F176" t="n">
        <v>8</v>
      </c>
      <c r="H176" t="n">
        <v>0</v>
      </c>
      <c r="I176" t="n">
        <v>0</v>
      </c>
      <c r="J176" t="n">
        <v>0</v>
      </c>
      <c r="K176" t="n">
        <v>0</v>
      </c>
      <c r="L176" t="n">
        <v>0</v>
      </c>
      <c r="M176" t="n">
        <v>0</v>
      </c>
      <c r="N176" t="n">
        <v>0</v>
      </c>
    </row>
    <row r="177">
      <c r="A177" t="inlineStr">
        <is>
          <t>cost of the park</t>
        </is>
      </c>
      <c r="B177" t="inlineStr">
        <is>
          <t>1 net bought called a hay (le haie) for catching rabbits 6 shilling 8pence.</t>
        </is>
      </c>
      <c r="C177" t="n">
        <v>0.33</v>
      </c>
      <c r="D177" t="n">
        <v>0</v>
      </c>
      <c r="E177" t="n">
        <v>6</v>
      </c>
      <c r="F177" t="n">
        <v>8</v>
      </c>
      <c r="H177" t="n">
        <v>0</v>
      </c>
      <c r="I177" t="n">
        <v>0</v>
      </c>
      <c r="J177" t="n">
        <v>0</v>
      </c>
      <c r="K177" t="n">
        <v>0</v>
      </c>
      <c r="L177" t="n">
        <v>0</v>
      </c>
      <c r="M177" t="n">
        <v>0</v>
      </c>
      <c r="N177" t="n">
        <v>0</v>
      </c>
    </row>
    <row r="178">
      <c r="A178" t="inlineStr">
        <is>
          <t>cost of the park</t>
        </is>
      </c>
      <c r="B178" t="inlineStr">
        <is>
          <t>mending and strengthening old nets and purse-nets 3 shilling.</t>
        </is>
      </c>
      <c r="C178" t="n">
        <v>0.15</v>
      </c>
      <c r="D178" t="n">
        <v>0</v>
      </c>
      <c r="E178" t="n">
        <v>3</v>
      </c>
      <c r="F178" t="n">
        <v>0</v>
      </c>
      <c r="H178" t="n">
        <v>0</v>
      </c>
      <c r="I178" t="n">
        <v>0</v>
      </c>
      <c r="J178" t="n">
        <v>0</v>
      </c>
      <c r="K178" t="n">
        <v>0</v>
      </c>
      <c r="L178" t="n">
        <v>0</v>
      </c>
      <c r="M178" t="n">
        <v>0</v>
      </c>
      <c r="N178" t="n">
        <v>0</v>
      </c>
    </row>
    <row r="179">
      <c r="A179" t="inlineStr">
        <is>
          <t>cost of the park</t>
        </is>
      </c>
      <c r="B179" t="inlineStr">
        <is>
          <t>enclosing with hedge 50 perches at shaweferne by piece-work 6 shilling 3pence, giving 1.5pence a perch.</t>
        </is>
      </c>
      <c r="C179" t="n">
        <v>0.31</v>
      </c>
      <c r="D179" t="n">
        <v>0</v>
      </c>
      <c r="E179" t="n">
        <v>6</v>
      </c>
      <c r="F179" t="n">
        <v>3</v>
      </c>
      <c r="H179" t="n">
        <v>0</v>
      </c>
      <c r="I179" t="n">
        <v>0</v>
      </c>
      <c r="J179" t="n">
        <v>0</v>
      </c>
      <c r="K179" t="n">
        <v>0</v>
      </c>
      <c r="L179" t="n">
        <v>0</v>
      </c>
      <c r="M179" t="n">
        <v>0</v>
      </c>
      <c r="N179" t="n">
        <v>0</v>
      </c>
    </row>
    <row r="180">
      <c r="A180" t="inlineStr">
        <is>
          <t>cost of the park</t>
        </is>
      </c>
      <c r="B180" t="inlineStr">
        <is>
          <t>making 22 perches of palisade at douneslade by piece-work 8 shilling 3pence, giving 4.5pence a perch.</t>
        </is>
      </c>
      <c r="C180" t="n">
        <v>0.41</v>
      </c>
      <c r="D180" t="n">
        <v>0</v>
      </c>
      <c r="E180" t="n">
        <v>8</v>
      </c>
      <c r="F180" t="n">
        <v>3</v>
      </c>
      <c r="H180" t="n">
        <v>0</v>
      </c>
      <c r="I180" t="n">
        <v>0</v>
      </c>
      <c r="J180" t="n">
        <v>0</v>
      </c>
      <c r="K180" t="n">
        <v>0</v>
      </c>
      <c r="L180" t="n">
        <v>0</v>
      </c>
      <c r="M180" t="n">
        <v>0</v>
      </c>
      <c r="N180" t="n">
        <v>0</v>
      </c>
    </row>
    <row r="181">
      <c r="A181" t="inlineStr">
        <is>
          <t>cost of the park</t>
        </is>
      </c>
      <c r="B181" t="inlineStr">
        <is>
          <t>hiring various labourers to mend, replace and pin the planks of the palisade blown down by the great wind this year 2 shilling.</t>
        </is>
      </c>
      <c r="C181" t="n">
        <v>0.1</v>
      </c>
      <c r="D181" t="n">
        <v>0</v>
      </c>
      <c r="E181" t="n">
        <v>2</v>
      </c>
      <c r="F181" t="n">
        <v>0</v>
      </c>
      <c r="H181" t="n">
        <v>0</v>
      </c>
      <c r="I181" t="n">
        <v>0</v>
      </c>
      <c r="J181" t="n">
        <v>0</v>
      </c>
      <c r="K181" t="n">
        <v>0</v>
      </c>
      <c r="L181" t="n">
        <v>0</v>
      </c>
      <c r="M181" t="n">
        <v>0</v>
      </c>
      <c r="N181" t="n">
        <v>0</v>
      </c>
    </row>
    <row r="182">
      <c r="A182" t="inlineStr">
        <is>
          <t>cost of the park</t>
        </is>
      </c>
      <c r="B182" t="inlineStr">
        <is>
          <t>total, £4 13 shilling 8pence.</t>
        </is>
      </c>
      <c r="C182" t="n">
        <v>4.68</v>
      </c>
      <c r="D182" t="n">
        <v>4</v>
      </c>
      <c r="E182" t="n">
        <v>13</v>
      </c>
      <c r="F182" t="n">
        <v>8</v>
      </c>
      <c r="H182" t="n">
        <v>0</v>
      </c>
      <c r="I182" t="n">
        <v>0</v>
      </c>
      <c r="J182" t="n">
        <v>0</v>
      </c>
      <c r="K182" t="n">
        <v>0</v>
      </c>
      <c r="L182" t="n">
        <v>0</v>
      </c>
      <c r="M182" t="n">
        <v>0</v>
      </c>
      <c r="N182" t="n">
        <v>0</v>
      </c>
    </row>
    <row r="183">
      <c r="A183" t="inlineStr">
        <is>
          <t>wages</t>
        </is>
      </c>
      <c r="B183" t="inlineStr">
        <is>
          <t>in wages of one collector of rents who is also supervisor of the labour services of the.</t>
        </is>
      </c>
      <c r="C183" t="n">
        <v>0</v>
      </c>
      <c r="D183" t="n">
        <v>0</v>
      </c>
      <c r="E183" t="n">
        <v>0</v>
      </c>
      <c r="F183" t="n">
        <v>0</v>
      </c>
      <c r="H183" t="n">
        <v>0</v>
      </c>
      <c r="I183" t="n">
        <v>0</v>
      </c>
      <c r="J183" t="n">
        <v>0</v>
      </c>
      <c r="K183" t="n">
        <v>0</v>
      </c>
      <c r="L183" t="n">
        <v>0</v>
      </c>
      <c r="M183" t="n">
        <v>0</v>
      </c>
      <c r="N183" t="n">
        <v>0</v>
      </c>
    </row>
    <row r="184">
      <c r="A184" t="inlineStr">
        <is>
          <t>wages</t>
        </is>
      </c>
      <c r="B184" t="inlineStr">
        <is>
          <t>manor there for the year £3 10pence, taking 2pence a day.</t>
        </is>
      </c>
      <c r="C184" t="n">
        <v>3.04</v>
      </c>
      <c r="D184" t="n">
        <v>3</v>
      </c>
      <c r="E184" t="n">
        <v>0</v>
      </c>
      <c r="F184" t="n">
        <v>10</v>
      </c>
      <c r="H184" t="n">
        <v>0</v>
      </c>
      <c r="I184" t="n">
        <v>0</v>
      </c>
      <c r="J184" t="n">
        <v>0</v>
      </c>
      <c r="K184" t="n">
        <v>0</v>
      </c>
      <c r="L184" t="n">
        <v>0</v>
      </c>
      <c r="M184" t="n">
        <v>0</v>
      </c>
      <c r="N184" t="n">
        <v>0</v>
      </c>
    </row>
    <row r="185">
      <c r="A185" t="inlineStr">
        <is>
          <t>wages</t>
        </is>
      </c>
      <c r="B185" t="inlineStr">
        <is>
          <t>total, £3 10pence.</t>
        </is>
      </c>
      <c r="C185" t="n">
        <v>3.04</v>
      </c>
      <c r="D185" t="n">
        <v>3</v>
      </c>
      <c r="E185" t="n">
        <v>0</v>
      </c>
      <c r="F185" t="n">
        <v>10</v>
      </c>
      <c r="H185" t="n">
        <v>0</v>
      </c>
      <c r="I185" t="n">
        <v>0</v>
      </c>
      <c r="J185" t="n">
        <v>0</v>
      </c>
      <c r="K185" t="n">
        <v>0</v>
      </c>
      <c r="L185" t="n">
        <v>0</v>
      </c>
      <c r="M185" t="n">
        <v>0</v>
      </c>
      <c r="N185" t="n">
        <v>0</v>
      </c>
    </row>
    <row r="186">
      <c r="A186" t="inlineStr">
        <is>
          <t>expenses of the steward</t>
        </is>
      </c>
      <c r="B186" t="inlineStr">
        <is>
          <t>in expenses of richard wyot, steward, holding the tourns of martinmas and hockday.</t>
        </is>
      </c>
      <c r="C186" t="n">
        <v>0</v>
      </c>
      <c r="D186" t="n">
        <v>0</v>
      </c>
      <c r="E186" t="n">
        <v>0</v>
      </c>
      <c r="F186" t="n">
        <v>0</v>
      </c>
      <c r="H186" t="n">
        <v>0</v>
      </c>
      <c r="I186" t="n">
        <v>0</v>
      </c>
      <c r="J186" t="n">
        <v>0</v>
      </c>
      <c r="K186" t="n">
        <v>0</v>
      </c>
      <c r="L186" t="n">
        <v>0</v>
      </c>
      <c r="M186" t="n">
        <v>0</v>
      </c>
      <c r="N186" t="n">
        <v>0</v>
      </c>
    </row>
    <row r="187">
      <c r="A187" t="inlineStr">
        <is>
          <t>expenses of the steward</t>
        </is>
      </c>
      <c r="B187" t="inlineStr">
        <is>
          <t>there as made clear by 2 sealed bulls 10 shilling 5pence.</t>
        </is>
      </c>
      <c r="C187" t="n">
        <v>0.52</v>
      </c>
      <c r="D187" t="n">
        <v>0</v>
      </c>
      <c r="E187" t="n">
        <v>10</v>
      </c>
      <c r="F187" t="n">
        <v>5</v>
      </c>
      <c r="H187" t="n">
        <v>0</v>
      </c>
      <c r="I187" t="n">
        <v>0</v>
      </c>
      <c r="J187" t="n">
        <v>0</v>
      </c>
      <c r="K187" t="n">
        <v>0</v>
      </c>
      <c r="L187" t="n">
        <v>0</v>
      </c>
      <c r="M187" t="n">
        <v>0</v>
      </c>
      <c r="N187" t="n">
        <v>0</v>
      </c>
    </row>
    <row r="188">
      <c r="A188" t="inlineStr">
        <is>
          <t>expenses of the steward</t>
        </is>
      </c>
      <c r="B188" t="inlineStr">
        <is>
          <t>total, 10 shilling 5pence.</t>
        </is>
      </c>
      <c r="C188" t="n">
        <v>0.52</v>
      </c>
      <c r="D188" t="n">
        <v>0</v>
      </c>
      <c r="E188" t="n">
        <v>10</v>
      </c>
      <c r="F188" t="n">
        <v>5</v>
      </c>
      <c r="H188" t="n">
        <v>0</v>
      </c>
      <c r="I188" t="n">
        <v>0</v>
      </c>
      <c r="J188" t="n">
        <v>0</v>
      </c>
      <c r="K188" t="n">
        <v>0</v>
      </c>
      <c r="L188" t="n">
        <v>0</v>
      </c>
      <c r="M188" t="n">
        <v>0</v>
      </c>
      <c r="N188" t="n">
        <v>0</v>
      </c>
    </row>
    <row r="189">
      <c r="A189" t="inlineStr">
        <is>
          <t>total of all expenses</t>
        </is>
      </c>
      <c r="B189" t="inlineStr">
        <is>
          <t>total of all expenses, £22 3 shilling 3pence.</t>
        </is>
      </c>
      <c r="C189" t="n">
        <v>22.16</v>
      </c>
      <c r="D189" t="n">
        <v>22</v>
      </c>
      <c r="E189" t="n">
        <v>3</v>
      </c>
      <c r="F189" t="n">
        <v>3</v>
      </c>
      <c r="H189" t="n">
        <v>0</v>
      </c>
      <c r="I189" t="n">
        <v>0</v>
      </c>
      <c r="J189" t="n">
        <v>0</v>
      </c>
      <c r="K189" t="n">
        <v>0</v>
      </c>
      <c r="L189" t="n">
        <v>0</v>
      </c>
      <c r="M189" t="n">
        <v>0</v>
      </c>
      <c r="N189" t="n">
        <v>0</v>
      </c>
    </row>
    <row r="190">
      <c r="A190" t="inlineStr">
        <is>
          <t>and he owes</t>
        </is>
      </c>
      <c r="B190" t="inlineStr">
        <is>
          <t>and he owes, £27 18 shilling.</t>
        </is>
      </c>
      <c r="C190" t="n">
        <v>27.9</v>
      </c>
      <c r="D190" t="n">
        <v>27</v>
      </c>
      <c r="E190" t="n">
        <v>18</v>
      </c>
      <c r="F190" t="n">
        <v>0</v>
      </c>
      <c r="H190" t="n">
        <v>0</v>
      </c>
      <c r="I190" t="n">
        <v>0</v>
      </c>
      <c r="J190" t="n">
        <v>0</v>
      </c>
      <c r="K190" t="n">
        <v>0</v>
      </c>
      <c r="L190" t="n">
        <v>0</v>
      </c>
      <c r="M190" t="n">
        <v>0</v>
      </c>
      <c r="N190" t="n">
        <v>0</v>
      </c>
    </row>
    <row r="191">
      <c r="A191" t="inlineStr">
        <is>
          <t>allowances without writ</t>
        </is>
      </c>
      <c r="B191" t="inlineStr">
        <is>
          <t>in allowance to the same for 2 shilling 6pence for various surcharges and disallowances in the present account.</t>
        </is>
      </c>
      <c r="C191" t="n">
        <v>0.12</v>
      </c>
      <c r="D191" t="n">
        <v>0</v>
      </c>
      <c r="E191" t="n">
        <v>2</v>
      </c>
      <c r="F191" t="n">
        <v>6</v>
      </c>
      <c r="H191" t="n">
        <v>0</v>
      </c>
      <c r="I191" t="n">
        <v>0</v>
      </c>
      <c r="J191" t="n">
        <v>0</v>
      </c>
      <c r="K191" t="n">
        <v>0</v>
      </c>
      <c r="L191" t="n">
        <v>0</v>
      </c>
      <c r="M191" t="n">
        <v>0</v>
      </c>
      <c r="N191" t="n">
        <v>0</v>
      </c>
    </row>
    <row r="192">
      <c r="A192" t="inlineStr">
        <is>
          <t>allowances without writ</t>
        </is>
      </c>
      <c r="B192" t="inlineStr">
        <is>
          <t>3 shilling for the expenses of the man driving 1 ox and 4 cows to esher with the pasturage bought for the same not allowed above.</t>
        </is>
      </c>
      <c r="C192" t="n">
        <v>0.15</v>
      </c>
      <c r="D192" t="n">
        <v>0</v>
      </c>
      <c r="E192" t="n">
        <v>3</v>
      </c>
      <c r="F192" t="n">
        <v>0</v>
      </c>
      <c r="H192" t="n">
        <v>0</v>
      </c>
      <c r="I192" t="n">
        <v>0</v>
      </c>
      <c r="J192" t="n">
        <v>0</v>
      </c>
      <c r="K192" t="n">
        <v>0</v>
      </c>
      <c r="L192" t="n">
        <v>0</v>
      </c>
      <c r="M192" t="n">
        <v>0</v>
      </c>
      <c r="N192" t="n">
        <v>0</v>
      </c>
    </row>
    <row r="193">
      <c r="A193" t="inlineStr">
        <is>
          <t>allowances without writ</t>
        </is>
      </c>
      <c r="B193" t="inlineStr">
        <is>
          <t>total, 5 shilling 6pence.</t>
        </is>
      </c>
      <c r="C193" t="n">
        <v>0.28</v>
      </c>
      <c r="D193" t="n">
        <v>0</v>
      </c>
      <c r="E193" t="n">
        <v>5</v>
      </c>
      <c r="F193" t="n">
        <v>6</v>
      </c>
      <c r="H193" t="n">
        <v>0</v>
      </c>
      <c r="I193" t="n">
        <v>0</v>
      </c>
      <c r="J193" t="n">
        <v>0</v>
      </c>
      <c r="K193" t="n">
        <v>0</v>
      </c>
      <c r="L193" t="n">
        <v>0</v>
      </c>
      <c r="M193" t="n">
        <v>0</v>
      </c>
      <c r="N193" t="n">
        <v>0</v>
      </c>
    </row>
    <row r="194">
      <c r="A194" t="inlineStr">
        <is>
          <t>allowances by writ</t>
        </is>
      </c>
      <c r="B194" t="inlineStr">
        <is>
          <t>in allowance to the same for £3 18 shilling 6pence delivered to john rede, trctiasurer of the lord's household, as the price of 8 oxen in october of the eleventh year of the reign of king henry the fourth (1409), for the provision of the said household, just as is made clear by the evidence of the same john addressed to the auditor of this account.</t>
        </is>
      </c>
      <c r="C194" t="n">
        <v>3.92</v>
      </c>
      <c r="D194" t="n">
        <v>3</v>
      </c>
      <c r="E194" t="n">
        <v>18</v>
      </c>
      <c r="F194" t="n">
        <v>6</v>
      </c>
      <c r="H194" t="n">
        <v>0</v>
      </c>
      <c r="I194" t="n">
        <v>0</v>
      </c>
      <c r="J194" t="n">
        <v>0</v>
      </c>
      <c r="K194" t="n">
        <v>0</v>
      </c>
      <c r="L194" t="n">
        <v>0</v>
      </c>
      <c r="M194" t="n">
        <v>0</v>
      </c>
      <c r="N194" t="n">
        <v>0</v>
      </c>
    </row>
    <row r="195">
      <c r="A195" t="inlineStr">
        <is>
          <t>allowances by writ</t>
        </is>
      </c>
      <c r="B195" t="inlineStr">
        <is>
          <t>total, £3 18 shilling 6pence.</t>
        </is>
      </c>
      <c r="C195" t="n">
        <v>3.92</v>
      </c>
      <c r="D195" t="n">
        <v>3</v>
      </c>
      <c r="E195" t="n">
        <v>18</v>
      </c>
      <c r="F195" t="n">
        <v>6</v>
      </c>
      <c r="H195" t="n">
        <v>0</v>
      </c>
      <c r="I195" t="n">
        <v>0</v>
      </c>
      <c r="J195" t="n">
        <v>0</v>
      </c>
      <c r="K195" t="n">
        <v>0</v>
      </c>
      <c r="L195" t="n">
        <v>0</v>
      </c>
      <c r="M195" t="n">
        <v>0</v>
      </c>
      <c r="N195" t="n">
        <v>0</v>
      </c>
    </row>
    <row r="196">
      <c r="A196" t="inlineStr">
        <is>
          <t>cash deliveries</t>
        </is>
      </c>
      <c r="B196" t="inlineStr">
        <is>
          <t>in cash delivered to john arnald', receiver of wolvesey, by tally, £19..</t>
        </is>
      </c>
      <c r="C196" t="n">
        <v>19</v>
      </c>
      <c r="D196" t="n">
        <v>19</v>
      </c>
      <c r="E196" t="n">
        <v>0</v>
      </c>
      <c r="F196" t="n">
        <v>0</v>
      </c>
      <c r="H196" t="n">
        <v>0</v>
      </c>
      <c r="I196" t="n">
        <v>0</v>
      </c>
      <c r="J196" t="n">
        <v>0</v>
      </c>
      <c r="K196" t="n">
        <v>0</v>
      </c>
      <c r="L196" t="n">
        <v>0</v>
      </c>
      <c r="M196" t="n">
        <v>0</v>
      </c>
      <c r="N196" t="n">
        <v>0</v>
      </c>
    </row>
    <row r="197">
      <c r="A197" t="inlineStr">
        <is>
          <t>cash deliveries</t>
        </is>
      </c>
      <c r="B197" t="inlineStr">
        <is>
          <t>total, £19..</t>
        </is>
      </c>
      <c r="C197" t="n">
        <v>19</v>
      </c>
      <c r="D197" t="n">
        <v>19</v>
      </c>
      <c r="E197" t="n">
        <v>0</v>
      </c>
      <c r="F197" t="n">
        <v>0</v>
      </c>
      <c r="H197" t="n">
        <v>0</v>
      </c>
      <c r="I197" t="n">
        <v>0</v>
      </c>
      <c r="J197" t="n">
        <v>0</v>
      </c>
      <c r="K197" t="n">
        <v>0</v>
      </c>
      <c r="L197" t="n">
        <v>0</v>
      </c>
      <c r="M197" t="n">
        <v>0</v>
      </c>
      <c r="N197" t="n">
        <v>0</v>
      </c>
    </row>
    <row r="198">
      <c r="A198" t="inlineStr">
        <is>
          <t>total of all allowances and cash deliveries</t>
        </is>
      </c>
      <c r="B198" t="inlineStr">
        <is>
          <t>total of all allowances and cash deliveries, £23 4 shilling.</t>
        </is>
      </c>
      <c r="C198" t="n">
        <v>23.2</v>
      </c>
      <c r="D198" t="n">
        <v>23</v>
      </c>
      <c r="E198" t="n">
        <v>4</v>
      </c>
      <c r="F198" t="n">
        <v>0</v>
      </c>
      <c r="H198" t="n">
        <v>0</v>
      </c>
      <c r="I198" t="n">
        <v>0</v>
      </c>
      <c r="J198" t="n">
        <v>0</v>
      </c>
      <c r="K198" t="n">
        <v>0</v>
      </c>
      <c r="L198" t="n">
        <v>0</v>
      </c>
      <c r="M198" t="n">
        <v>0</v>
      </c>
      <c r="N198" t="n">
        <v>0</v>
      </c>
    </row>
    <row r="199">
      <c r="A199" t="inlineStr">
        <is>
          <t>and he owes clear</t>
        </is>
      </c>
      <c r="B199" t="inlineStr">
        <is>
          <t>and he owes clear, £4 14 shilling, of which 2 shilling 9pence is in the hands of the escheator.</t>
        </is>
      </c>
      <c r="C199" t="n">
        <v>4.7</v>
      </c>
      <c r="D199" t="n">
        <v>4</v>
      </c>
      <c r="E199" t="n">
        <v>14</v>
      </c>
      <c r="F199" t="n">
        <v>0</v>
      </c>
      <c r="H199" t="n">
        <v>0</v>
      </c>
      <c r="I199" t="n">
        <v>0</v>
      </c>
      <c r="J199" t="n">
        <v>0</v>
      </c>
      <c r="K199" t="n">
        <v>0</v>
      </c>
      <c r="L199" t="n">
        <v>0</v>
      </c>
      <c r="M199" t="n">
        <v>0</v>
      </c>
      <c r="N199" t="n">
        <v>0</v>
      </c>
    </row>
    <row r="200">
      <c r="A200" t="inlineStr">
        <is>
          <t>wheat</t>
        </is>
      </c>
      <c r="B200" t="inlineStr">
        <is>
          <t>john balhorw, farmer there, answers for 47 acres as they lie, which measure 22 acres by the perch, sown in the field of la butteme with 6 quarters 1 bushels of wheat remaining..</t>
        </is>
      </c>
      <c r="C200" t="n">
        <v>0</v>
      </c>
      <c r="D200" t="n">
        <v>0</v>
      </c>
      <c r="E200" t="n">
        <v>0</v>
      </c>
      <c r="F200" t="n">
        <v>0</v>
      </c>
      <c r="G200" t="inlineStr">
        <is>
          <t>wheat</t>
        </is>
      </c>
      <c r="H200" t="n">
        <v>6</v>
      </c>
      <c r="I200" t="n">
        <v>1</v>
      </c>
      <c r="J200" t="n">
        <v>6.12</v>
      </c>
      <c r="K200" t="n">
        <v>6.12</v>
      </c>
      <c r="L200" t="n">
        <v>0</v>
      </c>
      <c r="M200" t="n">
        <v>6</v>
      </c>
      <c r="N200" t="n">
        <v>1</v>
      </c>
    </row>
    <row r="201">
      <c r="A201" t="inlineStr">
        <is>
          <t>wheat</t>
        </is>
      </c>
      <c r="B201" t="inlineStr">
        <is>
          <t>total, 47 acres.</t>
        </is>
      </c>
      <c r="C201" t="n">
        <v>0</v>
      </c>
      <c r="D201" t="n">
        <v>0</v>
      </c>
      <c r="E201" t="n">
        <v>0</v>
      </c>
      <c r="F201" t="n">
        <v>0</v>
      </c>
      <c r="H201" t="n">
        <v>0</v>
      </c>
      <c r="I201" t="n">
        <v>0</v>
      </c>
      <c r="J201" t="n">
        <v>0</v>
      </c>
      <c r="K201" t="n">
        <v>0</v>
      </c>
      <c r="L201" t="n">
        <v>0</v>
      </c>
      <c r="M201" t="n">
        <v>0</v>
      </c>
      <c r="N201" t="n">
        <v>0</v>
      </c>
    </row>
    <row r="202">
      <c r="A202" t="inlineStr">
        <is>
          <t>wheat</t>
        </is>
      </c>
      <c r="B202" t="inlineStr">
        <is>
          <t>47 acres sown with wheat, worth 3 shilling 4pence an acre, remain in the hands of the said farmer, to be handed back and restored at the end of his term of 5 years, this year being the third.</t>
        </is>
      </c>
      <c r="C202" t="n">
        <v>0.17</v>
      </c>
      <c r="D202" t="n">
        <v>0</v>
      </c>
      <c r="E202" t="n">
        <v>3</v>
      </c>
      <c r="F202" t="n">
        <v>4</v>
      </c>
      <c r="G202" t="inlineStr">
        <is>
          <t>wheat</t>
        </is>
      </c>
      <c r="H202" t="n">
        <v>0</v>
      </c>
      <c r="I202" t="n">
        <v>0</v>
      </c>
      <c r="J202" t="n">
        <v>0</v>
      </c>
      <c r="K202" t="n">
        <v>0</v>
      </c>
      <c r="L202" t="n">
        <v>0</v>
      </c>
      <c r="M202" t="n">
        <v>0</v>
      </c>
      <c r="N202" t="n">
        <v>0</v>
      </c>
    </row>
    <row r="203">
      <c r="A203" t="inlineStr">
        <is>
          <t>barley</t>
        </is>
      </c>
      <c r="B203" t="inlineStr">
        <is>
          <t>and for 39.5 acres 1 rood of land as they lie, which measure 18 acres 1 rood by the perch, sown in the field of la stupe and la butteme with 9 quarters 1 bushels of barley remaining..</t>
        </is>
      </c>
      <c r="C203" t="n">
        <v>0</v>
      </c>
      <c r="D203" t="n">
        <v>0</v>
      </c>
      <c r="E203" t="n">
        <v>0</v>
      </c>
      <c r="F203" t="n">
        <v>0</v>
      </c>
      <c r="G203" t="inlineStr">
        <is>
          <t>barley</t>
        </is>
      </c>
      <c r="H203" t="n">
        <v>9</v>
      </c>
      <c r="I203" t="n">
        <v>1</v>
      </c>
      <c r="J203" t="n">
        <v>9.119999999999999</v>
      </c>
      <c r="K203" t="n">
        <v>9.119999999999999</v>
      </c>
      <c r="L203" t="n">
        <v>0</v>
      </c>
      <c r="M203" t="n">
        <v>9</v>
      </c>
      <c r="N203" t="n">
        <v>1</v>
      </c>
    </row>
    <row r="204">
      <c r="A204" t="inlineStr">
        <is>
          <t>barley</t>
        </is>
      </c>
      <c r="B204" t="inlineStr">
        <is>
          <t>total, 39.5 acres 1 rood.</t>
        </is>
      </c>
      <c r="C204" t="n">
        <v>0</v>
      </c>
      <c r="D204" t="n">
        <v>0</v>
      </c>
      <c r="E204" t="n">
        <v>0</v>
      </c>
      <c r="F204" t="n">
        <v>0</v>
      </c>
      <c r="H204" t="n">
        <v>0</v>
      </c>
      <c r="I204" t="n">
        <v>0</v>
      </c>
      <c r="J204" t="n">
        <v>0</v>
      </c>
      <c r="K204" t="n">
        <v>0</v>
      </c>
      <c r="L204" t="n">
        <v>0</v>
      </c>
      <c r="M204" t="n">
        <v>0</v>
      </c>
      <c r="N204" t="n">
        <v>0</v>
      </c>
    </row>
    <row r="205">
      <c r="A205" t="inlineStr">
        <is>
          <t>barley</t>
        </is>
      </c>
      <c r="B205" t="inlineStr">
        <is>
          <t>39.5 acres 1 rood sown with barley, worth 2 shilling 6pence an acre, remain in the hands of the said farmer, to be handed back and restored as before.</t>
        </is>
      </c>
      <c r="C205" t="n">
        <v>0.12</v>
      </c>
      <c r="D205" t="n">
        <v>0</v>
      </c>
      <c r="E205" t="n">
        <v>2</v>
      </c>
      <c r="F205" t="n">
        <v>6</v>
      </c>
      <c r="G205" t="inlineStr">
        <is>
          <t>barley</t>
        </is>
      </c>
      <c r="H205" t="n">
        <v>0</v>
      </c>
      <c r="I205" t="n">
        <v>0</v>
      </c>
      <c r="J205" t="n">
        <v>0</v>
      </c>
      <c r="K205" t="n">
        <v>0</v>
      </c>
      <c r="L205" t="n">
        <v>0</v>
      </c>
      <c r="M205" t="n">
        <v>0</v>
      </c>
      <c r="N205" t="n">
        <v>0</v>
      </c>
    </row>
    <row r="206">
      <c r="A206" t="inlineStr">
        <is>
          <t>oats</t>
        </is>
      </c>
      <c r="B206" t="inlineStr">
        <is>
          <t>and for 23 acres of land as they lie, which measure 10 acres by the perch, sown in the field of la stupe and middelfelde with 5 quarters of oats remaining, worth 1 shilling 6pence an acre..</t>
        </is>
      </c>
      <c r="C206" t="n">
        <v>0.08</v>
      </c>
      <c r="D206" t="n">
        <v>0</v>
      </c>
      <c r="E206" t="n">
        <v>1</v>
      </c>
      <c r="F206" t="n">
        <v>6</v>
      </c>
      <c r="G206" t="inlineStr">
        <is>
          <t>oats</t>
        </is>
      </c>
      <c r="H206" t="n">
        <v>5</v>
      </c>
      <c r="I206" t="n">
        <v>0</v>
      </c>
      <c r="J206" t="n">
        <v>5</v>
      </c>
      <c r="K206" t="n">
        <v>5</v>
      </c>
      <c r="L206" t="n">
        <v>0</v>
      </c>
      <c r="M206" t="n">
        <v>5</v>
      </c>
      <c r="N206" t="n">
        <v>0</v>
      </c>
    </row>
    <row r="207">
      <c r="A207" t="inlineStr">
        <is>
          <t>oats</t>
        </is>
      </c>
      <c r="B207" t="inlineStr">
        <is>
          <t>total, 23 acres.</t>
        </is>
      </c>
      <c r="C207" t="n">
        <v>0</v>
      </c>
      <c r="D207" t="n">
        <v>0</v>
      </c>
      <c r="E207" t="n">
        <v>0</v>
      </c>
      <c r="F207" t="n">
        <v>0</v>
      </c>
      <c r="H207" t="n">
        <v>0</v>
      </c>
      <c r="I207" t="n">
        <v>0</v>
      </c>
      <c r="J207" t="n">
        <v>0</v>
      </c>
      <c r="K207" t="n">
        <v>0</v>
      </c>
      <c r="L207" t="n">
        <v>0</v>
      </c>
      <c r="M207" t="n">
        <v>0</v>
      </c>
      <c r="N207" t="n">
        <v>0</v>
      </c>
    </row>
    <row r="208">
      <c r="A208" t="inlineStr">
        <is>
          <t>oats</t>
        </is>
      </c>
      <c r="B208" t="inlineStr">
        <is>
          <t>23 acres sown with oats, worth 1 shilling 6pence an acre, remain in the hands of the said farmer, to be handed back and restored as before.</t>
        </is>
      </c>
      <c r="C208" t="n">
        <v>0.08</v>
      </c>
      <c r="D208" t="n">
        <v>0</v>
      </c>
      <c r="E208" t="n">
        <v>1</v>
      </c>
      <c r="F208" t="n">
        <v>6</v>
      </c>
      <c r="G208" t="inlineStr">
        <is>
          <t>oats</t>
        </is>
      </c>
      <c r="H208" t="n">
        <v>0</v>
      </c>
      <c r="I208" t="n">
        <v>0</v>
      </c>
      <c r="J208" t="n">
        <v>0</v>
      </c>
      <c r="K208" t="n">
        <v>0</v>
      </c>
      <c r="L208" t="n">
        <v>0</v>
      </c>
      <c r="M208" t="n">
        <v>0</v>
      </c>
      <c r="N208" t="n">
        <v>0</v>
      </c>
    </row>
    <row r="209">
      <c r="A209" t="inlineStr">
        <is>
          <t>stock</t>
        </is>
      </c>
      <c r="B209" t="inlineStr">
        <is>
          <t>horses: 3 remain.</t>
        </is>
      </c>
      <c r="C209" t="n">
        <v>0</v>
      </c>
      <c r="D209" t="n">
        <v>0</v>
      </c>
      <c r="E209" t="n">
        <v>0</v>
      </c>
      <c r="F209" t="n">
        <v>0</v>
      </c>
      <c r="H209" t="n">
        <v>0</v>
      </c>
      <c r="I209" t="n">
        <v>0</v>
      </c>
      <c r="J209" t="n">
        <v>0</v>
      </c>
      <c r="K209" t="n">
        <v>0</v>
      </c>
      <c r="L209" t="n">
        <v>0</v>
      </c>
      <c r="M209" t="n">
        <v>0</v>
      </c>
      <c r="N209" t="n">
        <v>0</v>
      </c>
    </row>
    <row r="210">
      <c r="A210" t="inlineStr">
        <is>
          <t>stock</t>
        </is>
      </c>
      <c r="B210" t="inlineStr">
        <is>
          <t>total, 3. 3 remain, worth £1, in the hands of the aforesaid farmer, to be handed back and restored as before or the value of the same at the choice of the lord.</t>
        </is>
      </c>
      <c r="C210" t="n">
        <v>1</v>
      </c>
      <c r="D210" t="n">
        <v>1</v>
      </c>
      <c r="E210" t="n">
        <v>0</v>
      </c>
      <c r="F210" t="n">
        <v>0</v>
      </c>
      <c r="H210" t="n">
        <v>0</v>
      </c>
      <c r="I210" t="n">
        <v>0</v>
      </c>
      <c r="J210" t="n">
        <v>0</v>
      </c>
      <c r="K210" t="n">
        <v>0</v>
      </c>
      <c r="L210" t="n">
        <v>0</v>
      </c>
      <c r="M210" t="n">
        <v>0</v>
      </c>
      <c r="N210" t="n">
        <v>0</v>
      </c>
    </row>
    <row r="211">
      <c r="A211" t="inlineStr">
        <is>
          <t>stock</t>
        </is>
      </c>
      <c r="B211" t="inlineStr">
        <is>
          <t>oxen: 10 remain.</t>
        </is>
      </c>
      <c r="C211" t="n">
        <v>0</v>
      </c>
      <c r="D211" t="n">
        <v>0</v>
      </c>
      <c r="E211" t="n">
        <v>0</v>
      </c>
      <c r="F211" t="n">
        <v>0</v>
      </c>
      <c r="H211" t="n">
        <v>0</v>
      </c>
      <c r="I211" t="n">
        <v>0</v>
      </c>
      <c r="J211" t="n">
        <v>0</v>
      </c>
      <c r="K211" t="n">
        <v>0</v>
      </c>
      <c r="L211" t="n">
        <v>0</v>
      </c>
      <c r="M211" t="n">
        <v>0</v>
      </c>
      <c r="N211" t="n">
        <v>0</v>
      </c>
    </row>
    <row r="212">
      <c r="A212" t="inlineStr">
        <is>
          <t>stock</t>
        </is>
      </c>
      <c r="B212" t="inlineStr">
        <is>
          <t>total, 10. 10 remain, worth £6, in the hands of the said farmer, to be handed back and restored as before.</t>
        </is>
      </c>
      <c r="C212" t="n">
        <v>6</v>
      </c>
      <c r="D212" t="n">
        <v>6</v>
      </c>
      <c r="E212" t="n">
        <v>0</v>
      </c>
      <c r="F212" t="n">
        <v>0</v>
      </c>
      <c r="H212" t="n">
        <v>0</v>
      </c>
      <c r="I212" t="n">
        <v>0</v>
      </c>
      <c r="J212" t="n">
        <v>0</v>
      </c>
      <c r="K212" t="n">
        <v>0</v>
      </c>
      <c r="L212" t="n">
        <v>0</v>
      </c>
      <c r="M212" t="n">
        <v>0</v>
      </c>
      <c r="N212" t="n">
        <v>0</v>
      </c>
    </row>
    <row r="213">
      <c r="A213" t="inlineStr">
        <is>
          <t>stock</t>
        </is>
      </c>
      <c r="B213" t="inlineStr">
        <is>
          <t>bulls: 2 remain.</t>
        </is>
      </c>
      <c r="C213" t="n">
        <v>0</v>
      </c>
      <c r="D213" t="n">
        <v>0</v>
      </c>
      <c r="E213" t="n">
        <v>0</v>
      </c>
      <c r="F213" t="n">
        <v>0</v>
      </c>
      <c r="H213" t="n">
        <v>0</v>
      </c>
      <c r="I213" t="n">
        <v>0</v>
      </c>
      <c r="J213" t="n">
        <v>0</v>
      </c>
      <c r="K213" t="n">
        <v>0</v>
      </c>
      <c r="L213" t="n">
        <v>0</v>
      </c>
      <c r="M213" t="n">
        <v>0</v>
      </c>
      <c r="N213" t="n">
        <v>0</v>
      </c>
    </row>
    <row r="214">
      <c r="A214" t="inlineStr">
        <is>
          <t>stock</t>
        </is>
      </c>
      <c r="B214" t="inlineStr">
        <is>
          <t>total, 2. 2 remain, worth 16 shilling, in the hands of the said farmer, to be handed back and restored as before.</t>
        </is>
      </c>
      <c r="C214" t="n">
        <v>0.8</v>
      </c>
      <c r="D214" t="n">
        <v>0</v>
      </c>
      <c r="E214" t="n">
        <v>16</v>
      </c>
      <c r="F214" t="n">
        <v>0</v>
      </c>
      <c r="H214" t="n">
        <v>0</v>
      </c>
      <c r="I214" t="n">
        <v>0</v>
      </c>
      <c r="J214" t="n">
        <v>0</v>
      </c>
      <c r="K214" t="n">
        <v>0</v>
      </c>
      <c r="L214" t="n">
        <v>0</v>
      </c>
      <c r="M214" t="n">
        <v>0</v>
      </c>
      <c r="N214" t="n">
        <v>0</v>
      </c>
    </row>
    <row r="215">
      <c r="A215" t="inlineStr">
        <is>
          <t>stock</t>
        </is>
      </c>
      <c r="B215" t="inlineStr">
        <is>
          <t>cows: 19 remain.</t>
        </is>
      </c>
      <c r="C215" t="n">
        <v>0</v>
      </c>
      <c r="D215" t="n">
        <v>0</v>
      </c>
      <c r="E215" t="n">
        <v>0</v>
      </c>
      <c r="F215" t="n">
        <v>0</v>
      </c>
      <c r="H215" t="n">
        <v>0</v>
      </c>
      <c r="I215" t="n">
        <v>0</v>
      </c>
      <c r="J215" t="n">
        <v>0</v>
      </c>
      <c r="K215" t="n">
        <v>0</v>
      </c>
      <c r="L215" t="n">
        <v>0</v>
      </c>
      <c r="M215" t="n">
        <v>0</v>
      </c>
      <c r="N215" t="n">
        <v>0</v>
      </c>
    </row>
    <row r="216">
      <c r="A216" t="inlineStr">
        <is>
          <t>stock</t>
        </is>
      </c>
      <c r="B216" t="inlineStr">
        <is>
          <t>total, 19. 19 remain, worth 8 shilling each, in the hands of the said farmer, to be handed back and restored as before.</t>
        </is>
      </c>
      <c r="C216" t="n">
        <v>0.4</v>
      </c>
      <c r="D216" t="n">
        <v>0</v>
      </c>
      <c r="E216" t="n">
        <v>8</v>
      </c>
      <c r="F216" t="n">
        <v>0</v>
      </c>
      <c r="H216" t="n">
        <v>0</v>
      </c>
      <c r="I216" t="n">
        <v>0</v>
      </c>
      <c r="J216" t="n">
        <v>0</v>
      </c>
      <c r="K216" t="n">
        <v>0</v>
      </c>
      <c r="L216" t="n">
        <v>0</v>
      </c>
      <c r="M216" t="n">
        <v>0</v>
      </c>
      <c r="N216" t="n">
        <v>0</v>
      </c>
    </row>
    <row r="217">
      <c r="A217" t="inlineStr">
        <is>
          <t>stock</t>
        </is>
      </c>
      <c r="B217" t="inlineStr">
        <is>
          <t>calves: 8 remain.</t>
        </is>
      </c>
      <c r="C217" t="n">
        <v>0</v>
      </c>
      <c r="D217" t="n">
        <v>0</v>
      </c>
      <c r="E217" t="n">
        <v>0</v>
      </c>
      <c r="F217" t="n">
        <v>0</v>
      </c>
      <c r="H217" t="n">
        <v>0</v>
      </c>
      <c r="I217" t="n">
        <v>0</v>
      </c>
      <c r="J217" t="n">
        <v>0</v>
      </c>
      <c r="K217" t="n">
        <v>0</v>
      </c>
      <c r="L217" t="n">
        <v>0</v>
      </c>
      <c r="M217" t="n">
        <v>0</v>
      </c>
      <c r="N217" t="n">
        <v>0</v>
      </c>
    </row>
    <row r="218">
      <c r="A218" t="inlineStr">
        <is>
          <t>stock</t>
        </is>
      </c>
      <c r="B218" t="inlineStr">
        <is>
          <t>total, 8. 8 remain, worth 3 shilling each, in the hands of the said farmer, to be handed back and restored as before.</t>
        </is>
      </c>
      <c r="C218" t="n">
        <v>0.15</v>
      </c>
      <c r="D218" t="n">
        <v>0</v>
      </c>
      <c r="E218" t="n">
        <v>3</v>
      </c>
      <c r="F218" t="n">
        <v>0</v>
      </c>
      <c r="H218" t="n">
        <v>0</v>
      </c>
      <c r="I218" t="n">
        <v>0</v>
      </c>
      <c r="J218" t="n">
        <v>0</v>
      </c>
      <c r="K218" t="n">
        <v>0</v>
      </c>
      <c r="L218" t="n">
        <v>0</v>
      </c>
      <c r="M218" t="n">
        <v>0</v>
      </c>
      <c r="N218" t="n">
        <v>0</v>
      </c>
    </row>
    <row r="219">
      <c r="A219" t="inlineStr">
        <is>
          <t>stock</t>
        </is>
      </c>
      <c r="B219" t="inlineStr">
        <is>
          <t>wethers: 446 remain.</t>
        </is>
      </c>
      <c r="C219" t="n">
        <v>0</v>
      </c>
      <c r="D219" t="n">
        <v>0</v>
      </c>
      <c r="E219" t="n">
        <v>0</v>
      </c>
      <c r="F219" t="n">
        <v>0</v>
      </c>
      <c r="H219" t="n">
        <v>0</v>
      </c>
      <c r="I219" t="n">
        <v>0</v>
      </c>
      <c r="J219" t="n">
        <v>0</v>
      </c>
      <c r="K219" t="n">
        <v>0</v>
      </c>
      <c r="L219" t="n">
        <v>0</v>
      </c>
      <c r="M219" t="n">
        <v>0</v>
      </c>
      <c r="N219" t="n">
        <v>0</v>
      </c>
    </row>
    <row r="220">
      <c r="A220" t="inlineStr">
        <is>
          <t>stock</t>
        </is>
      </c>
      <c r="B220" t="inlineStr">
        <is>
          <t>37 added from hoggs below after shearing.</t>
        </is>
      </c>
      <c r="C220" t="n">
        <v>0</v>
      </c>
      <c r="D220" t="n">
        <v>0</v>
      </c>
      <c r="E220" t="n">
        <v>0</v>
      </c>
      <c r="F220" t="n">
        <v>0</v>
      </c>
      <c r="H220" t="n">
        <v>0</v>
      </c>
      <c r="I220" t="n">
        <v>0</v>
      </c>
      <c r="J220" t="n">
        <v>0</v>
      </c>
      <c r="K220" t="n">
        <v>0</v>
      </c>
      <c r="L220" t="n">
        <v>0</v>
      </c>
      <c r="M220" t="n">
        <v>0</v>
      </c>
      <c r="N220" t="n">
        <v>0</v>
      </c>
    </row>
    <row r="221">
      <c r="A221" t="inlineStr">
        <is>
          <t>stock</t>
        </is>
      </c>
      <c r="B221" t="inlineStr">
        <is>
          <t>total, 483. 6 in murrain before shearing, as attested by an examination of the court rolls, and 2 after shearing.</t>
        </is>
      </c>
      <c r="C221" t="n">
        <v>0</v>
      </c>
      <c r="D221" t="n">
        <v>0</v>
      </c>
      <c r="E221" t="n">
        <v>0</v>
      </c>
      <c r="F221" t="n">
        <v>0</v>
      </c>
      <c r="H221" t="n">
        <v>0</v>
      </c>
      <c r="I221" t="n">
        <v>0</v>
      </c>
      <c r="J221" t="n">
        <v>0</v>
      </c>
      <c r="K221" t="n">
        <v>0</v>
      </c>
      <c r="L221" t="n">
        <v>0</v>
      </c>
      <c r="M221" t="n">
        <v>0</v>
      </c>
      <c r="N221" t="n">
        <v>0</v>
      </c>
    </row>
    <row r="222">
      <c r="A222" t="inlineStr">
        <is>
          <t>stock</t>
        </is>
      </c>
      <c r="B222" t="inlineStr">
        <is>
          <t>27 kebbs sold within before shearing.</t>
        </is>
      </c>
      <c r="C222" t="n">
        <v>0</v>
      </c>
      <c r="D222" t="n">
        <v>0</v>
      </c>
      <c r="E222" t="n">
        <v>0</v>
      </c>
      <c r="F222" t="n">
        <v>0</v>
      </c>
      <c r="H222" t="n">
        <v>0</v>
      </c>
      <c r="I222" t="n">
        <v>0</v>
      </c>
      <c r="J222" t="n">
        <v>0</v>
      </c>
      <c r="K222" t="n">
        <v>0</v>
      </c>
      <c r="L222" t="n">
        <v>0</v>
      </c>
      <c r="M222" t="n">
        <v>0</v>
      </c>
      <c r="N222" t="n">
        <v>0</v>
      </c>
    </row>
    <row r="223">
      <c r="A223" t="inlineStr">
        <is>
          <t>stock</t>
        </is>
      </c>
      <c r="B223" t="inlineStr">
        <is>
          <t>5 sold at the audit for 12 shilling, 4 of them before shearing.</t>
        </is>
      </c>
      <c r="C223" t="n">
        <v>0.6</v>
      </c>
      <c r="D223" t="n">
        <v>0</v>
      </c>
      <c r="E223" t="n">
        <v>12</v>
      </c>
      <c r="F223" t="n">
        <v>0</v>
      </c>
      <c r="H223" t="n">
        <v>0</v>
      </c>
      <c r="I223" t="n">
        <v>0</v>
      </c>
      <c r="J223" t="n">
        <v>0</v>
      </c>
      <c r="K223" t="n">
        <v>0</v>
      </c>
      <c r="L223" t="n">
        <v>0</v>
      </c>
      <c r="M223" t="n">
        <v>0</v>
      </c>
      <c r="N223" t="n">
        <v>0</v>
      </c>
    </row>
    <row r="224">
      <c r="A224" t="inlineStr">
        <is>
          <t>stock</t>
        </is>
      </c>
      <c r="B224" t="inlineStr">
        <is>
          <t>total, 40. 443 remain.</t>
        </is>
      </c>
      <c r="C224" t="n">
        <v>0</v>
      </c>
      <c r="D224" t="n">
        <v>0</v>
      </c>
      <c r="E224" t="n">
        <v>0</v>
      </c>
      <c r="F224" t="n">
        <v>0</v>
      </c>
      <c r="H224" t="n">
        <v>0</v>
      </c>
      <c r="I224" t="n">
        <v>0</v>
      </c>
      <c r="J224" t="n">
        <v>0</v>
      </c>
      <c r="K224" t="n">
        <v>0</v>
      </c>
      <c r="L224" t="n">
        <v>0</v>
      </c>
      <c r="M224" t="n">
        <v>0</v>
      </c>
      <c r="N224" t="n">
        <v>0</v>
      </c>
    </row>
    <row r="225">
      <c r="A225" t="inlineStr">
        <is>
          <t>stock</t>
        </is>
      </c>
      <c r="B225" t="inlineStr">
        <is>
          <t>hoggs: 37 bought from the reeve of ecchinswell before shearing.</t>
        </is>
      </c>
      <c r="C225" t="n">
        <v>0</v>
      </c>
      <c r="D225" t="n">
        <v>0</v>
      </c>
      <c r="E225" t="n">
        <v>0</v>
      </c>
      <c r="F225" t="n">
        <v>0</v>
      </c>
      <c r="H225" t="n">
        <v>0</v>
      </c>
      <c r="I225" t="n">
        <v>0</v>
      </c>
      <c r="J225" t="n">
        <v>0</v>
      </c>
      <c r="K225" t="n">
        <v>0</v>
      </c>
      <c r="L225" t="n">
        <v>0</v>
      </c>
      <c r="M225" t="n">
        <v>0</v>
      </c>
      <c r="N225" t="n">
        <v>0</v>
      </c>
    </row>
    <row r="226">
      <c r="A226" t="inlineStr">
        <is>
          <t>stock</t>
        </is>
      </c>
      <c r="B226" t="inlineStr">
        <is>
          <t>total, 37. added to the wethers above after shearing.</t>
        </is>
      </c>
      <c r="C226" t="n">
        <v>0</v>
      </c>
      <c r="D226" t="n">
        <v>0</v>
      </c>
      <c r="E226" t="n">
        <v>0</v>
      </c>
      <c r="F226" t="n">
        <v>0</v>
      </c>
      <c r="H226" t="n">
        <v>0</v>
      </c>
      <c r="I226" t="n">
        <v>0</v>
      </c>
      <c r="J226" t="n">
        <v>0</v>
      </c>
      <c r="K226" t="n">
        <v>0</v>
      </c>
      <c r="L226" t="n">
        <v>0</v>
      </c>
      <c r="M226" t="n">
        <v>0</v>
      </c>
      <c r="N226" t="n">
        <v>0</v>
      </c>
    </row>
    <row r="227">
      <c r="A227" t="inlineStr">
        <is>
          <t>stock</t>
        </is>
      </c>
      <c r="B227" t="inlineStr">
        <is>
          <t>none remain.</t>
        </is>
      </c>
      <c r="C227" t="n">
        <v>0</v>
      </c>
      <c r="D227" t="n">
        <v>0</v>
      </c>
      <c r="E227" t="n">
        <v>0</v>
      </c>
      <c r="F227" t="n">
        <v>0</v>
      </c>
      <c r="H227" t="n">
        <v>0</v>
      </c>
      <c r="I227" t="n">
        <v>0</v>
      </c>
      <c r="J227" t="n">
        <v>0</v>
      </c>
      <c r="K227" t="n">
        <v>0</v>
      </c>
      <c r="L227" t="n">
        <v>0</v>
      </c>
      <c r="M227" t="n">
        <v>0</v>
      </c>
      <c r="N227" t="n">
        <v>0</v>
      </c>
    </row>
    <row r="228">
      <c r="A228" t="inlineStr">
        <is>
          <t>stock</t>
        </is>
      </c>
      <c r="B228" t="inlineStr">
        <is>
          <t>coarse wool: 409 fleeces from wethers and 37 from hoggs produced at the shearing this year, answering for an average of 1.25 lb a fleece, plus 1.75 lb in all.</t>
        </is>
      </c>
      <c r="C228" t="n">
        <v>0</v>
      </c>
      <c r="D228" t="n">
        <v>0</v>
      </c>
      <c r="E228" t="n">
        <v>0</v>
      </c>
      <c r="F228" t="n">
        <v>0</v>
      </c>
      <c r="H228" t="n">
        <v>0</v>
      </c>
      <c r="I228" t="n">
        <v>0</v>
      </c>
      <c r="J228" t="n">
        <v>0</v>
      </c>
      <c r="K228" t="n">
        <v>0</v>
      </c>
      <c r="L228" t="n">
        <v>0</v>
      </c>
      <c r="M228" t="n">
        <v>0</v>
      </c>
      <c r="N228" t="n">
        <v>0</v>
      </c>
    </row>
    <row r="229">
      <c r="A229" t="inlineStr">
        <is>
          <t>stock</t>
        </is>
      </c>
      <c r="B229" t="inlineStr">
        <is>
          <t>total, 446. 44 in tithe.</t>
        </is>
      </c>
      <c r="C229" t="n">
        <v>0</v>
      </c>
      <c r="D229" t="n">
        <v>0</v>
      </c>
      <c r="E229" t="n">
        <v>0</v>
      </c>
      <c r="F229" t="n">
        <v>0</v>
      </c>
      <c r="H229" t="n">
        <v>0</v>
      </c>
      <c r="I229" t="n">
        <v>0</v>
      </c>
      <c r="J229" t="n">
        <v>0</v>
      </c>
      <c r="K229" t="n">
        <v>0</v>
      </c>
      <c r="L229" t="n">
        <v>0</v>
      </c>
      <c r="M229" t="n">
        <v>0</v>
      </c>
      <c r="N229" t="n">
        <v>0</v>
      </c>
    </row>
    <row r="230">
      <c r="A230" t="inlineStr">
        <is>
          <t>stock</t>
        </is>
      </c>
      <c r="B230" t="inlineStr">
        <is>
          <t>402 delivered to the treasurer of wolvesey, weighing 1 sack 20 cloves..</t>
        </is>
      </c>
      <c r="C230" t="n">
        <v>0</v>
      </c>
      <c r="D230" t="n">
        <v>0</v>
      </c>
      <c r="E230" t="n">
        <v>0</v>
      </c>
      <c r="F230" t="n">
        <v>0</v>
      </c>
      <c r="H230" t="n">
        <v>0</v>
      </c>
      <c r="I230" t="n">
        <v>0</v>
      </c>
      <c r="J230" t="n">
        <v>0</v>
      </c>
      <c r="K230" t="n">
        <v>0</v>
      </c>
      <c r="L230" t="n">
        <v>0</v>
      </c>
      <c r="M230" t="n">
        <v>0</v>
      </c>
      <c r="N230" t="n">
        <v>0</v>
      </c>
    </row>
    <row r="231">
      <c r="A231" t="inlineStr">
        <is>
          <t>stock</t>
        </is>
      </c>
      <c r="B231" t="inlineStr">
        <is>
          <t>woolskins: 6 from wethers in murrain before shearing.</t>
        </is>
      </c>
      <c r="C231" t="n">
        <v>0</v>
      </c>
      <c r="D231" t="n">
        <v>0</v>
      </c>
      <c r="E231" t="n">
        <v>0</v>
      </c>
      <c r="F231" t="n">
        <v>0</v>
      </c>
      <c r="H231" t="n">
        <v>0</v>
      </c>
      <c r="I231" t="n">
        <v>0</v>
      </c>
      <c r="J231" t="n">
        <v>0</v>
      </c>
      <c r="K231" t="n">
        <v>0</v>
      </c>
      <c r="L231" t="n">
        <v>0</v>
      </c>
      <c r="M231" t="n">
        <v>0</v>
      </c>
      <c r="N231" t="n">
        <v>0</v>
      </c>
    </row>
    <row r="232">
      <c r="A232" t="inlineStr">
        <is>
          <t>stock</t>
        </is>
      </c>
      <c r="B232" t="inlineStr">
        <is>
          <t>total, 6. sold within.</t>
        </is>
      </c>
      <c r="C232" t="n">
        <v>0</v>
      </c>
      <c r="D232" t="n">
        <v>0</v>
      </c>
      <c r="E232" t="n">
        <v>0</v>
      </c>
      <c r="F232" t="n">
        <v>0</v>
      </c>
      <c r="H232" t="n">
        <v>0</v>
      </c>
      <c r="I232" t="n">
        <v>0</v>
      </c>
      <c r="J232" t="n">
        <v>0</v>
      </c>
      <c r="K232" t="n">
        <v>0</v>
      </c>
      <c r="L232" t="n">
        <v>0</v>
      </c>
      <c r="M232" t="n">
        <v>0</v>
      </c>
      <c r="N232" t="n">
        <v>0</v>
      </c>
    </row>
    <row r="233">
      <c r="A233" t="inlineStr">
        <is>
          <t>stock</t>
        </is>
      </c>
      <c r="B233" t="inlineStr">
        <is>
          <t>none remain.</t>
        </is>
      </c>
      <c r="C233" t="n">
        <v>0</v>
      </c>
      <c r="D233" t="n">
        <v>0</v>
      </c>
      <c r="E233" t="n">
        <v>0</v>
      </c>
      <c r="F233" t="n">
        <v>0</v>
      </c>
      <c r="H233" t="n">
        <v>0</v>
      </c>
      <c r="I233" t="n">
        <v>0</v>
      </c>
      <c r="J233" t="n">
        <v>0</v>
      </c>
      <c r="K233" t="n">
        <v>0</v>
      </c>
      <c r="L233" t="n">
        <v>0</v>
      </c>
      <c r="M233" t="n">
        <v>0</v>
      </c>
      <c r="N233" t="n">
        <v>0</v>
      </c>
    </row>
    <row r="234">
      <c r="A234" t="inlineStr">
        <is>
          <t>stock</t>
        </is>
      </c>
      <c r="B234" t="inlineStr">
        <is>
          <t>bare skins: 2 from wethers in murrain after shearing.</t>
        </is>
      </c>
      <c r="C234" t="n">
        <v>0</v>
      </c>
      <c r="D234" t="n">
        <v>0</v>
      </c>
      <c r="E234" t="n">
        <v>0</v>
      </c>
      <c r="F234" t="n">
        <v>0</v>
      </c>
      <c r="H234" t="n">
        <v>0</v>
      </c>
      <c r="I234" t="n">
        <v>0</v>
      </c>
      <c r="J234" t="n">
        <v>0</v>
      </c>
      <c r="K234" t="n">
        <v>0</v>
      </c>
      <c r="L234" t="n">
        <v>0</v>
      </c>
      <c r="M234" t="n">
        <v>0</v>
      </c>
      <c r="N234" t="n">
        <v>0</v>
      </c>
    </row>
    <row r="235">
      <c r="A235" t="inlineStr">
        <is>
          <t>stock</t>
        </is>
      </c>
      <c r="B235" t="inlineStr">
        <is>
          <t>sold within.</t>
        </is>
      </c>
      <c r="C235" t="n">
        <v>0</v>
      </c>
      <c r="D235" t="n">
        <v>0</v>
      </c>
      <c r="E235" t="n">
        <v>0</v>
      </c>
      <c r="F235" t="n">
        <v>0</v>
      </c>
      <c r="H235" t="n">
        <v>0</v>
      </c>
      <c r="I235" t="n">
        <v>0</v>
      </c>
      <c r="J235" t="n">
        <v>0</v>
      </c>
      <c r="K235" t="n">
        <v>0</v>
      </c>
      <c r="L235" t="n">
        <v>0</v>
      </c>
      <c r="M235" t="n">
        <v>0</v>
      </c>
      <c r="N235" t="n">
        <v>0</v>
      </c>
    </row>
    <row r="236">
      <c r="A236" t="inlineStr">
        <is>
          <t>stock</t>
        </is>
      </c>
      <c r="B236" t="inlineStr">
        <is>
          <t>none remain..</t>
        </is>
      </c>
      <c r="C236" t="n">
        <v>0</v>
      </c>
      <c r="D236" t="n">
        <v>0</v>
      </c>
      <c r="E236" t="n">
        <v>0</v>
      </c>
      <c r="F236" t="n">
        <v>0</v>
      </c>
      <c r="H236" t="n">
        <v>0</v>
      </c>
      <c r="I236" t="n">
        <v>0</v>
      </c>
      <c r="J236" t="n">
        <v>0</v>
      </c>
      <c r="K236" t="n">
        <v>0</v>
      </c>
      <c r="L236" t="n">
        <v>0</v>
      </c>
      <c r="M236" t="n">
        <v>0</v>
      </c>
      <c r="N236" t="n">
        <v>0</v>
      </c>
    </row>
    <row r="237">
      <c r="A237" t="inlineStr">
        <is>
          <t>stock</t>
        </is>
      </c>
      <c r="B237" t="inlineStr">
        <is>
          <t>geese: 1 gander and 4 breeding geese remain.</t>
        </is>
      </c>
      <c r="C237" t="n">
        <v>0</v>
      </c>
      <c r="D237" t="n">
        <v>0</v>
      </c>
      <c r="E237" t="n">
        <v>0</v>
      </c>
      <c r="F237" t="n">
        <v>0</v>
      </c>
      <c r="H237" t="n">
        <v>0</v>
      </c>
      <c r="I237" t="n">
        <v>0</v>
      </c>
      <c r="J237" t="n">
        <v>0</v>
      </c>
      <c r="K237" t="n">
        <v>0</v>
      </c>
      <c r="L237" t="n">
        <v>0</v>
      </c>
      <c r="M237" t="n">
        <v>0</v>
      </c>
      <c r="N237" t="n">
        <v>0</v>
      </c>
    </row>
    <row r="238">
      <c r="A238" t="inlineStr">
        <is>
          <t>stock</t>
        </is>
      </c>
      <c r="B238" t="inlineStr">
        <is>
          <t>they remain, worth 2 shilling 6pence, in the hands of the said farmer, to be handed back and restored as before.</t>
        </is>
      </c>
      <c r="C238" t="n">
        <v>0.12</v>
      </c>
      <c r="D238" t="n">
        <v>0</v>
      </c>
      <c r="E238" t="n">
        <v>2</v>
      </c>
      <c r="F238" t="n">
        <v>6</v>
      </c>
      <c r="H238" t="n">
        <v>0</v>
      </c>
      <c r="I238" t="n">
        <v>0</v>
      </c>
      <c r="J238" t="n">
        <v>0</v>
      </c>
      <c r="K238" t="n">
        <v>0</v>
      </c>
      <c r="L238" t="n">
        <v>0</v>
      </c>
      <c r="M238" t="n">
        <v>0</v>
      </c>
      <c r="N238" t="n">
        <v>0</v>
      </c>
    </row>
    <row r="239">
      <c r="A239" t="inlineStr">
        <is>
          <t>stock</t>
        </is>
      </c>
      <c r="B239" t="inlineStr">
        <is>
          <t>cocks and hens: 1 cock and five hens remain.</t>
        </is>
      </c>
      <c r="C239" t="n">
        <v>0</v>
      </c>
      <c r="D239" t="n">
        <v>0</v>
      </c>
      <c r="E239" t="n">
        <v>0</v>
      </c>
      <c r="F239" t="n">
        <v>0</v>
      </c>
      <c r="H239" t="n">
        <v>0</v>
      </c>
      <c r="I239" t="n">
        <v>0</v>
      </c>
      <c r="J239" t="n">
        <v>0</v>
      </c>
      <c r="K239" t="n">
        <v>0</v>
      </c>
      <c r="L239" t="n">
        <v>0</v>
      </c>
      <c r="M239" t="n">
        <v>0</v>
      </c>
      <c r="N239" t="n">
        <v>0</v>
      </c>
    </row>
    <row r="240">
      <c r="A240" t="inlineStr">
        <is>
          <t>stock</t>
        </is>
      </c>
      <c r="B240" t="inlineStr">
        <is>
          <t>20 from the forester of holhurst.</t>
        </is>
      </c>
      <c r="C240" t="n">
        <v>0</v>
      </c>
      <c r="D240" t="n">
        <v>0</v>
      </c>
      <c r="E240" t="n">
        <v>0</v>
      </c>
      <c r="F240" t="n">
        <v>0</v>
      </c>
      <c r="H240" t="n">
        <v>0</v>
      </c>
      <c r="I240" t="n">
        <v>0</v>
      </c>
      <c r="J240" t="n">
        <v>0</v>
      </c>
      <c r="K240" t="n">
        <v>0</v>
      </c>
      <c r="L240" t="n">
        <v>0</v>
      </c>
      <c r="M240" t="n">
        <v>0</v>
      </c>
      <c r="N240" t="n">
        <v>0</v>
      </c>
    </row>
    <row r="241">
      <c r="A241" t="inlineStr">
        <is>
          <t>stock</t>
        </is>
      </c>
      <c r="B241" t="inlineStr">
        <is>
          <t>60 from the churchscot of the customary tenants at martinmas.</t>
        </is>
      </c>
      <c r="C241" t="n">
        <v>0</v>
      </c>
      <c r="D241" t="n">
        <v>0</v>
      </c>
      <c r="E241" t="n">
        <v>0</v>
      </c>
      <c r="F241" t="n">
        <v>0</v>
      </c>
      <c r="H241" t="n">
        <v>0</v>
      </c>
      <c r="I241" t="n">
        <v>0</v>
      </c>
      <c r="J241" t="n">
        <v>0</v>
      </c>
      <c r="K241" t="n">
        <v>0</v>
      </c>
      <c r="L241" t="n">
        <v>0</v>
      </c>
      <c r="M241" t="n">
        <v>0</v>
      </c>
      <c r="N241" t="n">
        <v>0</v>
      </c>
    </row>
    <row r="242">
      <c r="A242" t="inlineStr">
        <is>
          <t>stock</t>
        </is>
      </c>
      <c r="B242" t="inlineStr">
        <is>
          <t>3 bought.</t>
        </is>
      </c>
      <c r="C242" t="n">
        <v>0</v>
      </c>
      <c r="D242" t="n">
        <v>0</v>
      </c>
      <c r="E242" t="n">
        <v>0</v>
      </c>
      <c r="F242" t="n">
        <v>0</v>
      </c>
      <c r="H242" t="n">
        <v>0</v>
      </c>
      <c r="I242" t="n">
        <v>0</v>
      </c>
      <c r="J242" t="n">
        <v>0</v>
      </c>
      <c r="K242" t="n">
        <v>0</v>
      </c>
      <c r="L242" t="n">
        <v>0</v>
      </c>
      <c r="M242" t="n">
        <v>0</v>
      </c>
      <c r="N242" t="n">
        <v>0</v>
      </c>
    </row>
    <row r="243">
      <c r="A243" t="inlineStr">
        <is>
          <t>stock</t>
        </is>
      </c>
      <c r="B243" t="inlineStr">
        <is>
          <t>total, 89. 20 in default of the forester of holhurst' because there is none there.</t>
        </is>
      </c>
      <c r="C243" t="n">
        <v>0</v>
      </c>
      <c r="D243" t="n">
        <v>0</v>
      </c>
      <c r="E243" t="n">
        <v>0</v>
      </c>
      <c r="F243" t="n">
        <v>0</v>
      </c>
      <c r="H243" t="n">
        <v>0</v>
      </c>
      <c r="I243" t="n">
        <v>0</v>
      </c>
      <c r="J243" t="n">
        <v>0</v>
      </c>
      <c r="K243" t="n">
        <v>0</v>
      </c>
      <c r="L243" t="n">
        <v>0</v>
      </c>
      <c r="M243" t="n">
        <v>0</v>
      </c>
      <c r="N243" t="n">
        <v>0</v>
      </c>
    </row>
    <row r="244">
      <c r="A244" t="inlineStr">
        <is>
          <t>stock</t>
        </is>
      </c>
      <c r="B244" t="inlineStr">
        <is>
          <t>8 in quittance of 1 smith.</t>
        </is>
      </c>
      <c r="C244" t="n">
        <v>0</v>
      </c>
      <c r="D244" t="n">
        <v>0</v>
      </c>
      <c r="E244" t="n">
        <v>0</v>
      </c>
      <c r="F244" t="n">
        <v>0</v>
      </c>
      <c r="H244" t="n">
        <v>0</v>
      </c>
      <c r="I244" t="n">
        <v>0</v>
      </c>
      <c r="J244" t="n">
        <v>0</v>
      </c>
      <c r="K244" t="n">
        <v>0</v>
      </c>
      <c r="L244" t="n">
        <v>0</v>
      </c>
      <c r="M244" t="n">
        <v>0</v>
      </c>
      <c r="N244" t="n">
        <v>0</v>
      </c>
    </row>
    <row r="245">
      <c r="A245" t="inlineStr">
        <is>
          <t>stock</t>
        </is>
      </c>
      <c r="B245" t="inlineStr">
        <is>
          <t>16 in default of 1 cotland of richard fox, 1 cotland of john sele and 2 cotlands of robert bolt in the lord's hands through the death of the same.</t>
        </is>
      </c>
      <c r="C245" t="n">
        <v>0</v>
      </c>
      <c r="D245" t="n">
        <v>0</v>
      </c>
      <c r="E245" t="n">
        <v>0</v>
      </c>
      <c r="F245" t="n">
        <v>0</v>
      </c>
      <c r="H245" t="n">
        <v>0</v>
      </c>
      <c r="I245" t="n">
        <v>0</v>
      </c>
      <c r="J245" t="n">
        <v>0</v>
      </c>
      <c r="K245" t="n">
        <v>0</v>
      </c>
      <c r="L245" t="n">
        <v>0</v>
      </c>
      <c r="M245" t="n">
        <v>0</v>
      </c>
      <c r="N245" t="n">
        <v>0</v>
      </c>
    </row>
    <row r="246">
      <c r="A246" t="inlineStr">
        <is>
          <t>stock</t>
        </is>
      </c>
      <c r="B246" t="inlineStr">
        <is>
          <t>4 in default of 1 cotland of john sele because it is let to henry scathelok' and edith his wife by charter of lord william de wykeham.</t>
        </is>
      </c>
      <c r="C246" t="n">
        <v>0</v>
      </c>
      <c r="D246" t="n">
        <v>0</v>
      </c>
      <c r="E246" t="n">
        <v>0</v>
      </c>
      <c r="F246" t="n">
        <v>0</v>
      </c>
      <c r="H246" t="n">
        <v>0</v>
      </c>
      <c r="I246" t="n">
        <v>0</v>
      </c>
      <c r="J246" t="n">
        <v>0</v>
      </c>
      <c r="K246" t="n">
        <v>0</v>
      </c>
      <c r="L246" t="n">
        <v>0</v>
      </c>
      <c r="M246" t="n">
        <v>0</v>
      </c>
      <c r="N246" t="n">
        <v>0</v>
      </c>
    </row>
    <row r="247">
      <c r="A247" t="inlineStr">
        <is>
          <t>stock</t>
        </is>
      </c>
      <c r="B247" t="inlineStr">
        <is>
          <t>2 in quittance of geoffrey berwyke because he has no wife.</t>
        </is>
      </c>
      <c r="C247" t="n">
        <v>0</v>
      </c>
      <c r="D247" t="n">
        <v>0</v>
      </c>
      <c r="E247" t="n">
        <v>0</v>
      </c>
      <c r="F247" t="n">
        <v>0</v>
      </c>
      <c r="H247" t="n">
        <v>0</v>
      </c>
      <c r="I247" t="n">
        <v>0</v>
      </c>
      <c r="J247" t="n">
        <v>0</v>
      </c>
      <c r="K247" t="n">
        <v>0</v>
      </c>
      <c r="L247" t="n">
        <v>0</v>
      </c>
      <c r="M247" t="n">
        <v>0</v>
      </c>
      <c r="N247" t="n">
        <v>0</v>
      </c>
    </row>
    <row r="248">
      <c r="A248" t="inlineStr">
        <is>
          <t>stock</t>
        </is>
      </c>
      <c r="B248" t="inlineStr">
        <is>
          <t>2 in quittance of margery honywell' because she has no husband.</t>
        </is>
      </c>
      <c r="C248" t="n">
        <v>0</v>
      </c>
      <c r="D248" t="n">
        <v>0</v>
      </c>
      <c r="E248" t="n">
        <v>0</v>
      </c>
      <c r="F248" t="n">
        <v>0</v>
      </c>
      <c r="H248" t="n">
        <v>0</v>
      </c>
      <c r="I248" t="n">
        <v>0</v>
      </c>
      <c r="J248" t="n">
        <v>0</v>
      </c>
      <c r="K248" t="n">
        <v>0</v>
      </c>
      <c r="L248" t="n">
        <v>0</v>
      </c>
      <c r="M248" t="n">
        <v>0</v>
      </c>
      <c r="N248" t="n">
        <v>0</v>
      </c>
    </row>
    <row r="249">
      <c r="A249" t="inlineStr">
        <is>
          <t>stock</t>
        </is>
      </c>
      <c r="B249" t="inlineStr">
        <is>
          <t>31 sold within.</t>
        </is>
      </c>
      <c r="C249" t="n">
        <v>0</v>
      </c>
      <c r="D249" t="n">
        <v>0</v>
      </c>
      <c r="E249" t="n">
        <v>0</v>
      </c>
      <c r="F249" t="n">
        <v>0</v>
      </c>
      <c r="H249" t="n">
        <v>0</v>
      </c>
      <c r="I249" t="n">
        <v>0</v>
      </c>
      <c r="J249" t="n">
        <v>0</v>
      </c>
      <c r="K249" t="n">
        <v>0</v>
      </c>
      <c r="L249" t="n">
        <v>0</v>
      </c>
      <c r="M249" t="n">
        <v>0</v>
      </c>
      <c r="N249" t="n">
        <v>0</v>
      </c>
    </row>
    <row r="250">
      <c r="A250" t="inlineStr">
        <is>
          <t>stock</t>
        </is>
      </c>
      <c r="B250" t="inlineStr">
        <is>
          <t>total 83. 1 cock and 5 hens, worth 1 shilling, remain in the hands of the said farmer, to be handed back as before.</t>
        </is>
      </c>
      <c r="C250" t="n">
        <v>0.05</v>
      </c>
      <c r="D250" t="n">
        <v>0</v>
      </c>
      <c r="E250" t="n">
        <v>1</v>
      </c>
      <c r="F250" t="n">
        <v>0</v>
      </c>
      <c r="H250" t="n">
        <v>0</v>
      </c>
      <c r="I250" t="n">
        <v>0</v>
      </c>
      <c r="J250" t="n">
        <v>0</v>
      </c>
      <c r="K250" t="n">
        <v>0</v>
      </c>
      <c r="L250" t="n">
        <v>0</v>
      </c>
      <c r="M250" t="n">
        <v>0</v>
      </c>
      <c r="N250" t="n">
        <v>0</v>
      </c>
    </row>
    <row r="251">
      <c r="A251" t="inlineStr">
        <is>
          <t>stock</t>
        </is>
      </c>
      <c r="B251" t="inlineStr">
        <is>
          <t>eggs: 1,005 from the customary tenants according to custom at easter.</t>
        </is>
      </c>
      <c r="C251" t="n">
        <v>0</v>
      </c>
      <c r="D251" t="n">
        <v>0</v>
      </c>
      <c r="E251" t="n">
        <v>0</v>
      </c>
      <c r="F251" t="n">
        <v>0</v>
      </c>
      <c r="H251" t="n">
        <v>0</v>
      </c>
      <c r="I251" t="n">
        <v>0</v>
      </c>
      <c r="J251" t="n">
        <v>0</v>
      </c>
      <c r="K251" t="n">
        <v>0</v>
      </c>
      <c r="L251" t="n">
        <v>0</v>
      </c>
      <c r="M251" t="n">
        <v>0</v>
      </c>
      <c r="N251" t="n">
        <v>0</v>
      </c>
    </row>
    <row r="252">
      <c r="A252" t="inlineStr">
        <is>
          <t>stock</t>
        </is>
      </c>
      <c r="B252" t="inlineStr">
        <is>
          <t>none from those laid because they pertain to the farmer.</t>
        </is>
      </c>
      <c r="C252" t="n">
        <v>0</v>
      </c>
      <c r="D252" t="n">
        <v>0</v>
      </c>
      <c r="E252" t="n">
        <v>0</v>
      </c>
      <c r="F252" t="n">
        <v>0</v>
      </c>
      <c r="H252" t="n">
        <v>0</v>
      </c>
      <c r="I252" t="n">
        <v>0</v>
      </c>
      <c r="J252" t="n">
        <v>0</v>
      </c>
      <c r="K252" t="n">
        <v>0</v>
      </c>
      <c r="L252" t="n">
        <v>0</v>
      </c>
      <c r="M252" t="n">
        <v>0</v>
      </c>
      <c r="N252" t="n">
        <v>0</v>
      </c>
    </row>
    <row r="253">
      <c r="A253" t="inlineStr">
        <is>
          <t>stock</t>
        </is>
      </c>
      <c r="B253" t="inlineStr">
        <is>
          <t>total, 1,005. 22.5 in default of 1 cotland of robert fox, 1 cotland of john sele, 1 cotland of john cole and 2 cotlands of robert bolt because in the lord's hands as before, or 4.5 eggs each.</t>
        </is>
      </c>
      <c r="C253" t="n">
        <v>0</v>
      </c>
      <c r="D253" t="n">
        <v>0</v>
      </c>
      <c r="E253" t="n">
        <v>0</v>
      </c>
      <c r="F253" t="n">
        <v>0</v>
      </c>
      <c r="H253" t="n">
        <v>0</v>
      </c>
      <c r="I253" t="n">
        <v>0</v>
      </c>
      <c r="J253" t="n">
        <v>0</v>
      </c>
      <c r="K253" t="n">
        <v>0</v>
      </c>
      <c r="L253" t="n">
        <v>0</v>
      </c>
      <c r="M253" t="n">
        <v>0</v>
      </c>
      <c r="N253" t="n">
        <v>0</v>
      </c>
    </row>
    <row r="254">
      <c r="A254" t="inlineStr">
        <is>
          <t>stock</t>
        </is>
      </c>
      <c r="B254"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254" t="n">
        <v>0</v>
      </c>
      <c r="D254" t="n">
        <v>0</v>
      </c>
      <c r="E254" t="n">
        <v>0</v>
      </c>
      <c r="F254" t="n">
        <v>0</v>
      </c>
      <c r="H254" t="n">
        <v>0</v>
      </c>
      <c r="I254" t="n">
        <v>0</v>
      </c>
      <c r="J254" t="n">
        <v>0</v>
      </c>
      <c r="K254" t="n">
        <v>0</v>
      </c>
      <c r="L254" t="n">
        <v>0</v>
      </c>
      <c r="M254" t="n">
        <v>0</v>
      </c>
      <c r="N254" t="n">
        <v>0</v>
      </c>
    </row>
    <row r="255">
      <c r="A255" t="inlineStr">
        <is>
          <t>stock</t>
        </is>
      </c>
      <c r="B255" t="inlineStr">
        <is>
          <t>216 sold within.</t>
        </is>
      </c>
      <c r="C255" t="n">
        <v>0</v>
      </c>
      <c r="D255" t="n">
        <v>0</v>
      </c>
      <c r="E255" t="n">
        <v>0</v>
      </c>
      <c r="F255" t="n">
        <v>0</v>
      </c>
      <c r="H255" t="n">
        <v>0</v>
      </c>
      <c r="I255" t="n">
        <v>0</v>
      </c>
      <c r="J255" t="n">
        <v>0</v>
      </c>
      <c r="K255" t="n">
        <v>0</v>
      </c>
      <c r="L255" t="n">
        <v>0</v>
      </c>
      <c r="M255" t="n">
        <v>0</v>
      </c>
      <c r="N255" t="n">
        <v>0</v>
      </c>
    </row>
    <row r="256">
      <c r="A256" t="inlineStr">
        <is>
          <t>stock</t>
        </is>
      </c>
      <c r="B256" t="inlineStr">
        <is>
          <t>676.5 sold at the audit for 2 shilling 9.75pence.</t>
        </is>
      </c>
      <c r="C256" t="n">
        <v>0.14</v>
      </c>
      <c r="D256" t="n">
        <v>0</v>
      </c>
      <c r="E256" t="n">
        <v>2</v>
      </c>
      <c r="F256" t="n">
        <v>9.75</v>
      </c>
      <c r="H256" t="n">
        <v>0</v>
      </c>
      <c r="I256" t="n">
        <v>0</v>
      </c>
      <c r="J256" t="n">
        <v>0</v>
      </c>
      <c r="K256" t="n">
        <v>0</v>
      </c>
      <c r="L256" t="n">
        <v>0</v>
      </c>
      <c r="M256" t="n">
        <v>0</v>
      </c>
      <c r="N256" t="n">
        <v>0</v>
      </c>
    </row>
    <row r="257">
      <c r="A257" t="inlineStr">
        <is>
          <t>stock</t>
        </is>
      </c>
      <c r="B257" t="inlineStr">
        <is>
          <t>total as before.</t>
        </is>
      </c>
      <c r="C257" t="n">
        <v>0</v>
      </c>
      <c r="D257" t="n">
        <v>0</v>
      </c>
      <c r="E257" t="n">
        <v>0</v>
      </c>
      <c r="F257" t="n">
        <v>0</v>
      </c>
      <c r="H257" t="n">
        <v>0</v>
      </c>
      <c r="I257" t="n">
        <v>0</v>
      </c>
      <c r="J257" t="n">
        <v>0</v>
      </c>
      <c r="K257" t="n">
        <v>0</v>
      </c>
      <c r="L257" t="n">
        <v>0</v>
      </c>
      <c r="M257" t="n">
        <v>0</v>
      </c>
      <c r="N257" t="n">
        <v>0</v>
      </c>
    </row>
    <row r="258">
      <c r="A258" t="inlineStr">
        <is>
          <t>stock</t>
        </is>
      </c>
      <c r="B258" t="inlineStr">
        <is>
          <t>none remain.</t>
        </is>
      </c>
      <c r="C258" t="n">
        <v>0</v>
      </c>
      <c r="D258" t="n">
        <v>0</v>
      </c>
      <c r="E258" t="n">
        <v>0</v>
      </c>
      <c r="F258" t="n">
        <v>0</v>
      </c>
      <c r="H258" t="n">
        <v>0</v>
      </c>
      <c r="I258" t="n">
        <v>0</v>
      </c>
      <c r="J258" t="n">
        <v>0</v>
      </c>
      <c r="K258" t="n">
        <v>0</v>
      </c>
      <c r="L258" t="n">
        <v>0</v>
      </c>
      <c r="M258" t="n">
        <v>0</v>
      </c>
      <c r="N258" t="n">
        <v>0</v>
      </c>
    </row>
    <row r="259">
      <c r="A259" t="inlineStr">
        <is>
          <t>stock</t>
        </is>
      </c>
      <c r="B259" t="inlineStr">
        <is>
          <t>tiles: 1,050 plain tiles and 30 hollow tiles remain.</t>
        </is>
      </c>
      <c r="C259" t="n">
        <v>0</v>
      </c>
      <c r="D259" t="n">
        <v>0</v>
      </c>
      <c r="E259" t="n">
        <v>0</v>
      </c>
      <c r="F259" t="n">
        <v>0</v>
      </c>
      <c r="H259" t="n">
        <v>0</v>
      </c>
      <c r="I259" t="n">
        <v>0</v>
      </c>
      <c r="J259" t="n">
        <v>0</v>
      </c>
      <c r="K259" t="n">
        <v>0</v>
      </c>
      <c r="L259" t="n">
        <v>0</v>
      </c>
      <c r="M259" t="n">
        <v>0</v>
      </c>
      <c r="N259" t="n">
        <v>0</v>
      </c>
    </row>
    <row r="260">
      <c r="A260" t="inlineStr">
        <is>
          <t>stock</t>
        </is>
      </c>
      <c r="B260" t="inlineStr">
        <is>
          <t>24,000 plain tiles and 700 hollow tiles made this year.</t>
        </is>
      </c>
      <c r="C260" t="n">
        <v>0</v>
      </c>
      <c r="D260" t="n">
        <v>0</v>
      </c>
      <c r="E260" t="n">
        <v>0</v>
      </c>
      <c r="F260" t="n">
        <v>0</v>
      </c>
      <c r="H260" t="n">
        <v>0</v>
      </c>
      <c r="I260" t="n">
        <v>0</v>
      </c>
      <c r="J260" t="n">
        <v>0</v>
      </c>
      <c r="K260" t="n">
        <v>0</v>
      </c>
      <c r="L260" t="n">
        <v>0</v>
      </c>
      <c r="M260" t="n">
        <v>0</v>
      </c>
      <c r="N260" t="n">
        <v>0</v>
      </c>
    </row>
    <row r="261">
      <c r="A261" t="inlineStr">
        <is>
          <t>stock</t>
        </is>
      </c>
      <c r="B261" t="inlineStr">
        <is>
          <t>total, 25,780. 6,500 plain tiles and 60 hollow tiles used in tiling anew the roof on the south side of the chapel.</t>
        </is>
      </c>
      <c r="C261" t="n">
        <v>0</v>
      </c>
      <c r="D261" t="n">
        <v>0</v>
      </c>
      <c r="E261" t="n">
        <v>0</v>
      </c>
      <c r="F261" t="n">
        <v>0</v>
      </c>
      <c r="H261" t="n">
        <v>0</v>
      </c>
      <c r="I261" t="n">
        <v>0</v>
      </c>
      <c r="J261" t="n">
        <v>0</v>
      </c>
      <c r="K261" t="n">
        <v>0</v>
      </c>
      <c r="L261" t="n">
        <v>0</v>
      </c>
      <c r="M261" t="n">
        <v>0</v>
      </c>
      <c r="N261" t="n">
        <v>0</v>
      </c>
    </row>
    <row r="262">
      <c r="A262" t="inlineStr">
        <is>
          <t>stock</t>
        </is>
      </c>
      <c r="B262" t="inlineStr">
        <is>
          <t>4,000 plain tiles and 100 hollow tiles used in roofing other buildings inside and outside the curia.</t>
        </is>
      </c>
      <c r="C262" t="n">
        <v>0</v>
      </c>
      <c r="D262" t="n">
        <v>0</v>
      </c>
      <c r="E262" t="n">
        <v>0</v>
      </c>
      <c r="F262" t="n">
        <v>0</v>
      </c>
      <c r="H262" t="n">
        <v>0</v>
      </c>
      <c r="I262" t="n">
        <v>0</v>
      </c>
      <c r="J262" t="n">
        <v>0</v>
      </c>
      <c r="K262" t="n">
        <v>0</v>
      </c>
      <c r="L262" t="n">
        <v>0</v>
      </c>
      <c r="M262" t="n">
        <v>0</v>
      </c>
      <c r="N262" t="n">
        <v>0</v>
      </c>
    </row>
    <row r="263">
      <c r="A263" t="inlineStr">
        <is>
          <t>stock</t>
        </is>
      </c>
      <c r="B263" t="inlineStr">
        <is>
          <t>1,000 plain tiles sold within, 500 of them to the reeve of ecchinswell.</t>
        </is>
      </c>
      <c r="C263" t="n">
        <v>0</v>
      </c>
      <c r="D263" t="n">
        <v>0</v>
      </c>
      <c r="E263" t="n">
        <v>0</v>
      </c>
      <c r="F263" t="n">
        <v>0</v>
      </c>
      <c r="H263" t="n">
        <v>0</v>
      </c>
      <c r="I263" t="n">
        <v>0</v>
      </c>
      <c r="J263" t="n">
        <v>0</v>
      </c>
      <c r="K263" t="n">
        <v>0</v>
      </c>
      <c r="L263" t="n">
        <v>0</v>
      </c>
      <c r="M263" t="n">
        <v>0</v>
      </c>
      <c r="N263" t="n">
        <v>0</v>
      </c>
    </row>
    <row r="264">
      <c r="A264" t="inlineStr">
        <is>
          <t>stock</t>
        </is>
      </c>
      <c r="B264" t="inlineStr">
        <is>
          <t>total, 11,660. 13,550 plain tiles and 570 hollow tiles remain.</t>
        </is>
      </c>
      <c r="C264" t="n">
        <v>0</v>
      </c>
      <c r="D264" t="n">
        <v>0</v>
      </c>
      <c r="E264" t="n">
        <v>0</v>
      </c>
      <c r="F264" t="n">
        <v>0</v>
      </c>
      <c r="H264" t="n">
        <v>0</v>
      </c>
      <c r="I264" t="n">
        <v>0</v>
      </c>
      <c r="J264" t="n">
        <v>0</v>
      </c>
      <c r="K264" t="n">
        <v>0</v>
      </c>
      <c r="L264" t="n">
        <v>0</v>
      </c>
      <c r="M264" t="n">
        <v>0</v>
      </c>
      <c r="N264" t="n">
        <v>0</v>
      </c>
    </row>
    <row r="265">
      <c r="A265" t="inlineStr">
        <is>
          <t>stock</t>
        </is>
      </c>
      <c r="B265" t="inlineStr">
        <is>
          <t>lime: 3 quarters remain.</t>
        </is>
      </c>
      <c r="C265" t="n">
        <v>0</v>
      </c>
      <c r="D265" t="n">
        <v>0</v>
      </c>
      <c r="E265" t="n">
        <v>0</v>
      </c>
      <c r="F265" t="n">
        <v>0</v>
      </c>
      <c r="H265" t="n">
        <v>3</v>
      </c>
      <c r="I265" t="n">
        <v>0</v>
      </c>
      <c r="J265" t="n">
        <v>3</v>
      </c>
      <c r="K265" t="n">
        <v>3</v>
      </c>
      <c r="L265" t="n">
        <v>0</v>
      </c>
      <c r="M265" t="n">
        <v>3</v>
      </c>
      <c r="N265" t="n">
        <v>0</v>
      </c>
    </row>
    <row r="266">
      <c r="A266" t="inlineStr">
        <is>
          <t>stock</t>
        </is>
      </c>
      <c r="B266" t="inlineStr">
        <is>
          <t>15 quarters 4 bushels made this year.</t>
        </is>
      </c>
      <c r="C266" t="n">
        <v>0</v>
      </c>
      <c r="D266" t="n">
        <v>0</v>
      </c>
      <c r="E266" t="n">
        <v>0</v>
      </c>
      <c r="F266" t="n">
        <v>0</v>
      </c>
      <c r="H266" t="n">
        <v>15</v>
      </c>
      <c r="I266" t="n">
        <v>4</v>
      </c>
      <c r="J266" t="n">
        <v>15.5</v>
      </c>
      <c r="K266" t="n">
        <v>15.5</v>
      </c>
      <c r="L266" t="n">
        <v>0</v>
      </c>
      <c r="M266" t="n">
        <v>15</v>
      </c>
      <c r="N266" t="n">
        <v>4</v>
      </c>
    </row>
    <row r="267">
      <c r="A267" t="inlineStr">
        <is>
          <t>stock</t>
        </is>
      </c>
      <c r="B267" t="inlineStr">
        <is>
          <t>total, 18 quarters 4 bushels 10 quarters 4 bushels used in roofing the buildings and in whitewashing and pargeting the walls of the chamber of the middle gate.</t>
        </is>
      </c>
      <c r="C267" t="n">
        <v>0</v>
      </c>
      <c r="D267" t="n">
        <v>0</v>
      </c>
      <c r="E267" t="n">
        <v>0</v>
      </c>
      <c r="F267" t="n">
        <v>0</v>
      </c>
      <c r="H267" t="n">
        <v>10</v>
      </c>
      <c r="I267" t="n">
        <v>4</v>
      </c>
      <c r="J267" t="n">
        <v>10.5</v>
      </c>
      <c r="K267" t="n">
        <v>18.5</v>
      </c>
      <c r="L267" t="n">
        <v>-8</v>
      </c>
      <c r="M267" t="n">
        <v>18</v>
      </c>
      <c r="N267" t="n">
        <v>4</v>
      </c>
      <c r="O267" t="n">
        <v>10</v>
      </c>
      <c r="P267" t="n">
        <v>4</v>
      </c>
    </row>
    <row r="268">
      <c r="A268" t="inlineStr">
        <is>
          <t>stock</t>
        </is>
      </c>
      <c r="B268" t="inlineStr">
        <is>
          <t>total, 10 quarters 4 bushels 8 quarters remain.</t>
        </is>
      </c>
      <c r="C268" t="n">
        <v>0</v>
      </c>
      <c r="D268" t="n">
        <v>0</v>
      </c>
      <c r="E268" t="n">
        <v>0</v>
      </c>
      <c r="F268" t="n">
        <v>0</v>
      </c>
      <c r="H268" t="n">
        <v>8</v>
      </c>
      <c r="I268" t="n">
        <v>4</v>
      </c>
      <c r="J268" t="n">
        <v>8.5</v>
      </c>
      <c r="K268" t="n">
        <v>10.5</v>
      </c>
      <c r="L268" t="n">
        <v>-2</v>
      </c>
      <c r="M268" t="n">
        <v>10</v>
      </c>
      <c r="N268" t="n">
        <v>4</v>
      </c>
      <c r="O268" t="n">
        <v>8</v>
      </c>
      <c r="P268" t="n">
        <v>0</v>
      </c>
    </row>
    <row r="269">
      <c r="A269" t="inlineStr">
        <is>
          <t>stock</t>
        </is>
      </c>
      <c r="B269" t="inlineStr">
        <is>
          <t>shingles: 400 remain.</t>
        </is>
      </c>
      <c r="C269" t="n">
        <v>0</v>
      </c>
      <c r="D269" t="n">
        <v>0</v>
      </c>
      <c r="E269" t="n">
        <v>0</v>
      </c>
      <c r="F269" t="n">
        <v>0</v>
      </c>
      <c r="H269" t="n">
        <v>0</v>
      </c>
      <c r="I269" t="n">
        <v>0</v>
      </c>
      <c r="J269" t="n">
        <v>0</v>
      </c>
      <c r="K269" t="n">
        <v>0</v>
      </c>
      <c r="L269" t="n">
        <v>0</v>
      </c>
      <c r="M269" t="n">
        <v>0</v>
      </c>
      <c r="N269" t="n">
        <v>0</v>
      </c>
    </row>
    <row r="270">
      <c r="A270" t="inlineStr">
        <is>
          <t>stock</t>
        </is>
      </c>
      <c r="B270" t="inlineStr">
        <is>
          <t>total, 400. all used in roofing the small vestry beside the chapel.</t>
        </is>
      </c>
      <c r="C270" t="n">
        <v>0</v>
      </c>
      <c r="D270" t="n">
        <v>0</v>
      </c>
      <c r="E270" t="n">
        <v>0</v>
      </c>
      <c r="F270" t="n">
        <v>0</v>
      </c>
      <c r="H270" t="n">
        <v>0</v>
      </c>
      <c r="I270" t="n">
        <v>0</v>
      </c>
      <c r="J270" t="n">
        <v>0</v>
      </c>
      <c r="K270" t="n">
        <v>0</v>
      </c>
      <c r="L270" t="n">
        <v>0</v>
      </c>
      <c r="M270" t="n">
        <v>0</v>
      </c>
      <c r="N270" t="n">
        <v>0</v>
      </c>
    </row>
    <row r="271">
      <c r="A271" t="inlineStr">
        <is>
          <t>stock</t>
        </is>
      </c>
      <c r="B271" t="inlineStr">
        <is>
          <t>none remain.</t>
        </is>
      </c>
      <c r="C271" t="n">
        <v>0</v>
      </c>
      <c r="D271" t="n">
        <v>0</v>
      </c>
      <c r="E271" t="n">
        <v>0</v>
      </c>
      <c r="F271" t="n">
        <v>0</v>
      </c>
      <c r="H271" t="n">
        <v>0</v>
      </c>
      <c r="I271" t="n">
        <v>0</v>
      </c>
      <c r="J271" t="n">
        <v>0</v>
      </c>
      <c r="K271" t="n">
        <v>0</v>
      </c>
      <c r="L271" t="n">
        <v>0</v>
      </c>
      <c r="M271" t="n">
        <v>0</v>
      </c>
      <c r="N271" t="n">
        <v>0</v>
      </c>
    </row>
    <row r="272">
      <c r="A272" t="inlineStr">
        <is>
          <t>stock</t>
        </is>
      </c>
      <c r="B272" t="inlineStr">
        <is>
          <t>laths: 1,100 made from the lord's timber this year.</t>
        </is>
      </c>
      <c r="C272" t="n">
        <v>0</v>
      </c>
      <c r="D272" t="n">
        <v>0</v>
      </c>
      <c r="E272" t="n">
        <v>0</v>
      </c>
      <c r="F272" t="n">
        <v>0</v>
      </c>
      <c r="H272" t="n">
        <v>0</v>
      </c>
      <c r="I272" t="n">
        <v>0</v>
      </c>
      <c r="J272" t="n">
        <v>0</v>
      </c>
      <c r="K272" t="n">
        <v>0</v>
      </c>
      <c r="L272" t="n">
        <v>0</v>
      </c>
      <c r="M272" t="n">
        <v>0</v>
      </c>
      <c r="N272" t="n">
        <v>0</v>
      </c>
    </row>
    <row r="273">
      <c r="A273" t="inlineStr">
        <is>
          <t>stock</t>
        </is>
      </c>
      <c r="B273" t="inlineStr">
        <is>
          <t>300 bought.</t>
        </is>
      </c>
      <c r="C273" t="n">
        <v>0</v>
      </c>
      <c r="D273" t="n">
        <v>0</v>
      </c>
      <c r="E273" t="n">
        <v>0</v>
      </c>
      <c r="F273" t="n">
        <v>0</v>
      </c>
      <c r="H273" t="n">
        <v>0</v>
      </c>
      <c r="I273" t="n">
        <v>0</v>
      </c>
      <c r="J273" t="n">
        <v>0</v>
      </c>
      <c r="K273" t="n">
        <v>0</v>
      </c>
      <c r="L273" t="n">
        <v>0</v>
      </c>
      <c r="M273" t="n">
        <v>0</v>
      </c>
      <c r="N273" t="n">
        <v>0</v>
      </c>
    </row>
    <row r="274">
      <c r="A274" t="inlineStr">
        <is>
          <t>stock</t>
        </is>
      </c>
      <c r="B274" t="inlineStr">
        <is>
          <t>total, 1,400. 1,300 used in tiling anew the roof on the south side of the chapel and the other buildings inside and outside the curia.</t>
        </is>
      </c>
      <c r="C274" t="n">
        <v>0</v>
      </c>
      <c r="D274" t="n">
        <v>0</v>
      </c>
      <c r="E274" t="n">
        <v>0</v>
      </c>
      <c r="F274" t="n">
        <v>0</v>
      </c>
      <c r="H274" t="n">
        <v>0</v>
      </c>
      <c r="I274" t="n">
        <v>0</v>
      </c>
      <c r="J274" t="n">
        <v>0</v>
      </c>
      <c r="K274" t="n">
        <v>0</v>
      </c>
      <c r="L274" t="n">
        <v>0</v>
      </c>
      <c r="M274" t="n">
        <v>0</v>
      </c>
      <c r="N274" t="n">
        <v>0</v>
      </c>
    </row>
    <row r="275">
      <c r="A275" t="inlineStr">
        <is>
          <t>stock</t>
        </is>
      </c>
      <c r="B275" t="inlineStr">
        <is>
          <t>total, 1,300. 100 remain.</t>
        </is>
      </c>
      <c r="C275" t="n">
        <v>0</v>
      </c>
      <c r="D275" t="n">
        <v>0</v>
      </c>
      <c r="E275" t="n">
        <v>0</v>
      </c>
      <c r="F275" t="n">
        <v>0</v>
      </c>
      <c r="H275" t="n">
        <v>0</v>
      </c>
      <c r="I275" t="n">
        <v>0</v>
      </c>
      <c r="J275" t="n">
        <v>0</v>
      </c>
      <c r="K275" t="n">
        <v>0</v>
      </c>
      <c r="L275" t="n">
        <v>0</v>
      </c>
      <c r="M275" t="n">
        <v>0</v>
      </c>
      <c r="N275" t="n">
        <v>0</v>
      </c>
    </row>
    <row r="276">
      <c r="A276" t="inlineStr">
        <is>
          <t>stock</t>
        </is>
      </c>
      <c r="B276" t="inlineStr">
        <is>
          <t>planks: 12 remain.</t>
        </is>
      </c>
      <c r="C276" t="n">
        <v>0</v>
      </c>
      <c r="D276" t="n">
        <v>0</v>
      </c>
      <c r="E276" t="n">
        <v>0</v>
      </c>
      <c r="F276" t="n">
        <v>0</v>
      </c>
      <c r="H276" t="n">
        <v>0</v>
      </c>
      <c r="I276" t="n">
        <v>0</v>
      </c>
      <c r="J276" t="n">
        <v>0</v>
      </c>
      <c r="K276" t="n">
        <v>0</v>
      </c>
      <c r="L276" t="n">
        <v>0</v>
      </c>
      <c r="M276" t="n">
        <v>0</v>
      </c>
      <c r="N276" t="n">
        <v>0</v>
      </c>
    </row>
    <row r="277">
      <c r="A277" t="inlineStr">
        <is>
          <t>stock</t>
        </is>
      </c>
      <c r="B277" t="inlineStr">
        <is>
          <t>total, 12. 2 used.</t>
        </is>
      </c>
      <c r="C277" t="n">
        <v>0</v>
      </c>
      <c r="D277" t="n">
        <v>0</v>
      </c>
      <c r="E277" t="n">
        <v>0</v>
      </c>
      <c r="F277" t="n">
        <v>0</v>
      </c>
      <c r="H277" t="n">
        <v>0</v>
      </c>
      <c r="I277" t="n">
        <v>0</v>
      </c>
      <c r="J277" t="n">
        <v>0</v>
      </c>
      <c r="K277" t="n">
        <v>0</v>
      </c>
      <c r="L277" t="n">
        <v>0</v>
      </c>
      <c r="M277" t="n">
        <v>0</v>
      </c>
      <c r="N277" t="n">
        <v>0</v>
      </c>
    </row>
    <row r="278">
      <c r="A278" t="inlineStr">
        <is>
          <t>stock</t>
        </is>
      </c>
      <c r="B278" t="inlineStr">
        <is>
          <t>10 remain.</t>
        </is>
      </c>
      <c r="C278" t="n">
        <v>0</v>
      </c>
      <c r="D278" t="n">
        <v>0</v>
      </c>
      <c r="E278" t="n">
        <v>0</v>
      </c>
      <c r="F278" t="n">
        <v>0</v>
      </c>
      <c r="H278" t="n">
        <v>0</v>
      </c>
      <c r="I278" t="n">
        <v>0</v>
      </c>
      <c r="J278" t="n">
        <v>0</v>
      </c>
      <c r="K278" t="n">
        <v>0</v>
      </c>
      <c r="L278" t="n">
        <v>0</v>
      </c>
      <c r="M278" t="n">
        <v>0</v>
      </c>
      <c r="N278" t="n">
        <v>0</v>
      </c>
    </row>
    <row r="279">
      <c r="A279" t="inlineStr">
        <is>
          <t>stock</t>
        </is>
      </c>
      <c r="B279"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279" t="n">
        <v>0</v>
      </c>
      <c r="D279" t="n">
        <v>0</v>
      </c>
      <c r="E279" t="n">
        <v>0</v>
      </c>
      <c r="F279" t="n">
        <v>0</v>
      </c>
      <c r="H279" t="n">
        <v>0</v>
      </c>
      <c r="I279" t="n">
        <v>0</v>
      </c>
      <c r="J279" t="n">
        <v>0</v>
      </c>
      <c r="K279" t="n">
        <v>0</v>
      </c>
      <c r="L279" t="n">
        <v>0</v>
      </c>
      <c r="M279" t="n">
        <v>0</v>
      </c>
      <c r="N279" t="n">
        <v>0</v>
      </c>
    </row>
    <row r="280">
      <c r="A280" t="inlineStr">
        <is>
          <t>stock</t>
        </is>
      </c>
      <c r="B280" t="inlineStr">
        <is>
          <t>nevertheless the farmer will have and receive from each customary tenant 1 man at harvest-time according to agreement during the 5 years of the farm, this year being the third.</t>
        </is>
      </c>
      <c r="C280" t="n">
        <v>0</v>
      </c>
      <c r="D280" t="n">
        <v>0</v>
      </c>
      <c r="E280" t="n">
        <v>0</v>
      </c>
      <c r="F280" t="n">
        <v>0</v>
      </c>
      <c r="H280" t="n">
        <v>0</v>
      </c>
      <c r="I280" t="n">
        <v>0</v>
      </c>
      <c r="J280" t="n">
        <v>0</v>
      </c>
      <c r="K280" t="n">
        <v>0</v>
      </c>
      <c r="L280" t="n">
        <v>0</v>
      </c>
      <c r="M280" t="n">
        <v>0</v>
      </c>
      <c r="N280" t="n">
        <v>0</v>
      </c>
    </row>
    <row r="281">
      <c r="A281" t="inlineStr">
        <is>
          <t>stock</t>
        </is>
      </c>
      <c r="B281"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281" t="n">
        <v>0.33</v>
      </c>
      <c r="D281" t="n">
        <v>0</v>
      </c>
      <c r="E281" t="n">
        <v>6</v>
      </c>
      <c r="F281" t="n">
        <v>8</v>
      </c>
      <c r="H281" t="n">
        <v>0</v>
      </c>
      <c r="I281" t="n">
        <v>0</v>
      </c>
      <c r="J281" t="n">
        <v>0</v>
      </c>
      <c r="K281" t="n">
        <v>0</v>
      </c>
      <c r="L281" t="n">
        <v>0</v>
      </c>
      <c r="M281" t="n">
        <v>0</v>
      </c>
      <c r="N28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6"/>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Total, 3. 3 remain, worth £1, in the hands of the aforesaid farmer, to be handed back and restored as before or the value of the same at the choice of the lord.</t>
        </is>
      </c>
      <c r="C4" t="n">
        <v>0</v>
      </c>
      <c r="D4" t="n">
        <v>0</v>
      </c>
    </row>
    <row r="5">
      <c r="A5" t="inlineStr">
        <is>
          <t>Stock</t>
        </is>
      </c>
      <c r="B5" t="inlineStr">
        <is>
          <t>Oxen: 10 remain.</t>
        </is>
      </c>
      <c r="C5" t="n">
        <v>0</v>
      </c>
      <c r="D5" t="n">
        <v>0</v>
      </c>
      <c r="E5" t="inlineStr">
        <is>
          <t>Oxen</t>
        </is>
      </c>
      <c r="F5" t="inlineStr">
        <is>
          <t>10</t>
        </is>
      </c>
    </row>
    <row r="6">
      <c r="A6" t="inlineStr">
        <is>
          <t>Stock</t>
        </is>
      </c>
      <c r="B6" t="inlineStr">
        <is>
          <t>Total, 10. 10 remain, worth £6, in the hands of the said farmer, to be handed back and restored as before.</t>
        </is>
      </c>
      <c r="C6" t="n">
        <v>0</v>
      </c>
      <c r="D6" t="n">
        <v>0</v>
      </c>
      <c r="E6" t="inlineStr">
        <is>
          <t>Oxen</t>
        </is>
      </c>
    </row>
    <row r="7">
      <c r="A7" t="inlineStr">
        <is>
          <t>Stock</t>
        </is>
      </c>
      <c r="B7" t="inlineStr">
        <is>
          <t>Bulls: 2 remain.</t>
        </is>
      </c>
      <c r="C7" t="n">
        <v>0</v>
      </c>
      <c r="D7" t="n">
        <v>0</v>
      </c>
      <c r="E7" t="inlineStr">
        <is>
          <t>Bulls</t>
        </is>
      </c>
      <c r="F7" t="inlineStr">
        <is>
          <t>2</t>
        </is>
      </c>
    </row>
    <row r="8">
      <c r="A8" t="inlineStr">
        <is>
          <t>Stock</t>
        </is>
      </c>
      <c r="B8" t="inlineStr">
        <is>
          <t>Total, 2. 2 remain, worth 16 shilling, in the hands of the said farmer, to be handed back and restored as before.</t>
        </is>
      </c>
      <c r="C8" t="n">
        <v>0</v>
      </c>
      <c r="D8" t="n">
        <v>0</v>
      </c>
      <c r="E8" t="inlineStr">
        <is>
          <t>Bulls</t>
        </is>
      </c>
    </row>
    <row r="9">
      <c r="A9" t="inlineStr">
        <is>
          <t>Stock</t>
        </is>
      </c>
      <c r="B9" t="inlineStr">
        <is>
          <t>Cows: 19 remain.</t>
        </is>
      </c>
      <c r="C9" t="n">
        <v>0</v>
      </c>
      <c r="D9" t="n">
        <v>0</v>
      </c>
      <c r="E9" t="inlineStr">
        <is>
          <t>Cows</t>
        </is>
      </c>
      <c r="F9" t="inlineStr">
        <is>
          <t>19</t>
        </is>
      </c>
    </row>
    <row r="10">
      <c r="A10" t="inlineStr">
        <is>
          <t>Stock</t>
        </is>
      </c>
      <c r="B10" t="inlineStr">
        <is>
          <t>Total, 19. 19 remain, worth 8 shilling each, in the hands of the said farmer, to be handed back and restored as before.</t>
        </is>
      </c>
      <c r="C10" t="n">
        <v>0</v>
      </c>
      <c r="D10" t="n">
        <v>0</v>
      </c>
      <c r="E10" t="inlineStr">
        <is>
          <t>Cows</t>
        </is>
      </c>
    </row>
    <row r="11">
      <c r="A11" t="inlineStr">
        <is>
          <t>Stock</t>
        </is>
      </c>
      <c r="B11" t="inlineStr">
        <is>
          <t>Calves: 8 remain.</t>
        </is>
      </c>
      <c r="C11" t="n">
        <v>0</v>
      </c>
      <c r="D11" t="n">
        <v>0</v>
      </c>
      <c r="E11" t="inlineStr">
        <is>
          <t>Calves</t>
        </is>
      </c>
      <c r="F11" t="inlineStr">
        <is>
          <t>8</t>
        </is>
      </c>
    </row>
    <row r="12">
      <c r="A12" t="inlineStr">
        <is>
          <t>Stock</t>
        </is>
      </c>
      <c r="B12" t="inlineStr">
        <is>
          <t>Total, 8. 8 remain, worth 3 shilling each, in the hands of the said farmer, to be handed back and restored as before.</t>
        </is>
      </c>
      <c r="C12" t="n">
        <v>0</v>
      </c>
      <c r="D12" t="n">
        <v>0</v>
      </c>
      <c r="E12" t="inlineStr">
        <is>
          <t>Calves</t>
        </is>
      </c>
    </row>
    <row r="13">
      <c r="A13" t="inlineStr">
        <is>
          <t>Stock</t>
        </is>
      </c>
      <c r="B13" t="inlineStr">
        <is>
          <t>Wethers: 446 remain.</t>
        </is>
      </c>
      <c r="C13" t="n">
        <v>0</v>
      </c>
      <c r="D13" t="n">
        <v>0</v>
      </c>
      <c r="E13" t="inlineStr">
        <is>
          <t>Wethers</t>
        </is>
      </c>
      <c r="F13" t="inlineStr">
        <is>
          <t>446</t>
        </is>
      </c>
    </row>
    <row r="14">
      <c r="A14" t="inlineStr">
        <is>
          <t>Stock</t>
        </is>
      </c>
      <c r="B14" t="inlineStr">
        <is>
          <t>37 added from hoggs below after shearing.</t>
        </is>
      </c>
      <c r="C14" t="n">
        <v>0</v>
      </c>
      <c r="D14" t="n">
        <v>0</v>
      </c>
      <c r="E14" t="inlineStr">
        <is>
          <t>Wethers</t>
        </is>
      </c>
    </row>
    <row r="15">
      <c r="A15" t="inlineStr">
        <is>
          <t>Stock</t>
        </is>
      </c>
      <c r="B15" t="inlineStr">
        <is>
          <t>Total, 483. 6 in murrain before shearing, as attested by an examination of the court rolls, and 2 after shearing.</t>
        </is>
      </c>
      <c r="C15" t="n">
        <v>0</v>
      </c>
      <c r="D15" t="n">
        <v>0</v>
      </c>
      <c r="E15" t="inlineStr">
        <is>
          <t>Wethers</t>
        </is>
      </c>
      <c r="H15" t="inlineStr">
        <is>
          <t>6</t>
        </is>
      </c>
    </row>
    <row r="16">
      <c r="A16" t="inlineStr">
        <is>
          <t>Stock</t>
        </is>
      </c>
      <c r="B16" t="inlineStr">
        <is>
          <t>27 kebbs sold within before shearing.</t>
        </is>
      </c>
      <c r="C16" t="n">
        <v>0</v>
      </c>
      <c r="D16" t="n">
        <v>0</v>
      </c>
      <c r="E16" t="inlineStr">
        <is>
          <t>Wethers</t>
        </is>
      </c>
      <c r="I16" t="inlineStr">
        <is>
          <t>27</t>
        </is>
      </c>
    </row>
    <row r="17">
      <c r="A17" t="inlineStr">
        <is>
          <t>Stock</t>
        </is>
      </c>
      <c r="B17" t="inlineStr">
        <is>
          <t>5 sold at the audit for 12 shilling, 4 of them before shearing.</t>
        </is>
      </c>
      <c r="C17" t="n">
        <v>0</v>
      </c>
      <c r="D17" t="n">
        <v>0</v>
      </c>
      <c r="E17" t="inlineStr">
        <is>
          <t>Wethers</t>
        </is>
      </c>
      <c r="I17" t="inlineStr">
        <is>
          <t>5</t>
        </is>
      </c>
    </row>
    <row r="18">
      <c r="A18" t="inlineStr">
        <is>
          <t>Stock</t>
        </is>
      </c>
      <c r="B18" t="inlineStr">
        <is>
          <t>Total, 40. 443 remain.</t>
        </is>
      </c>
      <c r="C18" t="n">
        <v>0</v>
      </c>
      <c r="D18" t="n">
        <v>0</v>
      </c>
      <c r="E18" t="inlineStr">
        <is>
          <t>Wethers</t>
        </is>
      </c>
    </row>
    <row r="19">
      <c r="A19" t="inlineStr">
        <is>
          <t>Stock</t>
        </is>
      </c>
      <c r="B19" t="inlineStr">
        <is>
          <t>Hoggs: 37 bought from the reeve of Ecchinswell before shearing.</t>
        </is>
      </c>
      <c r="C19" t="n">
        <v>0</v>
      </c>
      <c r="D19" t="n">
        <v>0</v>
      </c>
      <c r="E19" t="inlineStr">
        <is>
          <t>Hoggs</t>
        </is>
      </c>
      <c r="G19" t="inlineStr">
        <is>
          <t>37</t>
        </is>
      </c>
    </row>
    <row r="20">
      <c r="A20" t="inlineStr">
        <is>
          <t>Stock</t>
        </is>
      </c>
      <c r="B20" t="inlineStr">
        <is>
          <t>Total, 37. Added to the wethers above after shearing.</t>
        </is>
      </c>
      <c r="C20" t="n">
        <v>0</v>
      </c>
      <c r="D20" t="n">
        <v>0</v>
      </c>
      <c r="E20" t="inlineStr">
        <is>
          <t>Hoggs</t>
        </is>
      </c>
    </row>
    <row r="21">
      <c r="A21" t="inlineStr">
        <is>
          <t>Stock</t>
        </is>
      </c>
      <c r="B21" t="inlineStr">
        <is>
          <t>none remain.</t>
        </is>
      </c>
      <c r="C21" t="n">
        <v>0</v>
      </c>
      <c r="D21" t="n">
        <v>0</v>
      </c>
      <c r="E21" t="inlineStr">
        <is>
          <t>Hoggs</t>
        </is>
      </c>
    </row>
    <row r="22">
      <c r="A22" t="inlineStr">
        <is>
          <t>Stock</t>
        </is>
      </c>
      <c r="B22" t="inlineStr">
        <is>
          <t>Coarse wool: 409 fleeces from wethers and 37 from hoggs produced at the shearing this year, answering for an average of 1.25 lb a fleece, plus 1.75 lb in all.</t>
        </is>
      </c>
      <c r="C22" t="n">
        <v>0</v>
      </c>
      <c r="D22" t="n">
        <v>0</v>
      </c>
      <c r="E22" t="inlineStr">
        <is>
          <t>Coarse wool</t>
        </is>
      </c>
    </row>
    <row r="23">
      <c r="A23" t="inlineStr">
        <is>
          <t>Stock</t>
        </is>
      </c>
      <c r="B23" t="inlineStr">
        <is>
          <t>Total, 446. 44 in tithe.</t>
        </is>
      </c>
      <c r="C23" t="n">
        <v>0</v>
      </c>
      <c r="D23" t="n">
        <v>0</v>
      </c>
      <c r="E23" t="inlineStr">
        <is>
          <t>Coarse wool</t>
        </is>
      </c>
    </row>
    <row r="24">
      <c r="A24" t="inlineStr">
        <is>
          <t>Stock</t>
        </is>
      </c>
      <c r="B24" t="inlineStr">
        <is>
          <t>402 delivered to the treasurer of Wolvesey, weighing 1 sack 20 cloves..</t>
        </is>
      </c>
      <c r="C24" t="n">
        <v>0</v>
      </c>
      <c r="D24" t="n">
        <v>0</v>
      </c>
      <c r="E24" t="inlineStr">
        <is>
          <t>Coarse wool</t>
        </is>
      </c>
    </row>
    <row r="25">
      <c r="A25" t="inlineStr">
        <is>
          <t>Stock</t>
        </is>
      </c>
      <c r="B25" t="inlineStr">
        <is>
          <t>Woolskins: 6 from wethers in murrain before shearing.</t>
        </is>
      </c>
      <c r="C25" t="n">
        <v>0</v>
      </c>
      <c r="D25" t="n">
        <v>0</v>
      </c>
      <c r="E25" t="inlineStr">
        <is>
          <t>Woolskins</t>
        </is>
      </c>
      <c r="H25" t="inlineStr">
        <is>
          <t>6</t>
        </is>
      </c>
    </row>
    <row r="26">
      <c r="A26" t="inlineStr">
        <is>
          <t>Stock</t>
        </is>
      </c>
      <c r="B26" t="inlineStr">
        <is>
          <t>Total, 6. Sold within.</t>
        </is>
      </c>
      <c r="C26" t="n">
        <v>0</v>
      </c>
      <c r="D26" t="n">
        <v>0</v>
      </c>
      <c r="E26" t="inlineStr">
        <is>
          <t>Woolskins</t>
        </is>
      </c>
    </row>
    <row r="27">
      <c r="A27" t="inlineStr">
        <is>
          <t>Stock</t>
        </is>
      </c>
      <c r="B27" t="inlineStr">
        <is>
          <t>none remain.</t>
        </is>
      </c>
      <c r="C27" t="n">
        <v>0</v>
      </c>
      <c r="D27" t="n">
        <v>0</v>
      </c>
      <c r="E27" t="inlineStr">
        <is>
          <t>Woolskins</t>
        </is>
      </c>
    </row>
    <row r="28">
      <c r="A28" t="inlineStr">
        <is>
          <t>Stock</t>
        </is>
      </c>
      <c r="B28" t="inlineStr">
        <is>
          <t>Bare skins: 2 from wethers in murrain after shearing.</t>
        </is>
      </c>
      <c r="C28" t="n">
        <v>0</v>
      </c>
      <c r="D28" t="n">
        <v>0</v>
      </c>
      <c r="E28" t="inlineStr">
        <is>
          <t>Bareskins</t>
        </is>
      </c>
      <c r="H28" t="inlineStr">
        <is>
          <t>2</t>
        </is>
      </c>
    </row>
    <row r="29">
      <c r="A29" t="inlineStr">
        <is>
          <t>Stock</t>
        </is>
      </c>
      <c r="B29" t="inlineStr">
        <is>
          <t>sold within.</t>
        </is>
      </c>
      <c r="C29" t="n">
        <v>0</v>
      </c>
      <c r="D29" t="n">
        <v>0</v>
      </c>
      <c r="E29" t="inlineStr">
        <is>
          <t>Bareskins</t>
        </is>
      </c>
    </row>
    <row r="30">
      <c r="A30" t="inlineStr">
        <is>
          <t>Stock</t>
        </is>
      </c>
      <c r="B30" t="inlineStr">
        <is>
          <t>none remain..</t>
        </is>
      </c>
      <c r="C30" t="n">
        <v>0</v>
      </c>
      <c r="D30" t="n">
        <v>0</v>
      </c>
      <c r="E30" t="inlineStr">
        <is>
          <t>Bareskins</t>
        </is>
      </c>
    </row>
    <row r="31">
      <c r="A31" t="inlineStr">
        <is>
          <t>Stock</t>
        </is>
      </c>
      <c r="B31" t="inlineStr">
        <is>
          <t>Geese: 1 gander and 4 breeding geese remain.</t>
        </is>
      </c>
      <c r="C31" t="n">
        <v>0</v>
      </c>
      <c r="D31" t="n">
        <v>0</v>
      </c>
      <c r="E31" t="inlineStr">
        <is>
          <t>Poultry stock</t>
        </is>
      </c>
      <c r="F31" t="inlineStr">
        <is>
          <t>1</t>
        </is>
      </c>
    </row>
    <row r="32">
      <c r="A32" t="inlineStr">
        <is>
          <t>Stock</t>
        </is>
      </c>
      <c r="B32" t="inlineStr">
        <is>
          <t>they remain, worth 2 shilling 6pence, in the hands of the said farmer, to be handed back and restored as before.</t>
        </is>
      </c>
      <c r="C32" t="n">
        <v>0</v>
      </c>
      <c r="D32" t="n">
        <v>0</v>
      </c>
      <c r="E32" t="inlineStr">
        <is>
          <t>Poultry stock</t>
        </is>
      </c>
    </row>
    <row r="33">
      <c r="A33" t="inlineStr">
        <is>
          <t>Stock</t>
        </is>
      </c>
      <c r="B33" t="inlineStr">
        <is>
          <t>Cocks and hens: 1 cock and five hens remain.</t>
        </is>
      </c>
      <c r="C33" t="n">
        <v>0</v>
      </c>
      <c r="D33" t="n">
        <v>0</v>
      </c>
      <c r="E33" t="inlineStr">
        <is>
          <t>Poultry stock</t>
        </is>
      </c>
    </row>
    <row r="34">
      <c r="A34" t="inlineStr">
        <is>
          <t>Stock</t>
        </is>
      </c>
      <c r="B34" t="inlineStr">
        <is>
          <t>20 from the forester of Holhurst.</t>
        </is>
      </c>
      <c r="C34" t="n">
        <v>0</v>
      </c>
      <c r="D34" t="n">
        <v>0</v>
      </c>
      <c r="E34" t="inlineStr">
        <is>
          <t>Poultry stock</t>
        </is>
      </c>
    </row>
    <row r="35">
      <c r="A35" t="inlineStr">
        <is>
          <t>Stock</t>
        </is>
      </c>
      <c r="B35" t="inlineStr">
        <is>
          <t>60 from the churchscot of the customary tenants at Martinmas.</t>
        </is>
      </c>
      <c r="C35" t="n">
        <v>0</v>
      </c>
      <c r="D35" t="n">
        <v>0</v>
      </c>
      <c r="E35" t="inlineStr">
        <is>
          <t>Poultry stock</t>
        </is>
      </c>
    </row>
    <row r="36">
      <c r="A36" t="inlineStr">
        <is>
          <t>Stock</t>
        </is>
      </c>
      <c r="B36" t="inlineStr">
        <is>
          <t>3 bought.</t>
        </is>
      </c>
      <c r="C36" t="n">
        <v>0</v>
      </c>
      <c r="D36" t="n">
        <v>0</v>
      </c>
      <c r="E36" t="inlineStr">
        <is>
          <t>Poultry stock</t>
        </is>
      </c>
      <c r="G36" t="inlineStr">
        <is>
          <t>3</t>
        </is>
      </c>
    </row>
    <row r="37">
      <c r="A37" t="inlineStr">
        <is>
          <t>Stock</t>
        </is>
      </c>
      <c r="B37" t="inlineStr">
        <is>
          <t>Total, 89. 20 in default of the forester of Holhurst' because there is none there.</t>
        </is>
      </c>
      <c r="C37" t="n">
        <v>0</v>
      </c>
      <c r="D37" t="n">
        <v>0</v>
      </c>
      <c r="E37" t="inlineStr">
        <is>
          <t>Poultry stock</t>
        </is>
      </c>
    </row>
    <row r="38">
      <c r="A38" t="inlineStr">
        <is>
          <t>Stock</t>
        </is>
      </c>
      <c r="B38" t="inlineStr">
        <is>
          <t>8 in quittance of 1 smith.</t>
        </is>
      </c>
      <c r="C38" t="n">
        <v>0</v>
      </c>
      <c r="D38" t="n">
        <v>0</v>
      </c>
      <c r="E38" t="inlineStr">
        <is>
          <t>Poultry stock</t>
        </is>
      </c>
    </row>
    <row r="39">
      <c r="A39" t="inlineStr">
        <is>
          <t>Stock</t>
        </is>
      </c>
      <c r="B39" t="inlineStr">
        <is>
          <t>16 in default of 1 cotland of Richard Fox, 1 cotland of John Sele and 2 cotlands of Robert Bolt in the lord's hands through the death of the same.</t>
        </is>
      </c>
      <c r="C39" t="n">
        <v>0</v>
      </c>
      <c r="D39" t="n">
        <v>0</v>
      </c>
      <c r="E39" t="inlineStr">
        <is>
          <t>Poultry stock</t>
        </is>
      </c>
    </row>
    <row r="40">
      <c r="A40" t="inlineStr">
        <is>
          <t>Stock</t>
        </is>
      </c>
      <c r="B40" t="inlineStr">
        <is>
          <t>4 in default of 1 cotland of John Sele because it is let to Henry Scathelok' and Edith his wife by charter of lord William de Wykeham.</t>
        </is>
      </c>
      <c r="C40" t="n">
        <v>0</v>
      </c>
      <c r="D40" t="n">
        <v>0</v>
      </c>
      <c r="E40" t="inlineStr">
        <is>
          <t>Poultry stock</t>
        </is>
      </c>
    </row>
    <row r="41">
      <c r="A41" t="inlineStr">
        <is>
          <t>Stock</t>
        </is>
      </c>
      <c r="B41" t="inlineStr">
        <is>
          <t>2 in quittance of Geoffrey Berwyke because he has no wife.</t>
        </is>
      </c>
      <c r="C41" t="n">
        <v>0</v>
      </c>
      <c r="D41" t="n">
        <v>0</v>
      </c>
      <c r="E41" t="inlineStr">
        <is>
          <t>Poultry stock</t>
        </is>
      </c>
    </row>
    <row r="42">
      <c r="A42" t="inlineStr">
        <is>
          <t>Stock</t>
        </is>
      </c>
      <c r="B42" t="inlineStr">
        <is>
          <t>2 in quittance of Margery Honywell' because she has no husband.</t>
        </is>
      </c>
      <c r="C42" t="n">
        <v>0</v>
      </c>
      <c r="D42" t="n">
        <v>0</v>
      </c>
      <c r="E42" t="inlineStr">
        <is>
          <t>Poultry stock</t>
        </is>
      </c>
    </row>
    <row r="43">
      <c r="A43" t="inlineStr">
        <is>
          <t>Stock</t>
        </is>
      </c>
      <c r="B43" t="inlineStr">
        <is>
          <t>31 sold within.</t>
        </is>
      </c>
      <c r="C43" t="n">
        <v>0</v>
      </c>
      <c r="D43" t="n">
        <v>0</v>
      </c>
      <c r="E43" t="inlineStr">
        <is>
          <t>Poultry stock</t>
        </is>
      </c>
      <c r="I43" t="inlineStr">
        <is>
          <t>31</t>
        </is>
      </c>
    </row>
    <row r="44">
      <c r="A44" t="inlineStr">
        <is>
          <t>Stock</t>
        </is>
      </c>
      <c r="B44" t="inlineStr">
        <is>
          <t>Total 83. 1 cock and 5 hens, worth 1 shilling, remain in the hands of the said farmer, to be handed back as before.</t>
        </is>
      </c>
      <c r="C44" t="n">
        <v>0</v>
      </c>
      <c r="D44" t="n">
        <v>0</v>
      </c>
      <c r="E44" t="inlineStr">
        <is>
          <t>Poultry stock</t>
        </is>
      </c>
    </row>
    <row r="45">
      <c r="A45" t="inlineStr">
        <is>
          <t>Stock</t>
        </is>
      </c>
      <c r="B45" t="inlineStr">
        <is>
          <t>Eggs: 1,005 from the customary tenants according to custom at Easter.</t>
        </is>
      </c>
      <c r="C45" t="n">
        <v>0</v>
      </c>
      <c r="D45" t="n">
        <v>0</v>
      </c>
      <c r="E45" t="inlineStr">
        <is>
          <t>Poultry production</t>
        </is>
      </c>
    </row>
    <row r="46">
      <c r="A46" t="inlineStr">
        <is>
          <t>Stock</t>
        </is>
      </c>
      <c r="B46" t="inlineStr">
        <is>
          <t>none from those laid because they pertain to the farmer.</t>
        </is>
      </c>
      <c r="C46" t="n">
        <v>0</v>
      </c>
      <c r="D46" t="n">
        <v>0</v>
      </c>
      <c r="E46" t="inlineStr">
        <is>
          <t>Poultry production</t>
        </is>
      </c>
    </row>
    <row r="47">
      <c r="A47" t="inlineStr">
        <is>
          <t>Stock</t>
        </is>
      </c>
      <c r="B47" t="inlineStr">
        <is>
          <t>Total, 1,005. 22.5 in default of 1 cotland of Robert Fox, 1 cotland of John Sele, 1 cotland of John Cole and 2 cotlands of Robert Bolt because in the lord's hands as before, or 4.5 eggs each.</t>
        </is>
      </c>
      <c r="C47" t="n">
        <v>0</v>
      </c>
      <c r="D47" t="n">
        <v>0</v>
      </c>
      <c r="E47" t="inlineStr">
        <is>
          <t>Poultry production</t>
        </is>
      </c>
    </row>
    <row r="48">
      <c r="A48" t="inlineStr">
        <is>
          <t>Stock</t>
        </is>
      </c>
      <c r="B48"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48" t="n">
        <v>0</v>
      </c>
      <c r="D48" t="n">
        <v>0</v>
      </c>
      <c r="E48" t="inlineStr">
        <is>
          <t>Poultry production</t>
        </is>
      </c>
    </row>
    <row r="49">
      <c r="A49" t="inlineStr">
        <is>
          <t>Stock</t>
        </is>
      </c>
      <c r="B49" t="inlineStr">
        <is>
          <t>216 sold within.</t>
        </is>
      </c>
      <c r="C49" t="n">
        <v>0</v>
      </c>
      <c r="D49" t="n">
        <v>0</v>
      </c>
      <c r="E49" t="inlineStr">
        <is>
          <t>Poultry production</t>
        </is>
      </c>
      <c r="I49" t="inlineStr">
        <is>
          <t>216</t>
        </is>
      </c>
    </row>
    <row r="50">
      <c r="A50" t="inlineStr">
        <is>
          <t>Stock</t>
        </is>
      </c>
      <c r="B50" t="inlineStr">
        <is>
          <t>676.5 sold at the audit for 2 shilling 9.75pence.</t>
        </is>
      </c>
      <c r="C50" t="n">
        <v>0</v>
      </c>
      <c r="D50" t="n">
        <v>0</v>
      </c>
      <c r="E50" t="inlineStr">
        <is>
          <t>Poultry production</t>
        </is>
      </c>
      <c r="I50" t="inlineStr">
        <is>
          <t>5</t>
        </is>
      </c>
    </row>
    <row r="51">
      <c r="A51" t="inlineStr">
        <is>
          <t>Stock</t>
        </is>
      </c>
      <c r="B51" t="inlineStr">
        <is>
          <t>Total as before.</t>
        </is>
      </c>
      <c r="C51" t="n">
        <v>0</v>
      </c>
      <c r="D51" t="n">
        <v>0</v>
      </c>
      <c r="E51" t="inlineStr">
        <is>
          <t>Poultry production</t>
        </is>
      </c>
    </row>
    <row r="52">
      <c r="A52" t="inlineStr">
        <is>
          <t>Stock</t>
        </is>
      </c>
      <c r="B52" t="inlineStr">
        <is>
          <t>None remain.</t>
        </is>
      </c>
      <c r="C52" t="n">
        <v>0</v>
      </c>
      <c r="D52" t="n">
        <v>0</v>
      </c>
      <c r="E52" t="inlineStr">
        <is>
          <t>Poultry production</t>
        </is>
      </c>
    </row>
    <row r="53">
      <c r="A53" t="inlineStr">
        <is>
          <t>Stock</t>
        </is>
      </c>
      <c r="B53" t="inlineStr">
        <is>
          <t>Tiles: 1,050 plain tiles and 30 hollow tiles remain.</t>
        </is>
      </c>
      <c r="C53" t="n">
        <v>0</v>
      </c>
      <c r="D53" t="n">
        <v>0</v>
      </c>
      <c r="E53" t="inlineStr">
        <is>
          <t>Poultry production</t>
        </is>
      </c>
      <c r="F53" t="inlineStr">
        <is>
          <t>050</t>
        </is>
      </c>
    </row>
    <row r="54">
      <c r="A54" t="inlineStr">
        <is>
          <t>Stock</t>
        </is>
      </c>
      <c r="B54" t="inlineStr">
        <is>
          <t>24,000 plain tiles and 700 hollow tiles made this year.</t>
        </is>
      </c>
      <c r="C54" t="n">
        <v>0</v>
      </c>
      <c r="D54" t="n">
        <v>0</v>
      </c>
      <c r="E54" t="inlineStr">
        <is>
          <t>Poultry production</t>
        </is>
      </c>
    </row>
    <row r="55">
      <c r="A55" t="inlineStr">
        <is>
          <t>Stock</t>
        </is>
      </c>
      <c r="B55" t="inlineStr">
        <is>
          <t>Total, 25,780. 6,500 plain tiles and 60 hollow tiles used in tiling anew the roof on the south side of the chapel.</t>
        </is>
      </c>
      <c r="C55" t="n">
        <v>0</v>
      </c>
      <c r="D55" t="n">
        <v>0</v>
      </c>
      <c r="E55" t="inlineStr">
        <is>
          <t>Poultry production</t>
        </is>
      </c>
    </row>
    <row r="56">
      <c r="A56" t="inlineStr">
        <is>
          <t>Stock</t>
        </is>
      </c>
      <c r="B56" t="inlineStr">
        <is>
          <t>4,000 plain tiles and 100 hollow tiles used in roofing other buildings inside and outside the curia.</t>
        </is>
      </c>
      <c r="C56" t="n">
        <v>0</v>
      </c>
      <c r="D56" t="n">
        <v>0</v>
      </c>
      <c r="E56" t="inlineStr">
        <is>
          <t>Poultry production</t>
        </is>
      </c>
    </row>
    <row r="57">
      <c r="A57" t="inlineStr">
        <is>
          <t>Stock</t>
        </is>
      </c>
      <c r="B57" t="inlineStr">
        <is>
          <t>1,000 plain tiles sold within, 500 of them to the reeve of Ecchinswell.</t>
        </is>
      </c>
      <c r="C57" t="n">
        <v>0</v>
      </c>
      <c r="D57" t="n">
        <v>0</v>
      </c>
      <c r="E57" t="inlineStr">
        <is>
          <t>Poultry production</t>
        </is>
      </c>
      <c r="I57" t="inlineStr">
        <is>
          <t>000</t>
        </is>
      </c>
    </row>
    <row r="58">
      <c r="A58" t="inlineStr">
        <is>
          <t>Stock</t>
        </is>
      </c>
      <c r="B58" t="inlineStr">
        <is>
          <t>Total, 11,660. 13,550 plain tiles and 570 hollow tiles remain.</t>
        </is>
      </c>
      <c r="C58" t="n">
        <v>0</v>
      </c>
      <c r="D58" t="n">
        <v>0</v>
      </c>
      <c r="E58" t="inlineStr">
        <is>
          <t>Poultry production</t>
        </is>
      </c>
    </row>
    <row r="59">
      <c r="A59" t="inlineStr">
        <is>
          <t>Stock</t>
        </is>
      </c>
      <c r="B59" t="inlineStr">
        <is>
          <t>Lime: 3 quarters remain.</t>
        </is>
      </c>
      <c r="C59" t="n">
        <v>0</v>
      </c>
      <c r="D59" t="n">
        <v>0</v>
      </c>
      <c r="E59" t="inlineStr">
        <is>
          <t>Poultry production</t>
        </is>
      </c>
    </row>
    <row r="60">
      <c r="A60" t="inlineStr">
        <is>
          <t>Stock</t>
        </is>
      </c>
      <c r="B60" t="inlineStr">
        <is>
          <t>15 quarters 4 bushels made this year.</t>
        </is>
      </c>
      <c r="C60" t="n">
        <v>0</v>
      </c>
      <c r="D60" t="n">
        <v>0</v>
      </c>
      <c r="E60" t="inlineStr">
        <is>
          <t>Poultry production</t>
        </is>
      </c>
    </row>
    <row r="61">
      <c r="A61" t="inlineStr">
        <is>
          <t>Stock</t>
        </is>
      </c>
      <c r="B61" t="inlineStr">
        <is>
          <t>Total, 18 quarters 4 bushels 10 quarters 4 bushels used in roofing the buildings and in whitewashing and pargeting the walls of the chamber of the middle gate.</t>
        </is>
      </c>
      <c r="C61" t="n">
        <v>0</v>
      </c>
      <c r="D61" t="n">
        <v>0</v>
      </c>
      <c r="E61" t="inlineStr">
        <is>
          <t>Poultry production</t>
        </is>
      </c>
    </row>
    <row r="62">
      <c r="A62" t="inlineStr">
        <is>
          <t>Stock</t>
        </is>
      </c>
      <c r="B62" t="inlineStr">
        <is>
          <t>Total, 10 quarters 4 bushels 8 quarters remain.</t>
        </is>
      </c>
      <c r="C62" t="n">
        <v>0</v>
      </c>
      <c r="D62" t="n">
        <v>0</v>
      </c>
      <c r="E62" t="inlineStr">
        <is>
          <t>Poultry production</t>
        </is>
      </c>
    </row>
    <row r="63">
      <c r="A63" t="inlineStr">
        <is>
          <t>Stock</t>
        </is>
      </c>
      <c r="B63" t="inlineStr">
        <is>
          <t>Shingles: 400 remain.</t>
        </is>
      </c>
      <c r="C63" t="n">
        <v>0</v>
      </c>
      <c r="D63" t="n">
        <v>0</v>
      </c>
      <c r="E63" t="inlineStr">
        <is>
          <t>Poultry production</t>
        </is>
      </c>
    </row>
    <row r="64">
      <c r="A64" t="inlineStr">
        <is>
          <t>Stock</t>
        </is>
      </c>
      <c r="B64" t="inlineStr">
        <is>
          <t>Total, 400. All used in roofing the small vestry beside the chapel.</t>
        </is>
      </c>
      <c r="C64" t="n">
        <v>0</v>
      </c>
      <c r="D64" t="n">
        <v>0</v>
      </c>
      <c r="E64" t="inlineStr">
        <is>
          <t>Poultry production</t>
        </is>
      </c>
    </row>
    <row r="65">
      <c r="A65" t="inlineStr">
        <is>
          <t>Stock</t>
        </is>
      </c>
      <c r="B65" t="inlineStr">
        <is>
          <t>none remain.</t>
        </is>
      </c>
      <c r="C65" t="n">
        <v>0</v>
      </c>
      <c r="D65" t="n">
        <v>0</v>
      </c>
      <c r="E65" t="inlineStr">
        <is>
          <t>Poultry production</t>
        </is>
      </c>
    </row>
    <row r="66">
      <c r="A66" t="inlineStr">
        <is>
          <t>Stock</t>
        </is>
      </c>
      <c r="B66" t="inlineStr">
        <is>
          <t>Laths: 1,100 made from the lord's timber this year.</t>
        </is>
      </c>
      <c r="C66" t="n">
        <v>0</v>
      </c>
      <c r="D66" t="n">
        <v>0</v>
      </c>
      <c r="E66" t="inlineStr">
        <is>
          <t>Poultry production</t>
        </is>
      </c>
    </row>
    <row r="67">
      <c r="A67" t="inlineStr">
        <is>
          <t>Stock</t>
        </is>
      </c>
      <c r="B67" t="inlineStr">
        <is>
          <t>300 bought.</t>
        </is>
      </c>
      <c r="C67" t="n">
        <v>0</v>
      </c>
      <c r="D67" t="n">
        <v>0</v>
      </c>
      <c r="E67" t="inlineStr">
        <is>
          <t>Poultry production</t>
        </is>
      </c>
      <c r="G67" t="inlineStr">
        <is>
          <t>300</t>
        </is>
      </c>
    </row>
    <row r="68">
      <c r="A68" t="inlineStr">
        <is>
          <t>Stock</t>
        </is>
      </c>
      <c r="B68" t="inlineStr">
        <is>
          <t>Total, 1,400. 1,300 used in tiling anew the roof on the south side of the chapel and the other buildings inside and outside the curia.</t>
        </is>
      </c>
      <c r="C68" t="n">
        <v>0</v>
      </c>
      <c r="D68" t="n">
        <v>0</v>
      </c>
      <c r="E68" t="inlineStr">
        <is>
          <t>Poultry production</t>
        </is>
      </c>
    </row>
    <row r="69">
      <c r="A69" t="inlineStr">
        <is>
          <t>Stock</t>
        </is>
      </c>
      <c r="B69" t="inlineStr">
        <is>
          <t>Total, 1,300. 100 remain.</t>
        </is>
      </c>
      <c r="C69" t="n">
        <v>0</v>
      </c>
      <c r="D69" t="n">
        <v>0</v>
      </c>
      <c r="E69" t="inlineStr">
        <is>
          <t>Poultry production</t>
        </is>
      </c>
    </row>
    <row r="70">
      <c r="A70" t="inlineStr">
        <is>
          <t>Stock</t>
        </is>
      </c>
      <c r="B70" t="inlineStr">
        <is>
          <t>Planks: 12 remain.</t>
        </is>
      </c>
      <c r="C70" t="n">
        <v>0</v>
      </c>
      <c r="D70" t="n">
        <v>0</v>
      </c>
      <c r="E70" t="inlineStr">
        <is>
          <t>Poultry production</t>
        </is>
      </c>
    </row>
    <row r="71">
      <c r="A71" t="inlineStr">
        <is>
          <t>Stock</t>
        </is>
      </c>
      <c r="B71" t="inlineStr">
        <is>
          <t>Total, 12. 2 used.</t>
        </is>
      </c>
      <c r="C71" t="n">
        <v>0</v>
      </c>
      <c r="D71" t="n">
        <v>0</v>
      </c>
      <c r="E71" t="inlineStr">
        <is>
          <t>Poultry production</t>
        </is>
      </c>
    </row>
    <row r="72">
      <c r="A72" t="inlineStr">
        <is>
          <t>Stock</t>
        </is>
      </c>
      <c r="B72" t="inlineStr">
        <is>
          <t>10 remain.</t>
        </is>
      </c>
      <c r="C72" t="n">
        <v>0</v>
      </c>
      <c r="D72" t="n">
        <v>0</v>
      </c>
      <c r="E72" t="inlineStr">
        <is>
          <t>Poultry production</t>
        </is>
      </c>
    </row>
    <row r="73">
      <c r="A73" t="inlineStr">
        <is>
          <t>Stock</t>
        </is>
      </c>
      <c r="B73"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73" t="n">
        <v>0</v>
      </c>
      <c r="D73" t="n">
        <v>0</v>
      </c>
      <c r="E73" t="inlineStr">
        <is>
          <t>Poultry production</t>
        </is>
      </c>
    </row>
    <row r="74">
      <c r="A74" t="inlineStr">
        <is>
          <t>Stock</t>
        </is>
      </c>
      <c r="B74" t="inlineStr">
        <is>
          <t>nevertheless the farmer will have and receive from each customary tenant 1 man at harvest-time according to agreement during the 5 years of the farm, this year being the third.</t>
        </is>
      </c>
      <c r="C74" t="n">
        <v>0</v>
      </c>
      <c r="D74" t="n">
        <v>0</v>
      </c>
      <c r="E74" t="inlineStr">
        <is>
          <t>Poultry production</t>
        </is>
      </c>
    </row>
    <row r="75">
      <c r="A75" t="inlineStr">
        <is>
          <t>Stock</t>
        </is>
      </c>
      <c r="B75"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75" t="n">
        <v>0</v>
      </c>
      <c r="D75" t="n">
        <v>0</v>
      </c>
      <c r="E75" t="inlineStr">
        <is>
          <t>Utensils</t>
        </is>
      </c>
    </row>
    <row r="76">
      <c r="A76" t="inlineStr">
        <is>
          <t>Stock</t>
        </is>
      </c>
      <c r="B76" t="inlineStr">
        <is>
          <t>Total</t>
        </is>
      </c>
      <c r="C76" t="n">
        <v>0</v>
      </c>
      <c r="D76" t="n">
        <v>0</v>
      </c>
      <c r="E76"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john balhorw, farmer there, answers for 47 acres as they lie, which measure 22 acres by the perch, sown in the field of la butteme with 6 quarters 1 bushels of wheat remaining..</t>
        </is>
      </c>
      <c r="C3" t="n">
        <v>0</v>
      </c>
      <c r="D3" t="n">
        <v>0</v>
      </c>
      <c r="E3" t="n">
        <v>6</v>
      </c>
      <c r="F3" t="n">
        <v>1</v>
      </c>
      <c r="G3" t="n">
        <v>6.12</v>
      </c>
      <c r="H3" t="n">
        <v>0</v>
      </c>
      <c r="I3" t="n">
        <v>0</v>
      </c>
      <c r="J3" t="n">
        <v>0</v>
      </c>
      <c r="K3" t="n">
        <v>0</v>
      </c>
      <c r="L3" t="n">
        <v>0</v>
      </c>
      <c r="M3" t="n">
        <v>0</v>
      </c>
      <c r="N3" t="n">
        <v>0</v>
      </c>
      <c r="O3" t="n">
        <v>0</v>
      </c>
      <c r="P3" t="n">
        <v>0</v>
      </c>
      <c r="Q3" t="n">
        <v>0</v>
      </c>
      <c r="R3" t="n">
        <v>0</v>
      </c>
      <c r="S3" t="n">
        <v>0</v>
      </c>
      <c r="T3" t="n">
        <v>0</v>
      </c>
      <c r="U3" t="n">
        <v>0</v>
      </c>
      <c r="V3" t="n">
        <v>0</v>
      </c>
      <c r="W3" t="n">
        <v>0</v>
      </c>
      <c r="X3" t="n">
        <v>6</v>
      </c>
      <c r="Y3" t="n">
        <v>1</v>
      </c>
      <c r="Z3" t="n">
        <v>6.12</v>
      </c>
      <c r="AA3" t="n">
        <v>6.12</v>
      </c>
      <c r="AB3" t="n">
        <v>0</v>
      </c>
      <c r="AC3" t="n">
        <v>6</v>
      </c>
      <c r="AD3" t="n">
        <v>1</v>
      </c>
      <c r="AG3" t="n">
        <v>0</v>
      </c>
    </row>
    <row r="4">
      <c r="A4" t="inlineStr">
        <is>
          <t>wheat</t>
        </is>
      </c>
      <c r="B4" t="inlineStr">
        <is>
          <t>total, 47 acres.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G4" t="n">
        <v>0</v>
      </c>
    </row>
    <row r="5">
      <c r="A5" t="inlineStr">
        <is>
          <t>wheat</t>
        </is>
      </c>
      <c r="B5" t="inlineStr">
        <is>
          <t>47 acres sown with wheat, worth 3 shilling 4pence an acre, remain in the hands of the said farmer, to be handed back and restored at the end of his term of 5 years, this year being the third.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G6" t="n">
        <v>0</v>
      </c>
    </row>
    <row r="7">
      <c r="A7" t="inlineStr">
        <is>
          <t>barley</t>
        </is>
      </c>
      <c r="B7" t="inlineStr">
        <is>
          <t>and for 39.5 acres 1 rood of land as they lie, which measure 18 acres 1 rood by the perch, sown in the field of la stupe and la butteme with 9 quarters 1 bushels of barley remaining..</t>
        </is>
      </c>
      <c r="C7" t="n">
        <v>0</v>
      </c>
      <c r="D7" t="n">
        <v>0</v>
      </c>
      <c r="E7" t="n">
        <v>9</v>
      </c>
      <c r="F7" t="n">
        <v>1</v>
      </c>
      <c r="G7" t="n">
        <v>9.119999999999999</v>
      </c>
      <c r="H7" t="n">
        <v>0</v>
      </c>
      <c r="I7" t="n">
        <v>0</v>
      </c>
      <c r="J7" t="n">
        <v>0</v>
      </c>
      <c r="K7" t="n">
        <v>0</v>
      </c>
      <c r="L7" t="n">
        <v>0</v>
      </c>
      <c r="M7" t="n">
        <v>0</v>
      </c>
      <c r="N7" t="n">
        <v>0</v>
      </c>
      <c r="O7" t="n">
        <v>0</v>
      </c>
      <c r="P7" t="n">
        <v>0</v>
      </c>
      <c r="Q7" t="n">
        <v>0</v>
      </c>
      <c r="R7" t="n">
        <v>0</v>
      </c>
      <c r="S7" t="n">
        <v>0</v>
      </c>
      <c r="T7" t="n">
        <v>0</v>
      </c>
      <c r="U7" t="n">
        <v>0</v>
      </c>
      <c r="V7" t="n">
        <v>0</v>
      </c>
      <c r="W7" t="n">
        <v>0</v>
      </c>
      <c r="X7" t="n">
        <v>9</v>
      </c>
      <c r="Y7" t="n">
        <v>1</v>
      </c>
      <c r="Z7" t="n">
        <v>9.119999999999999</v>
      </c>
      <c r="AA7" t="n">
        <v>9.119999999999999</v>
      </c>
      <c r="AB7" t="n">
        <v>0</v>
      </c>
      <c r="AC7" t="n">
        <v>9</v>
      </c>
      <c r="AD7" t="n">
        <v>1</v>
      </c>
      <c r="AG7" t="n">
        <v>0</v>
      </c>
    </row>
    <row r="8">
      <c r="A8" t="inlineStr">
        <is>
          <t>barley</t>
        </is>
      </c>
      <c r="B8" t="inlineStr">
        <is>
          <t>total, 39.5 acres 1 rood.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G8" t="n">
        <v>0</v>
      </c>
    </row>
    <row r="9">
      <c r="A9" t="inlineStr">
        <is>
          <t>barley</t>
        </is>
      </c>
      <c r="B9" t="inlineStr">
        <is>
          <t>39.5 acres 1 rood sown with barley, worth 2 shilling 6pence an acre, remain in the hands of the said farmer, to be handed back and restored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G9" t="n">
        <v>0</v>
      </c>
    </row>
    <row r="10">
      <c r="A10" t="inlineStr">
        <is>
          <t>barley</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G10" t="n">
        <v>0</v>
      </c>
    </row>
    <row r="11">
      <c r="A11" t="inlineStr">
        <is>
          <t>oats</t>
        </is>
      </c>
      <c r="B11" t="inlineStr">
        <is>
          <t>and for 23 acres of land as they lie, which measure 10 acres by the perch, sown in the field of la stupe and middelfelde with 5 quarters of oats remaining, worth 1 shilling 6pence an acre..</t>
        </is>
      </c>
      <c r="C11" t="n">
        <v>0</v>
      </c>
      <c r="D11" t="n">
        <v>0</v>
      </c>
      <c r="E11" t="n">
        <v>5</v>
      </c>
      <c r="F11" t="n">
        <v>0</v>
      </c>
      <c r="G11" t="n">
        <v>5</v>
      </c>
      <c r="H11" t="n">
        <v>0</v>
      </c>
      <c r="I11" t="n">
        <v>0</v>
      </c>
      <c r="J11" t="n">
        <v>0</v>
      </c>
      <c r="K11" t="n">
        <v>0</v>
      </c>
      <c r="L11" t="n">
        <v>0</v>
      </c>
      <c r="M11" t="n">
        <v>0</v>
      </c>
      <c r="N11" t="n">
        <v>0</v>
      </c>
      <c r="O11" t="n">
        <v>0</v>
      </c>
      <c r="P11" t="n">
        <v>0</v>
      </c>
      <c r="Q11" t="n">
        <v>0</v>
      </c>
      <c r="R11" t="n">
        <v>0</v>
      </c>
      <c r="S11" t="n">
        <v>0</v>
      </c>
      <c r="T11" t="n">
        <v>0</v>
      </c>
      <c r="U11" t="n">
        <v>0</v>
      </c>
      <c r="V11" t="n">
        <v>0</v>
      </c>
      <c r="W11" t="n">
        <v>0</v>
      </c>
      <c r="X11" t="n">
        <v>5</v>
      </c>
      <c r="Y11" t="n">
        <v>0</v>
      </c>
      <c r="Z11" t="n">
        <v>5</v>
      </c>
      <c r="AA11" t="n">
        <v>5</v>
      </c>
      <c r="AB11" t="n">
        <v>0</v>
      </c>
      <c r="AC11" t="n">
        <v>5</v>
      </c>
      <c r="AD11" t="n">
        <v>0</v>
      </c>
      <c r="AG11" t="n">
        <v>0</v>
      </c>
    </row>
    <row r="12">
      <c r="A12" t="inlineStr">
        <is>
          <t>oats</t>
        </is>
      </c>
      <c r="B12" t="inlineStr">
        <is>
          <t>total, 23 acres.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G12" t="n">
        <v>0</v>
      </c>
    </row>
    <row r="13">
      <c r="A13" t="inlineStr">
        <is>
          <t>oats</t>
        </is>
      </c>
      <c r="B13" t="inlineStr">
        <is>
          <t>23 acres sown with oats, worth 1 shilling 6pence an acre, remain in the hands of the said farmer, to be handed back and restored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G1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2026-01-17T10:57:57Z</dcterms:modified>
  <cp:lastModifiedBy>Kowalski, Kuba</cp:lastModifiedBy>
</cp:coreProperties>
</file>
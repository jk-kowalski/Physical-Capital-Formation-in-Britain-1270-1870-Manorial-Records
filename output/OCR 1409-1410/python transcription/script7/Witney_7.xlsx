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WITNEY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23.01</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33.33</v>
      </c>
    </row>
    <row r="12">
      <c r="A12" s="76" t="inlineStr">
        <is>
          <t>Total of rents remaining clear total</t>
        </is>
      </c>
      <c r="B12" s="76" t="n">
        <v>43.68</v>
      </c>
    </row>
    <row r="13">
      <c r="A13" s="76" t="inlineStr">
        <is>
          <t>Farms total</t>
        </is>
      </c>
      <c r="B13" s="76" t="n"/>
    </row>
    <row r="14">
      <c r="A14" s="15" t="inlineStr">
        <is>
          <t>Annual recognizances total</t>
        </is>
      </c>
      <c r="B14" s="76" t="n"/>
    </row>
    <row r="15">
      <c r="A15" s="15" t="inlineStr">
        <is>
          <t>Issues of the Manor total</t>
        </is>
      </c>
      <c r="B15" s="76" t="n">
        <v>41.72</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v>5.22</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'Receipts'!F148</f>
        <v/>
      </c>
      <c r="C25" s="10">
        <f>B23-B25</f>
        <v/>
      </c>
    </row>
    <row r="26">
      <c r="A26" s="83" t="inlineStr">
        <is>
          <t>Total recorded in the accounts incl. arrears</t>
        </is>
      </c>
      <c r="B26">
        <f>'Receipts'!F149</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c r="B34" t="n">
        <v>53.09</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0.88</v>
      </c>
    </row>
    <row r="43">
      <c r="A43" s="85" t="inlineStr">
        <is>
          <t>Annual fees</t>
        </is>
      </c>
      <c r="B43" s="86" t="n"/>
      <c r="C43" s="87" t="n"/>
      <c r="D43" s="88" t="n"/>
    </row>
    <row r="44">
      <c r="A44" s="82" t="inlineStr">
        <is>
          <t>Total of all expenses per account</t>
        </is>
      </c>
      <c r="B44" s="84">
        <f>'Expenses'!F40</f>
        <v/>
      </c>
    </row>
    <row r="45">
      <c r="A45" s="82" t="inlineStr">
        <is>
          <t>Total of all expenses (calculated here)</t>
        </is>
      </c>
      <c r="B45" s="84">
        <f>'Expenses'!F41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77.91</v>
      </c>
    </row>
    <row r="51">
      <c r="A51" s="15" t="n"/>
    </row>
    <row r="52">
      <c r="A52" s="18" t="inlineStr">
        <is>
          <t>Allowances</t>
        </is>
      </c>
      <c r="B52" s="84" t="n"/>
    </row>
    <row r="53">
      <c r="A53" s="18" t="inlineStr">
        <is>
          <t>Cash deliveries</t>
        </is>
      </c>
      <c r="B53" s="84" t="n">
        <v>57</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317</v>
      </c>
      <c r="C101" s="76">
        <f>'Stock'!L19</f>
        <v/>
      </c>
      <c r="D101" s="76">
        <f>C101-B101</f>
        <v/>
      </c>
      <c r="F101" s="84">
        <f>'Stock'!L19*'Stock'!O19</f>
        <v/>
      </c>
      <c r="G101" s="84">
        <f>D101*'Stock'!O19</f>
        <v/>
      </c>
    </row>
    <row r="102">
      <c r="A102" s="15" t="inlineStr">
        <is>
          <t>Rams</t>
        </is>
      </c>
      <c r="B102" s="76" t="n">
        <v>7</v>
      </c>
      <c r="C102" s="76">
        <f>'Stock'!L20</f>
        <v/>
      </c>
      <c r="D102" s="76">
        <f>C102-B102</f>
        <v/>
      </c>
      <c r="F102" s="84">
        <f>'Stock'!L20*'Stock'!O20</f>
        <v/>
      </c>
      <c r="G102" s="84">
        <f>D102*'Stock'!O20</f>
        <v/>
      </c>
    </row>
    <row r="103">
      <c r="A103" s="15" t="inlineStr">
        <is>
          <t>Ewes</t>
        </is>
      </c>
      <c r="B103" s="76" t="n">
        <v>256</v>
      </c>
      <c r="C103" s="76">
        <f>'Stock'!L21</f>
        <v/>
      </c>
      <c r="D103" s="76">
        <f>C103-B103</f>
        <v/>
      </c>
      <c r="F103" s="84">
        <f>'Stock'!L21*'Stock'!O21</f>
        <v/>
      </c>
      <c r="G103" s="84">
        <f>D103*'Stock'!O21</f>
        <v/>
      </c>
    </row>
    <row r="104">
      <c r="A104" s="15" t="inlineStr">
        <is>
          <t>Hoggs</t>
        </is>
      </c>
      <c r="B104" s="76" t="n">
        <v>218</v>
      </c>
      <c r="C104" s="76">
        <f>'Stock'!L22</f>
        <v/>
      </c>
      <c r="D104" s="76">
        <f>C104-B104</f>
        <v/>
      </c>
      <c r="F104" s="84">
        <f>'Stock'!L22*'Stock'!O22</f>
        <v/>
      </c>
      <c r="G104" s="84">
        <f>D104*'Stock'!O22</f>
        <v/>
      </c>
    </row>
    <row r="105">
      <c r="A105" s="15" t="inlineStr">
        <is>
          <t>Lambs</t>
        </is>
      </c>
      <c r="B105" s="76" t="n">
        <v>50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49"/>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WITNEY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23</v>
      </c>
      <c r="C3" s="128" t="n">
        <v>0</v>
      </c>
      <c r="D3" s="128" t="n">
        <v>2.25</v>
      </c>
      <c r="E3" s="128" t="n"/>
      <c r="F3" s="128" t="n">
        <v>23.01</v>
      </c>
      <c r="G3" s="128" t="n"/>
      <c r="H3" s="128" t="inlineStr">
        <is>
          <t>The same answers for £23 2.25pence of arrears from his last account of the preceding year.</t>
        </is>
      </c>
      <c r="I3" s="128" t="n"/>
    </row>
    <row r="4">
      <c r="A4" s="137" t="inlineStr">
        <is>
          <t>Arrears</t>
        </is>
      </c>
      <c r="B4" s="128" t="n">
        <v>23</v>
      </c>
      <c r="C4" s="128" t="n">
        <v>0</v>
      </c>
      <c r="D4" s="128" t="n">
        <v>2.25</v>
      </c>
      <c r="E4" s="128" t="n"/>
      <c r="F4" s="128" t="n">
        <v>23.01</v>
      </c>
      <c r="G4" s="128" t="n"/>
      <c r="H4" s="128" t="inlineStr">
        <is>
          <t>Total, £23 2.25pence.</t>
        </is>
      </c>
      <c r="I4" s="128" t="n"/>
    </row>
    <row r="5">
      <c r="A5" s="138" t="inlineStr">
        <is>
          <t>Arrears total</t>
        </is>
      </c>
      <c r="B5" s="139" t="n"/>
      <c r="C5" s="139" t="n"/>
      <c r="D5" s="139" t="n"/>
      <c r="E5" s="139" t="n"/>
      <c r="F5" s="139" t="n">
        <v>23.01</v>
      </c>
      <c r="G5" s="139" t="n">
        <v>0</v>
      </c>
      <c r="H5" s="139" t="inlineStr">
        <is>
          <t>Total</t>
        </is>
      </c>
      <c r="I5" s="139" t="n"/>
    </row>
    <row r="6">
      <c r="A6" s="137" t="n"/>
      <c r="B6" s="128" t="n"/>
      <c r="C6" s="128" t="n"/>
      <c r="D6" s="128" t="n"/>
      <c r="E6" s="128" t="n"/>
      <c r="F6" s="128" t="n"/>
      <c r="G6" s="128" t="n"/>
      <c r="H6" s="128" t="n"/>
      <c r="I6" s="128" t="n"/>
    </row>
    <row r="7">
      <c r="A7" s="136" t="inlineStr">
        <is>
          <t>Total of quittances and defaults of rent</t>
        </is>
      </c>
      <c r="B7" s="128" t="n">
        <v>33</v>
      </c>
      <c r="C7" s="128" t="n">
        <v>6</v>
      </c>
      <c r="D7" s="128" t="n">
        <v>6.75</v>
      </c>
      <c r="E7" s="128" t="n"/>
      <c r="F7" s="128" t="n">
        <v>33.33</v>
      </c>
      <c r="G7" s="128" t="n"/>
      <c r="H7" s="128" t="inlineStr">
        <is>
          <t>Total of quittances and defaults of rent, £33 6 shilling 6.75pence.</t>
        </is>
      </c>
      <c r="I7" s="128" t="n"/>
    </row>
    <row r="8">
      <c r="A8" s="138" t="inlineStr">
        <is>
          <t>Total of quittances and defaults of rent total</t>
        </is>
      </c>
      <c r="B8" s="139" t="n"/>
      <c r="C8" s="139" t="n"/>
      <c r="D8" s="139" t="n"/>
      <c r="E8" s="139" t="n"/>
      <c r="F8" s="139" t="n">
        <v>33.33</v>
      </c>
      <c r="G8" s="139" t="n">
        <v>0</v>
      </c>
      <c r="H8" s="139" t="inlineStr">
        <is>
          <t>Total</t>
        </is>
      </c>
      <c r="I8" s="139" t="n"/>
    </row>
    <row r="9">
      <c r="A9" s="137" t="n"/>
      <c r="B9" s="128" t="n"/>
      <c r="C9" s="128" t="n"/>
      <c r="D9" s="128" t="n"/>
      <c r="E9" s="128" t="n"/>
      <c r="F9" s="128" t="n"/>
      <c r="G9" s="128" t="n"/>
      <c r="H9" s="128" t="n"/>
      <c r="I9" s="128" t="n"/>
    </row>
    <row r="10">
      <c r="A10" s="136" t="inlineStr">
        <is>
          <t>Total of rents remaining clear</t>
        </is>
      </c>
      <c r="B10" s="128" t="n">
        <v>43</v>
      </c>
      <c r="C10" s="128" t="n">
        <v>13</v>
      </c>
      <c r="D10" s="128" t="n">
        <v>7</v>
      </c>
      <c r="E10" s="128" t="n"/>
      <c r="F10" s="128" t="n">
        <v>43.68</v>
      </c>
      <c r="G10" s="128" t="n"/>
      <c r="H10" s="128" t="inlineStr">
        <is>
          <t>Total of rents remaining clear, £43 13 shilling 7pence.</t>
        </is>
      </c>
      <c r="I10" s="128" t="n"/>
    </row>
    <row r="11">
      <c r="A11" s="138" t="inlineStr">
        <is>
          <t>Total of rents remaining clear total</t>
        </is>
      </c>
      <c r="B11" s="139" t="n"/>
      <c r="C11" s="139" t="n"/>
      <c r="D11" s="139" t="n"/>
      <c r="E11" s="139" t="n"/>
      <c r="F11" s="139" t="n">
        <v>43.68</v>
      </c>
      <c r="G11" s="139" t="n">
        <v>0</v>
      </c>
      <c r="H11" s="139" t="inlineStr">
        <is>
          <t>Total</t>
        </is>
      </c>
      <c r="I11" s="139" t="n"/>
    </row>
    <row r="12">
      <c r="A12" s="137" t="n"/>
      <c r="B12" s="128" t="n"/>
      <c r="C12" s="128" t="n"/>
      <c r="D12" s="128" t="n"/>
      <c r="E12" s="128" t="n"/>
      <c r="F12" s="128" t="n"/>
      <c r="G12" s="128" t="n"/>
      <c r="H12" s="128" t="n"/>
      <c r="I12" s="128" t="n"/>
    </row>
    <row r="13">
      <c r="A13" s="136" t="inlineStr">
        <is>
          <t>Issues of the manor</t>
        </is>
      </c>
      <c r="B13" s="128" t="n">
        <v>0</v>
      </c>
      <c r="C13" s="128" t="n">
        <v>3</v>
      </c>
      <c r="D13" s="128" t="n">
        <v>6</v>
      </c>
      <c r="E13" s="128" t="n"/>
      <c r="F13" s="128" t="n">
        <v>0.17</v>
      </c>
      <c r="G13" s="128" t="n"/>
      <c r="H13" s="128" t="inlineStr">
        <is>
          <t>And for 3 shilling 6pence from the pannage of the pigs of the customary tenants at Martinmas.</t>
        </is>
      </c>
      <c r="I13" s="128" t="n"/>
    </row>
    <row r="14">
      <c r="A14" s="137" t="inlineStr">
        <is>
          <t>Issues of the manor</t>
        </is>
      </c>
      <c r="B14" s="128" t="n">
        <v>0</v>
      </c>
      <c r="C14" s="128" t="n">
        <v>0</v>
      </c>
      <c r="D14" s="128" t="n">
        <v>0</v>
      </c>
      <c r="E14" s="128" t="n"/>
      <c r="F14" s="128" t="n">
        <v>0</v>
      </c>
      <c r="G14" s="128" t="n"/>
      <c r="H14" s="128" t="inlineStr">
        <is>
          <t>nothing from the pannage of the pigs of the borough because noone had pigs outsidevthe borough.</t>
        </is>
      </c>
      <c r="I14" s="128" t="n"/>
    </row>
    <row r="15">
      <c r="A15" s="137" t="inlineStr">
        <is>
          <t>Issues of the manor</t>
        </is>
      </c>
      <c r="B15" s="128" t="n">
        <v>0</v>
      </c>
      <c r="C15" s="128" t="n">
        <v>0</v>
      </c>
      <c r="D15" s="128" t="n">
        <v>0</v>
      </c>
      <c r="E15" s="128" t="n"/>
      <c r="F15" s="128" t="n">
        <v>0</v>
      </c>
      <c r="G15" s="128" t="n"/>
      <c r="H15" s="128" t="inlineStr">
        <is>
          <t>nothing from the pannage of pigs in the park because it is demised at farmvwith the pasture of the same as made clear below.</t>
        </is>
      </c>
      <c r="I15" s="128" t="n"/>
    </row>
    <row r="16">
      <c r="A16" s="137" t="inlineStr">
        <is>
          <t>Issues of the manor</t>
        </is>
      </c>
      <c r="B16" s="128" t="n">
        <v>0</v>
      </c>
      <c r="C16" s="128" t="n">
        <v>0</v>
      </c>
      <c r="D16" s="128" t="n">
        <v>0</v>
      </c>
      <c r="E16" s="128" t="n"/>
      <c r="F16" s="128" t="n">
        <v>0</v>
      </c>
      <c r="G16" s="128" t="n"/>
      <c r="H16" s="128" t="inlineStr">
        <is>
          <t>nothing from the agistment of animals in winter in the meadow of Fulneye and behind the garden because it pertains to the farmer.</t>
        </is>
      </c>
      <c r="I16" s="128" t="n"/>
    </row>
    <row r="17">
      <c r="A17" s="137" t="inlineStr">
        <is>
          <t>Issues of the manor</t>
        </is>
      </c>
      <c r="B17" s="128" t="n">
        <v>0</v>
      </c>
      <c r="C17" s="128" t="n">
        <v>0</v>
      </c>
      <c r="D17" s="128" t="n">
        <v>0</v>
      </c>
      <c r="E17" s="128" t="n"/>
      <c r="F17" s="128" t="n">
        <v>0</v>
      </c>
      <c r="G17" s="128" t="n"/>
      <c r="H17" s="128" t="inlineStr">
        <is>
          <t>nothing from the agistment of calves in Calfcroftes for the aforesaid reason.</t>
        </is>
      </c>
      <c r="I17" s="128" t="n"/>
    </row>
    <row r="18">
      <c r="A18" s="137" t="inlineStr">
        <is>
          <t>Issues of the manor</t>
        </is>
      </c>
      <c r="B18" s="128" t="n">
        <v>0</v>
      </c>
      <c r="C18" s="128" t="n">
        <v>0</v>
      </c>
      <c r="D18" s="128" t="n">
        <v>0</v>
      </c>
      <c r="E18" s="128" t="n"/>
      <c r="F18" s="128" t="n">
        <v>0</v>
      </c>
      <c r="G18" s="128" t="n"/>
      <c r="H18" s="128" t="inlineStr">
        <is>
          <t>nothing from winter pasturage in Borewell' and the outer (forarum) fields for the aforesaid reason.</t>
        </is>
      </c>
      <c r="I18" s="128" t="n"/>
    </row>
    <row r="19">
      <c r="A19" s="137" t="inlineStr">
        <is>
          <t>Issues of the manor</t>
        </is>
      </c>
      <c r="B19" s="128" t="n">
        <v>0</v>
      </c>
      <c r="C19" s="128" t="n">
        <v>0</v>
      </c>
      <c r="D19" s="128" t="n">
        <v>0</v>
      </c>
      <c r="E19" s="128" t="n"/>
      <c r="F19" s="128" t="n">
        <v>0</v>
      </c>
      <c r="G19" s="128" t="n"/>
      <c r="H19" s="128" t="inlineStr">
        <is>
          <t>nothing from winter pasturage in Vyneheyes for the aforesaid reason.</t>
        </is>
      </c>
      <c r="I19" s="128" t="n"/>
    </row>
    <row r="20">
      <c r="A20" s="137" t="inlineStr">
        <is>
          <t>Issues of the manor</t>
        </is>
      </c>
      <c r="B20" s="128" t="n">
        <v>0</v>
      </c>
      <c r="C20" s="128" t="n">
        <v>0</v>
      </c>
      <c r="D20" s="128" t="n">
        <v>0</v>
      </c>
      <c r="E20" s="128" t="n"/>
      <c r="F20" s="128" t="n">
        <v>0</v>
      </c>
      <c r="G20" s="128" t="n"/>
      <c r="H20" s="128" t="inlineStr">
        <is>
          <t>nothing from the pasturage beside the dovecote for the aforesaid reason.</t>
        </is>
      </c>
      <c r="I20" s="128" t="n"/>
    </row>
    <row r="21">
      <c r="A21" s="137" t="inlineStr">
        <is>
          <t>Issues of the manor</t>
        </is>
      </c>
      <c r="B21" s="128" t="n">
        <v>0</v>
      </c>
      <c r="C21" s="128" t="n">
        <v>0</v>
      </c>
      <c r="D21" s="128" t="n">
        <v>0</v>
      </c>
      <c r="E21" s="128" t="n"/>
      <c r="F21" s="128" t="n">
        <v>0</v>
      </c>
      <c r="G21" s="128" t="n"/>
      <c r="H21" s="128" t="inlineStr">
        <is>
          <t>nothing from winter pasturage in Haukefeld' because it is grazed by the lord's sheep.</t>
        </is>
      </c>
      <c r="I21" s="128" t="n"/>
    </row>
    <row r="22">
      <c r="A22" s="137" t="inlineStr">
        <is>
          <t>Issues of the manor</t>
        </is>
      </c>
      <c r="B22" s="128" t="n">
        <v>0</v>
      </c>
      <c r="C22" s="128" t="n">
        <v>0</v>
      </c>
      <c r="D22" s="128" t="n">
        <v>0</v>
      </c>
      <c r="E22" s="128" t="n"/>
      <c r="F22" s="128" t="n">
        <v>0</v>
      </c>
      <c r="G22" s="128" t="n"/>
      <c r="H22" s="128" t="inlineStr">
        <is>
          <t>nothing from the sale of pasturage in Northemore because it pertains to the fanner.</t>
        </is>
      </c>
      <c r="I22" s="128" t="n"/>
    </row>
    <row r="23">
      <c r="A23" s="137" t="inlineStr">
        <is>
          <t>Issues of the manor</t>
        </is>
      </c>
      <c r="B23" s="128" t="n">
        <v>1</v>
      </c>
      <c r="C23" s="128" t="n">
        <v>0</v>
      </c>
      <c r="D23" s="128" t="n">
        <v>6</v>
      </c>
      <c r="E23" s="128" t="n"/>
      <c r="F23" s="128" t="n">
        <v>1.02</v>
      </c>
      <c r="G23" s="128" t="n"/>
      <c r="H23" s="128" t="inlineStr">
        <is>
          <t>nothing from the herbage in Mulleham because it is mown for the lord's use, and it was accustomed to be sold for £1 6pence.</t>
        </is>
      </c>
      <c r="I23" s="128" t="n"/>
    </row>
    <row r="24">
      <c r="A24" s="137" t="inlineStr">
        <is>
          <t>Issues of the manor</t>
        </is>
      </c>
      <c r="B24" s="128" t="n">
        <v>0</v>
      </c>
      <c r="C24" s="128" t="n">
        <v>0</v>
      </c>
      <c r="D24" s="128" t="n">
        <v>0</v>
      </c>
      <c r="E24" s="128" t="n"/>
      <c r="F24" s="128" t="n">
        <v>0</v>
      </c>
      <c r="G24" s="128" t="n"/>
      <c r="H24" s="128" t="inlineStr">
        <is>
          <t>nothing from the pasturage in Mulleham for the aforesaid reason.</t>
        </is>
      </c>
      <c r="I24" s="128" t="n"/>
    </row>
    <row r="25">
      <c r="A25" s="137" t="inlineStr">
        <is>
          <t>Issues of the manor</t>
        </is>
      </c>
      <c r="B25" s="128" t="n">
        <v>0</v>
      </c>
      <c r="C25" s="128" t="n">
        <v>0</v>
      </c>
      <c r="D25" s="128" t="n">
        <v>0</v>
      </c>
      <c r="E25" s="128" t="n"/>
      <c r="F25" s="128" t="n">
        <v>0</v>
      </c>
      <c r="G25" s="128" t="n"/>
      <c r="H25" s="128" t="inlineStr">
        <is>
          <t>nothing from the herbage in Small Thorneye because it pertains to the farmer.</t>
        </is>
      </c>
      <c r="I25" s="128" t="n"/>
    </row>
    <row r="26">
      <c r="A26" s="137" t="inlineStr">
        <is>
          <t>Issues of the manor</t>
        </is>
      </c>
      <c r="B26" s="128" t="n">
        <v>0</v>
      </c>
      <c r="C26" s="128" t="n">
        <v>0</v>
      </c>
      <c r="D26" s="128" t="n">
        <v>0</v>
      </c>
      <c r="E26" s="128" t="n"/>
      <c r="F26" s="128" t="n">
        <v>0</v>
      </c>
      <c r="G26" s="128" t="n"/>
      <c r="H26" s="128" t="inlineStr">
        <is>
          <t>nothing from the rowen of the said meadow for the aforesaid reason.</t>
        </is>
      </c>
      <c r="I26" s="128" t="n"/>
    </row>
    <row r="27">
      <c r="A27" s="137" t="inlineStr">
        <is>
          <t>Issues of the manor</t>
        </is>
      </c>
      <c r="B27" s="128" t="n">
        <v>0</v>
      </c>
      <c r="C27" s="128" t="n">
        <v>0</v>
      </c>
      <c r="D27" s="128" t="n">
        <v>0</v>
      </c>
      <c r="E27" s="128" t="n"/>
      <c r="F27" s="128" t="n">
        <v>0</v>
      </c>
      <c r="G27" s="128" t="n"/>
      <c r="H27" s="128" t="inlineStr">
        <is>
          <t>nothing from the pasturage of the small hams beside the door of Waleysmull' for the aforesaid reason.</t>
        </is>
      </c>
      <c r="I27" s="128" t="n"/>
    </row>
    <row r="28">
      <c r="A28" s="137" t="inlineStr">
        <is>
          <t>Issues of the manor</t>
        </is>
      </c>
      <c r="B28" s="128" t="n">
        <v>0</v>
      </c>
      <c r="C28" s="128" t="n">
        <v>0</v>
      </c>
      <c r="D28" s="128" t="n">
        <v>0</v>
      </c>
      <c r="E28" s="128" t="n"/>
      <c r="F28" s="128" t="n">
        <v>0</v>
      </c>
      <c r="G28" s="128" t="n"/>
      <c r="H28" s="128" t="inlineStr">
        <is>
          <t>nothing from the pasturage towards Aldeforde for the aforesaid reason.</t>
        </is>
      </c>
      <c r="I28" s="128" t="n"/>
    </row>
    <row r="29">
      <c r="A29" s="137" t="inlineStr">
        <is>
          <t>Issues of the manor</t>
        </is>
      </c>
      <c r="B29" s="128" t="n">
        <v>0</v>
      </c>
      <c r="C29" s="128" t="n">
        <v>0</v>
      </c>
      <c r="D29" s="128" t="n">
        <v>0</v>
      </c>
      <c r="E29" s="128" t="n"/>
      <c r="F29" s="128" t="n">
        <v>0</v>
      </c>
      <c r="G29" s="128" t="n"/>
      <c r="H29" s="128" t="inlineStr">
        <is>
          <t>nothing from the herbage in Fulneye because it is mown for the lord's use.</t>
        </is>
      </c>
      <c r="I29" s="128" t="n"/>
    </row>
    <row r="30">
      <c r="A30" s="137" t="inlineStr">
        <is>
          <t>Issues of the manor</t>
        </is>
      </c>
      <c r="B30" s="128" t="n">
        <v>0</v>
      </c>
      <c r="C30" s="128" t="n">
        <v>0</v>
      </c>
      <c r="D30" s="128" t="n">
        <v>0</v>
      </c>
      <c r="E30" s="128" t="n"/>
      <c r="F30" s="128" t="n">
        <v>0</v>
      </c>
      <c r="G30" s="128" t="n"/>
      <c r="H30" s="128" t="inlineStr">
        <is>
          <t>nothing from summer pasturage in Calfcroftes because it pertains to the farmer.</t>
        </is>
      </c>
      <c r="I30" s="128" t="n"/>
    </row>
    <row r="31">
      <c r="A31" s="137" t="inlineStr">
        <is>
          <t>Issues of the manor</t>
        </is>
      </c>
      <c r="B31" s="128" t="n">
        <v>0</v>
      </c>
      <c r="C31" s="128" t="n">
        <v>0</v>
      </c>
      <c r="D31" s="128" t="n">
        <v>0</v>
      </c>
      <c r="E31" s="128" t="n"/>
      <c r="F31" s="128" t="n">
        <v>0</v>
      </c>
      <c r="G31" s="128" t="n"/>
      <c r="H31" s="128" t="inlineStr">
        <is>
          <t>nothing from the small plots in the curia and behind the curia which are returned to arable land.</t>
        </is>
      </c>
      <c r="I31" s="128" t="n"/>
    </row>
    <row r="32">
      <c r="A32" s="137" t="inlineStr">
        <is>
          <t>Issues of the manor</t>
        </is>
      </c>
      <c r="B32" s="128" t="n">
        <v>0</v>
      </c>
      <c r="C32" s="128" t="n">
        <v>0</v>
      </c>
      <c r="D32" s="128" t="n">
        <v>0</v>
      </c>
      <c r="E32" s="128" t="n"/>
      <c r="F32" s="128" t="n">
        <v>0</v>
      </c>
      <c r="G32" s="128" t="n"/>
      <c r="H32" s="128" t="inlineStr">
        <is>
          <t>nothing from summer pasturage in Lotegarsham because it pertains to the farmer.</t>
        </is>
      </c>
      <c r="I32" s="128" t="n"/>
    </row>
    <row r="33">
      <c r="A33" s="137" t="inlineStr">
        <is>
          <t>Issues of the manor</t>
        </is>
      </c>
      <c r="B33" s="128" t="n">
        <v>0</v>
      </c>
      <c r="C33" s="128" t="n">
        <v>0</v>
      </c>
      <c r="D33" s="128" t="n">
        <v>0</v>
      </c>
      <c r="E33" s="128" t="n"/>
      <c r="F33" s="128" t="n">
        <v>0</v>
      </c>
      <c r="G33" s="128" t="n"/>
      <c r="H33" s="128" t="inlineStr">
        <is>
          <t>nothing from the pasturage in Burydych' and Casteldych' for the aforesaid reason.</t>
        </is>
      </c>
      <c r="I33" s="128" t="n"/>
    </row>
    <row r="34">
      <c r="A34" s="137" t="inlineStr">
        <is>
          <t>Issues of the manor</t>
        </is>
      </c>
      <c r="B34" s="128" t="n">
        <v>0</v>
      </c>
      <c r="C34" s="128" t="n">
        <v>0</v>
      </c>
      <c r="D34" s="128" t="n">
        <v>0</v>
      </c>
      <c r="E34" s="128" t="n"/>
      <c r="F34" s="128" t="n">
        <v>0</v>
      </c>
      <c r="G34" s="128" t="n"/>
      <c r="H34" s="128" t="inlineStr">
        <is>
          <t>nothing from the pasturage of the way between the gate and the dovecote for the aforesaid reason.</t>
        </is>
      </c>
      <c r="I34" s="128" t="n"/>
    </row>
    <row r="35">
      <c r="A35" s="137" t="inlineStr">
        <is>
          <t>Issues of the manor</t>
        </is>
      </c>
      <c r="B35" s="128" t="n">
        <v>0</v>
      </c>
      <c r="C35" s="128" t="n">
        <v>0</v>
      </c>
      <c r="D35" s="128" t="n">
        <v>0</v>
      </c>
      <c r="E35" s="128" t="n"/>
      <c r="F35" s="128" t="n">
        <v>0</v>
      </c>
      <c r="G35" s="128" t="n"/>
      <c r="H35" s="128" t="inlineStr">
        <is>
          <t>nothing from the pasturage in Puryhay.</t>
        </is>
      </c>
      <c r="I35" s="128" t="n"/>
    </row>
    <row r="36">
      <c r="A36" s="137" t="inlineStr">
        <is>
          <t>Issues of the manor</t>
        </is>
      </c>
      <c r="B36" s="128" t="n">
        <v>0</v>
      </c>
      <c r="C36" s="128" t="n">
        <v>0</v>
      </c>
      <c r="D36" s="128" t="n">
        <v>0</v>
      </c>
      <c r="E36" s="128" t="n"/>
      <c r="F36" s="128" t="n">
        <v>0</v>
      </c>
      <c r="G36" s="128" t="n"/>
      <c r="H36" s="128" t="inlineStr">
        <is>
          <t>nothing from nettles in the garden and fishpond for the aforesaid reason.</t>
        </is>
      </c>
      <c r="I36" s="128" t="n"/>
    </row>
    <row r="37">
      <c r="A37" s="137" t="inlineStr">
        <is>
          <t>Issues of the manor</t>
        </is>
      </c>
      <c r="B37" s="128" t="n">
        <v>0</v>
      </c>
      <c r="C37" s="128" t="n">
        <v>0</v>
      </c>
      <c r="D37" s="128" t="n">
        <v>0</v>
      </c>
      <c r="E37" s="128" t="n"/>
      <c r="F37" s="128" t="n">
        <v>0</v>
      </c>
      <c r="G37" s="128" t="n"/>
      <c r="H37" s="128" t="inlineStr">
        <is>
          <t>nothing from the pasturage of the path in the curia for the aforesaid reason.</t>
        </is>
      </c>
      <c r="I37" s="128" t="n"/>
    </row>
    <row r="38">
      <c r="A38" s="137" t="inlineStr">
        <is>
          <t>Issues of the manor</t>
        </is>
      </c>
      <c r="B38" s="128" t="n">
        <v>0</v>
      </c>
      <c r="C38" s="128" t="n">
        <v>0</v>
      </c>
      <c r="D38" s="128" t="n">
        <v>0</v>
      </c>
      <c r="E38" s="128" t="n"/>
      <c r="F38" s="128" t="n">
        <v>0</v>
      </c>
      <c r="G38" s="128" t="n"/>
      <c r="H38" s="128" t="inlineStr">
        <is>
          <t>nothing from the pasturage in Shepchey for the aforesaid reason.</t>
        </is>
      </c>
      <c r="I38" s="128" t="n"/>
    </row>
    <row r="39">
      <c r="A39" s="137" t="inlineStr">
        <is>
          <t>Issues of the manor</t>
        </is>
      </c>
      <c r="B39" s="128" t="n">
        <v>0</v>
      </c>
      <c r="C39" s="128" t="n">
        <v>0</v>
      </c>
      <c r="D39" s="128" t="n">
        <v>0</v>
      </c>
      <c r="E39" s="128" t="n"/>
      <c r="F39" s="128" t="n">
        <v>0</v>
      </c>
      <c r="G39" s="128" t="n"/>
      <c r="H39" s="128" t="inlineStr">
        <is>
          <t>nothing from the pasturage of the inner enclosure for the aforesaid reason.</t>
        </is>
      </c>
      <c r="I39" s="128" t="n"/>
    </row>
    <row r="40">
      <c r="A40" s="137" t="inlineStr">
        <is>
          <t>Issues of the manor</t>
        </is>
      </c>
      <c r="B40" s="128" t="n">
        <v>0</v>
      </c>
      <c r="C40" s="128" t="n">
        <v>0</v>
      </c>
      <c r="D40" s="128" t="n">
        <v>0</v>
      </c>
      <c r="E40" s="128" t="n"/>
      <c r="F40" s="128" t="n">
        <v>0</v>
      </c>
      <c r="G40" s="128" t="n"/>
      <c r="H40" s="128" t="inlineStr">
        <is>
          <t>nothing from the pasturage of Barreham beside the cess-pits (les puttes) for the aforesaid reason.</t>
        </is>
      </c>
      <c r="I40" s="128" t="n"/>
    </row>
    <row r="41">
      <c r="A41" s="137" t="inlineStr">
        <is>
          <t>Issues of the manor</t>
        </is>
      </c>
      <c r="B41" s="128" t="n">
        <v>0</v>
      </c>
      <c r="C41" s="128" t="n">
        <v>0</v>
      </c>
      <c r="D41" s="128" t="n">
        <v>0</v>
      </c>
      <c r="E41" s="128" t="n"/>
      <c r="F41" s="128" t="n">
        <v>0</v>
      </c>
      <c r="G41" s="128" t="n"/>
      <c r="H41" s="128" t="inlineStr">
        <is>
          <t>nothing from the herbage in Crudenhamfulneye because it is mown for the lord's use.</t>
        </is>
      </c>
      <c r="I41" s="128" t="n"/>
    </row>
    <row r="42">
      <c r="A42" s="137" t="inlineStr">
        <is>
          <t>Issues of the manor</t>
        </is>
      </c>
      <c r="B42" s="128" t="n">
        <v>0</v>
      </c>
      <c r="C42" s="128" t="n">
        <v>0</v>
      </c>
      <c r="D42" s="128" t="n">
        <v>0</v>
      </c>
      <c r="E42" s="128" t="n"/>
      <c r="F42" s="128" t="n">
        <v>0</v>
      </c>
      <c r="G42" s="128" t="n"/>
      <c r="H42" s="128" t="inlineStr">
        <is>
          <t>nothing from summer pasturage in Thomeylese because it pertains to the farmer.</t>
        </is>
      </c>
      <c r="I42" s="128" t="n"/>
    </row>
    <row r="43">
      <c r="A43" s="137" t="inlineStr">
        <is>
          <t>Issues of the manor</t>
        </is>
      </c>
      <c r="B43" s="128" t="n">
        <v>0</v>
      </c>
      <c r="C43" s="128" t="n">
        <v>0</v>
      </c>
      <c r="D43" s="128" t="n">
        <v>0</v>
      </c>
      <c r="E43" s="128" t="n"/>
      <c r="F43" s="128" t="n">
        <v>0</v>
      </c>
      <c r="G43" s="128" t="n"/>
      <c r="H43" s="128" t="inlineStr">
        <is>
          <t>nothing from the agistment of cows with the lord's cows.</t>
        </is>
      </c>
      <c r="I43" s="128" t="n"/>
    </row>
    <row r="44">
      <c r="A44" s="137" t="inlineStr">
        <is>
          <t>Issues of the manor</t>
        </is>
      </c>
      <c r="B44" s="128" t="n">
        <v>0</v>
      </c>
      <c r="C44" s="128" t="n">
        <v>0</v>
      </c>
      <c r="D44" s="128" t="n">
        <v>0</v>
      </c>
      <c r="E44" s="128" t="n"/>
      <c r="F44" s="128" t="n">
        <v>0</v>
      </c>
      <c r="G44" s="128" t="n"/>
      <c r="H44" s="128" t="inlineStr">
        <is>
          <t>nothing from agistment in Hemmore because it pertains to the farmer.</t>
        </is>
      </c>
      <c r="I44" s="128" t="n"/>
    </row>
    <row r="45">
      <c r="A45" s="137" t="inlineStr">
        <is>
          <t>Issues of the manor</t>
        </is>
      </c>
      <c r="B45" s="128" t="n">
        <v>1</v>
      </c>
      <c r="C45" s="128" t="n">
        <v>13</v>
      </c>
      <c r="D45" s="128" t="n">
        <v>4</v>
      </c>
      <c r="E45" s="128" t="n"/>
      <c r="F45" s="128" t="n">
        <v>1.67</v>
      </c>
      <c r="G45" s="128" t="n"/>
      <c r="H45" s="128" t="inlineStr">
        <is>
          <t>£1 13 shilling 4pence from the pasturage in the park sold this year, to be paid at the 4 terms of the year.</t>
        </is>
      </c>
      <c r="I45" s="128" t="n"/>
    </row>
    <row r="46">
      <c r="A46" s="137" t="inlineStr">
        <is>
          <t>Issues of the manor</t>
        </is>
      </c>
      <c r="B46" s="128" t="n">
        <v>0</v>
      </c>
      <c r="C46" s="128" t="n">
        <v>0</v>
      </c>
      <c r="D46" s="128" t="n">
        <v>0</v>
      </c>
      <c r="E46" s="128" t="n"/>
      <c r="F46" s="128" t="n">
        <v>0</v>
      </c>
      <c r="G46" s="128" t="n"/>
      <c r="H46" s="128" t="inlineStr">
        <is>
          <t>nothing from the pasturage in Crostynlond' because it is demised to John Bergh' and Richard Dougel as made clear above.</t>
        </is>
      </c>
      <c r="I46" s="128" t="n"/>
    </row>
    <row r="47">
      <c r="A47" s="137" t="inlineStr">
        <is>
          <t>Issues of the manor</t>
        </is>
      </c>
      <c r="B47" s="128" t="n">
        <v>0</v>
      </c>
      <c r="C47" s="128" t="n">
        <v>0</v>
      </c>
      <c r="D47" s="128" t="n">
        <v>0</v>
      </c>
      <c r="E47" s="128" t="n"/>
      <c r="F47" s="128" t="n">
        <v>0</v>
      </c>
      <c r="G47" s="128" t="n"/>
      <c r="H47" s="128" t="inlineStr">
        <is>
          <t>nothing from the sale of stone in the quarry this year.</t>
        </is>
      </c>
      <c r="I47" s="128" t="n"/>
    </row>
    <row r="48">
      <c r="A48" s="137" t="inlineStr">
        <is>
          <t>Issues of the manor</t>
        </is>
      </c>
      <c r="B48" s="128" t="n">
        <v>0</v>
      </c>
      <c r="C48" s="128" t="n">
        <v>0</v>
      </c>
      <c r="D48" s="128" t="n">
        <v>0</v>
      </c>
      <c r="E48" s="128" t="n"/>
      <c r="F48" s="128" t="n">
        <v>0</v>
      </c>
      <c r="G48" s="128" t="n"/>
      <c r="H48" s="128" t="inlineStr">
        <is>
          <t>nothing from winter pasturage in Appele because it pertains to the farmer.</t>
        </is>
      </c>
      <c r="I48" s="128" t="n"/>
    </row>
    <row r="49">
      <c r="A49" s="137" t="inlineStr">
        <is>
          <t>Issues of the manor</t>
        </is>
      </c>
      <c r="B49" s="128" t="n">
        <v>0</v>
      </c>
      <c r="C49" s="128" t="n">
        <v>0</v>
      </c>
      <c r="D49" s="128" t="n">
        <v>0</v>
      </c>
      <c r="E49" s="128" t="n"/>
      <c r="F49" s="128" t="n">
        <v>0</v>
      </c>
      <c r="G49" s="128" t="n"/>
      <c r="H49" s="128" t="inlineStr">
        <is>
          <t>nothing from winter pasturage of the meadow pertaining to a certain mill recently of Simon atte Hacche this year.</t>
        </is>
      </c>
      <c r="I49" s="128" t="n"/>
    </row>
    <row r="50">
      <c r="A50" s="137" t="inlineStr">
        <is>
          <t>Issues of the manor</t>
        </is>
      </c>
      <c r="B50" s="128" t="n">
        <v>0</v>
      </c>
      <c r="C50" s="128" t="n">
        <v>0</v>
      </c>
      <c r="D50" s="128" t="n">
        <v>0</v>
      </c>
      <c r="E50" s="128" t="n"/>
      <c r="F50" s="128" t="n">
        <v>0</v>
      </c>
      <c r="G50" s="128" t="n"/>
      <c r="H50" s="128" t="inlineStr">
        <is>
          <t>nothing from the agistment of lambs with the lord's lambs this year.</t>
        </is>
      </c>
      <c r="I50" s="128" t="n"/>
    </row>
    <row r="51">
      <c r="A51" s="137" t="inlineStr">
        <is>
          <t>Issues of the manor</t>
        </is>
      </c>
      <c r="B51" s="128" t="n">
        <v>0</v>
      </c>
      <c r="C51" s="128" t="n">
        <v>0</v>
      </c>
      <c r="D51" s="128" t="n">
        <v>0</v>
      </c>
      <c r="E51" s="128" t="n"/>
      <c r="F51" s="128" t="n">
        <v>0</v>
      </c>
      <c r="G51" s="128" t="n"/>
      <c r="H51" s="128" t="inlineStr">
        <is>
          <t>nothing from the agistment of pigs with the lord's pigs this year.</t>
        </is>
      </c>
      <c r="I51" s="128" t="n"/>
    </row>
    <row r="52">
      <c r="A52" s="137" t="inlineStr">
        <is>
          <t>Issues of the manor</t>
        </is>
      </c>
      <c r="B52" s="128" t="n">
        <v>0</v>
      </c>
      <c r="C52" s="128" t="n">
        <v>0</v>
      </c>
      <c r="D52" s="128" t="n">
        <v>0</v>
      </c>
      <c r="E52" s="128" t="n"/>
      <c r="F52" s="128" t="n">
        <v>0</v>
      </c>
      <c r="G52" s="128" t="n"/>
      <c r="H52" s="128" t="inlineStr">
        <is>
          <t>nothing from the agistment of sheep in the fallow with the lord's sheep this year.</t>
        </is>
      </c>
      <c r="I52" s="128" t="n"/>
    </row>
    <row r="53">
      <c r="A53" s="137" t="inlineStr">
        <is>
          <t>Issues of the manor</t>
        </is>
      </c>
      <c r="B53" s="128" t="n">
        <v>0</v>
      </c>
      <c r="C53" s="128" t="n">
        <v>0</v>
      </c>
      <c r="D53" s="128" t="n">
        <v>0</v>
      </c>
      <c r="E53" s="128" t="n"/>
      <c r="F53" s="128" t="n">
        <v>0</v>
      </c>
      <c r="G53" s="128" t="n"/>
      <c r="H53" s="128" t="inlineStr">
        <is>
          <t>nothing from the agistment of calves with the lord's calves this year.</t>
        </is>
      </c>
      <c r="I53" s="128" t="n"/>
    </row>
    <row r="54">
      <c r="A54" s="137" t="inlineStr">
        <is>
          <t>Issues of the manor</t>
        </is>
      </c>
      <c r="B54" s="128" t="n">
        <v>0</v>
      </c>
      <c r="C54" s="128" t="n">
        <v>14</v>
      </c>
      <c r="D54" s="128" t="n">
        <v>0</v>
      </c>
      <c r="E54" s="128" t="n"/>
      <c r="F54" s="128" t="n">
        <v>0.7</v>
      </c>
      <c r="G54" s="128" t="n"/>
      <c r="H54" s="128" t="inlineStr">
        <is>
          <t>14 shilling from the herbage in Mulleham beside Wodefordesmulle sold to Nicholas Gille for 20 years, this year being the fourth, to be paid at the Nativity of St John the Baptist and Michaelmas.</t>
        </is>
      </c>
      <c r="I54" s="128" t="n"/>
    </row>
    <row r="55">
      <c r="A55" s="137" t="inlineStr">
        <is>
          <t>Issues of the manor</t>
        </is>
      </c>
      <c r="B55" s="128" t="n">
        <v>0</v>
      </c>
      <c r="C55" s="128" t="n">
        <v>0</v>
      </c>
      <c r="D55" s="128" t="n">
        <v>0</v>
      </c>
      <c r="E55" s="128" t="n"/>
      <c r="F55" s="128" t="n">
        <v>0</v>
      </c>
      <c r="G55" s="128" t="n"/>
      <c r="H55" s="128" t="inlineStr">
        <is>
          <t>nothing from the herbage of 5 acres of meadow beside Calfcroftys this year because it is mown for the lord's use.</t>
        </is>
      </c>
      <c r="I55" s="128" t="n"/>
    </row>
    <row r="56">
      <c r="A56" s="137" t="inlineStr">
        <is>
          <t>Issues of the manor</t>
        </is>
      </c>
      <c r="B56" s="128" t="n">
        <v>0</v>
      </c>
      <c r="C56" s="128" t="n">
        <v>0</v>
      </c>
      <c r="D56" s="128" t="n">
        <v>0</v>
      </c>
      <c r="E56" s="128" t="n"/>
      <c r="F56" s="128" t="n">
        <v>0</v>
      </c>
      <c r="G56" s="128" t="n"/>
      <c r="H56" s="128" t="inlineStr">
        <is>
          <t>nothing from the herbage in Brodemore for the aforesaid reason.</t>
        </is>
      </c>
      <c r="I56" s="128" t="n"/>
    </row>
    <row r="57">
      <c r="A57" s="137" t="inlineStr">
        <is>
          <t>Issues of the manor</t>
        </is>
      </c>
      <c r="B57" s="128" t="n">
        <v>0</v>
      </c>
      <c r="C57" s="128" t="n">
        <v>6</v>
      </c>
      <c r="D57" s="128" t="n">
        <v>8</v>
      </c>
      <c r="E57" s="128" t="n"/>
      <c r="F57" s="128" t="n">
        <v>0.33</v>
      </c>
      <c r="G57" s="128" t="n"/>
      <c r="H57" s="128" t="inlineStr">
        <is>
          <t>nothing of the 6 shilling 8pence for the pasturage in Wodefordesmull' because it is demised at farm with the said mill.</t>
        </is>
      </c>
      <c r="I57" s="128" t="n"/>
    </row>
    <row r="58">
      <c r="A58" s="137" t="inlineStr">
        <is>
          <t>Issues of the manor</t>
        </is>
      </c>
      <c r="B58" s="128" t="n">
        <v>0</v>
      </c>
      <c r="C58" s="128" t="n">
        <v>7</v>
      </c>
      <c r="D58" s="128" t="n">
        <v>31</v>
      </c>
      <c r="E58" s="128" t="n"/>
      <c r="F58" s="128" t="n">
        <v>0.48</v>
      </c>
      <c r="G58" s="128" t="n"/>
      <c r="H58" s="128"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I58" s="128" t="n"/>
    </row>
    <row r="59">
      <c r="A59" s="137" t="inlineStr">
        <is>
          <t>Issues of the manor</t>
        </is>
      </c>
      <c r="B59" s="128" t="n">
        <v>0</v>
      </c>
      <c r="C59" s="128" t="n">
        <v>0</v>
      </c>
      <c r="D59" s="128" t="n">
        <v>0</v>
      </c>
      <c r="E59" s="128" t="n"/>
      <c r="F59" s="128" t="n">
        <v>0</v>
      </c>
      <c r="G59" s="128" t="n"/>
      <c r="H59" s="128" t="inlineStr">
        <is>
          <t>nothing from Peter's pence this year because those from whom it is possible to collect it are not willing to pay enough for the total of the bishop of Lincoln because of the poverty of the homage.</t>
        </is>
      </c>
      <c r="I59" s="128" t="n"/>
    </row>
    <row r="60">
      <c r="A60" s="137" t="inlineStr">
        <is>
          <t>Issues of the manor</t>
        </is>
      </c>
      <c r="B60" s="128" t="n">
        <v>0</v>
      </c>
      <c r="C60" s="128" t="n">
        <v>0</v>
      </c>
      <c r="D60" s="128" t="n">
        <v>4</v>
      </c>
      <c r="E60" s="128" t="n"/>
      <c r="F60" s="128" t="n">
        <v>0.02</v>
      </c>
      <c r="G60" s="128" t="n"/>
      <c r="H60" s="128" t="inlineStr">
        <is>
          <t>4pence from 1 plot which Thomas Tannere holds for that lime-pit recently of Richard Teffunte.</t>
        </is>
      </c>
      <c r="I60" s="128" t="n"/>
    </row>
    <row r="61">
      <c r="A61" s="137" t="inlineStr">
        <is>
          <t>Issues of the manor</t>
        </is>
      </c>
      <c r="B61" s="128" t="n">
        <v>0</v>
      </c>
      <c r="C61" s="128" t="n">
        <v>0</v>
      </c>
      <c r="D61" s="128" t="n">
        <v>0</v>
      </c>
      <c r="E61" s="128" t="n"/>
      <c r="F61" s="128" t="n">
        <v>0</v>
      </c>
      <c r="G61" s="128" t="n"/>
      <c r="H61" s="128" t="inlineStr">
        <is>
          <t>nothing from 1 plot for 1 rack for the fuller's shed formerly let to Roger Nony because noone wished to lease it.</t>
        </is>
      </c>
      <c r="I61" s="128" t="n"/>
    </row>
    <row r="62">
      <c r="A62" s="137" t="inlineStr">
        <is>
          <t>Issues of the manor</t>
        </is>
      </c>
      <c r="B62" s="128" t="n">
        <v>0</v>
      </c>
      <c r="C62" s="128" t="n">
        <v>6</v>
      </c>
      <c r="D62" s="128" t="n">
        <v>8</v>
      </c>
      <c r="E62" s="128" t="n"/>
      <c r="F62" s="128" t="n">
        <v>0.33</v>
      </c>
      <c r="G62" s="128" t="n"/>
      <c r="H62" s="128" t="inlineStr">
        <is>
          <t>nothing of the 6 shilling 8pence for the tenements formerly of John de Craule in Crawley for the ironwork of 5 ploughs, reduced from the 7 ploughs for which he ought to have provided the ironwork, because those tenements are now in the lord's hands.</t>
        </is>
      </c>
      <c r="I62" s="128" t="n"/>
    </row>
    <row r="63">
      <c r="A63" s="137" t="inlineStr">
        <is>
          <t>Issues of the manor</t>
        </is>
      </c>
      <c r="B63" s="128" t="n">
        <v>0</v>
      </c>
      <c r="C63" s="128" t="n">
        <v>3</v>
      </c>
      <c r="D63" s="128" t="n">
        <v>0</v>
      </c>
      <c r="E63" s="128" t="n"/>
      <c r="F63" s="128" t="n">
        <v>0.15</v>
      </c>
      <c r="G63" s="128" t="n"/>
      <c r="H63" s="128" t="inlineStr">
        <is>
          <t>nothing of the 3 shilling for the ironwork of 1 plough which was obliged to be provided for 1 piece of land in Delly End which William de Craule recently held for the aforesaid reason.</t>
        </is>
      </c>
      <c r="I63" s="128" t="n"/>
    </row>
    <row r="64">
      <c r="A64" s="137" t="inlineStr">
        <is>
          <t>Issues of the manor</t>
        </is>
      </c>
      <c r="B64" s="128" t="n">
        <v>0</v>
      </c>
      <c r="C64" s="128" t="n">
        <v>1</v>
      </c>
      <c r="D64" s="128" t="n">
        <v>0</v>
      </c>
      <c r="E64" s="128" t="n"/>
      <c r="F64" s="128" t="n">
        <v>0.05</v>
      </c>
      <c r="G64" s="128" t="n"/>
      <c r="H64" s="128" t="inlineStr">
        <is>
          <t>nothing of the 1 shilling for the plough equipment because the customary tenants who ought to have paid the aforesaid money now pay a fixed amount as long as it pleases the lord.</t>
        </is>
      </c>
      <c r="I64" s="128" t="n"/>
    </row>
    <row r="65">
      <c r="A65" s="137" t="inlineStr">
        <is>
          <t>Issues of the manor</t>
        </is>
      </c>
      <c r="B65" s="128" t="n">
        <v>0</v>
      </c>
      <c r="C65" s="128" t="n">
        <v>0</v>
      </c>
      <c r="D65" s="128" t="n">
        <v>0</v>
      </c>
      <c r="E65" s="128" t="n"/>
      <c r="F65" s="128" t="n">
        <v>0</v>
      </c>
      <c r="G65" s="128" t="n"/>
      <c r="H65" s="128" t="inlineStr">
        <is>
          <t>nothing from the sale of underwood in the park this year.</t>
        </is>
      </c>
      <c r="I65" s="128" t="n"/>
    </row>
    <row r="66">
      <c r="A66" s="137" t="inlineStr">
        <is>
          <t>Issues of the manor</t>
        </is>
      </c>
      <c r="B66" s="128" t="n">
        <v>0</v>
      </c>
      <c r="C66" s="128" t="n">
        <v>0</v>
      </c>
      <c r="D66" s="128" t="n">
        <v>0</v>
      </c>
      <c r="E66" s="128" t="n"/>
      <c r="F66" s="128" t="n">
        <v>0</v>
      </c>
      <c r="G66" s="128" t="n"/>
      <c r="H66" s="128" t="inlineStr">
        <is>
          <t>nothing from the sale of old oaks in the park this year.</t>
        </is>
      </c>
      <c r="I66" s="128" t="n"/>
    </row>
    <row r="67">
      <c r="A67" s="137" t="inlineStr">
        <is>
          <t>Issues of the manor</t>
        </is>
      </c>
      <c r="B67" s="128" t="n">
        <v>2</v>
      </c>
      <c r="C67" s="128" t="n">
        <v>6</v>
      </c>
      <c r="D67" s="128" t="n">
        <v>2</v>
      </c>
      <c r="E67" s="128" t="n"/>
      <c r="F67" s="128" t="n">
        <v>2.31</v>
      </c>
      <c r="G67" s="128" t="n"/>
      <c r="H67" s="128" t="inlineStr">
        <is>
          <t>£2 6 shilling 2pence from underwood and hazel (crullus) sold in the chase this year, and not more because 2 acres there were handed over for the enclosure of the park, and 1 acre there was sold, which is answered for in the following account.</t>
        </is>
      </c>
      <c r="I67" s="128" t="n"/>
    </row>
    <row r="68">
      <c r="A68" s="137" t="inlineStr">
        <is>
          <t>Issues of the manor</t>
        </is>
      </c>
      <c r="B68" s="128" t="n">
        <v>0</v>
      </c>
      <c r="C68" s="128" t="n">
        <v>0</v>
      </c>
      <c r="D68" s="128" t="n">
        <v>0</v>
      </c>
      <c r="E68" s="128" t="n"/>
      <c r="F68" s="128" t="n">
        <v>0</v>
      </c>
      <c r="G68" s="128" t="n"/>
      <c r="H68" s="128" t="inlineStr">
        <is>
          <t>nothing from coarse wool sold.</t>
        </is>
      </c>
      <c r="I68" s="128" t="n"/>
    </row>
    <row r="69">
      <c r="A69" s="137" t="inlineStr">
        <is>
          <t>Issues of the manor</t>
        </is>
      </c>
      <c r="B69" s="128" t="n">
        <v>0</v>
      </c>
      <c r="C69" s="128" t="n">
        <v>0</v>
      </c>
      <c r="D69" s="128" t="n">
        <v>8</v>
      </c>
      <c r="E69" s="128" t="n"/>
      <c r="F69" s="128" t="n">
        <v>0.03</v>
      </c>
      <c r="G69" s="128" t="n"/>
      <c r="H69" s="128" t="inlineStr">
        <is>
          <t>8pence from 2 lb of refuse (refur) wool sold.</t>
        </is>
      </c>
      <c r="I69" s="128" t="n"/>
    </row>
    <row r="70">
      <c r="A70" s="137" t="inlineStr">
        <is>
          <t>Issues of the manor</t>
        </is>
      </c>
      <c r="B70" s="128" t="n">
        <v>0</v>
      </c>
      <c r="C70" s="128" t="n">
        <v>1</v>
      </c>
      <c r="D70" s="128" t="n">
        <v>0</v>
      </c>
      <c r="E70" s="128" t="n"/>
      <c r="F70" s="128" t="n">
        <v>0.05</v>
      </c>
      <c r="G70" s="128" t="n"/>
      <c r="H70" s="128" t="inlineStr">
        <is>
          <t>1 shilling from wool locks sold at the shearing this year.</t>
        </is>
      </c>
      <c r="I70" s="128" t="n"/>
    </row>
    <row r="71">
      <c r="A71" s="137" t="inlineStr">
        <is>
          <t>Issues of the manor</t>
        </is>
      </c>
      <c r="B71" s="128" t="n">
        <v>0</v>
      </c>
      <c r="C71" s="128" t="n">
        <v>0</v>
      </c>
      <c r="D71" s="128" t="n">
        <v>0</v>
      </c>
      <c r="E71" s="128" t="n"/>
      <c r="F71" s="128" t="n">
        <v>0</v>
      </c>
      <c r="G71" s="128" t="n"/>
      <c r="H71" s="128" t="inlineStr">
        <is>
          <t>nothing from the sale of geese or capons this year.</t>
        </is>
      </c>
      <c r="I71" s="128" t="n"/>
    </row>
    <row r="72">
      <c r="A72" s="137" t="inlineStr">
        <is>
          <t>Issues of the manor</t>
        </is>
      </c>
      <c r="B72" s="128" t="n">
        <v>0</v>
      </c>
      <c r="C72" s="128" t="n">
        <v>2</v>
      </c>
      <c r="D72" s="128" t="n">
        <v>2</v>
      </c>
      <c r="E72" s="128" t="n"/>
      <c r="F72" s="128" t="n">
        <v>0.11</v>
      </c>
      <c r="G72" s="128" t="n"/>
      <c r="H72" s="128" t="inlineStr">
        <is>
          <t>2 shilling from 12 cocks and hens sold, at 2pence each.</t>
        </is>
      </c>
      <c r="I72" s="128" t="n"/>
    </row>
    <row r="73">
      <c r="A73" s="137" t="inlineStr">
        <is>
          <t>Issues of the manor</t>
        </is>
      </c>
      <c r="B73" s="128" t="n">
        <v>0</v>
      </c>
      <c r="C73" s="128" t="n">
        <v>0</v>
      </c>
      <c r="D73" s="128" t="n">
        <v>0</v>
      </c>
      <c r="E73" s="128" t="n"/>
      <c r="F73" s="128" t="n">
        <v>0</v>
      </c>
      <c r="G73" s="128" t="n"/>
      <c r="H73" s="128" t="inlineStr">
        <is>
          <t>nothing from hens' eggs sold this year.</t>
        </is>
      </c>
      <c r="I73" s="128" t="n"/>
    </row>
    <row r="74">
      <c r="A74" s="137" t="inlineStr">
        <is>
          <t>Issues of the manor</t>
        </is>
      </c>
      <c r="B74" s="128" t="n">
        <v>0</v>
      </c>
      <c r="C74" s="128" t="n">
        <v>0</v>
      </c>
      <c r="D74" s="128" t="n">
        <v>0</v>
      </c>
      <c r="E74" s="128" t="n"/>
      <c r="F74" s="128" t="n">
        <v>0</v>
      </c>
      <c r="G74" s="128" t="n"/>
      <c r="H74" s="128" t="inlineStr">
        <is>
          <t>nothing from the issue of the dovecote because it pertains to the farmer.</t>
        </is>
      </c>
      <c r="I74" s="128" t="n"/>
    </row>
    <row r="75">
      <c r="A75" s="137" t="inlineStr">
        <is>
          <t>Issues of the manor</t>
        </is>
      </c>
      <c r="B75" s="128" t="n">
        <v>13</v>
      </c>
      <c r="C75" s="128" t="n">
        <v>1</v>
      </c>
      <c r="D75" s="128" t="n">
        <v>0</v>
      </c>
      <c r="E75" s="128" t="n"/>
      <c r="F75" s="128" t="n">
        <v>13.05</v>
      </c>
      <c r="G75" s="128" t="n"/>
      <c r="H75" s="128"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I75" s="128" t="n"/>
    </row>
    <row r="76">
      <c r="A76" s="137" t="inlineStr">
        <is>
          <t>Issues of the manor</t>
        </is>
      </c>
      <c r="B76" s="128" t="n">
        <v>0</v>
      </c>
      <c r="C76" s="128" t="n">
        <v>0</v>
      </c>
      <c r="D76" s="128" t="n">
        <v>0</v>
      </c>
      <c r="E76" s="128" t="n"/>
      <c r="F76" s="128" t="n">
        <v>0</v>
      </c>
      <c r="G76" s="128" t="n"/>
      <c r="H76" s="128" t="inlineStr">
        <is>
          <t>nothing from the milking of cows this year because there are none.</t>
        </is>
      </c>
      <c r="I76" s="128" t="n"/>
    </row>
    <row r="77">
      <c r="A77" s="137" t="inlineStr">
        <is>
          <t>Issues of the manor</t>
        </is>
      </c>
      <c r="B77" s="128" t="n">
        <v>7</v>
      </c>
      <c r="C77" s="128" t="n">
        <v>0</v>
      </c>
      <c r="D77" s="128" t="n">
        <v>0</v>
      </c>
      <c r="E77" s="128" t="n"/>
      <c r="F77" s="128" t="n">
        <v>7</v>
      </c>
      <c r="G77" s="128" t="n"/>
      <c r="H77" s="128"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I77" s="128" t="n"/>
    </row>
    <row r="78">
      <c r="A78" s="137" t="inlineStr">
        <is>
          <t>Issues of the manor</t>
        </is>
      </c>
      <c r="B78" s="128" t="n">
        <v>0</v>
      </c>
      <c r="C78" s="128" t="n">
        <v>16</v>
      </c>
      <c r="D78" s="128" t="n">
        <v>4</v>
      </c>
      <c r="E78" s="128" t="n"/>
      <c r="F78" s="128" t="n">
        <v>0.82</v>
      </c>
      <c r="G78" s="128" t="n"/>
      <c r="H78" s="128"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I78" s="128" t="n"/>
    </row>
    <row r="79">
      <c r="A79" s="137" t="inlineStr">
        <is>
          <t>Issues of the manor</t>
        </is>
      </c>
      <c r="B79" s="128" t="n">
        <v>0</v>
      </c>
      <c r="C79" s="128" t="n">
        <v>4</v>
      </c>
      <c r="D79" s="128" t="n">
        <v>4</v>
      </c>
      <c r="E79" s="128" t="n"/>
      <c r="F79" s="128" t="n">
        <v>0.22</v>
      </c>
      <c r="G79" s="128" t="n"/>
      <c r="H79" s="128" t="inlineStr">
        <is>
          <t>4 shilling 4pence from 4 cotlands in Hailey and Crawley in the lord's hands, on top of the fixed rent and tithingpenny for' the same, charged above and below, at 1 shilling 1pence for each cotland.</t>
        </is>
      </c>
      <c r="I79" s="128" t="n"/>
    </row>
    <row r="80">
      <c r="A80" s="137" t="inlineStr">
        <is>
          <t>Issues of the manor</t>
        </is>
      </c>
      <c r="B80" s="128" t="n">
        <v>0</v>
      </c>
      <c r="C80" s="128" t="n">
        <v>0</v>
      </c>
      <c r="D80" s="128" t="n">
        <v>0</v>
      </c>
      <c r="E80" s="128" t="n"/>
      <c r="F80" s="128" t="n">
        <v>0</v>
      </c>
      <c r="G80" s="128" t="n"/>
      <c r="H80" s="128" t="inlineStr">
        <is>
          <t>nothing from the sale of thorns this year.</t>
        </is>
      </c>
      <c r="I80" s="128" t="n"/>
    </row>
    <row r="81">
      <c r="A81" s="137" t="inlineStr">
        <is>
          <t>Issues of the manor</t>
        </is>
      </c>
      <c r="B81" s="128" t="n">
        <v>0</v>
      </c>
      <c r="C81" s="128" t="n">
        <v>1</v>
      </c>
      <c r="D81" s="128" t="n">
        <v>4</v>
      </c>
      <c r="E81" s="128" t="n"/>
      <c r="F81" s="128" t="n">
        <v>0.07000000000000001</v>
      </c>
      <c r="G81" s="128" t="n"/>
      <c r="H81" s="128" t="inlineStr">
        <is>
          <t>1 shilling 4pence from Thomas Carpent' for the quarry with the lime-pit beside Wodefordesmull', demised to him and his for 20 years, this year being the eighth.</t>
        </is>
      </c>
      <c r="I81" s="128" t="n"/>
    </row>
    <row r="82">
      <c r="A82" s="137" t="inlineStr">
        <is>
          <t>Issues of the manor</t>
        </is>
      </c>
      <c r="B82" s="128" t="n">
        <v>0</v>
      </c>
      <c r="C82" s="128" t="n">
        <v>2</v>
      </c>
      <c r="D82" s="128" t="n">
        <v>0</v>
      </c>
      <c r="E82" s="128" t="n"/>
      <c r="F82" s="128" t="n">
        <v>0.1</v>
      </c>
      <c r="G82" s="128" t="n"/>
      <c r="H82" s="128" t="inlineStr">
        <is>
          <t>2 shilling from 1 parcel of meadow called Swonesham containing 1 rood, demised to Henry Barkesdale for the term of his life.</t>
        </is>
      </c>
      <c r="I82" s="128" t="n"/>
    </row>
    <row r="83">
      <c r="A83" s="137" t="inlineStr">
        <is>
          <t>Issues of the manor</t>
        </is>
      </c>
      <c r="B83" s="128" t="n">
        <v>0</v>
      </c>
      <c r="C83" s="128" t="n">
        <v>0</v>
      </c>
      <c r="D83" s="128" t="n">
        <v>0</v>
      </c>
      <c r="E83" s="128" t="n"/>
      <c r="F83" s="128" t="n">
        <v>0</v>
      </c>
      <c r="G83" s="128" t="n"/>
      <c r="H83" s="128" t="inlineStr">
        <is>
          <t>nothing from the bark of oaks felled in the park this year.</t>
        </is>
      </c>
      <c r="I83" s="128" t="n"/>
    </row>
    <row r="84">
      <c r="A84" s="137" t="inlineStr">
        <is>
          <t>Issues of the manor</t>
        </is>
      </c>
      <c r="B84" s="128" t="n">
        <v>0</v>
      </c>
      <c r="C84" s="128" t="n">
        <v>0</v>
      </c>
      <c r="D84" s="128" t="n">
        <v>0</v>
      </c>
      <c r="E84" s="128" t="n"/>
      <c r="F84" s="128" t="n">
        <v>0</v>
      </c>
      <c r="G84" s="128" t="n"/>
      <c r="H84" s="128" t="inlineStr">
        <is>
          <t>nothing from hides this year.</t>
        </is>
      </c>
      <c r="I84" s="128" t="n"/>
    </row>
    <row r="85">
      <c r="A85" s="137" t="inlineStr">
        <is>
          <t>Issues of the manor</t>
        </is>
      </c>
      <c r="B85" s="128" t="n">
        <v>7</v>
      </c>
      <c r="C85" s="128" t="n">
        <v>1</v>
      </c>
      <c r="D85" s="128" t="n">
        <v>3</v>
      </c>
      <c r="E85" s="128" t="n"/>
      <c r="F85" s="128" t="n">
        <v>7.06</v>
      </c>
      <c r="G85" s="128" t="n"/>
      <c r="H85" s="128" t="inlineStr">
        <is>
          <t>£7 1 shilling 3pence from 339 woolskins sold as made clear elsewhere, at 5pence a skin.</t>
        </is>
      </c>
      <c r="I85" s="128" t="n"/>
    </row>
    <row r="86">
      <c r="A86" s="137" t="inlineStr">
        <is>
          <t>Issues of the manor</t>
        </is>
      </c>
      <c r="B86" s="128" t="n">
        <v>0</v>
      </c>
      <c r="C86" s="128" t="n">
        <v>1</v>
      </c>
      <c r="D86" s="128" t="n">
        <v>2</v>
      </c>
      <c r="E86" s="128" t="n"/>
      <c r="F86" s="128" t="n">
        <v>0.06</v>
      </c>
      <c r="G86" s="128" t="n"/>
      <c r="H86" s="128" t="inlineStr">
        <is>
          <t>1 shilling 2pence from 14 bare skins sold as made clear elsewhere, at 1pence a skin.</t>
        </is>
      </c>
      <c r="I86" s="128" t="n"/>
    </row>
    <row r="87">
      <c r="A87" s="137" t="inlineStr">
        <is>
          <t>Issues of the manor</t>
        </is>
      </c>
      <c r="B87" s="128" t="n">
        <v>0</v>
      </c>
      <c r="C87" s="128" t="n">
        <v>0</v>
      </c>
      <c r="D87" s="128" t="n">
        <v>5.5</v>
      </c>
      <c r="E87" s="128" t="n"/>
      <c r="F87" s="128" t="n">
        <v>0.02</v>
      </c>
      <c r="G87" s="128" t="n"/>
      <c r="H87" s="128" t="inlineStr">
        <is>
          <t>5.5pence from 11 lambskins sold as made clear elsewhere, at .5pence a skin.</t>
        </is>
      </c>
      <c r="I87" s="128" t="n"/>
    </row>
    <row r="88">
      <c r="A88" s="137" t="inlineStr">
        <is>
          <t>Issues of the manor</t>
        </is>
      </c>
      <c r="B88" s="128" t="n">
        <v>0</v>
      </c>
      <c r="C88" s="128" t="n">
        <v>0</v>
      </c>
      <c r="D88" s="128" t="n">
        <v>3</v>
      </c>
      <c r="E88" s="128" t="n"/>
      <c r="F88" s="128" t="n">
        <v>0.01</v>
      </c>
      <c r="G88" s="128" t="n"/>
      <c r="H88" s="128" t="inlineStr">
        <is>
          <t>3pence from 1 lb of cumin sold as made clear elsewhere.</t>
        </is>
      </c>
      <c r="I88" s="128" t="n"/>
    </row>
    <row r="89">
      <c r="A89" s="137" t="inlineStr">
        <is>
          <t>Issues of the manor</t>
        </is>
      </c>
      <c r="B89" s="128" t="n">
        <v>0</v>
      </c>
      <c r="C89" s="128" t="n">
        <v>10</v>
      </c>
      <c r="D89" s="128" t="n">
        <v>0</v>
      </c>
      <c r="E89" s="128" t="n"/>
      <c r="F89" s="128" t="n">
        <v>0.5</v>
      </c>
      <c r="G89" s="128" t="n"/>
      <c r="H89" s="128" t="inlineStr">
        <is>
          <t>10 shilling from the herbage of 9 acres of meadow in Mechulfulneye sold this year.</t>
        </is>
      </c>
      <c r="I89" s="128" t="n"/>
    </row>
    <row r="90">
      <c r="A90" s="137" t="inlineStr">
        <is>
          <t>Issues of the manor</t>
        </is>
      </c>
      <c r="B90" s="128" t="n">
        <v>0</v>
      </c>
      <c r="C90" s="128" t="n">
        <v>3</v>
      </c>
      <c r="D90" s="128" t="n">
        <v>2</v>
      </c>
      <c r="E90" s="128" t="n"/>
      <c r="F90" s="128" t="n">
        <v>0.16</v>
      </c>
      <c r="G90" s="128" t="n"/>
      <c r="H90" s="128" t="inlineStr">
        <is>
          <t>3 shilling 2pence from Thomas Smyth' for 9.5 acres in Shakenoak and Oldeassart.</t>
        </is>
      </c>
      <c r="I90" s="128" t="n"/>
    </row>
    <row r="91">
      <c r="A91" s="137" t="inlineStr">
        <is>
          <t>Issues of the manor</t>
        </is>
      </c>
      <c r="B91" s="128" t="n">
        <v>0</v>
      </c>
      <c r="C91" s="128" t="n">
        <v>2</v>
      </c>
      <c r="D91" s="128" t="n">
        <v>0</v>
      </c>
      <c r="E91" s="128" t="n"/>
      <c r="F91" s="128" t="n">
        <v>0.1</v>
      </c>
      <c r="G91" s="128" t="n"/>
      <c r="H91" s="128" t="inlineStr">
        <is>
          <t>2 shilling from John Taillour for 9 acres there.</t>
        </is>
      </c>
      <c r="I91" s="128" t="n"/>
    </row>
    <row r="92">
      <c r="A92" s="137" t="inlineStr">
        <is>
          <t>Issues of the manor</t>
        </is>
      </c>
      <c r="B92" s="128" t="n">
        <v>0</v>
      </c>
      <c r="C92" s="128" t="n">
        <v>0</v>
      </c>
      <c r="D92" s="128" t="n">
        <v>6</v>
      </c>
      <c r="E92" s="128" t="n"/>
      <c r="F92" s="128" t="n">
        <v>0.03</v>
      </c>
      <c r="G92" s="128" t="n"/>
      <c r="H92" s="128" t="inlineStr">
        <is>
          <t>6pence from John Tunforde for 1.5 acres there.</t>
        </is>
      </c>
      <c r="I92" s="128" t="n"/>
    </row>
    <row r="93">
      <c r="A93" s="137" t="inlineStr">
        <is>
          <t>Issues of the manor</t>
        </is>
      </c>
      <c r="B93" s="128" t="n">
        <v>0</v>
      </c>
      <c r="C93" s="128" t="n">
        <v>2</v>
      </c>
      <c r="D93" s="128" t="n">
        <v>4</v>
      </c>
      <c r="E93" s="128" t="n"/>
      <c r="F93" s="128" t="n">
        <v>0.12</v>
      </c>
      <c r="G93" s="128" t="n"/>
      <c r="H93" s="128" t="inlineStr">
        <is>
          <t>2 shilling 4pence from John Revesoune for 7 acres there.</t>
        </is>
      </c>
      <c r="I93" s="128" t="n"/>
    </row>
    <row r="94">
      <c r="A94" s="137" t="inlineStr">
        <is>
          <t>Issues of the manor</t>
        </is>
      </c>
      <c r="B94" s="128" t="n">
        <v>0</v>
      </c>
      <c r="C94" s="128" t="n">
        <v>1</v>
      </c>
      <c r="D94" s="128" t="n">
        <v>6</v>
      </c>
      <c r="E94" s="128" t="n"/>
      <c r="F94" s="128" t="n">
        <v>0.08</v>
      </c>
      <c r="G94" s="128" t="n"/>
      <c r="H94" s="128" t="inlineStr">
        <is>
          <t>1 shilling 6pence from William Dunhalle for 4.5 acres.</t>
        </is>
      </c>
      <c r="I94" s="128" t="n"/>
    </row>
    <row r="95">
      <c r="A95" s="137" t="inlineStr">
        <is>
          <t>Issues of the manor</t>
        </is>
      </c>
      <c r="B95" s="128" t="n">
        <v>0</v>
      </c>
      <c r="C95" s="128" t="n">
        <v>1</v>
      </c>
      <c r="D95" s="128" t="n">
        <v>6</v>
      </c>
      <c r="E95" s="128" t="n"/>
      <c r="F95" s="128" t="n">
        <v>0.08</v>
      </c>
      <c r="G95" s="128" t="n"/>
      <c r="H95" s="128" t="inlineStr">
        <is>
          <t>1 shilling 6pence from Thomas Weston' for 3.5 acres in Cokshetesassart.</t>
        </is>
      </c>
      <c r="I95" s="128" t="n"/>
    </row>
    <row r="96">
      <c r="A96" s="137" t="inlineStr">
        <is>
          <t>Issues of the manor</t>
        </is>
      </c>
      <c r="B96" s="128" t="n">
        <v>0</v>
      </c>
      <c r="C96" s="128" t="n">
        <v>1</v>
      </c>
      <c r="D96" s="128" t="n">
        <v>10</v>
      </c>
      <c r="E96" s="128" t="n"/>
      <c r="F96" s="128" t="n">
        <v>0.09</v>
      </c>
      <c r="G96" s="128" t="n"/>
      <c r="H96" s="128" t="inlineStr">
        <is>
          <t>1 shilling 10pence from John Wardon' for 5.5 acres in Oldeassart.</t>
        </is>
      </c>
      <c r="I96" s="128" t="n"/>
    </row>
    <row r="97">
      <c r="A97" s="137" t="inlineStr">
        <is>
          <t>Issues of the manor</t>
        </is>
      </c>
      <c r="B97" s="128" t="n">
        <v>0</v>
      </c>
      <c r="C97" s="128" t="n">
        <v>1</v>
      </c>
      <c r="D97" s="128" t="n">
        <v>0</v>
      </c>
      <c r="E97" s="128" t="n"/>
      <c r="F97" s="128" t="n">
        <v>0.05</v>
      </c>
      <c r="G97" s="128" t="n"/>
      <c r="H97" s="128" t="inlineStr">
        <is>
          <t>1 shilling from John Sherwynd for 3 acres there.</t>
        </is>
      </c>
      <c r="I97" s="128" t="n"/>
    </row>
    <row r="98">
      <c r="A98" s="137" t="inlineStr">
        <is>
          <t>Issues of the manor</t>
        </is>
      </c>
      <c r="B98" s="128" t="n">
        <v>0</v>
      </c>
      <c r="C98" s="128" t="n">
        <v>1</v>
      </c>
      <c r="D98" s="128" t="n">
        <v>8</v>
      </c>
      <c r="E98" s="128" t="n"/>
      <c r="F98" s="128" t="n">
        <v>0.08</v>
      </c>
      <c r="G98" s="128" t="n"/>
      <c r="H98" s="128" t="inlineStr">
        <is>
          <t>1 shilling 8pence from William Haukyn for 5 acres there.</t>
        </is>
      </c>
      <c r="I98" s="128" t="n"/>
    </row>
    <row r="99">
      <c r="A99" s="137" t="inlineStr">
        <is>
          <t>Issues of the manor</t>
        </is>
      </c>
      <c r="B99" s="128" t="n">
        <v>0</v>
      </c>
      <c r="C99" s="128" t="n">
        <v>1</v>
      </c>
      <c r="D99" s="128" t="n">
        <v>0</v>
      </c>
      <c r="E99" s="128" t="n"/>
      <c r="F99" s="128" t="n">
        <v>0.05</v>
      </c>
      <c r="G99" s="128" t="n"/>
      <c r="H99" s="128" t="inlineStr">
        <is>
          <t>1 shilling from John Poughele for 3 acres in Neweassart.</t>
        </is>
      </c>
      <c r="I99" s="128" t="n"/>
    </row>
    <row r="100">
      <c r="A100" s="137" t="inlineStr">
        <is>
          <t>Issues of the manor</t>
        </is>
      </c>
      <c r="B100" s="128" t="n">
        <v>0</v>
      </c>
      <c r="C100" s="128" t="n">
        <v>1</v>
      </c>
      <c r="D100" s="128" t="n">
        <v>8</v>
      </c>
      <c r="E100" s="128" t="n"/>
      <c r="F100" s="128" t="n">
        <v>0.08</v>
      </c>
      <c r="G100" s="128" t="n"/>
      <c r="H100" s="128" t="inlineStr">
        <is>
          <t>1 shilling 8pence from William Colyns for 5 acres there.</t>
        </is>
      </c>
      <c r="I100" s="128" t="n"/>
    </row>
    <row r="101">
      <c r="A101" s="137" t="inlineStr">
        <is>
          <t>Issues of the manor</t>
        </is>
      </c>
      <c r="B101" s="128" t="n">
        <v>0</v>
      </c>
      <c r="C101" s="128" t="n">
        <v>1</v>
      </c>
      <c r="D101" s="128" t="n">
        <v>0</v>
      </c>
      <c r="E101" s="128" t="n"/>
      <c r="F101" s="128" t="n">
        <v>0.05</v>
      </c>
      <c r="G101" s="128" t="n"/>
      <c r="H101" s="128" t="inlineStr">
        <is>
          <t>1 shilling from John Wyllam' for 3 acres there.</t>
        </is>
      </c>
      <c r="I101" s="128" t="n"/>
    </row>
    <row r="102">
      <c r="A102" s="137" t="inlineStr">
        <is>
          <t>Issues of the manor</t>
        </is>
      </c>
      <c r="B102" s="128" t="n">
        <v>0</v>
      </c>
      <c r="C102" s="128" t="n">
        <v>1</v>
      </c>
      <c r="D102" s="128" t="n">
        <v>2</v>
      </c>
      <c r="E102" s="128" t="n"/>
      <c r="F102" s="128" t="n">
        <v>0.06</v>
      </c>
      <c r="G102" s="128" t="n"/>
      <c r="H102" s="128" t="inlineStr">
        <is>
          <t>1 shilling 2pence from John Haryot' for 1 piece of assarted land called Clerkesassart and''/ acre there demised to him and his for 40 years, this year being the seventh.</t>
        </is>
      </c>
      <c r="I102" s="128" t="n"/>
    </row>
    <row r="103">
      <c r="A103" s="137" t="inlineStr">
        <is>
          <t>Issues of the manor</t>
        </is>
      </c>
      <c r="B103" s="128" t="n">
        <v>0</v>
      </c>
      <c r="C103" s="128" t="n">
        <v>1</v>
      </c>
      <c r="D103" s="128" t="n">
        <v>0</v>
      </c>
      <c r="E103" s="128" t="n"/>
      <c r="F103" s="128" t="n">
        <v>0.05</v>
      </c>
      <c r="G103" s="128" t="n"/>
      <c r="H103" s="128" t="inlineStr">
        <is>
          <t>1 shilling from Margaret Mason' for 3 acres in Knavenhale.</t>
        </is>
      </c>
      <c r="I103" s="128" t="n"/>
    </row>
    <row r="104">
      <c r="A104" s="137" t="inlineStr">
        <is>
          <t>Issues of the manor</t>
        </is>
      </c>
      <c r="B104" s="128" t="n">
        <v>0</v>
      </c>
      <c r="C104" s="128" t="n">
        <v>1</v>
      </c>
      <c r="D104" s="128" t="n">
        <v>0</v>
      </c>
      <c r="E104" s="128" t="n"/>
      <c r="F104" s="128" t="n">
        <v>0.05</v>
      </c>
      <c r="G104" s="128" t="n"/>
      <c r="H104" s="128" t="inlineStr">
        <is>
          <t>1 shilling from John Hughes for 3 acres there.</t>
        </is>
      </c>
      <c r="I104" s="128" t="n"/>
    </row>
    <row r="105">
      <c r="A105" s="137" t="inlineStr">
        <is>
          <t>Issues of the manor</t>
        </is>
      </c>
      <c r="B105" s="128" t="n">
        <v>0</v>
      </c>
      <c r="C105" s="128" t="n">
        <v>0</v>
      </c>
      <c r="D105" s="128" t="n">
        <v>8</v>
      </c>
      <c r="E105" s="128" t="n"/>
      <c r="F105" s="128" t="n">
        <v>0.03</v>
      </c>
      <c r="G105" s="128" t="n"/>
      <c r="H105" s="128" t="inlineStr">
        <is>
          <t>8pence from John Aston' for 2 acres there.</t>
        </is>
      </c>
      <c r="I105" s="128" t="n"/>
    </row>
    <row r="106">
      <c r="A106" s="137" t="inlineStr">
        <is>
          <t>Issues of the manor</t>
        </is>
      </c>
      <c r="B106" s="128" t="n">
        <v>0</v>
      </c>
      <c r="C106" s="128" t="n">
        <v>0</v>
      </c>
      <c r="D106" s="128" t="n">
        <v>8</v>
      </c>
      <c r="E106" s="128" t="n"/>
      <c r="F106" s="128" t="n">
        <v>0.03</v>
      </c>
      <c r="G106" s="128" t="n"/>
      <c r="H106" s="128" t="inlineStr">
        <is>
          <t>8pence from John Smart for 2 acres in Sexteneacres.</t>
        </is>
      </c>
      <c r="I106" s="128" t="n"/>
    </row>
    <row r="107">
      <c r="A107" s="137" t="inlineStr">
        <is>
          <t>Issues of the manor</t>
        </is>
      </c>
      <c r="B107" s="128" t="n">
        <v>0</v>
      </c>
      <c r="C107" s="128" t="n">
        <v>0</v>
      </c>
      <c r="D107" s="128" t="n">
        <v>4</v>
      </c>
      <c r="E107" s="128" t="n"/>
      <c r="F107" s="128" t="n">
        <v>0.02</v>
      </c>
      <c r="G107" s="128" t="n"/>
      <c r="H107" s="128" t="inlineStr">
        <is>
          <t>4pence from Walter Assheby for 1 acre in' Neweassart.</t>
        </is>
      </c>
      <c r="I107" s="128" t="n"/>
    </row>
    <row r="108">
      <c r="A108" s="137" t="inlineStr">
        <is>
          <t>Issues of the manor</t>
        </is>
      </c>
      <c r="B108" s="128" t="n">
        <v>0</v>
      </c>
      <c r="C108" s="128" t="n">
        <v>0</v>
      </c>
      <c r="D108" s="128" t="n">
        <v>8</v>
      </c>
      <c r="E108" s="128" t="n"/>
      <c r="F108" s="128" t="n">
        <v>0.03</v>
      </c>
      <c r="G108" s="128" t="n"/>
      <c r="H108" s="128" t="inlineStr">
        <is>
          <t>8pence from Richard Sparhauk' for 2 acres there.</t>
        </is>
      </c>
      <c r="I108" s="128" t="n"/>
    </row>
    <row r="109">
      <c r="A109" s="137" t="inlineStr">
        <is>
          <t>Issues of the manor</t>
        </is>
      </c>
      <c r="B109" s="128" t="n">
        <v>0</v>
      </c>
      <c r="C109" s="128" t="n">
        <v>1</v>
      </c>
      <c r="D109" s="128" t="n">
        <v>0</v>
      </c>
      <c r="E109" s="128" t="n"/>
      <c r="F109" s="128" t="n">
        <v>0.05</v>
      </c>
      <c r="G109" s="128" t="n"/>
      <c r="H109" s="128" t="inlineStr">
        <is>
          <t>1 shilling from John Wheler' for 3 acres there.</t>
        </is>
      </c>
      <c r="I109" s="128" t="n"/>
    </row>
    <row r="110">
      <c r="A110" s="137" t="inlineStr">
        <is>
          <t>Issues of the manor</t>
        </is>
      </c>
      <c r="B110" s="128" t="n">
        <v>0</v>
      </c>
      <c r="C110" s="128" t="n">
        <v>1</v>
      </c>
      <c r="D110" s="128" t="n">
        <v>0</v>
      </c>
      <c r="E110" s="128" t="n"/>
      <c r="F110" s="128" t="n">
        <v>0.05</v>
      </c>
      <c r="G110" s="128" t="n"/>
      <c r="H110" s="128" t="inlineStr">
        <is>
          <t>1 shilling from John Pusle for 3 acres there.</t>
        </is>
      </c>
      <c r="I110" s="128" t="n"/>
    </row>
    <row r="111">
      <c r="A111" s="137" t="inlineStr">
        <is>
          <t>Issues of the manor</t>
        </is>
      </c>
      <c r="B111" s="128" t="n">
        <v>0</v>
      </c>
      <c r="C111" s="128" t="n">
        <v>1</v>
      </c>
      <c r="D111" s="128" t="n">
        <v>0</v>
      </c>
      <c r="E111" s="128" t="n"/>
      <c r="F111" s="128" t="n">
        <v>0.05</v>
      </c>
      <c r="G111" s="128" t="n"/>
      <c r="H111" s="128" t="inlineStr">
        <is>
          <t>1 shilling from John Horn' for 3 acres there.</t>
        </is>
      </c>
      <c r="I111" s="128" t="n"/>
    </row>
    <row r="112">
      <c r="A112" s="137" t="inlineStr">
        <is>
          <t>Issues of the manor</t>
        </is>
      </c>
      <c r="B112" s="128" t="n">
        <v>4</v>
      </c>
      <c r="C112" s="128" t="n">
        <v>0</v>
      </c>
      <c r="D112" s="128" t="n">
        <v>0</v>
      </c>
      <c r="E112" s="128" t="n"/>
      <c r="F112" s="128" t="n">
        <v>4</v>
      </c>
      <c r="G112" s="128" t="n"/>
      <c r="H112" s="128" t="inlineStr">
        <is>
          <t>and he is charged for £4 of hay this year.</t>
        </is>
      </c>
      <c r="I112" s="128" t="n"/>
    </row>
    <row r="113">
      <c r="A113" s="137" t="inlineStr">
        <is>
          <t>Issues of the manor</t>
        </is>
      </c>
      <c r="B113" s="128" t="n">
        <v>39</v>
      </c>
      <c r="C113" s="128" t="n">
        <v>17</v>
      </c>
      <c r="D113" s="128" t="n">
        <v>1.5</v>
      </c>
      <c r="E113" s="128" t="n"/>
      <c r="F113" s="128" t="n">
        <v>39.86</v>
      </c>
      <c r="G113" s="128" t="n"/>
      <c r="H113" s="128" t="inlineStr">
        <is>
          <t>Total, £39 17 shilling 1.5pence.</t>
        </is>
      </c>
      <c r="I113" s="128" t="n"/>
    </row>
    <row r="114">
      <c r="A114" s="138" t="inlineStr">
        <is>
          <t>Issues of the manor total</t>
        </is>
      </c>
      <c r="B114" s="139" t="n"/>
      <c r="C114" s="139" t="n"/>
      <c r="D114" s="139" t="n"/>
      <c r="E114" s="139" t="n"/>
      <c r="F114" s="139" t="n">
        <v>41.72</v>
      </c>
      <c r="G114" s="139" t="n">
        <v>1.86</v>
      </c>
      <c r="H114" s="139" t="inlineStr">
        <is>
          <t>Total</t>
        </is>
      </c>
      <c r="I114" s="139" t="n"/>
    </row>
    <row r="115">
      <c r="A115" s="137" t="n"/>
      <c r="B115" s="128" t="n"/>
      <c r="C115" s="128" t="n"/>
      <c r="D115" s="128" t="n"/>
      <c r="E115" s="128" t="n"/>
      <c r="F115" s="128" t="n"/>
      <c r="G115" s="128" t="n"/>
      <c r="H115" s="128" t="n"/>
      <c r="I115" s="128" t="n"/>
    </row>
    <row r="116">
      <c r="A116" s="136" t="inlineStr">
        <is>
          <t>Sale of stock</t>
        </is>
      </c>
      <c r="B116" s="128" t="n">
        <v>0</v>
      </c>
      <c r="C116" s="128" t="n">
        <v>14</v>
      </c>
      <c r="D116" s="128" t="n">
        <v>0</v>
      </c>
      <c r="E116" s="128" t="n"/>
      <c r="F116" s="128" t="n">
        <v>0.7</v>
      </c>
      <c r="G116" s="128" t="n"/>
      <c r="H116" s="128" t="inlineStr">
        <is>
          <t>And for 14 shilling from 1 horse from the heriot of Richard Lylywhyt sold as made clear elsewhere.</t>
        </is>
      </c>
      <c r="I116" s="128" t="n"/>
    </row>
    <row r="117">
      <c r="A117" s="137" t="inlineStr">
        <is>
          <t>Sale of stock</t>
        </is>
      </c>
      <c r="B117" s="128" t="n">
        <v>0</v>
      </c>
      <c r="C117" s="128" t="n">
        <v>2</v>
      </c>
      <c r="D117" s="128" t="n">
        <v>0</v>
      </c>
      <c r="E117" s="128" t="n"/>
      <c r="F117" s="128" t="n">
        <v>0.1</v>
      </c>
      <c r="G117" s="128" t="n"/>
      <c r="H117" s="128" t="inlineStr">
        <is>
          <t>2 shilling from 1 colt from strays sold.</t>
        </is>
      </c>
      <c r="I117" s="128" t="n"/>
    </row>
    <row r="118">
      <c r="A118" s="137" t="inlineStr">
        <is>
          <t>Sale of stock</t>
        </is>
      </c>
      <c r="B118" s="128" t="n">
        <v>0</v>
      </c>
      <c r="C118" s="128" t="n">
        <v>10</v>
      </c>
      <c r="D118" s="128" t="n">
        <v>0</v>
      </c>
      <c r="E118" s="128" t="n"/>
      <c r="F118" s="128" t="n">
        <v>0.5</v>
      </c>
      <c r="G118" s="128" t="n"/>
      <c r="H118" s="128" t="inlineStr">
        <is>
          <t>10 shilling from 1 cow from the heriot of John Lewe sold by the steward.</t>
        </is>
      </c>
      <c r="I118" s="128" t="n"/>
    </row>
    <row r="119">
      <c r="A119" s="137" t="inlineStr">
        <is>
          <t>Sale of stock</t>
        </is>
      </c>
      <c r="B119" s="128" t="n">
        <v>1</v>
      </c>
      <c r="C119" s="128" t="n">
        <v>16</v>
      </c>
      <c r="D119" s="128" t="n">
        <v>8</v>
      </c>
      <c r="E119" s="128" t="n"/>
      <c r="F119" s="128" t="n">
        <v>1.83</v>
      </c>
      <c r="G119" s="128" t="n"/>
      <c r="H119" s="128" t="inlineStr">
        <is>
          <t>£1 16 shilling 8pence from 22 kebb wethers sold before shearing, at 1 shilling 8pence each, as made clear elsewhere.</t>
        </is>
      </c>
      <c r="I119" s="128" t="n"/>
    </row>
    <row r="120">
      <c r="A120" s="137" t="inlineStr">
        <is>
          <t>Sale of stock</t>
        </is>
      </c>
      <c r="B120" s="128" t="n">
        <v>3</v>
      </c>
      <c r="C120" s="128" t="n">
        <v>2</v>
      </c>
      <c r="D120" s="128" t="n">
        <v>8</v>
      </c>
      <c r="E120" s="128" t="n"/>
      <c r="F120" s="128" t="n">
        <v>3.13</v>
      </c>
      <c r="G120" s="128" t="n"/>
      <c r="H120" s="128" t="inlineStr">
        <is>
          <t>Total, £3 2 shilling 8pence.</t>
        </is>
      </c>
      <c r="I120" s="128" t="n"/>
    </row>
    <row r="121">
      <c r="A121" s="138" t="inlineStr">
        <is>
          <t>Sale of stock total</t>
        </is>
      </c>
      <c r="B121" s="139" t="n"/>
      <c r="C121" s="139" t="n"/>
      <c r="D121" s="139" t="n"/>
      <c r="E121" s="139" t="n"/>
      <c r="F121" s="139" t="n">
        <v>3.13</v>
      </c>
      <c r="G121" s="139" t="n">
        <v>0</v>
      </c>
      <c r="H121" s="139" t="inlineStr">
        <is>
          <t>Total</t>
        </is>
      </c>
      <c r="I121" s="139" t="n"/>
    </row>
    <row r="122">
      <c r="A122" s="137" t="n"/>
      <c r="B122" s="128" t="n"/>
      <c r="C122" s="128" t="n"/>
      <c r="D122" s="128" t="n"/>
      <c r="E122" s="128" t="n"/>
      <c r="F122" s="128" t="n"/>
      <c r="G122" s="128" t="n"/>
      <c r="H122" s="128" t="n"/>
      <c r="I122" s="128" t="n"/>
    </row>
    <row r="123">
      <c r="A123" s="136" t="inlineStr">
        <is>
          <t>Entry and marriage fines</t>
        </is>
      </c>
      <c r="B123" s="128" t="n">
        <v>1</v>
      </c>
      <c r="C123" s="128" t="n">
        <v>6</v>
      </c>
      <c r="D123" s="128" t="n">
        <v>8</v>
      </c>
      <c r="E123" s="128" t="n"/>
      <c r="F123" s="128" t="n">
        <v>1.33</v>
      </c>
      <c r="G123" s="128" t="n"/>
      <c r="H123" s="128" t="inlineStr">
        <is>
          <t>And for £1 6 shilling 8pence from tithingpenny at the tourn of Martinmas, of which the tithing of Curbridge paid 12 shilling 6pence, the tithing of Hailey 10 shilling 6pence and the tithing of Crawley 3 shilling 8pence.</t>
        </is>
      </c>
      <c r="I123" s="128" t="n"/>
    </row>
    <row r="124">
      <c r="A124" s="137" t="inlineStr">
        <is>
          <t>Entry and marriage fines</t>
        </is>
      </c>
      <c r="B124" s="128" t="n">
        <v>1</v>
      </c>
      <c r="C124" s="128" t="n">
        <v>6</v>
      </c>
      <c r="D124" s="128" t="n">
        <v>8</v>
      </c>
      <c r="E124" s="128" t="n"/>
      <c r="F124" s="128" t="n">
        <v>1.33</v>
      </c>
      <c r="G124" s="128" t="n"/>
      <c r="H124" s="128" t="inlineStr">
        <is>
          <t>£1 6 shilling 8pence from tithingpenny at the tourn of Hockday.</t>
        </is>
      </c>
      <c r="I124" s="128" t="n"/>
    </row>
    <row r="125">
      <c r="A125" s="137" t="inlineStr">
        <is>
          <t>Entry and marriage fines</t>
        </is>
      </c>
      <c r="B125" s="128" t="n">
        <v>0</v>
      </c>
      <c r="C125" s="128" t="n">
        <v>0</v>
      </c>
      <c r="D125" s="128" t="n">
        <v>6</v>
      </c>
      <c r="E125" s="128" t="n"/>
      <c r="F125" s="128" t="n">
        <v>0.03</v>
      </c>
      <c r="G125" s="128" t="n"/>
      <c r="H125" s="128"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I125" s="128" t="n"/>
    </row>
    <row r="126">
      <c r="A126" s="137" t="inlineStr">
        <is>
          <t>Entry and marriage fines</t>
        </is>
      </c>
      <c r="B126" s="128" t="n">
        <v>0</v>
      </c>
      <c r="C126" s="128" t="n">
        <v>2</v>
      </c>
      <c r="D126" s="128" t="n">
        <v>0</v>
      </c>
      <c r="E126" s="128" t="n"/>
      <c r="F126" s="128" t="n">
        <v>0.1</v>
      </c>
      <c r="G126" s="128" t="n"/>
      <c r="H126" s="128"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I126" s="128" t="n"/>
    </row>
    <row r="127">
      <c r="A127" s="137" t="inlineStr">
        <is>
          <t>Entry and marriage fines</t>
        </is>
      </c>
      <c r="B127" s="128" t="n">
        <v>0</v>
      </c>
      <c r="C127" s="128" t="n">
        <v>0</v>
      </c>
      <c r="D127" s="128" t="n">
        <v>6</v>
      </c>
      <c r="E127" s="128" t="n"/>
      <c r="F127" s="128" t="n">
        <v>0.03</v>
      </c>
      <c r="G127" s="128" t="n"/>
      <c r="H127" s="128" t="inlineStr">
        <is>
          <t>6pence from John Pusle to have 1 plot of the lord's waste, 5 feet wide and 30 feet long, annexed to his tenement in Hailey.</t>
        </is>
      </c>
      <c r="I127" s="128" t="n"/>
    </row>
    <row r="128">
      <c r="A128" s="137" t="inlineStr">
        <is>
          <t>Entry and marriage fines</t>
        </is>
      </c>
      <c r="B128" s="128" t="n">
        <v>0</v>
      </c>
      <c r="C128" s="128" t="n">
        <v>0</v>
      </c>
      <c r="D128" s="128" t="n">
        <v>8</v>
      </c>
      <c r="E128" s="128" t="n"/>
      <c r="F128" s="128" t="n">
        <v>0.03</v>
      </c>
      <c r="G128" s="128" t="n"/>
      <c r="H128" s="128" t="inlineStr">
        <is>
          <t>8pence from John Haukyns to have 1.5 acres of assarted land in the tithing of Hailey in Oldeassart beside Rammesdemisraydyng which came into the lord's hands through the first pestilence.</t>
        </is>
      </c>
      <c r="I128" s="128" t="n"/>
    </row>
    <row r="129">
      <c r="A129" s="137" t="inlineStr">
        <is>
          <t>Entry and marriage fines</t>
        </is>
      </c>
      <c r="B129" s="128" t="n">
        <v>0</v>
      </c>
      <c r="C129" s="128" t="n">
        <v>5</v>
      </c>
      <c r="D129" s="128" t="n">
        <v>4</v>
      </c>
      <c r="E129" s="128" t="n"/>
      <c r="F129" s="128" t="n">
        <v>0.27</v>
      </c>
      <c r="G129" s="128" t="n"/>
      <c r="H129" s="128"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I129" s="128" t="n"/>
    </row>
    <row r="130">
      <c r="A130" s="137" t="inlineStr">
        <is>
          <t>Entry and marriage fines</t>
        </is>
      </c>
      <c r="B130" s="128" t="n">
        <v>0</v>
      </c>
      <c r="C130" s="128" t="n">
        <v>14</v>
      </c>
      <c r="D130" s="128" t="n">
        <v>0</v>
      </c>
      <c r="E130" s="128" t="n"/>
      <c r="F130" s="128" t="n">
        <v>0.7</v>
      </c>
      <c r="G130" s="128" t="n"/>
      <c r="H130" s="128" t="inlineStr">
        <is>
          <t>14 shilling from William Adam to have 7 acres assarted land in the tithing of Hailey by surrender of Richard Lylywhyt.</t>
        </is>
      </c>
      <c r="I130" s="128" t="n"/>
    </row>
    <row r="131">
      <c r="A131" s="137" t="inlineStr">
        <is>
          <t>Entry and marriage fines</t>
        </is>
      </c>
      <c r="B131" s="128" t="n">
        <v>0</v>
      </c>
      <c r="C131" s="128" t="n">
        <v>1</v>
      </c>
      <c r="D131" s="128" t="n">
        <v>0</v>
      </c>
      <c r="E131" s="128" t="n"/>
      <c r="F131" s="128" t="n">
        <v>0.05</v>
      </c>
      <c r="G131" s="128" t="n"/>
      <c r="H131" s="128" t="inlineStr">
        <is>
          <t>1 shilling from William Hore to have .5 acre of assailed land in the tithing of Hailey in Oldebrech' beside Stonystretehegg' by surrender of Thomas Whitynton', chaplain.</t>
        </is>
      </c>
      <c r="I131" s="128" t="n"/>
    </row>
    <row r="132">
      <c r="A132" s="137" t="inlineStr">
        <is>
          <t>Entry and marriage fines</t>
        </is>
      </c>
      <c r="B132" s="128" t="n">
        <v>0</v>
      </c>
      <c r="C132" s="128" t="n">
        <v>5</v>
      </c>
      <c r="D132" s="128" t="n">
        <v>0</v>
      </c>
      <c r="E132" s="128" t="n"/>
      <c r="F132" s="128" t="n">
        <v>0.25</v>
      </c>
      <c r="G132" s="128" t="n"/>
      <c r="H132" s="128" t="inlineStr">
        <is>
          <t>5 shilling from William Shifford' to have 2.5 acres of assailed land in the tithing of Flaky in Longebreche by surrender of Thomas Whitynton', chaplain.</t>
        </is>
      </c>
      <c r="I132" s="128" t="n"/>
    </row>
    <row r="133">
      <c r="A133" s="137" t="inlineStr">
        <is>
          <t>Entry and marriage fines</t>
        </is>
      </c>
      <c r="B133" s="128" t="n">
        <v>0</v>
      </c>
      <c r="C133" s="128" t="n">
        <v>2</v>
      </c>
      <c r="D133" s="128" t="n">
        <v>0</v>
      </c>
      <c r="E133" s="128" t="n"/>
      <c r="F133" s="128" t="n">
        <v>0.1</v>
      </c>
      <c r="G133" s="128" t="n"/>
      <c r="H133" s="128" t="inlineStr">
        <is>
          <t>2 shilling from William Whitynton' to have 1 acre of assailed land in the tithing of Hailey in Middlefield by surrender of John Whitynton' his father.</t>
        </is>
      </c>
      <c r="I133" s="128" t="n"/>
    </row>
    <row r="134">
      <c r="A134" s="137" t="inlineStr">
        <is>
          <t>Entry and marriage fines</t>
        </is>
      </c>
      <c r="B134" s="128" t="n">
        <v>0</v>
      </c>
      <c r="C134" s="128" t="n">
        <v>1</v>
      </c>
      <c r="D134" s="128" t="n">
        <v>6</v>
      </c>
      <c r="E134" s="128" t="n"/>
      <c r="F134" s="128" t="n">
        <v>0.08</v>
      </c>
      <c r="G134" s="128" t="n"/>
      <c r="H134" s="128" t="inlineStr">
        <is>
          <t>1 shilling 6pence from William Whitynton' to have 3 roods of assarted land in the tithing of Curbridge in Casteldych' by surrender of John Whitynton' his father.</t>
        </is>
      </c>
      <c r="I134" s="128" t="n"/>
    </row>
    <row r="135">
      <c r="A135" s="137" t="inlineStr">
        <is>
          <t>Entry and marriage fines</t>
        </is>
      </c>
      <c r="B135" s="128" t="n">
        <v>0</v>
      </c>
      <c r="C135" s="128" t="n">
        <v>8</v>
      </c>
      <c r="D135" s="128" t="n">
        <v>0</v>
      </c>
      <c r="E135" s="128" t="n"/>
      <c r="F135" s="128" t="n">
        <v>0.4</v>
      </c>
      <c r="G135" s="128" t="n"/>
      <c r="H135" s="128" t="inlineStr">
        <is>
          <t>8 shilling from John Terry to have 4 acres of assarted land in Oldebreche at le Oke by surrender of Richard Lylywhyt.</t>
        </is>
      </c>
      <c r="I135" s="128" t="n"/>
    </row>
    <row r="136">
      <c r="A136" s="137" t="inlineStr">
        <is>
          <t>Entry and marriage fines</t>
        </is>
      </c>
      <c r="B136" s="128" t="n">
        <v>0</v>
      </c>
      <c r="C136" s="128" t="n">
        <v>2</v>
      </c>
      <c r="D136" s="128" t="n">
        <v>0</v>
      </c>
      <c r="E136" s="128" t="n"/>
      <c r="F136" s="128" t="n">
        <v>0.1</v>
      </c>
      <c r="G136" s="128" t="n"/>
      <c r="H136" s="128" t="inlineStr">
        <is>
          <t>2 shilling from Edward Rede to have 1 acre of assarted land in the tithing of Hailey in Oldebreche by surrender of Nicholas Gille.</t>
        </is>
      </c>
      <c r="I136" s="128" t="n"/>
    </row>
    <row r="137">
      <c r="A137" s="137" t="inlineStr">
        <is>
          <t>Entry and marriage fines</t>
        </is>
      </c>
      <c r="B137" s="128" t="n">
        <v>0</v>
      </c>
      <c r="C137" s="128" t="n">
        <v>2</v>
      </c>
      <c r="D137" s="128" t="n">
        <v>0</v>
      </c>
      <c r="E137" s="128" t="n"/>
      <c r="F137" s="128" t="n">
        <v>0.1</v>
      </c>
      <c r="G137" s="128" t="n"/>
      <c r="H137" s="128" t="inlineStr">
        <is>
          <t>2 shilling from John Redhed' to have 1 acre of assailed land in the tithing of Hailey in Oldeassart by surrender of John Lewe the elder.</t>
        </is>
      </c>
      <c r="I137" s="128" t="n"/>
    </row>
    <row r="138">
      <c r="A138" s="137" t="inlineStr">
        <is>
          <t>Entry and marriage fines</t>
        </is>
      </c>
      <c r="B138" s="128" t="n">
        <v>0</v>
      </c>
      <c r="C138" s="128" t="n">
        <v>3</v>
      </c>
      <c r="D138" s="128" t="n">
        <v>4</v>
      </c>
      <c r="E138" s="128" t="n"/>
      <c r="F138" s="128" t="n">
        <v>0.17</v>
      </c>
      <c r="G138" s="128" t="n"/>
      <c r="H138" s="128" t="inlineStr">
        <is>
          <t>3 shilling 4pence from Thomas Wheler' to have 21 acres of assailed land in Calthull' for the term of his life.</t>
        </is>
      </c>
      <c r="I138" s="128" t="n"/>
    </row>
    <row r="139">
      <c r="A139" s="137" t="inlineStr">
        <is>
          <t>Entry and marriage fines</t>
        </is>
      </c>
      <c r="B139" s="128" t="n">
        <v>0</v>
      </c>
      <c r="C139" s="128" t="n">
        <v>3</v>
      </c>
      <c r="D139" s="128" t="n">
        <v>0</v>
      </c>
      <c r="E139" s="128" t="n"/>
      <c r="F139" s="128" t="n">
        <v>0.15</v>
      </c>
      <c r="G139" s="128" t="n"/>
      <c r="H139" s="128" t="inlineStr">
        <is>
          <t>3 shilling from Richard Whelowe to have 1.5 acres of assailed land in the tithing of Hailey in Middlefield by surrender of Richard Northefolk'.</t>
        </is>
      </c>
      <c r="I139" s="128" t="n"/>
    </row>
    <row r="140">
      <c r="A140" s="137" t="inlineStr">
        <is>
          <t>Entry and marriage fines</t>
        </is>
      </c>
      <c r="B140" s="128" t="n">
        <v>5</v>
      </c>
      <c r="C140" s="128" t="n">
        <v>4</v>
      </c>
      <c r="D140" s="128" t="n">
        <v>2</v>
      </c>
      <c r="E140" s="128" t="n"/>
      <c r="F140" s="128" t="n">
        <v>5.21</v>
      </c>
      <c r="G140" s="128" t="n"/>
      <c r="H140" s="128" t="inlineStr">
        <is>
          <t>Total, £5 4 shilling 2pence.</t>
        </is>
      </c>
      <c r="I140" s="128" t="n"/>
    </row>
    <row r="141">
      <c r="A141" s="138" t="inlineStr">
        <is>
          <t>Entry and marriage fines total</t>
        </is>
      </c>
      <c r="B141" s="139" t="n"/>
      <c r="C141" s="139" t="n"/>
      <c r="D141" s="139" t="n"/>
      <c r="E141" s="139" t="n"/>
      <c r="F141" s="139" t="n">
        <v>5.22</v>
      </c>
      <c r="G141" s="139" t="n">
        <v>0.01</v>
      </c>
      <c r="H141" s="139" t="inlineStr">
        <is>
          <t>Total</t>
        </is>
      </c>
      <c r="I141" s="139" t="n"/>
    </row>
    <row r="142">
      <c r="A142" s="137" t="n"/>
      <c r="B142" s="128" t="n"/>
      <c r="C142" s="128" t="n"/>
      <c r="D142" s="128" t="n"/>
      <c r="E142" s="128" t="n"/>
      <c r="F142" s="128" t="n"/>
      <c r="G142" s="128" t="n"/>
      <c r="H142" s="128" t="n"/>
      <c r="I142" s="128" t="n"/>
    </row>
    <row r="143">
      <c r="A143" s="136" t="inlineStr">
        <is>
          <t>Perquisites</t>
        </is>
      </c>
      <c r="B143" s="128" t="n">
        <v>0</v>
      </c>
      <c r="C143" s="128" t="n">
        <v>2</v>
      </c>
      <c r="D143" s="128" t="n">
        <v>0</v>
      </c>
      <c r="E143" s="128" t="n"/>
      <c r="F143" s="128" t="n">
        <v>0.1</v>
      </c>
      <c r="G143" s="128" t="n"/>
      <c r="H143" s="128" t="inlineStr">
        <is>
          <t>And for 2 shilling Id. from the perquisites of the tourn of Martinmas (11 November).</t>
        </is>
      </c>
      <c r="I143" s="128" t="n"/>
    </row>
    <row r="144">
      <c r="A144" s="137" t="inlineStr">
        <is>
          <t>Perquisites</t>
        </is>
      </c>
      <c r="B144" s="128" t="n">
        <v>0</v>
      </c>
      <c r="C144" s="128" t="n">
        <v>14</v>
      </c>
      <c r="D144" s="128" t="n">
        <v>2</v>
      </c>
      <c r="E144" s="128" t="n"/>
      <c r="F144" s="128" t="n">
        <v>0.71</v>
      </c>
      <c r="G144" s="128" t="n"/>
      <c r="H144" s="128" t="inlineStr">
        <is>
          <t>14 shilling 2pence from the perquisites of the courts held by the bailiff between the two tourns.</t>
        </is>
      </c>
      <c r="I144" s="128" t="n"/>
    </row>
    <row r="145">
      <c r="A145" s="137" t="inlineStr">
        <is>
          <t>Perquisites</t>
        </is>
      </c>
      <c r="B145" s="128" t="n">
        <v>0</v>
      </c>
      <c r="C145" s="128" t="n">
        <v>3</v>
      </c>
      <c r="D145" s="128" t="n">
        <v>3</v>
      </c>
      <c r="E145" s="128" t="n"/>
      <c r="F145" s="128" t="n">
        <v>0.16</v>
      </c>
      <c r="G145" s="128" t="n"/>
      <c r="H145" s="128" t="inlineStr">
        <is>
          <t>3 shilling 3pence from the perquisites of the tourn of Hockday (1 April).</t>
        </is>
      </c>
      <c r="I145" s="128" t="n"/>
    </row>
    <row r="146">
      <c r="A146" s="137" t="inlineStr">
        <is>
          <t>Perquisites</t>
        </is>
      </c>
      <c r="B146" s="128" t="n">
        <v>0</v>
      </c>
      <c r="C146" s="128" t="n">
        <v>3</v>
      </c>
      <c r="D146" s="128" t="n">
        <v>1</v>
      </c>
      <c r="E146" s="128" t="n"/>
      <c r="F146" s="128" t="n">
        <v>0.15</v>
      </c>
      <c r="G146" s="128" t="n"/>
      <c r="H146" s="128" t="inlineStr">
        <is>
          <t>3 shilling 1pence from the perquisites of the courts held by the bailiff after the said tourn of Hockday.</t>
        </is>
      </c>
      <c r="I146" s="128" t="n"/>
    </row>
    <row r="147">
      <c r="A147" s="138" t="inlineStr">
        <is>
          <t>Perquisites total</t>
        </is>
      </c>
      <c r="B147" s="139" t="n">
        <v>1</v>
      </c>
      <c r="C147" s="139" t="n">
        <v>2</v>
      </c>
      <c r="D147" s="139" t="n">
        <v>7</v>
      </c>
      <c r="E147" s="139" t="n"/>
      <c r="F147" s="139" t="n">
        <v>1.13</v>
      </c>
      <c r="G147" s="139" t="n">
        <v>0.98</v>
      </c>
      <c r="H147" s="139" t="inlineStr">
        <is>
          <t>Total, £1 2 shilling 7pence.</t>
        </is>
      </c>
      <c r="I147" s="139" t="n"/>
    </row>
    <row r="148">
      <c r="A148" s="38" t="inlineStr">
        <is>
          <t>Total of all receipts recorded in accounts (calculated here)</t>
        </is>
      </c>
      <c r="F148">
        <f>SUMIF(A1:A147,"* total",F1:F147)-SUMIF(A1:A147,"Arrears total",F1:F147)</f>
        <v/>
      </c>
    </row>
    <row r="149">
      <c r="A149" s="38" t="inlineStr">
        <is>
          <t>Total of all receipts (calculated here) incl arrears</t>
        </is>
      </c>
      <c r="F149">
        <f>F148+SUMIF(A1:A147,"Arrears total",F1:F147)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WITNEY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Purchase of corn</t>
        </is>
      </c>
      <c r="B4" s="128" t="n">
        <v>2</v>
      </c>
      <c r="C4" s="128" t="n">
        <v>2</v>
      </c>
      <c r="D4" s="128" t="n">
        <v>6</v>
      </c>
      <c r="E4" s="128" t="n"/>
      <c r="F4" s="128" t="n">
        <v>2.12</v>
      </c>
      <c r="G4" s="128" t="n"/>
      <c r="H4" s="128" t="n"/>
    </row>
    <row r="5">
      <c r="A5" s="137" t="inlineStr">
        <is>
          <t>Purchase of corn</t>
        </is>
      </c>
      <c r="B5" s="128" t="n">
        <v>0</v>
      </c>
      <c r="C5" s="128" t="n">
        <v>18</v>
      </c>
      <c r="D5" s="128" t="n">
        <v>5</v>
      </c>
      <c r="E5" s="128" t="n"/>
      <c r="F5" s="128" t="n">
        <v>0.92</v>
      </c>
      <c r="G5" s="128" t="n"/>
      <c r="H5" s="128" t="n"/>
    </row>
    <row r="6">
      <c r="A6" s="137" t="inlineStr">
        <is>
          <t>Purchase of corn</t>
        </is>
      </c>
      <c r="B6" s="128" t="n">
        <v>0</v>
      </c>
      <c r="C6" s="128" t="n">
        <v>8</v>
      </c>
      <c r="D6" s="128" t="n">
        <v>3</v>
      </c>
      <c r="E6" s="128" t="n"/>
      <c r="F6" s="128" t="n">
        <v>0.41</v>
      </c>
      <c r="G6" s="128" t="n"/>
      <c r="H6" s="128" t="n"/>
    </row>
    <row r="7">
      <c r="A7" s="137" t="inlineStr">
        <is>
          <t>Purchase of corn</t>
        </is>
      </c>
      <c r="B7" s="128" t="n">
        <v>3</v>
      </c>
      <c r="C7" s="128" t="n">
        <v>9</v>
      </c>
      <c r="D7" s="128" t="n">
        <v>1</v>
      </c>
      <c r="E7" s="128" t="n"/>
      <c r="F7" s="128" t="n">
        <v>3.45</v>
      </c>
      <c r="G7" s="128" t="n"/>
      <c r="H7" s="128" t="n"/>
    </row>
    <row r="8">
      <c r="A8" s="138" t="inlineStr">
        <is>
          <t>Purchase of corn total</t>
        </is>
      </c>
      <c r="B8" s="139" t="n"/>
      <c r="C8" s="139" t="n"/>
      <c r="D8" s="139" t="n"/>
      <c r="E8" s="139" t="n"/>
      <c r="F8" s="139" t="n">
        <v>3.45</v>
      </c>
      <c r="G8" s="139" t="n">
        <v>0</v>
      </c>
      <c r="H8" s="139" t="n"/>
    </row>
    <row r="9">
      <c r="A9" s="137" t="n"/>
      <c r="B9" s="128" t="n"/>
      <c r="C9" s="128" t="n"/>
      <c r="D9" s="128" t="n"/>
      <c r="E9" s="128" t="n"/>
      <c r="F9" s="128" t="n"/>
      <c r="G9" s="128" t="n"/>
      <c r="H9" s="128" t="n"/>
    </row>
    <row r="10">
      <c r="A10" s="136" t="inlineStr">
        <is>
          <t>Purchase of stock</t>
        </is>
      </c>
      <c r="B10" s="128" t="n">
        <v>0</v>
      </c>
      <c r="C10" s="128" t="n">
        <v>10</v>
      </c>
      <c r="D10" s="128" t="n">
        <v>4</v>
      </c>
      <c r="E10" s="128" t="n"/>
      <c r="F10" s="128" t="n">
        <v>0.52</v>
      </c>
      <c r="G10" s="128" t="n"/>
      <c r="H10" s="128" t="n"/>
    </row>
    <row r="11">
      <c r="A11" s="137" t="inlineStr">
        <is>
          <t>Purchase of stock</t>
        </is>
      </c>
      <c r="B11" s="128" t="n">
        <v>52</v>
      </c>
      <c r="C11" s="128" t="n">
        <v>11</v>
      </c>
      <c r="D11" s="128" t="n">
        <v>4</v>
      </c>
      <c r="E11" s="128" t="n"/>
      <c r="F11" s="128" t="n">
        <v>52.57</v>
      </c>
      <c r="G11" s="128" t="n"/>
      <c r="H11" s="128" t="n"/>
    </row>
    <row r="12">
      <c r="A12" s="137" t="inlineStr">
        <is>
          <t>Purchase of stock</t>
        </is>
      </c>
      <c r="B12" s="128" t="n">
        <v>53</v>
      </c>
      <c r="C12" s="128" t="n">
        <v>1</v>
      </c>
      <c r="D12" s="128" t="n">
        <v>4</v>
      </c>
      <c r="E12" s="128" t="n"/>
      <c r="F12" s="128" t="n">
        <v>53.07</v>
      </c>
      <c r="G12" s="128" t="n"/>
      <c r="H12" s="128" t="n"/>
    </row>
    <row r="13">
      <c r="A13" s="138" t="inlineStr">
        <is>
          <t>Purchase of stock total</t>
        </is>
      </c>
      <c r="B13" s="139" t="n"/>
      <c r="C13" s="139" t="n"/>
      <c r="D13" s="139" t="n"/>
      <c r="E13" s="139" t="n"/>
      <c r="F13" s="139" t="n">
        <v>53.09</v>
      </c>
      <c r="G13" s="139" t="n">
        <v>0.02</v>
      </c>
      <c r="H13" s="139" t="n"/>
    </row>
    <row r="14">
      <c r="A14" s="137" t="n"/>
      <c r="B14" s="128" t="n"/>
      <c r="C14" s="128" t="n"/>
      <c r="D14" s="128" t="n"/>
      <c r="E14" s="128" t="n"/>
      <c r="F14" s="128" t="n"/>
      <c r="G14" s="128" t="n"/>
      <c r="H14" s="128" t="n"/>
    </row>
    <row r="15">
      <c r="A15" s="136" t="inlineStr">
        <is>
          <t>Cost of the mill</t>
        </is>
      </c>
      <c r="B15" s="128" t="n">
        <v>0</v>
      </c>
      <c r="C15" s="128" t="n">
        <v>5</v>
      </c>
      <c r="D15" s="128" t="n">
        <v>0</v>
      </c>
      <c r="E15" s="128" t="n"/>
      <c r="F15" s="128" t="n">
        <v>0.25</v>
      </c>
      <c r="G15" s="128" t="n"/>
      <c r="H15" s="128" t="n"/>
    </row>
    <row r="16">
      <c r="A16" s="137" t="inlineStr">
        <is>
          <t>Cost of the mill</t>
        </is>
      </c>
      <c r="B16" s="128" t="n">
        <v>0</v>
      </c>
      <c r="C16" s="128" t="n">
        <v>5</v>
      </c>
      <c r="D16" s="128" t="n">
        <v>0</v>
      </c>
      <c r="E16" s="128" t="n"/>
      <c r="F16" s="128" t="n">
        <v>0.25</v>
      </c>
      <c r="G16" s="128" t="n"/>
      <c r="H16" s="128" t="n"/>
    </row>
    <row r="17">
      <c r="A17" s="138" t="inlineStr">
        <is>
          <t>Cost of the mill total</t>
        </is>
      </c>
      <c r="B17" s="139" t="n"/>
      <c r="C17" s="139" t="n"/>
      <c r="D17" s="139" t="n"/>
      <c r="E17" s="139" t="n"/>
      <c r="F17" s="139" t="n">
        <v>0.25</v>
      </c>
      <c r="G17" s="139" t="n">
        <v>0</v>
      </c>
      <c r="H17" s="139" t="n"/>
    </row>
    <row r="18">
      <c r="A18" s="137" t="n"/>
      <c r="B18" s="128" t="n"/>
      <c r="C18" s="128" t="n"/>
      <c r="D18" s="128" t="n"/>
      <c r="E18" s="128" t="n"/>
      <c r="F18" s="128" t="n"/>
      <c r="G18" s="128" t="n"/>
      <c r="H18" s="128" t="n"/>
    </row>
    <row r="19">
      <c r="A19" s="136" t="inlineStr">
        <is>
          <t>Cost of the park</t>
        </is>
      </c>
      <c r="B19" s="128" t="n">
        <v>0</v>
      </c>
      <c r="C19" s="128" t="n">
        <v>5</v>
      </c>
      <c r="D19" s="128" t="n">
        <v>0</v>
      </c>
      <c r="E19" s="128" t="n"/>
      <c r="F19" s="128" t="n">
        <v>0.25</v>
      </c>
      <c r="G19" s="128" t="n"/>
      <c r="H19" s="128" t="n"/>
    </row>
    <row r="20">
      <c r="A20" s="137" t="inlineStr">
        <is>
          <t>Cost of the park</t>
        </is>
      </c>
      <c r="B20" s="128" t="n">
        <v>0</v>
      </c>
      <c r="C20" s="128" t="n">
        <v>3</v>
      </c>
      <c r="D20" s="128" t="n">
        <v>0</v>
      </c>
      <c r="E20" s="128" t="n"/>
      <c r="F20" s="128" t="n">
        <v>0.15</v>
      </c>
      <c r="G20" s="128" t="n"/>
      <c r="H20" s="128" t="n"/>
    </row>
    <row r="21">
      <c r="A21" s="137" t="inlineStr">
        <is>
          <t>Cost of the park</t>
        </is>
      </c>
      <c r="B21" s="128" t="n">
        <v>0</v>
      </c>
      <c r="C21" s="128" t="n">
        <v>8</v>
      </c>
      <c r="D21" s="128" t="n">
        <v>0</v>
      </c>
      <c r="E21" s="128" t="n"/>
      <c r="F21" s="128" t="n">
        <v>0.4</v>
      </c>
      <c r="G21" s="128" t="n"/>
      <c r="H21" s="128" t="n"/>
    </row>
    <row r="22">
      <c r="A22" s="138" t="inlineStr">
        <is>
          <t>Cost of the park total</t>
        </is>
      </c>
      <c r="B22" s="139" t="n"/>
      <c r="C22" s="139" t="n"/>
      <c r="D22" s="139" t="n"/>
      <c r="E22" s="139" t="n"/>
      <c r="F22" s="139" t="n">
        <v>0.4</v>
      </c>
      <c r="G22" s="139" t="n">
        <v>0</v>
      </c>
      <c r="H22" s="139" t="n"/>
    </row>
    <row r="23">
      <c r="A23" s="137" t="n"/>
      <c r="B23" s="128" t="n"/>
      <c r="C23" s="128" t="n"/>
      <c r="D23" s="128" t="n"/>
      <c r="E23" s="128" t="n"/>
      <c r="F23" s="128" t="n"/>
      <c r="G23" s="128" t="n"/>
      <c r="H23" s="128" t="n"/>
    </row>
    <row r="24">
      <c r="A24" s="136" t="inlineStr">
        <is>
          <t>Expenses of the steward</t>
        </is>
      </c>
      <c r="B24" s="128" t="n">
        <v>0</v>
      </c>
      <c r="C24" s="128" t="n">
        <v>17</v>
      </c>
      <c r="D24" s="128" t="n">
        <v>8</v>
      </c>
      <c r="E24" s="128" t="n"/>
      <c r="F24" s="128" t="n">
        <v>0.88</v>
      </c>
      <c r="G24" s="128" t="n"/>
      <c r="H24" s="128" t="n"/>
    </row>
    <row r="25">
      <c r="A25" s="137" t="inlineStr">
        <is>
          <t>Expenses of the steward</t>
        </is>
      </c>
      <c r="B25" s="128" t="n">
        <v>0</v>
      </c>
      <c r="C25" s="128" t="n">
        <v>17</v>
      </c>
      <c r="D25" s="128" t="n">
        <v>8</v>
      </c>
      <c r="E25" s="128" t="n"/>
      <c r="F25" s="128" t="n">
        <v>0.88</v>
      </c>
      <c r="G25" s="128" t="n"/>
      <c r="H25" s="128" t="n"/>
    </row>
    <row r="26">
      <c r="A26" s="138" t="inlineStr">
        <is>
          <t>Expenses of the steward total</t>
        </is>
      </c>
      <c r="B26" s="139" t="n"/>
      <c r="C26" s="139" t="n"/>
      <c r="D26" s="139" t="n"/>
      <c r="E26" s="139" t="n"/>
      <c r="F26" s="139" t="n">
        <v>0.88</v>
      </c>
      <c r="G26" s="139" t="n">
        <v>0</v>
      </c>
      <c r="H26" s="139" t="n"/>
    </row>
    <row r="27">
      <c r="A27" s="137" t="n"/>
      <c r="B27" s="128" t="n"/>
      <c r="C27" s="128" t="n"/>
      <c r="D27" s="128" t="n"/>
      <c r="E27" s="128" t="n"/>
      <c r="F27" s="128" t="n"/>
      <c r="G27" s="128" t="n"/>
      <c r="H27" s="128" t="n"/>
    </row>
    <row r="28">
      <c r="A28" s="137" t="inlineStr">
        <is>
          <t>Total of all expenses</t>
        </is>
      </c>
      <c r="B28" s="128" t="n">
        <v>73</v>
      </c>
      <c r="C28" s="128" t="n">
        <v>8</v>
      </c>
      <c r="D28" s="128" t="n">
        <v>0</v>
      </c>
      <c r="E28" s="128" t="n"/>
      <c r="F28" s="128" t="n">
        <v>73.40000000000001</v>
      </c>
      <c r="G28" s="128" t="n"/>
      <c r="H28" s="128" t="n"/>
    </row>
    <row r="29">
      <c r="A29" s="137" t="inlineStr">
        <is>
          <t>Total of all expenses</t>
        </is>
      </c>
      <c r="B29" s="128" t="n"/>
      <c r="C29" s="128" t="n"/>
      <c r="D29" s="128" t="n"/>
      <c r="E29" s="128" t="n"/>
      <c r="F29" s="128" t="n">
        <v>0</v>
      </c>
      <c r="G29" s="128" t="n">
        <v>-73.40000000000001</v>
      </c>
      <c r="H29" s="128" t="n"/>
    </row>
    <row r="30">
      <c r="A30" s="137" t="n"/>
      <c r="B30" s="128" t="n"/>
      <c r="C30" s="128" t="n"/>
      <c r="D30" s="128" t="n"/>
      <c r="E30" s="128" t="n"/>
      <c r="F30" s="128" t="n"/>
      <c r="G30" s="128" t="n"/>
      <c r="H30" s="128" t="n"/>
    </row>
    <row r="31">
      <c r="A31" s="136" t="inlineStr">
        <is>
          <t>And he owes</t>
        </is>
      </c>
      <c r="B31" s="128" t="n">
        <v>77</v>
      </c>
      <c r="C31" s="128" t="n">
        <v>18</v>
      </c>
      <c r="D31" s="128" t="n">
        <v>3.5</v>
      </c>
      <c r="E31" s="128" t="n"/>
      <c r="F31" s="128" t="n">
        <v>77.91</v>
      </c>
      <c r="G31" s="128" t="n"/>
      <c r="H31" s="128" t="n"/>
    </row>
    <row r="32">
      <c r="A32" s="138" t="inlineStr">
        <is>
          <t>And he owes total</t>
        </is>
      </c>
      <c r="B32" s="139" t="n"/>
      <c r="C32" s="139" t="n"/>
      <c r="D32" s="139" t="n"/>
      <c r="E32" s="139" t="n"/>
      <c r="F32" s="139" t="n">
        <v>77.91</v>
      </c>
      <c r="G32" s="139" t="n">
        <v>0</v>
      </c>
      <c r="H32" s="139" t="n"/>
    </row>
    <row r="33">
      <c r="A33" s="137" t="n"/>
      <c r="B33" s="128" t="n"/>
      <c r="C33" s="128" t="n"/>
      <c r="D33" s="128" t="n"/>
      <c r="E33" s="128" t="n"/>
      <c r="F33" s="128" t="n"/>
      <c r="G33" s="128" t="n"/>
      <c r="H33" s="128" t="n"/>
    </row>
    <row r="34">
      <c r="A34" s="136" t="inlineStr">
        <is>
          <t>Cash deliveries</t>
        </is>
      </c>
      <c r="B34" s="128" t="n">
        <v>57</v>
      </c>
      <c r="C34" s="128" t="n">
        <v>0</v>
      </c>
      <c r="D34" s="128" t="n">
        <v>0</v>
      </c>
      <c r="E34" s="128" t="n"/>
      <c r="F34" s="128" t="n">
        <v>57</v>
      </c>
      <c r="G34" s="128" t="n"/>
      <c r="H34" s="128" t="n"/>
    </row>
    <row r="35">
      <c r="A35" s="137" t="inlineStr">
        <is>
          <t>Cash deliveries</t>
        </is>
      </c>
      <c r="B35" s="128" t="n">
        <v>57</v>
      </c>
      <c r="C35" s="128" t="n">
        <v>0</v>
      </c>
      <c r="D35" s="128" t="n">
        <v>0</v>
      </c>
      <c r="E35" s="128" t="n"/>
      <c r="F35" s="128" t="n">
        <v>57</v>
      </c>
      <c r="G35" s="128" t="n"/>
      <c r="H35" s="128" t="n"/>
    </row>
    <row r="36">
      <c r="A36" s="138" t="inlineStr">
        <is>
          <t>Cash deliveries total</t>
        </is>
      </c>
      <c r="B36" s="139" t="n"/>
      <c r="C36" s="139" t="n"/>
      <c r="D36" s="139" t="n"/>
      <c r="E36" s="139" t="n"/>
      <c r="F36" s="139" t="n">
        <v>57</v>
      </c>
      <c r="G36" s="139" t="n">
        <v>0</v>
      </c>
      <c r="H36" s="139" t="n"/>
    </row>
    <row r="37">
      <c r="A37" s="137" t="n"/>
      <c r="B37" s="128" t="n"/>
      <c r="C37" s="128" t="n"/>
      <c r="D37" s="128" t="n"/>
      <c r="E37" s="128" t="n"/>
      <c r="F37" s="128" t="n"/>
      <c r="G37" s="128" t="n"/>
      <c r="H37" s="128" t="n"/>
    </row>
    <row r="38">
      <c r="A38" s="136" t="inlineStr">
        <is>
          <t>Total of all allowances and cash deliveries</t>
        </is>
      </c>
      <c r="B38" s="128" t="n">
        <v>64</v>
      </c>
      <c r="C38" s="128" t="n">
        <v>3</v>
      </c>
      <c r="D38" s="128" t="n">
        <v>5.25</v>
      </c>
      <c r="E38" s="128" t="n"/>
      <c r="F38" s="128" t="n">
        <v>64.17</v>
      </c>
      <c r="G38" s="128" t="n"/>
      <c r="H38" s="128" t="n"/>
    </row>
    <row r="39"/>
    <row r="40">
      <c r="A40" s="38" t="inlineStr">
        <is>
          <t>Total of all expenses per account</t>
        </is>
      </c>
      <c r="B40" t="n">
        <v>73</v>
      </c>
      <c r="C40" t="n">
        <v>8</v>
      </c>
      <c r="D40" t="n">
        <v>0</v>
      </c>
      <c r="F40">
        <f>F28</f>
        <v/>
      </c>
    </row>
    <row r="41">
      <c r="A41" s="38" t="inlineStr">
        <is>
          <t>Total of all expenses (calculated here)</t>
        </is>
      </c>
      <c r="F41">
        <f>SUMIF(A1:A27,"* total",F1:F27)</f>
        <v/>
      </c>
    </row>
    <row r="42">
      <c r="A42" s="38" t="inlineStr">
        <is>
          <t>Total fixed investment</t>
        </is>
      </c>
    </row>
    <row r="43">
      <c r="A4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WITNEY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317</v>
      </c>
      <c r="C19" t="n">
        <v>315</v>
      </c>
      <c r="H19" t="n">
        <v>22</v>
      </c>
      <c r="I19" t="n">
        <v>531</v>
      </c>
      <c r="L19">
        <f>B19+C19-H19</f>
        <v/>
      </c>
      <c r="M19">
        <f>L19-B19</f>
        <v/>
      </c>
      <c r="N19">
        <f>C19</f>
        <v/>
      </c>
      <c r="O19" t="n">
        <v>0.08318181818181819</v>
      </c>
      <c r="P19" s="72">
        <f>O19*K19</f>
        <v/>
      </c>
      <c r="R19" t="n">
        <v>1.83</v>
      </c>
      <c r="S19">
        <f>O19*M19</f>
        <v/>
      </c>
      <c r="T19">
        <f>O19*N19</f>
        <v/>
      </c>
    </row>
    <row r="20">
      <c r="A20" t="inlineStr">
        <is>
          <t>Rams</t>
        </is>
      </c>
      <c r="B20" t="n">
        <v>7</v>
      </c>
      <c r="C20" t="n">
        <v>3</v>
      </c>
      <c r="H20" t="n">
        <v>0</v>
      </c>
      <c r="I20" t="n">
        <v>5</v>
      </c>
      <c r="L20">
        <f>B20+C20-H20</f>
        <v/>
      </c>
      <c r="M20">
        <f>L20-B20</f>
        <v/>
      </c>
      <c r="N20">
        <f>C20</f>
        <v/>
      </c>
      <c r="O20" t="n">
        <v>0</v>
      </c>
      <c r="P20" s="72">
        <f>O20*K20</f>
        <v/>
      </c>
      <c r="R20" t="n">
        <v>0</v>
      </c>
      <c r="S20">
        <f>O20*M20</f>
        <v/>
      </c>
      <c r="T20">
        <f>O20*N20</f>
        <v/>
      </c>
    </row>
    <row r="21">
      <c r="A21" t="inlineStr">
        <is>
          <t>Ewes</t>
        </is>
      </c>
      <c r="B21" t="n">
        <v>256</v>
      </c>
      <c r="C21" t="n">
        <v>17</v>
      </c>
      <c r="H21" t="n">
        <v>0</v>
      </c>
      <c r="I21" t="n">
        <v>145</v>
      </c>
      <c r="L21">
        <f>B21+C21-H21</f>
        <v/>
      </c>
      <c r="M21">
        <f>L21-B21</f>
        <v/>
      </c>
      <c r="N21">
        <f>C21</f>
        <v/>
      </c>
      <c r="O21" t="n">
        <v>0</v>
      </c>
      <c r="P21" s="72">
        <f>O21*K21</f>
        <v/>
      </c>
      <c r="Q21" t="n">
        <v>0</v>
      </c>
      <c r="R21" t="n">
        <v>0</v>
      </c>
      <c r="S21">
        <f>O21*M21</f>
        <v/>
      </c>
      <c r="T21">
        <f>O21*N21</f>
        <v/>
      </c>
    </row>
    <row r="22">
      <c r="A22" t="inlineStr">
        <is>
          <t>Hoggs</t>
        </is>
      </c>
      <c r="B22" t="n">
        <v>218</v>
      </c>
      <c r="C22" t="n">
        <v>0</v>
      </c>
      <c r="H22" t="n">
        <v>0</v>
      </c>
      <c r="I22" t="n">
        <v>173</v>
      </c>
      <c r="L22">
        <f>B22+C22-H22</f>
        <v/>
      </c>
      <c r="M22">
        <f>L22-B22</f>
        <v/>
      </c>
      <c r="N22">
        <f>C22</f>
        <v/>
      </c>
      <c r="O22" t="n">
        <v>0</v>
      </c>
      <c r="P22" s="72">
        <f>O22*K22</f>
        <v/>
      </c>
      <c r="R22" t="n">
        <v>0</v>
      </c>
      <c r="S22">
        <f>O22*M22</f>
        <v/>
      </c>
      <c r="T22">
        <f>O22*N22</f>
        <v/>
      </c>
    </row>
    <row r="23">
      <c r="A23" t="inlineStr">
        <is>
          <t>Lambs</t>
        </is>
      </c>
      <c r="B23" t="n">
        <v>50</v>
      </c>
      <c r="C23" t="n">
        <v>106</v>
      </c>
      <c r="H23" t="n">
        <v>5</v>
      </c>
      <c r="I23" t="n">
        <v>10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339</v>
      </c>
      <c r="I53" t="n">
        <v>145</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10</v>
      </c>
    </row>
    <row r="60">
      <c r="A60" t="inlineStr">
        <is>
          <t>Lambskins</t>
        </is>
      </c>
      <c r="B60" t="n">
        <v>0</v>
      </c>
      <c r="C60" t="n">
        <v>0</v>
      </c>
      <c r="H60" t="n">
        <v>10</v>
      </c>
      <c r="I60" t="n">
        <v>11</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0.11</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40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witney</t>
        </is>
      </c>
      <c r="B2" t="inlineStr">
        <is>
          <t>the account' of the same for the sixth year of the translation of henry2 beaufort', lord bishop of winchester, and3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£23 2.25pence of arrears from his last account of the preceding year.</t>
        </is>
      </c>
      <c r="C3" t="n">
        <v>23.01</v>
      </c>
      <c r="D3" t="n">
        <v>23</v>
      </c>
      <c r="E3" t="n">
        <v>0</v>
      </c>
      <c r="F3" t="n">
        <v>2.25</v>
      </c>
      <c r="H3" t="n">
        <v>0</v>
      </c>
      <c r="I3" t="n">
        <v>0</v>
      </c>
      <c r="J3" t="n">
        <v>0</v>
      </c>
      <c r="K3" t="n">
        <v>0</v>
      </c>
      <c r="L3" t="n">
        <v>0</v>
      </c>
      <c r="M3" t="n">
        <v>0</v>
      </c>
      <c r="N3" t="n">
        <v>0</v>
      </c>
    </row>
    <row r="4">
      <c r="A4" t="inlineStr">
        <is>
          <t>arrears</t>
        </is>
      </c>
      <c r="B4" t="inlineStr">
        <is>
          <t>total, £23 2.25pence.</t>
        </is>
      </c>
      <c r="C4" t="n">
        <v>23.01</v>
      </c>
      <c r="D4" t="n">
        <v>23</v>
      </c>
      <c r="E4" t="n">
        <v>0</v>
      </c>
      <c r="F4" t="n">
        <v>2.25</v>
      </c>
      <c r="H4" t="n">
        <v>0</v>
      </c>
      <c r="I4" t="n">
        <v>0</v>
      </c>
      <c r="J4" t="n">
        <v>0</v>
      </c>
      <c r="K4" t="n">
        <v>0</v>
      </c>
      <c r="L4" t="n">
        <v>0</v>
      </c>
      <c r="M4" t="n">
        <v>0</v>
      </c>
      <c r="N4" t="n">
        <v>0</v>
      </c>
    </row>
    <row r="5">
      <c r="A5" t="inlineStr">
        <is>
          <t>rents of assize with increments</t>
        </is>
      </c>
      <c r="B5" t="inlineStr">
        <is>
          <t>and for £18 9 shilling 8.25pence for all rents of assize at christmas.</t>
        </is>
      </c>
      <c r="C5" t="n">
        <v>18.48</v>
      </c>
      <c r="D5" t="n">
        <v>18</v>
      </c>
      <c r="E5" t="n">
        <v>9</v>
      </c>
      <c r="F5" t="n">
        <v>8.25</v>
      </c>
      <c r="H5" t="n">
        <v>0</v>
      </c>
      <c r="I5" t="n">
        <v>0</v>
      </c>
      <c r="J5" t="n">
        <v>0</v>
      </c>
      <c r="K5" t="n">
        <v>0</v>
      </c>
      <c r="L5" t="n">
        <v>0</v>
      </c>
      <c r="M5" t="n">
        <v>0</v>
      </c>
      <c r="N5" t="n">
        <v>0</v>
      </c>
    </row>
    <row r="6">
      <c r="A6" t="inlineStr">
        <is>
          <t>rents of assize with increments</t>
        </is>
      </c>
      <c r="B6" t="inlineStr">
        <is>
          <t>£19 8 shilling 10pence at easter (23 march).</t>
        </is>
      </c>
      <c r="C6" t="n">
        <v>19.44</v>
      </c>
      <c r="D6" t="n">
        <v>19</v>
      </c>
      <c r="E6" t="n">
        <v>8</v>
      </c>
      <c r="F6" t="n">
        <v>10</v>
      </c>
      <c r="H6" t="n">
        <v>0</v>
      </c>
      <c r="I6" t="n">
        <v>0</v>
      </c>
      <c r="J6" t="n">
        <v>0</v>
      </c>
      <c r="K6" t="n">
        <v>0</v>
      </c>
      <c r="L6" t="n">
        <v>0</v>
      </c>
      <c r="M6" t="n">
        <v>0</v>
      </c>
      <c r="N6" t="n">
        <v>0</v>
      </c>
    </row>
    <row r="7">
      <c r="A7" t="inlineStr">
        <is>
          <t>rents of assize with increments</t>
        </is>
      </c>
      <c r="B7" t="inlineStr">
        <is>
          <t>£18 9 shilling 8.75pence at the nativity of st john the baptist (24 june).</t>
        </is>
      </c>
      <c r="C7" t="n">
        <v>18.49</v>
      </c>
      <c r="D7" t="n">
        <v>18</v>
      </c>
      <c r="E7" t="n">
        <v>9</v>
      </c>
      <c r="F7" t="n">
        <v>8.75</v>
      </c>
      <c r="H7" t="n">
        <v>0</v>
      </c>
      <c r="I7" t="n">
        <v>0</v>
      </c>
      <c r="J7" t="n">
        <v>0</v>
      </c>
      <c r="K7" t="n">
        <v>0</v>
      </c>
      <c r="L7" t="n">
        <v>0</v>
      </c>
      <c r="M7" t="n">
        <v>0</v>
      </c>
      <c r="N7" t="n">
        <v>0</v>
      </c>
    </row>
    <row r="8">
      <c r="A8" t="inlineStr">
        <is>
          <t>rents of assize with increments</t>
        </is>
      </c>
      <c r="B8" t="inlineStr">
        <is>
          <t>£20 11 shilling 10.75pence at michaelmas (29 september) with the increment of rent of john pusle.</t>
        </is>
      </c>
      <c r="C8" t="n">
        <v>20.59</v>
      </c>
      <c r="D8" t="n">
        <v>20</v>
      </c>
      <c r="E8" t="n">
        <v>11</v>
      </c>
      <c r="F8" t="n">
        <v>10.75</v>
      </c>
      <c r="H8" t="n">
        <v>0</v>
      </c>
      <c r="I8" t="n">
        <v>0</v>
      </c>
      <c r="J8" t="n">
        <v>0</v>
      </c>
      <c r="K8" t="n">
        <v>0</v>
      </c>
      <c r="L8" t="n">
        <v>0</v>
      </c>
      <c r="M8" t="n">
        <v>0</v>
      </c>
      <c r="N8" t="n">
        <v>0</v>
      </c>
    </row>
    <row r="9">
      <c r="A9" t="inlineStr">
        <is>
          <t>rents of assize with increments</t>
        </is>
      </c>
      <c r="B9" t="inlineStr">
        <is>
          <t>total, £77 1.75pence.</t>
        </is>
      </c>
      <c r="C9" t="n">
        <v>77.01000000000001</v>
      </c>
      <c r="D9" t="n">
        <v>77</v>
      </c>
      <c r="E9" t="n">
        <v>0</v>
      </c>
      <c r="F9" t="n">
        <v>1.75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3 collectors of rents for the year 7 shilling 6pence, 10 ploughmen holding the lord's ploughs for the year, 5 of them for 1 week and 5 for the other, nothing this year, because their labour services and all the services of the villein tenants are commuted for a fixed cash sum as long as it pleases the lord on account of the poverty (paus') of the homage.</t>
        </is>
      </c>
      <c r="C11" t="n">
        <v>0.38</v>
      </c>
      <c r="D11" t="n">
        <v>0</v>
      </c>
      <c r="E11" t="n">
        <v>7</v>
      </c>
      <c r="F11" t="n">
        <v>6</v>
      </c>
      <c r="H11" t="n">
        <v>0</v>
      </c>
      <c r="I11" t="n">
        <v>0</v>
      </c>
      <c r="J11" t="n">
        <v>0</v>
      </c>
      <c r="K11" t="n">
        <v>0</v>
      </c>
      <c r="L11" t="n">
        <v>0</v>
      </c>
      <c r="M11" t="n">
        <v>0</v>
      </c>
      <c r="N11" t="n">
        <v>0</v>
      </c>
    </row>
    <row r="12">
      <c r="A12" t="inlineStr">
        <is>
          <t>quittances of rent</t>
        </is>
      </c>
      <c r="B12" t="inlineStr">
        <is>
          <t>8 virgaters who were accustomed to harrow with their own horses when it was necessary and to do other labour services when they were not harrowing, from michaelmas until easter, from morning until evening, nothing this year, because there are no such workers who are obliged to do labour services of this kind for the aforesaid reason.</t>
        </is>
      </c>
      <c r="C12" t="n">
        <v>0</v>
      </c>
      <c r="D12" t="n">
        <v>0</v>
      </c>
      <c r="E12" t="n">
        <v>0</v>
      </c>
      <c r="F12" t="n">
        <v>0</v>
      </c>
      <c r="H12" t="n">
        <v>0</v>
      </c>
      <c r="I12" t="n">
        <v>0</v>
      </c>
      <c r="J12" t="n">
        <v>0</v>
      </c>
      <c r="K12" t="n">
        <v>0</v>
      </c>
      <c r="L12" t="n">
        <v>0</v>
      </c>
      <c r="M12" t="n">
        <v>0</v>
      </c>
      <c r="N12" t="n">
        <v>0</v>
      </c>
    </row>
    <row r="13">
      <c r="A13" t="inlineStr">
        <is>
          <t>quittances of rent</t>
        </is>
      </c>
      <c r="B13" t="inlineStr">
        <is>
          <t>3 shepherds for the year, nothing this year, because they are not customary tenants but at the livery of the farmer, as made clear elsewhere.</t>
        </is>
      </c>
      <c r="C13" t="n">
        <v>0</v>
      </c>
      <c r="D13" t="n">
        <v>0</v>
      </c>
      <c r="E13" t="n">
        <v>0</v>
      </c>
      <c r="F13" t="n">
        <v>0</v>
      </c>
      <c r="H13" t="n">
        <v>0</v>
      </c>
      <c r="I13" t="n">
        <v>0</v>
      </c>
      <c r="J13" t="n">
        <v>0</v>
      </c>
      <c r="K13" t="n">
        <v>0</v>
      </c>
      <c r="L13" t="n">
        <v>0</v>
      </c>
      <c r="M13" t="n">
        <v>0</v>
      </c>
      <c r="N13" t="n">
        <v>0</v>
      </c>
    </row>
    <row r="14">
      <c r="A14" t="inlineStr">
        <is>
          <t>quittances of rent</t>
        </is>
      </c>
      <c r="B14" t="inlineStr">
        <is>
          <t>nothing of the 5 shilling for 1 man who by customary tenure made the lord's ploughs and all other necessaries touching the said ploughs for the year because the demesne lands are let at farm this year.</t>
        </is>
      </c>
      <c r="C14" t="n">
        <v>0.25</v>
      </c>
      <c r="D14" t="n">
        <v>0</v>
      </c>
      <c r="E14" t="n">
        <v>5</v>
      </c>
      <c r="F14" t="n">
        <v>0</v>
      </c>
      <c r="H14" t="n">
        <v>0</v>
      </c>
      <c r="I14" t="n">
        <v>0</v>
      </c>
      <c r="J14" t="n">
        <v>0</v>
      </c>
      <c r="K14" t="n">
        <v>0</v>
      </c>
      <c r="L14" t="n">
        <v>0</v>
      </c>
      <c r="M14" t="n">
        <v>0</v>
      </c>
      <c r="N14" t="n">
        <v>0</v>
      </c>
    </row>
    <row r="15">
      <c r="A15" t="inlineStr">
        <is>
          <t>quittances of rent</t>
        </is>
      </c>
      <c r="B15" t="inlineStr">
        <is>
          <t>1 swineherd, nothing this year, because there are none there.</t>
        </is>
      </c>
      <c r="C15" t="n">
        <v>0</v>
      </c>
      <c r="D15" t="n">
        <v>0</v>
      </c>
      <c r="E15" t="n">
        <v>0</v>
      </c>
      <c r="F15" t="n">
        <v>0</v>
      </c>
      <c r="H15" t="n">
        <v>0</v>
      </c>
      <c r="I15" t="n">
        <v>0</v>
      </c>
      <c r="J15" t="n">
        <v>0</v>
      </c>
      <c r="K15" t="n">
        <v>0</v>
      </c>
      <c r="L15" t="n">
        <v>0</v>
      </c>
      <c r="M15" t="n">
        <v>0</v>
      </c>
      <c r="N15" t="n">
        <v>0</v>
      </c>
    </row>
    <row r="16">
      <c r="A16" t="inlineStr">
        <is>
          <t>quittances of rent</t>
        </is>
      </c>
      <c r="B16" t="inlineStr">
        <is>
          <t>nothing of the 5 shilling for 1 man enclosing the park this year because he is not a customary tenant but is at the lord's cost, as made clear below.</t>
        </is>
      </c>
      <c r="C16" t="n">
        <v>0.25</v>
      </c>
      <c r="D16" t="n">
        <v>0</v>
      </c>
      <c r="E16" t="n">
        <v>5</v>
      </c>
      <c r="F16" t="n">
        <v>0</v>
      </c>
      <c r="H16" t="n">
        <v>0</v>
      </c>
      <c r="I16" t="n">
        <v>0</v>
      </c>
      <c r="J16" t="n">
        <v>0</v>
      </c>
      <c r="K16" t="n">
        <v>0</v>
      </c>
      <c r="L16" t="n">
        <v>0</v>
      </c>
      <c r="M16" t="n">
        <v>0</v>
      </c>
      <c r="N16" t="n">
        <v>0</v>
      </c>
    </row>
    <row r="17">
      <c r="A17" t="inlineStr">
        <is>
          <t>quittances of rent</t>
        </is>
      </c>
      <c r="B17" t="inlineStr">
        <is>
          <t>56 virgaters working alternate days from the nativity of st john the baptist until michaelmas, nothing this year, for the reason made clear above, and they paid cash for their labour services as made clear under the heading, issues of the manor, and know that for 12 of these workers, their aforesaid labour services, of weeding the corn, mowing the meadows, making the hay, reaping and carrying the corn, collecting and spreading dung, and doing other work on the manor when it was necessary, are commuted for a fixed cash sum for the year, as long as it pleases the lord, as mentioned above.</t>
        </is>
      </c>
      <c r="C17" t="n">
        <v>0</v>
      </c>
      <c r="D17" t="n">
        <v>0</v>
      </c>
      <c r="E17" t="n">
        <v>0</v>
      </c>
      <c r="F17" t="n">
        <v>0</v>
      </c>
      <c r="H17" t="n">
        <v>0</v>
      </c>
      <c r="I17" t="n">
        <v>0</v>
      </c>
      <c r="J17" t="n">
        <v>0</v>
      </c>
      <c r="K17" t="n">
        <v>0</v>
      </c>
      <c r="L17" t="n">
        <v>0</v>
      </c>
      <c r="M17" t="n">
        <v>0</v>
      </c>
      <c r="N17" t="n">
        <v>0</v>
      </c>
    </row>
    <row r="18">
      <c r="A18" t="inlineStr">
        <is>
          <t>quittances of rent</t>
        </is>
      </c>
      <c r="B18" t="inlineStr">
        <is>
          <t>total, 12 shilling 6pence.</t>
        </is>
      </c>
      <c r="C18" t="n">
        <v>0.62</v>
      </c>
      <c r="D18" t="n">
        <v>0</v>
      </c>
      <c r="E18" t="n">
        <v>12</v>
      </c>
      <c r="F18" t="n">
        <v>6</v>
      </c>
      <c r="H18" t="n">
        <v>0</v>
      </c>
      <c r="I18" t="n">
        <v>0</v>
      </c>
      <c r="J18" t="n">
        <v>0</v>
      </c>
      <c r="K18" t="n">
        <v>0</v>
      </c>
      <c r="L18" t="n">
        <v>0</v>
      </c>
      <c r="M18" t="n">
        <v>0</v>
      </c>
      <c r="N18" t="n">
        <v>0</v>
      </c>
    </row>
    <row r="19">
      <c r="A19" t="inlineStr">
        <is>
          <t>defaults of rent drawn into demesne</t>
        </is>
      </c>
      <c r="B19" t="inlineStr">
        <is>
          <t>in default of the rent of eustace de haiile 12 shilling, because the vill of witney held it at the time of the war and paid £1 for it, and now it is in the hands of the lord.</t>
        </is>
      </c>
      <c r="C19" t="n">
        <v>1</v>
      </c>
      <c r="D19" t="n">
        <v>1</v>
      </c>
      <c r="E19" t="n">
        <v>0</v>
      </c>
      <c r="F19" t="n">
        <v>0</v>
      </c>
      <c r="H19" t="n">
        <v>0</v>
      </c>
      <c r="I19" t="n">
        <v>0</v>
      </c>
      <c r="J19" t="n">
        <v>0</v>
      </c>
      <c r="K19" t="n">
        <v>0</v>
      </c>
      <c r="L19" t="n">
        <v>0</v>
      </c>
      <c r="M19" t="n">
        <v>0</v>
      </c>
      <c r="N19" t="n">
        <v>0</v>
      </c>
    </row>
    <row r="20">
      <c r="A20" t="inlineStr">
        <is>
          <t>defaults of rent drawn into demesne</t>
        </is>
      </c>
      <c r="B20" t="inlineStr">
        <is>
          <t>the land which belonged to roger carswelle for the same reason as before 13 shilling 4pence.</t>
        </is>
      </c>
      <c r="C20" t="n">
        <v>0.67</v>
      </c>
      <c r="D20" t="n">
        <v>0</v>
      </c>
      <c r="E20" t="n">
        <v>13</v>
      </c>
      <c r="F20" t="n">
        <v>4</v>
      </c>
      <c r="H20" t="n">
        <v>0</v>
      </c>
      <c r="I20" t="n">
        <v>0</v>
      </c>
      <c r="J20" t="n">
        <v>0</v>
      </c>
      <c r="K20" t="n">
        <v>0</v>
      </c>
      <c r="L20" t="n">
        <v>0</v>
      </c>
      <c r="M20" t="n">
        <v>0</v>
      </c>
      <c r="N20" t="n">
        <v>0</v>
      </c>
    </row>
    <row r="21">
      <c r="A21" t="inlineStr">
        <is>
          <t>defaults of rent drawn into demesne</t>
        </is>
      </c>
      <c r="B21" t="inlineStr">
        <is>
          <t>the land of william bercar' drawn into demesne 2 shilling.</t>
        </is>
      </c>
      <c r="C21" t="n">
        <v>0.1</v>
      </c>
      <c r="D21" t="n">
        <v>0</v>
      </c>
      <c r="E21" t="n">
        <v>2</v>
      </c>
      <c r="F21" t="n">
        <v>0</v>
      </c>
      <c r="H21" t="n">
        <v>0</v>
      </c>
      <c r="I21" t="n">
        <v>0</v>
      </c>
      <c r="J21" t="n">
        <v>0</v>
      </c>
      <c r="K21" t="n">
        <v>0</v>
      </c>
      <c r="L21" t="n">
        <v>0</v>
      </c>
      <c r="M21" t="n">
        <v>0</v>
      </c>
      <c r="N21" t="n">
        <v>0</v>
      </c>
    </row>
    <row r="22">
      <c r="A22" t="inlineStr">
        <is>
          <t>defaults of rent drawn into demesne</t>
        </is>
      </c>
      <c r="B22" t="inlineStr">
        <is>
          <t>the land of roger kyng' drawn into demesne, 2 shilling for the year.</t>
        </is>
      </c>
      <c r="C22" t="n">
        <v>0.1</v>
      </c>
      <c r="D22" t="n">
        <v>0</v>
      </c>
      <c r="E22" t="n">
        <v>2</v>
      </c>
      <c r="F22" t="n">
        <v>0</v>
      </c>
      <c r="H22" t="n">
        <v>0</v>
      </c>
      <c r="I22" t="n">
        <v>0</v>
      </c>
      <c r="J22" t="n">
        <v>0</v>
      </c>
      <c r="K22" t="n">
        <v>0</v>
      </c>
      <c r="L22" t="n">
        <v>0</v>
      </c>
      <c r="M22" t="n">
        <v>0</v>
      </c>
      <c r="N22" t="n">
        <v>0</v>
      </c>
    </row>
    <row r="23">
      <c r="A23" t="inlineStr">
        <is>
          <t>defaults of rent drawn into demesne</t>
        </is>
      </c>
      <c r="B23" t="inlineStr">
        <is>
          <t>2 hides of land which the men of the borough used to hold drawn into demesne £2 8 shilling.</t>
        </is>
      </c>
      <c r="C23" t="n">
        <v>2.4</v>
      </c>
      <c r="D23" t="n">
        <v>2</v>
      </c>
      <c r="E23" t="n">
        <v>8</v>
      </c>
      <c r="F23" t="n">
        <v>0</v>
      </c>
      <c r="H23" t="n">
        <v>0</v>
      </c>
      <c r="I23" t="n">
        <v>0</v>
      </c>
      <c r="J23" t="n">
        <v>0</v>
      </c>
      <c r="K23" t="n">
        <v>0</v>
      </c>
      <c r="L23" t="n">
        <v>0</v>
      </c>
      <c r="M23" t="n">
        <v>0</v>
      </c>
      <c r="N23" t="n">
        <v>0</v>
      </c>
    </row>
    <row r="24">
      <c r="A24" t="inlineStr">
        <is>
          <t>defaults of rent drawn into demesne</t>
        </is>
      </c>
      <c r="B24" t="inlineStr">
        <is>
          <t>the rent which the prior of cogges used to pay for the mill-pond of cogges, which pond the prior exchanged with peter, formerly bishop of winchester, for 1 meadow called grymesmede 5 shilling.</t>
        </is>
      </c>
      <c r="C24" t="n">
        <v>0.25</v>
      </c>
      <c r="D24" t="n">
        <v>0</v>
      </c>
      <c r="E24" t="n">
        <v>5</v>
      </c>
      <c r="F24" t="n">
        <v>0</v>
      </c>
      <c r="H24" t="n">
        <v>0</v>
      </c>
      <c r="I24" t="n">
        <v>0</v>
      </c>
      <c r="J24" t="n">
        <v>0</v>
      </c>
      <c r="K24" t="n">
        <v>0</v>
      </c>
      <c r="L24" t="n">
        <v>0</v>
      </c>
      <c r="M24" t="n">
        <v>0</v>
      </c>
      <c r="N24" t="n">
        <v>0</v>
      </c>
    </row>
    <row r="25">
      <c r="A25" t="inlineStr">
        <is>
          <t>defaults of rent drawn into demesne</t>
        </is>
      </c>
      <c r="B25" t="inlineStr">
        <is>
          <t>the land of costowe £2 10 shilling 6pence, because it is now paid in the borough where before it was paid in uplond'.</t>
        </is>
      </c>
      <c r="C25" t="n">
        <v>2.52</v>
      </c>
      <c r="D25" t="n">
        <v>2</v>
      </c>
      <c r="E25" t="n">
        <v>10</v>
      </c>
      <c r="F25" t="n">
        <v>6</v>
      </c>
      <c r="H25" t="n">
        <v>0</v>
      </c>
      <c r="I25" t="n">
        <v>0</v>
      </c>
      <c r="J25" t="n">
        <v>0</v>
      </c>
      <c r="K25" t="n">
        <v>0</v>
      </c>
      <c r="L25" t="n">
        <v>0</v>
      </c>
      <c r="M25" t="n">
        <v>0</v>
      </c>
      <c r="N25" t="n">
        <v>0</v>
      </c>
    </row>
    <row r="26">
      <c r="A26" t="inlineStr">
        <is>
          <t>defaults of rent drawn into demesne</t>
        </is>
      </c>
      <c r="B26" t="inlineStr">
        <is>
          <t>2 acres of land and 1 acre of meadow which roger de eadburbury formerly held drawn into demesne, 2 shilling for the year.</t>
        </is>
      </c>
      <c r="C26" t="n">
        <v>0.1</v>
      </c>
      <c r="D26" t="n">
        <v>0</v>
      </c>
      <c r="E26" t="n">
        <v>2</v>
      </c>
      <c r="F26" t="n">
        <v>0</v>
      </c>
      <c r="H26" t="n">
        <v>0</v>
      </c>
      <c r="I26" t="n">
        <v>0</v>
      </c>
      <c r="J26" t="n">
        <v>0</v>
      </c>
      <c r="K26" t="n">
        <v>0</v>
      </c>
      <c r="L26" t="n">
        <v>0</v>
      </c>
      <c r="M26" t="n">
        <v>0</v>
      </c>
      <c r="N26" t="n">
        <v>0</v>
      </c>
    </row>
    <row r="27">
      <c r="A27" t="inlineStr">
        <is>
          <t>defaults of rent drawn into demesne</t>
        </is>
      </c>
      <c r="B27" t="inlineStr">
        <is>
          <t>6 acres of land which john de rammesdene held drawn into demesne, 3 shilling for the year, because noone wished to hold it of the demesne.</t>
        </is>
      </c>
      <c r="C27" t="n">
        <v>0.15</v>
      </c>
      <c r="D27" t="n">
        <v>0</v>
      </c>
      <c r="E27" t="n">
        <v>3</v>
      </c>
      <c r="F27" t="n">
        <v>0</v>
      </c>
      <c r="H27" t="n">
        <v>0</v>
      </c>
      <c r="I27" t="n">
        <v>0</v>
      </c>
      <c r="J27" t="n">
        <v>0</v>
      </c>
      <c r="K27" t="n">
        <v>0</v>
      </c>
      <c r="L27" t="n">
        <v>0</v>
      </c>
      <c r="M27" t="n">
        <v>0</v>
      </c>
      <c r="N27" t="n">
        <v>0</v>
      </c>
    </row>
    <row r="28">
      <c r="A28" t="inlineStr">
        <is>
          <t>defaults of rent drawn into demesne</t>
        </is>
      </c>
      <c r="B28" t="inlineStr">
        <is>
          <t>2 acres of land and 1 acre of meadow which roger le crokkere formerly held drawn into demesne, 1 shilling for the year.</t>
        </is>
      </c>
      <c r="C28" t="n">
        <v>0.05</v>
      </c>
      <c r="D28" t="n">
        <v>0</v>
      </c>
      <c r="E28" t="n">
        <v>1</v>
      </c>
      <c r="F28" t="n">
        <v>0</v>
      </c>
      <c r="H28" t="n">
        <v>0</v>
      </c>
      <c r="I28" t="n">
        <v>0</v>
      </c>
      <c r="J28" t="n">
        <v>0</v>
      </c>
      <c r="K28" t="n">
        <v>0</v>
      </c>
      <c r="L28" t="n">
        <v>0</v>
      </c>
      <c r="M28" t="n">
        <v>0</v>
      </c>
      <c r="N28" t="n">
        <v>0</v>
      </c>
    </row>
    <row r="29">
      <c r="A29" t="inlineStr">
        <is>
          <t>defaults of rent drawn into demesne</t>
        </is>
      </c>
      <c r="B29" t="inlineStr">
        <is>
          <t>49.5 acres 1 rood of land which walter raulyn recently held, let from the demesne at 1 shilling an acre, drawn into demesne £2 9 shilling 9pence.</t>
        </is>
      </c>
      <c r="C29" t="n">
        <v>2.49</v>
      </c>
      <c r="D29" t="n">
        <v>2</v>
      </c>
      <c r="E29" t="n">
        <v>9</v>
      </c>
      <c r="F29" t="n">
        <v>9</v>
      </c>
      <c r="H29" t="n">
        <v>0</v>
      </c>
      <c r="I29" t="n">
        <v>0</v>
      </c>
      <c r="J29" t="n">
        <v>0</v>
      </c>
      <c r="K29" t="n">
        <v>0</v>
      </c>
      <c r="L29" t="n">
        <v>0</v>
      </c>
      <c r="M29" t="n">
        <v>0</v>
      </c>
      <c r="N29" t="n">
        <v>0</v>
      </c>
    </row>
    <row r="30">
      <c r="A30" t="inlineStr">
        <is>
          <t>defaults of rent drawn into demesne</t>
        </is>
      </c>
      <c r="B30" t="inlineStr">
        <is>
          <t>29.5 acres and 1 rood of land in hamodesheye which was formerly let to various men who relinquished it, and neither can anything be found on which the rent of the said land can be raised nor is there anyone who is willing to hold the said land of the demesne, 14 shilling 10.5pence.</t>
        </is>
      </c>
      <c r="C30" t="n">
        <v>0.74</v>
      </c>
      <c r="D30" t="n">
        <v>0</v>
      </c>
      <c r="E30" t="n">
        <v>14</v>
      </c>
      <c r="F30" t="n">
        <v>10.5</v>
      </c>
      <c r="H30" t="n">
        <v>0</v>
      </c>
      <c r="I30" t="n">
        <v>0</v>
      </c>
      <c r="J30" t="n">
        <v>0</v>
      </c>
      <c r="K30" t="n">
        <v>0</v>
      </c>
      <c r="L30" t="n">
        <v>0</v>
      </c>
      <c r="M30" t="n">
        <v>0</v>
      </c>
      <c r="N30" t="n">
        <v>0</v>
      </c>
    </row>
    <row r="31">
      <c r="A31" t="inlineStr">
        <is>
          <t>defaults of rent drawn into demesne</t>
        </is>
      </c>
      <c r="B31" t="inlineStr">
        <is>
          <t>total, £10 3s, 5.5pence.</t>
        </is>
      </c>
      <c r="C31" t="n">
        <v>10</v>
      </c>
      <c r="D31" t="n">
        <v>10</v>
      </c>
      <c r="E31" t="n">
        <v>0</v>
      </c>
      <c r="F31" t="n">
        <v>0</v>
      </c>
      <c r="H31" t="n">
        <v>0</v>
      </c>
      <c r="I31" t="n">
        <v>0</v>
      </c>
      <c r="J31" t="n">
        <v>0</v>
      </c>
      <c r="K31" t="n">
        <v>0</v>
      </c>
      <c r="L31" t="n">
        <v>0</v>
      </c>
      <c r="M31" t="n">
        <v>0</v>
      </c>
      <c r="N31" t="n">
        <v>0</v>
      </c>
    </row>
    <row r="32">
      <c r="A32" t="inlineStr">
        <is>
          <t>defaults of rent through the pestilence</t>
        </is>
      </c>
      <c r="B32" t="inlineStr">
        <is>
          <t>in default of 1 messuage and 1 virgate of villein land in curbridge which belonged to richard colly, in the lord's hands through the death of the same richard, 5 shilling.</t>
        </is>
      </c>
      <c r="C32" t="n">
        <v>0.25</v>
      </c>
      <c r="D32" t="n">
        <v>0</v>
      </c>
      <c r="E32" t="n">
        <v>5</v>
      </c>
      <c r="F32" t="n">
        <v>0</v>
      </c>
      <c r="H32" t="n">
        <v>0</v>
      </c>
      <c r="I32" t="n">
        <v>0</v>
      </c>
      <c r="J32" t="n">
        <v>0</v>
      </c>
      <c r="K32" t="n">
        <v>0</v>
      </c>
      <c r="L32" t="n">
        <v>0</v>
      </c>
      <c r="M32" t="n">
        <v>0</v>
      </c>
      <c r="N32" t="n">
        <v>0</v>
      </c>
    </row>
    <row r="33">
      <c r="A33" t="inlineStr">
        <is>
          <t>defaults of rent through the pestilence</t>
        </is>
      </c>
      <c r="B33" t="inlineStr">
        <is>
          <t>1 messuage and .5 virgate of villein land in crawley which belonged to mabel sapiens, in the lord's hands for the aforesaid reason, 2 shilling 6pence.</t>
        </is>
      </c>
      <c r="C33" t="n">
        <v>0.12</v>
      </c>
      <c r="D33" t="n">
        <v>0</v>
      </c>
      <c r="E33" t="n">
        <v>2</v>
      </c>
      <c r="F33" t="n">
        <v>6</v>
      </c>
      <c r="H33" t="n">
        <v>0</v>
      </c>
      <c r="I33" t="n">
        <v>0</v>
      </c>
      <c r="J33" t="n">
        <v>0</v>
      </c>
      <c r="K33" t="n">
        <v>0</v>
      </c>
      <c r="L33" t="n">
        <v>0</v>
      </c>
      <c r="M33" t="n">
        <v>0</v>
      </c>
      <c r="N33" t="n">
        <v>0</v>
      </c>
    </row>
    <row r="34">
      <c r="A34" t="inlineStr">
        <is>
          <t>defaults of rent through the pestilence</t>
        </is>
      </c>
      <c r="B34" t="inlineStr">
        <is>
          <t>1 messuage and' virgate of villein land in crawley which belonged to henry pyeforde, in the lord's hands for the aforesaid reason, 2 shilling 6pence.</t>
        </is>
      </c>
      <c r="C34" t="n">
        <v>0.12</v>
      </c>
      <c r="D34" t="n">
        <v>0</v>
      </c>
      <c r="E34" t="n">
        <v>2</v>
      </c>
      <c r="F34" t="n">
        <v>6</v>
      </c>
      <c r="H34" t="n">
        <v>0</v>
      </c>
      <c r="I34" t="n">
        <v>0</v>
      </c>
      <c r="J34" t="n">
        <v>0</v>
      </c>
      <c r="K34" t="n">
        <v>0</v>
      </c>
      <c r="L34" t="n">
        <v>0</v>
      </c>
      <c r="M34" t="n">
        <v>0</v>
      </c>
      <c r="N34" t="n">
        <v>0</v>
      </c>
    </row>
    <row r="35">
      <c r="A35" t="inlineStr">
        <is>
          <t>defaults of rent through the pestilence</t>
        </is>
      </c>
      <c r="B35" t="inlineStr">
        <is>
          <t>1 messuage and 1 virgate of villein land in crawley which belonged to robert bay, in the lord's hands for the aforesaid reason, 5 shilling.</t>
        </is>
      </c>
      <c r="C35" t="n">
        <v>0.25</v>
      </c>
      <c r="D35" t="n">
        <v>0</v>
      </c>
      <c r="E35" t="n">
        <v>5</v>
      </c>
      <c r="F35" t="n">
        <v>0</v>
      </c>
      <c r="H35" t="n">
        <v>0</v>
      </c>
      <c r="I35" t="n">
        <v>0</v>
      </c>
      <c r="J35" t="n">
        <v>0</v>
      </c>
      <c r="K35" t="n">
        <v>0</v>
      </c>
      <c r="L35" t="n">
        <v>0</v>
      </c>
      <c r="M35" t="n">
        <v>0</v>
      </c>
      <c r="N35" t="n">
        <v>0</v>
      </c>
    </row>
    <row r="36">
      <c r="A36" t="inlineStr">
        <is>
          <t>defaults of rent through the pestilence</t>
        </is>
      </c>
      <c r="B36" t="inlineStr">
        <is>
          <t>1 messuage and 1 virgate of villein land in hailey which belonged to nicholas chitthen, in hand for the aforesaid reason, 5 shilling for the year.</t>
        </is>
      </c>
      <c r="C36" t="n">
        <v>0.25</v>
      </c>
      <c r="D36" t="n">
        <v>0</v>
      </c>
      <c r="E36" t="n">
        <v>5</v>
      </c>
      <c r="F36" t="n">
        <v>0</v>
      </c>
      <c r="H36" t="n">
        <v>0</v>
      </c>
      <c r="I36" t="n">
        <v>0</v>
      </c>
      <c r="J36" t="n">
        <v>0</v>
      </c>
      <c r="K36" t="n">
        <v>0</v>
      </c>
      <c r="L36" t="n">
        <v>0</v>
      </c>
      <c r="M36" t="n">
        <v>0</v>
      </c>
      <c r="N36" t="n">
        <v>0</v>
      </c>
    </row>
    <row r="37">
      <c r="A37" t="inlineStr">
        <is>
          <t>defaults of rent through the pestilence</t>
        </is>
      </c>
      <c r="B37" t="inlineStr">
        <is>
          <t>1 messuage and 1 virgate of villein land in hailey which belonged to walter coupere, in the lord's hands for the aforesaid reason, 5 shilling.</t>
        </is>
      </c>
      <c r="C37" t="n">
        <v>0.25</v>
      </c>
      <c r="D37" t="n">
        <v>0</v>
      </c>
      <c r="E37" t="n">
        <v>5</v>
      </c>
      <c r="F37" t="n">
        <v>0</v>
      </c>
      <c r="H37" t="n">
        <v>0</v>
      </c>
      <c r="I37" t="n">
        <v>0</v>
      </c>
      <c r="J37" t="n">
        <v>0</v>
      </c>
      <c r="K37" t="n">
        <v>0</v>
      </c>
      <c r="L37" t="n">
        <v>0</v>
      </c>
      <c r="M37" t="n">
        <v>0</v>
      </c>
      <c r="N37" t="n">
        <v>0</v>
      </c>
    </row>
    <row r="38">
      <c r="A38" t="inlineStr">
        <is>
          <t>defaults of rent through the pestilence</t>
        </is>
      </c>
      <c r="B38" t="inlineStr">
        <is>
          <t>1 messuage and 1 virgate of villein land in hailey which belonged to john grene, in the lord's hands for the aforesaid reason, 5 shilling.</t>
        </is>
      </c>
      <c r="C38" t="n">
        <v>0.25</v>
      </c>
      <c r="D38" t="n">
        <v>0</v>
      </c>
      <c r="E38" t="n">
        <v>5</v>
      </c>
      <c r="F38" t="n">
        <v>0</v>
      </c>
      <c r="H38" t="n">
        <v>0</v>
      </c>
      <c r="I38" t="n">
        <v>0</v>
      </c>
      <c r="J38" t="n">
        <v>0</v>
      </c>
      <c r="K38" t="n">
        <v>0</v>
      </c>
      <c r="L38" t="n">
        <v>0</v>
      </c>
      <c r="M38" t="n">
        <v>0</v>
      </c>
      <c r="N38" t="n">
        <v>0</v>
      </c>
    </row>
    <row r="39">
      <c r="A39" t="inlineStr">
        <is>
          <t>defaults of rent through the pestilence</t>
        </is>
      </c>
      <c r="B39" t="inlineStr">
        <is>
          <t>1 messuage and 1 virgate of villein land in hailey which belonged to john atte putte, in the lord's hands for the aforesaid reason, 5 shilling for the year.</t>
        </is>
      </c>
      <c r="C39" t="n">
        <v>0.25</v>
      </c>
      <c r="D39" t="n">
        <v>0</v>
      </c>
      <c r="E39" t="n">
        <v>5</v>
      </c>
      <c r="F39" t="n">
        <v>0</v>
      </c>
      <c r="H39" t="n">
        <v>0</v>
      </c>
      <c r="I39" t="n">
        <v>0</v>
      </c>
      <c r="J39" t="n">
        <v>0</v>
      </c>
      <c r="K39" t="n">
        <v>0</v>
      </c>
      <c r="L39" t="n">
        <v>0</v>
      </c>
      <c r="M39" t="n">
        <v>0</v>
      </c>
      <c r="N39" t="n">
        <v>0</v>
      </c>
    </row>
    <row r="40">
      <c r="A40" t="inlineStr">
        <is>
          <t>defaults of rent through the pestilence</t>
        </is>
      </c>
      <c r="B40" t="inlineStr">
        <is>
          <t>1 messuage and 1 virgate of villein land in hailey which belonged to robert wedurwys in the lord's hands, 5 shilling for the year.</t>
        </is>
      </c>
      <c r="C40" t="n">
        <v>0.25</v>
      </c>
      <c r="D40" t="n">
        <v>0</v>
      </c>
      <c r="E40" t="n">
        <v>5</v>
      </c>
      <c r="F40" t="n">
        <v>0</v>
      </c>
      <c r="H40" t="n">
        <v>0</v>
      </c>
      <c r="I40" t="n">
        <v>0</v>
      </c>
      <c r="J40" t="n">
        <v>0</v>
      </c>
      <c r="K40" t="n">
        <v>0</v>
      </c>
      <c r="L40" t="n">
        <v>0</v>
      </c>
      <c r="M40" t="n">
        <v>0</v>
      </c>
      <c r="N40" t="n">
        <v>0</v>
      </c>
    </row>
    <row r="41">
      <c r="A41" t="inlineStr">
        <is>
          <t>defaults of rent through the pestilence</t>
        </is>
      </c>
      <c r="B41" t="inlineStr">
        <is>
          <t>1 messuage and .5 virgate of villein land in hailey which belonged to richard pyeford' in the lord's hands, 2 shilling 6pence for the year.</t>
        </is>
      </c>
      <c r="C41" t="n">
        <v>0.12</v>
      </c>
      <c r="D41" t="n">
        <v>0</v>
      </c>
      <c r="E41" t="n">
        <v>2</v>
      </c>
      <c r="F41" t="n">
        <v>6</v>
      </c>
      <c r="H41" t="n">
        <v>0</v>
      </c>
      <c r="I41" t="n">
        <v>0</v>
      </c>
      <c r="J41" t="n">
        <v>0</v>
      </c>
      <c r="K41" t="n">
        <v>0</v>
      </c>
      <c r="L41" t="n">
        <v>0</v>
      </c>
      <c r="M41" t="n">
        <v>0</v>
      </c>
      <c r="N41" t="n">
        <v>0</v>
      </c>
    </row>
    <row r="42">
      <c r="A42" t="inlineStr">
        <is>
          <t>defaults of rent through the pestilence</t>
        </is>
      </c>
      <c r="B42" t="inlineStr">
        <is>
          <t>1 messuage and .5 virgate of villein land in hailey which belonged to william brond' in the lord's hands, 2 shilling 6pence for the year.</t>
        </is>
      </c>
      <c r="C42" t="n">
        <v>0.12</v>
      </c>
      <c r="D42" t="n">
        <v>0</v>
      </c>
      <c r="E42" t="n">
        <v>2</v>
      </c>
      <c r="F42" t="n">
        <v>6</v>
      </c>
      <c r="H42" t="n">
        <v>0</v>
      </c>
      <c r="I42" t="n">
        <v>0</v>
      </c>
      <c r="J42" t="n">
        <v>0</v>
      </c>
      <c r="K42" t="n">
        <v>0</v>
      </c>
      <c r="L42" t="n">
        <v>0</v>
      </c>
      <c r="M42" t="n">
        <v>0</v>
      </c>
      <c r="N42" t="n">
        <v>0</v>
      </c>
    </row>
    <row r="43">
      <c r="A43" t="inlineStr">
        <is>
          <t>defaults of rent through the pestilence</t>
        </is>
      </c>
      <c r="B43" t="inlineStr">
        <is>
          <t>1 messuage and .5 virgate of villein land in hailey which belonged to henry rolf in the lord's hands, 2 shilling 6pence for the year.</t>
        </is>
      </c>
      <c r="C43" t="n">
        <v>0.12</v>
      </c>
      <c r="D43" t="n">
        <v>0</v>
      </c>
      <c r="E43" t="n">
        <v>2</v>
      </c>
      <c r="F43" t="n">
        <v>6</v>
      </c>
      <c r="H43" t="n">
        <v>0</v>
      </c>
      <c r="I43" t="n">
        <v>0</v>
      </c>
      <c r="J43" t="n">
        <v>0</v>
      </c>
      <c r="K43" t="n">
        <v>0</v>
      </c>
      <c r="L43" t="n">
        <v>0</v>
      </c>
      <c r="M43" t="n">
        <v>0</v>
      </c>
      <c r="N43" t="n">
        <v>0</v>
      </c>
    </row>
    <row r="44">
      <c r="A44" t="inlineStr">
        <is>
          <t>defaults of rent through the pestilence</t>
        </is>
      </c>
      <c r="B44" t="inlineStr">
        <is>
          <t>1 messuage and 1 virgate of villein land in hailey which belonged to william mayen in the lord's hands, 5 shilling for the year.</t>
        </is>
      </c>
      <c r="C44" t="n">
        <v>0.25</v>
      </c>
      <c r="D44" t="n">
        <v>0</v>
      </c>
      <c r="E44" t="n">
        <v>5</v>
      </c>
      <c r="F44" t="n">
        <v>0</v>
      </c>
      <c r="H44" t="n">
        <v>0</v>
      </c>
      <c r="I44" t="n">
        <v>0</v>
      </c>
      <c r="J44" t="n">
        <v>0</v>
      </c>
      <c r="K44" t="n">
        <v>0</v>
      </c>
      <c r="L44" t="n">
        <v>0</v>
      </c>
      <c r="M44" t="n">
        <v>0</v>
      </c>
      <c r="N44" t="n">
        <v>0</v>
      </c>
    </row>
    <row r="45">
      <c r="A45" t="inlineStr">
        <is>
          <t>defaults of rent through the pestilence</t>
        </is>
      </c>
      <c r="B45" t="inlineStr">
        <is>
          <t>1 messuage and 1 virgate of villien land in hailey which belonged to agnes sprod' in the lord's hands, 5 shilling for the year.</t>
        </is>
      </c>
      <c r="C45" t="n">
        <v>0.25</v>
      </c>
      <c r="D45" t="n">
        <v>0</v>
      </c>
      <c r="E45" t="n">
        <v>5</v>
      </c>
      <c r="F45" t="n">
        <v>0</v>
      </c>
      <c r="H45" t="n">
        <v>0</v>
      </c>
      <c r="I45" t="n">
        <v>0</v>
      </c>
      <c r="J45" t="n">
        <v>0</v>
      </c>
      <c r="K45" t="n">
        <v>0</v>
      </c>
      <c r="L45" t="n">
        <v>0</v>
      </c>
      <c r="M45" t="n">
        <v>0</v>
      </c>
      <c r="N45" t="n">
        <v>0</v>
      </c>
    </row>
    <row r="46">
      <c r="A46" t="inlineStr">
        <is>
          <t>defaults of rent through the pestilence</t>
        </is>
      </c>
      <c r="B46" t="inlineStr">
        <is>
          <t>1 messuage and 1 virgate of villein land in hailey which formerly belonged to alice walters in the lord's hands, 5 shilling for the year.</t>
        </is>
      </c>
      <c r="C46" t="n">
        <v>0.25</v>
      </c>
      <c r="D46" t="n">
        <v>0</v>
      </c>
      <c r="E46" t="n">
        <v>5</v>
      </c>
      <c r="F46" t="n">
        <v>0</v>
      </c>
      <c r="H46" t="n">
        <v>0</v>
      </c>
      <c r="I46" t="n">
        <v>0</v>
      </c>
      <c r="J46" t="n">
        <v>0</v>
      </c>
      <c r="K46" t="n">
        <v>0</v>
      </c>
      <c r="L46" t="n">
        <v>0</v>
      </c>
      <c r="M46" t="n">
        <v>0</v>
      </c>
      <c r="N46" t="n">
        <v>0</v>
      </c>
    </row>
    <row r="47">
      <c r="A47" t="inlineStr">
        <is>
          <t>defaults of rent through the pestilence</t>
        </is>
      </c>
      <c r="B47" t="inlineStr">
        <is>
          <t>1 messuage and 1 virgate of villein land in hailey formerly of john blowynd in the lord's hands, 5 shilling for the year.</t>
        </is>
      </c>
      <c r="C47" t="n">
        <v>0.25</v>
      </c>
      <c r="D47" t="n">
        <v>0</v>
      </c>
      <c r="E47" t="n">
        <v>5</v>
      </c>
      <c r="F47" t="n">
        <v>0</v>
      </c>
      <c r="H47" t="n">
        <v>0</v>
      </c>
      <c r="I47" t="n">
        <v>0</v>
      </c>
      <c r="J47" t="n">
        <v>0</v>
      </c>
      <c r="K47" t="n">
        <v>0</v>
      </c>
      <c r="L47" t="n">
        <v>0</v>
      </c>
      <c r="M47" t="n">
        <v>0</v>
      </c>
      <c r="N47" t="n">
        <v>0</v>
      </c>
    </row>
    <row r="48">
      <c r="A48" t="inlineStr">
        <is>
          <t>defaults of rent through the pestilence</t>
        </is>
      </c>
      <c r="B48" t="inlineStr">
        <is>
          <t>1 messuage and 1 virgate of villein land in hailey formerly of christine parnell' in the lord's hands, 5 shilling for the year.</t>
        </is>
      </c>
      <c r="C48" t="n">
        <v>0.25</v>
      </c>
      <c r="D48" t="n">
        <v>0</v>
      </c>
      <c r="E48" t="n">
        <v>5</v>
      </c>
      <c r="F48" t="n">
        <v>0</v>
      </c>
      <c r="H48" t="n">
        <v>0</v>
      </c>
      <c r="I48" t="n">
        <v>0</v>
      </c>
      <c r="J48" t="n">
        <v>0</v>
      </c>
      <c r="K48" t="n">
        <v>0</v>
      </c>
      <c r="L48" t="n">
        <v>0</v>
      </c>
      <c r="M48" t="n">
        <v>0</v>
      </c>
      <c r="N48" t="n">
        <v>0</v>
      </c>
    </row>
    <row r="49">
      <c r="A49" t="inlineStr">
        <is>
          <t>defaults of rent through the pestilence</t>
        </is>
      </c>
      <c r="B49" t="inlineStr">
        <is>
          <t>1 messuage and .5 virgate of villein land in crawley formerly of henry wykyng' in the lord's hands, 2 shilling 6pence for the year.</t>
        </is>
      </c>
      <c r="C49" t="n">
        <v>0.12</v>
      </c>
      <c r="D49" t="n">
        <v>0</v>
      </c>
      <c r="E49" t="n">
        <v>2</v>
      </c>
      <c r="F49" t="n">
        <v>6</v>
      </c>
      <c r="H49" t="n">
        <v>0</v>
      </c>
      <c r="I49" t="n">
        <v>0</v>
      </c>
      <c r="J49" t="n">
        <v>0</v>
      </c>
      <c r="K49" t="n">
        <v>0</v>
      </c>
      <c r="L49" t="n">
        <v>0</v>
      </c>
      <c r="M49" t="n">
        <v>0</v>
      </c>
      <c r="N49" t="n">
        <v>0</v>
      </c>
    </row>
    <row r="50">
      <c r="A50" t="inlineStr">
        <is>
          <t>defaults of rent through the pestilence</t>
        </is>
      </c>
      <c r="B50" t="inlineStr">
        <is>
          <t>1 messuage and 1 virgate of villein land in crawley formerly of the said henry in the lord's hands, 5 shilling for the year.</t>
        </is>
      </c>
      <c r="C50" t="n">
        <v>0.25</v>
      </c>
      <c r="D50" t="n">
        <v>0</v>
      </c>
      <c r="E50" t="n">
        <v>5</v>
      </c>
      <c r="F50" t="n">
        <v>0</v>
      </c>
      <c r="H50" t="n">
        <v>0</v>
      </c>
      <c r="I50" t="n">
        <v>0</v>
      </c>
      <c r="J50" t="n">
        <v>0</v>
      </c>
      <c r="K50" t="n">
        <v>0</v>
      </c>
      <c r="L50" t="n">
        <v>0</v>
      </c>
      <c r="M50" t="n">
        <v>0</v>
      </c>
      <c r="N50" t="n">
        <v>0</v>
      </c>
    </row>
    <row r="51">
      <c r="A51" t="inlineStr">
        <is>
          <t>defaults of rent through the pestilence</t>
        </is>
      </c>
      <c r="B51" t="inlineStr">
        <is>
          <t>1 messuage and 1 virgate of villein land formerly of john gyn in the lord's hands, 5 shilling for the year.</t>
        </is>
      </c>
      <c r="C51" t="n">
        <v>0.25</v>
      </c>
      <c r="D51" t="n">
        <v>0</v>
      </c>
      <c r="E51" t="n">
        <v>5</v>
      </c>
      <c r="F51" t="n">
        <v>0</v>
      </c>
      <c r="H51" t="n">
        <v>0</v>
      </c>
      <c r="I51" t="n">
        <v>0</v>
      </c>
      <c r="J51" t="n">
        <v>0</v>
      </c>
      <c r="K51" t="n">
        <v>0</v>
      </c>
      <c r="L51" t="n">
        <v>0</v>
      </c>
      <c r="M51" t="n">
        <v>0</v>
      </c>
      <c r="N51" t="n">
        <v>0</v>
      </c>
    </row>
    <row r="52">
      <c r="A52" t="inlineStr">
        <is>
          <t>defaults of rent through the pestilence</t>
        </is>
      </c>
      <c r="B52" t="inlineStr">
        <is>
          <t>1 messuage and 1 virgate of villein land in crawley formerly of simon bay in the lord's hands, 5 shilling for the year.</t>
        </is>
      </c>
      <c r="C52" t="n">
        <v>0.25</v>
      </c>
      <c r="D52" t="n">
        <v>0</v>
      </c>
      <c r="E52" t="n">
        <v>5</v>
      </c>
      <c r="F52" t="n">
        <v>0</v>
      </c>
      <c r="H52" t="n">
        <v>0</v>
      </c>
      <c r="I52" t="n">
        <v>0</v>
      </c>
      <c r="J52" t="n">
        <v>0</v>
      </c>
      <c r="K52" t="n">
        <v>0</v>
      </c>
      <c r="L52" t="n">
        <v>0</v>
      </c>
      <c r="M52" t="n">
        <v>0</v>
      </c>
      <c r="N52" t="n">
        <v>0</v>
      </c>
    </row>
    <row r="53">
      <c r="A53" t="inlineStr">
        <is>
          <t>defaults of rent through the pestilence</t>
        </is>
      </c>
      <c r="B53" t="inlineStr">
        <is>
          <t>1 messuage and 1 virgate of villein land in crawley formerly of john bay in the lord's hands, 5 shilling for the year.</t>
        </is>
      </c>
      <c r="C53" t="n">
        <v>0.25</v>
      </c>
      <c r="D53" t="n">
        <v>0</v>
      </c>
      <c r="E53" t="n">
        <v>5</v>
      </c>
      <c r="F53" t="n">
        <v>0</v>
      </c>
      <c r="H53" t="n">
        <v>0</v>
      </c>
      <c r="I53" t="n">
        <v>0</v>
      </c>
      <c r="J53" t="n">
        <v>0</v>
      </c>
      <c r="K53" t="n">
        <v>0</v>
      </c>
      <c r="L53" t="n">
        <v>0</v>
      </c>
      <c r="M53" t="n">
        <v>0</v>
      </c>
      <c r="N53" t="n">
        <v>0</v>
      </c>
    </row>
    <row r="54">
      <c r="A54" t="inlineStr">
        <is>
          <t>defaults of rent through the pestilence</t>
        </is>
      </c>
      <c r="B54" t="inlineStr">
        <is>
          <t>1 messuage and .5 virgate of villein land in crawley formerly of john baleye in the lord's hands, 2 shilling 6pence for the year.</t>
        </is>
      </c>
      <c r="C54" t="n">
        <v>0.12</v>
      </c>
      <c r="D54" t="n">
        <v>0</v>
      </c>
      <c r="E54" t="n">
        <v>2</v>
      </c>
      <c r="F54" t="n">
        <v>6</v>
      </c>
      <c r="H54" t="n">
        <v>0</v>
      </c>
      <c r="I54" t="n">
        <v>0</v>
      </c>
      <c r="J54" t="n">
        <v>0</v>
      </c>
      <c r="K54" t="n">
        <v>0</v>
      </c>
      <c r="L54" t="n">
        <v>0</v>
      </c>
      <c r="M54" t="n">
        <v>0</v>
      </c>
      <c r="N54" t="n">
        <v>0</v>
      </c>
    </row>
    <row r="55">
      <c r="A55" t="inlineStr">
        <is>
          <t>defaults of rent through the pestilence</t>
        </is>
      </c>
      <c r="B55" t="inlineStr">
        <is>
          <t>1 messuage and 1 virgate of villein land in crawley formerly of roger symond' in the lord's hands, 5 shilling for the year.</t>
        </is>
      </c>
      <c r="C55" t="n">
        <v>0.25</v>
      </c>
      <c r="D55" t="n">
        <v>0</v>
      </c>
      <c r="E55" t="n">
        <v>5</v>
      </c>
      <c r="F55" t="n">
        <v>0</v>
      </c>
      <c r="H55" t="n">
        <v>0</v>
      </c>
      <c r="I55" t="n">
        <v>0</v>
      </c>
      <c r="J55" t="n">
        <v>0</v>
      </c>
      <c r="K55" t="n">
        <v>0</v>
      </c>
      <c r="L55" t="n">
        <v>0</v>
      </c>
      <c r="M55" t="n">
        <v>0</v>
      </c>
      <c r="N55" t="n">
        <v>0</v>
      </c>
    </row>
    <row r="56">
      <c r="A56" t="inlineStr">
        <is>
          <t>defaults of rent through the pestilence</t>
        </is>
      </c>
      <c r="B56" t="inlineStr">
        <is>
          <t>1 messuage and .5 virgate of villein land in crawley formerly of the said roger in the lord's hands 2 shilling 6pence.</t>
        </is>
      </c>
      <c r="C56" t="n">
        <v>0.12</v>
      </c>
      <c r="D56" t="n">
        <v>0</v>
      </c>
      <c r="E56" t="n">
        <v>2</v>
      </c>
      <c r="F56" t="n">
        <v>6</v>
      </c>
      <c r="H56" t="n">
        <v>0</v>
      </c>
      <c r="I56" t="n">
        <v>0</v>
      </c>
      <c r="J56" t="n">
        <v>0</v>
      </c>
      <c r="K56" t="n">
        <v>0</v>
      </c>
      <c r="L56" t="n">
        <v>0</v>
      </c>
      <c r="M56" t="n">
        <v>0</v>
      </c>
      <c r="N56" t="n">
        <v>0</v>
      </c>
    </row>
    <row r="57">
      <c r="A57" t="inlineStr">
        <is>
          <t>defaults of rent through the pestilence</t>
        </is>
      </c>
      <c r="B57" t="inlineStr">
        <is>
          <t>3 cotlands of villein land formerly of richard sprod, walter rotour and john hayward' in hailey and crawley in the lord's hands 3 shilling.</t>
        </is>
      </c>
      <c r="C57" t="n">
        <v>0.15</v>
      </c>
      <c r="D57" t="n">
        <v>0</v>
      </c>
      <c r="E57" t="n">
        <v>3</v>
      </c>
      <c r="F57" t="n">
        <v>0</v>
      </c>
      <c r="H57" t="n">
        <v>0</v>
      </c>
      <c r="I57" t="n">
        <v>0</v>
      </c>
      <c r="J57" t="n">
        <v>0</v>
      </c>
      <c r="K57" t="n">
        <v>0</v>
      </c>
      <c r="L57" t="n">
        <v>0</v>
      </c>
      <c r="M57" t="n">
        <v>0</v>
      </c>
      <c r="N57" t="n">
        <v>0</v>
      </c>
    </row>
    <row r="58">
      <c r="A58" t="inlineStr">
        <is>
          <t>defaults of rent through the pestilence</t>
        </is>
      </c>
      <c r="B58" t="inlineStr">
        <is>
          <t>1 cottage of common land called le 3eldehall' in crawley in the lord's hands, 7.5pence for the year.</t>
        </is>
      </c>
      <c r="C58" t="n">
        <v>0.03</v>
      </c>
      <c r="D58" t="n">
        <v>0</v>
      </c>
      <c r="E58" t="n">
        <v>0</v>
      </c>
      <c r="F58" t="n">
        <v>7.5</v>
      </c>
      <c r="H58" t="n">
        <v>0</v>
      </c>
      <c r="I58" t="n">
        <v>0</v>
      </c>
      <c r="J58" t="n">
        <v>0</v>
      </c>
      <c r="K58" t="n">
        <v>0</v>
      </c>
      <c r="L58" t="n">
        <v>0</v>
      </c>
      <c r="M58" t="n">
        <v>0</v>
      </c>
      <c r="N58" t="n">
        <v>0</v>
      </c>
    </row>
    <row r="59">
      <c r="A59" t="inlineStr">
        <is>
          <t>defaults of rent through the pestilence</t>
        </is>
      </c>
      <c r="B59" t="inlineStr">
        <is>
          <t>1 toft and 10 acres of free land formerly held by charter by robert vicar' of minster lovell in the lord's hands, 5 shilling for the year.</t>
        </is>
      </c>
      <c r="C59" t="n">
        <v>0.25</v>
      </c>
      <c r="D59" t="n">
        <v>0</v>
      </c>
      <c r="E59" t="n">
        <v>5</v>
      </c>
      <c r="F59" t="n">
        <v>0</v>
      </c>
      <c r="H59" t="n">
        <v>0</v>
      </c>
      <c r="I59" t="n">
        <v>0</v>
      </c>
      <c r="J59" t="n">
        <v>0</v>
      </c>
      <c r="K59" t="n">
        <v>0</v>
      </c>
      <c r="L59" t="n">
        <v>0</v>
      </c>
      <c r="M59" t="n">
        <v>0</v>
      </c>
      <c r="N59" t="n">
        <v>0</v>
      </c>
    </row>
    <row r="60">
      <c r="A60" t="inlineStr">
        <is>
          <t>defaults of rent through the pestilence</t>
        </is>
      </c>
      <c r="B60" t="inlineStr">
        <is>
          <t>2 acres 2 roods of assailed land formerly of henry wykyng' and william rook' in crawley in the lord's hands, 1 shilling 4.5pence for the year.</t>
        </is>
      </c>
      <c r="C60" t="n">
        <v>0.07000000000000001</v>
      </c>
      <c r="D60" t="n">
        <v>0</v>
      </c>
      <c r="E60" t="n">
        <v>1</v>
      </c>
      <c r="F60" t="n">
        <v>4.5</v>
      </c>
      <c r="H60" t="n">
        <v>0</v>
      </c>
      <c r="I60" t="n">
        <v>0</v>
      </c>
      <c r="J60" t="n">
        <v>0</v>
      </c>
      <c r="K60" t="n">
        <v>0</v>
      </c>
      <c r="L60" t="n">
        <v>0</v>
      </c>
      <c r="M60" t="n">
        <v>0</v>
      </c>
      <c r="N60" t="n">
        <v>0</v>
      </c>
    </row>
    <row r="61">
      <c r="A61" t="inlineStr">
        <is>
          <t>defaults of rent through the pestilence</t>
        </is>
      </c>
      <c r="B61" t="inlineStr">
        <is>
          <t>14 virgates and a half-virgate of villein land at curbridge, in hand through the death of adam le heyward', thomas danyel, robert fen, robert wedurwys, john atte welle, william sparhauk', thomas berd', richard welysed', nicholas trendull', william atte welle, hugh wylby, isabel reve, richard mabbe and william west, who held 14 virgates of land, £3 10 shilling, at 5 shilling a virgate.</t>
        </is>
      </c>
      <c r="C61" t="n">
        <v>3.5</v>
      </c>
      <c r="D61" t="n">
        <v>3</v>
      </c>
      <c r="E61" t="n">
        <v>10</v>
      </c>
      <c r="F61" t="n">
        <v>0</v>
      </c>
      <c r="H61" t="n">
        <v>0</v>
      </c>
      <c r="I61" t="n">
        <v>0</v>
      </c>
      <c r="J61" t="n">
        <v>0</v>
      </c>
      <c r="K61" t="n">
        <v>0</v>
      </c>
      <c r="L61" t="n">
        <v>0</v>
      </c>
      <c r="M61" t="n">
        <v>0</v>
      </c>
      <c r="N61" t="n">
        <v>0</v>
      </c>
    </row>
    <row r="62">
      <c r="A62" t="inlineStr">
        <is>
          <t>defaults of rent through the pestilence</t>
        </is>
      </c>
      <c r="B62" t="inlineStr">
        <is>
          <t>4 half-virgates of isabel reve, walter whyte, john sprod and william atte welle 10 shilling, at 2 shilling 6pence for each half-virgate of land.</t>
        </is>
      </c>
      <c r="C62" t="n">
        <v>0.53</v>
      </c>
      <c r="D62" t="n">
        <v>0</v>
      </c>
      <c r="E62" t="n">
        <v>10</v>
      </c>
      <c r="F62" t="n">
        <v>6</v>
      </c>
      <c r="H62" t="n">
        <v>0</v>
      </c>
      <c r="I62" t="n">
        <v>0</v>
      </c>
      <c r="J62" t="n">
        <v>0</v>
      </c>
      <c r="K62" t="n">
        <v>0</v>
      </c>
      <c r="L62" t="n">
        <v>0</v>
      </c>
      <c r="M62" t="n">
        <v>0</v>
      </c>
      <c r="N62" t="n">
        <v>0</v>
      </c>
    </row>
    <row r="63">
      <c r="A63" t="inlineStr">
        <is>
          <t>defaults of rent through the pestilence</t>
        </is>
      </c>
      <c r="B63" t="inlineStr">
        <is>
          <t>1.5 acres of assailed land there formerly of william leche and 4 acres of assailed land there formerly of william reve 8.75pence.</t>
        </is>
      </c>
      <c r="C63" t="n">
        <v>0.04</v>
      </c>
      <c r="D63" t="n">
        <v>0</v>
      </c>
      <c r="E63" t="n">
        <v>0</v>
      </c>
      <c r="F63" t="n">
        <v>8.75</v>
      </c>
      <c r="H63" t="n">
        <v>0</v>
      </c>
      <c r="I63" t="n">
        <v>0</v>
      </c>
      <c r="J63" t="n">
        <v>0</v>
      </c>
      <c r="K63" t="n">
        <v>0</v>
      </c>
      <c r="L63" t="n">
        <v>0</v>
      </c>
      <c r="M63" t="n">
        <v>0</v>
      </c>
      <c r="N63" t="n">
        <v>0</v>
      </c>
    </row>
    <row r="64">
      <c r="A64" t="inlineStr">
        <is>
          <t>defaults of rent through the pestilence</t>
        </is>
      </c>
      <c r="B64" t="inlineStr">
        <is>
          <t>1 virgate of villein land in crawley formerly of henry blome in the lord's hands, 2 shilling 6pence for the year.</t>
        </is>
      </c>
      <c r="C64" t="n">
        <v>0.12</v>
      </c>
      <c r="D64" t="n">
        <v>0</v>
      </c>
      <c r="E64" t="n">
        <v>2</v>
      </c>
      <c r="F64" t="n">
        <v>6</v>
      </c>
      <c r="H64" t="n">
        <v>0</v>
      </c>
      <c r="I64" t="n">
        <v>0</v>
      </c>
      <c r="J64" t="n">
        <v>0</v>
      </c>
      <c r="K64" t="n">
        <v>0</v>
      </c>
      <c r="L64" t="n">
        <v>0</v>
      </c>
      <c r="M64" t="n">
        <v>0</v>
      </c>
      <c r="N64" t="n">
        <v>0</v>
      </c>
    </row>
    <row r="65">
      <c r="A65" t="inlineStr">
        <is>
          <t>defaults of rent through the pestilence</t>
        </is>
      </c>
      <c r="B65" t="inlineStr">
        <is>
          <t>.5 virgate of land in hailey formerly of thomas vyne in the lord's hands, 2 shilling 6pence for the year.</t>
        </is>
      </c>
      <c r="C65" t="n">
        <v>0.12</v>
      </c>
      <c r="D65" t="n">
        <v>0</v>
      </c>
      <c r="E65" t="n">
        <v>2</v>
      </c>
      <c r="F65" t="n">
        <v>6</v>
      </c>
      <c r="H65" t="n">
        <v>0</v>
      </c>
      <c r="I65" t="n">
        <v>0</v>
      </c>
      <c r="J65" t="n">
        <v>0</v>
      </c>
      <c r="K65" t="n">
        <v>0</v>
      </c>
      <c r="L65" t="n">
        <v>0</v>
      </c>
      <c r="M65" t="n">
        <v>0</v>
      </c>
      <c r="N65" t="n">
        <v>0</v>
      </c>
    </row>
    <row r="66">
      <c r="A66" t="inlineStr">
        <is>
          <t>defaults of rent through the pestilence</t>
        </is>
      </c>
      <c r="B66" t="inlineStr">
        <is>
          <t>10 acres of assailed land formerly of thomas crudebr' there, in the lord's hands for the aforesaid reason, 5 shilling.</t>
        </is>
      </c>
      <c r="C66" t="n">
        <v>0.25</v>
      </c>
      <c r="D66" t="n">
        <v>0</v>
      </c>
      <c r="E66" t="n">
        <v>5</v>
      </c>
      <c r="F66" t="n">
        <v>0</v>
      </c>
      <c r="H66" t="n">
        <v>0</v>
      </c>
      <c r="I66" t="n">
        <v>0</v>
      </c>
      <c r="J66" t="n">
        <v>0</v>
      </c>
      <c r="K66" t="n">
        <v>0</v>
      </c>
      <c r="L66" t="n">
        <v>0</v>
      </c>
      <c r="M66" t="n">
        <v>0</v>
      </c>
      <c r="N66" t="n">
        <v>0</v>
      </c>
    </row>
    <row r="67">
      <c r="A67" t="inlineStr">
        <is>
          <t>defaults of rent through the pestilence</t>
        </is>
      </c>
      <c r="B67" t="inlineStr">
        <is>
          <t>10 acres and 1 rood of assailed land formerly of roger folyat in the field of witney 6 shilling 8pence.</t>
        </is>
      </c>
      <c r="C67" t="n">
        <v>0.33</v>
      </c>
      <c r="D67" t="n">
        <v>0</v>
      </c>
      <c r="E67" t="n">
        <v>6</v>
      </c>
      <c r="F67" t="n">
        <v>8</v>
      </c>
      <c r="H67" t="n">
        <v>0</v>
      </c>
      <c r="I67" t="n">
        <v>0</v>
      </c>
      <c r="J67" t="n">
        <v>0</v>
      </c>
      <c r="K67" t="n">
        <v>0</v>
      </c>
      <c r="L67" t="n">
        <v>0</v>
      </c>
      <c r="M67" t="n">
        <v>0</v>
      </c>
      <c r="N67" t="n">
        <v>0</v>
      </c>
    </row>
    <row r="68">
      <c r="A68" t="inlineStr">
        <is>
          <t>defaults of rent through the pestilence</t>
        </is>
      </c>
      <c r="B68" t="inlineStr">
        <is>
          <t>14 acres of assailed land in the field of hamodesheye, in the lord's hands from a want of tenants, 6 shilling.</t>
        </is>
      </c>
      <c r="C68" t="n">
        <v>0.3</v>
      </c>
      <c r="D68" t="n">
        <v>0</v>
      </c>
      <c r="E68" t="n">
        <v>6</v>
      </c>
      <c r="F68" t="n">
        <v>0</v>
      </c>
      <c r="H68" t="n">
        <v>0</v>
      </c>
      <c r="I68" t="n">
        <v>0</v>
      </c>
      <c r="J68" t="n">
        <v>0</v>
      </c>
      <c r="K68" t="n">
        <v>0</v>
      </c>
      <c r="L68" t="n">
        <v>0</v>
      </c>
      <c r="M68" t="n">
        <v>0</v>
      </c>
      <c r="N68" t="n">
        <v>0</v>
      </c>
    </row>
    <row r="69">
      <c r="A69" t="inlineStr">
        <is>
          <t>defaults of rent through the pestilence</t>
        </is>
      </c>
      <c r="B69" t="inlineStr">
        <is>
          <t>22 acres of assailed land in the field of hailey, because in the lord's hands from a want of tenants and lying fallow (friss'), the pasture of which is grazed by the lord's sheep, 4 shilling 9.5pence for the year.</t>
        </is>
      </c>
      <c r="C69" t="n">
        <v>0.24</v>
      </c>
      <c r="D69" t="n">
        <v>0</v>
      </c>
      <c r="E69" t="n">
        <v>4</v>
      </c>
      <c r="F69" t="n">
        <v>9.5</v>
      </c>
      <c r="H69" t="n">
        <v>0</v>
      </c>
      <c r="I69" t="n">
        <v>0</v>
      </c>
      <c r="J69" t="n">
        <v>0</v>
      </c>
      <c r="K69" t="n">
        <v>0</v>
      </c>
      <c r="L69" t="n">
        <v>0</v>
      </c>
      <c r="M69" t="n">
        <v>0</v>
      </c>
      <c r="N69" t="n">
        <v>0</v>
      </c>
    </row>
    <row r="70">
      <c r="A70" t="inlineStr">
        <is>
          <t>defaults of rent through the pestilence</t>
        </is>
      </c>
      <c r="B70" t="inlineStr">
        <is>
          <t>296 acres of assarted land, in the lord's hands from the time of the first pestilence through the death of various tenants and hitherto remaining just as it was examined by the auditor of the account and held of this manor by order of william de wykeham, lord bishop of winchester, £7 14 shilling 1.5pence.</t>
        </is>
      </c>
      <c r="C70" t="n">
        <v>7.71</v>
      </c>
      <c r="D70" t="n">
        <v>7</v>
      </c>
      <c r="E70" t="n">
        <v>14</v>
      </c>
      <c r="F70" t="n">
        <v>1.5</v>
      </c>
      <c r="H70" t="n">
        <v>0</v>
      </c>
      <c r="I70" t="n">
        <v>0</v>
      </c>
      <c r="J70" t="n">
        <v>0</v>
      </c>
      <c r="K70" t="n">
        <v>0</v>
      </c>
      <c r="L70" t="n">
        <v>0</v>
      </c>
      <c r="M70" t="n">
        <v>0</v>
      </c>
      <c r="N70" t="n">
        <v>0</v>
      </c>
    </row>
    <row r="71">
      <c r="A71" t="inlineStr">
        <is>
          <t>defaults of rent through the pestilence</t>
        </is>
      </c>
      <c r="B71" t="inlineStr">
        <is>
          <t>1 toft formerly of thomas thomekyns in hailey for the aforesaid reason 1.5pence.</t>
        </is>
      </c>
      <c r="C71" t="n">
        <v>0.01</v>
      </c>
      <c r="D71" t="n">
        <v>0</v>
      </c>
      <c r="E71" t="n">
        <v>0</v>
      </c>
      <c r="F71" t="n">
        <v>1.5</v>
      </c>
      <c r="H71" t="n">
        <v>0</v>
      </c>
      <c r="I71" t="n">
        <v>0</v>
      </c>
      <c r="J71" t="n">
        <v>0</v>
      </c>
      <c r="K71" t="n">
        <v>0</v>
      </c>
      <c r="L71" t="n">
        <v>0</v>
      </c>
      <c r="M71" t="n">
        <v>0</v>
      </c>
      <c r="N71" t="n">
        <v>0</v>
      </c>
    </row>
    <row r="72">
      <c r="A72" t="inlineStr">
        <is>
          <t>defaults of rent through the pestilence</t>
        </is>
      </c>
      <c r="B72" t="inlineStr">
        <is>
          <t>5.5 acres of assailed land which formerly belonged to john prentys, in the lord's hands by examination made by the steward of william wykeham, recently lord bishop of winchester, 2 shilling 9pence.</t>
        </is>
      </c>
      <c r="C72" t="n">
        <v>0.14</v>
      </c>
      <c r="D72" t="n">
        <v>0</v>
      </c>
      <c r="E72" t="n">
        <v>2</v>
      </c>
      <c r="F72" t="n">
        <v>9</v>
      </c>
      <c r="H72" t="n">
        <v>0</v>
      </c>
      <c r="I72" t="n">
        <v>0</v>
      </c>
      <c r="J72" t="n">
        <v>0</v>
      </c>
      <c r="K72" t="n">
        <v>0</v>
      </c>
      <c r="L72" t="n">
        <v>0</v>
      </c>
      <c r="M72" t="n">
        <v>0</v>
      </c>
      <c r="N72" t="n">
        <v>0</v>
      </c>
    </row>
    <row r="73">
      <c r="A73" t="inlineStr">
        <is>
          <t>defaults of rent through the pestilence</t>
        </is>
      </c>
      <c r="B73" t="inlineStr">
        <is>
          <t>61.5 acres of assailed land which formerly belonged to thomas austyn, in the lord's hands for the aforesaid reason, £1 10 shilling 9pence.</t>
        </is>
      </c>
      <c r="C73" t="n">
        <v>1.54</v>
      </c>
      <c r="D73" t="n">
        <v>1</v>
      </c>
      <c r="E73" t="n">
        <v>10</v>
      </c>
      <c r="F73" t="n">
        <v>9</v>
      </c>
      <c r="H73" t="n">
        <v>0</v>
      </c>
      <c r="I73" t="n">
        <v>0</v>
      </c>
      <c r="J73" t="n">
        <v>0</v>
      </c>
      <c r="K73" t="n">
        <v>0</v>
      </c>
      <c r="L73" t="n">
        <v>0</v>
      </c>
      <c r="M73" t="n">
        <v>0</v>
      </c>
      <c r="N73" t="n">
        <v>0</v>
      </c>
    </row>
    <row r="74">
      <c r="A74" t="inlineStr">
        <is>
          <t>defaults of rent through the pestilence</t>
        </is>
      </c>
      <c r="B74" t="inlineStr">
        <is>
          <t>14 acres 3 roods of assarted land which formerly belonged to thomas soneye 6 shilling 1.5pence.</t>
        </is>
      </c>
      <c r="C74" t="n">
        <v>0.31</v>
      </c>
      <c r="D74" t="n">
        <v>0</v>
      </c>
      <c r="E74" t="n">
        <v>6</v>
      </c>
      <c r="F74" t="n">
        <v>1.5</v>
      </c>
      <c r="H74" t="n">
        <v>0</v>
      </c>
      <c r="I74" t="n">
        <v>0</v>
      </c>
      <c r="J74" t="n">
        <v>0</v>
      </c>
      <c r="K74" t="n">
        <v>0</v>
      </c>
      <c r="L74" t="n">
        <v>0</v>
      </c>
      <c r="M74" t="n">
        <v>0</v>
      </c>
      <c r="N74" t="n">
        <v>0</v>
      </c>
    </row>
    <row r="75">
      <c r="A75" t="inlineStr">
        <is>
          <t>defaults of rent through the pestilence</t>
        </is>
      </c>
      <c r="B75" t="inlineStr">
        <is>
          <t>5 acres and 1 rood of assarted land which formerly belonged to thomas soneye 2 shilling 7.5pence.</t>
        </is>
      </c>
      <c r="C75" t="n">
        <v>0.13</v>
      </c>
      <c r="D75" t="n">
        <v>0</v>
      </c>
      <c r="E75" t="n">
        <v>2</v>
      </c>
      <c r="F75" t="n">
        <v>7.5</v>
      </c>
      <c r="H75" t="n">
        <v>0</v>
      </c>
      <c r="I75" t="n">
        <v>0</v>
      </c>
      <c r="J75" t="n">
        <v>0</v>
      </c>
      <c r="K75" t="n">
        <v>0</v>
      </c>
      <c r="L75" t="n">
        <v>0</v>
      </c>
      <c r="M75" t="n">
        <v>0</v>
      </c>
      <c r="N75" t="n">
        <v>0</v>
      </c>
    </row>
    <row r="76">
      <c r="A76" t="inlineStr">
        <is>
          <t>defaults of rent through the pestilence</t>
        </is>
      </c>
      <c r="B76" t="inlineStr">
        <is>
          <t>2.5 acres which formerly belonged to matilda whytenhull' for the aforesaid reason 1 shilling 9pence.</t>
        </is>
      </c>
      <c r="C76" t="n">
        <v>0.09</v>
      </c>
      <c r="D76" t="n">
        <v>0</v>
      </c>
      <c r="E76" t="n">
        <v>1</v>
      </c>
      <c r="F76" t="n">
        <v>9</v>
      </c>
      <c r="H76" t="n">
        <v>0</v>
      </c>
      <c r="I76" t="n">
        <v>0</v>
      </c>
      <c r="J76" t="n">
        <v>0</v>
      </c>
      <c r="K76" t="n">
        <v>0</v>
      </c>
      <c r="L76" t="n">
        <v>0</v>
      </c>
      <c r="M76" t="n">
        <v>0</v>
      </c>
      <c r="N76" t="n">
        <v>0</v>
      </c>
    </row>
    <row r="77">
      <c r="A77" t="inlineStr">
        <is>
          <t>defaults of rent through the pestilence</t>
        </is>
      </c>
      <c r="B77" t="inlineStr">
        <is>
          <t>3 acres of assarted land which formerly belonged to simon bay for the aforesaid reason 1 shilling 6pence.</t>
        </is>
      </c>
      <c r="C77" t="n">
        <v>0.08</v>
      </c>
      <c r="D77" t="n">
        <v>0</v>
      </c>
      <c r="E77" t="n">
        <v>1</v>
      </c>
      <c r="F77" t="n">
        <v>6</v>
      </c>
      <c r="H77" t="n">
        <v>0</v>
      </c>
      <c r="I77" t="n">
        <v>0</v>
      </c>
      <c r="J77" t="n">
        <v>0</v>
      </c>
      <c r="K77" t="n">
        <v>0</v>
      </c>
      <c r="L77" t="n">
        <v>0</v>
      </c>
      <c r="M77" t="n">
        <v>0</v>
      </c>
      <c r="N77" t="n">
        <v>0</v>
      </c>
    </row>
    <row r="78">
      <c r="A78" t="inlineStr">
        <is>
          <t>defaults of rent through the pestilence</t>
        </is>
      </c>
      <c r="B78" t="inlineStr">
        <is>
          <t>8.5 acres of assailed land which formerly belonged to simon vyne 4 shilling 3pence.</t>
        </is>
      </c>
      <c r="C78" t="n">
        <v>0.21</v>
      </c>
      <c r="D78" t="n">
        <v>0</v>
      </c>
      <c r="E78" t="n">
        <v>4</v>
      </c>
      <c r="F78" t="n">
        <v>3</v>
      </c>
      <c r="H78" t="n">
        <v>0</v>
      </c>
      <c r="I78" t="n">
        <v>0</v>
      </c>
      <c r="J78" t="n">
        <v>0</v>
      </c>
      <c r="K78" t="n">
        <v>0</v>
      </c>
      <c r="L78" t="n">
        <v>0</v>
      </c>
      <c r="M78" t="n">
        <v>0</v>
      </c>
      <c r="N78" t="n">
        <v>0</v>
      </c>
    </row>
    <row r="79">
      <c r="A79" t="inlineStr">
        <is>
          <t>defaults of rent through the pestilence</t>
        </is>
      </c>
      <c r="B79" t="inlineStr">
        <is>
          <t>7 acres and the twelfth part of 1 acre of assailed land which formerly belonged to john barkesdale for the aforesaid reason 3 shilling 6.5pence.</t>
        </is>
      </c>
      <c r="C79" t="n">
        <v>0.18</v>
      </c>
      <c r="D79" t="n">
        <v>0</v>
      </c>
      <c r="E79" t="n">
        <v>3</v>
      </c>
      <c r="F79" t="n">
        <v>6.5</v>
      </c>
      <c r="H79" t="n">
        <v>0</v>
      </c>
      <c r="I79" t="n">
        <v>0</v>
      </c>
      <c r="J79" t="n">
        <v>0</v>
      </c>
      <c r="K79" t="n">
        <v>0</v>
      </c>
      <c r="L79" t="n">
        <v>0</v>
      </c>
      <c r="M79" t="n">
        <v>0</v>
      </c>
      <c r="N79" t="n">
        <v>0</v>
      </c>
    </row>
    <row r="80">
      <c r="A80" t="inlineStr">
        <is>
          <t>defaults of rent through the pestilence</t>
        </is>
      </c>
      <c r="B80" t="inlineStr">
        <is>
          <t>4.5 acres of assarted land which formerly belonged to richard haytour 2 shilling 3pence.</t>
        </is>
      </c>
      <c r="C80" t="n">
        <v>0.11</v>
      </c>
      <c r="D80" t="n">
        <v>0</v>
      </c>
      <c r="E80" t="n">
        <v>2</v>
      </c>
      <c r="F80" t="n">
        <v>3</v>
      </c>
      <c r="H80" t="n">
        <v>0</v>
      </c>
      <c r="I80" t="n">
        <v>0</v>
      </c>
      <c r="J80" t="n">
        <v>0</v>
      </c>
      <c r="K80" t="n">
        <v>0</v>
      </c>
      <c r="L80" t="n">
        <v>0</v>
      </c>
      <c r="M80" t="n">
        <v>0</v>
      </c>
      <c r="N80" t="n">
        <v>0</v>
      </c>
    </row>
    <row r="81">
      <c r="A81" t="inlineStr">
        <is>
          <t>defaults of rent through the pestilence</t>
        </is>
      </c>
      <c r="B81" t="inlineStr">
        <is>
          <t>1 acre and 1 rood of assailed land which formerly belonged to richard mason for the aforesaid reason 7.5pence.</t>
        </is>
      </c>
      <c r="C81" t="n">
        <v>0.03</v>
      </c>
      <c r="D81" t="n">
        <v>0</v>
      </c>
      <c r="E81" t="n">
        <v>0</v>
      </c>
      <c r="F81" t="n">
        <v>7.5</v>
      </c>
      <c r="H81" t="n">
        <v>0</v>
      </c>
      <c r="I81" t="n">
        <v>0</v>
      </c>
      <c r="J81" t="n">
        <v>0</v>
      </c>
      <c r="K81" t="n">
        <v>0</v>
      </c>
      <c r="L81" t="n">
        <v>0</v>
      </c>
      <c r="M81" t="n">
        <v>0</v>
      </c>
      <c r="N81" t="n">
        <v>0</v>
      </c>
    </row>
    <row r="82">
      <c r="A82" t="inlineStr">
        <is>
          <t>defaults of rent through the pestilence</t>
        </is>
      </c>
      <c r="B82" t="inlineStr">
        <is>
          <t>1.5 acres of assarted land which formerly belonged to stephen godwyne for the aforesaid reason 9pence.</t>
        </is>
      </c>
      <c r="C82" t="n">
        <v>0.04</v>
      </c>
      <c r="D82" t="n">
        <v>0</v>
      </c>
      <c r="E82" t="n">
        <v>0</v>
      </c>
      <c r="F82" t="n">
        <v>9</v>
      </c>
      <c r="H82" t="n">
        <v>0</v>
      </c>
      <c r="I82" t="n">
        <v>0</v>
      </c>
      <c r="J82" t="n">
        <v>0</v>
      </c>
      <c r="K82" t="n">
        <v>0</v>
      </c>
      <c r="L82" t="n">
        <v>0</v>
      </c>
      <c r="M82" t="n">
        <v>0</v>
      </c>
      <c r="N82" t="n">
        <v>0</v>
      </c>
    </row>
    <row r="83">
      <c r="A83" t="inlineStr">
        <is>
          <t>defaults of rent through the pestilence</t>
        </is>
      </c>
      <c r="B83" t="inlineStr">
        <is>
          <t>2 acres of assarted land which formerly belonged to william aumeneye for the aforesaid reason 1 shilling.</t>
        </is>
      </c>
      <c r="C83" t="n">
        <v>0.05</v>
      </c>
      <c r="D83" t="n">
        <v>0</v>
      </c>
      <c r="E83" t="n">
        <v>1</v>
      </c>
      <c r="F83" t="n">
        <v>0</v>
      </c>
      <c r="H83" t="n">
        <v>0</v>
      </c>
      <c r="I83" t="n">
        <v>0</v>
      </c>
      <c r="J83" t="n">
        <v>0</v>
      </c>
      <c r="K83" t="n">
        <v>0</v>
      </c>
      <c r="L83" t="n">
        <v>0</v>
      </c>
      <c r="M83" t="n">
        <v>0</v>
      </c>
      <c r="N83" t="n">
        <v>0</v>
      </c>
    </row>
    <row r="84">
      <c r="A84" t="inlineStr">
        <is>
          <t>defaults of rent through the pestilence</t>
        </is>
      </c>
      <c r="B84" t="inlineStr">
        <is>
          <t>2 acres of assailed land which formerly belonged to william hyckes for the aforesaid reason 1 shilling.</t>
        </is>
      </c>
      <c r="C84" t="n">
        <v>0.05</v>
      </c>
      <c r="D84" t="n">
        <v>0</v>
      </c>
      <c r="E84" t="n">
        <v>1</v>
      </c>
      <c r="F84" t="n">
        <v>0</v>
      </c>
      <c r="H84" t="n">
        <v>0</v>
      </c>
      <c r="I84" t="n">
        <v>0</v>
      </c>
      <c r="J84" t="n">
        <v>0</v>
      </c>
      <c r="K84" t="n">
        <v>0</v>
      </c>
      <c r="L84" t="n">
        <v>0</v>
      </c>
      <c r="M84" t="n">
        <v>0</v>
      </c>
      <c r="N84" t="n">
        <v>0</v>
      </c>
    </row>
    <row r="85">
      <c r="A85" t="inlineStr">
        <is>
          <t>defaults of rent through the pestilence</t>
        </is>
      </c>
      <c r="B85" t="inlineStr">
        <is>
          <t>2 acres of assarted land which formerly belonged to john wheler' for the aforesaid reason 1 shilling.</t>
        </is>
      </c>
      <c r="C85" t="n">
        <v>0.05</v>
      </c>
      <c r="D85" t="n">
        <v>0</v>
      </c>
      <c r="E85" t="n">
        <v>1</v>
      </c>
      <c r="F85" t="n">
        <v>0</v>
      </c>
      <c r="H85" t="n">
        <v>0</v>
      </c>
      <c r="I85" t="n">
        <v>0</v>
      </c>
      <c r="J85" t="n">
        <v>0</v>
      </c>
      <c r="K85" t="n">
        <v>0</v>
      </c>
      <c r="L85" t="n">
        <v>0</v>
      </c>
      <c r="M85" t="n">
        <v>0</v>
      </c>
      <c r="N85" t="n">
        <v>0</v>
      </c>
    </row>
    <row r="86">
      <c r="A86" t="inlineStr">
        <is>
          <t>defaults of rent through the pestilence</t>
        </is>
      </c>
      <c r="B86" t="inlineStr">
        <is>
          <t>4.5 acres of assailed land which formerly belonged to william fen for the aforesaid reason 2 shilling 3pence.</t>
        </is>
      </c>
      <c r="C86" t="n">
        <v>0.11</v>
      </c>
      <c r="D86" t="n">
        <v>0</v>
      </c>
      <c r="E86" t="n">
        <v>2</v>
      </c>
      <c r="F86" t="n">
        <v>3</v>
      </c>
      <c r="H86" t="n">
        <v>0</v>
      </c>
      <c r="I86" t="n">
        <v>0</v>
      </c>
      <c r="J86" t="n">
        <v>0</v>
      </c>
      <c r="K86" t="n">
        <v>0</v>
      </c>
      <c r="L86" t="n">
        <v>0</v>
      </c>
      <c r="M86" t="n">
        <v>0</v>
      </c>
      <c r="N86" t="n">
        <v>0</v>
      </c>
    </row>
    <row r="87">
      <c r="A87" t="inlineStr">
        <is>
          <t>defaults of rent through the pestilence</t>
        </is>
      </c>
      <c r="B87" t="inlineStr">
        <is>
          <t>1 toft and 1 virgate of villein land in halley which belonged to william ernald' for the aforesaid reason 5 shilling.</t>
        </is>
      </c>
      <c r="C87" t="n">
        <v>0.25</v>
      </c>
      <c r="D87" t="n">
        <v>0</v>
      </c>
      <c r="E87" t="n">
        <v>5</v>
      </c>
      <c r="F87" t="n">
        <v>0</v>
      </c>
      <c r="H87" t="n">
        <v>0</v>
      </c>
      <c r="I87" t="n">
        <v>0</v>
      </c>
      <c r="J87" t="n">
        <v>0</v>
      </c>
      <c r="K87" t="n">
        <v>0</v>
      </c>
      <c r="L87" t="n">
        <v>0</v>
      </c>
      <c r="M87" t="n">
        <v>0</v>
      </c>
      <c r="N87" t="n">
        <v>0</v>
      </c>
    </row>
    <row r="88">
      <c r="A88" t="inlineStr">
        <is>
          <t>defaults of rent through the pestilence</t>
        </is>
      </c>
      <c r="B88" t="inlineStr">
        <is>
          <t>2 acres of assarted land which formerly belonged to thomas vyne for the aforesaid reason 1 shilling.</t>
        </is>
      </c>
      <c r="C88" t="n">
        <v>0.05</v>
      </c>
      <c r="D88" t="n">
        <v>0</v>
      </c>
      <c r="E88" t="n">
        <v>1</v>
      </c>
      <c r="F88" t="n">
        <v>0</v>
      </c>
      <c r="H88" t="n">
        <v>0</v>
      </c>
      <c r="I88" t="n">
        <v>0</v>
      </c>
      <c r="J88" t="n">
        <v>0</v>
      </c>
      <c r="K88" t="n">
        <v>0</v>
      </c>
      <c r="L88" t="n">
        <v>0</v>
      </c>
      <c r="M88" t="n">
        <v>0</v>
      </c>
      <c r="N88" t="n">
        <v>0</v>
      </c>
    </row>
    <row r="89">
      <c r="A89" t="inlineStr">
        <is>
          <t>defaults of rent through the pestilence</t>
        </is>
      </c>
      <c r="B89" t="inlineStr">
        <is>
          <t>total, £22 10 shilling 7.25pence.</t>
        </is>
      </c>
      <c r="C89" t="n">
        <v>22.53</v>
      </c>
      <c r="D89" t="n">
        <v>22</v>
      </c>
      <c r="E89" t="n">
        <v>10</v>
      </c>
      <c r="F89" t="n">
        <v>7.25</v>
      </c>
      <c r="H89" t="n">
        <v>0</v>
      </c>
      <c r="I89" t="n">
        <v>0</v>
      </c>
      <c r="J89" t="n">
        <v>0</v>
      </c>
      <c r="K89" t="n">
        <v>0</v>
      </c>
      <c r="L89" t="n">
        <v>0</v>
      </c>
      <c r="M89" t="n">
        <v>0</v>
      </c>
      <c r="N89" t="n">
        <v>0</v>
      </c>
    </row>
    <row r="90">
      <c r="A90" t="inlineStr">
        <is>
          <t>total of quittances and defaults of rent</t>
        </is>
      </c>
      <c r="B90" t="inlineStr">
        <is>
          <t>total of quittances and defaults of rent, £33 6 shilling 6.75pence.</t>
        </is>
      </c>
      <c r="C90" t="n">
        <v>33.33</v>
      </c>
      <c r="D90" t="n">
        <v>33</v>
      </c>
      <c r="E90" t="n">
        <v>6</v>
      </c>
      <c r="F90" t="n">
        <v>6.75</v>
      </c>
      <c r="H90" t="n">
        <v>0</v>
      </c>
      <c r="I90" t="n">
        <v>0</v>
      </c>
      <c r="J90" t="n">
        <v>0</v>
      </c>
      <c r="K90" t="n">
        <v>0</v>
      </c>
      <c r="L90" t="n">
        <v>0</v>
      </c>
      <c r="M90" t="n">
        <v>0</v>
      </c>
      <c r="N90" t="n">
        <v>0</v>
      </c>
    </row>
    <row r="91">
      <c r="A91" t="inlineStr">
        <is>
          <t>total of rents remaining clear</t>
        </is>
      </c>
      <c r="B91" t="inlineStr">
        <is>
          <t>total of rents remaining clear, £43 13 shilling 7pence.</t>
        </is>
      </c>
      <c r="C91" t="n">
        <v>43.68</v>
      </c>
      <c r="D91" t="n">
        <v>43</v>
      </c>
      <c r="E91" t="n">
        <v>13</v>
      </c>
      <c r="F91" t="n">
        <v>7</v>
      </c>
      <c r="H91" t="n">
        <v>0</v>
      </c>
      <c r="I91" t="n">
        <v>0</v>
      </c>
      <c r="J91" t="n">
        <v>0</v>
      </c>
      <c r="K91" t="n">
        <v>0</v>
      </c>
      <c r="L91" t="n">
        <v>0</v>
      </c>
      <c r="M91" t="n">
        <v>0</v>
      </c>
      <c r="N91" t="n">
        <v>0</v>
      </c>
    </row>
    <row r="92">
      <c r="A92" t="inlineStr">
        <is>
          <t>farms</t>
        </is>
      </c>
      <c r="B92" t="inlineStr">
        <is>
          <t>nothing this year for the herbage of a certain meadow pertaining to a certain fulling null formerly of simon atte hacche because it is mown for the use of the lord, and the said meadow was accustomed to be sold for £1 5 shilling.</t>
        </is>
      </c>
      <c r="C92" t="n">
        <v>1.25</v>
      </c>
      <c r="D92" t="n">
        <v>1</v>
      </c>
      <c r="E92" t="n">
        <v>5</v>
      </c>
      <c r="F92" t="n">
        <v>0</v>
      </c>
      <c r="H92" t="n">
        <v>0</v>
      </c>
      <c r="I92" t="n">
        <v>0</v>
      </c>
      <c r="J92" t="n">
        <v>0</v>
      </c>
      <c r="K92" t="n">
        <v>0</v>
      </c>
      <c r="L92" t="n">
        <v>0</v>
      </c>
      <c r="M92" t="n">
        <v>0</v>
      </c>
      <c r="N92" t="n">
        <v>0</v>
      </c>
    </row>
    <row r="93">
      <c r="A93" t="inlineStr">
        <is>
          <t>farms</t>
        </is>
      </c>
      <c r="B93" t="inlineStr">
        <is>
          <t>nothing for the farm of the land pertaining to the aforesaid mill which likewise was let to the said simon because it is in the lord's hands and noone wished to lease it and the pasture of the same is grazed by the lord's sheep.</t>
        </is>
      </c>
      <c r="C93" t="n">
        <v>0</v>
      </c>
      <c r="D93" t="n">
        <v>0</v>
      </c>
      <c r="E93" t="n">
        <v>0</v>
      </c>
      <c r="F93" t="n">
        <v>0</v>
      </c>
      <c r="H93" t="n">
        <v>0</v>
      </c>
      <c r="I93" t="n">
        <v>0</v>
      </c>
      <c r="J93" t="n">
        <v>0</v>
      </c>
      <c r="K93" t="n">
        <v>0</v>
      </c>
      <c r="L93" t="n">
        <v>0</v>
      </c>
      <c r="M93" t="n">
        <v>0</v>
      </c>
      <c r="N93" t="n">
        <v>0</v>
      </c>
    </row>
    <row r="94">
      <c r="A94" t="inlineStr">
        <is>
          <t>farms</t>
        </is>
      </c>
      <c r="B94" t="inlineStr">
        <is>
          <t>£2 13 shilling 4pence for the farm of the corn mill formerly of margery de craule, £2 of it for the ancient farm, demised to william craddok' for the term of his life with the adjacent pasture, and this william will maintain the said mill well and in a suitable state at his own cost for the whole of the aforesaid time, saving that the lord will provide him with enough timber with its carriage for the repair of the said mill.</t>
        </is>
      </c>
      <c r="C94" t="n">
        <v>2.67</v>
      </c>
      <c r="D94" t="n">
        <v>2</v>
      </c>
      <c r="E94" t="n">
        <v>13</v>
      </c>
      <c r="F94" t="n">
        <v>4</v>
      </c>
      <c r="H94" t="n">
        <v>0</v>
      </c>
      <c r="I94" t="n">
        <v>0</v>
      </c>
      <c r="J94" t="n">
        <v>0</v>
      </c>
      <c r="K94" t="n">
        <v>0</v>
      </c>
      <c r="L94" t="n">
        <v>0</v>
      </c>
      <c r="M94" t="n">
        <v>0</v>
      </c>
      <c r="N94" t="n">
        <v>0</v>
      </c>
    </row>
    <row r="95">
      <c r="A95" t="inlineStr">
        <is>
          <t>farms</t>
        </is>
      </c>
      <c r="B95" t="inlineStr">
        <is>
          <t>£7 6 shilling 8pence for the farm of two mills at wodefordesmull' let to william craddok' for the term of his life with the pasture of 4 small hams (hammorum) lying around the mills, and this william will maintain the said mills in a suitable state for the whole of the aforesaid term at his own cost, saving however that the lord will provide him with enough timber both to maintain the mill-house and the said mills, with the carriage of the timber, and also with the millstones with their carriage.</t>
        </is>
      </c>
      <c r="C95" t="n">
        <v>7.33</v>
      </c>
      <c r="D95" t="n">
        <v>7</v>
      </c>
      <c r="E95" t="n">
        <v>6</v>
      </c>
      <c r="F95" t="n">
        <v>8</v>
      </c>
      <c r="H95" t="n">
        <v>0</v>
      </c>
      <c r="I95" t="n">
        <v>0</v>
      </c>
      <c r="J95" t="n">
        <v>0</v>
      </c>
      <c r="K95" t="n">
        <v>0</v>
      </c>
      <c r="L95" t="n">
        <v>0</v>
      </c>
      <c r="M95" t="n">
        <v>0</v>
      </c>
      <c r="N95" t="n">
        <v>0</v>
      </c>
    </row>
    <row r="96">
      <c r="A96" t="inlineStr">
        <is>
          <t>farms</t>
        </is>
      </c>
      <c r="B96" t="inlineStr">
        <is>
          <t>£2 3 shilling 4pence for the farm of the fulling mill called waleysmulle let to william bouer for 12 years, this year being the second.</t>
        </is>
      </c>
      <c r="C96" t="n">
        <v>2.17</v>
      </c>
      <c r="D96" t="n">
        <v>2</v>
      </c>
      <c r="E96" t="n">
        <v>3</v>
      </c>
      <c r="F96" t="n">
        <v>4</v>
      </c>
      <c r="H96" t="n">
        <v>0</v>
      </c>
      <c r="I96" t="n">
        <v>0</v>
      </c>
      <c r="J96" t="n">
        <v>0</v>
      </c>
      <c r="K96" t="n">
        <v>0</v>
      </c>
      <c r="L96" t="n">
        <v>0</v>
      </c>
      <c r="M96" t="n">
        <v>0</v>
      </c>
      <c r="N96" t="n">
        <v>0</v>
      </c>
    </row>
    <row r="97">
      <c r="A97" t="inlineStr">
        <is>
          <t>farms</t>
        </is>
      </c>
      <c r="B97" t="inlineStr">
        <is>
          <t>£1 6 shilling 8pence for the farm of the fishery in wourissh' demised to richard teffunte for the term of his life.</t>
        </is>
      </c>
      <c r="C97" t="n">
        <v>1.33</v>
      </c>
      <c r="D97" t="n">
        <v>1</v>
      </c>
      <c r="E97" t="n">
        <v>6</v>
      </c>
      <c r="F97" t="n">
        <v>8</v>
      </c>
      <c r="H97" t="n">
        <v>0</v>
      </c>
      <c r="I97" t="n">
        <v>0</v>
      </c>
      <c r="J97" t="n">
        <v>0</v>
      </c>
      <c r="K97" t="n">
        <v>0</v>
      </c>
      <c r="L97" t="n">
        <v>0</v>
      </c>
      <c r="M97" t="n">
        <v>0</v>
      </c>
      <c r="N97" t="n">
        <v>0</v>
      </c>
    </row>
    <row r="98">
      <c r="A98" t="inlineStr">
        <is>
          <t>farms</t>
        </is>
      </c>
      <c r="B98" t="inlineStr">
        <is>
          <t>1 shilling 6pence from richard cussum for 3 acres of demesne land in northemorefurlong'.</t>
        </is>
      </c>
      <c r="C98" t="n">
        <v>0.08</v>
      </c>
      <c r="D98" t="n">
        <v>0</v>
      </c>
      <c r="E98" t="n">
        <v>1</v>
      </c>
      <c r="F98" t="n">
        <v>6</v>
      </c>
      <c r="H98" t="n">
        <v>0</v>
      </c>
      <c r="I98" t="n">
        <v>0</v>
      </c>
      <c r="J98" t="n">
        <v>0</v>
      </c>
      <c r="K98" t="n">
        <v>0</v>
      </c>
      <c r="L98" t="n">
        <v>0</v>
      </c>
      <c r="M98" t="n">
        <v>0</v>
      </c>
      <c r="N98" t="n">
        <v>0</v>
      </c>
    </row>
    <row r="99">
      <c r="A99" t="inlineStr">
        <is>
          <t>farms</t>
        </is>
      </c>
      <c r="B99" t="inlineStr">
        <is>
          <t>1 shilling from william whitynton' for 2 acres there.</t>
        </is>
      </c>
      <c r="C99" t="n">
        <v>0.05</v>
      </c>
      <c r="D99" t="n">
        <v>0</v>
      </c>
      <c r="E99" t="n">
        <v>1</v>
      </c>
      <c r="F99" t="n">
        <v>0</v>
      </c>
      <c r="H99" t="n">
        <v>0</v>
      </c>
      <c r="I99" t="n">
        <v>0</v>
      </c>
      <c r="J99" t="n">
        <v>0</v>
      </c>
      <c r="K99" t="n">
        <v>0</v>
      </c>
      <c r="L99" t="n">
        <v>0</v>
      </c>
      <c r="M99" t="n">
        <v>0</v>
      </c>
      <c r="N99" t="n">
        <v>0</v>
      </c>
    </row>
    <row r="100">
      <c r="A100" t="inlineStr">
        <is>
          <t>farms</t>
        </is>
      </c>
      <c r="B100" t="inlineStr">
        <is>
          <t>1 shilling from thomas buttyng' for 2 acres there.</t>
        </is>
      </c>
      <c r="C100" t="n">
        <v>0.05</v>
      </c>
      <c r="D100" t="n">
        <v>0</v>
      </c>
      <c r="E100" t="n">
        <v>1</v>
      </c>
      <c r="F100" t="n">
        <v>0</v>
      </c>
      <c r="H100" t="n">
        <v>0</v>
      </c>
      <c r="I100" t="n">
        <v>0</v>
      </c>
      <c r="J100" t="n">
        <v>0</v>
      </c>
      <c r="K100" t="n">
        <v>0</v>
      </c>
      <c r="L100" t="n">
        <v>0</v>
      </c>
      <c r="M100" t="n">
        <v>0</v>
      </c>
      <c r="N100" t="n">
        <v>0</v>
      </c>
    </row>
    <row r="101">
      <c r="A101" t="inlineStr">
        <is>
          <t>farms</t>
        </is>
      </c>
      <c r="B101" t="inlineStr">
        <is>
          <t>1 shilling from thomas hoppedenye for 2 acres.</t>
        </is>
      </c>
      <c r="C101" t="n">
        <v>0.05</v>
      </c>
      <c r="D101" t="n">
        <v>0</v>
      </c>
      <c r="E101" t="n">
        <v>1</v>
      </c>
      <c r="F101" t="n">
        <v>0</v>
      </c>
      <c r="H101" t="n">
        <v>0</v>
      </c>
      <c r="I101" t="n">
        <v>0</v>
      </c>
      <c r="J101" t="n">
        <v>0</v>
      </c>
      <c r="K101" t="n">
        <v>0</v>
      </c>
      <c r="L101" t="n">
        <v>0</v>
      </c>
      <c r="M101" t="n">
        <v>0</v>
      </c>
      <c r="N101" t="n">
        <v>0</v>
      </c>
    </row>
    <row r="102">
      <c r="A102" t="inlineStr">
        <is>
          <t>farms</t>
        </is>
      </c>
      <c r="B102" t="inlineStr">
        <is>
          <t>1 shilling from simon strete for 2 acres there.</t>
        </is>
      </c>
      <c r="C102" t="n">
        <v>0.05</v>
      </c>
      <c r="D102" t="n">
        <v>0</v>
      </c>
      <c r="E102" t="n">
        <v>1</v>
      </c>
      <c r="F102" t="n">
        <v>0</v>
      </c>
      <c r="H102" t="n">
        <v>0</v>
      </c>
      <c r="I102" t="n">
        <v>0</v>
      </c>
      <c r="J102" t="n">
        <v>0</v>
      </c>
      <c r="K102" t="n">
        <v>0</v>
      </c>
      <c r="L102" t="n">
        <v>0</v>
      </c>
      <c r="M102" t="n">
        <v>0</v>
      </c>
      <c r="N102" t="n">
        <v>0</v>
      </c>
    </row>
    <row r="103">
      <c r="A103" t="inlineStr">
        <is>
          <t>farms</t>
        </is>
      </c>
      <c r="B103" t="inlineStr">
        <is>
          <t>1 shilling from john hood' the younger for 2 acres there.</t>
        </is>
      </c>
      <c r="C103" t="n">
        <v>0.05</v>
      </c>
      <c r="D103" t="n">
        <v>0</v>
      </c>
      <c r="E103" t="n">
        <v>1</v>
      </c>
      <c r="F103" t="n">
        <v>0</v>
      </c>
      <c r="H103" t="n">
        <v>0</v>
      </c>
      <c r="I103" t="n">
        <v>0</v>
      </c>
      <c r="J103" t="n">
        <v>0</v>
      </c>
      <c r="K103" t="n">
        <v>0</v>
      </c>
      <c r="L103" t="n">
        <v>0</v>
      </c>
      <c r="M103" t="n">
        <v>0</v>
      </c>
      <c r="N103" t="n">
        <v>0</v>
      </c>
    </row>
    <row r="104">
      <c r="A104" t="inlineStr">
        <is>
          <t>farms</t>
        </is>
      </c>
      <c r="B104" t="inlineStr">
        <is>
          <t>nothing of the 6pence from nicholas gille for 1 acre there because he abandoned it.</t>
        </is>
      </c>
      <c r="C104" t="n">
        <v>0.03</v>
      </c>
      <c r="D104" t="n">
        <v>0</v>
      </c>
      <c r="E104" t="n">
        <v>0</v>
      </c>
      <c r="F104" t="n">
        <v>6</v>
      </c>
      <c r="H104" t="n">
        <v>0</v>
      </c>
      <c r="I104" t="n">
        <v>0</v>
      </c>
      <c r="J104" t="n">
        <v>0</v>
      </c>
      <c r="K104" t="n">
        <v>0</v>
      </c>
      <c r="L104" t="n">
        <v>0</v>
      </c>
      <c r="M104" t="n">
        <v>0</v>
      </c>
      <c r="N104" t="n">
        <v>0</v>
      </c>
    </row>
    <row r="105">
      <c r="A105" t="inlineStr">
        <is>
          <t>farms</t>
        </is>
      </c>
      <c r="B105" t="inlineStr">
        <is>
          <t>1 shilling 7.5pence from thomas hoppedenye for 3 acres 1 rood there, saving therefrom to the lord the pasture of all the aforesaid acres at fallow and after the reaping of the corn.</t>
        </is>
      </c>
      <c r="C105" t="n">
        <v>0.08</v>
      </c>
      <c r="D105" t="n">
        <v>0</v>
      </c>
      <c r="E105" t="n">
        <v>1</v>
      </c>
      <c r="F105" t="n">
        <v>7.5</v>
      </c>
      <c r="H105" t="n">
        <v>0</v>
      </c>
      <c r="I105" t="n">
        <v>0</v>
      </c>
      <c r="J105" t="n">
        <v>0</v>
      </c>
      <c r="K105" t="n">
        <v>0</v>
      </c>
      <c r="L105" t="n">
        <v>0</v>
      </c>
      <c r="M105" t="n">
        <v>0</v>
      </c>
      <c r="N105" t="n">
        <v>0</v>
      </c>
    </row>
    <row r="106">
      <c r="A106" t="inlineStr">
        <is>
          <t>farms</t>
        </is>
      </c>
      <c r="B106" t="inlineStr">
        <is>
          <t>£1 3 shilling 4pence from john bergh' and richard dougel for 40 acres of demesne land called inlondes, together with the adjacent meadow between the said land and wourissh', let to the same john and richard for 20 years, this year being the sixth, on condition that the aforesaid john and richard will provide and pay for, both in winter and in summer, the livery and stipend of 1 shepherd who keeps the lord's sheep which sleep on the said land, and also make hurdles from the lord's withies for the fold of the said sheep whenever it was necessary and carry these from the wood at their own cost.</t>
        </is>
      </c>
      <c r="C106" t="n">
        <v>1.17</v>
      </c>
      <c r="D106" t="n">
        <v>1</v>
      </c>
      <c r="E106" t="n">
        <v>3</v>
      </c>
      <c r="F106" t="n">
        <v>4</v>
      </c>
      <c r="H106" t="n">
        <v>0</v>
      </c>
      <c r="I106" t="n">
        <v>0</v>
      </c>
      <c r="J106" t="n">
        <v>0</v>
      </c>
      <c r="K106" t="n">
        <v>0</v>
      </c>
      <c r="L106" t="n">
        <v>0</v>
      </c>
      <c r="M106" t="n">
        <v>0</v>
      </c>
      <c r="N106" t="n">
        <v>0</v>
      </c>
    </row>
    <row r="107">
      <c r="A107" t="inlineStr">
        <is>
          <t>farms</t>
        </is>
      </c>
      <c r="B107" t="inlineStr">
        <is>
          <t>£2 for the farm of the land and tenement recently of thomas crudebr' demised to thomas ferm' for 20 years, this year being the sixth, to be paid at the 4 terms of the year, on top of the ancient rent paid to the lord of 14 shilling 6.75pence.</t>
        </is>
      </c>
      <c r="C107" t="n">
        <v>2</v>
      </c>
      <c r="D107" t="n">
        <v>2</v>
      </c>
      <c r="E107" t="n">
        <v>0</v>
      </c>
      <c r="F107" t="n">
        <v>0</v>
      </c>
      <c r="H107" t="n">
        <v>0</v>
      </c>
      <c r="I107" t="n">
        <v>0</v>
      </c>
      <c r="J107" t="n">
        <v>0</v>
      </c>
      <c r="K107" t="n">
        <v>0</v>
      </c>
      <c r="L107" t="n">
        <v>0</v>
      </c>
      <c r="M107" t="n">
        <v>0</v>
      </c>
      <c r="N107" t="n">
        <v>0</v>
      </c>
    </row>
    <row r="108">
      <c r="A108" t="inlineStr">
        <is>
          <t>farms</t>
        </is>
      </c>
      <c r="B108" t="inlineStr">
        <is>
          <t>2 shilling 8pence from the same thomas for 1 croft beside borule called bilbardesput and 1 toft beside the tenement recently of robert kyng' in curbridge, demised to the same thomas for the aforesaid term, at the 4 terms of the year.</t>
        </is>
      </c>
      <c r="C108" t="n">
        <v>0.13</v>
      </c>
      <c r="D108" t="n">
        <v>0</v>
      </c>
      <c r="E108" t="n">
        <v>2</v>
      </c>
      <c r="F108" t="n">
        <v>8</v>
      </c>
      <c r="H108" t="n">
        <v>0</v>
      </c>
      <c r="I108" t="n">
        <v>0</v>
      </c>
      <c r="J108" t="n">
        <v>0</v>
      </c>
      <c r="K108" t="n">
        <v>0</v>
      </c>
      <c r="L108" t="n">
        <v>0</v>
      </c>
      <c r="M108" t="n">
        <v>0</v>
      </c>
      <c r="N108" t="n">
        <v>0</v>
      </c>
    </row>
    <row r="109">
      <c r="A109" t="inlineStr">
        <is>
          <t>farms</t>
        </is>
      </c>
      <c r="B109" t="inlineStr">
        <is>
          <t>£1 6 shilling 8pence from john colyns for the land and tenement which recently belonged to thomas austyn in crawley, together with 31 acres of assarted land and a certain parcel of meadow called hardenham, demised to the same john for 20 years, this year being the sixth, to be paid at the 4 terms of the year.</t>
        </is>
      </c>
      <c r="C109" t="n">
        <v>1.33</v>
      </c>
      <c r="D109" t="n">
        <v>1</v>
      </c>
      <c r="E109" t="n">
        <v>6</v>
      </c>
      <c r="F109" t="n">
        <v>8</v>
      </c>
      <c r="H109" t="n">
        <v>0</v>
      </c>
      <c r="I109" t="n">
        <v>0</v>
      </c>
      <c r="J109" t="n">
        <v>0</v>
      </c>
      <c r="K109" t="n">
        <v>0</v>
      </c>
      <c r="L109" t="n">
        <v>0</v>
      </c>
      <c r="M109" t="n">
        <v>0</v>
      </c>
      <c r="N109" t="n">
        <v>0</v>
      </c>
    </row>
    <row r="110">
      <c r="A110" t="inlineStr">
        <is>
          <t>farms</t>
        </is>
      </c>
      <c r="B110" t="inlineStr">
        <is>
          <t>£1 4 shilling for the farm of the lands and tenement called rokesplace, demised to william gille for the term of his life, to be paid at the 4 terms of the year.</t>
        </is>
      </c>
      <c r="C110" t="n">
        <v>1.2</v>
      </c>
      <c r="D110" t="n">
        <v>1</v>
      </c>
      <c r="E110" t="n">
        <v>4</v>
      </c>
      <c r="F110" t="n">
        <v>0</v>
      </c>
      <c r="H110" t="n">
        <v>0</v>
      </c>
      <c r="I110" t="n">
        <v>0</v>
      </c>
      <c r="J110" t="n">
        <v>0</v>
      </c>
      <c r="K110" t="n">
        <v>0</v>
      </c>
      <c r="L110" t="n">
        <v>0</v>
      </c>
      <c r="M110" t="n">
        <v>0</v>
      </c>
      <c r="N110" t="n">
        <v>0</v>
      </c>
    </row>
    <row r="111">
      <c r="A111" t="inlineStr">
        <is>
          <t>farms</t>
        </is>
      </c>
      <c r="B111" t="inlineStr">
        <is>
          <t>£1 3 shilling 1pence from thomas, son of john whelar', and others who hold the lands and tenements recently of eustace de haille and robert noble in hailey, on top of the fixed rent of 14 shilling 6pence charged in the chief rents above, to be paid at the 4 terms of the year, and of which they hold the fixed rent in fee for 13 shilling 9.5pence a year and not more because whereas john whelar' the elder was accustomed to pay 9 shilling for the year for 1 croft, it is now in the lord's hands through the death of the same john and demised at farm for 3 shilling 4pence.</t>
        </is>
      </c>
      <c r="C111" t="n">
        <v>1.15</v>
      </c>
      <c r="D111" t="n">
        <v>1</v>
      </c>
      <c r="E111" t="n">
        <v>3</v>
      </c>
      <c r="F111" t="n">
        <v>1</v>
      </c>
      <c r="H111" t="n">
        <v>0</v>
      </c>
      <c r="I111" t="n">
        <v>0</v>
      </c>
      <c r="J111" t="n">
        <v>0</v>
      </c>
      <c r="K111" t="n">
        <v>0</v>
      </c>
      <c r="L111" t="n">
        <v>0</v>
      </c>
      <c r="M111" t="n">
        <v>0</v>
      </c>
      <c r="N111" t="n">
        <v>0</v>
      </c>
    </row>
    <row r="112">
      <c r="A112" t="inlineStr">
        <is>
          <t>farms</t>
        </is>
      </c>
      <c r="B112" t="inlineStr">
        <is>
          <t>3pence from william gille for 3 roods of demesne land in asshefurlong' beside the king's highway.</t>
        </is>
      </c>
      <c r="C112" t="n">
        <v>0.01</v>
      </c>
      <c r="D112" t="n">
        <v>0</v>
      </c>
      <c r="E112" t="n">
        <v>0</v>
      </c>
      <c r="F112" t="n">
        <v>3</v>
      </c>
      <c r="H112" t="n">
        <v>0</v>
      </c>
      <c r="I112" t="n">
        <v>0</v>
      </c>
      <c r="J112" t="n">
        <v>0</v>
      </c>
      <c r="K112" t="n">
        <v>0</v>
      </c>
      <c r="L112" t="n">
        <v>0</v>
      </c>
      <c r="M112" t="n">
        <v>0</v>
      </c>
      <c r="N112" t="n">
        <v>0</v>
      </c>
    </row>
    <row r="113">
      <c r="A113" t="inlineStr">
        <is>
          <t>farms</t>
        </is>
      </c>
      <c r="B113" t="inlineStr">
        <is>
          <t>1 shilling 10pence from william walisshman for 5.5 acres there.</t>
        </is>
      </c>
      <c r="C113" t="n">
        <v>0.09</v>
      </c>
      <c r="D113" t="n">
        <v>0</v>
      </c>
      <c r="E113" t="n">
        <v>1</v>
      </c>
      <c r="F113" t="n">
        <v>10</v>
      </c>
      <c r="H113" t="n">
        <v>0</v>
      </c>
      <c r="I113" t="n">
        <v>0</v>
      </c>
      <c r="J113" t="n">
        <v>0</v>
      </c>
      <c r="K113" t="n">
        <v>0</v>
      </c>
      <c r="L113" t="n">
        <v>0</v>
      </c>
      <c r="M113" t="n">
        <v>0</v>
      </c>
      <c r="N113" t="n">
        <v>0</v>
      </c>
    </row>
    <row r="114">
      <c r="A114" t="inlineStr">
        <is>
          <t>farms</t>
        </is>
      </c>
      <c r="B114" t="inlineStr">
        <is>
          <t>6pence from richard taberere for 1.5 acres there.</t>
        </is>
      </c>
      <c r="C114" t="n">
        <v>0.03</v>
      </c>
      <c r="D114" t="n">
        <v>0</v>
      </c>
      <c r="E114" t="n">
        <v>0</v>
      </c>
      <c r="F114" t="n">
        <v>6</v>
      </c>
      <c r="H114" t="n">
        <v>0</v>
      </c>
      <c r="I114" t="n">
        <v>0</v>
      </c>
      <c r="J114" t="n">
        <v>0</v>
      </c>
      <c r="K114" t="n">
        <v>0</v>
      </c>
      <c r="L114" t="n">
        <v>0</v>
      </c>
      <c r="M114" t="n">
        <v>0</v>
      </c>
      <c r="N114" t="n">
        <v>0</v>
      </c>
    </row>
    <row r="115">
      <c r="A115" t="inlineStr">
        <is>
          <t>farms</t>
        </is>
      </c>
      <c r="B115" t="inlineStr">
        <is>
          <t>8pence from alice cok' for 2 acres there.</t>
        </is>
      </c>
      <c r="C115" t="n">
        <v>0.03</v>
      </c>
      <c r="D115" t="n">
        <v>0</v>
      </c>
      <c r="E115" t="n">
        <v>0</v>
      </c>
      <c r="F115" t="n">
        <v>8</v>
      </c>
      <c r="H115" t="n">
        <v>0</v>
      </c>
      <c r="I115" t="n">
        <v>0</v>
      </c>
      <c r="J115" t="n">
        <v>0</v>
      </c>
      <c r="K115" t="n">
        <v>0</v>
      </c>
      <c r="L115" t="n">
        <v>0</v>
      </c>
      <c r="M115" t="n">
        <v>0</v>
      </c>
      <c r="N115" t="n">
        <v>0</v>
      </c>
    </row>
    <row r="116">
      <c r="A116" t="inlineStr">
        <is>
          <t>farms</t>
        </is>
      </c>
      <c r="B116" t="inlineStr">
        <is>
          <t>1 shilling 8pence from william whitynton' for 5 acres there and not more because 1 acre is in the lord's hands through the death of john whitynton'.</t>
        </is>
      </c>
      <c r="C116" t="n">
        <v>0.08</v>
      </c>
      <c r="D116" t="n">
        <v>0</v>
      </c>
      <c r="E116" t="n">
        <v>1</v>
      </c>
      <c r="F116" t="n">
        <v>8</v>
      </c>
      <c r="H116" t="n">
        <v>0</v>
      </c>
      <c r="I116" t="n">
        <v>0</v>
      </c>
      <c r="J116" t="n">
        <v>0</v>
      </c>
      <c r="K116" t="n">
        <v>0</v>
      </c>
      <c r="L116" t="n">
        <v>0</v>
      </c>
      <c r="M116" t="n">
        <v>0</v>
      </c>
      <c r="N116" t="n">
        <v>0</v>
      </c>
    </row>
    <row r="117">
      <c r="A117" t="inlineStr">
        <is>
          <t>farms</t>
        </is>
      </c>
      <c r="B117" t="inlineStr">
        <is>
          <t>1 shilling 4pence from john chaloner for 4 acres there, saving therefrom to the lord the pasture of all the aforesaid acres in asshefurlong' at fallow and after the reaping of the corn.</t>
        </is>
      </c>
      <c r="C117" t="n">
        <v>0.07000000000000001</v>
      </c>
      <c r="D117" t="n">
        <v>0</v>
      </c>
      <c r="E117" t="n">
        <v>1</v>
      </c>
      <c r="F117" t="n">
        <v>4</v>
      </c>
      <c r="H117" t="n">
        <v>0</v>
      </c>
      <c r="I117" t="n">
        <v>0</v>
      </c>
      <c r="J117" t="n">
        <v>0</v>
      </c>
      <c r="K117" t="n">
        <v>0</v>
      </c>
      <c r="L117" t="n">
        <v>0</v>
      </c>
      <c r="M117" t="n">
        <v>0</v>
      </c>
      <c r="N117" t="n">
        <v>0</v>
      </c>
    </row>
    <row r="118">
      <c r="A118" t="inlineStr">
        <is>
          <t>farms</t>
        </is>
      </c>
      <c r="B118" t="inlineStr">
        <is>
          <t>£1 13 shilling 4pence for the farm of 1 messuage and 1 hide of land recently of john crudebr' in caswell.</t>
        </is>
      </c>
      <c r="C118" t="n">
        <v>1.67</v>
      </c>
      <c r="D118" t="n">
        <v>1</v>
      </c>
      <c r="E118" t="n">
        <v>13</v>
      </c>
      <c r="F118" t="n">
        <v>4</v>
      </c>
      <c r="H118" t="n">
        <v>0</v>
      </c>
      <c r="I118" t="n">
        <v>0</v>
      </c>
      <c r="J118" t="n">
        <v>0</v>
      </c>
      <c r="K118" t="n">
        <v>0</v>
      </c>
      <c r="L118" t="n">
        <v>0</v>
      </c>
      <c r="M118" t="n">
        <v>0</v>
      </c>
      <c r="N118" t="n">
        <v>0</v>
      </c>
    </row>
    <row r="119">
      <c r="A119" t="inlineStr">
        <is>
          <t>farms</t>
        </is>
      </c>
      <c r="B119" t="inlineStr">
        <is>
          <t>nothing of the 8 shilling from michael asshebury for 1 croft called hidecroft because that rent is charged above in rents of assize because it is an ancient rent.</t>
        </is>
      </c>
      <c r="C119" t="n">
        <v>0.4</v>
      </c>
      <c r="D119" t="n">
        <v>0</v>
      </c>
      <c r="E119" t="n">
        <v>8</v>
      </c>
      <c r="F119" t="n">
        <v>0</v>
      </c>
      <c r="H119" t="n">
        <v>0</v>
      </c>
      <c r="I119" t="n">
        <v>0</v>
      </c>
      <c r="J119" t="n">
        <v>0</v>
      </c>
      <c r="K119" t="n">
        <v>0</v>
      </c>
      <c r="L119" t="n">
        <v>0</v>
      </c>
      <c r="M119" t="n">
        <v>0</v>
      </c>
      <c r="N119" t="n">
        <v>0</v>
      </c>
    </row>
    <row r="120">
      <c r="A120" t="inlineStr">
        <is>
          <t>farms</t>
        </is>
      </c>
      <c r="B120" t="inlineStr">
        <is>
          <t>total, £22 17 shilling 5.5pence.</t>
        </is>
      </c>
      <c r="C120" t="n">
        <v>22.87</v>
      </c>
      <c r="D120" t="n">
        <v>22</v>
      </c>
      <c r="E120" t="n">
        <v>17</v>
      </c>
      <c r="F120" t="n">
        <v>5.5</v>
      </c>
      <c r="H120" t="n">
        <v>0</v>
      </c>
      <c r="I120" t="n">
        <v>0</v>
      </c>
      <c r="J120" t="n">
        <v>0</v>
      </c>
      <c r="K120" t="n">
        <v>0</v>
      </c>
      <c r="L120" t="n">
        <v>0</v>
      </c>
      <c r="M120" t="n">
        <v>0</v>
      </c>
      <c r="N120" t="n">
        <v>0</v>
      </c>
    </row>
    <row r="121">
      <c r="A121" t="inlineStr">
        <is>
          <t>issues of the manor</t>
        </is>
      </c>
      <c r="B121" t="inlineStr">
        <is>
          <t>and for 3 shilling 6pence from the pannage of the pigs of the customary tenants at martinmas.</t>
        </is>
      </c>
      <c r="C121" t="n">
        <v>0.17</v>
      </c>
      <c r="D121" t="n">
        <v>0</v>
      </c>
      <c r="E121" t="n">
        <v>3</v>
      </c>
      <c r="F121" t="n">
        <v>6</v>
      </c>
      <c r="H121" t="n">
        <v>0</v>
      </c>
      <c r="I121" t="n">
        <v>0</v>
      </c>
      <c r="J121" t="n">
        <v>0</v>
      </c>
      <c r="K121" t="n">
        <v>0</v>
      </c>
      <c r="L121" t="n">
        <v>0</v>
      </c>
      <c r="M121" t="n">
        <v>0</v>
      </c>
      <c r="N121" t="n">
        <v>0</v>
      </c>
    </row>
    <row r="122">
      <c r="A122" t="inlineStr">
        <is>
          <t>issues of the manor</t>
        </is>
      </c>
      <c r="B122" t="inlineStr">
        <is>
          <t>nothing from the pannage of the pigs of the borough because noone had pigs outsidevthe borough.</t>
        </is>
      </c>
      <c r="C122" t="n">
        <v>0</v>
      </c>
      <c r="D122" t="n">
        <v>0</v>
      </c>
      <c r="E122" t="n">
        <v>0</v>
      </c>
      <c r="F122" t="n">
        <v>0</v>
      </c>
      <c r="H122" t="n">
        <v>0</v>
      </c>
      <c r="I122" t="n">
        <v>0</v>
      </c>
      <c r="J122" t="n">
        <v>0</v>
      </c>
      <c r="K122" t="n">
        <v>0</v>
      </c>
      <c r="L122" t="n">
        <v>0</v>
      </c>
      <c r="M122" t="n">
        <v>0</v>
      </c>
      <c r="N122" t="n">
        <v>0</v>
      </c>
    </row>
    <row r="123">
      <c r="A123" t="inlineStr">
        <is>
          <t>issues of the manor</t>
        </is>
      </c>
      <c r="B123" t="inlineStr">
        <is>
          <t>nothing from the pannage of pigs in the park because it is demised at farmvwith the pasture of the same as made clear below.</t>
        </is>
      </c>
      <c r="C123" t="n">
        <v>0</v>
      </c>
      <c r="D123" t="n">
        <v>0</v>
      </c>
      <c r="E123" t="n">
        <v>0</v>
      </c>
      <c r="F123" t="n">
        <v>0</v>
      </c>
      <c r="H123" t="n">
        <v>0</v>
      </c>
      <c r="I123" t="n">
        <v>0</v>
      </c>
      <c r="J123" t="n">
        <v>0</v>
      </c>
      <c r="K123" t="n">
        <v>0</v>
      </c>
      <c r="L123" t="n">
        <v>0</v>
      </c>
      <c r="M123" t="n">
        <v>0</v>
      </c>
      <c r="N123" t="n">
        <v>0</v>
      </c>
    </row>
    <row r="124">
      <c r="A124" t="inlineStr">
        <is>
          <t>issues of the manor</t>
        </is>
      </c>
      <c r="B124" t="inlineStr">
        <is>
          <t>nothing from the agistment of animals in winter in the meadow of fulneye and behind the garden because it pertains to the farmer.</t>
        </is>
      </c>
      <c r="C124" t="n">
        <v>0</v>
      </c>
      <c r="D124" t="n">
        <v>0</v>
      </c>
      <c r="E124" t="n">
        <v>0</v>
      </c>
      <c r="F124" t="n">
        <v>0</v>
      </c>
      <c r="H124" t="n">
        <v>0</v>
      </c>
      <c r="I124" t="n">
        <v>0</v>
      </c>
      <c r="J124" t="n">
        <v>0</v>
      </c>
      <c r="K124" t="n">
        <v>0</v>
      </c>
      <c r="L124" t="n">
        <v>0</v>
      </c>
      <c r="M124" t="n">
        <v>0</v>
      </c>
      <c r="N124" t="n">
        <v>0</v>
      </c>
    </row>
    <row r="125">
      <c r="A125" t="inlineStr">
        <is>
          <t>issues of the manor</t>
        </is>
      </c>
      <c r="B125" t="inlineStr">
        <is>
          <t>nothing from the agistment of calves in calfcroftes for the aforesaid reason.</t>
        </is>
      </c>
      <c r="C125" t="n">
        <v>0</v>
      </c>
      <c r="D125" t="n">
        <v>0</v>
      </c>
      <c r="E125" t="n">
        <v>0</v>
      </c>
      <c r="F125" t="n">
        <v>0</v>
      </c>
      <c r="H125" t="n">
        <v>0</v>
      </c>
      <c r="I125" t="n">
        <v>0</v>
      </c>
      <c r="J125" t="n">
        <v>0</v>
      </c>
      <c r="K125" t="n">
        <v>0</v>
      </c>
      <c r="L125" t="n">
        <v>0</v>
      </c>
      <c r="M125" t="n">
        <v>0</v>
      </c>
      <c r="N125" t="n">
        <v>0</v>
      </c>
    </row>
    <row r="126">
      <c r="A126" t="inlineStr">
        <is>
          <t>issues of the manor</t>
        </is>
      </c>
      <c r="B126" t="inlineStr">
        <is>
          <t>nothing from winter pasturage in borewell' and the outer (forarum) fields for the aforesaid reason.</t>
        </is>
      </c>
      <c r="C126" t="n">
        <v>0</v>
      </c>
      <c r="D126" t="n">
        <v>0</v>
      </c>
      <c r="E126" t="n">
        <v>0</v>
      </c>
      <c r="F126" t="n">
        <v>0</v>
      </c>
      <c r="H126" t="n">
        <v>0</v>
      </c>
      <c r="I126" t="n">
        <v>0</v>
      </c>
      <c r="J126" t="n">
        <v>0</v>
      </c>
      <c r="K126" t="n">
        <v>0</v>
      </c>
      <c r="L126" t="n">
        <v>0</v>
      </c>
      <c r="M126" t="n">
        <v>0</v>
      </c>
      <c r="N126" t="n">
        <v>0</v>
      </c>
    </row>
    <row r="127">
      <c r="A127" t="inlineStr">
        <is>
          <t>issues of the manor</t>
        </is>
      </c>
      <c r="B127" t="inlineStr">
        <is>
          <t>nothing from winter pasturage in vyneheyes for the aforesaid reason.</t>
        </is>
      </c>
      <c r="C127" t="n">
        <v>0</v>
      </c>
      <c r="D127" t="n">
        <v>0</v>
      </c>
      <c r="E127" t="n">
        <v>0</v>
      </c>
      <c r="F127" t="n">
        <v>0</v>
      </c>
      <c r="H127" t="n">
        <v>0</v>
      </c>
      <c r="I127" t="n">
        <v>0</v>
      </c>
      <c r="J127" t="n">
        <v>0</v>
      </c>
      <c r="K127" t="n">
        <v>0</v>
      </c>
      <c r="L127" t="n">
        <v>0</v>
      </c>
      <c r="M127" t="n">
        <v>0</v>
      </c>
      <c r="N127" t="n">
        <v>0</v>
      </c>
    </row>
    <row r="128">
      <c r="A128" t="inlineStr">
        <is>
          <t>issues of the manor</t>
        </is>
      </c>
      <c r="B128" t="inlineStr">
        <is>
          <t>nothing from the pasturage beside the dovecote for the aforesaid reason.</t>
        </is>
      </c>
      <c r="C128" t="n">
        <v>0</v>
      </c>
      <c r="D128" t="n">
        <v>0</v>
      </c>
      <c r="E128" t="n">
        <v>0</v>
      </c>
      <c r="F128" t="n">
        <v>0</v>
      </c>
      <c r="H128" t="n">
        <v>0</v>
      </c>
      <c r="I128" t="n">
        <v>0</v>
      </c>
      <c r="J128" t="n">
        <v>0</v>
      </c>
      <c r="K128" t="n">
        <v>0</v>
      </c>
      <c r="L128" t="n">
        <v>0</v>
      </c>
      <c r="M128" t="n">
        <v>0</v>
      </c>
      <c r="N128" t="n">
        <v>0</v>
      </c>
    </row>
    <row r="129">
      <c r="A129" t="inlineStr">
        <is>
          <t>issues of the manor</t>
        </is>
      </c>
      <c r="B129" t="inlineStr">
        <is>
          <t>nothing from winter pasturage in haukefeld' because it is grazed by the lord's sheep.</t>
        </is>
      </c>
      <c r="C129" t="n">
        <v>0</v>
      </c>
      <c r="D129" t="n">
        <v>0</v>
      </c>
      <c r="E129" t="n">
        <v>0</v>
      </c>
      <c r="F129" t="n">
        <v>0</v>
      </c>
      <c r="H129" t="n">
        <v>0</v>
      </c>
      <c r="I129" t="n">
        <v>0</v>
      </c>
      <c r="J129" t="n">
        <v>0</v>
      </c>
      <c r="K129" t="n">
        <v>0</v>
      </c>
      <c r="L129" t="n">
        <v>0</v>
      </c>
      <c r="M129" t="n">
        <v>0</v>
      </c>
      <c r="N129" t="n">
        <v>0</v>
      </c>
    </row>
    <row r="130">
      <c r="A130" t="inlineStr">
        <is>
          <t>issues of the manor</t>
        </is>
      </c>
      <c r="B130" t="inlineStr">
        <is>
          <t>nothing from the sale of pasturage in northemore because it pertains to the fanner.</t>
        </is>
      </c>
      <c r="C130" t="n">
        <v>0</v>
      </c>
      <c r="D130" t="n">
        <v>0</v>
      </c>
      <c r="E130" t="n">
        <v>0</v>
      </c>
      <c r="F130" t="n">
        <v>0</v>
      </c>
      <c r="H130" t="n">
        <v>0</v>
      </c>
      <c r="I130" t="n">
        <v>0</v>
      </c>
      <c r="J130" t="n">
        <v>0</v>
      </c>
      <c r="K130" t="n">
        <v>0</v>
      </c>
      <c r="L130" t="n">
        <v>0</v>
      </c>
      <c r="M130" t="n">
        <v>0</v>
      </c>
      <c r="N130" t="n">
        <v>0</v>
      </c>
    </row>
    <row r="131">
      <c r="A131" t="inlineStr">
        <is>
          <t>issues of the manor</t>
        </is>
      </c>
      <c r="B131" t="inlineStr">
        <is>
          <t>nothing from the herbage in mulleham because it is mown for the lord's use, and it was accustomed to be sold for £1 6pence.</t>
        </is>
      </c>
      <c r="C131" t="n">
        <v>1.02</v>
      </c>
      <c r="D131" t="n">
        <v>1</v>
      </c>
      <c r="E131" t="n">
        <v>0</v>
      </c>
      <c r="F131" t="n">
        <v>6</v>
      </c>
      <c r="H131" t="n">
        <v>0</v>
      </c>
      <c r="I131" t="n">
        <v>0</v>
      </c>
      <c r="J131" t="n">
        <v>0</v>
      </c>
      <c r="K131" t="n">
        <v>0</v>
      </c>
      <c r="L131" t="n">
        <v>0</v>
      </c>
      <c r="M131" t="n">
        <v>0</v>
      </c>
      <c r="N131" t="n">
        <v>0</v>
      </c>
    </row>
    <row r="132">
      <c r="A132" t="inlineStr">
        <is>
          <t>issues of the manor</t>
        </is>
      </c>
      <c r="B132" t="inlineStr">
        <is>
          <t>nothing from the pasturage in mulleham for the aforesaid reason.</t>
        </is>
      </c>
      <c r="C132" t="n">
        <v>0</v>
      </c>
      <c r="D132" t="n">
        <v>0</v>
      </c>
      <c r="E132" t="n">
        <v>0</v>
      </c>
      <c r="F132" t="n">
        <v>0</v>
      </c>
      <c r="H132" t="n">
        <v>0</v>
      </c>
      <c r="I132" t="n">
        <v>0</v>
      </c>
      <c r="J132" t="n">
        <v>0</v>
      </c>
      <c r="K132" t="n">
        <v>0</v>
      </c>
      <c r="L132" t="n">
        <v>0</v>
      </c>
      <c r="M132" t="n">
        <v>0</v>
      </c>
      <c r="N132" t="n">
        <v>0</v>
      </c>
    </row>
    <row r="133">
      <c r="A133" t="inlineStr">
        <is>
          <t>issues of the manor</t>
        </is>
      </c>
      <c r="B133" t="inlineStr">
        <is>
          <t>nothing from the herbage in small thorneye because it pertains to the farmer.</t>
        </is>
      </c>
      <c r="C133" t="n">
        <v>0</v>
      </c>
      <c r="D133" t="n">
        <v>0</v>
      </c>
      <c r="E133" t="n">
        <v>0</v>
      </c>
      <c r="F133" t="n">
        <v>0</v>
      </c>
      <c r="H133" t="n">
        <v>0</v>
      </c>
      <c r="I133" t="n">
        <v>0</v>
      </c>
      <c r="J133" t="n">
        <v>0</v>
      </c>
      <c r="K133" t="n">
        <v>0</v>
      </c>
      <c r="L133" t="n">
        <v>0</v>
      </c>
      <c r="M133" t="n">
        <v>0</v>
      </c>
      <c r="N133" t="n">
        <v>0</v>
      </c>
    </row>
    <row r="134">
      <c r="A134" t="inlineStr">
        <is>
          <t>issues of the manor</t>
        </is>
      </c>
      <c r="B134" t="inlineStr">
        <is>
          <t>nothing from the rowen of the said meadow for the aforesaid reason.</t>
        </is>
      </c>
      <c r="C134" t="n">
        <v>0</v>
      </c>
      <c r="D134" t="n">
        <v>0</v>
      </c>
      <c r="E134" t="n">
        <v>0</v>
      </c>
      <c r="F134" t="n">
        <v>0</v>
      </c>
      <c r="H134" t="n">
        <v>0</v>
      </c>
      <c r="I134" t="n">
        <v>0</v>
      </c>
      <c r="J134" t="n">
        <v>0</v>
      </c>
      <c r="K134" t="n">
        <v>0</v>
      </c>
      <c r="L134" t="n">
        <v>0</v>
      </c>
      <c r="M134" t="n">
        <v>0</v>
      </c>
      <c r="N134" t="n">
        <v>0</v>
      </c>
    </row>
    <row r="135">
      <c r="A135" t="inlineStr">
        <is>
          <t>issues of the manor</t>
        </is>
      </c>
      <c r="B135" t="inlineStr">
        <is>
          <t>nothing from the pasturage of the small hams beside the door of waleysmull' for the aforesaid reason.</t>
        </is>
      </c>
      <c r="C135" t="n">
        <v>0</v>
      </c>
      <c r="D135" t="n">
        <v>0</v>
      </c>
      <c r="E135" t="n">
        <v>0</v>
      </c>
      <c r="F135" t="n">
        <v>0</v>
      </c>
      <c r="H135" t="n">
        <v>0</v>
      </c>
      <c r="I135" t="n">
        <v>0</v>
      </c>
      <c r="J135" t="n">
        <v>0</v>
      </c>
      <c r="K135" t="n">
        <v>0</v>
      </c>
      <c r="L135" t="n">
        <v>0</v>
      </c>
      <c r="M135" t="n">
        <v>0</v>
      </c>
      <c r="N135" t="n">
        <v>0</v>
      </c>
    </row>
    <row r="136">
      <c r="A136" t="inlineStr">
        <is>
          <t>issues of the manor</t>
        </is>
      </c>
      <c r="B136" t="inlineStr">
        <is>
          <t>nothing from the pasturage towards aldeforde for the aforesaid reason.</t>
        </is>
      </c>
      <c r="C136" t="n">
        <v>0</v>
      </c>
      <c r="D136" t="n">
        <v>0</v>
      </c>
      <c r="E136" t="n">
        <v>0</v>
      </c>
      <c r="F136" t="n">
        <v>0</v>
      </c>
      <c r="H136" t="n">
        <v>0</v>
      </c>
      <c r="I136" t="n">
        <v>0</v>
      </c>
      <c r="J136" t="n">
        <v>0</v>
      </c>
      <c r="K136" t="n">
        <v>0</v>
      </c>
      <c r="L136" t="n">
        <v>0</v>
      </c>
      <c r="M136" t="n">
        <v>0</v>
      </c>
      <c r="N136" t="n">
        <v>0</v>
      </c>
    </row>
    <row r="137">
      <c r="A137" t="inlineStr">
        <is>
          <t>issues of the manor</t>
        </is>
      </c>
      <c r="B137" t="inlineStr">
        <is>
          <t>nothing from the herbage in fulneye because it is mown for the lord's use.</t>
        </is>
      </c>
      <c r="C137" t="n">
        <v>0</v>
      </c>
      <c r="D137" t="n">
        <v>0</v>
      </c>
      <c r="E137" t="n">
        <v>0</v>
      </c>
      <c r="F137" t="n">
        <v>0</v>
      </c>
      <c r="H137" t="n">
        <v>0</v>
      </c>
      <c r="I137" t="n">
        <v>0</v>
      </c>
      <c r="J137" t="n">
        <v>0</v>
      </c>
      <c r="K137" t="n">
        <v>0</v>
      </c>
      <c r="L137" t="n">
        <v>0</v>
      </c>
      <c r="M137" t="n">
        <v>0</v>
      </c>
      <c r="N137" t="n">
        <v>0</v>
      </c>
    </row>
    <row r="138">
      <c r="A138" t="inlineStr">
        <is>
          <t>issues of the manor</t>
        </is>
      </c>
      <c r="B138" t="inlineStr">
        <is>
          <t>nothing from summer pasturage in calfcroftes because it pertains to the farmer.</t>
        </is>
      </c>
      <c r="C138" t="n">
        <v>0</v>
      </c>
      <c r="D138" t="n">
        <v>0</v>
      </c>
      <c r="E138" t="n">
        <v>0</v>
      </c>
      <c r="F138" t="n">
        <v>0</v>
      </c>
      <c r="H138" t="n">
        <v>0</v>
      </c>
      <c r="I138" t="n">
        <v>0</v>
      </c>
      <c r="J138" t="n">
        <v>0</v>
      </c>
      <c r="K138" t="n">
        <v>0</v>
      </c>
      <c r="L138" t="n">
        <v>0</v>
      </c>
      <c r="M138" t="n">
        <v>0</v>
      </c>
      <c r="N138" t="n">
        <v>0</v>
      </c>
    </row>
    <row r="139">
      <c r="A139" t="inlineStr">
        <is>
          <t>issues of the manor</t>
        </is>
      </c>
      <c r="B139" t="inlineStr">
        <is>
          <t>nothing from the small plots in the curia and behind the curia which are returned to arable land.</t>
        </is>
      </c>
      <c r="C139" t="n">
        <v>0</v>
      </c>
      <c r="D139" t="n">
        <v>0</v>
      </c>
      <c r="E139" t="n">
        <v>0</v>
      </c>
      <c r="F139" t="n">
        <v>0</v>
      </c>
      <c r="H139" t="n">
        <v>0</v>
      </c>
      <c r="I139" t="n">
        <v>0</v>
      </c>
      <c r="J139" t="n">
        <v>0</v>
      </c>
      <c r="K139" t="n">
        <v>0</v>
      </c>
      <c r="L139" t="n">
        <v>0</v>
      </c>
      <c r="M139" t="n">
        <v>0</v>
      </c>
      <c r="N139" t="n">
        <v>0</v>
      </c>
    </row>
    <row r="140">
      <c r="A140" t="inlineStr">
        <is>
          <t>issues of the manor</t>
        </is>
      </c>
      <c r="B140" t="inlineStr">
        <is>
          <t>nothing from summer pasturage in lotegarsham because it pertains to the farmer.</t>
        </is>
      </c>
      <c r="C140" t="n">
        <v>0</v>
      </c>
      <c r="D140" t="n">
        <v>0</v>
      </c>
      <c r="E140" t="n">
        <v>0</v>
      </c>
      <c r="F140" t="n">
        <v>0</v>
      </c>
      <c r="H140" t="n">
        <v>0</v>
      </c>
      <c r="I140" t="n">
        <v>0</v>
      </c>
      <c r="J140" t="n">
        <v>0</v>
      </c>
      <c r="K140" t="n">
        <v>0</v>
      </c>
      <c r="L140" t="n">
        <v>0</v>
      </c>
      <c r="M140" t="n">
        <v>0</v>
      </c>
      <c r="N140" t="n">
        <v>0</v>
      </c>
    </row>
    <row r="141">
      <c r="A141" t="inlineStr">
        <is>
          <t>issues of the manor</t>
        </is>
      </c>
      <c r="B141" t="inlineStr">
        <is>
          <t>nothing from the pasturage in burydych' and casteldych' for the aforesaid reason.</t>
        </is>
      </c>
      <c r="C141" t="n">
        <v>0</v>
      </c>
      <c r="D141" t="n">
        <v>0</v>
      </c>
      <c r="E141" t="n">
        <v>0</v>
      </c>
      <c r="F141" t="n">
        <v>0</v>
      </c>
      <c r="H141" t="n">
        <v>0</v>
      </c>
      <c r="I141" t="n">
        <v>0</v>
      </c>
      <c r="J141" t="n">
        <v>0</v>
      </c>
      <c r="K141" t="n">
        <v>0</v>
      </c>
      <c r="L141" t="n">
        <v>0</v>
      </c>
      <c r="M141" t="n">
        <v>0</v>
      </c>
      <c r="N141" t="n">
        <v>0</v>
      </c>
    </row>
    <row r="142">
      <c r="A142" t="inlineStr">
        <is>
          <t>issues of the manor</t>
        </is>
      </c>
      <c r="B142" t="inlineStr">
        <is>
          <t>nothing from the pasturage of the way between the gate and the dovecote for the aforesaid reason.</t>
        </is>
      </c>
      <c r="C142" t="n">
        <v>0</v>
      </c>
      <c r="D142" t="n">
        <v>0</v>
      </c>
      <c r="E142" t="n">
        <v>0</v>
      </c>
      <c r="F142" t="n">
        <v>0</v>
      </c>
      <c r="H142" t="n">
        <v>0</v>
      </c>
      <c r="I142" t="n">
        <v>0</v>
      </c>
      <c r="J142" t="n">
        <v>0</v>
      </c>
      <c r="K142" t="n">
        <v>0</v>
      </c>
      <c r="L142" t="n">
        <v>0</v>
      </c>
      <c r="M142" t="n">
        <v>0</v>
      </c>
      <c r="N142" t="n">
        <v>0</v>
      </c>
    </row>
    <row r="143">
      <c r="A143" t="inlineStr">
        <is>
          <t>issues of the manor</t>
        </is>
      </c>
      <c r="B143" t="inlineStr">
        <is>
          <t>nothing from the pasturage in puryhay.</t>
        </is>
      </c>
      <c r="C143" t="n">
        <v>0</v>
      </c>
      <c r="D143" t="n">
        <v>0</v>
      </c>
      <c r="E143" t="n">
        <v>0</v>
      </c>
      <c r="F143" t="n">
        <v>0</v>
      </c>
      <c r="H143" t="n">
        <v>0</v>
      </c>
      <c r="I143" t="n">
        <v>0</v>
      </c>
      <c r="J143" t="n">
        <v>0</v>
      </c>
      <c r="K143" t="n">
        <v>0</v>
      </c>
      <c r="L143" t="n">
        <v>0</v>
      </c>
      <c r="M143" t="n">
        <v>0</v>
      </c>
      <c r="N143" t="n">
        <v>0</v>
      </c>
    </row>
    <row r="144">
      <c r="A144" t="inlineStr">
        <is>
          <t>issues of the manor</t>
        </is>
      </c>
      <c r="B144" t="inlineStr">
        <is>
          <t>nothing from nettles in the garden and fishpond for the aforesaid reason.</t>
        </is>
      </c>
      <c r="C144" t="n">
        <v>0</v>
      </c>
      <c r="D144" t="n">
        <v>0</v>
      </c>
      <c r="E144" t="n">
        <v>0</v>
      </c>
      <c r="F144" t="n">
        <v>0</v>
      </c>
      <c r="H144" t="n">
        <v>0</v>
      </c>
      <c r="I144" t="n">
        <v>0</v>
      </c>
      <c r="J144" t="n">
        <v>0</v>
      </c>
      <c r="K144" t="n">
        <v>0</v>
      </c>
      <c r="L144" t="n">
        <v>0</v>
      </c>
      <c r="M144" t="n">
        <v>0</v>
      </c>
      <c r="N144" t="n">
        <v>0</v>
      </c>
    </row>
    <row r="145">
      <c r="A145" t="inlineStr">
        <is>
          <t>issues of the manor</t>
        </is>
      </c>
      <c r="B145" t="inlineStr">
        <is>
          <t>nothing from the pasturage of the path in the curia for the aforesaid reason.</t>
        </is>
      </c>
      <c r="C145" t="n">
        <v>0</v>
      </c>
      <c r="D145" t="n">
        <v>0</v>
      </c>
      <c r="E145" t="n">
        <v>0</v>
      </c>
      <c r="F145" t="n">
        <v>0</v>
      </c>
      <c r="H145" t="n">
        <v>0</v>
      </c>
      <c r="I145" t="n">
        <v>0</v>
      </c>
      <c r="J145" t="n">
        <v>0</v>
      </c>
      <c r="K145" t="n">
        <v>0</v>
      </c>
      <c r="L145" t="n">
        <v>0</v>
      </c>
      <c r="M145" t="n">
        <v>0</v>
      </c>
      <c r="N145" t="n">
        <v>0</v>
      </c>
    </row>
    <row r="146">
      <c r="A146" t="inlineStr">
        <is>
          <t>issues of the manor</t>
        </is>
      </c>
      <c r="B146" t="inlineStr">
        <is>
          <t>nothing from the pasturage in shepchey for the aforesaid reason.</t>
        </is>
      </c>
      <c r="C146" t="n">
        <v>0</v>
      </c>
      <c r="D146" t="n">
        <v>0</v>
      </c>
      <c r="E146" t="n">
        <v>0</v>
      </c>
      <c r="F146" t="n">
        <v>0</v>
      </c>
      <c r="H146" t="n">
        <v>0</v>
      </c>
      <c r="I146" t="n">
        <v>0</v>
      </c>
      <c r="J146" t="n">
        <v>0</v>
      </c>
      <c r="K146" t="n">
        <v>0</v>
      </c>
      <c r="L146" t="n">
        <v>0</v>
      </c>
      <c r="M146" t="n">
        <v>0</v>
      </c>
      <c r="N146" t="n">
        <v>0</v>
      </c>
    </row>
    <row r="147">
      <c r="A147" t="inlineStr">
        <is>
          <t>issues of the manor</t>
        </is>
      </c>
      <c r="B147" t="inlineStr">
        <is>
          <t>nothing from the pasturage of the inner enclosure for the aforesaid reason.</t>
        </is>
      </c>
      <c r="C147" t="n">
        <v>0</v>
      </c>
      <c r="D147" t="n">
        <v>0</v>
      </c>
      <c r="E147" t="n">
        <v>0</v>
      </c>
      <c r="F147" t="n">
        <v>0</v>
      </c>
      <c r="H147" t="n">
        <v>0</v>
      </c>
      <c r="I147" t="n">
        <v>0</v>
      </c>
      <c r="J147" t="n">
        <v>0</v>
      </c>
      <c r="K147" t="n">
        <v>0</v>
      </c>
      <c r="L147" t="n">
        <v>0</v>
      </c>
      <c r="M147" t="n">
        <v>0</v>
      </c>
      <c r="N147" t="n">
        <v>0</v>
      </c>
    </row>
    <row r="148">
      <c r="A148" t="inlineStr">
        <is>
          <t>issues of the manor</t>
        </is>
      </c>
      <c r="B148" t="inlineStr">
        <is>
          <t>nothing from the pasturage of barreham beside the cess-pits (les puttes) for the aforesaid reason.</t>
        </is>
      </c>
      <c r="C148" t="n">
        <v>0</v>
      </c>
      <c r="D148" t="n">
        <v>0</v>
      </c>
      <c r="E148" t="n">
        <v>0</v>
      </c>
      <c r="F148" t="n">
        <v>0</v>
      </c>
      <c r="H148" t="n">
        <v>0</v>
      </c>
      <c r="I148" t="n">
        <v>0</v>
      </c>
      <c r="J148" t="n">
        <v>0</v>
      </c>
      <c r="K148" t="n">
        <v>0</v>
      </c>
      <c r="L148" t="n">
        <v>0</v>
      </c>
      <c r="M148" t="n">
        <v>0</v>
      </c>
      <c r="N148" t="n">
        <v>0</v>
      </c>
    </row>
    <row r="149">
      <c r="A149" t="inlineStr">
        <is>
          <t>issues of the manor</t>
        </is>
      </c>
      <c r="B149" t="inlineStr">
        <is>
          <t>nothing from the herbage in crudenhamfulneye because it is mown for the lord's use.</t>
        </is>
      </c>
      <c r="C149" t="n">
        <v>0</v>
      </c>
      <c r="D149" t="n">
        <v>0</v>
      </c>
      <c r="E149" t="n">
        <v>0</v>
      </c>
      <c r="F149" t="n">
        <v>0</v>
      </c>
      <c r="H149" t="n">
        <v>0</v>
      </c>
      <c r="I149" t="n">
        <v>0</v>
      </c>
      <c r="J149" t="n">
        <v>0</v>
      </c>
      <c r="K149" t="n">
        <v>0</v>
      </c>
      <c r="L149" t="n">
        <v>0</v>
      </c>
      <c r="M149" t="n">
        <v>0</v>
      </c>
      <c r="N149" t="n">
        <v>0</v>
      </c>
    </row>
    <row r="150">
      <c r="A150" t="inlineStr">
        <is>
          <t>issues of the manor</t>
        </is>
      </c>
      <c r="B150" t="inlineStr">
        <is>
          <t>nothing from summer pasturage in thomeylese because it pertains to the farmer.</t>
        </is>
      </c>
      <c r="C150" t="n">
        <v>0</v>
      </c>
      <c r="D150" t="n">
        <v>0</v>
      </c>
      <c r="E150" t="n">
        <v>0</v>
      </c>
      <c r="F150" t="n">
        <v>0</v>
      </c>
      <c r="H150" t="n">
        <v>0</v>
      </c>
      <c r="I150" t="n">
        <v>0</v>
      </c>
      <c r="J150" t="n">
        <v>0</v>
      </c>
      <c r="K150" t="n">
        <v>0</v>
      </c>
      <c r="L150" t="n">
        <v>0</v>
      </c>
      <c r="M150" t="n">
        <v>0</v>
      </c>
      <c r="N150" t="n">
        <v>0</v>
      </c>
    </row>
    <row r="151">
      <c r="A151" t="inlineStr">
        <is>
          <t>issues of the manor</t>
        </is>
      </c>
      <c r="B151" t="inlineStr">
        <is>
          <t>nothing from the agistment of cows with the lord's cows.</t>
        </is>
      </c>
      <c r="C151" t="n">
        <v>0</v>
      </c>
      <c r="D151" t="n">
        <v>0</v>
      </c>
      <c r="E151" t="n">
        <v>0</v>
      </c>
      <c r="F151" t="n">
        <v>0</v>
      </c>
      <c r="H151" t="n">
        <v>0</v>
      </c>
      <c r="I151" t="n">
        <v>0</v>
      </c>
      <c r="J151" t="n">
        <v>0</v>
      </c>
      <c r="K151" t="n">
        <v>0</v>
      </c>
      <c r="L151" t="n">
        <v>0</v>
      </c>
      <c r="M151" t="n">
        <v>0</v>
      </c>
      <c r="N151" t="n">
        <v>0</v>
      </c>
    </row>
    <row r="152">
      <c r="A152" t="inlineStr">
        <is>
          <t>issues of the manor</t>
        </is>
      </c>
      <c r="B152" t="inlineStr">
        <is>
          <t>nothing from agistment in hemmore because it pertains to the farmer.</t>
        </is>
      </c>
      <c r="C152" t="n">
        <v>0</v>
      </c>
      <c r="D152" t="n">
        <v>0</v>
      </c>
      <c r="E152" t="n">
        <v>0</v>
      </c>
      <c r="F152" t="n">
        <v>0</v>
      </c>
      <c r="H152" t="n">
        <v>0</v>
      </c>
      <c r="I152" t="n">
        <v>0</v>
      </c>
      <c r="J152" t="n">
        <v>0</v>
      </c>
      <c r="K152" t="n">
        <v>0</v>
      </c>
      <c r="L152" t="n">
        <v>0</v>
      </c>
      <c r="M152" t="n">
        <v>0</v>
      </c>
      <c r="N152" t="n">
        <v>0</v>
      </c>
    </row>
    <row r="153">
      <c r="A153" t="inlineStr">
        <is>
          <t>issues of the manor</t>
        </is>
      </c>
      <c r="B153" t="inlineStr">
        <is>
          <t>£1 13 shilling 4pence from the pasturage in the park sold this year, to be paid at the 4 terms of the year.</t>
        </is>
      </c>
      <c r="C153" t="n">
        <v>1.67</v>
      </c>
      <c r="D153" t="n">
        <v>1</v>
      </c>
      <c r="E153" t="n">
        <v>13</v>
      </c>
      <c r="F153" t="n">
        <v>4</v>
      </c>
      <c r="H153" t="n">
        <v>0</v>
      </c>
      <c r="I153" t="n">
        <v>0</v>
      </c>
      <c r="J153" t="n">
        <v>0</v>
      </c>
      <c r="K153" t="n">
        <v>0</v>
      </c>
      <c r="L153" t="n">
        <v>0</v>
      </c>
      <c r="M153" t="n">
        <v>0</v>
      </c>
      <c r="N153" t="n">
        <v>0</v>
      </c>
    </row>
    <row r="154">
      <c r="A154" t="inlineStr">
        <is>
          <t>issues of the manor</t>
        </is>
      </c>
      <c r="B154" t="inlineStr">
        <is>
          <t>nothing from the pasturage in crostynlond' because it is demised to john bergh' and richard dougel as made clear above.</t>
        </is>
      </c>
      <c r="C154" t="n">
        <v>0</v>
      </c>
      <c r="D154" t="n">
        <v>0</v>
      </c>
      <c r="E154" t="n">
        <v>0</v>
      </c>
      <c r="F154" t="n">
        <v>0</v>
      </c>
      <c r="H154" t="n">
        <v>0</v>
      </c>
      <c r="I154" t="n">
        <v>0</v>
      </c>
      <c r="J154" t="n">
        <v>0</v>
      </c>
      <c r="K154" t="n">
        <v>0</v>
      </c>
      <c r="L154" t="n">
        <v>0</v>
      </c>
      <c r="M154" t="n">
        <v>0</v>
      </c>
      <c r="N154" t="n">
        <v>0</v>
      </c>
    </row>
    <row r="155">
      <c r="A155" t="inlineStr">
        <is>
          <t>issues of the manor</t>
        </is>
      </c>
      <c r="B155" t="inlineStr">
        <is>
          <t>nothing from the sale of stone in the quarry this year.</t>
        </is>
      </c>
      <c r="C155" t="n">
        <v>0</v>
      </c>
      <c r="D155" t="n">
        <v>0</v>
      </c>
      <c r="E155" t="n">
        <v>0</v>
      </c>
      <c r="F155" t="n">
        <v>0</v>
      </c>
      <c r="H155" t="n">
        <v>0</v>
      </c>
      <c r="I155" t="n">
        <v>0</v>
      </c>
      <c r="J155" t="n">
        <v>0</v>
      </c>
      <c r="K155" t="n">
        <v>0</v>
      </c>
      <c r="L155" t="n">
        <v>0</v>
      </c>
      <c r="M155" t="n">
        <v>0</v>
      </c>
      <c r="N155" t="n">
        <v>0</v>
      </c>
    </row>
    <row r="156">
      <c r="A156" t="inlineStr">
        <is>
          <t>issues of the manor</t>
        </is>
      </c>
      <c r="B156" t="inlineStr">
        <is>
          <t>nothing from winter pasturage in appele because it pertains to the farmer.</t>
        </is>
      </c>
      <c r="C156" t="n">
        <v>0</v>
      </c>
      <c r="D156" t="n">
        <v>0</v>
      </c>
      <c r="E156" t="n">
        <v>0</v>
      </c>
      <c r="F156" t="n">
        <v>0</v>
      </c>
      <c r="H156" t="n">
        <v>0</v>
      </c>
      <c r="I156" t="n">
        <v>0</v>
      </c>
      <c r="J156" t="n">
        <v>0</v>
      </c>
      <c r="K156" t="n">
        <v>0</v>
      </c>
      <c r="L156" t="n">
        <v>0</v>
      </c>
      <c r="M156" t="n">
        <v>0</v>
      </c>
      <c r="N156" t="n">
        <v>0</v>
      </c>
    </row>
    <row r="157">
      <c r="A157" t="inlineStr">
        <is>
          <t>issues of the manor</t>
        </is>
      </c>
      <c r="B157" t="inlineStr">
        <is>
          <t>nothing from winter pasturage of the meadow pertaining to a certain mill recently of simon atte hacche this year.</t>
        </is>
      </c>
      <c r="C157" t="n">
        <v>0</v>
      </c>
      <c r="D157" t="n">
        <v>0</v>
      </c>
      <c r="E157" t="n">
        <v>0</v>
      </c>
      <c r="F157" t="n">
        <v>0</v>
      </c>
      <c r="H157" t="n">
        <v>0</v>
      </c>
      <c r="I157" t="n">
        <v>0</v>
      </c>
      <c r="J157" t="n">
        <v>0</v>
      </c>
      <c r="K157" t="n">
        <v>0</v>
      </c>
      <c r="L157" t="n">
        <v>0</v>
      </c>
      <c r="M157" t="n">
        <v>0</v>
      </c>
      <c r="N157" t="n">
        <v>0</v>
      </c>
    </row>
    <row r="158">
      <c r="A158" t="inlineStr">
        <is>
          <t>issues of the manor</t>
        </is>
      </c>
      <c r="B158" t="inlineStr">
        <is>
          <t>nothing from the agistment of lambs with the lord's lambs this year.</t>
        </is>
      </c>
      <c r="C158" t="n">
        <v>0</v>
      </c>
      <c r="D158" t="n">
        <v>0</v>
      </c>
      <c r="E158" t="n">
        <v>0</v>
      </c>
      <c r="F158" t="n">
        <v>0</v>
      </c>
      <c r="H158" t="n">
        <v>0</v>
      </c>
      <c r="I158" t="n">
        <v>0</v>
      </c>
      <c r="J158" t="n">
        <v>0</v>
      </c>
      <c r="K158" t="n">
        <v>0</v>
      </c>
      <c r="L158" t="n">
        <v>0</v>
      </c>
      <c r="M158" t="n">
        <v>0</v>
      </c>
      <c r="N158" t="n">
        <v>0</v>
      </c>
    </row>
    <row r="159">
      <c r="A159" t="inlineStr">
        <is>
          <t>issues of the manor</t>
        </is>
      </c>
      <c r="B159" t="inlineStr">
        <is>
          <t>nothing from the agistment of pigs with the lord's pigs this year.</t>
        </is>
      </c>
      <c r="C159" t="n">
        <v>0</v>
      </c>
      <c r="D159" t="n">
        <v>0</v>
      </c>
      <c r="E159" t="n">
        <v>0</v>
      </c>
      <c r="F159" t="n">
        <v>0</v>
      </c>
      <c r="H159" t="n">
        <v>0</v>
      </c>
      <c r="I159" t="n">
        <v>0</v>
      </c>
      <c r="J159" t="n">
        <v>0</v>
      </c>
      <c r="K159" t="n">
        <v>0</v>
      </c>
      <c r="L159" t="n">
        <v>0</v>
      </c>
      <c r="M159" t="n">
        <v>0</v>
      </c>
      <c r="N159" t="n">
        <v>0</v>
      </c>
    </row>
    <row r="160">
      <c r="A160" t="inlineStr">
        <is>
          <t>issues of the manor</t>
        </is>
      </c>
      <c r="B160" t="inlineStr">
        <is>
          <t>nothing from the agistment of sheep in the fallow with the lord's sheep this year.</t>
        </is>
      </c>
      <c r="C160" t="n">
        <v>0</v>
      </c>
      <c r="D160" t="n">
        <v>0</v>
      </c>
      <c r="E160" t="n">
        <v>0</v>
      </c>
      <c r="F160" t="n">
        <v>0</v>
      </c>
      <c r="H160" t="n">
        <v>0</v>
      </c>
      <c r="I160" t="n">
        <v>0</v>
      </c>
      <c r="J160" t="n">
        <v>0</v>
      </c>
      <c r="K160" t="n">
        <v>0</v>
      </c>
      <c r="L160" t="n">
        <v>0</v>
      </c>
      <c r="M160" t="n">
        <v>0</v>
      </c>
      <c r="N160" t="n">
        <v>0</v>
      </c>
    </row>
    <row r="161">
      <c r="A161" t="inlineStr">
        <is>
          <t>issues of the manor</t>
        </is>
      </c>
      <c r="B161" t="inlineStr">
        <is>
          <t>nothing from the agistment of calves with the lord's calves this year.</t>
        </is>
      </c>
      <c r="C161" t="n">
        <v>0</v>
      </c>
      <c r="D161" t="n">
        <v>0</v>
      </c>
      <c r="E161" t="n">
        <v>0</v>
      </c>
      <c r="F161" t="n">
        <v>0</v>
      </c>
      <c r="H161" t="n">
        <v>0</v>
      </c>
      <c r="I161" t="n">
        <v>0</v>
      </c>
      <c r="J161" t="n">
        <v>0</v>
      </c>
      <c r="K161" t="n">
        <v>0</v>
      </c>
      <c r="L161" t="n">
        <v>0</v>
      </c>
      <c r="M161" t="n">
        <v>0</v>
      </c>
      <c r="N161" t="n">
        <v>0</v>
      </c>
    </row>
    <row r="162">
      <c r="A162" t="inlineStr">
        <is>
          <t>issues of the manor</t>
        </is>
      </c>
      <c r="B162" t="inlineStr">
        <is>
          <t>14 shilling from the herbage in mulleham beside wodefordesmulle sold to nicholas gille for 20 years, this year being the fourth, to be paid at the nativity of st john the baptist and michaelmas.</t>
        </is>
      </c>
      <c r="C162" t="n">
        <v>0.7</v>
      </c>
      <c r="D162" t="n">
        <v>0</v>
      </c>
      <c r="E162" t="n">
        <v>14</v>
      </c>
      <c r="F162" t="n">
        <v>0</v>
      </c>
      <c r="H162" t="n">
        <v>0</v>
      </c>
      <c r="I162" t="n">
        <v>0</v>
      </c>
      <c r="J162" t="n">
        <v>0</v>
      </c>
      <c r="K162" t="n">
        <v>0</v>
      </c>
      <c r="L162" t="n">
        <v>0</v>
      </c>
      <c r="M162" t="n">
        <v>0</v>
      </c>
      <c r="N162" t="n">
        <v>0</v>
      </c>
    </row>
    <row r="163">
      <c r="A163" t="inlineStr">
        <is>
          <t>issues of the manor</t>
        </is>
      </c>
      <c r="B163" t="inlineStr">
        <is>
          <t>nothing from the herbage of 5 acres of meadow beside calfcroftys this year because it is mown for the lord's use.</t>
        </is>
      </c>
      <c r="C163" t="n">
        <v>0</v>
      </c>
      <c r="D163" t="n">
        <v>0</v>
      </c>
      <c r="E163" t="n">
        <v>0</v>
      </c>
      <c r="F163" t="n">
        <v>0</v>
      </c>
      <c r="H163" t="n">
        <v>0</v>
      </c>
      <c r="I163" t="n">
        <v>0</v>
      </c>
      <c r="J163" t="n">
        <v>0</v>
      </c>
      <c r="K163" t="n">
        <v>0</v>
      </c>
      <c r="L163" t="n">
        <v>0</v>
      </c>
      <c r="M163" t="n">
        <v>0</v>
      </c>
      <c r="N163" t="n">
        <v>0</v>
      </c>
    </row>
    <row r="164">
      <c r="A164" t="inlineStr">
        <is>
          <t>issues of the manor</t>
        </is>
      </c>
      <c r="B164" t="inlineStr">
        <is>
          <t>nothing from the herbage in brodemore for the aforesaid reason.</t>
        </is>
      </c>
      <c r="C164" t="n">
        <v>0</v>
      </c>
      <c r="D164" t="n">
        <v>0</v>
      </c>
      <c r="E164" t="n">
        <v>0</v>
      </c>
      <c r="F164" t="n">
        <v>0</v>
      </c>
      <c r="H164" t="n">
        <v>0</v>
      </c>
      <c r="I164" t="n">
        <v>0</v>
      </c>
      <c r="J164" t="n">
        <v>0</v>
      </c>
      <c r="K164" t="n">
        <v>0</v>
      </c>
      <c r="L164" t="n">
        <v>0</v>
      </c>
      <c r="M164" t="n">
        <v>0</v>
      </c>
      <c r="N164" t="n">
        <v>0</v>
      </c>
    </row>
    <row r="165">
      <c r="A165" t="inlineStr">
        <is>
          <t>issues of the manor</t>
        </is>
      </c>
      <c r="B165" t="inlineStr">
        <is>
          <t>nothing of the 6 shilling 8pence for the pasturage in wodefordesmull' because it is demised at farm with the said mill.</t>
        </is>
      </c>
      <c r="C165" t="n">
        <v>0.33</v>
      </c>
      <c r="D165" t="n">
        <v>0</v>
      </c>
      <c r="E165" t="n">
        <v>6</v>
      </c>
      <c r="F165" t="n">
        <v>8</v>
      </c>
      <c r="H165" t="n">
        <v>0</v>
      </c>
      <c r="I165" t="n">
        <v>0</v>
      </c>
      <c r="J165" t="n">
        <v>0</v>
      </c>
      <c r="K165" t="n">
        <v>0</v>
      </c>
      <c r="L165" t="n">
        <v>0</v>
      </c>
      <c r="M165" t="n">
        <v>0</v>
      </c>
      <c r="N165" t="n">
        <v>0</v>
      </c>
    </row>
    <row r="166">
      <c r="A166" t="inlineStr">
        <is>
          <t>issues of the manor</t>
        </is>
      </c>
      <c r="B166"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166" t="n">
        <v>0.48</v>
      </c>
      <c r="D166" t="n">
        <v>0</v>
      </c>
      <c r="E166" t="n">
        <v>7</v>
      </c>
      <c r="F166" t="n">
        <v>31</v>
      </c>
      <c r="H166" t="n">
        <v>0</v>
      </c>
      <c r="I166" t="n">
        <v>0</v>
      </c>
      <c r="J166" t="n">
        <v>0</v>
      </c>
      <c r="K166" t="n">
        <v>0</v>
      </c>
      <c r="L166" t="n">
        <v>0</v>
      </c>
      <c r="M166" t="n">
        <v>0</v>
      </c>
      <c r="N166" t="n">
        <v>0</v>
      </c>
    </row>
    <row r="167">
      <c r="A167" t="inlineStr">
        <is>
          <t>issues of the manor</t>
        </is>
      </c>
      <c r="B167" t="inlineStr">
        <is>
          <t>nothing from peter's pence this year because those from whom it is possible to collect it are not willing to pay enough for the total of the bishop of lincoln because of the poverty of the homage.</t>
        </is>
      </c>
      <c r="C167" t="n">
        <v>0</v>
      </c>
      <c r="D167" t="n">
        <v>0</v>
      </c>
      <c r="E167" t="n">
        <v>0</v>
      </c>
      <c r="F167" t="n">
        <v>0</v>
      </c>
      <c r="H167" t="n">
        <v>0</v>
      </c>
      <c r="I167" t="n">
        <v>0</v>
      </c>
      <c r="J167" t="n">
        <v>0</v>
      </c>
      <c r="K167" t="n">
        <v>0</v>
      </c>
      <c r="L167" t="n">
        <v>0</v>
      </c>
      <c r="M167" t="n">
        <v>0</v>
      </c>
      <c r="N167" t="n">
        <v>0</v>
      </c>
    </row>
    <row r="168">
      <c r="A168" t="inlineStr">
        <is>
          <t>issues of the manor</t>
        </is>
      </c>
      <c r="B168" t="inlineStr">
        <is>
          <t>4pence from 1 plot which thomas tannere holds for that lime-pit recently of richard teffunte.</t>
        </is>
      </c>
      <c r="C168" t="n">
        <v>0.02</v>
      </c>
      <c r="D168" t="n">
        <v>0</v>
      </c>
      <c r="E168" t="n">
        <v>0</v>
      </c>
      <c r="F168" t="n">
        <v>4</v>
      </c>
      <c r="H168" t="n">
        <v>0</v>
      </c>
      <c r="I168" t="n">
        <v>0</v>
      </c>
      <c r="J168" t="n">
        <v>0</v>
      </c>
      <c r="K168" t="n">
        <v>0</v>
      </c>
      <c r="L168" t="n">
        <v>0</v>
      </c>
      <c r="M168" t="n">
        <v>0</v>
      </c>
      <c r="N168" t="n">
        <v>0</v>
      </c>
    </row>
    <row r="169">
      <c r="A169" t="inlineStr">
        <is>
          <t>issues of the manor</t>
        </is>
      </c>
      <c r="B169" t="inlineStr">
        <is>
          <t>nothing from 1 plot for 1 rack for the fuller's shed formerly let to roger nony because noone wished to lease it.</t>
        </is>
      </c>
      <c r="C169" t="n">
        <v>0</v>
      </c>
      <c r="D169" t="n">
        <v>0</v>
      </c>
      <c r="E169" t="n">
        <v>0</v>
      </c>
      <c r="F169" t="n">
        <v>0</v>
      </c>
      <c r="H169" t="n">
        <v>0</v>
      </c>
      <c r="I169" t="n">
        <v>0</v>
      </c>
      <c r="J169" t="n">
        <v>0</v>
      </c>
      <c r="K169" t="n">
        <v>0</v>
      </c>
      <c r="L169" t="n">
        <v>0</v>
      </c>
      <c r="M169" t="n">
        <v>0</v>
      </c>
      <c r="N169" t="n">
        <v>0</v>
      </c>
    </row>
    <row r="170">
      <c r="A170" t="inlineStr">
        <is>
          <t>issues of the manor</t>
        </is>
      </c>
      <c r="B170" t="inlineStr">
        <is>
          <t>nothing of the 6 shilling 8pence for the tenements formerly of john de craule in crawley for the ironwork of 5 ploughs, reduced from the 7 ploughs for which he ought to have provided the ironwork, because those tenements are now in the lord's hands.</t>
        </is>
      </c>
      <c r="C170" t="n">
        <v>0.33</v>
      </c>
      <c r="D170" t="n">
        <v>0</v>
      </c>
      <c r="E170" t="n">
        <v>6</v>
      </c>
      <c r="F170" t="n">
        <v>8</v>
      </c>
      <c r="H170" t="n">
        <v>0</v>
      </c>
      <c r="I170" t="n">
        <v>0</v>
      </c>
      <c r="J170" t="n">
        <v>0</v>
      </c>
      <c r="K170" t="n">
        <v>0</v>
      </c>
      <c r="L170" t="n">
        <v>0</v>
      </c>
      <c r="M170" t="n">
        <v>0</v>
      </c>
      <c r="N170" t="n">
        <v>0</v>
      </c>
    </row>
    <row r="171">
      <c r="A171" t="inlineStr">
        <is>
          <t>issues of the manor</t>
        </is>
      </c>
      <c r="B171" t="inlineStr">
        <is>
          <t>nothing of the 3 shilling for the ironwork of 1 plough which was obliged to be provided for 1 piece of land in delly end which william de craule recently held for the aforesaid reason.</t>
        </is>
      </c>
      <c r="C171" t="n">
        <v>0.15</v>
      </c>
      <c r="D171" t="n">
        <v>0</v>
      </c>
      <c r="E171" t="n">
        <v>3</v>
      </c>
      <c r="F171" t="n">
        <v>0</v>
      </c>
      <c r="H171" t="n">
        <v>0</v>
      </c>
      <c r="I171" t="n">
        <v>0</v>
      </c>
      <c r="J171" t="n">
        <v>0</v>
      </c>
      <c r="K171" t="n">
        <v>0</v>
      </c>
      <c r="L171" t="n">
        <v>0</v>
      </c>
      <c r="M171" t="n">
        <v>0</v>
      </c>
      <c r="N171" t="n">
        <v>0</v>
      </c>
    </row>
    <row r="172">
      <c r="A172" t="inlineStr">
        <is>
          <t>issues of the manor</t>
        </is>
      </c>
      <c r="B172" t="inlineStr">
        <is>
          <t>nothing of the 1 shilling for the plough equipment because the customary tenants who ought to have paid the aforesaid money now pay a fixed amount as long as it pleases the lord.</t>
        </is>
      </c>
      <c r="C172" t="n">
        <v>0.05</v>
      </c>
      <c r="D172" t="n">
        <v>0</v>
      </c>
      <c r="E172" t="n">
        <v>1</v>
      </c>
      <c r="F172" t="n">
        <v>0</v>
      </c>
      <c r="H172" t="n">
        <v>0</v>
      </c>
      <c r="I172" t="n">
        <v>0</v>
      </c>
      <c r="J172" t="n">
        <v>0</v>
      </c>
      <c r="K172" t="n">
        <v>0</v>
      </c>
      <c r="L172" t="n">
        <v>0</v>
      </c>
      <c r="M172" t="n">
        <v>0</v>
      </c>
      <c r="N172" t="n">
        <v>0</v>
      </c>
    </row>
    <row r="173">
      <c r="A173" t="inlineStr">
        <is>
          <t>issues of the manor</t>
        </is>
      </c>
      <c r="B173" t="inlineStr">
        <is>
          <t>nothing from the sale of underwood in the park this year.</t>
        </is>
      </c>
      <c r="C173" t="n">
        <v>0</v>
      </c>
      <c r="D173" t="n">
        <v>0</v>
      </c>
      <c r="E173" t="n">
        <v>0</v>
      </c>
      <c r="F173" t="n">
        <v>0</v>
      </c>
      <c r="H173" t="n">
        <v>0</v>
      </c>
      <c r="I173" t="n">
        <v>0</v>
      </c>
      <c r="J173" t="n">
        <v>0</v>
      </c>
      <c r="K173" t="n">
        <v>0</v>
      </c>
      <c r="L173" t="n">
        <v>0</v>
      </c>
      <c r="M173" t="n">
        <v>0</v>
      </c>
      <c r="N173" t="n">
        <v>0</v>
      </c>
    </row>
    <row r="174">
      <c r="A174" t="inlineStr">
        <is>
          <t>issues of the manor</t>
        </is>
      </c>
      <c r="B174" t="inlineStr">
        <is>
          <t>nothing from the sale of old oaks in the park this year.</t>
        </is>
      </c>
      <c r="C174" t="n">
        <v>0</v>
      </c>
      <c r="D174" t="n">
        <v>0</v>
      </c>
      <c r="E174" t="n">
        <v>0</v>
      </c>
      <c r="F174" t="n">
        <v>0</v>
      </c>
      <c r="H174" t="n">
        <v>0</v>
      </c>
      <c r="I174" t="n">
        <v>0</v>
      </c>
      <c r="J174" t="n">
        <v>0</v>
      </c>
      <c r="K174" t="n">
        <v>0</v>
      </c>
      <c r="L174" t="n">
        <v>0</v>
      </c>
      <c r="M174" t="n">
        <v>0</v>
      </c>
      <c r="N174" t="n">
        <v>0</v>
      </c>
    </row>
    <row r="175">
      <c r="A175" t="inlineStr">
        <is>
          <t>issues of the manor</t>
        </is>
      </c>
      <c r="B175" t="inlineStr">
        <is>
          <t>£2 6 shilling 2pence from underwood and hazel (crullus) sold in the chase this year, and not more because 2 acres there were handed over for the enclosure of the park, and 1 acre there was sold, which is answered for in the following account.</t>
        </is>
      </c>
      <c r="C175" t="n">
        <v>2.31</v>
      </c>
      <c r="D175" t="n">
        <v>2</v>
      </c>
      <c r="E175" t="n">
        <v>6</v>
      </c>
      <c r="F175" t="n">
        <v>2</v>
      </c>
      <c r="H175" t="n">
        <v>0</v>
      </c>
      <c r="I175" t="n">
        <v>0</v>
      </c>
      <c r="J175" t="n">
        <v>0</v>
      </c>
      <c r="K175" t="n">
        <v>0</v>
      </c>
      <c r="L175" t="n">
        <v>0</v>
      </c>
      <c r="M175" t="n">
        <v>0</v>
      </c>
      <c r="N175" t="n">
        <v>0</v>
      </c>
    </row>
    <row r="176">
      <c r="A176" t="inlineStr">
        <is>
          <t>issues of the manor</t>
        </is>
      </c>
      <c r="B176" t="inlineStr">
        <is>
          <t>nothing from coarse wool sold.</t>
        </is>
      </c>
      <c r="C176" t="n">
        <v>0</v>
      </c>
      <c r="D176" t="n">
        <v>0</v>
      </c>
      <c r="E176" t="n">
        <v>0</v>
      </c>
      <c r="F176" t="n">
        <v>0</v>
      </c>
      <c r="H176" t="n">
        <v>0</v>
      </c>
      <c r="I176" t="n">
        <v>0</v>
      </c>
      <c r="J176" t="n">
        <v>0</v>
      </c>
      <c r="K176" t="n">
        <v>0</v>
      </c>
      <c r="L176" t="n">
        <v>0</v>
      </c>
      <c r="M176" t="n">
        <v>0</v>
      </c>
      <c r="N176" t="n">
        <v>0</v>
      </c>
    </row>
    <row r="177">
      <c r="A177" t="inlineStr">
        <is>
          <t>issues of the manor</t>
        </is>
      </c>
      <c r="B177" t="inlineStr">
        <is>
          <t>8pence from 2 lb of refuse (refur) wool sold.</t>
        </is>
      </c>
      <c r="C177" t="n">
        <v>0.03</v>
      </c>
      <c r="D177" t="n">
        <v>0</v>
      </c>
      <c r="E177" t="n">
        <v>0</v>
      </c>
      <c r="F177" t="n">
        <v>8</v>
      </c>
      <c r="H177" t="n">
        <v>0</v>
      </c>
      <c r="I177" t="n">
        <v>0</v>
      </c>
      <c r="J177" t="n">
        <v>0</v>
      </c>
      <c r="K177" t="n">
        <v>0</v>
      </c>
      <c r="L177" t="n">
        <v>0</v>
      </c>
      <c r="M177" t="n">
        <v>0</v>
      </c>
      <c r="N177" t="n">
        <v>0</v>
      </c>
    </row>
    <row r="178">
      <c r="A178" t="inlineStr">
        <is>
          <t>issues of the manor</t>
        </is>
      </c>
      <c r="B178" t="inlineStr">
        <is>
          <t>1 shilling from wool locks sold at the shearing this year.</t>
        </is>
      </c>
      <c r="C178" t="n">
        <v>0.05</v>
      </c>
      <c r="D178" t="n">
        <v>0</v>
      </c>
      <c r="E178" t="n">
        <v>1</v>
      </c>
      <c r="F178" t="n">
        <v>0</v>
      </c>
      <c r="H178" t="n">
        <v>0</v>
      </c>
      <c r="I178" t="n">
        <v>0</v>
      </c>
      <c r="J178" t="n">
        <v>0</v>
      </c>
      <c r="K178" t="n">
        <v>0</v>
      </c>
      <c r="L178" t="n">
        <v>0</v>
      </c>
      <c r="M178" t="n">
        <v>0</v>
      </c>
      <c r="N178" t="n">
        <v>0</v>
      </c>
    </row>
    <row r="179">
      <c r="A179" t="inlineStr">
        <is>
          <t>issues of the manor</t>
        </is>
      </c>
      <c r="B179" t="inlineStr">
        <is>
          <t>nothing from the sale of geese or capons this year.</t>
        </is>
      </c>
      <c r="C179" t="n">
        <v>0</v>
      </c>
      <c r="D179" t="n">
        <v>0</v>
      </c>
      <c r="E179" t="n">
        <v>0</v>
      </c>
      <c r="F179" t="n">
        <v>0</v>
      </c>
      <c r="H179" t="n">
        <v>0</v>
      </c>
      <c r="I179" t="n">
        <v>0</v>
      </c>
      <c r="J179" t="n">
        <v>0</v>
      </c>
      <c r="K179" t="n">
        <v>0</v>
      </c>
      <c r="L179" t="n">
        <v>0</v>
      </c>
      <c r="M179" t="n">
        <v>0</v>
      </c>
      <c r="N179" t="n">
        <v>0</v>
      </c>
    </row>
    <row r="180">
      <c r="A180" t="inlineStr">
        <is>
          <t>issues of the manor</t>
        </is>
      </c>
      <c r="B180" t="inlineStr">
        <is>
          <t>2 shilling from 12 cocks and hens sold, at 2pence each.</t>
        </is>
      </c>
      <c r="C180" t="n">
        <v>0.11</v>
      </c>
      <c r="D180" t="n">
        <v>0</v>
      </c>
      <c r="E180" t="n">
        <v>2</v>
      </c>
      <c r="F180" t="n">
        <v>2</v>
      </c>
      <c r="H180" t="n">
        <v>0</v>
      </c>
      <c r="I180" t="n">
        <v>0</v>
      </c>
      <c r="J180" t="n">
        <v>0</v>
      </c>
      <c r="K180" t="n">
        <v>0</v>
      </c>
      <c r="L180" t="n">
        <v>0</v>
      </c>
      <c r="M180" t="n">
        <v>0</v>
      </c>
      <c r="N180" t="n">
        <v>0</v>
      </c>
    </row>
    <row r="181">
      <c r="A181" t="inlineStr">
        <is>
          <t>issues of the manor</t>
        </is>
      </c>
      <c r="B181" t="inlineStr">
        <is>
          <t>nothing from hens' eggs sold this year.</t>
        </is>
      </c>
      <c r="C181" t="n">
        <v>0</v>
      </c>
      <c r="D181" t="n">
        <v>0</v>
      </c>
      <c r="E181" t="n">
        <v>0</v>
      </c>
      <c r="F181" t="n">
        <v>0</v>
      </c>
      <c r="H181" t="n">
        <v>0</v>
      </c>
      <c r="I181" t="n">
        <v>0</v>
      </c>
      <c r="J181" t="n">
        <v>0</v>
      </c>
      <c r="K181" t="n">
        <v>0</v>
      </c>
      <c r="L181" t="n">
        <v>0</v>
      </c>
      <c r="M181" t="n">
        <v>0</v>
      </c>
      <c r="N181" t="n">
        <v>0</v>
      </c>
    </row>
    <row r="182">
      <c r="A182" t="inlineStr">
        <is>
          <t>issues of the manor</t>
        </is>
      </c>
      <c r="B182" t="inlineStr">
        <is>
          <t>nothing from the issue of the dovecote because it pertains to the farmer.</t>
        </is>
      </c>
      <c r="C182" t="n">
        <v>0</v>
      </c>
      <c r="D182" t="n">
        <v>0</v>
      </c>
      <c r="E182" t="n">
        <v>0</v>
      </c>
      <c r="F182" t="n">
        <v>0</v>
      </c>
      <c r="H182" t="n">
        <v>0</v>
      </c>
      <c r="I182" t="n">
        <v>0</v>
      </c>
      <c r="J182" t="n">
        <v>0</v>
      </c>
      <c r="K182" t="n">
        <v>0</v>
      </c>
      <c r="L182" t="n">
        <v>0</v>
      </c>
      <c r="M182" t="n">
        <v>0</v>
      </c>
      <c r="N182" t="n">
        <v>0</v>
      </c>
    </row>
    <row r="183">
      <c r="A183" t="inlineStr">
        <is>
          <t>issues of the manor</t>
        </is>
      </c>
      <c r="B183"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183" t="n">
        <v>13.05</v>
      </c>
      <c r="D183" t="n">
        <v>13</v>
      </c>
      <c r="E183" t="n">
        <v>1</v>
      </c>
      <c r="F183" t="n">
        <v>0</v>
      </c>
      <c r="H183" t="n">
        <v>0</v>
      </c>
      <c r="I183" t="n">
        <v>0</v>
      </c>
      <c r="J183" t="n">
        <v>0</v>
      </c>
      <c r="K183" t="n">
        <v>0</v>
      </c>
      <c r="L183" t="n">
        <v>0</v>
      </c>
      <c r="M183" t="n">
        <v>0</v>
      </c>
      <c r="N183" t="n">
        <v>0</v>
      </c>
    </row>
    <row r="184">
      <c r="A184" t="inlineStr">
        <is>
          <t>issues of the manor</t>
        </is>
      </c>
      <c r="B184" t="inlineStr">
        <is>
          <t>nothing from the milking of cows this year because there are none.</t>
        </is>
      </c>
      <c r="C184" t="n">
        <v>0</v>
      </c>
      <c r="D184" t="n">
        <v>0</v>
      </c>
      <c r="E184" t="n">
        <v>0</v>
      </c>
      <c r="F184" t="n">
        <v>0</v>
      </c>
      <c r="H184" t="n">
        <v>0</v>
      </c>
      <c r="I184" t="n">
        <v>0</v>
      </c>
      <c r="J184" t="n">
        <v>0</v>
      </c>
      <c r="K184" t="n">
        <v>0</v>
      </c>
      <c r="L184" t="n">
        <v>0</v>
      </c>
      <c r="M184" t="n">
        <v>0</v>
      </c>
      <c r="N184" t="n">
        <v>0</v>
      </c>
    </row>
    <row r="185">
      <c r="A185" t="inlineStr">
        <is>
          <t>issues of the manor</t>
        </is>
      </c>
      <c r="B185"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185" t="n">
        <v>7</v>
      </c>
      <c r="D185" t="n">
        <v>7</v>
      </c>
      <c r="E185" t="n">
        <v>0</v>
      </c>
      <c r="F185" t="n">
        <v>0</v>
      </c>
      <c r="H185" t="n">
        <v>0</v>
      </c>
      <c r="I185" t="n">
        <v>0</v>
      </c>
      <c r="J185" t="n">
        <v>0</v>
      </c>
      <c r="K185" t="n">
        <v>0</v>
      </c>
      <c r="L185" t="n">
        <v>0</v>
      </c>
      <c r="M185" t="n">
        <v>0</v>
      </c>
      <c r="N185" t="n">
        <v>0</v>
      </c>
    </row>
    <row r="186">
      <c r="A186" t="inlineStr">
        <is>
          <t>issues of the manor</t>
        </is>
      </c>
      <c r="B186"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186" t="n">
        <v>0.82</v>
      </c>
      <c r="D186" t="n">
        <v>0</v>
      </c>
      <c r="E186" t="n">
        <v>16</v>
      </c>
      <c r="F186" t="n">
        <v>4</v>
      </c>
      <c r="H186" t="n">
        <v>0</v>
      </c>
      <c r="I186" t="n">
        <v>0</v>
      </c>
      <c r="J186" t="n">
        <v>0</v>
      </c>
      <c r="K186" t="n">
        <v>0</v>
      </c>
      <c r="L186" t="n">
        <v>0</v>
      </c>
      <c r="M186" t="n">
        <v>0</v>
      </c>
      <c r="N186" t="n">
        <v>0</v>
      </c>
    </row>
    <row r="187">
      <c r="A187" t="inlineStr">
        <is>
          <t>issues of the manor</t>
        </is>
      </c>
      <c r="B187" t="inlineStr">
        <is>
          <t>4 shilling 4pence from 4 cotlands in hailey and crawley in the lord's hands, on top of the fixed rent and tithingpenny for' the same, charged above and below, at 1 shilling 1pence for each cotland.</t>
        </is>
      </c>
      <c r="C187" t="n">
        <v>0.22</v>
      </c>
      <c r="D187" t="n">
        <v>0</v>
      </c>
      <c r="E187" t="n">
        <v>4</v>
      </c>
      <c r="F187" t="n">
        <v>4</v>
      </c>
      <c r="H187" t="n">
        <v>0</v>
      </c>
      <c r="I187" t="n">
        <v>0</v>
      </c>
      <c r="J187" t="n">
        <v>0</v>
      </c>
      <c r="K187" t="n">
        <v>0</v>
      </c>
      <c r="L187" t="n">
        <v>0</v>
      </c>
      <c r="M187" t="n">
        <v>0</v>
      </c>
      <c r="N187" t="n">
        <v>0</v>
      </c>
    </row>
    <row r="188">
      <c r="A188" t="inlineStr">
        <is>
          <t>issues of the manor</t>
        </is>
      </c>
      <c r="B188" t="inlineStr">
        <is>
          <t>nothing from the sale of thorns this year.</t>
        </is>
      </c>
      <c r="C188" t="n">
        <v>0</v>
      </c>
      <c r="D188" t="n">
        <v>0</v>
      </c>
      <c r="E188" t="n">
        <v>0</v>
      </c>
      <c r="F188" t="n">
        <v>0</v>
      </c>
      <c r="H188" t="n">
        <v>0</v>
      </c>
      <c r="I188" t="n">
        <v>0</v>
      </c>
      <c r="J188" t="n">
        <v>0</v>
      </c>
      <c r="K188" t="n">
        <v>0</v>
      </c>
      <c r="L188" t="n">
        <v>0</v>
      </c>
      <c r="M188" t="n">
        <v>0</v>
      </c>
      <c r="N188" t="n">
        <v>0</v>
      </c>
    </row>
    <row r="189">
      <c r="A189" t="inlineStr">
        <is>
          <t>issues of the manor</t>
        </is>
      </c>
      <c r="B189" t="inlineStr">
        <is>
          <t>1 shilling 4pence from thomas carpent' for the quarry with the lime-pit beside wodefordesmull', demised to him and his for 20 years, this year being the eighth.</t>
        </is>
      </c>
      <c r="C189" t="n">
        <v>0.07000000000000001</v>
      </c>
      <c r="D189" t="n">
        <v>0</v>
      </c>
      <c r="E189" t="n">
        <v>1</v>
      </c>
      <c r="F189" t="n">
        <v>4</v>
      </c>
      <c r="H189" t="n">
        <v>0</v>
      </c>
      <c r="I189" t="n">
        <v>0</v>
      </c>
      <c r="J189" t="n">
        <v>0</v>
      </c>
      <c r="K189" t="n">
        <v>0</v>
      </c>
      <c r="L189" t="n">
        <v>0</v>
      </c>
      <c r="M189" t="n">
        <v>0</v>
      </c>
      <c r="N189" t="n">
        <v>0</v>
      </c>
    </row>
    <row r="190">
      <c r="A190" t="inlineStr">
        <is>
          <t>issues of the manor</t>
        </is>
      </c>
      <c r="B190" t="inlineStr">
        <is>
          <t>2 shilling from 1 parcel of meadow called swonesham containing 1 rood, demised to henry barkesdale for the term of his life.</t>
        </is>
      </c>
      <c r="C190" t="n">
        <v>0.1</v>
      </c>
      <c r="D190" t="n">
        <v>0</v>
      </c>
      <c r="E190" t="n">
        <v>2</v>
      </c>
      <c r="F190" t="n">
        <v>0</v>
      </c>
      <c r="H190" t="n">
        <v>0</v>
      </c>
      <c r="I190" t="n">
        <v>0</v>
      </c>
      <c r="J190" t="n">
        <v>0</v>
      </c>
      <c r="K190" t="n">
        <v>0</v>
      </c>
      <c r="L190" t="n">
        <v>0</v>
      </c>
      <c r="M190" t="n">
        <v>0</v>
      </c>
      <c r="N190" t="n">
        <v>0</v>
      </c>
    </row>
    <row r="191">
      <c r="A191" t="inlineStr">
        <is>
          <t>issues of the manor</t>
        </is>
      </c>
      <c r="B191" t="inlineStr">
        <is>
          <t>nothing from the bark of oaks felled in the park this year.</t>
        </is>
      </c>
      <c r="C191" t="n">
        <v>0</v>
      </c>
      <c r="D191" t="n">
        <v>0</v>
      </c>
      <c r="E191" t="n">
        <v>0</v>
      </c>
      <c r="F191" t="n">
        <v>0</v>
      </c>
      <c r="H191" t="n">
        <v>0</v>
      </c>
      <c r="I191" t="n">
        <v>0</v>
      </c>
      <c r="J191" t="n">
        <v>0</v>
      </c>
      <c r="K191" t="n">
        <v>0</v>
      </c>
      <c r="L191" t="n">
        <v>0</v>
      </c>
      <c r="M191" t="n">
        <v>0</v>
      </c>
      <c r="N191" t="n">
        <v>0</v>
      </c>
    </row>
    <row r="192">
      <c r="A192" t="inlineStr">
        <is>
          <t>issues of the manor</t>
        </is>
      </c>
      <c r="B192" t="inlineStr">
        <is>
          <t>nothing from hides this year.</t>
        </is>
      </c>
      <c r="C192" t="n">
        <v>0</v>
      </c>
      <c r="D192" t="n">
        <v>0</v>
      </c>
      <c r="E192" t="n">
        <v>0</v>
      </c>
      <c r="F192" t="n">
        <v>0</v>
      </c>
      <c r="H192" t="n">
        <v>0</v>
      </c>
      <c r="I192" t="n">
        <v>0</v>
      </c>
      <c r="J192" t="n">
        <v>0</v>
      </c>
      <c r="K192" t="n">
        <v>0</v>
      </c>
      <c r="L192" t="n">
        <v>0</v>
      </c>
      <c r="M192" t="n">
        <v>0</v>
      </c>
      <c r="N192" t="n">
        <v>0</v>
      </c>
    </row>
    <row r="193">
      <c r="A193" t="inlineStr">
        <is>
          <t>issues of the manor</t>
        </is>
      </c>
      <c r="B193" t="inlineStr">
        <is>
          <t>£7 1 shilling 3pence from 339 woolskins sold as made clear elsewhere, at 5pence a skin.</t>
        </is>
      </c>
      <c r="C193" t="n">
        <v>7.06</v>
      </c>
      <c r="D193" t="n">
        <v>7</v>
      </c>
      <c r="E193" t="n">
        <v>1</v>
      </c>
      <c r="F193" t="n">
        <v>3</v>
      </c>
      <c r="H193" t="n">
        <v>0</v>
      </c>
      <c r="I193" t="n">
        <v>0</v>
      </c>
      <c r="J193" t="n">
        <v>0</v>
      </c>
      <c r="K193" t="n">
        <v>0</v>
      </c>
      <c r="L193" t="n">
        <v>0</v>
      </c>
      <c r="M193" t="n">
        <v>0</v>
      </c>
      <c r="N193" t="n">
        <v>0</v>
      </c>
    </row>
    <row r="194">
      <c r="A194" t="inlineStr">
        <is>
          <t>issues of the manor</t>
        </is>
      </c>
      <c r="B194" t="inlineStr">
        <is>
          <t>1 shilling 2pence from 14 bare skins sold as made clear elsewhere, at 1pence a skin.</t>
        </is>
      </c>
      <c r="C194" t="n">
        <v>0.06</v>
      </c>
      <c r="D194" t="n">
        <v>0</v>
      </c>
      <c r="E194" t="n">
        <v>1</v>
      </c>
      <c r="F194" t="n">
        <v>2</v>
      </c>
      <c r="H194" t="n">
        <v>0</v>
      </c>
      <c r="I194" t="n">
        <v>0</v>
      </c>
      <c r="J194" t="n">
        <v>0</v>
      </c>
      <c r="K194" t="n">
        <v>0</v>
      </c>
      <c r="L194" t="n">
        <v>0</v>
      </c>
      <c r="M194" t="n">
        <v>0</v>
      </c>
      <c r="N194" t="n">
        <v>0</v>
      </c>
    </row>
    <row r="195">
      <c r="A195" t="inlineStr">
        <is>
          <t>issues of the manor</t>
        </is>
      </c>
      <c r="B195" t="inlineStr">
        <is>
          <t>5.5pence from 11 lambskins sold as made clear elsewhere, at .5pence a skin.</t>
        </is>
      </c>
      <c r="C195" t="n">
        <v>0.02</v>
      </c>
      <c r="D195" t="n">
        <v>0</v>
      </c>
      <c r="E195" t="n">
        <v>0</v>
      </c>
      <c r="F195" t="n">
        <v>5.5</v>
      </c>
      <c r="H195" t="n">
        <v>0</v>
      </c>
      <c r="I195" t="n">
        <v>0</v>
      </c>
      <c r="J195" t="n">
        <v>0</v>
      </c>
      <c r="K195" t="n">
        <v>0</v>
      </c>
      <c r="L195" t="n">
        <v>0</v>
      </c>
      <c r="M195" t="n">
        <v>0</v>
      </c>
      <c r="N195" t="n">
        <v>0</v>
      </c>
    </row>
    <row r="196">
      <c r="A196" t="inlineStr">
        <is>
          <t>issues of the manor</t>
        </is>
      </c>
      <c r="B196" t="inlineStr">
        <is>
          <t>3pence from 1 lb of cumin sold as made clear elsewhere.</t>
        </is>
      </c>
      <c r="C196" t="n">
        <v>0.01</v>
      </c>
      <c r="D196" t="n">
        <v>0</v>
      </c>
      <c r="E196" t="n">
        <v>0</v>
      </c>
      <c r="F196" t="n">
        <v>3</v>
      </c>
      <c r="H196" t="n">
        <v>0</v>
      </c>
      <c r="I196" t="n">
        <v>0</v>
      </c>
      <c r="J196" t="n">
        <v>0</v>
      </c>
      <c r="K196" t="n">
        <v>0</v>
      </c>
      <c r="L196" t="n">
        <v>0</v>
      </c>
      <c r="M196" t="n">
        <v>0</v>
      </c>
      <c r="N196" t="n">
        <v>0</v>
      </c>
    </row>
    <row r="197">
      <c r="A197" t="inlineStr">
        <is>
          <t>issues of the manor</t>
        </is>
      </c>
      <c r="B197" t="inlineStr">
        <is>
          <t>10 shilling from the herbage of 9 acres of meadow in mechulfulneye sold this year.</t>
        </is>
      </c>
      <c r="C197" t="n">
        <v>0.5</v>
      </c>
      <c r="D197" t="n">
        <v>0</v>
      </c>
      <c r="E197" t="n">
        <v>10</v>
      </c>
      <c r="F197" t="n">
        <v>0</v>
      </c>
      <c r="H197" t="n">
        <v>0</v>
      </c>
      <c r="I197" t="n">
        <v>0</v>
      </c>
      <c r="J197" t="n">
        <v>0</v>
      </c>
      <c r="K197" t="n">
        <v>0</v>
      </c>
      <c r="L197" t="n">
        <v>0</v>
      </c>
      <c r="M197" t="n">
        <v>0</v>
      </c>
      <c r="N197" t="n">
        <v>0</v>
      </c>
    </row>
    <row r="198">
      <c r="A198" t="inlineStr">
        <is>
          <t>issues of the manor</t>
        </is>
      </c>
      <c r="B198" t="inlineStr">
        <is>
          <t>3 shilling 2pence from thomas smyth' for 9.5 acres in shakenoak and oldeassart.</t>
        </is>
      </c>
      <c r="C198" t="n">
        <v>0.16</v>
      </c>
      <c r="D198" t="n">
        <v>0</v>
      </c>
      <c r="E198" t="n">
        <v>3</v>
      </c>
      <c r="F198" t="n">
        <v>2</v>
      </c>
      <c r="H198" t="n">
        <v>0</v>
      </c>
      <c r="I198" t="n">
        <v>0</v>
      </c>
      <c r="J198" t="n">
        <v>0</v>
      </c>
      <c r="K198" t="n">
        <v>0</v>
      </c>
      <c r="L198" t="n">
        <v>0</v>
      </c>
      <c r="M198" t="n">
        <v>0</v>
      </c>
      <c r="N198" t="n">
        <v>0</v>
      </c>
    </row>
    <row r="199">
      <c r="A199" t="inlineStr">
        <is>
          <t>issues of the manor</t>
        </is>
      </c>
      <c r="B199" t="inlineStr">
        <is>
          <t>2 shilling from john taillour for 9 acres there.</t>
        </is>
      </c>
      <c r="C199" t="n">
        <v>0.1</v>
      </c>
      <c r="D199" t="n">
        <v>0</v>
      </c>
      <c r="E199" t="n">
        <v>2</v>
      </c>
      <c r="F199" t="n">
        <v>0</v>
      </c>
      <c r="H199" t="n">
        <v>0</v>
      </c>
      <c r="I199" t="n">
        <v>0</v>
      </c>
      <c r="J199" t="n">
        <v>0</v>
      </c>
      <c r="K199" t="n">
        <v>0</v>
      </c>
      <c r="L199" t="n">
        <v>0</v>
      </c>
      <c r="M199" t="n">
        <v>0</v>
      </c>
      <c r="N199" t="n">
        <v>0</v>
      </c>
    </row>
    <row r="200">
      <c r="A200" t="inlineStr">
        <is>
          <t>issues of the manor</t>
        </is>
      </c>
      <c r="B200" t="inlineStr">
        <is>
          <t>6pence from john tunforde for 1.5 acres there.</t>
        </is>
      </c>
      <c r="C200" t="n">
        <v>0.03</v>
      </c>
      <c r="D200" t="n">
        <v>0</v>
      </c>
      <c r="E200" t="n">
        <v>0</v>
      </c>
      <c r="F200" t="n">
        <v>6</v>
      </c>
      <c r="H200" t="n">
        <v>0</v>
      </c>
      <c r="I200" t="n">
        <v>0</v>
      </c>
      <c r="J200" t="n">
        <v>0</v>
      </c>
      <c r="K200" t="n">
        <v>0</v>
      </c>
      <c r="L200" t="n">
        <v>0</v>
      </c>
      <c r="M200" t="n">
        <v>0</v>
      </c>
      <c r="N200" t="n">
        <v>0</v>
      </c>
    </row>
    <row r="201">
      <c r="A201" t="inlineStr">
        <is>
          <t>issues of the manor</t>
        </is>
      </c>
      <c r="B201" t="inlineStr">
        <is>
          <t>2 shilling 4pence from john revesoune for 7 acres there.</t>
        </is>
      </c>
      <c r="C201" t="n">
        <v>0.12</v>
      </c>
      <c r="D201" t="n">
        <v>0</v>
      </c>
      <c r="E201" t="n">
        <v>2</v>
      </c>
      <c r="F201" t="n">
        <v>4</v>
      </c>
      <c r="H201" t="n">
        <v>0</v>
      </c>
      <c r="I201" t="n">
        <v>0</v>
      </c>
      <c r="J201" t="n">
        <v>0</v>
      </c>
      <c r="K201" t="n">
        <v>0</v>
      </c>
      <c r="L201" t="n">
        <v>0</v>
      </c>
      <c r="M201" t="n">
        <v>0</v>
      </c>
      <c r="N201" t="n">
        <v>0</v>
      </c>
    </row>
    <row r="202">
      <c r="A202" t="inlineStr">
        <is>
          <t>issues of the manor</t>
        </is>
      </c>
      <c r="B202" t="inlineStr">
        <is>
          <t>1 shilling 6pence from william dunhalle for 4.5 acres.</t>
        </is>
      </c>
      <c r="C202" t="n">
        <v>0.08</v>
      </c>
      <c r="D202" t="n">
        <v>0</v>
      </c>
      <c r="E202" t="n">
        <v>1</v>
      </c>
      <c r="F202" t="n">
        <v>6</v>
      </c>
      <c r="H202" t="n">
        <v>0</v>
      </c>
      <c r="I202" t="n">
        <v>0</v>
      </c>
      <c r="J202" t="n">
        <v>0</v>
      </c>
      <c r="K202" t="n">
        <v>0</v>
      </c>
      <c r="L202" t="n">
        <v>0</v>
      </c>
      <c r="M202" t="n">
        <v>0</v>
      </c>
      <c r="N202" t="n">
        <v>0</v>
      </c>
    </row>
    <row r="203">
      <c r="A203" t="inlineStr">
        <is>
          <t>issues of the manor</t>
        </is>
      </c>
      <c r="B203" t="inlineStr">
        <is>
          <t>1 shilling 6pence from thomas weston' for 3.5 acres in cokshetesassart.</t>
        </is>
      </c>
      <c r="C203" t="n">
        <v>0.08</v>
      </c>
      <c r="D203" t="n">
        <v>0</v>
      </c>
      <c r="E203" t="n">
        <v>1</v>
      </c>
      <c r="F203" t="n">
        <v>6</v>
      </c>
      <c r="H203" t="n">
        <v>0</v>
      </c>
      <c r="I203" t="n">
        <v>0</v>
      </c>
      <c r="J203" t="n">
        <v>0</v>
      </c>
      <c r="K203" t="n">
        <v>0</v>
      </c>
      <c r="L203" t="n">
        <v>0</v>
      </c>
      <c r="M203" t="n">
        <v>0</v>
      </c>
      <c r="N203" t="n">
        <v>0</v>
      </c>
    </row>
    <row r="204">
      <c r="A204" t="inlineStr">
        <is>
          <t>issues of the manor</t>
        </is>
      </c>
      <c r="B204" t="inlineStr">
        <is>
          <t>1 shilling 10pence from john wardon' for 5.5 acres in oldeassart.</t>
        </is>
      </c>
      <c r="C204" t="n">
        <v>0.09</v>
      </c>
      <c r="D204" t="n">
        <v>0</v>
      </c>
      <c r="E204" t="n">
        <v>1</v>
      </c>
      <c r="F204" t="n">
        <v>10</v>
      </c>
      <c r="H204" t="n">
        <v>0</v>
      </c>
      <c r="I204" t="n">
        <v>0</v>
      </c>
      <c r="J204" t="n">
        <v>0</v>
      </c>
      <c r="K204" t="n">
        <v>0</v>
      </c>
      <c r="L204" t="n">
        <v>0</v>
      </c>
      <c r="M204" t="n">
        <v>0</v>
      </c>
      <c r="N204" t="n">
        <v>0</v>
      </c>
    </row>
    <row r="205">
      <c r="A205" t="inlineStr">
        <is>
          <t>issues of the manor</t>
        </is>
      </c>
      <c r="B205" t="inlineStr">
        <is>
          <t>1 shilling from john sherwynd for 3 acres there.</t>
        </is>
      </c>
      <c r="C205" t="n">
        <v>0.05</v>
      </c>
      <c r="D205" t="n">
        <v>0</v>
      </c>
      <c r="E205" t="n">
        <v>1</v>
      </c>
      <c r="F205" t="n">
        <v>0</v>
      </c>
      <c r="H205" t="n">
        <v>0</v>
      </c>
      <c r="I205" t="n">
        <v>0</v>
      </c>
      <c r="J205" t="n">
        <v>0</v>
      </c>
      <c r="K205" t="n">
        <v>0</v>
      </c>
      <c r="L205" t="n">
        <v>0</v>
      </c>
      <c r="M205" t="n">
        <v>0</v>
      </c>
      <c r="N205" t="n">
        <v>0</v>
      </c>
    </row>
    <row r="206">
      <c r="A206" t="inlineStr">
        <is>
          <t>issues of the manor</t>
        </is>
      </c>
      <c r="B206" t="inlineStr">
        <is>
          <t>1 shilling 8pence from william haukyn for 5 acres there.</t>
        </is>
      </c>
      <c r="C206" t="n">
        <v>0.08</v>
      </c>
      <c r="D206" t="n">
        <v>0</v>
      </c>
      <c r="E206" t="n">
        <v>1</v>
      </c>
      <c r="F206" t="n">
        <v>8</v>
      </c>
      <c r="H206" t="n">
        <v>0</v>
      </c>
      <c r="I206" t="n">
        <v>0</v>
      </c>
      <c r="J206" t="n">
        <v>0</v>
      </c>
      <c r="K206" t="n">
        <v>0</v>
      </c>
      <c r="L206" t="n">
        <v>0</v>
      </c>
      <c r="M206" t="n">
        <v>0</v>
      </c>
      <c r="N206" t="n">
        <v>0</v>
      </c>
    </row>
    <row r="207">
      <c r="A207" t="inlineStr">
        <is>
          <t>issues of the manor</t>
        </is>
      </c>
      <c r="B207" t="inlineStr">
        <is>
          <t>1 shilling from john poughele for 3 acres in neweassart.</t>
        </is>
      </c>
      <c r="C207" t="n">
        <v>0.05</v>
      </c>
      <c r="D207" t="n">
        <v>0</v>
      </c>
      <c r="E207" t="n">
        <v>1</v>
      </c>
      <c r="F207" t="n">
        <v>0</v>
      </c>
      <c r="H207" t="n">
        <v>0</v>
      </c>
      <c r="I207" t="n">
        <v>0</v>
      </c>
      <c r="J207" t="n">
        <v>0</v>
      </c>
      <c r="K207" t="n">
        <v>0</v>
      </c>
      <c r="L207" t="n">
        <v>0</v>
      </c>
      <c r="M207" t="n">
        <v>0</v>
      </c>
      <c r="N207" t="n">
        <v>0</v>
      </c>
    </row>
    <row r="208">
      <c r="A208" t="inlineStr">
        <is>
          <t>issues of the manor</t>
        </is>
      </c>
      <c r="B208" t="inlineStr">
        <is>
          <t>1 shilling 8pence from william colyns for 5 acres there.</t>
        </is>
      </c>
      <c r="C208" t="n">
        <v>0.08</v>
      </c>
      <c r="D208" t="n">
        <v>0</v>
      </c>
      <c r="E208" t="n">
        <v>1</v>
      </c>
      <c r="F208" t="n">
        <v>8</v>
      </c>
      <c r="H208" t="n">
        <v>0</v>
      </c>
      <c r="I208" t="n">
        <v>0</v>
      </c>
      <c r="J208" t="n">
        <v>0</v>
      </c>
      <c r="K208" t="n">
        <v>0</v>
      </c>
      <c r="L208" t="n">
        <v>0</v>
      </c>
      <c r="M208" t="n">
        <v>0</v>
      </c>
      <c r="N208" t="n">
        <v>0</v>
      </c>
    </row>
    <row r="209">
      <c r="A209" t="inlineStr">
        <is>
          <t>issues of the manor</t>
        </is>
      </c>
      <c r="B209" t="inlineStr">
        <is>
          <t>1 shilling from john wyllam' for 3 acres there.</t>
        </is>
      </c>
      <c r="C209" t="n">
        <v>0.05</v>
      </c>
      <c r="D209" t="n">
        <v>0</v>
      </c>
      <c r="E209" t="n">
        <v>1</v>
      </c>
      <c r="F209" t="n">
        <v>0</v>
      </c>
      <c r="H209" t="n">
        <v>0</v>
      </c>
      <c r="I209" t="n">
        <v>0</v>
      </c>
      <c r="J209" t="n">
        <v>0</v>
      </c>
      <c r="K209" t="n">
        <v>0</v>
      </c>
      <c r="L209" t="n">
        <v>0</v>
      </c>
      <c r="M209" t="n">
        <v>0</v>
      </c>
      <c r="N209" t="n">
        <v>0</v>
      </c>
    </row>
    <row r="210">
      <c r="A210" t="inlineStr">
        <is>
          <t>issues of the manor</t>
        </is>
      </c>
      <c r="B210" t="inlineStr">
        <is>
          <t>1 shilling 2pence from john haryot' for 1 piece of assarted land called clerkesassart and''/ acre there demised to him and his for 40 years, this year being the seventh.</t>
        </is>
      </c>
      <c r="C210" t="n">
        <v>0.06</v>
      </c>
      <c r="D210" t="n">
        <v>0</v>
      </c>
      <c r="E210" t="n">
        <v>1</v>
      </c>
      <c r="F210" t="n">
        <v>2</v>
      </c>
      <c r="H210" t="n">
        <v>0</v>
      </c>
      <c r="I210" t="n">
        <v>0</v>
      </c>
      <c r="J210" t="n">
        <v>0</v>
      </c>
      <c r="K210" t="n">
        <v>0</v>
      </c>
      <c r="L210" t="n">
        <v>0</v>
      </c>
      <c r="M210" t="n">
        <v>0</v>
      </c>
      <c r="N210" t="n">
        <v>0</v>
      </c>
    </row>
    <row r="211">
      <c r="A211" t="inlineStr">
        <is>
          <t>issues of the manor</t>
        </is>
      </c>
      <c r="B211" t="inlineStr">
        <is>
          <t>1 shilling from margaret mason' for 3 acres in knavenhale.</t>
        </is>
      </c>
      <c r="C211" t="n">
        <v>0.05</v>
      </c>
      <c r="D211" t="n">
        <v>0</v>
      </c>
      <c r="E211" t="n">
        <v>1</v>
      </c>
      <c r="F211" t="n">
        <v>0</v>
      </c>
      <c r="H211" t="n">
        <v>0</v>
      </c>
      <c r="I211" t="n">
        <v>0</v>
      </c>
      <c r="J211" t="n">
        <v>0</v>
      </c>
      <c r="K211" t="n">
        <v>0</v>
      </c>
      <c r="L211" t="n">
        <v>0</v>
      </c>
      <c r="M211" t="n">
        <v>0</v>
      </c>
      <c r="N211" t="n">
        <v>0</v>
      </c>
    </row>
    <row r="212">
      <c r="A212" t="inlineStr">
        <is>
          <t>issues of the manor</t>
        </is>
      </c>
      <c r="B212" t="inlineStr">
        <is>
          <t>1 shilling from john hughes for 3 acres there.</t>
        </is>
      </c>
      <c r="C212" t="n">
        <v>0.05</v>
      </c>
      <c r="D212" t="n">
        <v>0</v>
      </c>
      <c r="E212" t="n">
        <v>1</v>
      </c>
      <c r="F212" t="n">
        <v>0</v>
      </c>
      <c r="H212" t="n">
        <v>0</v>
      </c>
      <c r="I212" t="n">
        <v>0</v>
      </c>
      <c r="J212" t="n">
        <v>0</v>
      </c>
      <c r="K212" t="n">
        <v>0</v>
      </c>
      <c r="L212" t="n">
        <v>0</v>
      </c>
      <c r="M212" t="n">
        <v>0</v>
      </c>
      <c r="N212" t="n">
        <v>0</v>
      </c>
    </row>
    <row r="213">
      <c r="A213" t="inlineStr">
        <is>
          <t>issues of the manor</t>
        </is>
      </c>
      <c r="B213" t="inlineStr">
        <is>
          <t>8pence from john aston' for 2 acres there.</t>
        </is>
      </c>
      <c r="C213" t="n">
        <v>0.03</v>
      </c>
      <c r="D213" t="n">
        <v>0</v>
      </c>
      <c r="E213" t="n">
        <v>0</v>
      </c>
      <c r="F213" t="n">
        <v>8</v>
      </c>
      <c r="H213" t="n">
        <v>0</v>
      </c>
      <c r="I213" t="n">
        <v>0</v>
      </c>
      <c r="J213" t="n">
        <v>0</v>
      </c>
      <c r="K213" t="n">
        <v>0</v>
      </c>
      <c r="L213" t="n">
        <v>0</v>
      </c>
      <c r="M213" t="n">
        <v>0</v>
      </c>
      <c r="N213" t="n">
        <v>0</v>
      </c>
    </row>
    <row r="214">
      <c r="A214" t="inlineStr">
        <is>
          <t>issues of the manor</t>
        </is>
      </c>
      <c r="B214" t="inlineStr">
        <is>
          <t>8pence from john smart for 2 acres in sexteneacres.</t>
        </is>
      </c>
      <c r="C214" t="n">
        <v>0.03</v>
      </c>
      <c r="D214" t="n">
        <v>0</v>
      </c>
      <c r="E214" t="n">
        <v>0</v>
      </c>
      <c r="F214" t="n">
        <v>8</v>
      </c>
      <c r="H214" t="n">
        <v>0</v>
      </c>
      <c r="I214" t="n">
        <v>0</v>
      </c>
      <c r="J214" t="n">
        <v>0</v>
      </c>
      <c r="K214" t="n">
        <v>0</v>
      </c>
      <c r="L214" t="n">
        <v>0</v>
      </c>
      <c r="M214" t="n">
        <v>0</v>
      </c>
      <c r="N214" t="n">
        <v>0</v>
      </c>
    </row>
    <row r="215">
      <c r="A215" t="inlineStr">
        <is>
          <t>issues of the manor</t>
        </is>
      </c>
      <c r="B215" t="inlineStr">
        <is>
          <t>4pence from walter assheby for 1 acre in' neweassart.</t>
        </is>
      </c>
      <c r="C215" t="n">
        <v>0.02</v>
      </c>
      <c r="D215" t="n">
        <v>0</v>
      </c>
      <c r="E215" t="n">
        <v>0</v>
      </c>
      <c r="F215" t="n">
        <v>4</v>
      </c>
      <c r="H215" t="n">
        <v>0</v>
      </c>
      <c r="I215" t="n">
        <v>0</v>
      </c>
      <c r="J215" t="n">
        <v>0</v>
      </c>
      <c r="K215" t="n">
        <v>0</v>
      </c>
      <c r="L215" t="n">
        <v>0</v>
      </c>
      <c r="M215" t="n">
        <v>0</v>
      </c>
      <c r="N215" t="n">
        <v>0</v>
      </c>
    </row>
    <row r="216">
      <c r="A216" t="inlineStr">
        <is>
          <t>issues of the manor</t>
        </is>
      </c>
      <c r="B216" t="inlineStr">
        <is>
          <t>8pence from richard sparhauk' for 2 acres there.</t>
        </is>
      </c>
      <c r="C216" t="n">
        <v>0.03</v>
      </c>
      <c r="D216" t="n">
        <v>0</v>
      </c>
      <c r="E216" t="n">
        <v>0</v>
      </c>
      <c r="F216" t="n">
        <v>8</v>
      </c>
      <c r="H216" t="n">
        <v>0</v>
      </c>
      <c r="I216" t="n">
        <v>0</v>
      </c>
      <c r="J216" t="n">
        <v>0</v>
      </c>
      <c r="K216" t="n">
        <v>0</v>
      </c>
      <c r="L216" t="n">
        <v>0</v>
      </c>
      <c r="M216" t="n">
        <v>0</v>
      </c>
      <c r="N216" t="n">
        <v>0</v>
      </c>
    </row>
    <row r="217">
      <c r="A217" t="inlineStr">
        <is>
          <t>issues of the manor</t>
        </is>
      </c>
      <c r="B217" t="inlineStr">
        <is>
          <t>1 shilling from john wheler' for 3 acres there.</t>
        </is>
      </c>
      <c r="C217" t="n">
        <v>0.05</v>
      </c>
      <c r="D217" t="n">
        <v>0</v>
      </c>
      <c r="E217" t="n">
        <v>1</v>
      </c>
      <c r="F217" t="n">
        <v>0</v>
      </c>
      <c r="H217" t="n">
        <v>0</v>
      </c>
      <c r="I217" t="n">
        <v>0</v>
      </c>
      <c r="J217" t="n">
        <v>0</v>
      </c>
      <c r="K217" t="n">
        <v>0</v>
      </c>
      <c r="L217" t="n">
        <v>0</v>
      </c>
      <c r="M217" t="n">
        <v>0</v>
      </c>
      <c r="N217" t="n">
        <v>0</v>
      </c>
    </row>
    <row r="218">
      <c r="A218" t="inlineStr">
        <is>
          <t>issues of the manor</t>
        </is>
      </c>
      <c r="B218" t="inlineStr">
        <is>
          <t>1 shilling from john pusle for 3 acres there.</t>
        </is>
      </c>
      <c r="C218" t="n">
        <v>0.05</v>
      </c>
      <c r="D218" t="n">
        <v>0</v>
      </c>
      <c r="E218" t="n">
        <v>1</v>
      </c>
      <c r="F218" t="n">
        <v>0</v>
      </c>
      <c r="H218" t="n">
        <v>0</v>
      </c>
      <c r="I218" t="n">
        <v>0</v>
      </c>
      <c r="J218" t="n">
        <v>0</v>
      </c>
      <c r="K218" t="n">
        <v>0</v>
      </c>
      <c r="L218" t="n">
        <v>0</v>
      </c>
      <c r="M218" t="n">
        <v>0</v>
      </c>
      <c r="N218" t="n">
        <v>0</v>
      </c>
    </row>
    <row r="219">
      <c r="A219" t="inlineStr">
        <is>
          <t>issues of the manor</t>
        </is>
      </c>
      <c r="B219" t="inlineStr">
        <is>
          <t>1 shilling from john horn' for 3 acres there.</t>
        </is>
      </c>
      <c r="C219" t="n">
        <v>0.05</v>
      </c>
      <c r="D219" t="n">
        <v>0</v>
      </c>
      <c r="E219" t="n">
        <v>1</v>
      </c>
      <c r="F219" t="n">
        <v>0</v>
      </c>
      <c r="H219" t="n">
        <v>0</v>
      </c>
      <c r="I219" t="n">
        <v>0</v>
      </c>
      <c r="J219" t="n">
        <v>0</v>
      </c>
      <c r="K219" t="n">
        <v>0</v>
      </c>
      <c r="L219" t="n">
        <v>0</v>
      </c>
      <c r="M219" t="n">
        <v>0</v>
      </c>
      <c r="N219" t="n">
        <v>0</v>
      </c>
    </row>
    <row r="220">
      <c r="A220" t="inlineStr">
        <is>
          <t>issues of the manor</t>
        </is>
      </c>
      <c r="B220" t="inlineStr">
        <is>
          <t>and he is charged for £4 of hay this year.</t>
        </is>
      </c>
      <c r="C220" t="n">
        <v>4</v>
      </c>
      <c r="D220" t="n">
        <v>4</v>
      </c>
      <c r="E220" t="n">
        <v>0</v>
      </c>
      <c r="F220" t="n">
        <v>0</v>
      </c>
      <c r="H220" t="n">
        <v>0</v>
      </c>
      <c r="I220" t="n">
        <v>0</v>
      </c>
      <c r="J220" t="n">
        <v>0</v>
      </c>
      <c r="K220" t="n">
        <v>0</v>
      </c>
      <c r="L220" t="n">
        <v>0</v>
      </c>
      <c r="M220" t="n">
        <v>0</v>
      </c>
      <c r="N220" t="n">
        <v>0</v>
      </c>
    </row>
    <row r="221">
      <c r="A221" t="inlineStr">
        <is>
          <t>issues of the manor</t>
        </is>
      </c>
      <c r="B221" t="inlineStr">
        <is>
          <t>total, £39 17 shilling 1.5pence.</t>
        </is>
      </c>
      <c r="C221" t="n">
        <v>39.86</v>
      </c>
      <c r="D221" t="n">
        <v>39</v>
      </c>
      <c r="E221" t="n">
        <v>17</v>
      </c>
      <c r="F221" t="n">
        <v>1.5</v>
      </c>
      <c r="H221" t="n">
        <v>0</v>
      </c>
      <c r="I221" t="n">
        <v>0</v>
      </c>
      <c r="J221" t="n">
        <v>0</v>
      </c>
      <c r="K221" t="n">
        <v>0</v>
      </c>
      <c r="L221" t="n">
        <v>0</v>
      </c>
      <c r="M221" t="n">
        <v>0</v>
      </c>
      <c r="N221" t="n">
        <v>0</v>
      </c>
    </row>
    <row r="222">
      <c r="A222" t="inlineStr">
        <is>
          <t>sale of stock</t>
        </is>
      </c>
      <c r="B222" t="inlineStr">
        <is>
          <t>and for 14 shilling from 1 horse from the heriot of richard lylywhyt sold as made clear elsewhere.</t>
        </is>
      </c>
      <c r="C222" t="n">
        <v>0.7</v>
      </c>
      <c r="D222" t="n">
        <v>0</v>
      </c>
      <c r="E222" t="n">
        <v>14</v>
      </c>
      <c r="F222" t="n">
        <v>0</v>
      </c>
      <c r="H222" t="n">
        <v>0</v>
      </c>
      <c r="I222" t="n">
        <v>0</v>
      </c>
      <c r="J222" t="n">
        <v>0</v>
      </c>
      <c r="K222" t="n">
        <v>0</v>
      </c>
      <c r="L222" t="n">
        <v>0</v>
      </c>
      <c r="M222" t="n">
        <v>0</v>
      </c>
      <c r="N222" t="n">
        <v>0</v>
      </c>
    </row>
    <row r="223">
      <c r="A223" t="inlineStr">
        <is>
          <t>sale of stock</t>
        </is>
      </c>
      <c r="B223" t="inlineStr">
        <is>
          <t>2 shilling from 1 colt from strays sold.</t>
        </is>
      </c>
      <c r="C223" t="n">
        <v>0.1</v>
      </c>
      <c r="D223" t="n">
        <v>0</v>
      </c>
      <c r="E223" t="n">
        <v>2</v>
      </c>
      <c r="F223" t="n">
        <v>0</v>
      </c>
      <c r="H223" t="n">
        <v>0</v>
      </c>
      <c r="I223" t="n">
        <v>0</v>
      </c>
      <c r="J223" t="n">
        <v>0</v>
      </c>
      <c r="K223" t="n">
        <v>0</v>
      </c>
      <c r="L223" t="n">
        <v>0</v>
      </c>
      <c r="M223" t="n">
        <v>0</v>
      </c>
      <c r="N223" t="n">
        <v>0</v>
      </c>
    </row>
    <row r="224">
      <c r="A224" t="inlineStr">
        <is>
          <t>sale of stock</t>
        </is>
      </c>
      <c r="B224" t="inlineStr">
        <is>
          <t>10 shilling from 1 cow from the heriot of john lewe sold by the steward.</t>
        </is>
      </c>
      <c r="C224" t="n">
        <v>0.5</v>
      </c>
      <c r="D224" t="n">
        <v>0</v>
      </c>
      <c r="E224" t="n">
        <v>10</v>
      </c>
      <c r="F224" t="n">
        <v>0</v>
      </c>
      <c r="H224" t="n">
        <v>0</v>
      </c>
      <c r="I224" t="n">
        <v>0</v>
      </c>
      <c r="J224" t="n">
        <v>0</v>
      </c>
      <c r="K224" t="n">
        <v>0</v>
      </c>
      <c r="L224" t="n">
        <v>0</v>
      </c>
      <c r="M224" t="n">
        <v>0</v>
      </c>
      <c r="N224" t="n">
        <v>0</v>
      </c>
    </row>
    <row r="225">
      <c r="A225" t="inlineStr">
        <is>
          <t>sale of stock</t>
        </is>
      </c>
      <c r="B225" t="inlineStr">
        <is>
          <t>£1 16 shilling 8pence from 22 kebb wethers sold before shearing, at 1 shilling 8pence each, as made clear elsewhere.</t>
        </is>
      </c>
      <c r="C225" t="n">
        <v>1.83</v>
      </c>
      <c r="D225" t="n">
        <v>1</v>
      </c>
      <c r="E225" t="n">
        <v>16</v>
      </c>
      <c r="F225" t="n">
        <v>8</v>
      </c>
      <c r="H225" t="n">
        <v>0</v>
      </c>
      <c r="I225" t="n">
        <v>0</v>
      </c>
      <c r="J225" t="n">
        <v>0</v>
      </c>
      <c r="K225" t="n">
        <v>0</v>
      </c>
      <c r="L225" t="n">
        <v>0</v>
      </c>
      <c r="M225" t="n">
        <v>0</v>
      </c>
      <c r="N225" t="n">
        <v>0</v>
      </c>
    </row>
    <row r="226">
      <c r="A226" t="inlineStr">
        <is>
          <t>sale of stock</t>
        </is>
      </c>
      <c r="B226" t="inlineStr">
        <is>
          <t>total, £3 2 shilling 8pence.</t>
        </is>
      </c>
      <c r="C226" t="n">
        <v>3.13</v>
      </c>
      <c r="D226" t="n">
        <v>3</v>
      </c>
      <c r="E226" t="n">
        <v>2</v>
      </c>
      <c r="F226" t="n">
        <v>8</v>
      </c>
      <c r="H226" t="n">
        <v>0</v>
      </c>
      <c r="I226" t="n">
        <v>0</v>
      </c>
      <c r="J226" t="n">
        <v>0</v>
      </c>
      <c r="K226" t="n">
        <v>0</v>
      </c>
      <c r="L226" t="n">
        <v>0</v>
      </c>
      <c r="M226" t="n">
        <v>0</v>
      </c>
      <c r="N226" t="n">
        <v>0</v>
      </c>
    </row>
    <row r="227">
      <c r="A227" t="inlineStr">
        <is>
          <t>entry and marriage fines</t>
        </is>
      </c>
      <c r="B227" t="inlineStr">
        <is>
          <t>and for £1 6 shilling 8pence from tithingpenny at the tourn of martinmas, of which the tithing of curbridge paid 12 shilling 6pence, the tithing of hailey 10 shilling 6pence and the tithing of crawley 3 shilling 8pence.</t>
        </is>
      </c>
      <c r="C227" t="n">
        <v>1.33</v>
      </c>
      <c r="D227" t="n">
        <v>1</v>
      </c>
      <c r="E227" t="n">
        <v>6</v>
      </c>
      <c r="F227" t="n">
        <v>8</v>
      </c>
      <c r="H227" t="n">
        <v>0</v>
      </c>
      <c r="I227" t="n">
        <v>0</v>
      </c>
      <c r="J227" t="n">
        <v>0</v>
      </c>
      <c r="K227" t="n">
        <v>0</v>
      </c>
      <c r="L227" t="n">
        <v>0</v>
      </c>
      <c r="M227" t="n">
        <v>0</v>
      </c>
      <c r="N227" t="n">
        <v>0</v>
      </c>
    </row>
    <row r="228">
      <c r="A228" t="inlineStr">
        <is>
          <t>entry and marriage fines</t>
        </is>
      </c>
      <c r="B228" t="inlineStr">
        <is>
          <t>£1 6 shilling 8pence from tithingpenny at the tourn of hockday.</t>
        </is>
      </c>
      <c r="C228" t="n">
        <v>1.33</v>
      </c>
      <c r="D228" t="n">
        <v>1</v>
      </c>
      <c r="E228" t="n">
        <v>6</v>
      </c>
      <c r="F228" t="n">
        <v>8</v>
      </c>
      <c r="H228" t="n">
        <v>0</v>
      </c>
      <c r="I228" t="n">
        <v>0</v>
      </c>
      <c r="J228" t="n">
        <v>0</v>
      </c>
      <c r="K228" t="n">
        <v>0</v>
      </c>
      <c r="L228" t="n">
        <v>0</v>
      </c>
      <c r="M228" t="n">
        <v>0</v>
      </c>
      <c r="N228" t="n">
        <v>0</v>
      </c>
    </row>
    <row r="229">
      <c r="A229" t="inlineStr">
        <is>
          <t>entry and marriage fines</t>
        </is>
      </c>
      <c r="B229"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229" t="n">
        <v>0.03</v>
      </c>
      <c r="D229" t="n">
        <v>0</v>
      </c>
      <c r="E229" t="n">
        <v>0</v>
      </c>
      <c r="F229" t="n">
        <v>6</v>
      </c>
      <c r="H229" t="n">
        <v>0</v>
      </c>
      <c r="I229" t="n">
        <v>0</v>
      </c>
      <c r="J229" t="n">
        <v>0</v>
      </c>
      <c r="K229" t="n">
        <v>0</v>
      </c>
      <c r="L229" t="n">
        <v>0</v>
      </c>
      <c r="M229" t="n">
        <v>0</v>
      </c>
      <c r="N229" t="n">
        <v>0</v>
      </c>
    </row>
    <row r="230">
      <c r="A230" t="inlineStr">
        <is>
          <t>entry and marriage fines</t>
        </is>
      </c>
      <c r="B230"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230" t="n">
        <v>0.1</v>
      </c>
      <c r="D230" t="n">
        <v>0</v>
      </c>
      <c r="E230" t="n">
        <v>2</v>
      </c>
      <c r="F230" t="n">
        <v>0</v>
      </c>
      <c r="H230" t="n">
        <v>0</v>
      </c>
      <c r="I230" t="n">
        <v>0</v>
      </c>
      <c r="J230" t="n">
        <v>0</v>
      </c>
      <c r="K230" t="n">
        <v>0</v>
      </c>
      <c r="L230" t="n">
        <v>0</v>
      </c>
      <c r="M230" t="n">
        <v>0</v>
      </c>
      <c r="N230" t="n">
        <v>0</v>
      </c>
    </row>
    <row r="231">
      <c r="A231" t="inlineStr">
        <is>
          <t>entry and marriage fines</t>
        </is>
      </c>
      <c r="B231" t="inlineStr">
        <is>
          <t>6pence from john pusle to have 1 plot of the lord's waste, 5 feet wide and 30 feet long, annexed to his tenement in hailey.</t>
        </is>
      </c>
      <c r="C231" t="n">
        <v>0.03</v>
      </c>
      <c r="D231" t="n">
        <v>0</v>
      </c>
      <c r="E231" t="n">
        <v>0</v>
      </c>
      <c r="F231" t="n">
        <v>6</v>
      </c>
      <c r="H231" t="n">
        <v>0</v>
      </c>
      <c r="I231" t="n">
        <v>0</v>
      </c>
      <c r="J231" t="n">
        <v>0</v>
      </c>
      <c r="K231" t="n">
        <v>0</v>
      </c>
      <c r="L231" t="n">
        <v>0</v>
      </c>
      <c r="M231" t="n">
        <v>0</v>
      </c>
      <c r="N231" t="n">
        <v>0</v>
      </c>
    </row>
    <row r="232">
      <c r="A232" t="inlineStr">
        <is>
          <t>entry and marriage fines</t>
        </is>
      </c>
      <c r="B232" t="inlineStr">
        <is>
          <t>8pence from john haukyns to have 1.5 acres of assarted land in the tithing of hailey in oldeassart beside rammesdemisraydyng which came into the lord's hands through the first pestilence.</t>
        </is>
      </c>
      <c r="C232" t="n">
        <v>0.03</v>
      </c>
      <c r="D232" t="n">
        <v>0</v>
      </c>
      <c r="E232" t="n">
        <v>0</v>
      </c>
      <c r="F232" t="n">
        <v>8</v>
      </c>
      <c r="H232" t="n">
        <v>0</v>
      </c>
      <c r="I232" t="n">
        <v>0</v>
      </c>
      <c r="J232" t="n">
        <v>0</v>
      </c>
      <c r="K232" t="n">
        <v>0</v>
      </c>
      <c r="L232" t="n">
        <v>0</v>
      </c>
      <c r="M232" t="n">
        <v>0</v>
      </c>
      <c r="N232" t="n">
        <v>0</v>
      </c>
    </row>
    <row r="233">
      <c r="A233" t="inlineStr">
        <is>
          <t>entry and marriage fines</t>
        </is>
      </c>
      <c r="B233"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233" t="n">
        <v>0.27</v>
      </c>
      <c r="D233" t="n">
        <v>0</v>
      </c>
      <c r="E233" t="n">
        <v>5</v>
      </c>
      <c r="F233" t="n">
        <v>4</v>
      </c>
      <c r="H233" t="n">
        <v>0</v>
      </c>
      <c r="I233" t="n">
        <v>0</v>
      </c>
      <c r="J233" t="n">
        <v>0</v>
      </c>
      <c r="K233" t="n">
        <v>0</v>
      </c>
      <c r="L233" t="n">
        <v>0</v>
      </c>
      <c r="M233" t="n">
        <v>0</v>
      </c>
      <c r="N233" t="n">
        <v>0</v>
      </c>
    </row>
    <row r="234">
      <c r="A234" t="inlineStr">
        <is>
          <t>entry and marriage fines</t>
        </is>
      </c>
      <c r="B234" t="inlineStr">
        <is>
          <t>14 shilling from william adam to have 7 acres assarted land in the tithing of hailey by surrender of richard lylywhyt.</t>
        </is>
      </c>
      <c r="C234" t="n">
        <v>0.7</v>
      </c>
      <c r="D234" t="n">
        <v>0</v>
      </c>
      <c r="E234" t="n">
        <v>14</v>
      </c>
      <c r="F234" t="n">
        <v>0</v>
      </c>
      <c r="H234" t="n">
        <v>0</v>
      </c>
      <c r="I234" t="n">
        <v>0</v>
      </c>
      <c r="J234" t="n">
        <v>0</v>
      </c>
      <c r="K234" t="n">
        <v>0</v>
      </c>
      <c r="L234" t="n">
        <v>0</v>
      </c>
      <c r="M234" t="n">
        <v>0</v>
      </c>
      <c r="N234" t="n">
        <v>0</v>
      </c>
    </row>
    <row r="235">
      <c r="A235" t="inlineStr">
        <is>
          <t>entry and marriage fines</t>
        </is>
      </c>
      <c r="B235" t="inlineStr">
        <is>
          <t>1 shilling from william hore to have .5 acre of assailed land in the tithing of hailey in oldebrech' beside stonystretehegg' by surrender of thomas whitynton', chaplain.</t>
        </is>
      </c>
      <c r="C235" t="n">
        <v>0.05</v>
      </c>
      <c r="D235" t="n">
        <v>0</v>
      </c>
      <c r="E235" t="n">
        <v>1</v>
      </c>
      <c r="F235" t="n">
        <v>0</v>
      </c>
      <c r="H235" t="n">
        <v>0</v>
      </c>
      <c r="I235" t="n">
        <v>0</v>
      </c>
      <c r="J235" t="n">
        <v>0</v>
      </c>
      <c r="K235" t="n">
        <v>0</v>
      </c>
      <c r="L235" t="n">
        <v>0</v>
      </c>
      <c r="M235" t="n">
        <v>0</v>
      </c>
      <c r="N235" t="n">
        <v>0</v>
      </c>
    </row>
    <row r="236">
      <c r="A236" t="inlineStr">
        <is>
          <t>entry and marriage fines</t>
        </is>
      </c>
      <c r="B236" t="inlineStr">
        <is>
          <t>5 shilling from william shifford' to have 2.5 acres of assailed land in the tithing of flaky in longebreche by surrender of thomas whitynton', chaplain.</t>
        </is>
      </c>
      <c r="C236" t="n">
        <v>0.25</v>
      </c>
      <c r="D236" t="n">
        <v>0</v>
      </c>
      <c r="E236" t="n">
        <v>5</v>
      </c>
      <c r="F236" t="n">
        <v>0</v>
      </c>
      <c r="H236" t="n">
        <v>0</v>
      </c>
      <c r="I236" t="n">
        <v>0</v>
      </c>
      <c r="J236" t="n">
        <v>0</v>
      </c>
      <c r="K236" t="n">
        <v>0</v>
      </c>
      <c r="L236" t="n">
        <v>0</v>
      </c>
      <c r="M236" t="n">
        <v>0</v>
      </c>
      <c r="N236" t="n">
        <v>0</v>
      </c>
    </row>
    <row r="237">
      <c r="A237" t="inlineStr">
        <is>
          <t>entry and marriage fines</t>
        </is>
      </c>
      <c r="B237" t="inlineStr">
        <is>
          <t>2 shilling from william whitynton' to have 1 acre of assailed land in the tithing of hailey in middlefield by surrender of john whitynton' his father.</t>
        </is>
      </c>
      <c r="C237" t="n">
        <v>0.1</v>
      </c>
      <c r="D237" t="n">
        <v>0</v>
      </c>
      <c r="E237" t="n">
        <v>2</v>
      </c>
      <c r="F237" t="n">
        <v>0</v>
      </c>
      <c r="H237" t="n">
        <v>0</v>
      </c>
      <c r="I237" t="n">
        <v>0</v>
      </c>
      <c r="J237" t="n">
        <v>0</v>
      </c>
      <c r="K237" t="n">
        <v>0</v>
      </c>
      <c r="L237" t="n">
        <v>0</v>
      </c>
      <c r="M237" t="n">
        <v>0</v>
      </c>
      <c r="N237" t="n">
        <v>0</v>
      </c>
    </row>
    <row r="238">
      <c r="A238" t="inlineStr">
        <is>
          <t>entry and marriage fines</t>
        </is>
      </c>
      <c r="B238" t="inlineStr">
        <is>
          <t>1 shilling 6pence from william whitynton' to have 3 roods of assarted land in the tithing of curbridge in casteldych' by surrender of john whitynton' his father.</t>
        </is>
      </c>
      <c r="C238" t="n">
        <v>0.08</v>
      </c>
      <c r="D238" t="n">
        <v>0</v>
      </c>
      <c r="E238" t="n">
        <v>1</v>
      </c>
      <c r="F238" t="n">
        <v>6</v>
      </c>
      <c r="H238" t="n">
        <v>0</v>
      </c>
      <c r="I238" t="n">
        <v>0</v>
      </c>
      <c r="J238" t="n">
        <v>0</v>
      </c>
      <c r="K238" t="n">
        <v>0</v>
      </c>
      <c r="L238" t="n">
        <v>0</v>
      </c>
      <c r="M238" t="n">
        <v>0</v>
      </c>
      <c r="N238" t="n">
        <v>0</v>
      </c>
    </row>
    <row r="239">
      <c r="A239" t="inlineStr">
        <is>
          <t>entry and marriage fines</t>
        </is>
      </c>
      <c r="B239" t="inlineStr">
        <is>
          <t>8 shilling from john terry to have 4 acres of assarted land in oldebreche at le oke by surrender of richard lylywhyt.</t>
        </is>
      </c>
      <c r="C239" t="n">
        <v>0.4</v>
      </c>
      <c r="D239" t="n">
        <v>0</v>
      </c>
      <c r="E239" t="n">
        <v>8</v>
      </c>
      <c r="F239" t="n">
        <v>0</v>
      </c>
      <c r="H239" t="n">
        <v>0</v>
      </c>
      <c r="I239" t="n">
        <v>0</v>
      </c>
      <c r="J239" t="n">
        <v>0</v>
      </c>
      <c r="K239" t="n">
        <v>0</v>
      </c>
      <c r="L239" t="n">
        <v>0</v>
      </c>
      <c r="M239" t="n">
        <v>0</v>
      </c>
      <c r="N239" t="n">
        <v>0</v>
      </c>
    </row>
    <row r="240">
      <c r="A240" t="inlineStr">
        <is>
          <t>entry and marriage fines</t>
        </is>
      </c>
      <c r="B240" t="inlineStr">
        <is>
          <t>2 shilling from edward rede to have 1 acre of assarted land in the tithing of hailey in oldebreche by surrender of nicholas gille.</t>
        </is>
      </c>
      <c r="C240" t="n">
        <v>0.1</v>
      </c>
      <c r="D240" t="n">
        <v>0</v>
      </c>
      <c r="E240" t="n">
        <v>2</v>
      </c>
      <c r="F240" t="n">
        <v>0</v>
      </c>
      <c r="H240" t="n">
        <v>0</v>
      </c>
      <c r="I240" t="n">
        <v>0</v>
      </c>
      <c r="J240" t="n">
        <v>0</v>
      </c>
      <c r="K240" t="n">
        <v>0</v>
      </c>
      <c r="L240" t="n">
        <v>0</v>
      </c>
      <c r="M240" t="n">
        <v>0</v>
      </c>
      <c r="N240" t="n">
        <v>0</v>
      </c>
    </row>
    <row r="241">
      <c r="A241" t="inlineStr">
        <is>
          <t>entry and marriage fines</t>
        </is>
      </c>
      <c r="B241" t="inlineStr">
        <is>
          <t>2 shilling from john redhed' to have 1 acre of assailed land in the tithing of hailey in oldeassart by surrender of john lewe the elder.</t>
        </is>
      </c>
      <c r="C241" t="n">
        <v>0.1</v>
      </c>
      <c r="D241" t="n">
        <v>0</v>
      </c>
      <c r="E241" t="n">
        <v>2</v>
      </c>
      <c r="F241" t="n">
        <v>0</v>
      </c>
      <c r="H241" t="n">
        <v>0</v>
      </c>
      <c r="I241" t="n">
        <v>0</v>
      </c>
      <c r="J241" t="n">
        <v>0</v>
      </c>
      <c r="K241" t="n">
        <v>0</v>
      </c>
      <c r="L241" t="n">
        <v>0</v>
      </c>
      <c r="M241" t="n">
        <v>0</v>
      </c>
      <c r="N241" t="n">
        <v>0</v>
      </c>
    </row>
    <row r="242">
      <c r="A242" t="inlineStr">
        <is>
          <t>entry and marriage fines</t>
        </is>
      </c>
      <c r="B242" t="inlineStr">
        <is>
          <t>3 shilling 4pence from thomas wheler' to have 21 acres of assailed land in calthull' for the term of his life.</t>
        </is>
      </c>
      <c r="C242" t="n">
        <v>0.17</v>
      </c>
      <c r="D242" t="n">
        <v>0</v>
      </c>
      <c r="E242" t="n">
        <v>3</v>
      </c>
      <c r="F242" t="n">
        <v>4</v>
      </c>
      <c r="H242" t="n">
        <v>0</v>
      </c>
      <c r="I242" t="n">
        <v>0</v>
      </c>
      <c r="J242" t="n">
        <v>0</v>
      </c>
      <c r="K242" t="n">
        <v>0</v>
      </c>
      <c r="L242" t="n">
        <v>0</v>
      </c>
      <c r="M242" t="n">
        <v>0</v>
      </c>
      <c r="N242" t="n">
        <v>0</v>
      </c>
    </row>
    <row r="243">
      <c r="A243" t="inlineStr">
        <is>
          <t>entry and marriage fines</t>
        </is>
      </c>
      <c r="B243" t="inlineStr">
        <is>
          <t>3 shilling from richard whelowe to have 1.5 acres of assailed land in the tithing of hailey in middlefield by surrender of richard northefolk'.</t>
        </is>
      </c>
      <c r="C243" t="n">
        <v>0.15</v>
      </c>
      <c r="D243" t="n">
        <v>0</v>
      </c>
      <c r="E243" t="n">
        <v>3</v>
      </c>
      <c r="F243" t="n">
        <v>0</v>
      </c>
      <c r="H243" t="n">
        <v>0</v>
      </c>
      <c r="I243" t="n">
        <v>0</v>
      </c>
      <c r="J243" t="n">
        <v>0</v>
      </c>
      <c r="K243" t="n">
        <v>0</v>
      </c>
      <c r="L243" t="n">
        <v>0</v>
      </c>
      <c r="M243" t="n">
        <v>0</v>
      </c>
      <c r="N243" t="n">
        <v>0</v>
      </c>
    </row>
    <row r="244">
      <c r="A244" t="inlineStr">
        <is>
          <t>entry and marriage fines</t>
        </is>
      </c>
      <c r="B244" t="inlineStr">
        <is>
          <t>total, £5 4 shilling 2pence.</t>
        </is>
      </c>
      <c r="C244" t="n">
        <v>5.21</v>
      </c>
      <c r="D244" t="n">
        <v>5</v>
      </c>
      <c r="E244" t="n">
        <v>4</v>
      </c>
      <c r="F244" t="n">
        <v>2</v>
      </c>
      <c r="H244" t="n">
        <v>0</v>
      </c>
      <c r="I244" t="n">
        <v>0</v>
      </c>
      <c r="J244" t="n">
        <v>0</v>
      </c>
      <c r="K244" t="n">
        <v>0</v>
      </c>
      <c r="L244" t="n">
        <v>0</v>
      </c>
      <c r="M244" t="n">
        <v>0</v>
      </c>
      <c r="N244" t="n">
        <v>0</v>
      </c>
    </row>
    <row r="245">
      <c r="A245" t="inlineStr">
        <is>
          <t>perquisites</t>
        </is>
      </c>
      <c r="B245" t="inlineStr">
        <is>
          <t>and for 2 shilling id. from the perquisites of the tourn of martinmas (11 november).</t>
        </is>
      </c>
      <c r="C245" t="n">
        <v>0.1</v>
      </c>
      <c r="D245" t="n">
        <v>0</v>
      </c>
      <c r="E245" t="n">
        <v>2</v>
      </c>
      <c r="F245" t="n">
        <v>0</v>
      </c>
      <c r="H245" t="n">
        <v>0</v>
      </c>
      <c r="I245" t="n">
        <v>0</v>
      </c>
      <c r="J245" t="n">
        <v>0</v>
      </c>
      <c r="K245" t="n">
        <v>0</v>
      </c>
      <c r="L245" t="n">
        <v>0</v>
      </c>
      <c r="M245" t="n">
        <v>0</v>
      </c>
      <c r="N245" t="n">
        <v>0</v>
      </c>
    </row>
    <row r="246">
      <c r="A246" t="inlineStr">
        <is>
          <t>perquisites</t>
        </is>
      </c>
      <c r="B246" t="inlineStr">
        <is>
          <t>14 shilling 2pence from the perquisites of the courts held by the bailiff between the two tourns.</t>
        </is>
      </c>
      <c r="C246" t="n">
        <v>0.71</v>
      </c>
      <c r="D246" t="n">
        <v>0</v>
      </c>
      <c r="E246" t="n">
        <v>14</v>
      </c>
      <c r="F246" t="n">
        <v>2</v>
      </c>
      <c r="H246" t="n">
        <v>0</v>
      </c>
      <c r="I246" t="n">
        <v>0</v>
      </c>
      <c r="J246" t="n">
        <v>0</v>
      </c>
      <c r="K246" t="n">
        <v>0</v>
      </c>
      <c r="L246" t="n">
        <v>0</v>
      </c>
      <c r="M246" t="n">
        <v>0</v>
      </c>
      <c r="N246" t="n">
        <v>0</v>
      </c>
    </row>
    <row r="247">
      <c r="A247" t="inlineStr">
        <is>
          <t>perquisites</t>
        </is>
      </c>
      <c r="B247" t="inlineStr">
        <is>
          <t>3 shilling 3pence from the perquisites of the tourn of hockday (1 april).</t>
        </is>
      </c>
      <c r="C247" t="n">
        <v>0.16</v>
      </c>
      <c r="D247" t="n">
        <v>0</v>
      </c>
      <c r="E247" t="n">
        <v>3</v>
      </c>
      <c r="F247" t="n">
        <v>3</v>
      </c>
      <c r="H247" t="n">
        <v>0</v>
      </c>
      <c r="I247" t="n">
        <v>0</v>
      </c>
      <c r="J247" t="n">
        <v>0</v>
      </c>
      <c r="K247" t="n">
        <v>0</v>
      </c>
      <c r="L247" t="n">
        <v>0</v>
      </c>
      <c r="M247" t="n">
        <v>0</v>
      </c>
      <c r="N247" t="n">
        <v>0</v>
      </c>
    </row>
    <row r="248">
      <c r="A248" t="inlineStr">
        <is>
          <t>perquisites</t>
        </is>
      </c>
      <c r="B248" t="inlineStr">
        <is>
          <t>3 shilling 1pence from the perquisites of the courts held by the bailiff after the said tourn of hockday.</t>
        </is>
      </c>
      <c r="C248" t="n">
        <v>0.15</v>
      </c>
      <c r="D248" t="n">
        <v>0</v>
      </c>
      <c r="E248" t="n">
        <v>3</v>
      </c>
      <c r="F248" t="n">
        <v>1</v>
      </c>
      <c r="H248" t="n">
        <v>0</v>
      </c>
      <c r="I248" t="n">
        <v>0</v>
      </c>
      <c r="J248" t="n">
        <v>0</v>
      </c>
      <c r="K248" t="n">
        <v>0</v>
      </c>
      <c r="L248" t="n">
        <v>0</v>
      </c>
      <c r="M248" t="n">
        <v>0</v>
      </c>
      <c r="N248" t="n">
        <v>0</v>
      </c>
    </row>
    <row r="249">
      <c r="A249" t="inlineStr">
        <is>
          <t>perquisites</t>
        </is>
      </c>
      <c r="B249" t="inlineStr">
        <is>
          <t>total, £1 2 shilling 7pence.</t>
        </is>
      </c>
      <c r="C249" t="n">
        <v>1.13</v>
      </c>
      <c r="D249" t="n">
        <v>1</v>
      </c>
      <c r="E249" t="n">
        <v>2</v>
      </c>
      <c r="F249" t="n">
        <v>7</v>
      </c>
      <c r="H249" t="n">
        <v>0</v>
      </c>
      <c r="I249" t="n">
        <v>0</v>
      </c>
      <c r="J249" t="n">
        <v>0</v>
      </c>
      <c r="K249" t="n">
        <v>0</v>
      </c>
      <c r="L249" t="n">
        <v>0</v>
      </c>
      <c r="M249" t="n">
        <v>0</v>
      </c>
      <c r="N249" t="n">
        <v>0</v>
      </c>
    </row>
    <row r="250">
      <c r="A250" t="inlineStr">
        <is>
          <t>farm of the demesne land</t>
        </is>
      </c>
      <c r="B250" t="inlineStr">
        <is>
          <t>and for £9 16 shilling 8pence from thomas fermer and roger puttee for the farm of the demesne land, demised to the same for 6 years, this year being the fifth, in part payment of £10, and not more because 1 ham called mulleham is demised to nicholas gille for 20 years, as made clear above under the heading, issues of the manor, which ham was part of the aforesaid farm.</t>
        </is>
      </c>
      <c r="C250" t="n">
        <v>9.83</v>
      </c>
      <c r="D250" t="n">
        <v>9</v>
      </c>
      <c r="E250" t="n">
        <v>16</v>
      </c>
      <c r="F250" t="n">
        <v>8</v>
      </c>
      <c r="H250" t="n">
        <v>0</v>
      </c>
      <c r="I250" t="n">
        <v>0</v>
      </c>
      <c r="J250" t="n">
        <v>0</v>
      </c>
      <c r="K250" t="n">
        <v>0</v>
      </c>
      <c r="L250" t="n">
        <v>0</v>
      </c>
      <c r="M250" t="n">
        <v>0</v>
      </c>
      <c r="N250" t="n">
        <v>0</v>
      </c>
    </row>
    <row r="251">
      <c r="A251" t="inlineStr">
        <is>
          <t>farm of the demesne land</t>
        </is>
      </c>
      <c r="B251" t="inlineStr">
        <is>
          <t>total, £9 16 shilling 8pence.</t>
        </is>
      </c>
      <c r="C251" t="n">
        <v>9.83</v>
      </c>
      <c r="D251" t="n">
        <v>9</v>
      </c>
      <c r="E251" t="n">
        <v>16</v>
      </c>
      <c r="F251" t="n">
        <v>8</v>
      </c>
      <c r="H251" t="n">
        <v>0</v>
      </c>
      <c r="I251" t="n">
        <v>0</v>
      </c>
      <c r="J251" t="n">
        <v>0</v>
      </c>
      <c r="K251" t="n">
        <v>0</v>
      </c>
      <c r="L251" t="n">
        <v>0</v>
      </c>
      <c r="M251" t="n">
        <v>0</v>
      </c>
      <c r="N251" t="n">
        <v>0</v>
      </c>
    </row>
    <row r="252">
      <c r="A252" t="inlineStr">
        <is>
          <t>sales at the audit</t>
        </is>
      </c>
      <c r="B252" t="inlineStr">
        <is>
          <t>and for £2 11 shilling 11pence from various sales at the audit as made clear elsewhere.</t>
        </is>
      </c>
      <c r="C252" t="n">
        <v>2.6</v>
      </c>
      <c r="D252" t="n">
        <v>2</v>
      </c>
      <c r="E252" t="n">
        <v>11</v>
      </c>
      <c r="F252" t="n">
        <v>11</v>
      </c>
      <c r="H252" t="n">
        <v>0</v>
      </c>
      <c r="I252" t="n">
        <v>0</v>
      </c>
      <c r="J252" t="n">
        <v>0</v>
      </c>
      <c r="K252" t="n">
        <v>0</v>
      </c>
      <c r="L252" t="n">
        <v>0</v>
      </c>
      <c r="M252" t="n">
        <v>0</v>
      </c>
      <c r="N252" t="n">
        <v>0</v>
      </c>
    </row>
    <row r="253">
      <c r="A253" t="inlineStr">
        <is>
          <t>sales at the audit</t>
        </is>
      </c>
      <c r="B253" t="inlineStr">
        <is>
          <t>total, £2 11 shilling 11pence.</t>
        </is>
      </c>
      <c r="C253" t="n">
        <v>2.6</v>
      </c>
      <c r="D253" t="n">
        <v>2</v>
      </c>
      <c r="E253" t="n">
        <v>11</v>
      </c>
      <c r="F253" t="n">
        <v>11</v>
      </c>
      <c r="H253" t="n">
        <v>0</v>
      </c>
      <c r="I253" t="n">
        <v>0</v>
      </c>
      <c r="J253" t="n">
        <v>0</v>
      </c>
      <c r="K253" t="n">
        <v>0</v>
      </c>
      <c r="L253" t="n">
        <v>0</v>
      </c>
      <c r="M253" t="n">
        <v>0</v>
      </c>
      <c r="N253" t="n">
        <v>0</v>
      </c>
    </row>
    <row r="254">
      <c r="A254" t="inlineStr">
        <is>
          <t>total of all receipts with arrears</t>
        </is>
      </c>
      <c r="B254" t="inlineStr">
        <is>
          <t>total of all receipts with arrears, £151 6 shilling 4.25pence.</t>
        </is>
      </c>
      <c r="C254" t="n">
        <v>151.32</v>
      </c>
      <c r="D254" t="n">
        <v>151</v>
      </c>
      <c r="E254" t="n">
        <v>6</v>
      </c>
      <c r="F254" t="n">
        <v>4.25</v>
      </c>
      <c r="H254" t="n">
        <v>0</v>
      </c>
      <c r="I254" t="n">
        <v>0</v>
      </c>
      <c r="J254" t="n">
        <v>0</v>
      </c>
      <c r="K254" t="n">
        <v>0</v>
      </c>
      <c r="L254" t="n">
        <v>0</v>
      </c>
      <c r="M254" t="n">
        <v>0</v>
      </c>
      <c r="N254" t="n">
        <v>0</v>
      </c>
    </row>
    <row r="255">
      <c r="A255" t="inlineStr">
        <is>
          <t>purchase of corn</t>
        </is>
      </c>
      <c r="B255" t="inlineStr">
        <is>
          <t>in 4 quarters 2 bushels of wheat bought as made clear elsewhere £2 2 shilling 6pence, at 10 shilling a quarters.</t>
        </is>
      </c>
      <c r="C255" t="n">
        <v>2.12</v>
      </c>
      <c r="D255" t="n">
        <v>2</v>
      </c>
      <c r="E255" t="n">
        <v>2</v>
      </c>
      <c r="F255" t="n">
        <v>6</v>
      </c>
      <c r="G255" t="inlineStr">
        <is>
          <t>wheat</t>
        </is>
      </c>
      <c r="H255" t="n">
        <v>4</v>
      </c>
      <c r="I255" t="n">
        <v>2</v>
      </c>
      <c r="J255" t="n">
        <v>4.25</v>
      </c>
      <c r="K255" t="n">
        <v>4.25</v>
      </c>
      <c r="L255" t="n">
        <v>0</v>
      </c>
      <c r="M255" t="n">
        <v>4</v>
      </c>
      <c r="N255" t="n">
        <v>2</v>
      </c>
      <c r="Q255" t="n">
        <v>10</v>
      </c>
      <c r="R255" t="n">
        <v>0</v>
      </c>
    </row>
    <row r="256">
      <c r="A256" t="inlineStr">
        <is>
          <t>purchase of corn</t>
        </is>
      </c>
      <c r="B256" t="inlineStr">
        <is>
          <t>3 quarters 2 bushels of barley bought 18 shilling 5pence, at 5 shilling 8pence a quarters.</t>
        </is>
      </c>
      <c r="C256" t="n">
        <v>0.92</v>
      </c>
      <c r="D256" t="n">
        <v>0</v>
      </c>
      <c r="E256" t="n">
        <v>18</v>
      </c>
      <c r="F256" t="n">
        <v>5</v>
      </c>
      <c r="G256" t="inlineStr">
        <is>
          <t>barley</t>
        </is>
      </c>
      <c r="H256" t="n">
        <v>3</v>
      </c>
      <c r="I256" t="n">
        <v>2</v>
      </c>
      <c r="J256" t="n">
        <v>3.25</v>
      </c>
      <c r="K256" t="n">
        <v>3.25</v>
      </c>
      <c r="L256" t="n">
        <v>0</v>
      </c>
      <c r="M256" t="n">
        <v>3</v>
      </c>
      <c r="N256" t="n">
        <v>2</v>
      </c>
      <c r="Q256" t="n">
        <v>5</v>
      </c>
      <c r="R256" t="n">
        <v>8</v>
      </c>
    </row>
    <row r="257">
      <c r="A257" t="inlineStr">
        <is>
          <t>purchase of corn</t>
        </is>
      </c>
      <c r="B257" t="inlineStr">
        <is>
          <t>2 quarters 6 bushels of oats bought as made clear elsewhere 8 shilling 3pence, at 3 shilling a quarters.</t>
        </is>
      </c>
      <c r="C257" t="n">
        <v>0.41</v>
      </c>
      <c r="D257" t="n">
        <v>0</v>
      </c>
      <c r="E257" t="n">
        <v>8</v>
      </c>
      <c r="F257" t="n">
        <v>3</v>
      </c>
      <c r="G257" t="inlineStr">
        <is>
          <t>oats</t>
        </is>
      </c>
      <c r="H257" t="n">
        <v>2</v>
      </c>
      <c r="I257" t="n">
        <v>6</v>
      </c>
      <c r="J257" t="n">
        <v>2.75</v>
      </c>
      <c r="K257" t="n">
        <v>2.75</v>
      </c>
      <c r="L257" t="n">
        <v>0</v>
      </c>
      <c r="M257" t="n">
        <v>2</v>
      </c>
      <c r="N257" t="n">
        <v>6</v>
      </c>
      <c r="Q257" t="n">
        <v>3</v>
      </c>
      <c r="R257" t="n">
        <v>0</v>
      </c>
    </row>
    <row r="258">
      <c r="A258" t="inlineStr">
        <is>
          <t>purchase of corn</t>
        </is>
      </c>
      <c r="B258" t="inlineStr">
        <is>
          <t>total, £3 9 shilling 1pence.</t>
        </is>
      </c>
      <c r="C258" t="n">
        <v>3.45</v>
      </c>
      <c r="D258" t="n">
        <v>3</v>
      </c>
      <c r="E258" t="n">
        <v>9</v>
      </c>
      <c r="F258" t="n">
        <v>1</v>
      </c>
      <c r="H258" t="n">
        <v>0</v>
      </c>
      <c r="I258" t="n">
        <v>0</v>
      </c>
      <c r="J258" t="n">
        <v>0</v>
      </c>
      <c r="K258" t="n">
        <v>0</v>
      </c>
      <c r="L258" t="n">
        <v>0</v>
      </c>
      <c r="M258" t="n">
        <v>0</v>
      </c>
      <c r="N258" t="n">
        <v>0</v>
      </c>
    </row>
    <row r="259">
      <c r="A259" t="inlineStr">
        <is>
          <t>purchase of stock</t>
        </is>
      </c>
      <c r="B259" t="inlineStr">
        <is>
          <t>in 3 rams bought before shearing 10 shilling, at 3 shilling 4pence each.</t>
        </is>
      </c>
      <c r="C259" t="n">
        <v>0.52</v>
      </c>
      <c r="D259" t="n">
        <v>0</v>
      </c>
      <c r="E259" t="n">
        <v>10</v>
      </c>
      <c r="F259" t="n">
        <v>4</v>
      </c>
      <c r="H259" t="n">
        <v>0</v>
      </c>
      <c r="I259" t="n">
        <v>0</v>
      </c>
      <c r="J259" t="n">
        <v>0</v>
      </c>
      <c r="K259" t="n">
        <v>0</v>
      </c>
      <c r="L259" t="n">
        <v>0</v>
      </c>
      <c r="M259" t="n">
        <v>0</v>
      </c>
      <c r="N259" t="n">
        <v>0</v>
      </c>
    </row>
    <row r="260">
      <c r="A260" t="inlineStr">
        <is>
          <t>purchase of stock</t>
        </is>
      </c>
      <c r="B260" t="inlineStr">
        <is>
          <t>315 wethers and 17 ewes bought before shearing £52 11 shilling 4pence, at 3 shilling 2pence each.</t>
        </is>
      </c>
      <c r="C260" t="n">
        <v>52.57</v>
      </c>
      <c r="D260" t="n">
        <v>52</v>
      </c>
      <c r="E260" t="n">
        <v>11</v>
      </c>
      <c r="F260" t="n">
        <v>4</v>
      </c>
      <c r="H260" t="n">
        <v>0</v>
      </c>
      <c r="I260" t="n">
        <v>0</v>
      </c>
      <c r="J260" t="n">
        <v>0</v>
      </c>
      <c r="K260" t="n">
        <v>0</v>
      </c>
      <c r="L260" t="n">
        <v>0</v>
      </c>
      <c r="M260" t="n">
        <v>0</v>
      </c>
      <c r="N260" t="n">
        <v>0</v>
      </c>
    </row>
    <row r="261">
      <c r="A261" t="inlineStr">
        <is>
          <t>purchase of stock</t>
        </is>
      </c>
      <c r="B261" t="inlineStr">
        <is>
          <t>total, £53 1 shilling 4pence.</t>
        </is>
      </c>
      <c r="C261" t="n">
        <v>53.07</v>
      </c>
      <c r="D261" t="n">
        <v>53</v>
      </c>
      <c r="E261" t="n">
        <v>1</v>
      </c>
      <c r="F261" t="n">
        <v>4</v>
      </c>
      <c r="H261" t="n">
        <v>0</v>
      </c>
      <c r="I261" t="n">
        <v>0</v>
      </c>
      <c r="J261" t="n">
        <v>0</v>
      </c>
      <c r="K261" t="n">
        <v>0</v>
      </c>
      <c r="L261" t="n">
        <v>0</v>
      </c>
      <c r="M261" t="n">
        <v>0</v>
      </c>
      <c r="N261" t="n">
        <v>0</v>
      </c>
    </row>
    <row r="262">
      <c r="A262" t="inlineStr">
        <is>
          <t>cost of buildings with necessaries</t>
        </is>
      </c>
      <c r="B262" t="inlineStr">
        <is>
          <t>in making well 18 lambs 4pence.</t>
        </is>
      </c>
      <c r="C262" t="n">
        <v>0.02</v>
      </c>
      <c r="D262" t="n">
        <v>0</v>
      </c>
      <c r="E262" t="n">
        <v>0</v>
      </c>
      <c r="F262" t="n">
        <v>4</v>
      </c>
      <c r="H262" t="n">
        <v>0</v>
      </c>
      <c r="I262" t="n">
        <v>0</v>
      </c>
      <c r="J262" t="n">
        <v>0</v>
      </c>
      <c r="K262" t="n">
        <v>0</v>
      </c>
      <c r="L262" t="n">
        <v>0</v>
      </c>
      <c r="M262" t="n">
        <v>0</v>
      </c>
      <c r="N262" t="n">
        <v>0</v>
      </c>
    </row>
    <row r="263">
      <c r="A263" t="inlineStr">
        <is>
          <t>cost of buildings with necessaries</t>
        </is>
      </c>
      <c r="B263" t="inlineStr">
        <is>
          <t>hiring 1 man with a cart for 2 days to carry wood from the lord's chase to the manor for the visit of the steward and bailiff 2 shilling, taking 1 shilling a day.</t>
        </is>
      </c>
      <c r="C263" t="n">
        <v>0.1</v>
      </c>
      <c r="D263" t="n">
        <v>0</v>
      </c>
      <c r="E263" t="n">
        <v>2</v>
      </c>
      <c r="F263" t="n">
        <v>0</v>
      </c>
      <c r="H263" t="n">
        <v>0</v>
      </c>
      <c r="I263" t="n">
        <v>0</v>
      </c>
      <c r="J263" t="n">
        <v>0</v>
      </c>
      <c r="K263" t="n">
        <v>0</v>
      </c>
      <c r="L263" t="n">
        <v>0</v>
      </c>
      <c r="M263" t="n">
        <v>0</v>
      </c>
      <c r="N263" t="n">
        <v>0</v>
      </c>
    </row>
    <row r="264">
      <c r="A264" t="inlineStr">
        <is>
          <t>cost of buildings with necessaries</t>
        </is>
      </c>
      <c r="B264" t="inlineStr">
        <is>
          <t>felling and stripping the said wood 4pence.</t>
        </is>
      </c>
      <c r="C264" t="n">
        <v>0.02</v>
      </c>
      <c r="D264" t="n">
        <v>0</v>
      </c>
      <c r="E264" t="n">
        <v>0</v>
      </c>
      <c r="F264" t="n">
        <v>4</v>
      </c>
      <c r="H264" t="n">
        <v>0</v>
      </c>
      <c r="I264" t="n">
        <v>0</v>
      </c>
      <c r="J264" t="n">
        <v>0</v>
      </c>
      <c r="K264" t="n">
        <v>0</v>
      </c>
      <c r="L264" t="n">
        <v>0</v>
      </c>
      <c r="M264" t="n">
        <v>0</v>
      </c>
      <c r="N264" t="n">
        <v>0</v>
      </c>
    </row>
    <row r="265">
      <c r="A265" t="inlineStr">
        <is>
          <t>cost of buildings with necessaries</t>
        </is>
      </c>
      <c r="B265" t="inlineStr">
        <is>
          <t>1,000 stone slates bought for the lodge in the park 3 shilling 4pence.</t>
        </is>
      </c>
      <c r="C265" t="n">
        <v>0.17</v>
      </c>
      <c r="D265" t="n">
        <v>0</v>
      </c>
      <c r="E265" t="n">
        <v>3</v>
      </c>
      <c r="F265" t="n">
        <v>4</v>
      </c>
      <c r="H265" t="n">
        <v>0</v>
      </c>
      <c r="I265" t="n">
        <v>0</v>
      </c>
      <c r="J265" t="n">
        <v>0</v>
      </c>
      <c r="K265" t="n">
        <v>0</v>
      </c>
      <c r="L265" t="n">
        <v>0</v>
      </c>
      <c r="M265" t="n">
        <v>0</v>
      </c>
      <c r="N265" t="n">
        <v>0</v>
      </c>
    </row>
    <row r="266">
      <c r="A266" t="inlineStr">
        <is>
          <t>cost of buildings with necessaries</t>
        </is>
      </c>
      <c r="B266" t="inlineStr">
        <is>
          <t>2 quarters of quicklime bought 2 shilling 8pence, at 1 shilling 4pence a quarters.</t>
        </is>
      </c>
      <c r="C266" t="n">
        <v>0.13</v>
      </c>
      <c r="D266" t="n">
        <v>0</v>
      </c>
      <c r="E266" t="n">
        <v>2</v>
      </c>
      <c r="F266" t="n">
        <v>8</v>
      </c>
      <c r="H266" t="n">
        <v>2</v>
      </c>
      <c r="I266" t="n">
        <v>0</v>
      </c>
      <c r="J266" t="n">
        <v>2</v>
      </c>
      <c r="K266" t="n">
        <v>2</v>
      </c>
      <c r="L266" t="n">
        <v>0</v>
      </c>
      <c r="M266" t="n">
        <v>2</v>
      </c>
      <c r="N266" t="n">
        <v>0</v>
      </c>
      <c r="Q266" t="n">
        <v>1</v>
      </c>
      <c r="R266" t="n">
        <v>4</v>
      </c>
    </row>
    <row r="267">
      <c r="A267" t="inlineStr">
        <is>
          <t>cost of buildings with necessaries</t>
        </is>
      </c>
      <c r="B267" t="inlineStr">
        <is>
          <t>160 lath-nails bought 4pence.</t>
        </is>
      </c>
      <c r="C267" t="n">
        <v>0.02</v>
      </c>
      <c r="D267" t="n">
        <v>0</v>
      </c>
      <c r="E267" t="n">
        <v>0</v>
      </c>
      <c r="F267" t="n">
        <v>4</v>
      </c>
      <c r="H267" t="n">
        <v>0</v>
      </c>
      <c r="I267" t="n">
        <v>0</v>
      </c>
      <c r="J267" t="n">
        <v>0</v>
      </c>
      <c r="K267" t="n">
        <v>0</v>
      </c>
      <c r="L267" t="n">
        <v>0</v>
      </c>
      <c r="M267" t="n">
        <v>0</v>
      </c>
      <c r="N267" t="n">
        <v>0</v>
      </c>
    </row>
    <row r="268">
      <c r="A268" t="inlineStr">
        <is>
          <t>cost of buildings with necessaries</t>
        </is>
      </c>
      <c r="B268" t="inlineStr">
        <is>
          <t>1 bushels of salt bought for the visit of the steward and bailiff 8pence.</t>
        </is>
      </c>
      <c r="C268" t="n">
        <v>0.03</v>
      </c>
      <c r="D268" t="n">
        <v>0</v>
      </c>
      <c r="E268" t="n">
        <v>0</v>
      </c>
      <c r="F268" t="n">
        <v>8</v>
      </c>
      <c r="H268" t="n">
        <v>0</v>
      </c>
      <c r="I268" t="n">
        <v>1</v>
      </c>
      <c r="J268" t="n">
        <v>0.12</v>
      </c>
      <c r="K268" t="n">
        <v>0.12</v>
      </c>
      <c r="L268" t="n">
        <v>0</v>
      </c>
      <c r="M268" t="n">
        <v>0</v>
      </c>
      <c r="N268" t="n">
        <v>1</v>
      </c>
    </row>
    <row r="269">
      <c r="A269" t="inlineStr">
        <is>
          <t>cost of buildings with necessaries</t>
        </is>
      </c>
      <c r="B269" t="inlineStr">
        <is>
          <t>12 ridge-tiles bought 1 shilling.</t>
        </is>
      </c>
      <c r="C269" t="n">
        <v>0.05</v>
      </c>
      <c r="D269" t="n">
        <v>0</v>
      </c>
      <c r="E269" t="n">
        <v>1</v>
      </c>
      <c r="F269" t="n">
        <v>0</v>
      </c>
      <c r="H269" t="n">
        <v>0</v>
      </c>
      <c r="I269" t="n">
        <v>0</v>
      </c>
      <c r="J269" t="n">
        <v>0</v>
      </c>
      <c r="K269" t="n">
        <v>0</v>
      </c>
      <c r="L269" t="n">
        <v>0</v>
      </c>
      <c r="M269" t="n">
        <v>0</v>
      </c>
      <c r="N269" t="n">
        <v>0</v>
      </c>
    </row>
    <row r="270">
      <c r="A270" t="inlineStr">
        <is>
          <t>cost of buildings with necessaries</t>
        </is>
      </c>
      <c r="B270" t="inlineStr">
        <is>
          <t>carrying the stone slates bought above at asthall and then carried to the lodge 1 s.</t>
        </is>
      </c>
      <c r="C270" t="n">
        <v>0</v>
      </c>
      <c r="D270" t="n">
        <v>0</v>
      </c>
      <c r="E270" t="n">
        <v>0</v>
      </c>
      <c r="F270" t="n">
        <v>0</v>
      </c>
      <c r="H270" t="n">
        <v>0</v>
      </c>
      <c r="I270" t="n">
        <v>0</v>
      </c>
      <c r="J270" t="n">
        <v>0</v>
      </c>
      <c r="K270" t="n">
        <v>0</v>
      </c>
      <c r="L270" t="n">
        <v>0</v>
      </c>
      <c r="M270" t="n">
        <v>0</v>
      </c>
      <c r="N270" t="n">
        <v>0</v>
      </c>
    </row>
    <row r="271">
      <c r="A271" t="inlineStr">
        <is>
          <t>cost of buildings with necessaries</t>
        </is>
      </c>
      <c r="B271" t="inlineStr">
        <is>
          <t>total, 11 s. 8pence.</t>
        </is>
      </c>
      <c r="C271" t="n">
        <v>0.03</v>
      </c>
      <c r="D271" t="n">
        <v>0</v>
      </c>
      <c r="E271" t="n">
        <v>0</v>
      </c>
      <c r="F271" t="n">
        <v>8</v>
      </c>
      <c r="H271" t="n">
        <v>0</v>
      </c>
      <c r="I271" t="n">
        <v>0</v>
      </c>
      <c r="J271" t="n">
        <v>0</v>
      </c>
      <c r="K271" t="n">
        <v>0</v>
      </c>
      <c r="L271" t="n">
        <v>0</v>
      </c>
      <c r="M271" t="n">
        <v>0</v>
      </c>
      <c r="N271" t="n">
        <v>0</v>
      </c>
    </row>
    <row r="272">
      <c r="A272" t="inlineStr">
        <is>
          <t>cost of the sheepcote</t>
        </is>
      </c>
      <c r="B272" t="inlineStr">
        <is>
          <t>in hiring 2 men for 1 day to collect 2 cart-loads of withies for making partitions and stalls for the wethers 8pence.</t>
        </is>
      </c>
      <c r="C272" t="n">
        <v>0.03</v>
      </c>
      <c r="D272" t="n">
        <v>0</v>
      </c>
      <c r="E272" t="n">
        <v>0</v>
      </c>
      <c r="F272" t="n">
        <v>8</v>
      </c>
      <c r="H272" t="n">
        <v>0</v>
      </c>
      <c r="I272" t="n">
        <v>0</v>
      </c>
      <c r="J272" t="n">
        <v>0</v>
      </c>
      <c r="K272" t="n">
        <v>0</v>
      </c>
      <c r="L272" t="n">
        <v>0</v>
      </c>
      <c r="M272" t="n">
        <v>0</v>
      </c>
      <c r="N272" t="n">
        <v>0</v>
      </c>
    </row>
    <row r="273">
      <c r="A273" t="inlineStr">
        <is>
          <t>cost of the sheepcote</t>
        </is>
      </c>
      <c r="B273" t="inlineStr">
        <is>
          <t>carrying the same 8pence.</t>
        </is>
      </c>
      <c r="C273" t="n">
        <v>0.03</v>
      </c>
      <c r="D273" t="n">
        <v>0</v>
      </c>
      <c r="E273" t="n">
        <v>0</v>
      </c>
      <c r="F273" t="n">
        <v>8</v>
      </c>
      <c r="H273" t="n">
        <v>0</v>
      </c>
      <c r="I273" t="n">
        <v>0</v>
      </c>
      <c r="J273" t="n">
        <v>0</v>
      </c>
      <c r="K273" t="n">
        <v>0</v>
      </c>
      <c r="L273" t="n">
        <v>0</v>
      </c>
      <c r="M273" t="n">
        <v>0</v>
      </c>
      <c r="N273" t="n">
        <v>0</v>
      </c>
    </row>
    <row r="274">
      <c r="A274" t="inlineStr">
        <is>
          <t>cost of the sheepcote</t>
        </is>
      </c>
      <c r="B274" t="inlineStr">
        <is>
          <t>hiring 2 men for 2 days to make the stalls 8pence, taking between them 4pence a day.</t>
        </is>
      </c>
      <c r="C274" t="n">
        <v>0.03</v>
      </c>
      <c r="D274" t="n">
        <v>0</v>
      </c>
      <c r="E274" t="n">
        <v>0</v>
      </c>
      <c r="F274" t="n">
        <v>8</v>
      </c>
      <c r="H274" t="n">
        <v>0</v>
      </c>
      <c r="I274" t="n">
        <v>0</v>
      </c>
      <c r="J274" t="n">
        <v>0</v>
      </c>
      <c r="K274" t="n">
        <v>0</v>
      </c>
      <c r="L274" t="n">
        <v>0</v>
      </c>
      <c r="M274" t="n">
        <v>0</v>
      </c>
      <c r="N274" t="n">
        <v>0</v>
      </c>
    </row>
    <row r="275">
      <c r="A275" t="inlineStr">
        <is>
          <t>cost of the sheepcote</t>
        </is>
      </c>
      <c r="B275" t="inlineStr">
        <is>
          <t>17 cart-loads of straw bought for roofing the barn and sheepcote beside the park £1 8 shilling 4pence, at 1 shilling 8pence a cart-load with its carriage.</t>
        </is>
      </c>
      <c r="C275" t="n">
        <v>1.42</v>
      </c>
      <c r="D275" t="n">
        <v>1</v>
      </c>
      <c r="E275" t="n">
        <v>8</v>
      </c>
      <c r="F275" t="n">
        <v>4</v>
      </c>
      <c r="H275" t="n">
        <v>0</v>
      </c>
      <c r="I275" t="n">
        <v>0</v>
      </c>
      <c r="J275" t="n">
        <v>0</v>
      </c>
      <c r="K275" t="n">
        <v>0</v>
      </c>
      <c r="L275" t="n">
        <v>0</v>
      </c>
      <c r="M275" t="n">
        <v>0</v>
      </c>
      <c r="N275" t="n">
        <v>0</v>
      </c>
    </row>
    <row r="276">
      <c r="A276" t="inlineStr">
        <is>
          <t>cost of the sheepcote</t>
        </is>
      </c>
      <c r="B276" t="inlineStr">
        <is>
          <t>hiring 1 woman to draw the straw for 20 days 3 shilling 4pence, taking 2pence a day.</t>
        </is>
      </c>
      <c r="C276" t="n">
        <v>0.17</v>
      </c>
      <c r="D276" t="n">
        <v>0</v>
      </c>
      <c r="E276" t="n">
        <v>3</v>
      </c>
      <c r="F276" t="n">
        <v>4</v>
      </c>
      <c r="H276" t="n">
        <v>0</v>
      </c>
      <c r="I276" t="n">
        <v>0</v>
      </c>
      <c r="J276" t="n">
        <v>0</v>
      </c>
      <c r="K276" t="n">
        <v>0</v>
      </c>
      <c r="L276" t="n">
        <v>0</v>
      </c>
      <c r="M276" t="n">
        <v>0</v>
      </c>
      <c r="N276" t="n">
        <v>0</v>
      </c>
    </row>
    <row r="277">
      <c r="A277" t="inlineStr">
        <is>
          <t>cost of the sheepcote</t>
        </is>
      </c>
      <c r="B277" t="inlineStr">
        <is>
          <t>hiring 1 man to serve the roofer for 26 days 5 shilling 6pence, taking 3pence a day.</t>
        </is>
      </c>
      <c r="C277" t="n">
        <v>0.28</v>
      </c>
      <c r="D277" t="n">
        <v>0</v>
      </c>
      <c r="E277" t="n">
        <v>5</v>
      </c>
      <c r="F277" t="n">
        <v>6</v>
      </c>
      <c r="H277" t="n">
        <v>0</v>
      </c>
      <c r="I277" t="n">
        <v>0</v>
      </c>
      <c r="J277" t="n">
        <v>0</v>
      </c>
      <c r="K277" t="n">
        <v>0</v>
      </c>
      <c r="L277" t="n">
        <v>0</v>
      </c>
      <c r="M277" t="n">
        <v>0</v>
      </c>
      <c r="N277" t="n">
        <v>0</v>
      </c>
    </row>
    <row r="278">
      <c r="A278" t="inlineStr">
        <is>
          <t>cost of the sheepcote</t>
        </is>
      </c>
      <c r="B278" t="inlineStr">
        <is>
          <t>hiring 1 roofer for 22 days to roof the barn by the park and the sheepcote 8 shilling 4pence, taking 4pence a day.</t>
        </is>
      </c>
      <c r="C278" t="n">
        <v>0.42</v>
      </c>
      <c r="D278" t="n">
        <v>0</v>
      </c>
      <c r="E278" t="n">
        <v>8</v>
      </c>
      <c r="F278" t="n">
        <v>4</v>
      </c>
      <c r="H278" t="n">
        <v>0</v>
      </c>
      <c r="I278" t="n">
        <v>0</v>
      </c>
      <c r="J278" t="n">
        <v>0</v>
      </c>
      <c r="K278" t="n">
        <v>0</v>
      </c>
      <c r="L278" t="n">
        <v>0</v>
      </c>
      <c r="M278" t="n">
        <v>0</v>
      </c>
      <c r="N278" t="n">
        <v>0</v>
      </c>
    </row>
    <row r="279">
      <c r="A279" t="inlineStr">
        <is>
          <t>cost of the sheepcote</t>
        </is>
      </c>
      <c r="B279" t="inlineStr">
        <is>
          <t>60 board-nails bought to nail various doors and gates 3pence.</t>
        </is>
      </c>
      <c r="C279" t="n">
        <v>0.01</v>
      </c>
      <c r="D279" t="n">
        <v>0</v>
      </c>
      <c r="E279" t="n">
        <v>0</v>
      </c>
      <c r="F279" t="n">
        <v>3</v>
      </c>
      <c r="H279" t="n">
        <v>0</v>
      </c>
      <c r="I279" t="n">
        <v>0</v>
      </c>
      <c r="J279" t="n">
        <v>0</v>
      </c>
      <c r="K279" t="n">
        <v>0</v>
      </c>
      <c r="L279" t="n">
        <v>0</v>
      </c>
      <c r="M279" t="n">
        <v>0</v>
      </c>
      <c r="N279" t="n">
        <v>0</v>
      </c>
    </row>
    <row r="280">
      <c r="A280" t="inlineStr">
        <is>
          <t>cost of the sheepcote</t>
        </is>
      </c>
      <c r="B280" t="inlineStr">
        <is>
          <t>tar and grease bought for greasing the lord's sheep for the year 8 shilling.</t>
        </is>
      </c>
      <c r="C280" t="n">
        <v>0.4</v>
      </c>
      <c r="D280" t="n">
        <v>0</v>
      </c>
      <c r="E280" t="n">
        <v>8</v>
      </c>
      <c r="F280" t="n">
        <v>0</v>
      </c>
      <c r="H280" t="n">
        <v>0</v>
      </c>
      <c r="I280" t="n">
        <v>0</v>
      </c>
      <c r="J280" t="n">
        <v>0</v>
      </c>
      <c r="K280" t="n">
        <v>0</v>
      </c>
      <c r="L280" t="n">
        <v>0</v>
      </c>
      <c r="M280" t="n">
        <v>0</v>
      </c>
      <c r="N280" t="n">
        <v>0</v>
      </c>
    </row>
    <row r="281">
      <c r="A281" t="inlineStr">
        <is>
          <t>cost of the sheepcote</t>
        </is>
      </c>
      <c r="B281" t="inlineStr">
        <is>
          <t>red ochre bought 1 shilling.</t>
        </is>
      </c>
      <c r="C281" t="n">
        <v>0.05</v>
      </c>
      <c r="D281" t="n">
        <v>0</v>
      </c>
      <c r="E281" t="n">
        <v>1</v>
      </c>
      <c r="F281" t="n">
        <v>0</v>
      </c>
      <c r="H281" t="n">
        <v>0</v>
      </c>
      <c r="I281" t="n">
        <v>0</v>
      </c>
      <c r="J281" t="n">
        <v>0</v>
      </c>
      <c r="K281" t="n">
        <v>0</v>
      </c>
      <c r="L281" t="n">
        <v>0</v>
      </c>
      <c r="M281" t="n">
        <v>0</v>
      </c>
      <c r="N281" t="n">
        <v>0</v>
      </c>
    </row>
    <row r="282">
      <c r="A282" t="inlineStr">
        <is>
          <t>cost of the sheepcote</t>
        </is>
      </c>
      <c r="B282" t="inlineStr">
        <is>
          <t>washing and shearing 731 sheep this year 10 shilling.</t>
        </is>
      </c>
      <c r="C282" t="n">
        <v>0.5</v>
      </c>
      <c r="D282" t="n">
        <v>0</v>
      </c>
      <c r="E282" t="n">
        <v>10</v>
      </c>
      <c r="F282" t="n">
        <v>0</v>
      </c>
      <c r="H282" t="n">
        <v>0</v>
      </c>
      <c r="I282" t="n">
        <v>0</v>
      </c>
      <c r="J282" t="n">
        <v>0</v>
      </c>
      <c r="K282" t="n">
        <v>0</v>
      </c>
      <c r="L282" t="n">
        <v>0</v>
      </c>
      <c r="M282" t="n">
        <v>0</v>
      </c>
      <c r="N282" t="n">
        <v>0</v>
      </c>
    </row>
    <row r="283">
      <c r="A283" t="inlineStr">
        <is>
          <t>cost of the sheepcote</t>
        </is>
      </c>
      <c r="B283" t="inlineStr">
        <is>
          <t>reward made to james bourton', keeper of the lambs after weaning, 2 shilling.</t>
        </is>
      </c>
      <c r="C283" t="n">
        <v>0.1</v>
      </c>
      <c r="D283" t="n">
        <v>0</v>
      </c>
      <c r="E283" t="n">
        <v>2</v>
      </c>
      <c r="F283" t="n">
        <v>0</v>
      </c>
      <c r="H283" t="n">
        <v>0</v>
      </c>
      <c r="I283" t="n">
        <v>0</v>
      </c>
      <c r="J283" t="n">
        <v>0</v>
      </c>
      <c r="K283" t="n">
        <v>0</v>
      </c>
      <c r="L283" t="n">
        <v>0</v>
      </c>
      <c r="M283" t="n">
        <v>0</v>
      </c>
      <c r="N283" t="n">
        <v>0</v>
      </c>
    </row>
    <row r="284">
      <c r="A284" t="inlineStr">
        <is>
          <t>cost of the sheepcote</t>
        </is>
      </c>
      <c r="B284" t="inlineStr">
        <is>
          <t>expenses of william beck', there to weigh the wool and deliver it to henry london', as made clear elsewhere, 2 shilling 2pence.</t>
        </is>
      </c>
      <c r="C284" t="n">
        <v>0.11</v>
      </c>
      <c r="D284" t="n">
        <v>0</v>
      </c>
      <c r="E284" t="n">
        <v>2</v>
      </c>
      <c r="F284" t="n">
        <v>2</v>
      </c>
      <c r="H284" t="n">
        <v>0</v>
      </c>
      <c r="I284" t="n">
        <v>0</v>
      </c>
      <c r="J284" t="n">
        <v>0</v>
      </c>
      <c r="K284" t="n">
        <v>0</v>
      </c>
      <c r="L284" t="n">
        <v>0</v>
      </c>
      <c r="M284" t="n">
        <v>0</v>
      </c>
      <c r="N284" t="n">
        <v>0</v>
      </c>
    </row>
    <row r="285">
      <c r="A285" t="inlineStr">
        <is>
          <t>cost of the sheepcote</t>
        </is>
      </c>
      <c r="B285" t="inlineStr">
        <is>
          <t>total, £3 9 shilling 11pence.</t>
        </is>
      </c>
      <c r="C285" t="n">
        <v>3.5</v>
      </c>
      <c r="D285" t="n">
        <v>3</v>
      </c>
      <c r="E285" t="n">
        <v>9</v>
      </c>
      <c r="F285" t="n">
        <v>11</v>
      </c>
      <c r="H285" t="n">
        <v>0</v>
      </c>
      <c r="I285" t="n">
        <v>0</v>
      </c>
      <c r="J285" t="n">
        <v>0</v>
      </c>
      <c r="K285" t="n">
        <v>0</v>
      </c>
      <c r="L285" t="n">
        <v>0</v>
      </c>
      <c r="M285" t="n">
        <v>0</v>
      </c>
      <c r="N285" t="n">
        <v>0</v>
      </c>
    </row>
    <row r="286">
      <c r="A286" t="inlineStr">
        <is>
          <t>cost of meadows</t>
        </is>
      </c>
      <c r="B286" t="inlineStr">
        <is>
          <t>in mowing 8 acres 1 rood in togenhale, 14.5 acres in berewell', 10 acres of the 26 acres in brodemore, 25 acres in fulneye, 23 acres 1 rood in appele, 5 acres 3 roods in lotegarsham, 3 acres in borewellebatt' and 5 acres beside calfcroftes, which made 94 acres 3 roods in all, by piece-work this year, £2 15 shilling 3.25(1., at 7pence an acre.</t>
        </is>
      </c>
      <c r="C286" t="n">
        <v>2.75</v>
      </c>
      <c r="D286" t="n">
        <v>2</v>
      </c>
      <c r="E286" t="n">
        <v>15</v>
      </c>
      <c r="F286" t="n">
        <v>0</v>
      </c>
      <c r="H286" t="n">
        <v>0</v>
      </c>
      <c r="I286" t="n">
        <v>0</v>
      </c>
      <c r="J286" t="n">
        <v>0</v>
      </c>
      <c r="K286" t="n">
        <v>0</v>
      </c>
      <c r="L286" t="n">
        <v>0</v>
      </c>
      <c r="M286" t="n">
        <v>0</v>
      </c>
      <c r="N286" t="n">
        <v>0</v>
      </c>
    </row>
    <row r="287">
      <c r="A287" t="inlineStr">
        <is>
          <t>cost of meadows</t>
        </is>
      </c>
      <c r="B287" t="inlineStr">
        <is>
          <t>mowing a certain ham of 3 acres, recently in the holding of simon vyne, by piece-work this year, 1 shilling 9pence, at 7pence an acre.</t>
        </is>
      </c>
      <c r="C287" t="n">
        <v>0.09</v>
      </c>
      <c r="D287" t="n">
        <v>0</v>
      </c>
      <c r="E287" t="n">
        <v>1</v>
      </c>
      <c r="F287" t="n">
        <v>9</v>
      </c>
      <c r="H287" t="n">
        <v>0</v>
      </c>
      <c r="I287" t="n">
        <v>0</v>
      </c>
      <c r="J287" t="n">
        <v>0</v>
      </c>
      <c r="K287" t="n">
        <v>0</v>
      </c>
      <c r="L287" t="n">
        <v>0</v>
      </c>
      <c r="M287" t="n">
        <v>0</v>
      </c>
      <c r="N287" t="n">
        <v>0</v>
      </c>
    </row>
    <row r="288">
      <c r="A288" t="inlineStr">
        <is>
          <t>cost of meadows</t>
        </is>
      </c>
      <c r="B288" t="inlineStr">
        <is>
          <t>for 3.5 acres enclosed in the meadow called hardenham, nothing, because it is demised to john schus, farmer of crawley, as part of his farm.</t>
        </is>
      </c>
      <c r="C288" t="n">
        <v>0</v>
      </c>
      <c r="D288" t="n">
        <v>0</v>
      </c>
      <c r="E288" t="n">
        <v>0</v>
      </c>
      <c r="F288" t="n">
        <v>0</v>
      </c>
      <c r="H288" t="n">
        <v>0</v>
      </c>
      <c r="I288" t="n">
        <v>0</v>
      </c>
      <c r="J288" t="n">
        <v>0</v>
      </c>
      <c r="K288" t="n">
        <v>0</v>
      </c>
      <c r="L288" t="n">
        <v>0</v>
      </c>
      <c r="M288" t="n">
        <v>0</v>
      </c>
      <c r="N288" t="n">
        <v>0</v>
      </c>
    </row>
    <row r="289">
      <c r="A289" t="inlineStr">
        <is>
          <t>cost of meadows</t>
        </is>
      </c>
      <c r="B289" t="inlineStr">
        <is>
          <t>mowing 9 acres of meadow in gretefulney, on top of the 6 acres there not mowed on account of the drought this year, and 7.5 acres at craulebrugg', which made 16.5 acres in all, by piece-work this year, 9 shilling 7.5pence, at 7pence an acre.</t>
        </is>
      </c>
      <c r="C289" t="n">
        <v>0.48</v>
      </c>
      <c r="D289" t="n">
        <v>0</v>
      </c>
      <c r="E289" t="n">
        <v>9</v>
      </c>
      <c r="F289" t="n">
        <v>7.5</v>
      </c>
      <c r="H289" t="n">
        <v>0</v>
      </c>
      <c r="I289" t="n">
        <v>0</v>
      </c>
      <c r="J289" t="n">
        <v>0</v>
      </c>
      <c r="K289" t="n">
        <v>0</v>
      </c>
      <c r="L289" t="n">
        <v>0</v>
      </c>
      <c r="M289" t="n">
        <v>0</v>
      </c>
      <c r="N289" t="n">
        <v>0</v>
      </c>
    </row>
    <row r="290">
      <c r="A290" t="inlineStr">
        <is>
          <t>cost of meadows</t>
        </is>
      </c>
      <c r="B290" t="inlineStr">
        <is>
          <t>spreading, turning and gathering into haycocks 114 acres 1 rood, and getting in and stacking the hay of the same in the manor and sheepcote, £2..</t>
        </is>
      </c>
      <c r="C290" t="n">
        <v>2</v>
      </c>
      <c r="D290" t="n">
        <v>2</v>
      </c>
      <c r="E290" t="n">
        <v>0</v>
      </c>
      <c r="F290" t="n">
        <v>0</v>
      </c>
      <c r="H290" t="n">
        <v>0</v>
      </c>
      <c r="I290" t="n">
        <v>0</v>
      </c>
      <c r="J290" t="n">
        <v>0</v>
      </c>
      <c r="K290" t="n">
        <v>0</v>
      </c>
      <c r="L290" t="n">
        <v>0</v>
      </c>
      <c r="M290" t="n">
        <v>0</v>
      </c>
      <c r="N290" t="n">
        <v>0</v>
      </c>
    </row>
    <row r="291">
      <c r="A291" t="inlineStr">
        <is>
          <t>cost of meadows</t>
        </is>
      </c>
      <c r="B291" t="inlineStr">
        <is>
          <t>hiring 1 man with a cart and his mate to carry the hay of the aforesaid meadows to the manor, the park and crawley for 24 days £1 4 shilling, taking between them 1 shilling a day.</t>
        </is>
      </c>
      <c r="C291" t="n">
        <v>1.2</v>
      </c>
      <c r="D291" t="n">
        <v>1</v>
      </c>
      <c r="E291" t="n">
        <v>4</v>
      </c>
      <c r="F291" t="n">
        <v>0</v>
      </c>
      <c r="H291" t="n">
        <v>0</v>
      </c>
      <c r="I291" t="n">
        <v>0</v>
      </c>
      <c r="J291" t="n">
        <v>0</v>
      </c>
      <c r="K291" t="n">
        <v>0</v>
      </c>
      <c r="L291" t="n">
        <v>0</v>
      </c>
      <c r="M291" t="n">
        <v>0</v>
      </c>
      <c r="N291" t="n">
        <v>0</v>
      </c>
    </row>
    <row r="292">
      <c r="A292" t="inlineStr">
        <is>
          <t>cost of meadows</t>
        </is>
      </c>
      <c r="B292" t="inlineStr">
        <is>
          <t>making 6 large wattled hurdles (flakes) from the lord's withies at the chase to make a bridge over the water 1 shilling.</t>
        </is>
      </c>
      <c r="C292" t="n">
        <v>0.05</v>
      </c>
      <c r="D292" t="n">
        <v>0</v>
      </c>
      <c r="E292" t="n">
        <v>1</v>
      </c>
      <c r="F292" t="n">
        <v>0</v>
      </c>
      <c r="H292" t="n">
        <v>0</v>
      </c>
      <c r="I292" t="n">
        <v>0</v>
      </c>
      <c r="J292" t="n">
        <v>0</v>
      </c>
      <c r="K292" t="n">
        <v>0</v>
      </c>
      <c r="L292" t="n">
        <v>0</v>
      </c>
      <c r="M292" t="n">
        <v>0</v>
      </c>
      <c r="N292" t="n">
        <v>0</v>
      </c>
    </row>
    <row r="293">
      <c r="A293" t="inlineStr">
        <is>
          <t>cost of meadows</t>
        </is>
      </c>
      <c r="B293" t="inlineStr">
        <is>
          <t>carrying the same 4pence.</t>
        </is>
      </c>
      <c r="C293" t="n">
        <v>0.02</v>
      </c>
      <c r="D293" t="n">
        <v>0</v>
      </c>
      <c r="E293" t="n">
        <v>0</v>
      </c>
      <c r="F293" t="n">
        <v>4</v>
      </c>
      <c r="H293" t="n">
        <v>0</v>
      </c>
      <c r="I293" t="n">
        <v>0</v>
      </c>
      <c r="J293" t="n">
        <v>0</v>
      </c>
      <c r="K293" t="n">
        <v>0</v>
      </c>
      <c r="L293" t="n">
        <v>0</v>
      </c>
      <c r="M293" t="n">
        <v>0</v>
      </c>
      <c r="N293" t="n">
        <v>0</v>
      </c>
    </row>
    <row r="294">
      <c r="A294" t="inlineStr">
        <is>
          <t>cost of meadows</t>
        </is>
      </c>
      <c r="B294" t="inlineStr">
        <is>
          <t>total, £6 11 shilling 11.75pence.</t>
        </is>
      </c>
      <c r="C294" t="n">
        <v>6.6</v>
      </c>
      <c r="D294" t="n">
        <v>6</v>
      </c>
      <c r="E294" t="n">
        <v>11</v>
      </c>
      <c r="F294" t="n">
        <v>11.75</v>
      </c>
      <c r="H294" t="n">
        <v>0</v>
      </c>
      <c r="I294" t="n">
        <v>0</v>
      </c>
      <c r="J294" t="n">
        <v>0</v>
      </c>
      <c r="K294" t="n">
        <v>0</v>
      </c>
      <c r="L294" t="n">
        <v>0</v>
      </c>
      <c r="M294" t="n">
        <v>0</v>
      </c>
      <c r="N294" t="n">
        <v>0</v>
      </c>
    </row>
    <row r="295">
      <c r="A295" t="inlineStr">
        <is>
          <t>cost of the mill</t>
        </is>
      </c>
      <c r="B295" t="inlineStr">
        <is>
          <t>in 1 millstone bought the previous year from the quarry at islip 5 shilling.</t>
        </is>
      </c>
      <c r="C295" t="n">
        <v>0.25</v>
      </c>
      <c r="D295" t="n">
        <v>0</v>
      </c>
      <c r="E295" t="n">
        <v>5</v>
      </c>
      <c r="F295" t="n">
        <v>0</v>
      </c>
      <c r="H295" t="n">
        <v>0</v>
      </c>
      <c r="I295" t="n">
        <v>0</v>
      </c>
      <c r="J295" t="n">
        <v>0</v>
      </c>
      <c r="K295" t="n">
        <v>0</v>
      </c>
      <c r="L295" t="n">
        <v>0</v>
      </c>
      <c r="M295" t="n">
        <v>0</v>
      </c>
      <c r="N295" t="n">
        <v>0</v>
      </c>
    </row>
    <row r="296">
      <c r="A296" t="inlineStr">
        <is>
          <t>cost of the mill</t>
        </is>
      </c>
      <c r="B296" t="inlineStr">
        <is>
          <t>total, 5 shilling.</t>
        </is>
      </c>
      <c r="C296" t="n">
        <v>0.25</v>
      </c>
      <c r="D296" t="n">
        <v>0</v>
      </c>
      <c r="E296" t="n">
        <v>5</v>
      </c>
      <c r="F296" t="n">
        <v>0</v>
      </c>
      <c r="H296" t="n">
        <v>0</v>
      </c>
      <c r="I296" t="n">
        <v>0</v>
      </c>
      <c r="J296" t="n">
        <v>0</v>
      </c>
      <c r="K296" t="n">
        <v>0</v>
      </c>
      <c r="L296" t="n">
        <v>0</v>
      </c>
      <c r="M296" t="n">
        <v>0</v>
      </c>
      <c r="N296" t="n">
        <v>0</v>
      </c>
    </row>
    <row r="297">
      <c r="A297" t="inlineStr">
        <is>
          <t>cost of the park</t>
        </is>
      </c>
      <c r="B297" t="inlineStr">
        <is>
          <t>in making and mending the stone wall and fences around the park this year 5 shilling.</t>
        </is>
      </c>
      <c r="C297" t="n">
        <v>0.25</v>
      </c>
      <c r="D297" t="n">
        <v>0</v>
      </c>
      <c r="E297" t="n">
        <v>5</v>
      </c>
      <c r="F297" t="n">
        <v>0</v>
      </c>
      <c r="H297" t="n">
        <v>0</v>
      </c>
      <c r="I297" t="n">
        <v>0</v>
      </c>
      <c r="J297" t="n">
        <v>0</v>
      </c>
      <c r="K297" t="n">
        <v>0</v>
      </c>
      <c r="L297" t="n">
        <v>0</v>
      </c>
      <c r="M297" t="n">
        <v>0</v>
      </c>
      <c r="N297" t="n">
        <v>0</v>
      </c>
    </row>
    <row r="298">
      <c r="A298" t="inlineStr">
        <is>
          <t>cost of the park</t>
        </is>
      </c>
      <c r="B298" t="inlineStr">
        <is>
          <t>50 men coming with 25 carts to carry wood from the lord's chase to the park for a boon-work in order to make hedges there, as if for a day, 3 shilling for their expenses.</t>
        </is>
      </c>
      <c r="C298" t="n">
        <v>0.15</v>
      </c>
      <c r="D298" t="n">
        <v>0</v>
      </c>
      <c r="E298" t="n">
        <v>3</v>
      </c>
      <c r="F298" t="n">
        <v>0</v>
      </c>
      <c r="H298" t="n">
        <v>0</v>
      </c>
      <c r="I298" t="n">
        <v>0</v>
      </c>
      <c r="J298" t="n">
        <v>0</v>
      </c>
      <c r="K298" t="n">
        <v>0</v>
      </c>
      <c r="L298" t="n">
        <v>0</v>
      </c>
      <c r="M298" t="n">
        <v>0</v>
      </c>
      <c r="N298" t="n">
        <v>0</v>
      </c>
    </row>
    <row r="299">
      <c r="A299" t="inlineStr">
        <is>
          <t>cost of the park</t>
        </is>
      </c>
      <c r="B299" t="inlineStr">
        <is>
          <t>total, 8 shilling.</t>
        </is>
      </c>
      <c r="C299" t="n">
        <v>0.4</v>
      </c>
      <c r="D299" t="n">
        <v>0</v>
      </c>
      <c r="E299" t="n">
        <v>8</v>
      </c>
      <c r="F299" t="n">
        <v>0</v>
      </c>
      <c r="H299" t="n">
        <v>0</v>
      </c>
      <c r="I299" t="n">
        <v>0</v>
      </c>
      <c r="J299" t="n">
        <v>0</v>
      </c>
      <c r="K299" t="n">
        <v>0</v>
      </c>
      <c r="L299" t="n">
        <v>0</v>
      </c>
      <c r="M299" t="n">
        <v>0</v>
      </c>
      <c r="N299" t="n">
        <v>0</v>
      </c>
    </row>
    <row r="300">
      <c r="A300" t="inlineStr">
        <is>
          <t>wages and stipends</t>
        </is>
      </c>
      <c r="B300" t="inlineStr">
        <is>
          <t>in stipend of 1 warrener for the year, keeping the lord's park, meadows and pastures, summoning the courts and roofing the buildings in the manor of witney, 13 shilling 4pence.</t>
        </is>
      </c>
      <c r="C300" t="n">
        <v>0.67</v>
      </c>
      <c r="D300" t="n">
        <v>0</v>
      </c>
      <c r="E300" t="n">
        <v>13</v>
      </c>
      <c r="F300" t="n">
        <v>4</v>
      </c>
      <c r="H300" t="n">
        <v>0</v>
      </c>
      <c r="I300" t="n">
        <v>0</v>
      </c>
      <c r="J300" t="n">
        <v>0</v>
      </c>
      <c r="K300" t="n">
        <v>0</v>
      </c>
      <c r="L300" t="n">
        <v>0</v>
      </c>
      <c r="M300" t="n">
        <v>0</v>
      </c>
      <c r="N300" t="n">
        <v>0</v>
      </c>
    </row>
    <row r="301">
      <c r="A301" t="inlineStr">
        <is>
          <t>wages and stipends</t>
        </is>
      </c>
      <c r="B301" t="inlineStr">
        <is>
          <t>stipend of roger put supervising the sheep for the year 6 shilling 8pence.</t>
        </is>
      </c>
      <c r="C301" t="n">
        <v>0.33</v>
      </c>
      <c r="D301" t="n">
        <v>0</v>
      </c>
      <c r="E301" t="n">
        <v>6</v>
      </c>
      <c r="F301" t="n">
        <v>8</v>
      </c>
      <c r="H301" t="n">
        <v>0</v>
      </c>
      <c r="I301" t="n">
        <v>0</v>
      </c>
      <c r="J301" t="n">
        <v>0</v>
      </c>
      <c r="K301" t="n">
        <v>0</v>
      </c>
      <c r="L301" t="n">
        <v>0</v>
      </c>
      <c r="M301" t="n">
        <v>0</v>
      </c>
      <c r="N301" t="n">
        <v>0</v>
      </c>
    </row>
    <row r="302">
      <c r="A302" t="inlineStr">
        <is>
          <t>wages and stipends</t>
        </is>
      </c>
      <c r="B302" t="inlineStr">
        <is>
          <t>stipend of simon hayward' supervising the sale of wood in the lord's chase and the money raised therefrom 6 shilling 8pence.</t>
        </is>
      </c>
      <c r="C302" t="n">
        <v>0.33</v>
      </c>
      <c r="D302" t="n">
        <v>0</v>
      </c>
      <c r="E302" t="n">
        <v>6</v>
      </c>
      <c r="F302" t="n">
        <v>8</v>
      </c>
      <c r="H302" t="n">
        <v>0</v>
      </c>
      <c r="I302" t="n">
        <v>0</v>
      </c>
      <c r="J302" t="n">
        <v>0</v>
      </c>
      <c r="K302" t="n">
        <v>0</v>
      </c>
      <c r="L302" t="n">
        <v>0</v>
      </c>
      <c r="M302" t="n">
        <v>0</v>
      </c>
      <c r="N302" t="n">
        <v>0</v>
      </c>
    </row>
    <row r="303">
      <c r="A303" t="inlineStr">
        <is>
          <t>wages and stipends</t>
        </is>
      </c>
      <c r="B303" t="inlineStr">
        <is>
          <t>total, £1 6 shilling 8pence.</t>
        </is>
      </c>
      <c r="C303" t="n">
        <v>1.33</v>
      </c>
      <c r="D303" t="n">
        <v>1</v>
      </c>
      <c r="E303" t="n">
        <v>6</v>
      </c>
      <c r="F303" t="n">
        <v>8</v>
      </c>
      <c r="H303" t="n">
        <v>0</v>
      </c>
      <c r="I303" t="n">
        <v>0</v>
      </c>
      <c r="J303" t="n">
        <v>0</v>
      </c>
      <c r="K303" t="n">
        <v>0</v>
      </c>
      <c r="L303" t="n">
        <v>0</v>
      </c>
      <c r="M303" t="n">
        <v>0</v>
      </c>
      <c r="N303" t="n">
        <v>0</v>
      </c>
    </row>
    <row r="304">
      <c r="A304" t="inlineStr">
        <is>
          <t>wages of the bailiff</t>
        </is>
      </c>
      <c r="B304" t="inlineStr">
        <is>
          <t>in wages of thomas bekyngham, bailiff, for part of his wages, £3 6 shilling 8pence.</t>
        </is>
      </c>
      <c r="C304" t="n">
        <v>3.33</v>
      </c>
      <c r="D304" t="n">
        <v>3</v>
      </c>
      <c r="E304" t="n">
        <v>6</v>
      </c>
      <c r="F304" t="n">
        <v>8</v>
      </c>
      <c r="H304" t="n">
        <v>0</v>
      </c>
      <c r="I304" t="n">
        <v>0</v>
      </c>
      <c r="J304" t="n">
        <v>0</v>
      </c>
      <c r="K304" t="n">
        <v>0</v>
      </c>
      <c r="L304" t="n">
        <v>0</v>
      </c>
      <c r="M304" t="n">
        <v>0</v>
      </c>
      <c r="N304" t="n">
        <v>0</v>
      </c>
    </row>
    <row r="305">
      <c r="A305" t="inlineStr">
        <is>
          <t>wages of the bailiff</t>
        </is>
      </c>
      <c r="B305" t="inlineStr">
        <is>
          <t>total, £3 6 shilling 8pence.</t>
        </is>
      </c>
      <c r="C305" t="n">
        <v>3.33</v>
      </c>
      <c r="D305" t="n">
        <v>3</v>
      </c>
      <c r="E305" t="n">
        <v>6</v>
      </c>
      <c r="F305" t="n">
        <v>8</v>
      </c>
      <c r="H305" t="n">
        <v>0</v>
      </c>
      <c r="I305" t="n">
        <v>0</v>
      </c>
      <c r="J305" t="n">
        <v>0</v>
      </c>
      <c r="K305" t="n">
        <v>0</v>
      </c>
      <c r="L305" t="n">
        <v>0</v>
      </c>
      <c r="M305" t="n">
        <v>0</v>
      </c>
      <c r="N305" t="n">
        <v>0</v>
      </c>
    </row>
    <row r="306">
      <c r="A306" t="inlineStr">
        <is>
          <t>expenses of the steward</t>
        </is>
      </c>
      <c r="B306" t="inlineStr">
        <is>
          <t>in expenses of richard wyot, steward, coming there to hold the tourns of martinmas and hockday, by 2 sealed bills, 17 shilling 8pence.</t>
        </is>
      </c>
      <c r="C306" t="n">
        <v>0.88</v>
      </c>
      <c r="D306" t="n">
        <v>0</v>
      </c>
      <c r="E306" t="n">
        <v>17</v>
      </c>
      <c r="F306" t="n">
        <v>8</v>
      </c>
      <c r="H306" t="n">
        <v>0</v>
      </c>
      <c r="I306" t="n">
        <v>0</v>
      </c>
      <c r="J306" t="n">
        <v>0</v>
      </c>
      <c r="K306" t="n">
        <v>0</v>
      </c>
      <c r="L306" t="n">
        <v>0</v>
      </c>
      <c r="M306" t="n">
        <v>0</v>
      </c>
      <c r="N306" t="n">
        <v>0</v>
      </c>
    </row>
    <row r="307">
      <c r="A307" t="inlineStr">
        <is>
          <t>expenses of the steward</t>
        </is>
      </c>
      <c r="B307" t="inlineStr">
        <is>
          <t>total, 17 shilling 8pence.</t>
        </is>
      </c>
      <c r="C307" t="n">
        <v>0.88</v>
      </c>
      <c r="D307" t="n">
        <v>0</v>
      </c>
      <c r="E307" t="n">
        <v>17</v>
      </c>
      <c r="F307" t="n">
        <v>8</v>
      </c>
      <c r="H307" t="n">
        <v>0</v>
      </c>
      <c r="I307" t="n">
        <v>0</v>
      </c>
      <c r="J307" t="n">
        <v>0</v>
      </c>
      <c r="K307" t="n">
        <v>0</v>
      </c>
      <c r="L307" t="n">
        <v>0</v>
      </c>
      <c r="M307" t="n">
        <v>0</v>
      </c>
      <c r="N307" t="n">
        <v>0</v>
      </c>
    </row>
    <row r="308">
      <c r="A308" t="inlineStr">
        <is>
          <t>total of all expenses</t>
        </is>
      </c>
      <c r="B308" t="inlineStr">
        <is>
          <t>total of all expenses, £73 8 shilling .75pence.</t>
        </is>
      </c>
      <c r="C308" t="n">
        <v>73.40000000000001</v>
      </c>
      <c r="D308" t="n">
        <v>73</v>
      </c>
      <c r="E308" t="n">
        <v>8</v>
      </c>
      <c r="F308" t="n">
        <v>0</v>
      </c>
      <c r="H308" t="n">
        <v>0</v>
      </c>
      <c r="I308" t="n">
        <v>0</v>
      </c>
      <c r="J308" t="n">
        <v>0</v>
      </c>
      <c r="K308" t="n">
        <v>0</v>
      </c>
      <c r="L308" t="n">
        <v>0</v>
      </c>
      <c r="M308" t="n">
        <v>0</v>
      </c>
      <c r="N308" t="n">
        <v>0</v>
      </c>
    </row>
    <row r="309">
      <c r="A309" t="inlineStr">
        <is>
          <t>and he owes</t>
        </is>
      </c>
      <c r="B309" t="inlineStr">
        <is>
          <t>and he owes, £77 18 shilling 3.5pence.</t>
        </is>
      </c>
      <c r="C309" t="n">
        <v>77.91</v>
      </c>
      <c r="D309" t="n">
        <v>77</v>
      </c>
      <c r="E309" t="n">
        <v>18</v>
      </c>
      <c r="F309" t="n">
        <v>3.5</v>
      </c>
      <c r="H309" t="n">
        <v>0</v>
      </c>
      <c r="I309" t="n">
        <v>0</v>
      </c>
      <c r="J309" t="n">
        <v>0</v>
      </c>
      <c r="K309" t="n">
        <v>0</v>
      </c>
      <c r="L309" t="n">
        <v>0</v>
      </c>
      <c r="M309" t="n">
        <v>0</v>
      </c>
      <c r="N309" t="n">
        <v>0</v>
      </c>
    </row>
    <row r="310">
      <c r="A310" t="inlineStr">
        <is>
          <t>allowances without writ</t>
        </is>
      </c>
      <c r="B310" t="inlineStr">
        <is>
          <t>in allowance to the same for £1 15 shilling 9pence assigned for 3 quarters 2 bushels of wheat and 3 quarters 2 bushels of barley for the livery of the warrener and roofer of all the buildings within the manor with tiles and slates by fixed agreement made with john davy, warrener, on top of the 13 shilling 4pence allowed to him above for the stipend of the warrener for the year.</t>
        </is>
      </c>
      <c r="C310" t="n">
        <v>1.79</v>
      </c>
      <c r="D310" t="n">
        <v>1</v>
      </c>
      <c r="E310" t="n">
        <v>15</v>
      </c>
      <c r="F310" t="n">
        <v>9</v>
      </c>
      <c r="G310" t="inlineStr">
        <is>
          <t>wheat, barley</t>
        </is>
      </c>
      <c r="H310" t="n">
        <v>3</v>
      </c>
      <c r="I310" t="n">
        <v>2</v>
      </c>
      <c r="J310" t="n">
        <v>3.25</v>
      </c>
      <c r="K310" t="n">
        <v>3.25</v>
      </c>
      <c r="L310" t="n">
        <v>0</v>
      </c>
      <c r="M310" t="n">
        <v>3</v>
      </c>
      <c r="N310" t="n">
        <v>2</v>
      </c>
      <c r="O310" t="n">
        <v>3</v>
      </c>
      <c r="P310" t="n">
        <v>2</v>
      </c>
    </row>
    <row r="311">
      <c r="A311" t="inlineStr">
        <is>
          <t>allowances without writ</t>
        </is>
      </c>
      <c r="B311" t="inlineStr">
        <is>
          <t>£4 7 shilling 8.25pence for various disallowances made against him in the present account.</t>
        </is>
      </c>
      <c r="C311" t="n">
        <v>4.38</v>
      </c>
      <c r="D311" t="n">
        <v>4</v>
      </c>
      <c r="E311" t="n">
        <v>7</v>
      </c>
      <c r="F311" t="n">
        <v>8.25</v>
      </c>
      <c r="H311" t="n">
        <v>0</v>
      </c>
      <c r="I311" t="n">
        <v>0</v>
      </c>
      <c r="J311" t="n">
        <v>0</v>
      </c>
      <c r="K311" t="n">
        <v>0</v>
      </c>
      <c r="L311" t="n">
        <v>0</v>
      </c>
      <c r="M311" t="n">
        <v>0</v>
      </c>
      <c r="N311" t="n">
        <v>0</v>
      </c>
    </row>
    <row r="312">
      <c r="A312" t="inlineStr">
        <is>
          <t>allowances without writ</t>
        </is>
      </c>
      <c r="B312" t="inlineStr">
        <is>
          <t>total, £6 3 shilling 5.25pence.</t>
        </is>
      </c>
      <c r="C312" t="n">
        <v>6.17</v>
      </c>
      <c r="D312" t="n">
        <v>6</v>
      </c>
      <c r="E312" t="n">
        <v>3</v>
      </c>
      <c r="F312" t="n">
        <v>5.25</v>
      </c>
      <c r="H312" t="n">
        <v>0</v>
      </c>
      <c r="I312" t="n">
        <v>0</v>
      </c>
      <c r="J312" t="n">
        <v>0</v>
      </c>
      <c r="K312" t="n">
        <v>0</v>
      </c>
      <c r="L312" t="n">
        <v>0</v>
      </c>
      <c r="M312" t="n">
        <v>0</v>
      </c>
      <c r="N312" t="n">
        <v>0</v>
      </c>
    </row>
    <row r="313">
      <c r="A313" t="inlineStr">
        <is>
          <t>cash deliveries</t>
        </is>
      </c>
      <c r="B313" t="inlineStr">
        <is>
          <t>in cash delivered to john arnold', receiver of wolvesey, by 1 tally, £57..</t>
        </is>
      </c>
      <c r="C313" t="n">
        <v>57</v>
      </c>
      <c r="D313" t="n">
        <v>57</v>
      </c>
      <c r="E313" t="n">
        <v>0</v>
      </c>
      <c r="F313" t="n">
        <v>0</v>
      </c>
      <c r="H313" t="n">
        <v>0</v>
      </c>
      <c r="I313" t="n">
        <v>0</v>
      </c>
      <c r="J313" t="n">
        <v>0</v>
      </c>
      <c r="K313" t="n">
        <v>0</v>
      </c>
      <c r="L313" t="n">
        <v>0</v>
      </c>
      <c r="M313" t="n">
        <v>0</v>
      </c>
      <c r="N313" t="n">
        <v>0</v>
      </c>
    </row>
    <row r="314">
      <c r="A314" t="inlineStr">
        <is>
          <t>cash deliveries</t>
        </is>
      </c>
      <c r="B314" t="inlineStr">
        <is>
          <t>total, £57..</t>
        </is>
      </c>
      <c r="C314" t="n">
        <v>57</v>
      </c>
      <c r="D314" t="n">
        <v>57</v>
      </c>
      <c r="E314" t="n">
        <v>0</v>
      </c>
      <c r="F314" t="n">
        <v>0</v>
      </c>
      <c r="H314" t="n">
        <v>0</v>
      </c>
      <c r="I314" t="n">
        <v>0</v>
      </c>
      <c r="J314" t="n">
        <v>0</v>
      </c>
      <c r="K314" t="n">
        <v>0</v>
      </c>
      <c r="L314" t="n">
        <v>0</v>
      </c>
      <c r="M314" t="n">
        <v>0</v>
      </c>
      <c r="N314" t="n">
        <v>0</v>
      </c>
    </row>
    <row r="315">
      <c r="A315" t="inlineStr">
        <is>
          <t>total of all allowances and cash deliveries</t>
        </is>
      </c>
      <c r="B315" t="inlineStr">
        <is>
          <t>total of all allowances and cash deliveries, £64 3 shilling 5.25pence.</t>
        </is>
      </c>
      <c r="C315" t="n">
        <v>64.17</v>
      </c>
      <c r="D315" t="n">
        <v>64</v>
      </c>
      <c r="E315" t="n">
        <v>3</v>
      </c>
      <c r="F315" t="n">
        <v>5.25</v>
      </c>
      <c r="H315" t="n">
        <v>0</v>
      </c>
      <c r="I315" t="n">
        <v>0</v>
      </c>
      <c r="J315" t="n">
        <v>0</v>
      </c>
      <c r="K315" t="n">
        <v>0</v>
      </c>
      <c r="L315" t="n">
        <v>0</v>
      </c>
      <c r="M315" t="n">
        <v>0</v>
      </c>
      <c r="N315" t="n">
        <v>0</v>
      </c>
    </row>
    <row r="316">
      <c r="A316" t="inlineStr">
        <is>
          <t>and he owes clear</t>
        </is>
      </c>
      <c r="B316" t="inlineStr">
        <is>
          <t>and he owes clear, £14 14 shilling 10.25pence, for which he is charged in the following account.</t>
        </is>
      </c>
      <c r="C316" t="n">
        <v>14.74</v>
      </c>
      <c r="D316" t="n">
        <v>14</v>
      </c>
      <c r="E316" t="n">
        <v>14</v>
      </c>
      <c r="F316" t="n">
        <v>10.25</v>
      </c>
      <c r="H316" t="n">
        <v>0</v>
      </c>
      <c r="I316" t="n">
        <v>0</v>
      </c>
      <c r="J316" t="n">
        <v>0</v>
      </c>
      <c r="K316" t="n">
        <v>0</v>
      </c>
      <c r="L316" t="n">
        <v>0</v>
      </c>
      <c r="M316" t="n">
        <v>0</v>
      </c>
      <c r="N316" t="n">
        <v>0</v>
      </c>
    </row>
    <row r="317">
      <c r="A317" t="inlineStr">
        <is>
          <t>wheat</t>
        </is>
      </c>
      <c r="B317" t="inlineStr">
        <is>
          <t>robert bourton', reeve there, answers for 4 quarters 2 bushels bought..</t>
        </is>
      </c>
      <c r="C317" t="n">
        <v>0</v>
      </c>
      <c r="D317" t="n">
        <v>0</v>
      </c>
      <c r="E317" t="n">
        <v>0</v>
      </c>
      <c r="F317" t="n">
        <v>0</v>
      </c>
      <c r="H317" t="n">
        <v>4</v>
      </c>
      <c r="I317" t="n">
        <v>2</v>
      </c>
      <c r="J317" t="n">
        <v>4.25</v>
      </c>
      <c r="K317" t="n">
        <v>4.25</v>
      </c>
      <c r="L317" t="n">
        <v>0</v>
      </c>
      <c r="M317" t="n">
        <v>4</v>
      </c>
      <c r="N317" t="n">
        <v>2</v>
      </c>
    </row>
    <row r="318">
      <c r="A318" t="inlineStr">
        <is>
          <t>wheat</t>
        </is>
      </c>
      <c r="B318" t="inlineStr">
        <is>
          <t>total, 4 quarters 2 bushels.</t>
        </is>
      </c>
      <c r="C318" t="n">
        <v>0</v>
      </c>
      <c r="D318" t="n">
        <v>0</v>
      </c>
      <c r="E318" t="n">
        <v>0</v>
      </c>
      <c r="F318" t="n">
        <v>0</v>
      </c>
      <c r="H318" t="n">
        <v>4</v>
      </c>
      <c r="I318" t="n">
        <v>2</v>
      </c>
      <c r="J318" t="n">
        <v>4.25</v>
      </c>
      <c r="K318" t="n">
        <v>4.25</v>
      </c>
      <c r="L318" t="n">
        <v>0</v>
      </c>
      <c r="M318" t="n">
        <v>4</v>
      </c>
      <c r="N318" t="n">
        <v>2</v>
      </c>
    </row>
    <row r="319">
      <c r="A319" t="inlineStr">
        <is>
          <t>wheat</t>
        </is>
      </c>
      <c r="B319" t="inlineStr">
        <is>
          <t>free passage for the lord and his household across the water of bablock hythe for the year, 1 quarters.</t>
        </is>
      </c>
      <c r="C319" t="n">
        <v>0</v>
      </c>
      <c r="D319" t="n">
        <v>0</v>
      </c>
      <c r="E319" t="n">
        <v>0</v>
      </c>
      <c r="F319" t="n">
        <v>0</v>
      </c>
      <c r="H319" t="n">
        <v>1</v>
      </c>
      <c r="I319" t="n">
        <v>0</v>
      </c>
      <c r="J319" t="n">
        <v>1</v>
      </c>
      <c r="K319" t="n">
        <v>1</v>
      </c>
      <c r="L319" t="n">
        <v>0</v>
      </c>
      <c r="M319" t="n">
        <v>1</v>
      </c>
      <c r="N319" t="n">
        <v>0</v>
      </c>
    </row>
    <row r="320">
      <c r="A320" t="inlineStr">
        <is>
          <t>wheat</t>
        </is>
      </c>
      <c r="B320" t="inlineStr">
        <is>
          <t>bread baked for the provision of richard wyot', steward, coming there to hold the tourns of martinmas and hockday, by 2 sealed bills, 4 bushels.</t>
        </is>
      </c>
      <c r="C320" t="n">
        <v>0</v>
      </c>
      <c r="D320" t="n">
        <v>0</v>
      </c>
      <c r="E320" t="n">
        <v>0</v>
      </c>
      <c r="F320" t="n">
        <v>0</v>
      </c>
      <c r="H320" t="n">
        <v>0</v>
      </c>
      <c r="I320" t="n">
        <v>4</v>
      </c>
      <c r="J320" t="n">
        <v>0.5</v>
      </c>
      <c r="K320" t="n">
        <v>0.5</v>
      </c>
      <c r="L320" t="n">
        <v>0</v>
      </c>
      <c r="M320" t="n">
        <v>0</v>
      </c>
      <c r="N320" t="n">
        <v>4</v>
      </c>
    </row>
    <row r="321">
      <c r="A321" t="inlineStr">
        <is>
          <t>wheat</t>
        </is>
      </c>
      <c r="B321" t="inlineStr">
        <is>
          <t>sold at the audit, 3 quarters 2 bushels for £1 12 shilling 6pence.</t>
        </is>
      </c>
      <c r="C321" t="n">
        <v>1.62</v>
      </c>
      <c r="D321" t="n">
        <v>1</v>
      </c>
      <c r="E321" t="n">
        <v>12</v>
      </c>
      <c r="F321" t="n">
        <v>6</v>
      </c>
      <c r="H321" t="n">
        <v>3</v>
      </c>
      <c r="I321" t="n">
        <v>2</v>
      </c>
      <c r="J321" t="n">
        <v>3.25</v>
      </c>
      <c r="K321" t="n">
        <v>3.25</v>
      </c>
      <c r="L321" t="n">
        <v>0</v>
      </c>
      <c r="M321" t="n">
        <v>3</v>
      </c>
      <c r="N321" t="n">
        <v>2</v>
      </c>
    </row>
    <row r="322">
      <c r="A322" t="inlineStr">
        <is>
          <t>wheat</t>
        </is>
      </c>
      <c r="B322" t="inlineStr">
        <is>
          <t>total as before.</t>
        </is>
      </c>
      <c r="C322" t="n">
        <v>0</v>
      </c>
      <c r="D322" t="n">
        <v>0</v>
      </c>
      <c r="E322" t="n">
        <v>0</v>
      </c>
      <c r="F322" t="n">
        <v>0</v>
      </c>
      <c r="H322" t="n">
        <v>0</v>
      </c>
      <c r="I322" t="n">
        <v>0</v>
      </c>
      <c r="J322" t="n">
        <v>0</v>
      </c>
      <c r="K322" t="n">
        <v>0</v>
      </c>
      <c r="L322" t="n">
        <v>0</v>
      </c>
      <c r="M322" t="n">
        <v>0</v>
      </c>
      <c r="N322" t="n">
        <v>0</v>
      </c>
    </row>
    <row r="323">
      <c r="A323" t="inlineStr">
        <is>
          <t>wheat</t>
        </is>
      </c>
      <c r="B323" t="inlineStr">
        <is>
          <t>none remains.</t>
        </is>
      </c>
      <c r="C323" t="n">
        <v>0</v>
      </c>
      <c r="D323" t="n">
        <v>0</v>
      </c>
      <c r="E323" t="n">
        <v>0</v>
      </c>
      <c r="F323" t="n">
        <v>0</v>
      </c>
      <c r="H323" t="n">
        <v>0</v>
      </c>
      <c r="I323" t="n">
        <v>0</v>
      </c>
      <c r="J323" t="n">
        <v>0</v>
      </c>
      <c r="K323" t="n">
        <v>0</v>
      </c>
      <c r="L323" t="n">
        <v>0</v>
      </c>
      <c r="M323" t="n">
        <v>0</v>
      </c>
      <c r="N323" t="n">
        <v>0</v>
      </c>
    </row>
    <row r="324">
      <c r="A324" t="inlineStr">
        <is>
          <t>barley</t>
        </is>
      </c>
      <c r="B324" t="inlineStr">
        <is>
          <t>and for 3 quarters 2 bushels bought..</t>
        </is>
      </c>
      <c r="C324" t="n">
        <v>0</v>
      </c>
      <c r="D324" t="n">
        <v>0</v>
      </c>
      <c r="E324" t="n">
        <v>0</v>
      </c>
      <c r="F324" t="n">
        <v>0</v>
      </c>
      <c r="H324" t="n">
        <v>3</v>
      </c>
      <c r="I324" t="n">
        <v>2</v>
      </c>
      <c r="J324" t="n">
        <v>3.25</v>
      </c>
      <c r="K324" t="n">
        <v>3.25</v>
      </c>
      <c r="L324" t="n">
        <v>0</v>
      </c>
      <c r="M324" t="n">
        <v>3</v>
      </c>
      <c r="N324" t="n">
        <v>2</v>
      </c>
    </row>
    <row r="325">
      <c r="A325" t="inlineStr">
        <is>
          <t>barley</t>
        </is>
      </c>
      <c r="B325" t="inlineStr">
        <is>
          <t>total, 3 quarters 2 bushels.</t>
        </is>
      </c>
      <c r="C325" t="n">
        <v>0</v>
      </c>
      <c r="D325" t="n">
        <v>0</v>
      </c>
      <c r="E325" t="n">
        <v>0</v>
      </c>
      <c r="F325" t="n">
        <v>0</v>
      </c>
      <c r="H325" t="n">
        <v>3</v>
      </c>
      <c r="I325" t="n">
        <v>2</v>
      </c>
      <c r="J325" t="n">
        <v>3.25</v>
      </c>
      <c r="K325" t="n">
        <v>3.25</v>
      </c>
      <c r="L325" t="n">
        <v>0</v>
      </c>
      <c r="M325" t="n">
        <v>3</v>
      </c>
      <c r="N325" t="n">
        <v>2</v>
      </c>
    </row>
    <row r="326">
      <c r="A326" t="inlineStr">
        <is>
          <t>barley</t>
        </is>
      </c>
      <c r="B326" t="inlineStr">
        <is>
          <t>sold at the audit, 3 quarters 2 bushels for 18 shilling 5pence none remains.</t>
        </is>
      </c>
      <c r="C326" t="n">
        <v>0.92</v>
      </c>
      <c r="D326" t="n">
        <v>0</v>
      </c>
      <c r="E326" t="n">
        <v>18</v>
      </c>
      <c r="F326" t="n">
        <v>5</v>
      </c>
      <c r="H326" t="n">
        <v>3</v>
      </c>
      <c r="I326" t="n">
        <v>2</v>
      </c>
      <c r="J326" t="n">
        <v>3.25</v>
      </c>
      <c r="K326" t="n">
        <v>3.25</v>
      </c>
      <c r="L326" t="n">
        <v>0</v>
      </c>
      <c r="M326" t="n">
        <v>3</v>
      </c>
      <c r="N326" t="n">
        <v>2</v>
      </c>
    </row>
    <row r="327">
      <c r="A327" t="inlineStr">
        <is>
          <t>oats</t>
        </is>
      </c>
      <c r="B327" t="inlineStr">
        <is>
          <t>and for 2 quarters 6 bushels bought.</t>
        </is>
      </c>
      <c r="C327" t="n">
        <v>0</v>
      </c>
      <c r="D327" t="n">
        <v>0</v>
      </c>
      <c r="E327" t="n">
        <v>0</v>
      </c>
      <c r="F327" t="n">
        <v>0</v>
      </c>
      <c r="H327" t="n">
        <v>2</v>
      </c>
      <c r="I327" t="n">
        <v>6</v>
      </c>
      <c r="J327" t="n">
        <v>2.75</v>
      </c>
      <c r="K327" t="n">
        <v>2.75</v>
      </c>
      <c r="L327" t="n">
        <v>0</v>
      </c>
      <c r="M327" t="n">
        <v>2</v>
      </c>
      <c r="N327" t="n">
        <v>6</v>
      </c>
    </row>
    <row r="328">
      <c r="A328" t="inlineStr">
        <is>
          <t>oats</t>
        </is>
      </c>
      <c r="B328" t="inlineStr">
        <is>
          <t>total, 2 quarters 6 bushels all accounted for in fodder for the horses of richard wyot, steward, coming there to hold the tourns of martinmas and hockday, by 2 sealed bills.</t>
        </is>
      </c>
      <c r="C328" t="n">
        <v>0</v>
      </c>
      <c r="D328" t="n">
        <v>0</v>
      </c>
      <c r="E328" t="n">
        <v>0</v>
      </c>
      <c r="F328" t="n">
        <v>0</v>
      </c>
      <c r="H328" t="n">
        <v>2</v>
      </c>
      <c r="I328" t="n">
        <v>6</v>
      </c>
      <c r="J328" t="n">
        <v>2.75</v>
      </c>
      <c r="K328" t="n">
        <v>2.75</v>
      </c>
      <c r="L328" t="n">
        <v>0</v>
      </c>
      <c r="M328" t="n">
        <v>2</v>
      </c>
      <c r="N328" t="n">
        <v>6</v>
      </c>
    </row>
    <row r="329">
      <c r="A329" t="inlineStr">
        <is>
          <t>oats</t>
        </is>
      </c>
      <c r="B329" t="inlineStr">
        <is>
          <t>none remains.</t>
        </is>
      </c>
      <c r="C329" t="n">
        <v>0</v>
      </c>
      <c r="D329" t="n">
        <v>0</v>
      </c>
      <c r="E329" t="n">
        <v>0</v>
      </c>
      <c r="F329" t="n">
        <v>0</v>
      </c>
      <c r="H329" t="n">
        <v>0</v>
      </c>
      <c r="I329" t="n">
        <v>0</v>
      </c>
      <c r="J329" t="n">
        <v>0</v>
      </c>
      <c r="K329" t="n">
        <v>0</v>
      </c>
      <c r="L329" t="n">
        <v>0</v>
      </c>
      <c r="M329" t="n">
        <v>0</v>
      </c>
      <c r="N329" t="n">
        <v>0</v>
      </c>
    </row>
    <row r="330">
      <c r="A330" t="inlineStr">
        <is>
          <t>stock</t>
        </is>
      </c>
      <c r="B330" t="inlineStr">
        <is>
          <t>horses: 1 from the heriot of richard lylywhyt.</t>
        </is>
      </c>
      <c r="C330" t="n">
        <v>0</v>
      </c>
      <c r="D330" t="n">
        <v>0</v>
      </c>
      <c r="E330" t="n">
        <v>0</v>
      </c>
      <c r="F330" t="n">
        <v>0</v>
      </c>
      <c r="H330" t="n">
        <v>0</v>
      </c>
      <c r="I330" t="n">
        <v>0</v>
      </c>
      <c r="J330" t="n">
        <v>0</v>
      </c>
      <c r="K330" t="n">
        <v>0</v>
      </c>
      <c r="L330" t="n">
        <v>0</v>
      </c>
      <c r="M330" t="n">
        <v>0</v>
      </c>
      <c r="N330" t="n">
        <v>0</v>
      </c>
    </row>
    <row r="331">
      <c r="A331" t="inlineStr">
        <is>
          <t>stock</t>
        </is>
      </c>
      <c r="B331" t="inlineStr">
        <is>
          <t>sold within.</t>
        </is>
      </c>
      <c r="C331" t="n">
        <v>0</v>
      </c>
      <c r="D331" t="n">
        <v>0</v>
      </c>
      <c r="E331" t="n">
        <v>0</v>
      </c>
      <c r="F331" t="n">
        <v>0</v>
      </c>
      <c r="H331" t="n">
        <v>0</v>
      </c>
      <c r="I331" t="n">
        <v>0</v>
      </c>
      <c r="J331" t="n">
        <v>0</v>
      </c>
      <c r="K331" t="n">
        <v>0</v>
      </c>
      <c r="L331" t="n">
        <v>0</v>
      </c>
      <c r="M331" t="n">
        <v>0</v>
      </c>
      <c r="N331" t="n">
        <v>0</v>
      </c>
    </row>
    <row r="332">
      <c r="A332" t="inlineStr">
        <is>
          <t>stock</t>
        </is>
      </c>
      <c r="B332" t="inlineStr">
        <is>
          <t>none remain.</t>
        </is>
      </c>
      <c r="C332" t="n">
        <v>0</v>
      </c>
      <c r="D332" t="n">
        <v>0</v>
      </c>
      <c r="E332" t="n">
        <v>0</v>
      </c>
      <c r="F332" t="n">
        <v>0</v>
      </c>
      <c r="H332" t="n">
        <v>0</v>
      </c>
      <c r="I332" t="n">
        <v>0</v>
      </c>
      <c r="J332" t="n">
        <v>0</v>
      </c>
      <c r="K332" t="n">
        <v>0</v>
      </c>
      <c r="L332" t="n">
        <v>0</v>
      </c>
      <c r="M332" t="n">
        <v>0</v>
      </c>
      <c r="N332" t="n">
        <v>0</v>
      </c>
    </row>
    <row r="333">
      <c r="A333" t="inlineStr">
        <is>
          <t>stock</t>
        </is>
      </c>
      <c r="B333" t="inlineStr">
        <is>
          <t>oxen: none.</t>
        </is>
      </c>
      <c r="C333" t="n">
        <v>0</v>
      </c>
      <c r="D333" t="n">
        <v>0</v>
      </c>
      <c r="E333" t="n">
        <v>0</v>
      </c>
      <c r="F333" t="n">
        <v>0</v>
      </c>
      <c r="H333" t="n">
        <v>0</v>
      </c>
      <c r="I333" t="n">
        <v>0</v>
      </c>
      <c r="J333" t="n">
        <v>0</v>
      </c>
      <c r="K333" t="n">
        <v>0</v>
      </c>
      <c r="L333" t="n">
        <v>0</v>
      </c>
      <c r="M333" t="n">
        <v>0</v>
      </c>
      <c r="N333" t="n">
        <v>0</v>
      </c>
    </row>
    <row r="334">
      <c r="A334" t="inlineStr">
        <is>
          <t>stock</t>
        </is>
      </c>
      <c r="B334" t="inlineStr">
        <is>
          <t>mares: none this year.</t>
        </is>
      </c>
      <c r="C334" t="n">
        <v>0</v>
      </c>
      <c r="D334" t="n">
        <v>0</v>
      </c>
      <c r="E334" t="n">
        <v>0</v>
      </c>
      <c r="F334" t="n">
        <v>0</v>
      </c>
      <c r="H334" t="n">
        <v>0</v>
      </c>
      <c r="I334" t="n">
        <v>0</v>
      </c>
      <c r="J334" t="n">
        <v>0</v>
      </c>
      <c r="K334" t="n">
        <v>0</v>
      </c>
      <c r="L334" t="n">
        <v>0</v>
      </c>
      <c r="M334" t="n">
        <v>0</v>
      </c>
      <c r="N334" t="n">
        <v>0</v>
      </c>
    </row>
    <row r="335">
      <c r="A335" t="inlineStr">
        <is>
          <t>stock</t>
        </is>
      </c>
      <c r="B335" t="inlineStr">
        <is>
          <t>colts: 1 female from strays.</t>
        </is>
      </c>
      <c r="C335" t="n">
        <v>0</v>
      </c>
      <c r="D335" t="n">
        <v>0</v>
      </c>
      <c r="E335" t="n">
        <v>0</v>
      </c>
      <c r="F335" t="n">
        <v>0</v>
      </c>
      <c r="H335" t="n">
        <v>0</v>
      </c>
      <c r="I335" t="n">
        <v>0</v>
      </c>
      <c r="J335" t="n">
        <v>0</v>
      </c>
      <c r="K335" t="n">
        <v>0</v>
      </c>
      <c r="L335" t="n">
        <v>0</v>
      </c>
      <c r="M335" t="n">
        <v>0</v>
      </c>
      <c r="N335" t="n">
        <v>0</v>
      </c>
    </row>
    <row r="336">
      <c r="A336" t="inlineStr">
        <is>
          <t>stock</t>
        </is>
      </c>
      <c r="B336" t="inlineStr">
        <is>
          <t>sold within.</t>
        </is>
      </c>
      <c r="C336" t="n">
        <v>0</v>
      </c>
      <c r="D336" t="n">
        <v>0</v>
      </c>
      <c r="E336" t="n">
        <v>0</v>
      </c>
      <c r="F336" t="n">
        <v>0</v>
      </c>
      <c r="H336" t="n">
        <v>0</v>
      </c>
      <c r="I336" t="n">
        <v>0</v>
      </c>
      <c r="J336" t="n">
        <v>0</v>
      </c>
      <c r="K336" t="n">
        <v>0</v>
      </c>
      <c r="L336" t="n">
        <v>0</v>
      </c>
      <c r="M336" t="n">
        <v>0</v>
      </c>
      <c r="N336" t="n">
        <v>0</v>
      </c>
    </row>
    <row r="337">
      <c r="A337" t="inlineStr">
        <is>
          <t>stock</t>
        </is>
      </c>
      <c r="B337" t="inlineStr">
        <is>
          <t>none remain.</t>
        </is>
      </c>
      <c r="C337" t="n">
        <v>0</v>
      </c>
      <c r="D337" t="n">
        <v>0</v>
      </c>
      <c r="E337" t="n">
        <v>0</v>
      </c>
      <c r="F337" t="n">
        <v>0</v>
      </c>
      <c r="H337" t="n">
        <v>0</v>
      </c>
      <c r="I337" t="n">
        <v>0</v>
      </c>
      <c r="J337" t="n">
        <v>0</v>
      </c>
      <c r="K337" t="n">
        <v>0</v>
      </c>
      <c r="L337" t="n">
        <v>0</v>
      </c>
      <c r="M337" t="n">
        <v>0</v>
      </c>
      <c r="N337" t="n">
        <v>0</v>
      </c>
    </row>
    <row r="338">
      <c r="A338" t="inlineStr">
        <is>
          <t>stock</t>
        </is>
      </c>
      <c r="B338" t="inlineStr">
        <is>
          <t>cows: 1 from the heriot of john lewe.</t>
        </is>
      </c>
      <c r="C338" t="n">
        <v>0</v>
      </c>
      <c r="D338" t="n">
        <v>0</v>
      </c>
      <c r="E338" t="n">
        <v>0</v>
      </c>
      <c r="F338" t="n">
        <v>0</v>
      </c>
      <c r="H338" t="n">
        <v>0</v>
      </c>
      <c r="I338" t="n">
        <v>0</v>
      </c>
      <c r="J338" t="n">
        <v>0</v>
      </c>
      <c r="K338" t="n">
        <v>0</v>
      </c>
      <c r="L338" t="n">
        <v>0</v>
      </c>
      <c r="M338" t="n">
        <v>0</v>
      </c>
      <c r="N338" t="n">
        <v>0</v>
      </c>
    </row>
    <row r="339">
      <c r="A339" t="inlineStr">
        <is>
          <t>stock</t>
        </is>
      </c>
      <c r="B339" t="inlineStr">
        <is>
          <t>sold within by the steward.</t>
        </is>
      </c>
      <c r="C339" t="n">
        <v>0</v>
      </c>
      <c r="D339" t="n">
        <v>0</v>
      </c>
      <c r="E339" t="n">
        <v>0</v>
      </c>
      <c r="F339" t="n">
        <v>0</v>
      </c>
      <c r="H339" t="n">
        <v>0</v>
      </c>
      <c r="I339" t="n">
        <v>0</v>
      </c>
      <c r="J339" t="n">
        <v>0</v>
      </c>
      <c r="K339" t="n">
        <v>0</v>
      </c>
      <c r="L339" t="n">
        <v>0</v>
      </c>
      <c r="M339" t="n">
        <v>0</v>
      </c>
      <c r="N339" t="n">
        <v>0</v>
      </c>
    </row>
    <row r="340">
      <c r="A340" t="inlineStr">
        <is>
          <t>stock</t>
        </is>
      </c>
      <c r="B340" t="inlineStr">
        <is>
          <t>none remain..</t>
        </is>
      </c>
      <c r="C340" t="n">
        <v>0</v>
      </c>
      <c r="D340" t="n">
        <v>0</v>
      </c>
      <c r="E340" t="n">
        <v>0</v>
      </c>
      <c r="F340" t="n">
        <v>0</v>
      </c>
      <c r="H340" t="n">
        <v>0</v>
      </c>
      <c r="I340" t="n">
        <v>0</v>
      </c>
      <c r="J340" t="n">
        <v>0</v>
      </c>
      <c r="K340" t="n">
        <v>0</v>
      </c>
      <c r="L340" t="n">
        <v>0</v>
      </c>
      <c r="M340" t="n">
        <v>0</v>
      </c>
      <c r="N340" t="n">
        <v>0</v>
      </c>
    </row>
    <row r="341">
      <c r="A341" t="inlineStr">
        <is>
          <t>stock</t>
        </is>
      </c>
      <c r="B341" t="inlineStr">
        <is>
          <t>wethers: 317 remain.</t>
        </is>
      </c>
      <c r="C341" t="n">
        <v>0</v>
      </c>
      <c r="D341" t="n">
        <v>0</v>
      </c>
      <c r="E341" t="n">
        <v>0</v>
      </c>
      <c r="F341" t="n">
        <v>0</v>
      </c>
      <c r="H341" t="n">
        <v>0</v>
      </c>
      <c r="I341" t="n">
        <v>0</v>
      </c>
      <c r="J341" t="n">
        <v>0</v>
      </c>
      <c r="K341" t="n">
        <v>0</v>
      </c>
      <c r="L341" t="n">
        <v>0</v>
      </c>
      <c r="M341" t="n">
        <v>0</v>
      </c>
      <c r="N341" t="n">
        <v>0</v>
      </c>
    </row>
    <row r="342">
      <c r="A342" t="inlineStr">
        <is>
          <t>stock</t>
        </is>
      </c>
      <c r="B342" t="inlineStr">
        <is>
          <t>15 additions.</t>
        </is>
      </c>
      <c r="C342" t="n">
        <v>0</v>
      </c>
      <c r="D342" t="n">
        <v>0</v>
      </c>
      <c r="E342" t="n">
        <v>0</v>
      </c>
      <c r="F342" t="n">
        <v>0</v>
      </c>
      <c r="H342" t="n">
        <v>0</v>
      </c>
      <c r="I342" t="n">
        <v>0</v>
      </c>
      <c r="J342" t="n">
        <v>0</v>
      </c>
      <c r="K342" t="n">
        <v>0</v>
      </c>
      <c r="L342" t="n">
        <v>0</v>
      </c>
      <c r="M342" t="n">
        <v>0</v>
      </c>
      <c r="N342" t="n">
        <v>0</v>
      </c>
    </row>
    <row r="343">
      <c r="A343" t="inlineStr">
        <is>
          <t>stock</t>
        </is>
      </c>
      <c r="B343" t="inlineStr">
        <is>
          <t>315 bought before shearing.</t>
        </is>
      </c>
      <c r="C343" t="n">
        <v>0</v>
      </c>
      <c r="D343" t="n">
        <v>0</v>
      </c>
      <c r="E343" t="n">
        <v>0</v>
      </c>
      <c r="F343" t="n">
        <v>0</v>
      </c>
      <c r="H343" t="n">
        <v>0</v>
      </c>
      <c r="I343" t="n">
        <v>0</v>
      </c>
      <c r="J343" t="n">
        <v>0</v>
      </c>
      <c r="K343" t="n">
        <v>0</v>
      </c>
      <c r="L343" t="n">
        <v>0</v>
      </c>
      <c r="M343" t="n">
        <v>0</v>
      </c>
      <c r="N343" t="n">
        <v>0</v>
      </c>
    </row>
    <row r="344">
      <c r="A344" t="inlineStr">
        <is>
          <t>stock</t>
        </is>
      </c>
      <c r="B344" t="inlineStr">
        <is>
          <t>total, 647. 531 in murrain before shearing and 10 after shearing.</t>
        </is>
      </c>
      <c r="C344" t="n">
        <v>0</v>
      </c>
      <c r="D344" t="n">
        <v>0</v>
      </c>
      <c r="E344" t="n">
        <v>0</v>
      </c>
      <c r="F344" t="n">
        <v>0</v>
      </c>
      <c r="H344" t="n">
        <v>0</v>
      </c>
      <c r="I344" t="n">
        <v>0</v>
      </c>
      <c r="J344" t="n">
        <v>0</v>
      </c>
      <c r="K344" t="n">
        <v>0</v>
      </c>
      <c r="L344" t="n">
        <v>0</v>
      </c>
      <c r="M344" t="n">
        <v>0</v>
      </c>
      <c r="N344" t="n">
        <v>0</v>
      </c>
    </row>
    <row r="345">
      <c r="A345" t="inlineStr">
        <is>
          <t>stock</t>
        </is>
      </c>
      <c r="B345" t="inlineStr">
        <is>
          <t>22 sold within before shearing.</t>
        </is>
      </c>
      <c r="C345" t="n">
        <v>0</v>
      </c>
      <c r="D345" t="n">
        <v>0</v>
      </c>
      <c r="E345" t="n">
        <v>0</v>
      </c>
      <c r="F345" t="n">
        <v>0</v>
      </c>
      <c r="H345" t="n">
        <v>0</v>
      </c>
      <c r="I345" t="n">
        <v>0</v>
      </c>
      <c r="J345" t="n">
        <v>0</v>
      </c>
      <c r="K345" t="n">
        <v>0</v>
      </c>
      <c r="L345" t="n">
        <v>0</v>
      </c>
      <c r="M345" t="n">
        <v>0</v>
      </c>
      <c r="N345" t="n">
        <v>0</v>
      </c>
    </row>
    <row r="346">
      <c r="A346" t="inlineStr">
        <is>
          <t>stock</t>
        </is>
      </c>
      <c r="B346" t="inlineStr">
        <is>
          <t>total, 86. 561 remain..</t>
        </is>
      </c>
      <c r="C346" t="n">
        <v>0</v>
      </c>
      <c r="D346" t="n">
        <v>0</v>
      </c>
      <c r="E346" t="n">
        <v>0</v>
      </c>
      <c r="F346" t="n">
        <v>0</v>
      </c>
      <c r="H346" t="n">
        <v>0</v>
      </c>
      <c r="I346" t="n">
        <v>0</v>
      </c>
      <c r="J346" t="n">
        <v>0</v>
      </c>
      <c r="K346" t="n">
        <v>0</v>
      </c>
      <c r="L346" t="n">
        <v>0</v>
      </c>
      <c r="M346" t="n">
        <v>0</v>
      </c>
      <c r="N346" t="n">
        <v>0</v>
      </c>
    </row>
    <row r="347">
      <c r="A347" t="inlineStr">
        <is>
          <t>stock</t>
        </is>
      </c>
      <c r="B347" t="inlineStr">
        <is>
          <t>rams: 7 remain.</t>
        </is>
      </c>
      <c r="C347" t="n">
        <v>0</v>
      </c>
      <c r="D347" t="n">
        <v>0</v>
      </c>
      <c r="E347" t="n">
        <v>0</v>
      </c>
      <c r="F347" t="n">
        <v>0</v>
      </c>
      <c r="H347" t="n">
        <v>0</v>
      </c>
      <c r="I347" t="n">
        <v>0</v>
      </c>
      <c r="J347" t="n">
        <v>0</v>
      </c>
      <c r="K347" t="n">
        <v>0</v>
      </c>
      <c r="L347" t="n">
        <v>0</v>
      </c>
      <c r="M347" t="n">
        <v>0</v>
      </c>
      <c r="N347" t="n">
        <v>0</v>
      </c>
    </row>
    <row r="348">
      <c r="A348" t="inlineStr">
        <is>
          <t>stock</t>
        </is>
      </c>
      <c r="B348" t="inlineStr">
        <is>
          <t>3 bought before shearing.</t>
        </is>
      </c>
      <c r="C348" t="n">
        <v>0</v>
      </c>
      <c r="D348" t="n">
        <v>0</v>
      </c>
      <c r="E348" t="n">
        <v>0</v>
      </c>
      <c r="F348" t="n">
        <v>0</v>
      </c>
      <c r="H348" t="n">
        <v>0</v>
      </c>
      <c r="I348" t="n">
        <v>0</v>
      </c>
      <c r="J348" t="n">
        <v>0</v>
      </c>
      <c r="K348" t="n">
        <v>0</v>
      </c>
      <c r="L348" t="n">
        <v>0</v>
      </c>
      <c r="M348" t="n">
        <v>0</v>
      </c>
      <c r="N348" t="n">
        <v>0</v>
      </c>
    </row>
    <row r="349">
      <c r="A349" t="inlineStr">
        <is>
          <t>stock</t>
        </is>
      </c>
      <c r="B349" t="inlineStr">
        <is>
          <t>total, 10. 5 in murrain before shearing,.</t>
        </is>
      </c>
      <c r="C349" t="n">
        <v>0</v>
      </c>
      <c r="D349" t="n">
        <v>0</v>
      </c>
      <c r="E349" t="n">
        <v>0</v>
      </c>
      <c r="F349" t="n">
        <v>0</v>
      </c>
      <c r="H349" t="n">
        <v>0</v>
      </c>
      <c r="I349" t="n">
        <v>0</v>
      </c>
      <c r="J349" t="n">
        <v>0</v>
      </c>
      <c r="K349" t="n">
        <v>0</v>
      </c>
      <c r="L349" t="n">
        <v>0</v>
      </c>
      <c r="M349" t="n">
        <v>0</v>
      </c>
      <c r="N349" t="n">
        <v>0</v>
      </c>
    </row>
    <row r="350">
      <c r="A350" t="inlineStr">
        <is>
          <t>stock</t>
        </is>
      </c>
      <c r="B350" t="inlineStr">
        <is>
          <t>total, 5. 5 remain.</t>
        </is>
      </c>
      <c r="C350" t="n">
        <v>0</v>
      </c>
      <c r="D350" t="n">
        <v>0</v>
      </c>
      <c r="E350" t="n">
        <v>0</v>
      </c>
      <c r="F350" t="n">
        <v>0</v>
      </c>
      <c r="H350" t="n">
        <v>0</v>
      </c>
      <c r="I350" t="n">
        <v>0</v>
      </c>
      <c r="J350" t="n">
        <v>0</v>
      </c>
      <c r="K350" t="n">
        <v>0</v>
      </c>
      <c r="L350" t="n">
        <v>0</v>
      </c>
      <c r="M350" t="n">
        <v>0</v>
      </c>
      <c r="N350" t="n">
        <v>0</v>
      </c>
    </row>
    <row r="351">
      <c r="A351" t="inlineStr">
        <is>
          <t>stock</t>
        </is>
      </c>
      <c r="B351" t="inlineStr">
        <is>
          <t>ewes: 256 remain.</t>
        </is>
      </c>
      <c r="C351" t="n">
        <v>0</v>
      </c>
      <c r="D351" t="n">
        <v>0</v>
      </c>
      <c r="E351" t="n">
        <v>0</v>
      </c>
      <c r="F351" t="n">
        <v>0</v>
      </c>
      <c r="H351" t="n">
        <v>0</v>
      </c>
      <c r="I351" t="n">
        <v>0</v>
      </c>
      <c r="J351" t="n">
        <v>0</v>
      </c>
      <c r="K351" t="n">
        <v>0</v>
      </c>
      <c r="L351" t="n">
        <v>0</v>
      </c>
      <c r="M351" t="n">
        <v>0</v>
      </c>
      <c r="N351" t="n">
        <v>0</v>
      </c>
    </row>
    <row r="352">
      <c r="A352" t="inlineStr">
        <is>
          <t>stock</t>
        </is>
      </c>
      <c r="B352" t="inlineStr">
        <is>
          <t>30 additions.</t>
        </is>
      </c>
      <c r="C352" t="n">
        <v>0</v>
      </c>
      <c r="D352" t="n">
        <v>0</v>
      </c>
      <c r="E352" t="n">
        <v>0</v>
      </c>
      <c r="F352" t="n">
        <v>0</v>
      </c>
      <c r="H352" t="n">
        <v>0</v>
      </c>
      <c r="I352" t="n">
        <v>0</v>
      </c>
      <c r="J352" t="n">
        <v>0</v>
      </c>
      <c r="K352" t="n">
        <v>0</v>
      </c>
      <c r="L352" t="n">
        <v>0</v>
      </c>
      <c r="M352" t="n">
        <v>0</v>
      </c>
      <c r="N352" t="n">
        <v>0</v>
      </c>
    </row>
    <row r="353">
      <c r="A353" t="inlineStr">
        <is>
          <t>stock</t>
        </is>
      </c>
      <c r="B353" t="inlineStr">
        <is>
          <t>17 bought before shearing.</t>
        </is>
      </c>
      <c r="C353" t="n">
        <v>0</v>
      </c>
      <c r="D353" t="n">
        <v>0</v>
      </c>
      <c r="E353" t="n">
        <v>0</v>
      </c>
      <c r="F353" t="n">
        <v>0</v>
      </c>
      <c r="H353" t="n">
        <v>0</v>
      </c>
      <c r="I353" t="n">
        <v>0</v>
      </c>
      <c r="J353" t="n">
        <v>0</v>
      </c>
      <c r="K353" t="n">
        <v>0</v>
      </c>
      <c r="L353" t="n">
        <v>0</v>
      </c>
      <c r="M353" t="n">
        <v>0</v>
      </c>
      <c r="N353" t="n">
        <v>0</v>
      </c>
    </row>
    <row r="354">
      <c r="A354" t="inlineStr">
        <is>
          <t>stock</t>
        </is>
      </c>
      <c r="B354" t="inlineStr">
        <is>
          <t>total, 303. 145 in murrain before shearing and lambing, 4 after shearing and lambing.</t>
        </is>
      </c>
      <c r="C354" t="n">
        <v>0</v>
      </c>
      <c r="D354" t="n">
        <v>0</v>
      </c>
      <c r="E354" t="n">
        <v>0</v>
      </c>
      <c r="F354" t="n">
        <v>0</v>
      </c>
      <c r="H354" t="n">
        <v>0</v>
      </c>
      <c r="I354" t="n">
        <v>0</v>
      </c>
      <c r="J354" t="n">
        <v>0</v>
      </c>
      <c r="K354" t="n">
        <v>0</v>
      </c>
      <c r="L354" t="n">
        <v>0</v>
      </c>
      <c r="M354" t="n">
        <v>0</v>
      </c>
      <c r="N354" t="n">
        <v>0</v>
      </c>
    </row>
    <row r="355">
      <c r="A355" t="inlineStr">
        <is>
          <t>stock</t>
        </is>
      </c>
      <c r="B355" t="inlineStr">
        <is>
          <t>total, 149. 154 remain.</t>
        </is>
      </c>
      <c r="C355" t="n">
        <v>0</v>
      </c>
      <c r="D355" t="n">
        <v>0</v>
      </c>
      <c r="E355" t="n">
        <v>0</v>
      </c>
      <c r="F355" t="n">
        <v>0</v>
      </c>
      <c r="H355" t="n">
        <v>0</v>
      </c>
      <c r="I355" t="n">
        <v>0</v>
      </c>
      <c r="J355" t="n">
        <v>0</v>
      </c>
      <c r="K355" t="n">
        <v>0</v>
      </c>
      <c r="L355" t="n">
        <v>0</v>
      </c>
      <c r="M355" t="n">
        <v>0</v>
      </c>
      <c r="N355" t="n">
        <v>0</v>
      </c>
    </row>
    <row r="356">
      <c r="A356" t="inlineStr">
        <is>
          <t>stock</t>
        </is>
      </c>
      <c r="B356" t="inlineStr">
        <is>
          <t>hoggs: 218 remain.</t>
        </is>
      </c>
      <c r="C356" t="n">
        <v>0</v>
      </c>
      <c r="D356" t="n">
        <v>0</v>
      </c>
      <c r="E356" t="n">
        <v>0</v>
      </c>
      <c r="F356" t="n">
        <v>0</v>
      </c>
      <c r="H356" t="n">
        <v>0</v>
      </c>
      <c r="I356" t="n">
        <v>0</v>
      </c>
      <c r="J356" t="n">
        <v>0</v>
      </c>
      <c r="K356" t="n">
        <v>0</v>
      </c>
      <c r="L356" t="n">
        <v>0</v>
      </c>
      <c r="M356" t="n">
        <v>0</v>
      </c>
      <c r="N356" t="n">
        <v>0</v>
      </c>
    </row>
    <row r="357">
      <c r="A357" t="inlineStr">
        <is>
          <t>stock</t>
        </is>
      </c>
      <c r="B357" t="inlineStr">
        <is>
          <t>total, 218. 173 in murrain before shearing.</t>
        </is>
      </c>
      <c r="C357" t="n">
        <v>0</v>
      </c>
      <c r="D357" t="n">
        <v>0</v>
      </c>
      <c r="E357" t="n">
        <v>0</v>
      </c>
      <c r="F357" t="n">
        <v>0</v>
      </c>
      <c r="H357" t="n">
        <v>0</v>
      </c>
      <c r="I357" t="n">
        <v>0</v>
      </c>
      <c r="J357" t="n">
        <v>0</v>
      </c>
      <c r="K357" t="n">
        <v>0</v>
      </c>
      <c r="L357" t="n">
        <v>0</v>
      </c>
      <c r="M357" t="n">
        <v>0</v>
      </c>
      <c r="N357" t="n">
        <v>0</v>
      </c>
    </row>
    <row r="358">
      <c r="A358" t="inlineStr">
        <is>
          <t>stock</t>
        </is>
      </c>
      <c r="B358" t="inlineStr">
        <is>
          <t>15 added above to wethers, 30 to ewes.</t>
        </is>
      </c>
      <c r="C358" t="n">
        <v>0</v>
      </c>
      <c r="D358" t="n">
        <v>0</v>
      </c>
      <c r="E358" t="n">
        <v>0</v>
      </c>
      <c r="F358" t="n">
        <v>0</v>
      </c>
      <c r="H358" t="n">
        <v>0</v>
      </c>
      <c r="I358" t="n">
        <v>0</v>
      </c>
      <c r="J358" t="n">
        <v>0</v>
      </c>
      <c r="K358" t="n">
        <v>0</v>
      </c>
      <c r="L358" t="n">
        <v>0</v>
      </c>
      <c r="M358" t="n">
        <v>0</v>
      </c>
      <c r="N358" t="n">
        <v>0</v>
      </c>
    </row>
    <row r="359">
      <c r="A359" t="inlineStr">
        <is>
          <t>stock</t>
        </is>
      </c>
      <c r="B359" t="inlineStr">
        <is>
          <t>total as before.</t>
        </is>
      </c>
      <c r="C359" t="n">
        <v>0</v>
      </c>
      <c r="D359" t="n">
        <v>0</v>
      </c>
      <c r="E359" t="n">
        <v>0</v>
      </c>
      <c r="F359" t="n">
        <v>0</v>
      </c>
      <c r="H359" t="n">
        <v>0</v>
      </c>
      <c r="I359" t="n">
        <v>0</v>
      </c>
      <c r="J359" t="n">
        <v>0</v>
      </c>
      <c r="K359" t="n">
        <v>0</v>
      </c>
      <c r="L359" t="n">
        <v>0</v>
      </c>
      <c r="M359" t="n">
        <v>0</v>
      </c>
      <c r="N359" t="n">
        <v>0</v>
      </c>
    </row>
    <row r="360">
      <c r="A360" t="inlineStr">
        <is>
          <t>stock</t>
        </is>
      </c>
      <c r="B360" t="inlineStr">
        <is>
          <t>none remain.</t>
        </is>
      </c>
      <c r="C360" t="n">
        <v>0</v>
      </c>
      <c r="D360" t="n">
        <v>0</v>
      </c>
      <c r="E360" t="n">
        <v>0</v>
      </c>
      <c r="F360" t="n">
        <v>0</v>
      </c>
      <c r="H360" t="n">
        <v>0</v>
      </c>
      <c r="I360" t="n">
        <v>0</v>
      </c>
      <c r="J360" t="n">
        <v>0</v>
      </c>
      <c r="K360" t="n">
        <v>0</v>
      </c>
      <c r="L360" t="n">
        <v>0</v>
      </c>
      <c r="M360" t="n">
        <v>0</v>
      </c>
      <c r="N360" t="n">
        <v>0</v>
      </c>
    </row>
    <row r="361">
      <c r="A361" t="inlineStr">
        <is>
          <t>stock</t>
        </is>
      </c>
      <c r="B361" t="inlineStr">
        <is>
          <t>lambs: 67 from the offspring of the above ewes and not more because 145 died before lambing and 44 were sterile.</t>
        </is>
      </c>
      <c r="C361" t="n">
        <v>0</v>
      </c>
      <c r="D361" t="n">
        <v>0</v>
      </c>
      <c r="E361" t="n">
        <v>0</v>
      </c>
      <c r="F361" t="n">
        <v>0</v>
      </c>
      <c r="H361" t="n">
        <v>0</v>
      </c>
      <c r="I361" t="n">
        <v>0</v>
      </c>
      <c r="J361" t="n">
        <v>0</v>
      </c>
      <c r="K361" t="n">
        <v>0</v>
      </c>
      <c r="L361" t="n">
        <v>0</v>
      </c>
      <c r="M361" t="n">
        <v>0</v>
      </c>
      <c r="N361" t="n">
        <v>0</v>
      </c>
    </row>
    <row r="362">
      <c r="A362" t="inlineStr">
        <is>
          <t>stock</t>
        </is>
      </c>
      <c r="B362" t="inlineStr">
        <is>
          <t>total, 67. 10 in murrain before weaning and 1 after weaning.</t>
        </is>
      </c>
      <c r="C362" t="n">
        <v>0</v>
      </c>
      <c r="D362" t="n">
        <v>0</v>
      </c>
      <c r="E362" t="n">
        <v>0</v>
      </c>
      <c r="F362" t="n">
        <v>0</v>
      </c>
      <c r="H362" t="n">
        <v>0</v>
      </c>
      <c r="I362" t="n">
        <v>0</v>
      </c>
      <c r="J362" t="n">
        <v>0</v>
      </c>
      <c r="K362" t="n">
        <v>0</v>
      </c>
      <c r="L362" t="n">
        <v>0</v>
      </c>
      <c r="M362" t="n">
        <v>0</v>
      </c>
      <c r="N362" t="n">
        <v>0</v>
      </c>
    </row>
    <row r="363">
      <c r="A363" t="inlineStr">
        <is>
          <t>stock</t>
        </is>
      </c>
      <c r="B363" t="inlineStr">
        <is>
          <t>6 in tithe.</t>
        </is>
      </c>
      <c r="C363" t="n">
        <v>0</v>
      </c>
      <c r="D363" t="n">
        <v>0</v>
      </c>
      <c r="E363" t="n">
        <v>0</v>
      </c>
      <c r="F363" t="n">
        <v>0</v>
      </c>
      <c r="H363" t="n">
        <v>0</v>
      </c>
      <c r="I363" t="n">
        <v>0</v>
      </c>
      <c r="J363" t="n">
        <v>0</v>
      </c>
      <c r="K363" t="n">
        <v>0</v>
      </c>
      <c r="L363" t="n">
        <v>0</v>
      </c>
      <c r="M363" t="n">
        <v>0</v>
      </c>
      <c r="N363" t="n">
        <v>0</v>
      </c>
    </row>
    <row r="364">
      <c r="A364" t="inlineStr">
        <is>
          <t>stock</t>
        </is>
      </c>
      <c r="B364" t="inlineStr">
        <is>
          <t>total, 17. 50 remain.</t>
        </is>
      </c>
      <c r="C364" t="n">
        <v>0</v>
      </c>
      <c r="D364" t="n">
        <v>0</v>
      </c>
      <c r="E364" t="n">
        <v>0</v>
      </c>
      <c r="F364" t="n">
        <v>0</v>
      </c>
      <c r="H364" t="n">
        <v>0</v>
      </c>
      <c r="I364" t="n">
        <v>0</v>
      </c>
      <c r="J364" t="n">
        <v>0</v>
      </c>
      <c r="K364" t="n">
        <v>0</v>
      </c>
      <c r="L364" t="n">
        <v>0</v>
      </c>
      <c r="M364" t="n">
        <v>0</v>
      </c>
      <c r="N364" t="n">
        <v>0</v>
      </c>
    </row>
    <row r="365">
      <c r="A365" t="inlineStr">
        <is>
          <t>stock</t>
        </is>
      </c>
      <c r="B365" t="inlineStr">
        <is>
          <t>fleeces: 556 from wethers, 5 from rams, 128 from ewes and 45 from hoggs produced at the shearing this year, answering for an average of 13/s lb a fleece, less 1 clove 4.75 lb in all.</t>
        </is>
      </c>
      <c r="C365" t="n">
        <v>0</v>
      </c>
      <c r="D365" t="n">
        <v>0</v>
      </c>
      <c r="E365" t="n">
        <v>0</v>
      </c>
      <c r="F365" t="n">
        <v>0</v>
      </c>
      <c r="H365" t="n">
        <v>0</v>
      </c>
      <c r="I365" t="n">
        <v>0</v>
      </c>
      <c r="J365" t="n">
        <v>0</v>
      </c>
      <c r="K365" t="n">
        <v>0</v>
      </c>
      <c r="L365" t="n">
        <v>0</v>
      </c>
      <c r="M365" t="n">
        <v>0</v>
      </c>
      <c r="N365" t="n">
        <v>0</v>
      </c>
    </row>
    <row r="366">
      <c r="A366" t="inlineStr">
        <is>
          <t>stock</t>
        </is>
      </c>
      <c r="B366" t="inlineStr">
        <is>
          <t>total, 734. 39 in tithe and not more because of the sheep bought.</t>
        </is>
      </c>
      <c r="C366" t="n">
        <v>0</v>
      </c>
      <c r="D366" t="n">
        <v>0</v>
      </c>
      <c r="E366" t="n">
        <v>0</v>
      </c>
      <c r="F366" t="n">
        <v>0</v>
      </c>
      <c r="H366" t="n">
        <v>0</v>
      </c>
      <c r="I366" t="n">
        <v>0</v>
      </c>
      <c r="J366" t="n">
        <v>0</v>
      </c>
      <c r="K366" t="n">
        <v>0</v>
      </c>
      <c r="L366" t="n">
        <v>0</v>
      </c>
      <c r="M366" t="n">
        <v>0</v>
      </c>
      <c r="N366" t="n">
        <v>0</v>
      </c>
    </row>
    <row r="367">
      <c r="A367" t="inlineStr">
        <is>
          <t>stock</t>
        </is>
      </c>
      <c r="B367" t="inlineStr">
        <is>
          <t>690 delivered to the wool-shed, weighing 2 sacks 30 cloves.</t>
        </is>
      </c>
      <c r="C367" t="n">
        <v>0</v>
      </c>
      <c r="D367" t="n">
        <v>0</v>
      </c>
      <c r="E367" t="n">
        <v>0</v>
      </c>
      <c r="F367" t="n">
        <v>0</v>
      </c>
      <c r="H367" t="n">
        <v>0</v>
      </c>
      <c r="I367" t="n">
        <v>0</v>
      </c>
      <c r="J367" t="n">
        <v>0</v>
      </c>
      <c r="K367" t="n">
        <v>0</v>
      </c>
      <c r="L367" t="n">
        <v>0</v>
      </c>
      <c r="M367" t="n">
        <v>0</v>
      </c>
      <c r="N367" t="n">
        <v>0</v>
      </c>
    </row>
    <row r="368">
      <c r="A368" t="inlineStr">
        <is>
          <t>stock</t>
        </is>
      </c>
      <c r="B368" t="inlineStr">
        <is>
          <t>2 sold within, weighing 2 lb.</t>
        </is>
      </c>
      <c r="C368" t="n">
        <v>0</v>
      </c>
      <c r="D368" t="n">
        <v>0</v>
      </c>
      <c r="E368" t="n">
        <v>0</v>
      </c>
      <c r="F368" t="n">
        <v>0</v>
      </c>
      <c r="H368" t="n">
        <v>0</v>
      </c>
      <c r="I368" t="n">
        <v>0</v>
      </c>
      <c r="J368" t="n">
        <v>0</v>
      </c>
      <c r="K368" t="n">
        <v>0</v>
      </c>
      <c r="L368" t="n">
        <v>0</v>
      </c>
      <c r="M368" t="n">
        <v>0</v>
      </c>
      <c r="N368" t="n">
        <v>0</v>
      </c>
    </row>
    <row r="369">
      <c r="A369" t="inlineStr">
        <is>
          <t>stock</t>
        </is>
      </c>
      <c r="B369" t="inlineStr">
        <is>
          <t>3 sold at the audit for 1 shilling.</t>
        </is>
      </c>
      <c r="C369" t="n">
        <v>0.05</v>
      </c>
      <c r="D369" t="n">
        <v>0</v>
      </c>
      <c r="E369" t="n">
        <v>1</v>
      </c>
      <c r="F369" t="n">
        <v>0</v>
      </c>
      <c r="H369" t="n">
        <v>0</v>
      </c>
      <c r="I369" t="n">
        <v>0</v>
      </c>
      <c r="J369" t="n">
        <v>0</v>
      </c>
      <c r="K369" t="n">
        <v>0</v>
      </c>
      <c r="L369" t="n">
        <v>0</v>
      </c>
      <c r="M369" t="n">
        <v>0</v>
      </c>
      <c r="N369" t="n">
        <v>0</v>
      </c>
    </row>
    <row r="370">
      <c r="A370" t="inlineStr">
        <is>
          <t>stock</t>
        </is>
      </c>
      <c r="B370" t="inlineStr">
        <is>
          <t>total as before.</t>
        </is>
      </c>
      <c r="C370" t="n">
        <v>0</v>
      </c>
      <c r="D370" t="n">
        <v>0</v>
      </c>
      <c r="E370" t="n">
        <v>0</v>
      </c>
      <c r="F370" t="n">
        <v>0</v>
      </c>
      <c r="H370" t="n">
        <v>0</v>
      </c>
      <c r="I370" t="n">
        <v>0</v>
      </c>
      <c r="J370" t="n">
        <v>0</v>
      </c>
      <c r="K370" t="n">
        <v>0</v>
      </c>
      <c r="L370" t="n">
        <v>0</v>
      </c>
      <c r="M370" t="n">
        <v>0</v>
      </c>
      <c r="N370" t="n">
        <v>0</v>
      </c>
    </row>
    <row r="371">
      <c r="A371" t="inlineStr">
        <is>
          <t>stock</t>
        </is>
      </c>
      <c r="B371" t="inlineStr">
        <is>
          <t>none remain.</t>
        </is>
      </c>
      <c r="C371" t="n">
        <v>0</v>
      </c>
      <c r="D371" t="n">
        <v>0</v>
      </c>
      <c r="E371" t="n">
        <v>0</v>
      </c>
      <c r="F371" t="n">
        <v>0</v>
      </c>
      <c r="H371" t="n">
        <v>0</v>
      </c>
      <c r="I371" t="n">
        <v>0</v>
      </c>
      <c r="J371" t="n">
        <v>0</v>
      </c>
      <c r="K371" t="n">
        <v>0</v>
      </c>
      <c r="L371" t="n">
        <v>0</v>
      </c>
      <c r="M371" t="n">
        <v>0</v>
      </c>
      <c r="N371" t="n">
        <v>0</v>
      </c>
    </row>
    <row r="372">
      <c r="A372" t="inlineStr">
        <is>
          <t>stock</t>
        </is>
      </c>
      <c r="B372" t="inlineStr">
        <is>
          <t>wool: 2,360 fleeces remain, weighing 7 sacks, 6 cloves, 1 lb.</t>
        </is>
      </c>
      <c r="C372" t="n">
        <v>0</v>
      </c>
      <c r="D372" t="n">
        <v>0</v>
      </c>
      <c r="E372" t="n">
        <v>0</v>
      </c>
      <c r="F372" t="n">
        <v>0</v>
      </c>
      <c r="H372" t="n">
        <v>0</v>
      </c>
      <c r="I372" t="n">
        <v>0</v>
      </c>
      <c r="J372" t="n">
        <v>0</v>
      </c>
      <c r="K372" t="n">
        <v>0</v>
      </c>
      <c r="L372" t="n">
        <v>0</v>
      </c>
      <c r="M372" t="n">
        <v>0</v>
      </c>
      <c r="N372" t="n">
        <v>0</v>
      </c>
    </row>
    <row r="373">
      <c r="A373" t="inlineStr">
        <is>
          <t>stock</t>
        </is>
      </c>
      <c r="B373" t="inlineStr">
        <is>
          <t>690 received above, weighing 2 sacks 30 cloves.</t>
        </is>
      </c>
      <c r="C373" t="n">
        <v>0</v>
      </c>
      <c r="D373" t="n">
        <v>0</v>
      </c>
      <c r="E373" t="n">
        <v>0</v>
      </c>
      <c r="F373" t="n">
        <v>0</v>
      </c>
      <c r="H373" t="n">
        <v>0</v>
      </c>
      <c r="I373" t="n">
        <v>0</v>
      </c>
      <c r="J373" t="n">
        <v>0</v>
      </c>
      <c r="K373" t="n">
        <v>0</v>
      </c>
      <c r="L373" t="n">
        <v>0</v>
      </c>
      <c r="M373" t="n">
        <v>0</v>
      </c>
      <c r="N373" t="n">
        <v>0</v>
      </c>
    </row>
    <row r="374">
      <c r="A374" t="inlineStr">
        <is>
          <t>stock</t>
        </is>
      </c>
      <c r="B374" t="inlineStr">
        <is>
          <t>121 from the reeve of harwell, weighing 28 cloves 2 lb.</t>
        </is>
      </c>
      <c r="C374" t="n">
        <v>0</v>
      </c>
      <c r="D374" t="n">
        <v>0</v>
      </c>
      <c r="E374" t="n">
        <v>0</v>
      </c>
      <c r="F374" t="n">
        <v>0</v>
      </c>
      <c r="H374" t="n">
        <v>0</v>
      </c>
      <c r="I374" t="n">
        <v>0</v>
      </c>
      <c r="J374" t="n">
        <v>0</v>
      </c>
      <c r="K374" t="n">
        <v>0</v>
      </c>
      <c r="L374" t="n">
        <v>0</v>
      </c>
      <c r="M374" t="n">
        <v>0</v>
      </c>
      <c r="N374" t="n">
        <v>0</v>
      </c>
    </row>
    <row r="375">
      <c r="A375" t="inlineStr">
        <is>
          <t>stock</t>
        </is>
      </c>
      <c r="B375" t="inlineStr">
        <is>
          <t>173 from the reeve of brightwell, weighing 25 cloves 3 lb.</t>
        </is>
      </c>
      <c r="C375" t="n">
        <v>0</v>
      </c>
      <c r="D375" t="n">
        <v>0</v>
      </c>
      <c r="E375" t="n">
        <v>0</v>
      </c>
      <c r="F375" t="n">
        <v>0</v>
      </c>
      <c r="H375" t="n">
        <v>0</v>
      </c>
      <c r="I375" t="n">
        <v>0</v>
      </c>
      <c r="J375" t="n">
        <v>0</v>
      </c>
      <c r="K375" t="n">
        <v>0</v>
      </c>
      <c r="L375" t="n">
        <v>0</v>
      </c>
      <c r="M375" t="n">
        <v>0</v>
      </c>
      <c r="N375" t="n">
        <v>0</v>
      </c>
    </row>
    <row r="376">
      <c r="A376" t="inlineStr">
        <is>
          <t>stock</t>
        </is>
      </c>
      <c r="B376" t="inlineStr">
        <is>
          <t>26 cloves 1 lb from the increment of the weighing.</t>
        </is>
      </c>
      <c r="C376" t="n">
        <v>0</v>
      </c>
      <c r="D376" t="n">
        <v>0</v>
      </c>
      <c r="E376" t="n">
        <v>0</v>
      </c>
      <c r="F376" t="n">
        <v>0</v>
      </c>
      <c r="H376" t="n">
        <v>0</v>
      </c>
      <c r="I376" t="n">
        <v>0</v>
      </c>
      <c r="J376" t="n">
        <v>0</v>
      </c>
      <c r="K376" t="n">
        <v>0</v>
      </c>
      <c r="L376" t="n">
        <v>0</v>
      </c>
      <c r="M376" t="n">
        <v>0</v>
      </c>
      <c r="N376" t="n">
        <v>0</v>
      </c>
    </row>
    <row r="377">
      <c r="A377" t="inlineStr">
        <is>
          <t>stock</t>
        </is>
      </c>
      <c r="B377"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377" t="n">
        <v>0</v>
      </c>
      <c r="D377" t="n">
        <v>0</v>
      </c>
      <c r="E377" t="n">
        <v>0</v>
      </c>
      <c r="F377" t="n">
        <v>0</v>
      </c>
      <c r="H377" t="n">
        <v>0</v>
      </c>
      <c r="I377" t="n">
        <v>0</v>
      </c>
      <c r="J377" t="n">
        <v>0</v>
      </c>
      <c r="K377" t="n">
        <v>0</v>
      </c>
      <c r="L377" t="n">
        <v>0</v>
      </c>
      <c r="M377" t="n">
        <v>0</v>
      </c>
      <c r="N377" t="n">
        <v>0</v>
      </c>
    </row>
    <row r="378">
      <c r="A378" t="inlineStr">
        <is>
          <t>stock</t>
        </is>
      </c>
      <c r="B378" t="inlineStr">
        <is>
          <t>total, 7 sacks, 32 cloves, 2 lb. 8842 fleeces remain, weighing 3 sacks, 31 cloves, 5 lb.</t>
        </is>
      </c>
      <c r="C378" t="n">
        <v>0</v>
      </c>
      <c r="D378" t="n">
        <v>0</v>
      </c>
      <c r="E378" t="n">
        <v>0</v>
      </c>
      <c r="F378" t="n">
        <v>0</v>
      </c>
      <c r="H378" t="n">
        <v>0</v>
      </c>
      <c r="I378" t="n">
        <v>0</v>
      </c>
      <c r="J378" t="n">
        <v>0</v>
      </c>
      <c r="K378" t="n">
        <v>0</v>
      </c>
      <c r="L378" t="n">
        <v>0</v>
      </c>
      <c r="M378" t="n">
        <v>0</v>
      </c>
      <c r="N378" t="n">
        <v>0</v>
      </c>
    </row>
    <row r="379">
      <c r="A379" t="inlineStr">
        <is>
          <t>stock</t>
        </is>
      </c>
      <c r="B379" t="inlineStr">
        <is>
          <t>woolskins: 54 from wethers, 5 from rams, 145 from ewes and 173 from hoggs in murrain before shearing as made clear above.</t>
        </is>
      </c>
      <c r="C379" t="n">
        <v>0</v>
      </c>
      <c r="D379" t="n">
        <v>0</v>
      </c>
      <c r="E379" t="n">
        <v>0</v>
      </c>
      <c r="F379" t="n">
        <v>0</v>
      </c>
      <c r="H379" t="n">
        <v>0</v>
      </c>
      <c r="I379" t="n">
        <v>0</v>
      </c>
      <c r="J379" t="n">
        <v>0</v>
      </c>
      <c r="K379" t="n">
        <v>0</v>
      </c>
      <c r="L379" t="n">
        <v>0</v>
      </c>
      <c r="M379" t="n">
        <v>0</v>
      </c>
      <c r="N379" t="n">
        <v>0</v>
      </c>
    </row>
    <row r="380">
      <c r="A380" t="inlineStr">
        <is>
          <t>stock</t>
        </is>
      </c>
      <c r="B380" t="inlineStr">
        <is>
          <t>total, 377. 38 in tithe.</t>
        </is>
      </c>
      <c r="C380" t="n">
        <v>0</v>
      </c>
      <c r="D380" t="n">
        <v>0</v>
      </c>
      <c r="E380" t="n">
        <v>0</v>
      </c>
      <c r="F380" t="n">
        <v>0</v>
      </c>
      <c r="H380" t="n">
        <v>0</v>
      </c>
      <c r="I380" t="n">
        <v>0</v>
      </c>
      <c r="J380" t="n">
        <v>0</v>
      </c>
      <c r="K380" t="n">
        <v>0</v>
      </c>
      <c r="L380" t="n">
        <v>0</v>
      </c>
      <c r="M380" t="n">
        <v>0</v>
      </c>
      <c r="N380" t="n">
        <v>0</v>
      </c>
    </row>
    <row r="381">
      <c r="A381" t="inlineStr">
        <is>
          <t>stock</t>
        </is>
      </c>
      <c r="B381" t="inlineStr">
        <is>
          <t>339 sold within.</t>
        </is>
      </c>
      <c r="C381" t="n">
        <v>0</v>
      </c>
      <c r="D381" t="n">
        <v>0</v>
      </c>
      <c r="E381" t="n">
        <v>0</v>
      </c>
      <c r="F381" t="n">
        <v>0</v>
      </c>
      <c r="H381" t="n">
        <v>0</v>
      </c>
      <c r="I381" t="n">
        <v>0</v>
      </c>
      <c r="J381" t="n">
        <v>0</v>
      </c>
      <c r="K381" t="n">
        <v>0</v>
      </c>
      <c r="L381" t="n">
        <v>0</v>
      </c>
      <c r="M381" t="n">
        <v>0</v>
      </c>
      <c r="N381" t="n">
        <v>0</v>
      </c>
    </row>
    <row r="382">
      <c r="A382" t="inlineStr">
        <is>
          <t>stock</t>
        </is>
      </c>
      <c r="B382" t="inlineStr">
        <is>
          <t>total as before.</t>
        </is>
      </c>
      <c r="C382" t="n">
        <v>0</v>
      </c>
      <c r="D382" t="n">
        <v>0</v>
      </c>
      <c r="E382" t="n">
        <v>0</v>
      </c>
      <c r="F382" t="n">
        <v>0</v>
      </c>
      <c r="H382" t="n">
        <v>0</v>
      </c>
      <c r="I382" t="n">
        <v>0</v>
      </c>
      <c r="J382" t="n">
        <v>0</v>
      </c>
      <c r="K382" t="n">
        <v>0</v>
      </c>
      <c r="L382" t="n">
        <v>0</v>
      </c>
      <c r="M382" t="n">
        <v>0</v>
      </c>
      <c r="N382" t="n">
        <v>0</v>
      </c>
    </row>
    <row r="383">
      <c r="A383" t="inlineStr">
        <is>
          <t>stock</t>
        </is>
      </c>
      <c r="B383" t="inlineStr">
        <is>
          <t>none remain.</t>
        </is>
      </c>
      <c r="C383" t="n">
        <v>0</v>
      </c>
      <c r="D383" t="n">
        <v>0</v>
      </c>
      <c r="E383" t="n">
        <v>0</v>
      </c>
      <c r="F383" t="n">
        <v>0</v>
      </c>
      <c r="H383" t="n">
        <v>0</v>
      </c>
      <c r="I383" t="n">
        <v>0</v>
      </c>
      <c r="J383" t="n">
        <v>0</v>
      </c>
      <c r="K383" t="n">
        <v>0</v>
      </c>
      <c r="L383" t="n">
        <v>0</v>
      </c>
      <c r="M383" t="n">
        <v>0</v>
      </c>
      <c r="N383" t="n">
        <v>0</v>
      </c>
    </row>
    <row r="384">
      <c r="A384" t="inlineStr">
        <is>
          <t>stock</t>
        </is>
      </c>
      <c r="B384" t="inlineStr">
        <is>
          <t>bare skins: 10 from wethers and 4 from ewes in murrain after shearing as made clear above.</t>
        </is>
      </c>
      <c r="C384" t="n">
        <v>0</v>
      </c>
      <c r="D384" t="n">
        <v>0</v>
      </c>
      <c r="E384" t="n">
        <v>0</v>
      </c>
      <c r="F384" t="n">
        <v>0</v>
      </c>
      <c r="H384" t="n">
        <v>0</v>
      </c>
      <c r="I384" t="n">
        <v>0</v>
      </c>
      <c r="J384" t="n">
        <v>0</v>
      </c>
      <c r="K384" t="n">
        <v>0</v>
      </c>
      <c r="L384" t="n">
        <v>0</v>
      </c>
      <c r="M384" t="n">
        <v>0</v>
      </c>
      <c r="N384" t="n">
        <v>0</v>
      </c>
    </row>
    <row r="385">
      <c r="A385" t="inlineStr">
        <is>
          <t>stock</t>
        </is>
      </c>
      <c r="B385" t="inlineStr">
        <is>
          <t>total, 14. sold within.</t>
        </is>
      </c>
      <c r="C385" t="n">
        <v>0</v>
      </c>
      <c r="D385" t="n">
        <v>0</v>
      </c>
      <c r="E385" t="n">
        <v>0</v>
      </c>
      <c r="F385" t="n">
        <v>0</v>
      </c>
      <c r="H385" t="n">
        <v>0</v>
      </c>
      <c r="I385" t="n">
        <v>0</v>
      </c>
      <c r="J385" t="n">
        <v>0</v>
      </c>
      <c r="K385" t="n">
        <v>0</v>
      </c>
      <c r="L385" t="n">
        <v>0</v>
      </c>
      <c r="M385" t="n">
        <v>0</v>
      </c>
      <c r="N385" t="n">
        <v>0</v>
      </c>
    </row>
    <row r="386">
      <c r="A386" t="inlineStr">
        <is>
          <t>stock</t>
        </is>
      </c>
      <c r="B386" t="inlineStr">
        <is>
          <t>none remain.</t>
        </is>
      </c>
      <c r="C386" t="n">
        <v>0</v>
      </c>
      <c r="D386" t="n">
        <v>0</v>
      </c>
      <c r="E386" t="n">
        <v>0</v>
      </c>
      <c r="F386" t="n">
        <v>0</v>
      </c>
      <c r="H386" t="n">
        <v>0</v>
      </c>
      <c r="I386" t="n">
        <v>0</v>
      </c>
      <c r="J386" t="n">
        <v>0</v>
      </c>
      <c r="K386" t="n">
        <v>0</v>
      </c>
      <c r="L386" t="n">
        <v>0</v>
      </c>
      <c r="M386" t="n">
        <v>0</v>
      </c>
      <c r="N386" t="n">
        <v>0</v>
      </c>
    </row>
    <row r="387">
      <c r="A387" t="inlineStr">
        <is>
          <t>stock</t>
        </is>
      </c>
      <c r="B387" t="inlineStr">
        <is>
          <t>lambskins: 11 from lambs in murrain as made clear above.</t>
        </is>
      </c>
      <c r="C387" t="n">
        <v>0</v>
      </c>
      <c r="D387" t="n">
        <v>0</v>
      </c>
      <c r="E387" t="n">
        <v>0</v>
      </c>
      <c r="F387" t="n">
        <v>0</v>
      </c>
      <c r="H387" t="n">
        <v>0</v>
      </c>
      <c r="I387" t="n">
        <v>0</v>
      </c>
      <c r="J387" t="n">
        <v>0</v>
      </c>
      <c r="K387" t="n">
        <v>0</v>
      </c>
      <c r="L387" t="n">
        <v>0</v>
      </c>
      <c r="M387" t="n">
        <v>0</v>
      </c>
      <c r="N387" t="n">
        <v>0</v>
      </c>
    </row>
    <row r="388">
      <c r="A388" t="inlineStr">
        <is>
          <t>stock</t>
        </is>
      </c>
      <c r="B388" t="inlineStr">
        <is>
          <t>total, 11. 1 in tithe.</t>
        </is>
      </c>
      <c r="C388" t="n">
        <v>0</v>
      </c>
      <c r="D388" t="n">
        <v>0</v>
      </c>
      <c r="E388" t="n">
        <v>0</v>
      </c>
      <c r="F388" t="n">
        <v>0</v>
      </c>
      <c r="H388" t="n">
        <v>0</v>
      </c>
      <c r="I388" t="n">
        <v>0</v>
      </c>
      <c r="J388" t="n">
        <v>0</v>
      </c>
      <c r="K388" t="n">
        <v>0</v>
      </c>
      <c r="L388" t="n">
        <v>0</v>
      </c>
      <c r="M388" t="n">
        <v>0</v>
      </c>
      <c r="N388" t="n">
        <v>0</v>
      </c>
    </row>
    <row r="389">
      <c r="A389" t="inlineStr">
        <is>
          <t>stock</t>
        </is>
      </c>
      <c r="B389" t="inlineStr">
        <is>
          <t>10 sold within.</t>
        </is>
      </c>
      <c r="C389" t="n">
        <v>0</v>
      </c>
      <c r="D389" t="n">
        <v>0</v>
      </c>
      <c r="E389" t="n">
        <v>0</v>
      </c>
      <c r="F389" t="n">
        <v>0</v>
      </c>
      <c r="H389" t="n">
        <v>0</v>
      </c>
      <c r="I389" t="n">
        <v>0</v>
      </c>
      <c r="J389" t="n">
        <v>0</v>
      </c>
      <c r="K389" t="n">
        <v>0</v>
      </c>
      <c r="L389" t="n">
        <v>0</v>
      </c>
      <c r="M389" t="n">
        <v>0</v>
      </c>
      <c r="N389" t="n">
        <v>0</v>
      </c>
    </row>
    <row r="390">
      <c r="A390" t="inlineStr">
        <is>
          <t>stock</t>
        </is>
      </c>
      <c r="B390" t="inlineStr">
        <is>
          <t>total as before.</t>
        </is>
      </c>
      <c r="C390" t="n">
        <v>0</v>
      </c>
      <c r="D390" t="n">
        <v>0</v>
      </c>
      <c r="E390" t="n">
        <v>0</v>
      </c>
      <c r="F390" t="n">
        <v>0</v>
      </c>
      <c r="H390" t="n">
        <v>0</v>
      </c>
      <c r="I390" t="n">
        <v>0</v>
      </c>
      <c r="J390" t="n">
        <v>0</v>
      </c>
      <c r="K390" t="n">
        <v>0</v>
      </c>
      <c r="L390" t="n">
        <v>0</v>
      </c>
      <c r="M390" t="n">
        <v>0</v>
      </c>
      <c r="N390" t="n">
        <v>0</v>
      </c>
    </row>
    <row r="391">
      <c r="A391" t="inlineStr">
        <is>
          <t>stock</t>
        </is>
      </c>
      <c r="B391" t="inlineStr">
        <is>
          <t>none remain.</t>
        </is>
      </c>
      <c r="C391" t="n">
        <v>0</v>
      </c>
      <c r="D391" t="n">
        <v>0</v>
      </c>
      <c r="E391" t="n">
        <v>0</v>
      </c>
      <c r="F391" t="n">
        <v>0</v>
      </c>
      <c r="H391" t="n">
        <v>0</v>
      </c>
      <c r="I391" t="n">
        <v>0</v>
      </c>
      <c r="J391" t="n">
        <v>0</v>
      </c>
      <c r="K391" t="n">
        <v>0</v>
      </c>
      <c r="L391" t="n">
        <v>0</v>
      </c>
      <c r="M391" t="n">
        <v>0</v>
      </c>
      <c r="N391" t="n">
        <v>0</v>
      </c>
    </row>
    <row r="392">
      <c r="A392" t="inlineStr">
        <is>
          <t>stock</t>
        </is>
      </c>
      <c r="B392" t="inlineStr">
        <is>
          <t>cocks and hens: 52 from churchscot at martinmas.</t>
        </is>
      </c>
      <c r="C392" t="n">
        <v>0</v>
      </c>
      <c r="D392" t="n">
        <v>0</v>
      </c>
      <c r="E392" t="n">
        <v>0</v>
      </c>
      <c r="F392" t="n">
        <v>0</v>
      </c>
      <c r="H392" t="n">
        <v>0</v>
      </c>
      <c r="I392" t="n">
        <v>0</v>
      </c>
      <c r="J392" t="n">
        <v>0</v>
      </c>
      <c r="K392" t="n">
        <v>0</v>
      </c>
      <c r="L392" t="n">
        <v>0</v>
      </c>
      <c r="M392" t="n">
        <v>0</v>
      </c>
      <c r="N392" t="n">
        <v>0</v>
      </c>
    </row>
    <row r="393">
      <c r="A393" t="inlineStr">
        <is>
          <t>stock</t>
        </is>
      </c>
      <c r="B393" t="inlineStr">
        <is>
          <t>total, 52. 16 in default of the churchscot of richard sprod and simon hobbes in hailey and walter rotour, and simon hayward' in crawley, or 4 each.</t>
        </is>
      </c>
      <c r="C393" t="n">
        <v>0</v>
      </c>
      <c r="D393" t="n">
        <v>0</v>
      </c>
      <c r="E393" t="n">
        <v>0</v>
      </c>
      <c r="F393" t="n">
        <v>0</v>
      </c>
      <c r="H393" t="n">
        <v>0</v>
      </c>
      <c r="I393" t="n">
        <v>0</v>
      </c>
      <c r="J393" t="n">
        <v>0</v>
      </c>
      <c r="K393" t="n">
        <v>0</v>
      </c>
      <c r="L393" t="n">
        <v>0</v>
      </c>
      <c r="M393" t="n">
        <v>0</v>
      </c>
      <c r="N393" t="n">
        <v>0</v>
      </c>
    </row>
    <row r="394">
      <c r="A394" t="inlineStr">
        <is>
          <t>stock</t>
        </is>
      </c>
      <c r="B394" t="inlineStr">
        <is>
          <t>8 in default of the churchscot of robert hosyare and john sparhauk' because they paid a fixed cash sum and their churchscot is charged in cash with their other labour services as made clear within.</t>
        </is>
      </c>
      <c r="C394" t="n">
        <v>0</v>
      </c>
      <c r="D394" t="n">
        <v>0</v>
      </c>
      <c r="E394" t="n">
        <v>0</v>
      </c>
      <c r="F394" t="n">
        <v>0</v>
      </c>
      <c r="H394" t="n">
        <v>0</v>
      </c>
      <c r="I394" t="n">
        <v>0</v>
      </c>
      <c r="J394" t="n">
        <v>0</v>
      </c>
      <c r="K394" t="n">
        <v>0</v>
      </c>
      <c r="L394" t="n">
        <v>0</v>
      </c>
      <c r="M394" t="n">
        <v>0</v>
      </c>
      <c r="N394" t="n">
        <v>0</v>
      </c>
    </row>
    <row r="395">
      <c r="A395" t="inlineStr">
        <is>
          <t>stock</t>
        </is>
      </c>
      <c r="B395" t="inlineStr">
        <is>
          <t>8 in default of the churchscot of 2 cotlands recently of john dougel the elder because in the lord's hands.</t>
        </is>
      </c>
      <c r="C395" t="n">
        <v>0</v>
      </c>
      <c r="D395" t="n">
        <v>0</v>
      </c>
      <c r="E395" t="n">
        <v>0</v>
      </c>
      <c r="F395" t="n">
        <v>0</v>
      </c>
      <c r="H395" t="n">
        <v>0</v>
      </c>
      <c r="I395" t="n">
        <v>0</v>
      </c>
      <c r="J395" t="n">
        <v>0</v>
      </c>
      <c r="K395" t="n">
        <v>0</v>
      </c>
      <c r="L395" t="n">
        <v>0</v>
      </c>
      <c r="M395" t="n">
        <v>0</v>
      </c>
      <c r="N395" t="n">
        <v>0</v>
      </c>
    </row>
    <row r="396">
      <c r="A396" t="inlineStr">
        <is>
          <t>stock</t>
        </is>
      </c>
      <c r="B396" t="inlineStr">
        <is>
          <t>3 8 in default of the churchscot of 2 cotlands of thomas fen and martin taillour because in the lord's hands as made clear above.</t>
        </is>
      </c>
      <c r="C396" t="n">
        <v>0</v>
      </c>
      <c r="D396" t="n">
        <v>0</v>
      </c>
      <c r="E396" t="n">
        <v>0</v>
      </c>
      <c r="F396" t="n">
        <v>0</v>
      </c>
      <c r="H396" t="n">
        <v>0</v>
      </c>
      <c r="I396" t="n">
        <v>0</v>
      </c>
      <c r="J396" t="n">
        <v>0</v>
      </c>
      <c r="K396" t="n">
        <v>0</v>
      </c>
      <c r="L396" t="n">
        <v>0</v>
      </c>
      <c r="M396" t="n">
        <v>0</v>
      </c>
      <c r="N396" t="n">
        <v>0</v>
      </c>
    </row>
    <row r="397">
      <c r="A397" t="inlineStr">
        <is>
          <t>stock</t>
        </is>
      </c>
      <c r="B397" t="inlineStr">
        <is>
          <t>12 sold within.</t>
        </is>
      </c>
      <c r="C397" t="n">
        <v>0</v>
      </c>
      <c r="D397" t="n">
        <v>0</v>
      </c>
      <c r="E397" t="n">
        <v>0</v>
      </c>
      <c r="F397" t="n">
        <v>0</v>
      </c>
      <c r="H397" t="n">
        <v>0</v>
      </c>
      <c r="I397" t="n">
        <v>0</v>
      </c>
      <c r="J397" t="n">
        <v>0</v>
      </c>
      <c r="K397" t="n">
        <v>0</v>
      </c>
      <c r="L397" t="n">
        <v>0</v>
      </c>
      <c r="M397" t="n">
        <v>0</v>
      </c>
      <c r="N397" t="n">
        <v>0</v>
      </c>
    </row>
    <row r="398">
      <c r="A398" t="inlineStr">
        <is>
          <t>stock</t>
        </is>
      </c>
      <c r="B398" t="inlineStr">
        <is>
          <t>total as before.</t>
        </is>
      </c>
      <c r="C398" t="n">
        <v>0</v>
      </c>
      <c r="D398" t="n">
        <v>0</v>
      </c>
      <c r="E398" t="n">
        <v>0</v>
      </c>
      <c r="F398" t="n">
        <v>0</v>
      </c>
      <c r="H398" t="n">
        <v>0</v>
      </c>
      <c r="I398" t="n">
        <v>0</v>
      </c>
      <c r="J398" t="n">
        <v>0</v>
      </c>
      <c r="K398" t="n">
        <v>0</v>
      </c>
      <c r="L398" t="n">
        <v>0</v>
      </c>
      <c r="M398" t="n">
        <v>0</v>
      </c>
      <c r="N398" t="n">
        <v>0</v>
      </c>
    </row>
    <row r="399">
      <c r="A399" t="inlineStr">
        <is>
          <t>stock</t>
        </is>
      </c>
      <c r="B399" t="inlineStr">
        <is>
          <t>none remain.</t>
        </is>
      </c>
      <c r="C399" t="n">
        <v>0</v>
      </c>
      <c r="D399" t="n">
        <v>0</v>
      </c>
      <c r="E399" t="n">
        <v>0</v>
      </c>
      <c r="F399" t="n">
        <v>0</v>
      </c>
      <c r="H399" t="n">
        <v>0</v>
      </c>
      <c r="I399" t="n">
        <v>0</v>
      </c>
      <c r="J399" t="n">
        <v>0</v>
      </c>
      <c r="K399" t="n">
        <v>0</v>
      </c>
      <c r="L399" t="n">
        <v>0</v>
      </c>
      <c r="M399" t="n">
        <v>0</v>
      </c>
      <c r="N399" t="n">
        <v>0</v>
      </c>
    </row>
    <row r="400">
      <c r="A400" t="inlineStr">
        <is>
          <t>stock</t>
        </is>
      </c>
      <c r="B400" t="inlineStr">
        <is>
          <t>cumin: 1 lb from john wheler' the younger and john bailly for the rent of part of the lands and tenements recently of eustace de haille and robert noble for the year.</t>
        </is>
      </c>
      <c r="C400" t="n">
        <v>0</v>
      </c>
      <c r="D400" t="n">
        <v>0</v>
      </c>
      <c r="E400" t="n">
        <v>0</v>
      </c>
      <c r="F400" t="n">
        <v>0</v>
      </c>
      <c r="H400" t="n">
        <v>0</v>
      </c>
      <c r="I400" t="n">
        <v>0</v>
      </c>
      <c r="J400" t="n">
        <v>0</v>
      </c>
      <c r="K400" t="n">
        <v>0</v>
      </c>
      <c r="L400" t="n">
        <v>0</v>
      </c>
      <c r="M400" t="n">
        <v>0</v>
      </c>
      <c r="N400" t="n">
        <v>0</v>
      </c>
    </row>
    <row r="401">
      <c r="A401" t="inlineStr">
        <is>
          <t>stock</t>
        </is>
      </c>
      <c r="B401" t="inlineStr">
        <is>
          <t>sold within.</t>
        </is>
      </c>
      <c r="C401" t="n">
        <v>0</v>
      </c>
      <c r="D401" t="n">
        <v>0</v>
      </c>
      <c r="E401" t="n">
        <v>0</v>
      </c>
      <c r="F401" t="n">
        <v>0</v>
      </c>
      <c r="H401" t="n">
        <v>0</v>
      </c>
      <c r="I401" t="n">
        <v>0</v>
      </c>
      <c r="J401" t="n">
        <v>0</v>
      </c>
      <c r="K401" t="n">
        <v>0</v>
      </c>
      <c r="L401" t="n">
        <v>0</v>
      </c>
      <c r="M401" t="n">
        <v>0</v>
      </c>
      <c r="N401" t="n">
        <v>0</v>
      </c>
    </row>
    <row r="402">
      <c r="A402" t="inlineStr">
        <is>
          <t>stock</t>
        </is>
      </c>
      <c r="B402" t="inlineStr">
        <is>
          <t>none remains.</t>
        </is>
      </c>
      <c r="C402" t="n">
        <v>0</v>
      </c>
      <c r="D402" t="n">
        <v>0</v>
      </c>
      <c r="E402" t="n">
        <v>0</v>
      </c>
      <c r="F402" t="n">
        <v>0</v>
      </c>
      <c r="H402" t="n">
        <v>0</v>
      </c>
      <c r="I402" t="n">
        <v>0</v>
      </c>
      <c r="J402" t="n">
        <v>0</v>
      </c>
      <c r="K402" t="n">
        <v>0</v>
      </c>
      <c r="L402" t="n">
        <v>0</v>
      </c>
      <c r="M402" t="n">
        <v>0</v>
      </c>
      <c r="N402" t="n">
        <v>0</v>
      </c>
    </row>
    <row r="403">
      <c r="A403" t="inlineStr">
        <is>
          <t>stock</t>
        </is>
      </c>
      <c r="B403"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403" t="n">
        <v>0</v>
      </c>
      <c r="D403" t="n">
        <v>0</v>
      </c>
      <c r="E403" t="n">
        <v>0</v>
      </c>
      <c r="F403" t="n">
        <v>0</v>
      </c>
      <c r="H403" t="n">
        <v>0</v>
      </c>
      <c r="I403" t="n">
        <v>0</v>
      </c>
      <c r="J403" t="n">
        <v>0</v>
      </c>
      <c r="K403" t="n">
        <v>0</v>
      </c>
      <c r="L403" t="n">
        <v>0</v>
      </c>
      <c r="M403" t="n">
        <v>0</v>
      </c>
      <c r="N403" t="n">
        <v>0</v>
      </c>
    </row>
    <row r="404">
      <c r="A404" t="inlineStr">
        <is>
          <t>stock</t>
        </is>
      </c>
      <c r="B404" t="inlineStr">
        <is>
          <t>1 tine, 1 shovel and 1 meal (myele) remain.</t>
        </is>
      </c>
      <c r="C404" t="n">
        <v>0</v>
      </c>
      <c r="D404" t="n">
        <v>0</v>
      </c>
      <c r="E404" t="n">
        <v>0</v>
      </c>
      <c r="F404" t="n">
        <v>0</v>
      </c>
      <c r="G404" t="inlineStr">
        <is>
          <t>meal</t>
        </is>
      </c>
      <c r="H404" t="n">
        <v>0</v>
      </c>
      <c r="I404" t="n">
        <v>0</v>
      </c>
      <c r="J404" t="n">
        <v>0</v>
      </c>
      <c r="K404" t="n">
        <v>0</v>
      </c>
      <c r="L404" t="n">
        <v>0</v>
      </c>
      <c r="M404" t="n">
        <v>0</v>
      </c>
      <c r="N404" t="n">
        <v>0</v>
      </c>
    </row>
    <row r="405">
      <c r="A405" t="inlineStr">
        <is>
          <t>stock</t>
        </is>
      </c>
      <c r="B405" t="inlineStr">
        <is>
          <t>all this remains.</t>
        </is>
      </c>
      <c r="C405" t="n">
        <v>0</v>
      </c>
      <c r="D405" t="n">
        <v>0</v>
      </c>
      <c r="E405" t="n">
        <v>0</v>
      </c>
      <c r="F405" t="n">
        <v>0</v>
      </c>
      <c r="H405" t="n">
        <v>0</v>
      </c>
      <c r="I405" t="n">
        <v>0</v>
      </c>
      <c r="J405" t="n">
        <v>0</v>
      </c>
      <c r="K405" t="n">
        <v>0</v>
      </c>
      <c r="L405" t="n">
        <v>0</v>
      </c>
      <c r="M405" t="n">
        <v>0</v>
      </c>
      <c r="N40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1 from the heriot of Richard Lylywhyt.</t>
        </is>
      </c>
      <c r="C3" t="n">
        <v>0</v>
      </c>
      <c r="D3" t="n">
        <v>0</v>
      </c>
    </row>
    <row r="4">
      <c r="A4" t="inlineStr">
        <is>
          <t>Stock</t>
        </is>
      </c>
      <c r="B4" t="inlineStr">
        <is>
          <t>sold within.</t>
        </is>
      </c>
      <c r="C4" t="n">
        <v>0</v>
      </c>
      <c r="D4" t="n">
        <v>0</v>
      </c>
    </row>
    <row r="5">
      <c r="A5" t="inlineStr">
        <is>
          <t>Stock</t>
        </is>
      </c>
      <c r="B5" t="inlineStr">
        <is>
          <t>none remain.</t>
        </is>
      </c>
      <c r="C5" t="n">
        <v>0</v>
      </c>
      <c r="D5" t="n">
        <v>0</v>
      </c>
    </row>
    <row r="6">
      <c r="A6" t="inlineStr">
        <is>
          <t>Stock</t>
        </is>
      </c>
      <c r="B6" t="inlineStr">
        <is>
          <t>Oxen: none.</t>
        </is>
      </c>
      <c r="C6" t="n">
        <v>0</v>
      </c>
      <c r="D6" t="n">
        <v>0</v>
      </c>
      <c r="E6" t="inlineStr">
        <is>
          <t>Oxen</t>
        </is>
      </c>
    </row>
    <row r="7">
      <c r="A7" t="inlineStr">
        <is>
          <t>Stock</t>
        </is>
      </c>
      <c r="B7" t="inlineStr">
        <is>
          <t>Mares: none this year.</t>
        </is>
      </c>
      <c r="C7" t="n">
        <v>0</v>
      </c>
      <c r="D7" t="n">
        <v>0</v>
      </c>
      <c r="E7" t="inlineStr">
        <is>
          <t>Mares</t>
        </is>
      </c>
    </row>
    <row r="8">
      <c r="A8" t="inlineStr">
        <is>
          <t>Stock</t>
        </is>
      </c>
      <c r="B8" t="inlineStr">
        <is>
          <t>Colts: 1 female from strays.</t>
        </is>
      </c>
      <c r="C8" t="n">
        <v>0</v>
      </c>
      <c r="D8" t="n">
        <v>0</v>
      </c>
      <c r="E8" t="inlineStr">
        <is>
          <t>Mares</t>
        </is>
      </c>
    </row>
    <row r="9">
      <c r="A9" t="inlineStr">
        <is>
          <t>Stock</t>
        </is>
      </c>
      <c r="B9" t="inlineStr">
        <is>
          <t>sold within.</t>
        </is>
      </c>
      <c r="C9" t="n">
        <v>0</v>
      </c>
      <c r="D9" t="n">
        <v>0</v>
      </c>
      <c r="E9" t="inlineStr">
        <is>
          <t>Mares</t>
        </is>
      </c>
    </row>
    <row r="10">
      <c r="A10" t="inlineStr">
        <is>
          <t>Stock</t>
        </is>
      </c>
      <c r="B10" t="inlineStr">
        <is>
          <t>none remain.</t>
        </is>
      </c>
      <c r="C10" t="n">
        <v>0</v>
      </c>
      <c r="D10" t="n">
        <v>0</v>
      </c>
      <c r="E10" t="inlineStr">
        <is>
          <t>Mares</t>
        </is>
      </c>
    </row>
    <row r="11">
      <c r="A11" t="inlineStr">
        <is>
          <t>Stock</t>
        </is>
      </c>
      <c r="B11" t="inlineStr">
        <is>
          <t>Cows: 1 from the heriot of John Lewe.</t>
        </is>
      </c>
      <c r="C11" t="n">
        <v>0</v>
      </c>
      <c r="D11" t="n">
        <v>0</v>
      </c>
      <c r="E11" t="inlineStr">
        <is>
          <t>Cows</t>
        </is>
      </c>
    </row>
    <row r="12">
      <c r="A12" t="inlineStr">
        <is>
          <t>Stock</t>
        </is>
      </c>
      <c r="B12" t="inlineStr">
        <is>
          <t>sold within by the steward.</t>
        </is>
      </c>
      <c r="C12" t="n">
        <v>0</v>
      </c>
      <c r="D12" t="n">
        <v>0</v>
      </c>
      <c r="E12" t="inlineStr">
        <is>
          <t>Cows</t>
        </is>
      </c>
    </row>
    <row r="13">
      <c r="A13" t="inlineStr">
        <is>
          <t>Stock</t>
        </is>
      </c>
      <c r="B13" t="inlineStr">
        <is>
          <t>none remain..</t>
        </is>
      </c>
      <c r="C13" t="n">
        <v>0</v>
      </c>
      <c r="D13" t="n">
        <v>0</v>
      </c>
      <c r="E13" t="inlineStr">
        <is>
          <t>Cows</t>
        </is>
      </c>
    </row>
    <row r="14">
      <c r="A14" t="inlineStr">
        <is>
          <t>Stock</t>
        </is>
      </c>
      <c r="B14" t="inlineStr">
        <is>
          <t>Wethers: 317 remain.</t>
        </is>
      </c>
      <c r="C14" t="n">
        <v>0</v>
      </c>
      <c r="D14" t="n">
        <v>0</v>
      </c>
      <c r="E14" t="inlineStr">
        <is>
          <t>Wethers</t>
        </is>
      </c>
      <c r="F14" t="inlineStr">
        <is>
          <t>317</t>
        </is>
      </c>
    </row>
    <row r="15">
      <c r="A15" t="inlineStr">
        <is>
          <t>Stock</t>
        </is>
      </c>
      <c r="B15" t="inlineStr">
        <is>
          <t>15 additions.</t>
        </is>
      </c>
      <c r="C15" t="n">
        <v>0</v>
      </c>
      <c r="D15" t="n">
        <v>0</v>
      </c>
      <c r="E15" t="inlineStr">
        <is>
          <t>Wethers</t>
        </is>
      </c>
    </row>
    <row r="16">
      <c r="A16" t="inlineStr">
        <is>
          <t>Stock</t>
        </is>
      </c>
      <c r="B16" t="inlineStr">
        <is>
          <t>315 bought before shearing.</t>
        </is>
      </c>
      <c r="C16" t="n">
        <v>0</v>
      </c>
      <c r="D16" t="n">
        <v>0</v>
      </c>
      <c r="E16" t="inlineStr">
        <is>
          <t>Wethers</t>
        </is>
      </c>
      <c r="G16" t="inlineStr">
        <is>
          <t>315</t>
        </is>
      </c>
    </row>
    <row r="17">
      <c r="A17" t="inlineStr">
        <is>
          <t>Stock</t>
        </is>
      </c>
      <c r="B17" t="inlineStr">
        <is>
          <t>Total, 647. 531 in murrain before shearing and 10 after shearing.</t>
        </is>
      </c>
      <c r="C17" t="n">
        <v>0</v>
      </c>
      <c r="D17" t="n">
        <v>0</v>
      </c>
      <c r="E17" t="inlineStr">
        <is>
          <t>Wethers</t>
        </is>
      </c>
      <c r="H17" t="inlineStr">
        <is>
          <t>531</t>
        </is>
      </c>
    </row>
    <row r="18">
      <c r="A18" t="inlineStr">
        <is>
          <t>Stock</t>
        </is>
      </c>
      <c r="B18" t="inlineStr">
        <is>
          <t>22 sold within before shearing.</t>
        </is>
      </c>
      <c r="C18" t="n">
        <v>0</v>
      </c>
      <c r="D18" t="n">
        <v>0</v>
      </c>
      <c r="E18" t="inlineStr">
        <is>
          <t>Wethers</t>
        </is>
      </c>
      <c r="I18" t="inlineStr">
        <is>
          <t>22</t>
        </is>
      </c>
    </row>
    <row r="19">
      <c r="A19" t="inlineStr">
        <is>
          <t>Stock</t>
        </is>
      </c>
      <c r="B19" t="inlineStr">
        <is>
          <t>Total, 86. 561 remain..</t>
        </is>
      </c>
      <c r="C19" t="n">
        <v>0</v>
      </c>
      <c r="D19" t="n">
        <v>0</v>
      </c>
      <c r="E19" t="inlineStr">
        <is>
          <t>Wethers</t>
        </is>
      </c>
    </row>
    <row r="20">
      <c r="A20" t="inlineStr">
        <is>
          <t>Stock</t>
        </is>
      </c>
      <c r="B20" t="inlineStr">
        <is>
          <t>Rams: 7 remain.</t>
        </is>
      </c>
      <c r="C20" t="n">
        <v>0</v>
      </c>
      <c r="D20" t="n">
        <v>0</v>
      </c>
      <c r="E20" t="inlineStr">
        <is>
          <t>Rams</t>
        </is>
      </c>
      <c r="F20" t="inlineStr">
        <is>
          <t>7</t>
        </is>
      </c>
    </row>
    <row r="21">
      <c r="A21" t="inlineStr">
        <is>
          <t>Stock</t>
        </is>
      </c>
      <c r="B21" t="inlineStr">
        <is>
          <t>3 bought before shearing.</t>
        </is>
      </c>
      <c r="C21" t="n">
        <v>0</v>
      </c>
      <c r="D21" t="n">
        <v>0</v>
      </c>
      <c r="E21" t="inlineStr">
        <is>
          <t>Rams</t>
        </is>
      </c>
      <c r="G21" t="inlineStr">
        <is>
          <t>3</t>
        </is>
      </c>
    </row>
    <row r="22">
      <c r="A22" t="inlineStr">
        <is>
          <t>Stock</t>
        </is>
      </c>
      <c r="B22" t="inlineStr">
        <is>
          <t>Total, 10. 5 in murrain before shearing,.</t>
        </is>
      </c>
      <c r="C22" t="n">
        <v>0</v>
      </c>
      <c r="D22" t="n">
        <v>0</v>
      </c>
      <c r="E22" t="inlineStr">
        <is>
          <t>Rams</t>
        </is>
      </c>
      <c r="H22" t="inlineStr">
        <is>
          <t>5</t>
        </is>
      </c>
    </row>
    <row r="23">
      <c r="A23" t="inlineStr">
        <is>
          <t>Stock</t>
        </is>
      </c>
      <c r="B23" t="inlineStr">
        <is>
          <t>Total, 5. 5 remain.</t>
        </is>
      </c>
      <c r="C23" t="n">
        <v>0</v>
      </c>
      <c r="D23" t="n">
        <v>0</v>
      </c>
      <c r="E23" t="inlineStr">
        <is>
          <t>Rams</t>
        </is>
      </c>
    </row>
    <row r="24">
      <c r="A24" t="inlineStr">
        <is>
          <t>Stock</t>
        </is>
      </c>
      <c r="B24" t="inlineStr">
        <is>
          <t>Ewes: 256 remain.</t>
        </is>
      </c>
      <c r="C24" t="n">
        <v>0</v>
      </c>
      <c r="D24" t="n">
        <v>0</v>
      </c>
      <c r="E24" t="inlineStr">
        <is>
          <t>Ewes</t>
        </is>
      </c>
      <c r="F24" t="inlineStr">
        <is>
          <t>256</t>
        </is>
      </c>
    </row>
    <row r="25">
      <c r="A25" t="inlineStr">
        <is>
          <t>Stock</t>
        </is>
      </c>
      <c r="B25" t="inlineStr">
        <is>
          <t>30 additions.</t>
        </is>
      </c>
      <c r="C25" t="n">
        <v>0</v>
      </c>
      <c r="D25" t="n">
        <v>0</v>
      </c>
      <c r="E25" t="inlineStr">
        <is>
          <t>Ewes</t>
        </is>
      </c>
    </row>
    <row r="26">
      <c r="A26" t="inlineStr">
        <is>
          <t>Stock</t>
        </is>
      </c>
      <c r="B26" t="inlineStr">
        <is>
          <t>17 bought before shearing.</t>
        </is>
      </c>
      <c r="C26" t="n">
        <v>0</v>
      </c>
      <c r="D26" t="n">
        <v>0</v>
      </c>
      <c r="E26" t="inlineStr">
        <is>
          <t>Ewes</t>
        </is>
      </c>
      <c r="G26" t="inlineStr">
        <is>
          <t>17</t>
        </is>
      </c>
    </row>
    <row r="27">
      <c r="A27" t="inlineStr">
        <is>
          <t>Stock</t>
        </is>
      </c>
      <c r="B27" t="inlineStr">
        <is>
          <t>Total, 303. 145 in murrain before shearing and lambing, 4 after shearing and lambing.</t>
        </is>
      </c>
      <c r="C27" t="n">
        <v>0</v>
      </c>
      <c r="D27" t="n">
        <v>0</v>
      </c>
      <c r="E27" t="inlineStr">
        <is>
          <t>Ewes</t>
        </is>
      </c>
      <c r="H27" t="inlineStr">
        <is>
          <t>145</t>
        </is>
      </c>
    </row>
    <row r="28">
      <c r="A28" t="inlineStr">
        <is>
          <t>Stock</t>
        </is>
      </c>
      <c r="B28" t="inlineStr">
        <is>
          <t>Total, 149. 154 remain.</t>
        </is>
      </c>
      <c r="C28" t="n">
        <v>0</v>
      </c>
      <c r="D28" t="n">
        <v>0</v>
      </c>
      <c r="E28" t="inlineStr">
        <is>
          <t>Ewes</t>
        </is>
      </c>
    </row>
    <row r="29">
      <c r="A29" t="inlineStr">
        <is>
          <t>Stock</t>
        </is>
      </c>
      <c r="B29" t="inlineStr">
        <is>
          <t>Hoggs: 218 remain.</t>
        </is>
      </c>
      <c r="C29" t="n">
        <v>0</v>
      </c>
      <c r="D29" t="n">
        <v>0</v>
      </c>
      <c r="E29" t="inlineStr">
        <is>
          <t>Hoggs</t>
        </is>
      </c>
      <c r="F29" t="inlineStr">
        <is>
          <t>218</t>
        </is>
      </c>
    </row>
    <row r="30">
      <c r="A30" t="inlineStr">
        <is>
          <t>Stock</t>
        </is>
      </c>
      <c r="B30" t="inlineStr">
        <is>
          <t>Total, 218. 173 in murrain before shearing.</t>
        </is>
      </c>
      <c r="C30" t="n">
        <v>0</v>
      </c>
      <c r="D30" t="n">
        <v>0</v>
      </c>
      <c r="E30" t="inlineStr">
        <is>
          <t>Hoggs</t>
        </is>
      </c>
      <c r="H30" t="inlineStr">
        <is>
          <t>173</t>
        </is>
      </c>
    </row>
    <row r="31">
      <c r="A31" t="inlineStr">
        <is>
          <t>Stock</t>
        </is>
      </c>
      <c r="B31" t="inlineStr">
        <is>
          <t>15 added above to wethers, 30 to ewes.</t>
        </is>
      </c>
      <c r="C31" t="n">
        <v>0</v>
      </c>
      <c r="D31" t="n">
        <v>0</v>
      </c>
      <c r="E31" t="inlineStr">
        <is>
          <t>Hoggs</t>
        </is>
      </c>
    </row>
    <row r="32">
      <c r="A32" t="inlineStr">
        <is>
          <t>Stock</t>
        </is>
      </c>
      <c r="B32" t="inlineStr">
        <is>
          <t>Total as before.</t>
        </is>
      </c>
      <c r="C32" t="n">
        <v>0</v>
      </c>
      <c r="D32" t="n">
        <v>0</v>
      </c>
      <c r="E32" t="inlineStr">
        <is>
          <t>Hoggs</t>
        </is>
      </c>
    </row>
    <row r="33">
      <c r="A33" t="inlineStr">
        <is>
          <t>Stock</t>
        </is>
      </c>
      <c r="B33" t="inlineStr">
        <is>
          <t>None remain.</t>
        </is>
      </c>
      <c r="C33" t="n">
        <v>0</v>
      </c>
      <c r="D33" t="n">
        <v>0</v>
      </c>
      <c r="E33" t="inlineStr">
        <is>
          <t>Hoggs</t>
        </is>
      </c>
    </row>
    <row r="34">
      <c r="A34" t="inlineStr">
        <is>
          <t>Stock</t>
        </is>
      </c>
      <c r="B34" t="inlineStr">
        <is>
          <t>Lambs: 67 from the offspring of the above ewes and not more because 145 died before lambing and 44 were sterile.</t>
        </is>
      </c>
      <c r="C34" t="n">
        <v>0</v>
      </c>
      <c r="D34" t="n">
        <v>0</v>
      </c>
      <c r="E34" t="inlineStr">
        <is>
          <t>Lambs</t>
        </is>
      </c>
      <c r="G34" t="inlineStr">
        <is>
          <t>67</t>
        </is>
      </c>
    </row>
    <row r="35">
      <c r="A35" t="inlineStr">
        <is>
          <t>Stock</t>
        </is>
      </c>
      <c r="B35" t="inlineStr">
        <is>
          <t>Total, 67. 10 in murrain before weaning and 1 after weaning.</t>
        </is>
      </c>
      <c r="C35" t="n">
        <v>0</v>
      </c>
      <c r="D35" t="n">
        <v>0</v>
      </c>
      <c r="E35" t="inlineStr">
        <is>
          <t>Lambs</t>
        </is>
      </c>
      <c r="H35" t="inlineStr">
        <is>
          <t>10</t>
        </is>
      </c>
    </row>
    <row r="36">
      <c r="A36" t="inlineStr">
        <is>
          <t>Stock</t>
        </is>
      </c>
      <c r="B36" t="inlineStr">
        <is>
          <t>6 in tithe.</t>
        </is>
      </c>
      <c r="C36" t="n">
        <v>0</v>
      </c>
      <c r="D36" t="n">
        <v>0</v>
      </c>
      <c r="E36" t="inlineStr">
        <is>
          <t>Lambs</t>
        </is>
      </c>
    </row>
    <row r="37">
      <c r="A37" t="inlineStr">
        <is>
          <t>Stock</t>
        </is>
      </c>
      <c r="B37" t="inlineStr">
        <is>
          <t>Total, 17. 50 remain.</t>
        </is>
      </c>
      <c r="C37" t="n">
        <v>0</v>
      </c>
      <c r="D37" t="n">
        <v>0</v>
      </c>
      <c r="E37" t="inlineStr">
        <is>
          <t>Lambs</t>
        </is>
      </c>
      <c r="F37" t="inlineStr">
        <is>
          <t>50</t>
        </is>
      </c>
    </row>
    <row r="38">
      <c r="A38" t="inlineStr">
        <is>
          <t>Stock</t>
        </is>
      </c>
      <c r="B38" t="inlineStr">
        <is>
          <t>Fleeces: 556 from wethers, 5 from rams, 128 from ewes and 45 from hoggs produced at the shearing this year, answering for an average of 13/s lb a fleece, less 1 clove 4.75 lb in all.</t>
        </is>
      </c>
      <c r="C38" t="n">
        <v>0</v>
      </c>
      <c r="D38" t="n">
        <v>0</v>
      </c>
      <c r="E38" t="inlineStr">
        <is>
          <t>Lambs</t>
        </is>
      </c>
    </row>
    <row r="39">
      <c r="A39" t="inlineStr">
        <is>
          <t>Stock</t>
        </is>
      </c>
      <c r="B39" t="inlineStr">
        <is>
          <t>Total, 734. 39 in tithe and not more because of the sheep bought.</t>
        </is>
      </c>
      <c r="C39" t="n">
        <v>0</v>
      </c>
      <c r="D39" t="n">
        <v>0</v>
      </c>
      <c r="E39" t="inlineStr">
        <is>
          <t>Lambs</t>
        </is>
      </c>
      <c r="G39" t="inlineStr">
        <is>
          <t>39</t>
        </is>
      </c>
    </row>
    <row r="40">
      <c r="A40" t="inlineStr">
        <is>
          <t>Stock</t>
        </is>
      </c>
      <c r="B40" t="inlineStr">
        <is>
          <t>690 delivered to the wool-shed, weighing 2 sacks 30 cloves.</t>
        </is>
      </c>
      <c r="C40" t="n">
        <v>0</v>
      </c>
      <c r="D40" t="n">
        <v>0</v>
      </c>
      <c r="E40" t="inlineStr">
        <is>
          <t>Lambs</t>
        </is>
      </c>
    </row>
    <row r="41">
      <c r="A41" t="inlineStr">
        <is>
          <t>Stock</t>
        </is>
      </c>
      <c r="B41" t="inlineStr">
        <is>
          <t>2 sold within, weighing 2 lb.</t>
        </is>
      </c>
      <c r="C41" t="n">
        <v>0</v>
      </c>
      <c r="D41" t="n">
        <v>0</v>
      </c>
      <c r="E41" t="inlineStr">
        <is>
          <t>Lambs</t>
        </is>
      </c>
      <c r="I41" t="inlineStr">
        <is>
          <t>2</t>
        </is>
      </c>
    </row>
    <row r="42">
      <c r="A42" t="inlineStr">
        <is>
          <t>Stock</t>
        </is>
      </c>
      <c r="B42" t="inlineStr">
        <is>
          <t>3 sold at the audit for 1 shilling.</t>
        </is>
      </c>
      <c r="C42" t="n">
        <v>0</v>
      </c>
      <c r="D42" t="n">
        <v>0</v>
      </c>
      <c r="E42" t="inlineStr">
        <is>
          <t>Lambs</t>
        </is>
      </c>
      <c r="I42" t="inlineStr">
        <is>
          <t>3</t>
        </is>
      </c>
    </row>
    <row r="43">
      <c r="A43" t="inlineStr">
        <is>
          <t>Stock</t>
        </is>
      </c>
      <c r="B43" t="inlineStr">
        <is>
          <t>Total as before.</t>
        </is>
      </c>
      <c r="C43" t="n">
        <v>0</v>
      </c>
      <c r="D43" t="n">
        <v>0</v>
      </c>
      <c r="E43" t="inlineStr">
        <is>
          <t>Lambs</t>
        </is>
      </c>
    </row>
    <row r="44">
      <c r="A44" t="inlineStr">
        <is>
          <t>Stock</t>
        </is>
      </c>
      <c r="B44" t="inlineStr">
        <is>
          <t>None remain.</t>
        </is>
      </c>
      <c r="C44" t="n">
        <v>0</v>
      </c>
      <c r="D44" t="n">
        <v>0</v>
      </c>
      <c r="E44" t="inlineStr">
        <is>
          <t>Lambs</t>
        </is>
      </c>
    </row>
    <row r="45">
      <c r="A45" t="inlineStr">
        <is>
          <t>Stock</t>
        </is>
      </c>
      <c r="B45" t="inlineStr">
        <is>
          <t>Wool: 2,360 fleeces remain, weighing 7 sacks, 6 cloves, 1 lb.</t>
        </is>
      </c>
      <c r="C45" t="n">
        <v>0</v>
      </c>
      <c r="D45" t="n">
        <v>0</v>
      </c>
      <c r="E45" t="inlineStr">
        <is>
          <t>Lambs</t>
        </is>
      </c>
    </row>
    <row r="46">
      <c r="A46" t="inlineStr">
        <is>
          <t>Stock</t>
        </is>
      </c>
      <c r="B46" t="inlineStr">
        <is>
          <t>690 received above, weighing 2 sacks 30 cloves.</t>
        </is>
      </c>
      <c r="C46" t="n">
        <v>0</v>
      </c>
      <c r="D46" t="n">
        <v>0</v>
      </c>
      <c r="E46" t="inlineStr">
        <is>
          <t>Lambs</t>
        </is>
      </c>
    </row>
    <row r="47">
      <c r="A47" t="inlineStr">
        <is>
          <t>Stock</t>
        </is>
      </c>
      <c r="B47" t="inlineStr">
        <is>
          <t>121 from the reeve of Harwell, weighing 28 cloves 2 lb.</t>
        </is>
      </c>
      <c r="C47" t="n">
        <v>0</v>
      </c>
      <c r="D47" t="n">
        <v>0</v>
      </c>
      <c r="E47" t="inlineStr">
        <is>
          <t>Lambs</t>
        </is>
      </c>
    </row>
    <row r="48">
      <c r="A48" t="inlineStr">
        <is>
          <t>Stock</t>
        </is>
      </c>
      <c r="B48" t="inlineStr">
        <is>
          <t>173 from the reeve of Brightwell, weighing 25 cloves 3 lb.</t>
        </is>
      </c>
      <c r="C48" t="n">
        <v>0</v>
      </c>
      <c r="D48" t="n">
        <v>0</v>
      </c>
      <c r="E48" t="inlineStr">
        <is>
          <t>Lambs</t>
        </is>
      </c>
    </row>
    <row r="49">
      <c r="A49" t="inlineStr">
        <is>
          <t>Stock</t>
        </is>
      </c>
      <c r="B49" t="inlineStr">
        <is>
          <t>26 cloves 1 lb from the increment of the weighing.</t>
        </is>
      </c>
      <c r="C49" t="n">
        <v>0</v>
      </c>
      <c r="D49" t="n">
        <v>0</v>
      </c>
      <c r="E49" t="inlineStr">
        <is>
          <t>Lambs</t>
        </is>
      </c>
    </row>
    <row r="50">
      <c r="A50" t="inlineStr">
        <is>
          <t>Stock</t>
        </is>
      </c>
      <c r="B50"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50" t="n">
        <v>0</v>
      </c>
      <c r="D50" t="n">
        <v>0</v>
      </c>
      <c r="E50" t="inlineStr">
        <is>
          <t>Lambs</t>
        </is>
      </c>
    </row>
    <row r="51">
      <c r="A51" t="inlineStr">
        <is>
          <t>Stock</t>
        </is>
      </c>
      <c r="B51" t="inlineStr">
        <is>
          <t>Total, 7 sacks, 32 cloves, 2 lb. 8842 fleeces remain, weighing 3 sacks, 31 cloves, 5 lb.</t>
        </is>
      </c>
      <c r="C51" t="n">
        <v>0</v>
      </c>
      <c r="D51" t="n">
        <v>0</v>
      </c>
      <c r="E51" t="inlineStr">
        <is>
          <t>Lambs</t>
        </is>
      </c>
    </row>
    <row r="52">
      <c r="A52" t="inlineStr">
        <is>
          <t>Stock</t>
        </is>
      </c>
      <c r="B52" t="inlineStr">
        <is>
          <t>Woolskins: 54 from wethers, 5 from rams, 145 from ewes and 173 from hoggs in murrain before shearing as made clear above.</t>
        </is>
      </c>
      <c r="C52" t="n">
        <v>0</v>
      </c>
      <c r="D52" t="n">
        <v>0</v>
      </c>
      <c r="E52" t="inlineStr">
        <is>
          <t>Woolskins</t>
        </is>
      </c>
      <c r="H52" t="inlineStr">
        <is>
          <t>145</t>
        </is>
      </c>
    </row>
    <row r="53">
      <c r="A53" t="inlineStr">
        <is>
          <t>Stock</t>
        </is>
      </c>
      <c r="B53" t="inlineStr">
        <is>
          <t>Total, 377. 38 in tithe.</t>
        </is>
      </c>
      <c r="C53" t="n">
        <v>0</v>
      </c>
      <c r="D53" t="n">
        <v>0</v>
      </c>
      <c r="E53" t="inlineStr">
        <is>
          <t>Woolskins</t>
        </is>
      </c>
    </row>
    <row r="54">
      <c r="A54" t="inlineStr">
        <is>
          <t>Stock</t>
        </is>
      </c>
      <c r="B54" t="inlineStr">
        <is>
          <t>339 sold within.</t>
        </is>
      </c>
      <c r="C54" t="n">
        <v>0</v>
      </c>
      <c r="D54" t="n">
        <v>0</v>
      </c>
      <c r="E54" t="inlineStr">
        <is>
          <t>Woolskins</t>
        </is>
      </c>
      <c r="I54" t="inlineStr">
        <is>
          <t>339</t>
        </is>
      </c>
    </row>
    <row r="55">
      <c r="A55" t="inlineStr">
        <is>
          <t>Stock</t>
        </is>
      </c>
      <c r="B55" t="inlineStr">
        <is>
          <t>Total as before.</t>
        </is>
      </c>
      <c r="C55" t="n">
        <v>0</v>
      </c>
      <c r="D55" t="n">
        <v>0</v>
      </c>
      <c r="E55" t="inlineStr">
        <is>
          <t>Woolskins</t>
        </is>
      </c>
    </row>
    <row r="56">
      <c r="A56" t="inlineStr">
        <is>
          <t>Stock</t>
        </is>
      </c>
      <c r="B56" t="inlineStr">
        <is>
          <t>None remain.</t>
        </is>
      </c>
      <c r="C56" t="n">
        <v>0</v>
      </c>
      <c r="D56" t="n">
        <v>0</v>
      </c>
      <c r="E56" t="inlineStr">
        <is>
          <t>Woolskins</t>
        </is>
      </c>
    </row>
    <row r="57">
      <c r="A57" t="inlineStr">
        <is>
          <t>Stock</t>
        </is>
      </c>
      <c r="B57" t="inlineStr">
        <is>
          <t>Bare skins: 10 from wethers and 4 from ewes in murrain after shearing as made clear above.</t>
        </is>
      </c>
      <c r="C57" t="n">
        <v>0</v>
      </c>
      <c r="D57" t="n">
        <v>0</v>
      </c>
      <c r="E57" t="inlineStr">
        <is>
          <t>Bareskins</t>
        </is>
      </c>
      <c r="H57" t="inlineStr">
        <is>
          <t>10</t>
        </is>
      </c>
    </row>
    <row r="58">
      <c r="A58" t="inlineStr">
        <is>
          <t>Stock</t>
        </is>
      </c>
      <c r="B58" t="inlineStr">
        <is>
          <t>Total, 14. Sold within.</t>
        </is>
      </c>
      <c r="C58" t="n">
        <v>0</v>
      </c>
      <c r="D58" t="n">
        <v>0</v>
      </c>
      <c r="E58" t="inlineStr">
        <is>
          <t>Bareskins</t>
        </is>
      </c>
    </row>
    <row r="59">
      <c r="A59" t="inlineStr">
        <is>
          <t>Stock</t>
        </is>
      </c>
      <c r="B59" t="inlineStr">
        <is>
          <t>none remain.</t>
        </is>
      </c>
      <c r="C59" t="n">
        <v>0</v>
      </c>
      <c r="D59" t="n">
        <v>0</v>
      </c>
      <c r="E59" t="inlineStr">
        <is>
          <t>Bareskins</t>
        </is>
      </c>
    </row>
    <row r="60">
      <c r="A60" t="inlineStr">
        <is>
          <t>Stock</t>
        </is>
      </c>
      <c r="B60" t="inlineStr">
        <is>
          <t>Lambskins: 11 from lambs in murrain as made clear above.</t>
        </is>
      </c>
      <c r="C60" t="n">
        <v>0</v>
      </c>
      <c r="D60" t="n">
        <v>0</v>
      </c>
      <c r="E60" t="inlineStr">
        <is>
          <t>Lambskins</t>
        </is>
      </c>
      <c r="H60" t="inlineStr">
        <is>
          <t>11</t>
        </is>
      </c>
    </row>
    <row r="61">
      <c r="A61" t="inlineStr">
        <is>
          <t>Stock</t>
        </is>
      </c>
      <c r="B61" t="inlineStr">
        <is>
          <t>Total, 11. 1 in tithe.</t>
        </is>
      </c>
      <c r="C61" t="n">
        <v>0</v>
      </c>
      <c r="D61" t="n">
        <v>0</v>
      </c>
      <c r="E61" t="inlineStr">
        <is>
          <t>Lambskins</t>
        </is>
      </c>
    </row>
    <row r="62">
      <c r="A62" t="inlineStr">
        <is>
          <t>Stock</t>
        </is>
      </c>
      <c r="B62" t="inlineStr">
        <is>
          <t>10 sold within.</t>
        </is>
      </c>
      <c r="C62" t="n">
        <v>0</v>
      </c>
      <c r="D62" t="n">
        <v>0</v>
      </c>
      <c r="E62" t="inlineStr">
        <is>
          <t>Lambskins</t>
        </is>
      </c>
      <c r="I62" t="inlineStr">
        <is>
          <t>10</t>
        </is>
      </c>
    </row>
    <row r="63">
      <c r="A63" t="inlineStr">
        <is>
          <t>Stock</t>
        </is>
      </c>
      <c r="B63" t="inlineStr">
        <is>
          <t>Total as before.</t>
        </is>
      </c>
      <c r="C63" t="n">
        <v>0</v>
      </c>
      <c r="D63" t="n">
        <v>0</v>
      </c>
      <c r="E63" t="inlineStr">
        <is>
          <t>Lambskins</t>
        </is>
      </c>
    </row>
    <row r="64">
      <c r="A64" t="inlineStr">
        <is>
          <t>Stock</t>
        </is>
      </c>
      <c r="B64" t="inlineStr">
        <is>
          <t>None remain.</t>
        </is>
      </c>
      <c r="C64" t="n">
        <v>0</v>
      </c>
      <c r="D64" t="n">
        <v>0</v>
      </c>
      <c r="E64" t="inlineStr">
        <is>
          <t>Lambskins</t>
        </is>
      </c>
    </row>
    <row r="65">
      <c r="A65" t="inlineStr">
        <is>
          <t>Stock</t>
        </is>
      </c>
      <c r="B65" t="inlineStr">
        <is>
          <t>Cocks and hens: 52 from churchscot at Martinmas.</t>
        </is>
      </c>
      <c r="C65" t="n">
        <v>0</v>
      </c>
      <c r="D65" t="n">
        <v>0</v>
      </c>
      <c r="E65" t="inlineStr">
        <is>
          <t>Poultry stock</t>
        </is>
      </c>
    </row>
    <row r="66">
      <c r="A66" t="inlineStr">
        <is>
          <t>Stock</t>
        </is>
      </c>
      <c r="B66" t="inlineStr">
        <is>
          <t>Total, 52. 16 in default of the churchscot of Richard Sprod and Simon Hobbes in Hailey and Walter Rotour, and Simon Hayward' in Crawley, or 4 each.</t>
        </is>
      </c>
      <c r="C66" t="n">
        <v>0</v>
      </c>
      <c r="D66" t="n">
        <v>0</v>
      </c>
      <c r="E66" t="inlineStr">
        <is>
          <t>Poultry stock</t>
        </is>
      </c>
    </row>
    <row r="67">
      <c r="A67" t="inlineStr">
        <is>
          <t>Stock</t>
        </is>
      </c>
      <c r="B67" t="inlineStr">
        <is>
          <t>8 in default of the churchscot of Robert Hosyare and John Sparhauk' because they paid a fixed cash sum and their churchscot is charged in cash with their other labour services as made clear within.</t>
        </is>
      </c>
      <c r="C67" t="n">
        <v>0</v>
      </c>
      <c r="D67" t="n">
        <v>0</v>
      </c>
      <c r="E67" t="inlineStr">
        <is>
          <t>Poultry stock</t>
        </is>
      </c>
    </row>
    <row r="68">
      <c r="A68" t="inlineStr">
        <is>
          <t>Stock</t>
        </is>
      </c>
      <c r="B68" t="inlineStr">
        <is>
          <t>8 in default of the churchscot of 2 cotlands recently of John Dougel the elder because in the lord's hands.</t>
        </is>
      </c>
      <c r="C68" t="n">
        <v>0</v>
      </c>
      <c r="D68" t="n">
        <v>0</v>
      </c>
      <c r="E68" t="inlineStr">
        <is>
          <t>Poultry stock</t>
        </is>
      </c>
    </row>
    <row r="69">
      <c r="A69" t="inlineStr">
        <is>
          <t>Stock</t>
        </is>
      </c>
      <c r="B69" t="inlineStr">
        <is>
          <t>3 8 in default of the churchscot of 2 cotlands of Thomas Fen and Martin Taillour because in the lord's hands as made clear above.</t>
        </is>
      </c>
      <c r="C69" t="n">
        <v>0</v>
      </c>
      <c r="D69" t="n">
        <v>0</v>
      </c>
      <c r="E69" t="inlineStr">
        <is>
          <t>Poultry stock</t>
        </is>
      </c>
    </row>
    <row r="70">
      <c r="A70" t="inlineStr">
        <is>
          <t>Stock</t>
        </is>
      </c>
      <c r="B70" t="inlineStr">
        <is>
          <t>12 sold within.</t>
        </is>
      </c>
      <c r="C70" t="n">
        <v>0</v>
      </c>
      <c r="D70" t="n">
        <v>0</v>
      </c>
      <c r="E70" t="inlineStr">
        <is>
          <t>Poultry stock</t>
        </is>
      </c>
      <c r="I70" t="inlineStr">
        <is>
          <t>12</t>
        </is>
      </c>
    </row>
    <row r="71">
      <c r="A71" t="inlineStr">
        <is>
          <t>Stock</t>
        </is>
      </c>
      <c r="B71" t="inlineStr">
        <is>
          <t>Total as before.</t>
        </is>
      </c>
      <c r="C71" t="n">
        <v>0</v>
      </c>
      <c r="D71" t="n">
        <v>0</v>
      </c>
      <c r="E71" t="inlineStr">
        <is>
          <t>Poultry stock</t>
        </is>
      </c>
    </row>
    <row r="72">
      <c r="A72" t="inlineStr">
        <is>
          <t>Stock</t>
        </is>
      </c>
      <c r="B72" t="inlineStr">
        <is>
          <t>None remain.</t>
        </is>
      </c>
      <c r="C72" t="n">
        <v>0</v>
      </c>
      <c r="D72" t="n">
        <v>0</v>
      </c>
      <c r="E72" t="inlineStr">
        <is>
          <t>Poultry stock</t>
        </is>
      </c>
    </row>
    <row r="73">
      <c r="A73" t="inlineStr">
        <is>
          <t>Stock</t>
        </is>
      </c>
      <c r="B73" t="inlineStr">
        <is>
          <t>Cumin: 1 lb from John Wheler' the younger and John Bailly for the rent of part of the lands and tenements recently of Eustace de Haille and Robert Noble for the year.</t>
        </is>
      </c>
      <c r="C73" t="n">
        <v>0</v>
      </c>
      <c r="D73" t="n">
        <v>0</v>
      </c>
      <c r="E73" t="inlineStr">
        <is>
          <t>Poultry stock</t>
        </is>
      </c>
    </row>
    <row r="74">
      <c r="A74" t="inlineStr">
        <is>
          <t>Stock</t>
        </is>
      </c>
      <c r="B74" t="inlineStr">
        <is>
          <t>sold within.</t>
        </is>
      </c>
      <c r="C74" t="n">
        <v>0</v>
      </c>
      <c r="D74" t="n">
        <v>0</v>
      </c>
      <c r="E74" t="inlineStr">
        <is>
          <t>Poultry stock</t>
        </is>
      </c>
    </row>
    <row r="75">
      <c r="A75" t="inlineStr">
        <is>
          <t>Stock</t>
        </is>
      </c>
      <c r="B75" t="inlineStr">
        <is>
          <t>none remains.</t>
        </is>
      </c>
      <c r="C75" t="n">
        <v>0</v>
      </c>
      <c r="D75" t="n">
        <v>0</v>
      </c>
      <c r="E75" t="inlineStr">
        <is>
          <t>Poultry stock</t>
        </is>
      </c>
    </row>
    <row r="76">
      <c r="A76" t="inlineStr">
        <is>
          <t>Stock</t>
        </is>
      </c>
      <c r="B76"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76" t="n">
        <v>0</v>
      </c>
      <c r="D76" t="n">
        <v>0</v>
      </c>
      <c r="E76" t="inlineStr">
        <is>
          <t>Poultry stock</t>
        </is>
      </c>
      <c r="F76" t="inlineStr">
        <is>
          <t>1</t>
        </is>
      </c>
    </row>
    <row r="77">
      <c r="A77" t="inlineStr">
        <is>
          <t>Stock</t>
        </is>
      </c>
      <c r="B77" t="inlineStr">
        <is>
          <t>1 tine, 1 shovel and 1 meal (myele) remain.</t>
        </is>
      </c>
      <c r="C77" t="n">
        <v>0</v>
      </c>
      <c r="D77" t="n">
        <v>0</v>
      </c>
      <c r="E77" t="inlineStr">
        <is>
          <t>Poultry stock</t>
        </is>
      </c>
    </row>
    <row r="78">
      <c r="A78" t="inlineStr">
        <is>
          <t>Stock</t>
        </is>
      </c>
      <c r="B78" t="inlineStr">
        <is>
          <t>All this remains.</t>
        </is>
      </c>
      <c r="C78" t="n">
        <v>0</v>
      </c>
      <c r="D78" t="n">
        <v>0</v>
      </c>
      <c r="E78" t="inlineStr">
        <is>
          <t>Poultry stock</t>
        </is>
      </c>
    </row>
    <row r="79">
      <c r="A79" t="inlineStr">
        <is>
          <t>Stock</t>
        </is>
      </c>
      <c r="B79" t="inlineStr">
        <is>
          <t>Total</t>
        </is>
      </c>
      <c r="C79" t="n">
        <v>0</v>
      </c>
      <c r="D79" t="n">
        <v>0</v>
      </c>
      <c r="E79" t="inlineStr">
        <is>
          <t>Poultry stock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1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robert bourton', reeve there, answers for 4 quarters 2 bushels bought..</t>
        </is>
      </c>
      <c r="C3" t="n">
        <v>0</v>
      </c>
      <c r="D3" t="n">
        <v>0</v>
      </c>
      <c r="E3" t="n">
        <v>0</v>
      </c>
      <c r="F3" t="n">
        <v>0</v>
      </c>
      <c r="G3" t="n">
        <v>0</v>
      </c>
      <c r="H3" t="n">
        <v>4</v>
      </c>
      <c r="I3" t="n">
        <v>2</v>
      </c>
      <c r="J3" t="n">
        <v>4.25</v>
      </c>
      <c r="K3" t="n">
        <v>0</v>
      </c>
      <c r="L3" t="n">
        <v>0</v>
      </c>
      <c r="M3" t="n">
        <v>0</v>
      </c>
      <c r="N3" t="n">
        <v>0</v>
      </c>
      <c r="O3" t="n">
        <v>0</v>
      </c>
      <c r="P3" t="n">
        <v>0</v>
      </c>
      <c r="Q3" t="n">
        <v>0</v>
      </c>
      <c r="R3" t="n">
        <v>0</v>
      </c>
      <c r="S3" t="n">
        <v>0</v>
      </c>
      <c r="T3" t="n">
        <v>0</v>
      </c>
      <c r="U3" t="n">
        <v>0</v>
      </c>
      <c r="V3" t="n">
        <v>0</v>
      </c>
      <c r="W3" t="n">
        <v>0</v>
      </c>
      <c r="X3" t="n">
        <v>4</v>
      </c>
      <c r="Y3" t="n">
        <v>2</v>
      </c>
      <c r="Z3" t="n">
        <v>4.25</v>
      </c>
      <c r="AA3" t="n">
        <v>4.25</v>
      </c>
      <c r="AB3" t="n">
        <v>0</v>
      </c>
      <c r="AC3" t="n">
        <v>4</v>
      </c>
      <c r="AD3" t="n">
        <v>2</v>
      </c>
      <c r="AG3" t="n">
        <v>0</v>
      </c>
    </row>
    <row r="4">
      <c r="A4" t="inlineStr">
        <is>
          <t>wheat</t>
        </is>
      </c>
      <c r="B4" t="inlineStr">
        <is>
          <t>total, 4 quarters 2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4</v>
      </c>
      <c r="Y4" t="n">
        <v>2</v>
      </c>
      <c r="Z4" t="n">
        <v>4.25</v>
      </c>
      <c r="AA4" t="n">
        <v>4.25</v>
      </c>
      <c r="AB4" t="n">
        <v>0</v>
      </c>
      <c r="AC4" t="n">
        <v>4</v>
      </c>
      <c r="AD4" t="n">
        <v>2</v>
      </c>
      <c r="AG4" t="n">
        <v>0</v>
      </c>
    </row>
    <row r="5">
      <c r="A5" t="inlineStr">
        <is>
          <t>wheat</t>
        </is>
      </c>
      <c r="B5" t="inlineStr">
        <is>
          <t>free passage for the lord and his household across the water of bablock hythe for the year, 1 qr.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wheat</t>
        </is>
      </c>
      <c r="B6" t="inlineStr">
        <is>
          <t>bread baked for the provision of richard wyot', steward, coming there to hold the tourns of martinmas and hockday, by 2 sealed bills, 4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4</v>
      </c>
      <c r="Z6" t="n">
        <v>0.5</v>
      </c>
      <c r="AA6" t="n">
        <v>0.5</v>
      </c>
      <c r="AB6" t="n">
        <v>0</v>
      </c>
      <c r="AC6" t="n">
        <v>0</v>
      </c>
      <c r="AD6" t="n">
        <v>4</v>
      </c>
      <c r="AG6" t="n">
        <v>0</v>
      </c>
    </row>
    <row r="7">
      <c r="A7" t="inlineStr">
        <is>
          <t>wheat</t>
        </is>
      </c>
      <c r="B7" t="inlineStr">
        <is>
          <t>sold at the audit, 3 quarters 2 bushels for £1 12 shilling 6pence.</t>
        </is>
      </c>
      <c r="C7" t="n">
        <v>0</v>
      </c>
      <c r="D7" t="n">
        <v>0</v>
      </c>
      <c r="E7" t="n">
        <v>0</v>
      </c>
      <c r="F7" t="n">
        <v>0</v>
      </c>
      <c r="G7" t="n">
        <v>0</v>
      </c>
      <c r="H7" t="n">
        <v>0</v>
      </c>
      <c r="I7" t="n">
        <v>0</v>
      </c>
      <c r="J7" t="n">
        <v>0</v>
      </c>
      <c r="K7" t="n">
        <v>0</v>
      </c>
      <c r="L7" t="n">
        <v>0</v>
      </c>
      <c r="M7" t="n">
        <v>0</v>
      </c>
      <c r="N7" t="n">
        <v>0</v>
      </c>
      <c r="O7" t="n">
        <v>0</v>
      </c>
      <c r="P7" t="n">
        <v>0</v>
      </c>
      <c r="Q7" t="n">
        <v>3</v>
      </c>
      <c r="R7" t="n">
        <v>2</v>
      </c>
      <c r="S7" t="n">
        <v>3.25</v>
      </c>
      <c r="T7" t="n">
        <v>0</v>
      </c>
      <c r="U7" t="n">
        <v>0</v>
      </c>
      <c r="V7" t="n">
        <v>0</v>
      </c>
      <c r="W7" t="n">
        <v>0</v>
      </c>
      <c r="X7" t="n">
        <v>3</v>
      </c>
      <c r="Y7" t="n">
        <v>2</v>
      </c>
      <c r="Z7" t="n">
        <v>3.25</v>
      </c>
      <c r="AA7" t="n">
        <v>3.25</v>
      </c>
      <c r="AB7" t="n">
        <v>0</v>
      </c>
      <c r="AC7" t="n">
        <v>3</v>
      </c>
      <c r="AD7" t="n">
        <v>2</v>
      </c>
      <c r="AG7" t="n">
        <v>0</v>
      </c>
    </row>
    <row r="8">
      <c r="A8" t="inlineStr">
        <is>
          <t>wheat</t>
        </is>
      </c>
      <c r="B8" t="inlineStr">
        <is>
          <t>total as before.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G8" t="n">
        <v>0</v>
      </c>
    </row>
    <row r="9">
      <c r="A9" t="inlineStr">
        <is>
          <t>wheat</t>
        </is>
      </c>
      <c r="B9" t="inlineStr">
        <is>
          <t>none remains.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AG10" t="n">
        <v>0</v>
      </c>
    </row>
    <row r="11">
      <c r="A11" t="inlineStr">
        <is>
          <t>barley</t>
        </is>
      </c>
      <c r="B11" t="inlineStr">
        <is>
          <t>and for 3 quarters 2 bushels bought..</t>
        </is>
      </c>
      <c r="C11" t="n">
        <v>0</v>
      </c>
      <c r="D11" t="n">
        <v>0</v>
      </c>
      <c r="E11" t="n">
        <v>0</v>
      </c>
      <c r="F11" t="n">
        <v>0</v>
      </c>
      <c r="G11" t="n">
        <v>0</v>
      </c>
      <c r="H11" t="n">
        <v>3</v>
      </c>
      <c r="I11" t="n">
        <v>2</v>
      </c>
      <c r="J11" t="n">
        <v>3.25</v>
      </c>
      <c r="K11" t="n">
        <v>0</v>
      </c>
      <c r="L11" t="n">
        <v>0</v>
      </c>
      <c r="M11" t="n">
        <v>0</v>
      </c>
      <c r="N11" t="n">
        <v>0</v>
      </c>
      <c r="O11" t="n">
        <v>0</v>
      </c>
      <c r="P11" t="n">
        <v>0</v>
      </c>
      <c r="Q11" t="n">
        <v>0</v>
      </c>
      <c r="R11" t="n">
        <v>0</v>
      </c>
      <c r="S11" t="n">
        <v>0</v>
      </c>
      <c r="T11" t="n">
        <v>0</v>
      </c>
      <c r="U11" t="n">
        <v>0</v>
      </c>
      <c r="V11" t="n">
        <v>0</v>
      </c>
      <c r="W11" t="n">
        <v>0</v>
      </c>
      <c r="X11" t="n">
        <v>3</v>
      </c>
      <c r="Y11" t="n">
        <v>2</v>
      </c>
      <c r="Z11" t="n">
        <v>3.25</v>
      </c>
      <c r="AA11" t="n">
        <v>3.25</v>
      </c>
      <c r="AB11" t="n">
        <v>0</v>
      </c>
      <c r="AC11" t="n">
        <v>3</v>
      </c>
      <c r="AD11" t="n">
        <v>2</v>
      </c>
      <c r="AG11" t="n">
        <v>0</v>
      </c>
    </row>
    <row r="12">
      <c r="A12" t="inlineStr">
        <is>
          <t>barley</t>
        </is>
      </c>
      <c r="B12" t="inlineStr">
        <is>
          <t>total, 3 quarters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v>
      </c>
      <c r="Y12" t="n">
        <v>2</v>
      </c>
      <c r="Z12" t="n">
        <v>3.25</v>
      </c>
      <c r="AA12" t="n">
        <v>3.25</v>
      </c>
      <c r="AB12" t="n">
        <v>0</v>
      </c>
      <c r="AC12" t="n">
        <v>3</v>
      </c>
      <c r="AD12" t="n">
        <v>2</v>
      </c>
      <c r="AG12" t="n">
        <v>0</v>
      </c>
    </row>
    <row r="13">
      <c r="A13" t="inlineStr">
        <is>
          <t>barley</t>
        </is>
      </c>
      <c r="B13" t="inlineStr">
        <is>
          <t>sold at the audit, 3 quarters 2 bushels for 18 shilling 5pence none remains.</t>
        </is>
      </c>
      <c r="C13" t="n">
        <v>0</v>
      </c>
      <c r="D13" t="n">
        <v>0</v>
      </c>
      <c r="E13" t="n">
        <v>0</v>
      </c>
      <c r="F13" t="n">
        <v>0</v>
      </c>
      <c r="G13" t="n">
        <v>0</v>
      </c>
      <c r="H13" t="n">
        <v>0</v>
      </c>
      <c r="I13" t="n">
        <v>0</v>
      </c>
      <c r="J13" t="n">
        <v>0</v>
      </c>
      <c r="K13" t="n">
        <v>0</v>
      </c>
      <c r="L13" t="n">
        <v>0</v>
      </c>
      <c r="M13" t="n">
        <v>0</v>
      </c>
      <c r="N13" t="n">
        <v>0</v>
      </c>
      <c r="O13" t="n">
        <v>0</v>
      </c>
      <c r="P13" t="n">
        <v>0</v>
      </c>
      <c r="Q13" t="n">
        <v>3</v>
      </c>
      <c r="R13" t="n">
        <v>2</v>
      </c>
      <c r="S13" t="n">
        <v>3.25</v>
      </c>
      <c r="T13" t="n">
        <v>0</v>
      </c>
      <c r="U13" t="n">
        <v>0</v>
      </c>
      <c r="V13" t="n">
        <v>0</v>
      </c>
      <c r="W13" t="n">
        <v>0</v>
      </c>
      <c r="X13" t="n">
        <v>3</v>
      </c>
      <c r="Y13" t="n">
        <v>2</v>
      </c>
      <c r="Z13" t="n">
        <v>3.25</v>
      </c>
      <c r="AA13" t="n">
        <v>3.25</v>
      </c>
      <c r="AB13" t="n">
        <v>0</v>
      </c>
      <c r="AC13" t="n">
        <v>3</v>
      </c>
      <c r="AD13" t="n">
        <v>2</v>
      </c>
      <c r="AG13" t="n">
        <v>0</v>
      </c>
    </row>
    <row r="14">
      <c r="A14" t="inlineStr">
        <is>
          <t>barley</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G14" t="n">
        <v>0</v>
      </c>
    </row>
    <row r="15">
      <c r="A15" t="inlineStr">
        <is>
          <t>oats</t>
        </is>
      </c>
      <c r="B15" t="inlineStr">
        <is>
          <t>and for 2 quarters 6 bushels bought.</t>
        </is>
      </c>
      <c r="C15" t="n">
        <v>0</v>
      </c>
      <c r="D15" t="n">
        <v>0</v>
      </c>
      <c r="E15" t="n">
        <v>0</v>
      </c>
      <c r="F15" t="n">
        <v>0</v>
      </c>
      <c r="G15" t="n">
        <v>0</v>
      </c>
      <c r="H15" t="n">
        <v>2</v>
      </c>
      <c r="I15" t="n">
        <v>6</v>
      </c>
      <c r="J15" t="n">
        <v>2.75</v>
      </c>
      <c r="K15" t="n">
        <v>0</v>
      </c>
      <c r="L15" t="n">
        <v>0</v>
      </c>
      <c r="M15" t="n">
        <v>0</v>
      </c>
      <c r="N15" t="n">
        <v>0</v>
      </c>
      <c r="O15" t="n">
        <v>0</v>
      </c>
      <c r="P15" t="n">
        <v>0</v>
      </c>
      <c r="Q15" t="n">
        <v>0</v>
      </c>
      <c r="R15" t="n">
        <v>0</v>
      </c>
      <c r="S15" t="n">
        <v>0</v>
      </c>
      <c r="T15" t="n">
        <v>0</v>
      </c>
      <c r="U15" t="n">
        <v>0</v>
      </c>
      <c r="V15" t="n">
        <v>0</v>
      </c>
      <c r="W15" t="n">
        <v>0</v>
      </c>
      <c r="X15" t="n">
        <v>2</v>
      </c>
      <c r="Y15" t="n">
        <v>6</v>
      </c>
      <c r="Z15" t="n">
        <v>2.75</v>
      </c>
      <c r="AA15" t="n">
        <v>2.75</v>
      </c>
      <c r="AB15" t="n">
        <v>0</v>
      </c>
      <c r="AC15" t="n">
        <v>2</v>
      </c>
      <c r="AD15" t="n">
        <v>6</v>
      </c>
      <c r="AG15" t="n">
        <v>0</v>
      </c>
    </row>
    <row r="16">
      <c r="A16" t="inlineStr">
        <is>
          <t>oats</t>
        </is>
      </c>
      <c r="B16" t="inlineStr">
        <is>
          <t>total, 2 quarters 6 bushels all accounted for in fodder for the horses of richard wyot, steward, coming there to hold the tourns of martinmas and hockday, by 2 sealed bills.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6</v>
      </c>
      <c r="Z16" t="n">
        <v>2.75</v>
      </c>
      <c r="AA16" t="n">
        <v>2.75</v>
      </c>
      <c r="AB16" t="n">
        <v>0</v>
      </c>
      <c r="AC16" t="n">
        <v>2</v>
      </c>
      <c r="AD16" t="n">
        <v>6</v>
      </c>
      <c r="AG16" t="n">
        <v>0</v>
      </c>
    </row>
    <row r="17">
      <c r="A17" t="inlineStr">
        <is>
          <t>oats</t>
        </is>
      </c>
      <c r="B17" t="inlineStr">
        <is>
          <t>none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G1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2</v>
      </c>
      <c r="H3" t="n">
        <v>0</v>
      </c>
      <c r="I3" t="n">
        <v>3</v>
      </c>
      <c r="J3" t="n">
        <v>2</v>
      </c>
      <c r="K3" t="n">
        <v>3.25</v>
      </c>
      <c r="L3" t="n">
        <v>0</v>
      </c>
      <c r="M3" t="n">
        <v>-3.25</v>
      </c>
    </row>
    <row r="4">
      <c r="A4" t="inlineStr">
        <is>
          <t>barley</t>
        </is>
      </c>
      <c r="B4" t="n">
        <v>0</v>
      </c>
      <c r="C4" t="n">
        <v>0</v>
      </c>
      <c r="D4" t="n">
        <v>0</v>
      </c>
      <c r="E4" t="n">
        <v>0</v>
      </c>
      <c r="F4" t="n">
        <v>0</v>
      </c>
      <c r="G4" t="n">
        <v>2</v>
      </c>
      <c r="H4" t="n">
        <v>0</v>
      </c>
      <c r="I4" t="n">
        <v>3</v>
      </c>
      <c r="J4" t="n">
        <v>2</v>
      </c>
      <c r="K4" t="n">
        <v>3.25</v>
      </c>
      <c r="L4" t="n">
        <v>0</v>
      </c>
      <c r="M4" t="n">
        <v>-3.25</v>
      </c>
    </row>
    <row r="5">
      <c r="A5" t="inlineStr">
        <is>
          <t>oats</t>
        </is>
      </c>
      <c r="B5" t="n">
        <v>0</v>
      </c>
      <c r="C5" t="n">
        <v>0</v>
      </c>
      <c r="D5" t="n">
        <v>0</v>
      </c>
      <c r="E5" t="n">
        <v>0</v>
      </c>
      <c r="F5" t="n">
        <v>0</v>
      </c>
      <c r="G5" t="n">
        <v>6</v>
      </c>
      <c r="H5" t="n">
        <v>0</v>
      </c>
      <c r="I5" t="n">
        <v>0</v>
      </c>
      <c r="J5" t="n">
        <v>0</v>
      </c>
      <c r="K5" t="n">
        <v>0</v>
      </c>
      <c r="L5" t="n">
        <v>0</v>
      </c>
      <c r="M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2026-01-17T10:58:19Z</dcterms:modified>
  <cp:lastModifiedBy>Kowalski, Kuba</cp:lastModifiedBy>
</cp:coreProperties>
</file>
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tock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_raw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right style="thin">
        <color rgb="00000000"/>
      </right>
    </border>
    <border/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7" pivotButton="0" quotePrefix="0" xfId="0"/>
    <xf numFmtId="0" fontId="0" fillId="0" borderId="18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  <xf numFmtId="0" fontId="20" fillId="0" borderId="17" pivotButton="0" quotePrefix="0" xfId="0"/>
    <xf numFmtId="0" fontId="0" fillId="0" borderId="17" pivotButton="0" quotePrefix="0" xfId="0"/>
    <xf numFmtId="0" fontId="20" fillId="11" borderId="17" pivotButton="0" quotePrefix="0" xfId="0"/>
    <xf numFmtId="0" fontId="20" fillId="11" borderId="18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DOWNTONBOROUGH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0.78</v>
      </c>
      <c r="D4" s="13" t="n"/>
      <c r="E4" s="13" t="n"/>
    </row>
    <row r="5">
      <c r="A5" s="15" t="inlineStr">
        <is>
          <t>Rents of assize total</t>
        </is>
      </c>
      <c r="B5" s="76" t="n">
        <v>6.33</v>
      </c>
    </row>
    <row r="6">
      <c r="A6" s="15" t="inlineStr">
        <is>
          <t>Quittances total</t>
        </is>
      </c>
      <c r="B6" s="76" t="n"/>
    </row>
    <row r="7">
      <c r="A7" s="15" t="inlineStr">
        <is>
          <t>Defaults of rent total</t>
        </is>
      </c>
      <c r="B7" s="76" t="n"/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/>
    </row>
    <row r="12">
      <c r="A12" s="76" t="inlineStr">
        <is>
          <t>Total of rents remaining clear total</t>
        </is>
      </c>
      <c r="B12" s="76" t="n">
        <v>6.5</v>
      </c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/>
    </row>
    <row r="15">
      <c r="A15" s="15" t="inlineStr">
        <is>
          <t>Issues of the Manor total</t>
        </is>
      </c>
      <c r="B15" s="76" t="n"/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/>
    </row>
    <row r="19">
      <c r="A19" s="15" t="inlineStr">
        <is>
          <t>Entry and marriage fines total</t>
        </is>
      </c>
      <c r="B19" s="76" t="n"/>
    </row>
    <row r="20">
      <c r="A20" s="15" t="inlineStr">
        <is>
          <t>Pleas &amp; perquisites total</t>
        </is>
      </c>
      <c r="B20" s="76" t="n">
        <v>2.67</v>
      </c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SUM(B5:B11)</f>
        <v/>
      </c>
      <c r="C23" s="80" t="n"/>
    </row>
    <row r="24">
      <c r="A24" s="82" t="inlineStr">
        <is>
          <t>Total of all receipts (calculated here) incl arrears</t>
        </is>
      </c>
      <c r="B24">
        <f>SUM(B4:B11)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'Receipts'!F20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'Receipts'!F21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/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/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>
        <v>0</v>
      </c>
    </row>
    <row r="45">
      <c r="A45" s="82" t="inlineStr">
        <is>
          <t>Total of all expenses (calculated here)</t>
        </is>
      </c>
      <c r="B45" s="84" t="n">
        <v>0</v>
      </c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/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>
        <v>8.949999999999999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0</v>
      </c>
      <c r="C62" t="n">
        <v>0</v>
      </c>
      <c r="D62" t="n">
        <v>0</v>
      </c>
      <c r="E62" t="n">
        <v>0</v>
      </c>
      <c r="F62" s="13" t="n"/>
    </row>
    <row r="63">
      <c r="A63" s="76" t="inlineStr">
        <is>
          <t>Rye</t>
        </is>
      </c>
      <c r="B63" t="n">
        <v>0</v>
      </c>
      <c r="C63" t="n">
        <v>0</v>
      </c>
      <c r="D63" t="n">
        <v>0</v>
      </c>
      <c r="E63" t="n">
        <v>0</v>
      </c>
      <c r="F63" s="13" t="n"/>
    </row>
    <row r="64">
      <c r="A64" s="76" t="inlineStr">
        <is>
          <t>Dredge</t>
        </is>
      </c>
      <c r="B64" t="n">
        <v>0</v>
      </c>
      <c r="C64" t="n">
        <v>0</v>
      </c>
      <c r="D64" t="n">
        <v>0</v>
      </c>
      <c r="E64" t="n">
        <v>0</v>
      </c>
      <c r="F64" s="13" t="n"/>
    </row>
    <row r="65">
      <c r="A65" s="76" t="inlineStr">
        <is>
          <t>Curall</t>
        </is>
      </c>
      <c r="B65" t="n">
        <v>0</v>
      </c>
      <c r="C65" t="n">
        <v>0</v>
      </c>
      <c r="D65" t="n">
        <v>0</v>
      </c>
      <c r="E65" t="n">
        <v>0</v>
      </c>
      <c r="F65" s="13" t="n"/>
    </row>
    <row r="66">
      <c r="A66" s="76" t="inlineStr">
        <is>
          <t>Barley</t>
        </is>
      </c>
      <c r="B66" t="n">
        <v>0</v>
      </c>
      <c r="C66" t="n">
        <v>0</v>
      </c>
      <c r="D66" t="n">
        <v>0</v>
      </c>
      <c r="E66" t="n">
        <v>0</v>
      </c>
      <c r="F66" s="13" t="n"/>
    </row>
    <row r="67">
      <c r="A67" s="76" t="inlineStr">
        <is>
          <t>Oats</t>
        </is>
      </c>
      <c r="B67" t="n">
        <v>0</v>
      </c>
      <c r="C67" t="n">
        <v>0</v>
      </c>
      <c r="D67" t="n">
        <v>0</v>
      </c>
      <c r="E67" t="n">
        <v>0</v>
      </c>
      <c r="F67" s="13" t="n"/>
    </row>
    <row r="68">
      <c r="A68" s="76" t="inlineStr">
        <is>
          <t>Beans</t>
        </is>
      </c>
      <c r="B68" t="n">
        <v>0</v>
      </c>
      <c r="C68" t="n">
        <v>0</v>
      </c>
      <c r="D68" t="n">
        <v>0</v>
      </c>
      <c r="E68" t="n">
        <v>0</v>
      </c>
      <c r="F68" s="13" t="n"/>
    </row>
    <row r="69">
      <c r="A69" s="76" t="inlineStr">
        <is>
          <t>Peas</t>
        </is>
      </c>
      <c r="B69" t="n">
        <v>0</v>
      </c>
      <c r="C69" t="n">
        <v>0</v>
      </c>
      <c r="D69" t="n">
        <v>0</v>
      </c>
      <c r="E69" t="n">
        <v>0</v>
      </c>
      <c r="F69" s="13" t="n"/>
    </row>
    <row r="70">
      <c r="A70" s="76" t="inlineStr">
        <is>
          <t>Vetches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>
        <f>SUM(D62:D70)</f>
        <v/>
      </c>
    </row>
    <row r="72">
      <c r="A72" s="17" t="inlineStr">
        <is>
          <t>Total value of net production</t>
        </is>
      </c>
      <c r="B72" s="93" t="n"/>
      <c r="C72" s="94" t="n"/>
      <c r="D72" s="93" t="n"/>
      <c r="E72" s="93">
        <f>SUM(E62:E70)</f>
        <v/>
      </c>
    </row>
    <row r="73">
      <c r="A73" s="17" t="inlineStr">
        <is>
          <t>Value of sales</t>
        </is>
      </c>
      <c r="B73" s="93" t="n"/>
      <c r="C73" s="94" t="n"/>
      <c r="D73" s="93" t="n"/>
      <c r="E73" s="93" t="n">
        <v>0</v>
      </c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>
        <v>0</v>
      </c>
      <c r="C87" s="76">
        <f>'Stock'!L5</f>
        <v/>
      </c>
      <c r="D87" s="76">
        <f>C87-B87</f>
        <v/>
      </c>
      <c r="F87" s="84">
        <f>'Stock'!L5*'Stock'!O5</f>
        <v/>
      </c>
      <c r="G87" s="84">
        <f>D87*'Stock'!O5</f>
        <v/>
      </c>
    </row>
    <row r="88">
      <c r="A88" s="22" t="inlineStr">
        <is>
          <t>Mares</t>
        </is>
      </c>
      <c r="B88" s="76" t="n">
        <v>0</v>
      </c>
      <c r="C88" s="76">
        <f>'Stock'!L6</f>
        <v/>
      </c>
      <c r="D88" s="76">
        <f>C88-B88</f>
        <v/>
      </c>
      <c r="F88" s="84">
        <f>'Stock'!L6*'Stock'!O6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>
        <v>0</v>
      </c>
      <c r="C89" s="76">
        <f>'Stock'!L7</f>
        <v/>
      </c>
      <c r="D89" s="76">
        <f>C89-B89</f>
        <v/>
      </c>
      <c r="F89" s="84">
        <f>'Stock'!L7*'Stock'!O7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>
        <v>0</v>
      </c>
      <c r="C90" s="76">
        <f>'Stock'!L9</f>
        <v/>
      </c>
      <c r="D90" s="76">
        <f>C90-B90</f>
        <v/>
      </c>
      <c r="F90" s="84">
        <f>'Stock'!L9*'Stock'!O9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>
        <v>0</v>
      </c>
      <c r="C91" s="76">
        <f>'Stock'!L9</f>
        <v/>
      </c>
      <c r="D91" s="76">
        <f>C91-B91</f>
        <v/>
      </c>
      <c r="F91" s="84">
        <f>'Stock'!L9*'Stock'!O9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>
        <v>0</v>
      </c>
      <c r="C92" s="76">
        <f>'Stock'!L10</f>
        <v/>
      </c>
      <c r="D92" s="76">
        <f>C92-B92</f>
        <v/>
      </c>
      <c r="F92" s="84">
        <f>'Stock'!L10*'Stock'!O10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>
        <v>0</v>
      </c>
      <c r="C93" s="76">
        <f>'Stock'!L11</f>
        <v/>
      </c>
      <c r="D93" s="76">
        <f>C93-B93</f>
        <v/>
      </c>
      <c r="F93" s="84">
        <f>'Stock'!L11*'Stock'!O11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0</v>
      </c>
      <c r="C94" s="76">
        <f>'Stock'!L12</f>
        <v/>
      </c>
      <c r="D94" s="76">
        <f>C94-B94</f>
        <v/>
      </c>
      <c r="F94" s="84">
        <f>'Stock'!L12*'Stock'!O12</f>
        <v/>
      </c>
      <c r="G94" s="84">
        <f>D94*'Stock'!O12</f>
        <v/>
      </c>
    </row>
    <row r="95">
      <c r="A95" s="15" t="inlineStr">
        <is>
          <t>Bulls</t>
        </is>
      </c>
      <c r="B95" s="76" t="n">
        <v>0</v>
      </c>
      <c r="C95" s="76">
        <f>'Stock'!L13</f>
        <v/>
      </c>
      <c r="D95" s="76">
        <f>C95-B95</f>
        <v/>
      </c>
      <c r="F95" s="84">
        <f>'Stock'!L13*'Stock'!O13</f>
        <v/>
      </c>
      <c r="G95" s="84">
        <f>D95*'Stock'!O13</f>
        <v/>
      </c>
    </row>
    <row r="96">
      <c r="A96" s="15" t="inlineStr">
        <is>
          <t>Cows</t>
        </is>
      </c>
      <c r="B96" s="76" t="n">
        <v>0</v>
      </c>
      <c r="C96" s="76">
        <f>'Stock'!L14</f>
        <v/>
      </c>
      <c r="D96" s="76">
        <f>C96-B96</f>
        <v/>
      </c>
      <c r="F96" s="84">
        <f>'Stock'!L14*'Stock'!O14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>
        <v>0</v>
      </c>
      <c r="C97" s="76">
        <f>'Stock'!L15</f>
        <v/>
      </c>
      <c r="D97" s="76">
        <f>C97-B97</f>
        <v/>
      </c>
      <c r="F97" s="84">
        <f>'Stock'!L15*'Stock'!O15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>
        <v>0</v>
      </c>
      <c r="C98" s="76">
        <f>'Stock'!L16</f>
        <v/>
      </c>
      <c r="D98" s="76">
        <f>C98-B98</f>
        <v/>
      </c>
      <c r="F98" s="84">
        <f>'Stock'!L16*'Stock'!O16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>
        <v>0</v>
      </c>
      <c r="C99" s="76">
        <f>'Stock'!L17</f>
        <v/>
      </c>
      <c r="D99" s="76">
        <f>C99-B99</f>
        <v/>
      </c>
      <c r="F99" s="84">
        <f>'Stock'!L17*'Stock'!O17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>
        <v>0</v>
      </c>
      <c r="C100" s="76">
        <f>'Stock'!L18</f>
        <v/>
      </c>
      <c r="D100" s="76">
        <f>C100-B100</f>
        <v/>
      </c>
      <c r="F100" s="84">
        <f>'Stock'!L18*'Stock'!O18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>
        <v>0</v>
      </c>
      <c r="C101" s="76">
        <f>'Stock'!L19</f>
        <v/>
      </c>
      <c r="D101" s="76">
        <f>C101-B101</f>
        <v/>
      </c>
      <c r="F101" s="84">
        <f>'Stock'!L19*'Stock'!O19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>
        <v>0</v>
      </c>
      <c r="C102" s="76">
        <f>'Stock'!L20</f>
        <v/>
      </c>
      <c r="D102" s="76">
        <f>C102-B102</f>
        <v/>
      </c>
      <c r="F102" s="84">
        <f>'Stock'!L20*'Stock'!O20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>
        <v>0</v>
      </c>
      <c r="C103" s="76">
        <f>'Stock'!L21</f>
        <v/>
      </c>
      <c r="D103" s="76">
        <f>C103-B103</f>
        <v/>
      </c>
      <c r="F103" s="84">
        <f>'Stock'!L21*'Stock'!O21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>
        <v>0</v>
      </c>
      <c r="C104" s="76">
        <f>'Stock'!L22</f>
        <v/>
      </c>
      <c r="D104" s="76">
        <f>C104-B104</f>
        <v/>
      </c>
      <c r="F104" s="84">
        <f>'Stock'!L22*'Stock'!O22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>
        <v>0</v>
      </c>
      <c r="C105" s="76">
        <f>'Stock'!L23</f>
        <v/>
      </c>
      <c r="D105" s="76">
        <f>C105-B105</f>
        <v/>
      </c>
      <c r="F105" s="84">
        <f>'Stock'!L23*'Stock'!O23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>
        <v>0</v>
      </c>
      <c r="C106" s="76">
        <f>'Stock'!L24</f>
        <v/>
      </c>
      <c r="D106" s="76">
        <f>C106-B106</f>
        <v/>
      </c>
      <c r="F106" s="84">
        <f>'Stock'!L24*'Stock'!O24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>
        <v>0</v>
      </c>
      <c r="C107" s="76">
        <f>'Stock'!L25</f>
        <v/>
      </c>
      <c r="D107" s="76">
        <f>C107-B107</f>
        <v/>
      </c>
      <c r="F107" s="84">
        <f>'Stock'!L25*'Stock'!O25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>
        <v>0</v>
      </c>
      <c r="C108" s="76">
        <f>'Stock'!L26</f>
        <v/>
      </c>
      <c r="D108" s="76">
        <f>C108-B108</f>
        <v/>
      </c>
      <c r="F108" s="84">
        <f>'Stock'!L26*'Stock'!O26</f>
        <v/>
      </c>
      <c r="G108" s="84">
        <f>D108*'Stock'!O26</f>
        <v/>
      </c>
    </row>
    <row r="109">
      <c r="A109" s="15" t="inlineStr">
        <is>
          <t>Hoggets</t>
        </is>
      </c>
      <c r="B109" s="76" t="n">
        <v>0</v>
      </c>
      <c r="C109" s="76">
        <f>'Stock'!L27</f>
        <v/>
      </c>
      <c r="D109" s="76">
        <f>C109-B109</f>
        <v/>
      </c>
      <c r="F109" s="84">
        <f>'Stock'!L27*'Stock'!O27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>
        <v>0</v>
      </c>
      <c r="C110" s="76">
        <f>'Stock'!L28</f>
        <v/>
      </c>
      <c r="D110" s="76">
        <f>C110-B110</f>
        <v/>
      </c>
      <c r="F110" s="84">
        <f>'Stock'!L28*'Stock'!O28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>
        <v>0</v>
      </c>
      <c r="C111" s="76">
        <f>'Stock'!L29</f>
        <v/>
      </c>
      <c r="D111" s="76">
        <f>C111-B111</f>
        <v/>
      </c>
      <c r="F111" s="84">
        <f>'Stock'!L29*'Stock'!O29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>
        <v>0</v>
      </c>
      <c r="C112" s="76">
        <f>'Stock'!L30</f>
        <v/>
      </c>
      <c r="D112" s="76">
        <f>C112-B112</f>
        <v/>
      </c>
      <c r="F112" s="84">
        <f>'Stock'!L30*'Stock'!O30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B118" t="n">
        <v>0</v>
      </c>
      <c r="C118" t="n">
        <v>0</v>
      </c>
      <c r="D118" t="n">
        <v>0</v>
      </c>
      <c r="G118" s="96" t="n"/>
    </row>
    <row r="119">
      <c r="A119" s="15" t="inlineStr">
        <is>
          <t>Coarse wool</t>
        </is>
      </c>
      <c r="B119" t="n">
        <v>0</v>
      </c>
      <c r="C119" t="n">
        <v>0</v>
      </c>
      <c r="D119" t="n">
        <v>0</v>
      </c>
    </row>
    <row r="120">
      <c r="A120" s="15" t="inlineStr">
        <is>
          <t>Lamb's wool</t>
        </is>
      </c>
      <c r="B120" t="n">
        <v>0</v>
      </c>
      <c r="C120" t="n">
        <v>0</v>
      </c>
      <c r="D120" t="n">
        <v>0</v>
      </c>
    </row>
    <row r="121">
      <c r="A121" s="15" t="inlineStr">
        <is>
          <t>Wool locks</t>
        </is>
      </c>
      <c r="B121" t="n">
        <v>0</v>
      </c>
      <c r="C121" t="n">
        <v>0</v>
      </c>
      <c r="D121" t="n">
        <v>0</v>
      </c>
    </row>
    <row r="122">
      <c r="A122" s="15" t="inlineStr">
        <is>
          <t>Wool sold at shearing</t>
        </is>
      </c>
      <c r="B122" t="n">
        <v>0</v>
      </c>
      <c r="C122" t="n">
        <v>0</v>
      </c>
      <c r="D122" t="n">
        <v>0</v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>
        <f>SUM(F118:F122)</f>
        <v/>
      </c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B127" t="n">
        <v>0</v>
      </c>
      <c r="C127" t="n">
        <v>0</v>
      </c>
      <c r="D127" t="n">
        <v>0</v>
      </c>
      <c r="G127" s="96" t="n"/>
    </row>
    <row r="128">
      <c r="A128" s="15" t="inlineStr">
        <is>
          <t>Cow hides</t>
        </is>
      </c>
      <c r="B128" t="n">
        <v>0</v>
      </c>
      <c r="C128" t="n">
        <v>0</v>
      </c>
      <c r="D128" t="n">
        <v>0</v>
      </c>
    </row>
    <row r="129">
      <c r="A129" s="15" t="inlineStr">
        <is>
          <t>Mare hides</t>
        </is>
      </c>
      <c r="B129" t="n">
        <v>0</v>
      </c>
      <c r="C129" t="n">
        <v>0</v>
      </c>
      <c r="D129" t="n">
        <v>0</v>
      </c>
    </row>
    <row r="130">
      <c r="A130" s="15" t="inlineStr">
        <is>
          <t>Steer hides</t>
        </is>
      </c>
      <c r="B130" t="n">
        <v>0</v>
      </c>
      <c r="C130" t="n">
        <v>0</v>
      </c>
      <c r="D130" t="n">
        <v>0</v>
      </c>
    </row>
    <row r="131">
      <c r="A131" s="15" t="inlineStr">
        <is>
          <t>Yearling Calf hides</t>
        </is>
      </c>
      <c r="B131" t="n">
        <v>0</v>
      </c>
      <c r="C131" t="n">
        <v>0</v>
      </c>
      <c r="D131" t="n">
        <v>0</v>
      </c>
    </row>
    <row r="132">
      <c r="A132" s="15" t="inlineStr">
        <is>
          <t>Calf hides</t>
        </is>
      </c>
      <c r="B132" t="n">
        <v>0</v>
      </c>
      <c r="C132" t="n">
        <v>0</v>
      </c>
      <c r="D132" t="n">
        <v>0</v>
      </c>
    </row>
    <row r="133">
      <c r="A133" s="23" t="inlineStr">
        <is>
          <t>Pig hides</t>
        </is>
      </c>
      <c r="B133" t="n">
        <v>0</v>
      </c>
      <c r="C133" t="n">
        <v>0</v>
      </c>
      <c r="D133" t="n">
        <v>0</v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  <c r="B138" t="n">
        <v>0</v>
      </c>
      <c r="C138" t="n">
        <v>0</v>
      </c>
      <c r="D138" t="n">
        <v>0</v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  <c r="B143" t="n">
        <v>0</v>
      </c>
      <c r="C143" t="n">
        <v>0</v>
      </c>
      <c r="D143" t="n">
        <v>0</v>
      </c>
    </row>
    <row r="144">
      <c r="A144" s="15" t="inlineStr">
        <is>
          <t>Lambskins</t>
        </is>
      </c>
      <c r="B144" t="n">
        <v>0</v>
      </c>
      <c r="C144" t="n">
        <v>0</v>
      </c>
      <c r="D144" t="n">
        <v>0</v>
      </c>
    </row>
    <row r="145">
      <c r="A145" s="15" t="inlineStr">
        <is>
          <t>Rotted skins</t>
        </is>
      </c>
      <c r="B145" t="n">
        <v>0</v>
      </c>
      <c r="C145" t="n">
        <v>0</v>
      </c>
      <c r="D145" t="n">
        <v>0</v>
      </c>
    </row>
    <row r="146">
      <c r="A146" s="15" t="inlineStr">
        <is>
          <t>Shorn skins</t>
        </is>
      </c>
      <c r="B146" t="n">
        <v>0</v>
      </c>
      <c r="C146" t="n">
        <v>0</v>
      </c>
      <c r="D146" t="n">
        <v>0</v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'Stock'!B67</f>
        <v/>
      </c>
      <c r="C151" s="76">
        <f>'Stock'!B67-'Stock'!M67</f>
        <v/>
      </c>
      <c r="D151" s="76">
        <f>B151-C151</f>
        <v/>
      </c>
      <c r="F151" s="76">
        <f>'Stock'!Q67</f>
        <v/>
      </c>
      <c r="G151" s="96" t="n"/>
    </row>
    <row r="152">
      <c r="A152" s="15" t="inlineStr">
        <is>
          <t>Geese</t>
        </is>
      </c>
      <c r="B152" s="76">
        <f>'Stock'!B68</f>
        <v/>
      </c>
      <c r="C152" s="76">
        <f>'Stock'!B68-'Stock'!M68</f>
        <v/>
      </c>
      <c r="D152" s="76">
        <f>B152-C152</f>
        <v/>
      </c>
      <c r="F152" s="76">
        <f>'Stock'!Q68</f>
        <v/>
      </c>
    </row>
    <row r="153">
      <c r="A153" s="15" t="inlineStr">
        <is>
          <t>Capons (from chickens)</t>
        </is>
      </c>
      <c r="B153" s="76" t="n">
        <v>0</v>
      </c>
      <c r="C153" s="76">
        <f>'Stock'!B69-'Stock'!M69</f>
        <v/>
      </c>
      <c r="D153" s="76">
        <f>B153-C153</f>
        <v/>
      </c>
      <c r="F153" s="76">
        <f>'Stock'!Q69</f>
        <v/>
      </c>
    </row>
    <row r="154">
      <c r="A154" s="15" t="inlineStr">
        <is>
          <t>Cocks &amp; hens</t>
        </is>
      </c>
      <c r="B154" s="76" t="n">
        <v>0</v>
      </c>
      <c r="C154" s="76">
        <f>'Stock'!B70-'Stock'!M70</f>
        <v/>
      </c>
      <c r="D154" s="76">
        <f>B154-C154</f>
        <v/>
      </c>
      <c r="F154" s="76">
        <f>'Stock'!Q70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</row>
    <row r="161">
      <c r="A161" s="15" t="inlineStr">
        <is>
          <t>Sum of above</t>
        </is>
      </c>
      <c r="B161" t="n">
        <v>0</v>
      </c>
      <c r="C161" t="n">
        <v>0</v>
      </c>
      <c r="D161" t="n">
        <v>0</v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topLeftCell="A1"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DOWNTONBOROUGH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1" t="n"/>
      <c r="F2" s="132" t="inlineStr">
        <is>
          <t>Total in £</t>
        </is>
      </c>
      <c r="G2" s="133" t="inlineStr">
        <is>
          <t>Error</t>
        </is>
      </c>
      <c r="H2" s="134" t="inlineStr">
        <is>
          <t>Notes</t>
        </is>
      </c>
      <c r="I2" s="135" t="inlineStr">
        <is>
          <t>Own notes</t>
        </is>
      </c>
    </row>
    <row r="3">
      <c r="A3" s="136" t="inlineStr">
        <is>
          <t>Arrears</t>
        </is>
      </c>
      <c r="B3" s="128" t="n">
        <v>0</v>
      </c>
      <c r="C3" s="128" t="n">
        <v>15</v>
      </c>
      <c r="D3" s="128" t="n">
        <v>7</v>
      </c>
      <c r="E3" s="128" t="n"/>
      <c r="F3" s="128" t="n">
        <v>0.78</v>
      </c>
      <c r="G3" s="128" t="n"/>
      <c r="H3" s="128" t="inlineStr">
        <is>
          <t>Ralph Fotere, reeve there, answers for 15 shilling 7pence of arrears from his last account of the preceding year.</t>
        </is>
      </c>
      <c r="I3" s="128" t="n"/>
    </row>
    <row r="4">
      <c r="A4" s="137" t="inlineStr">
        <is>
          <t>Arrears</t>
        </is>
      </c>
      <c r="B4" s="128" t="n">
        <v>0</v>
      </c>
      <c r="C4" s="128" t="n">
        <v>15</v>
      </c>
      <c r="D4" s="128" t="n">
        <v>7</v>
      </c>
      <c r="E4" s="128" t="n"/>
      <c r="F4" s="128" t="n">
        <v>0.78</v>
      </c>
      <c r="G4" s="128" t="n"/>
      <c r="H4" s="128" t="inlineStr">
        <is>
          <t>Total, 15 shilling 7pence.</t>
        </is>
      </c>
      <c r="I4" s="128" t="n"/>
    </row>
    <row r="5">
      <c r="A5" s="138" t="inlineStr">
        <is>
          <t>Arrears total</t>
        </is>
      </c>
      <c r="B5" s="139" t="n"/>
      <c r="C5" s="139" t="n"/>
      <c r="D5" s="139" t="n"/>
      <c r="E5" s="139" t="n"/>
      <c r="F5" s="139" t="n">
        <v>0.78</v>
      </c>
      <c r="G5" s="139" t="n">
        <v>0</v>
      </c>
      <c r="H5" s="139" t="inlineStr">
        <is>
          <t>Total</t>
        </is>
      </c>
      <c r="I5" s="139" t="n"/>
    </row>
    <row r="6">
      <c r="A6" s="137" t="n"/>
      <c r="B6" s="128" t="n"/>
      <c r="C6" s="128" t="n"/>
      <c r="D6" s="128" t="n"/>
      <c r="E6" s="128" t="n"/>
      <c r="F6" s="128" t="n"/>
      <c r="G6" s="128" t="n"/>
      <c r="H6" s="128" t="n"/>
      <c r="I6" s="128" t="n"/>
    </row>
    <row r="7">
      <c r="A7" s="136" t="inlineStr">
        <is>
          <t>Rents</t>
        </is>
      </c>
      <c r="B7" s="128" t="n">
        <v>6</v>
      </c>
      <c r="C7" s="128" t="n">
        <v>6</v>
      </c>
      <c r="D7" s="128" t="n">
        <v>2</v>
      </c>
      <c r="E7" s="128" t="n"/>
      <c r="F7" s="128" t="n">
        <v>6.31</v>
      </c>
      <c r="G7" s="128" t="n"/>
      <c r="H7" s="128" t="inlineStr">
        <is>
          <t>Geoffrey Fotere, reeve there, answers for £6 6 shilling 2pence for all rents of assize there for the year.</t>
        </is>
      </c>
      <c r="I7" s="128" t="n"/>
    </row>
    <row r="8">
      <c r="A8" s="137" t="inlineStr">
        <is>
          <t>Rents</t>
        </is>
      </c>
      <c r="B8" s="128" t="n">
        <v>0</v>
      </c>
      <c r="C8" s="128" t="n">
        <v>0</v>
      </c>
      <c r="D8" s="128" t="n">
        <v>4</v>
      </c>
      <c r="E8" s="128" t="n"/>
      <c r="F8" s="128" t="n">
        <v>0.02</v>
      </c>
      <c r="G8" s="128" t="n"/>
      <c r="H8" s="128" t="inlineStr">
        <is>
          <t>4pence from John Seuyere for 1 plot of purpresture of the lord's ground, 20 feet long and 6 feet wide, at the eastern end of his house.</t>
        </is>
      </c>
      <c r="I8" s="128" t="n"/>
    </row>
    <row r="9">
      <c r="A9" s="137" t="inlineStr">
        <is>
          <t>Rents</t>
        </is>
      </c>
      <c r="B9" s="128" t="n">
        <v>6</v>
      </c>
      <c r="C9" s="128" t="n">
        <v>6</v>
      </c>
      <c r="D9" s="128" t="n">
        <v>6</v>
      </c>
      <c r="E9" s="128" t="n"/>
      <c r="F9" s="128" t="n">
        <v>6.33</v>
      </c>
      <c r="G9" s="128" t="n"/>
      <c r="H9" s="128" t="inlineStr">
        <is>
          <t>Total, £6 6 shilling 6pence.</t>
        </is>
      </c>
      <c r="I9" s="128" t="n"/>
    </row>
    <row r="10">
      <c r="A10" s="138" t="inlineStr">
        <is>
          <t>Rents total</t>
        </is>
      </c>
      <c r="B10" s="139" t="n"/>
      <c r="C10" s="139" t="n"/>
      <c r="D10" s="139" t="n"/>
      <c r="E10" s="139" t="n"/>
      <c r="F10" s="139" t="n">
        <v>6.33</v>
      </c>
      <c r="G10" s="139" t="n">
        <v>0</v>
      </c>
      <c r="H10" s="139" t="inlineStr">
        <is>
          <t>Total</t>
        </is>
      </c>
      <c r="I10" s="139" t="n"/>
    </row>
    <row r="11">
      <c r="A11" s="137" t="n"/>
      <c r="B11" s="128" t="n"/>
      <c r="C11" s="128" t="n"/>
      <c r="D11" s="128" t="n"/>
      <c r="E11" s="128" t="n"/>
      <c r="F11" s="128" t="n"/>
      <c r="G11" s="128" t="n"/>
      <c r="H11" s="128" t="n"/>
      <c r="I11" s="128" t="n"/>
    </row>
    <row r="12">
      <c r="A12" s="136" t="inlineStr">
        <is>
          <t>Total of rents remaining clear</t>
        </is>
      </c>
      <c r="B12" s="128" t="n">
        <v>6.5</v>
      </c>
      <c r="C12" s="128" t="n">
        <v>0</v>
      </c>
      <c r="D12" s="128" t="n">
        <v>0</v>
      </c>
      <c r="E12" s="128" t="n"/>
      <c r="F12" s="128" t="n">
        <v>6.5</v>
      </c>
      <c r="G12" s="128" t="n"/>
      <c r="H12" s="128" t="inlineStr">
        <is>
          <t>Total of rents remaining clear, £6.5 shilling 6pence.</t>
        </is>
      </c>
      <c r="I12" s="128" t="n"/>
    </row>
    <row r="13">
      <c r="A13" s="138" t="inlineStr">
        <is>
          <t>Total of rents remaining clear total</t>
        </is>
      </c>
      <c r="B13" s="139" t="n"/>
      <c r="C13" s="139" t="n"/>
      <c r="D13" s="139" t="n"/>
      <c r="E13" s="139" t="n"/>
      <c r="F13" s="139" t="n">
        <v>6.5</v>
      </c>
      <c r="G13" s="139" t="n">
        <v>0</v>
      </c>
      <c r="H13" s="139" t="inlineStr">
        <is>
          <t>Total</t>
        </is>
      </c>
      <c r="I13" s="139" t="n"/>
    </row>
    <row r="14">
      <c r="A14" s="137" t="n"/>
      <c r="B14" s="128" t="n"/>
      <c r="C14" s="128" t="n"/>
      <c r="D14" s="128" t="n"/>
      <c r="E14" s="128" t="n"/>
      <c r="F14" s="128" t="n"/>
      <c r="G14" s="128" t="n"/>
      <c r="H14" s="128" t="n"/>
      <c r="I14" s="128" t="n"/>
    </row>
    <row r="15">
      <c r="A15" s="136" t="inlineStr">
        <is>
          <t>Perquisites of court</t>
        </is>
      </c>
      <c r="B15" s="128" t="n">
        <v>1</v>
      </c>
      <c r="C15" s="128" t="n">
        <v>1</v>
      </c>
      <c r="D15" s="128" t="n">
        <v>5</v>
      </c>
      <c r="E15" s="128" t="n"/>
      <c r="F15" s="128" t="n">
        <v>1.07</v>
      </c>
      <c r="G15" s="128" t="n"/>
      <c r="H15" s="128" t="inlineStr">
        <is>
          <t>And for £1 1 shilling 5pence from the perquisites of the tourn of Martinmas (11 November).</t>
        </is>
      </c>
      <c r="I15" s="128" t="n"/>
    </row>
    <row r="16">
      <c r="A16" s="137" t="inlineStr">
        <is>
          <t>Perquisites of court</t>
        </is>
      </c>
      <c r="B16" s="128" t="n">
        <v>0</v>
      </c>
      <c r="C16" s="128" t="n">
        <v>3</v>
      </c>
      <c r="D16" s="128" t="n">
        <v>6</v>
      </c>
      <c r="E16" s="128" t="n"/>
      <c r="F16" s="128" t="n">
        <v>0.17</v>
      </c>
      <c r="G16" s="128" t="n"/>
      <c r="H16" s="128" t="inlineStr">
        <is>
          <t>3 shilling 6pence from the perquisites of the courts held between Michaelmas and the tourn of Hockday.</t>
        </is>
      </c>
      <c r="I16" s="128" t="n"/>
    </row>
    <row r="17">
      <c r="A17" s="137" t="inlineStr">
        <is>
          <t>Perquisites of court</t>
        </is>
      </c>
      <c r="B17" s="128" t="n">
        <v>1</v>
      </c>
      <c r="C17" s="128" t="n">
        <v>5</v>
      </c>
      <c r="D17" s="128" t="n">
        <v>6</v>
      </c>
      <c r="E17" s="128" t="n"/>
      <c r="F17" s="128" t="n">
        <v>1.27</v>
      </c>
      <c r="G17" s="128" t="n"/>
      <c r="H17" s="128" t="inlineStr">
        <is>
          <t>£1 5 shilling 6pence from the perquisites of the tourn of Hockday (1 April).</t>
        </is>
      </c>
      <c r="I17" s="128" t="n"/>
    </row>
    <row r="18">
      <c r="A18" s="137" t="inlineStr">
        <is>
          <t>Perquisites of court</t>
        </is>
      </c>
      <c r="B18" s="128" t="n">
        <v>0</v>
      </c>
      <c r="C18" s="128" t="n">
        <v>3</v>
      </c>
      <c r="D18" s="128" t="n">
        <v>1</v>
      </c>
      <c r="E18" s="128" t="n"/>
      <c r="F18" s="128" t="n">
        <v>0.15</v>
      </c>
      <c r="G18" s="128" t="n"/>
      <c r="H18" s="128" t="inlineStr">
        <is>
          <t>3 shilling 1pence from the perquisites of the courts held after the tourn of Hockday.</t>
        </is>
      </c>
      <c r="I18" s="128" t="n"/>
    </row>
    <row r="19">
      <c r="A19" s="138" t="inlineStr">
        <is>
          <t>Perquisites of court total</t>
        </is>
      </c>
      <c r="B19" s="139" t="n">
        <v>2</v>
      </c>
      <c r="C19" s="139" t="n">
        <v>13</v>
      </c>
      <c r="D19" s="139" t="n">
        <v>6</v>
      </c>
      <c r="E19" s="139" t="n"/>
      <c r="F19" s="139" t="n">
        <v>2.67</v>
      </c>
      <c r="G19" s="139" t="n">
        <v>2.52</v>
      </c>
      <c r="H19" s="139" t="inlineStr">
        <is>
          <t>Total, £2 13 shilling 6pence.</t>
        </is>
      </c>
      <c r="I19" s="139" t="n"/>
    </row>
    <row r="20">
      <c r="A20" s="38" t="inlineStr">
        <is>
          <t>Total of all receipts recorded in accounts (calculated here)</t>
        </is>
      </c>
      <c r="F20">
        <f>SUMIF(A1:A19,"* total",F1:F19)-SUMIF(A1:A19,"Arrears total",F1:F19)</f>
        <v/>
      </c>
    </row>
    <row r="21">
      <c r="A21" s="38" t="inlineStr">
        <is>
          <t>Total of all receipts (calculated here) incl arrears</t>
        </is>
      </c>
      <c r="F21">
        <f>F20+SUMIF(A1:A19,"Arrears total",F1:F19)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topLeftCell="A1"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DOWNTONBOROUGH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3" t="n"/>
      <c r="F2" s="144" t="inlineStr">
        <is>
          <t>Total in £</t>
        </is>
      </c>
      <c r="G2" s="145" t="inlineStr">
        <is>
          <t>Error</t>
        </is>
      </c>
      <c r="H2" s="146" t="inlineStr">
        <is>
          <t>Notes</t>
        </is>
      </c>
    </row>
    <row r="3">
      <c r="A3" s="137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6" t="inlineStr">
        <is>
          <t>Cash deliveries</t>
        </is>
      </c>
      <c r="B4" s="128" t="n">
        <v>8</v>
      </c>
      <c r="C4" s="128" t="n">
        <v>19</v>
      </c>
      <c r="D4" s="128" t="n">
        <v>0</v>
      </c>
      <c r="E4" s="128" t="n"/>
      <c r="F4" s="128" t="n">
        <v>8.949999999999999</v>
      </c>
      <c r="G4" s="128" t="n"/>
      <c r="H4" s="128" t="n"/>
    </row>
    <row r="5">
      <c r="A5" s="137" t="inlineStr">
        <is>
          <t>Cash deliveries</t>
        </is>
      </c>
      <c r="B5" s="128" t="n">
        <v>8</v>
      </c>
      <c r="C5" s="128" t="n">
        <v>19</v>
      </c>
      <c r="D5" s="128" t="n">
        <v>0</v>
      </c>
      <c r="E5" s="128" t="n"/>
      <c r="F5" s="128" t="n">
        <v>8.949999999999999</v>
      </c>
      <c r="G5" s="128" t="n"/>
      <c r="H5" s="128" t="n"/>
    </row>
    <row r="6">
      <c r="A6" s="138" t="inlineStr">
        <is>
          <t>Cash deliveries total</t>
        </is>
      </c>
      <c r="B6" s="139" t="n"/>
      <c r="C6" s="139" t="n"/>
      <c r="D6" s="139" t="n"/>
      <c r="E6" s="139" t="n"/>
      <c r="F6" s="139" t="n">
        <v>8.949999999999999</v>
      </c>
      <c r="G6" s="139" t="n">
        <v>0</v>
      </c>
      <c r="H6" s="13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8"/>
  <sheetViews>
    <sheetView topLeftCell="A1" workbookViewId="0">
      <selection activeCell="A1" sqref="A1"/>
    </sheetView>
  </sheetViews>
  <sheetFormatPr baseColWidth="8" defaultRowHeight="15"/>
  <cols>
    <col width="44.36328125" customWidth="1" min="1" max="1"/>
    <col width="14.36328125" customWidth="1" min="2" max="2"/>
    <col width="9.81640625" customWidth="1" min="6" max="6"/>
    <col width="16.6328125" customWidth="1" min="7" max="7"/>
    <col width="16.1796875" customWidth="1" min="10" max="10"/>
    <col width="11.453125" customWidth="1" min="11" max="11"/>
    <col width="8.453125" customWidth="1" min="13" max="13"/>
    <col width="10.6328125" customWidth="1" min="14" max="14"/>
    <col width="16.6328125" customWidth="1" min="16" max="16"/>
    <col width="17.36328125" customWidth="1" min="17" max="17"/>
    <col width="16.1796875" customWidth="1" min="19" max="19"/>
    <col width="13.1796875" customWidth="1" min="21" max="21"/>
  </cols>
  <sheetData>
    <row r="1" ht="15.5" customHeight="1">
      <c r="A1" s="12" t="inlineStr">
        <is>
          <t>DOWNTONBOROUGH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2"/>
    <row r="33"/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4"/>
    <row r="65"/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3"/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79"/>
    <row r="80"/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6"/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1"/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7"/>
    <row r="98"/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0"/>
    <row r="101"/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8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shilling a quarter 2</t>
        </is>
      </c>
      <c r="R1" t="inlineStr">
        <is>
          <t>pence a quarter 2</t>
        </is>
      </c>
      <c r="S1" t="inlineStr">
        <is>
          <t>shilling a quarter 3</t>
        </is>
      </c>
      <c r="T1" t="inlineStr">
        <is>
          <t>pence a quarter 3</t>
        </is>
      </c>
      <c r="U1" t="inlineStr">
        <is>
          <t>shilling a quarter 4</t>
        </is>
      </c>
      <c r="V1" t="inlineStr">
        <is>
          <t>pence a quarter 4</t>
        </is>
      </c>
      <c r="W1" t="inlineStr">
        <is>
          <t>shilling a bushel 1</t>
        </is>
      </c>
      <c r="X1" t="inlineStr">
        <is>
          <t>pence a bushel 1</t>
        </is>
      </c>
      <c r="Y1" t="inlineStr">
        <is>
          <t>shilling a bushel 2</t>
        </is>
      </c>
      <c r="Z1" t="inlineStr">
        <is>
          <t>pence a bushel 2</t>
        </is>
      </c>
      <c r="AA1" t="inlineStr">
        <is>
          <t>shilling a bushel 3</t>
        </is>
      </c>
      <c r="AB1" t="inlineStr">
        <is>
          <t>pence a bushel 3</t>
        </is>
      </c>
      <c r="AC1" t="inlineStr">
        <is>
          <t>shilling a bushel 4</t>
        </is>
      </c>
      <c r="AD1" t="inlineStr">
        <is>
          <t>pence a bushel 4</t>
        </is>
      </c>
    </row>
    <row r="2">
      <c r="A2" t="inlineStr">
        <is>
          <t>Downton Borough</t>
        </is>
      </c>
      <c r="B2" t="inlineStr">
        <is>
          <t>The account' of the same for the abovesaid year.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Ralph Fotere, reeve there, answers for 15 shilling 7pence of arrears from his last account of the preceding year.</t>
        </is>
      </c>
      <c r="C3" t="n">
        <v>0.78</v>
      </c>
      <c r="D3" t="n">
        <v>0</v>
      </c>
      <c r="E3" t="n">
        <v>15</v>
      </c>
      <c r="F3" t="n">
        <v>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Arrears</t>
        </is>
      </c>
      <c r="B4" t="inlineStr">
        <is>
          <t>Total, 15 shilling 7pence.</t>
        </is>
      </c>
      <c r="C4" t="n">
        <v>0.78</v>
      </c>
      <c r="D4" t="n">
        <v>0</v>
      </c>
      <c r="E4" t="n">
        <v>15</v>
      </c>
      <c r="F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</t>
        </is>
      </c>
      <c r="B5" t="inlineStr">
        <is>
          <t>Geoffrey Fotere, reeve there, answers for £6 6 shilling 2pence for all rents of assize there for the year.</t>
        </is>
      </c>
      <c r="C5" t="n">
        <v>6.31</v>
      </c>
      <c r="D5" t="n">
        <v>6</v>
      </c>
      <c r="E5" t="n">
        <v>6</v>
      </c>
      <c r="F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</t>
        </is>
      </c>
      <c r="B6" t="inlineStr">
        <is>
          <t>4pence from John Seuyere for 1 plot of purpresture of the lord's ground, 20 feet long and 6 feet wide, at the eastern end of his house.</t>
        </is>
      </c>
      <c r="C6" t="n">
        <v>0.02</v>
      </c>
      <c r="D6" t="n">
        <v>0</v>
      </c>
      <c r="E6" t="n">
        <v>0</v>
      </c>
      <c r="F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Rents</t>
        </is>
      </c>
      <c r="B7" t="inlineStr">
        <is>
          <t>Total, £6 6 shilling 6pence.</t>
        </is>
      </c>
      <c r="C7" t="n">
        <v>6.33</v>
      </c>
      <c r="D7" t="n">
        <v>6</v>
      </c>
      <c r="E7" t="n">
        <v>6</v>
      </c>
      <c r="F7" t="n">
        <v>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Quittances of rent</t>
        </is>
      </c>
      <c r="B8" t="inlineStr">
        <is>
          <t>In quittance of rent of 1 reeve of the borough for the year 1 shilling.</t>
        </is>
      </c>
      <c r="C8" t="n">
        <v>0.05</v>
      </c>
      <c r="D8" t="n">
        <v>0</v>
      </c>
      <c r="E8" t="n">
        <v>1</v>
      </c>
      <c r="F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Quittances of rent</t>
        </is>
      </c>
      <c r="B9" t="inlineStr">
        <is>
          <t>Total, 1 shilling.</t>
        </is>
      </c>
      <c r="C9" t="n">
        <v>0.05</v>
      </c>
      <c r="D9" t="n">
        <v>0</v>
      </c>
      <c r="E9" t="n">
        <v>1</v>
      </c>
      <c r="F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Total of rents remaining clear</t>
        </is>
      </c>
      <c r="B10" t="inlineStr">
        <is>
          <t>Total of rents remaining clear, £6.5 shilling 6pence.</t>
        </is>
      </c>
      <c r="C10" t="n">
        <v>6.5</v>
      </c>
      <c r="D10" t="n">
        <v>6.5</v>
      </c>
      <c r="E10" t="n">
        <v>0</v>
      </c>
      <c r="F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Perquisites of court</t>
        </is>
      </c>
      <c r="B11" t="inlineStr">
        <is>
          <t>And for £1 1 shilling 5pence from the perquisites of the tourn of Martinmas (11 November).</t>
        </is>
      </c>
      <c r="C11" t="n">
        <v>1.07</v>
      </c>
      <c r="D11" t="n">
        <v>1</v>
      </c>
      <c r="E11" t="n">
        <v>1</v>
      </c>
      <c r="F11" t="n">
        <v>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Perquisites of court</t>
        </is>
      </c>
      <c r="B12" t="inlineStr">
        <is>
          <t>3 shilling 6pence from the perquisites of the courts held between Michaelmas and the tourn of Hockday.</t>
        </is>
      </c>
      <c r="C12" t="n">
        <v>0.17</v>
      </c>
      <c r="D12" t="n">
        <v>0</v>
      </c>
      <c r="E12" t="n">
        <v>3</v>
      </c>
      <c r="F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Perquisites of court</t>
        </is>
      </c>
      <c r="B13" t="inlineStr">
        <is>
          <t>£1 5 shilling 6pence from the perquisites of the tourn of Hockday (1 April).</t>
        </is>
      </c>
      <c r="C13" t="n">
        <v>1.27</v>
      </c>
      <c r="D13" t="n">
        <v>1</v>
      </c>
      <c r="E13" t="n">
        <v>5</v>
      </c>
      <c r="F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Perquisites of court</t>
        </is>
      </c>
      <c r="B14" t="inlineStr">
        <is>
          <t>3 shilling 1pence from the perquisites of the courts held after the tourn of Hockday.</t>
        </is>
      </c>
      <c r="C14" t="n">
        <v>0.15</v>
      </c>
      <c r="D14" t="n">
        <v>0</v>
      </c>
      <c r="E14" t="n">
        <v>3</v>
      </c>
      <c r="F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Perquisites of court</t>
        </is>
      </c>
      <c r="B15" t="inlineStr">
        <is>
          <t>Total, £2 13 shilling 6pence.</t>
        </is>
      </c>
      <c r="C15" t="n">
        <v>2.67</v>
      </c>
      <c r="D15" t="n">
        <v>2</v>
      </c>
      <c r="E15" t="n">
        <v>13</v>
      </c>
      <c r="F15" t="n">
        <v>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of all receipts with arrears</t>
        </is>
      </c>
      <c r="B16" t="inlineStr">
        <is>
          <t>Total of all receipts with arrears, £9 14 shilling 7pence.</t>
        </is>
      </c>
      <c r="C16" t="n">
        <v>9.73</v>
      </c>
      <c r="D16" t="n">
        <v>9</v>
      </c>
      <c r="E16" t="n">
        <v>14</v>
      </c>
      <c r="F16" t="n">
        <v>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Cash deliveries</t>
        </is>
      </c>
      <c r="B17" t="inlineStr">
        <is>
          <t>Delivered to John Arnald', receiver of Wolvesey, by 1 tally, £8 19 shilling.</t>
        </is>
      </c>
      <c r="C17" t="n">
        <v>8.949999999999999</v>
      </c>
      <c r="D17" t="n">
        <v>8</v>
      </c>
      <c r="E17" t="n">
        <v>19</v>
      </c>
      <c r="F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Cash deliveries</t>
        </is>
      </c>
      <c r="B18" t="inlineStr">
        <is>
          <t>Total, £8 19 shilling And he owes, 15 shilling 7pence, all of which is in the hands of the escheator, for which he is charged in the following account.</t>
        </is>
      </c>
      <c r="C18" t="n">
        <v>8.949999999999999</v>
      </c>
      <c r="D18" t="n">
        <v>8</v>
      </c>
      <c r="E18" t="n">
        <v>19</v>
      </c>
      <c r="F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2026-01-17T10:57:45Z</dcterms:modified>
  <cp:lastModifiedBy>Kowalski, Kuba</cp:lastModifiedBy>
</cp:coreProperties>
</file>
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DOWNTON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1.74</v>
      </c>
      <c r="D4" s="13" t="n"/>
      <c r="E4" s="13" t="n"/>
    </row>
    <row r="5">
      <c r="A5" s="15" t="inlineStr">
        <is>
          <t>Rents of assize total</t>
        </is>
      </c>
      <c r="B5" s="76" t="n">
        <v>70.84999999999999</v>
      </c>
    </row>
    <row r="6">
      <c r="A6" s="15" t="inlineStr">
        <is>
          <t>Quittances total</t>
        </is>
      </c>
      <c r="B6" s="76" t="n"/>
    </row>
    <row r="7">
      <c r="A7" s="15" t="inlineStr">
        <is>
          <t>Defaults of rent total</t>
        </is>
      </c>
      <c r="B7" s="76" t="n">
        <v>4.96</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28.88</v>
      </c>
    </row>
    <row r="12">
      <c r="A12" s="76" t="inlineStr">
        <is>
          <t>Total of rents remaining clear total</t>
        </is>
      </c>
      <c r="B12" s="76" t="n">
        <v>41.99</v>
      </c>
    </row>
    <row r="13">
      <c r="A13" s="76" t="inlineStr">
        <is>
          <t>Farms total</t>
        </is>
      </c>
      <c r="B13" s="76" t="n"/>
    </row>
    <row r="14">
      <c r="A14" s="15" t="inlineStr">
        <is>
          <t>Annual recognizances total</t>
        </is>
      </c>
      <c r="B14" s="76" t="n">
        <v>0.29</v>
      </c>
    </row>
    <row r="15">
      <c r="A15" s="15" t="inlineStr">
        <is>
          <t>Issues of the Manor total</t>
        </is>
      </c>
      <c r="B15" s="76" t="n">
        <v>25.68</v>
      </c>
    </row>
    <row r="16">
      <c r="A16" s="76" t="inlineStr">
        <is>
          <t>Issues of the tenements in the lord's hands total</t>
        </is>
      </c>
      <c r="B16" s="76" t="n"/>
    </row>
    <row r="17">
      <c r="A17" s="76" t="inlineStr">
        <is>
          <t>Sale of labour services total</t>
        </is>
      </c>
      <c r="B17" s="76" t="n"/>
    </row>
    <row r="18">
      <c r="A18" s="15" t="inlineStr">
        <is>
          <t>Sale of corn total</t>
        </is>
      </c>
      <c r="B18" s="76" t="n">
        <v>10.31</v>
      </c>
    </row>
    <row r="19">
      <c r="A19" s="15" t="inlineStr">
        <is>
          <t>Entry and marriage fines total</t>
        </is>
      </c>
      <c r="B19" s="76" t="n">
        <v>4.95</v>
      </c>
    </row>
    <row r="20">
      <c r="A20" s="15" t="inlineStr">
        <is>
          <t>Pleas &amp; perquisites total</t>
        </is>
      </c>
      <c r="B20" s="76" t="n">
        <v>5.2</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'Receipts'!F154</f>
        <v/>
      </c>
      <c r="C25" s="10">
        <f>B23-B25</f>
        <v/>
      </c>
    </row>
    <row r="26">
      <c r="A26" s="83" t="inlineStr">
        <is>
          <t>Total recorded in the accounts incl. arrears</t>
        </is>
      </c>
      <c r="B26">
        <f>'Receipts'!F155</f>
        <v/>
      </c>
      <c r="D26" s="13" t="n"/>
      <c r="E26" s="13" t="n"/>
    </row>
    <row r="27">
      <c r="A27" s="15" t="n"/>
    </row>
    <row r="28">
      <c r="A28" s="15" t="n"/>
    </row>
    <row r="29">
      <c r="A29" s="16" t="inlineStr">
        <is>
          <t>EXPENSES</t>
        </is>
      </c>
    </row>
    <row r="30">
      <c r="A30" s="15" t="inlineStr">
        <is>
          <t>Cost of ploughs total</t>
        </is>
      </c>
      <c r="B30" t="n">
        <v>4.09</v>
      </c>
    </row>
    <row r="31">
      <c r="A31" s="15" t="inlineStr">
        <is>
          <t>Purchase of corn total</t>
        </is>
      </c>
    </row>
    <row r="32">
      <c r="A32" s="15" t="inlineStr">
        <is>
          <t>Cost of carts and wagons total</t>
        </is>
      </c>
      <c r="B32" t="n">
        <v>1.56</v>
      </c>
    </row>
    <row r="33">
      <c r="A33" s="15" t="inlineStr">
        <is>
          <t>Cost of dairy total</t>
        </is>
      </c>
    </row>
    <row r="34">
      <c r="A34" s="15" t="inlineStr">
        <is>
          <t>Purchase of stock total</t>
        </is>
      </c>
      <c r="B34" t="n">
        <v>7.5</v>
      </c>
    </row>
    <row r="35">
      <c r="A35" s="15" t="inlineStr">
        <is>
          <t>Sheepcote total</t>
        </is>
      </c>
    </row>
    <row r="36">
      <c r="A36" s="15" t="inlineStr">
        <is>
          <t>Cost of buildings total</t>
        </is>
      </c>
      <c r="B36" s="84" t="n">
        <v>10.38</v>
      </c>
    </row>
    <row r="37">
      <c r="A37" s="15" t="inlineStr">
        <is>
          <t>Threshing total</t>
        </is>
      </c>
      <c r="B37" t="n">
        <v>1.84</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0.9</v>
      </c>
    </row>
    <row r="43">
      <c r="A43" s="85" t="inlineStr">
        <is>
          <t>Annual fees</t>
        </is>
      </c>
      <c r="B43" s="86" t="n"/>
      <c r="C43" s="87" t="n"/>
      <c r="D43" s="88" t="n"/>
    </row>
    <row r="44">
      <c r="A44" s="82" t="inlineStr">
        <is>
          <t>Total of all expenses per account</t>
        </is>
      </c>
      <c r="B44" s="84">
        <f>'Expenses'!F120</f>
        <v/>
      </c>
    </row>
    <row r="45">
      <c r="A45" s="82" t="inlineStr">
        <is>
          <t>Total of all expenses (calculated here)</t>
        </is>
      </c>
      <c r="B45" s="84">
        <f>'Expenses'!F121</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112.59</v>
      </c>
    </row>
    <row r="51">
      <c r="A51" s="15" t="n"/>
    </row>
    <row r="52">
      <c r="A52" s="18" t="inlineStr">
        <is>
          <t>Allowances</t>
        </is>
      </c>
      <c r="B52" s="84" t="n"/>
    </row>
    <row r="53">
      <c r="A53" s="18" t="inlineStr">
        <is>
          <t>Cash deliveries</t>
        </is>
      </c>
      <c r="B53" s="84" t="n">
        <v>107</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21</v>
      </c>
      <c r="C67" t="n">
        <v>6</v>
      </c>
      <c r="D67" t="n">
        <v>3.48</v>
      </c>
      <c r="E67" t="n">
        <v>3.48</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6.18</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38</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6</v>
      </c>
      <c r="C96" s="76">
        <f>'Stock'!L14</f>
        <v/>
      </c>
      <c r="D96" s="76">
        <f>C96-B96</f>
        <v/>
      </c>
      <c r="F96" s="84">
        <f>'Stock'!L14*'Stock'!O14</f>
        <v/>
      </c>
      <c r="G96" s="84">
        <f>D96*'Stock'!O14</f>
        <v/>
      </c>
    </row>
    <row r="97">
      <c r="A97" s="15" t="inlineStr">
        <is>
          <t>Steers</t>
        </is>
      </c>
      <c r="B97" s="76" t="n">
        <v>7</v>
      </c>
      <c r="C97" s="76">
        <f>'Stock'!L15</f>
        <v/>
      </c>
      <c r="D97" s="76">
        <f>C97-B97</f>
        <v/>
      </c>
      <c r="F97" s="84">
        <f>'Stock'!L15*'Stock'!O15</f>
        <v/>
      </c>
      <c r="G97" s="84">
        <f>D97*'Stock'!O15</f>
        <v/>
      </c>
    </row>
    <row r="98">
      <c r="A98" s="15" t="inlineStr">
        <is>
          <t>Bullocks</t>
        </is>
      </c>
      <c r="B98" s="76" t="n">
        <v>4</v>
      </c>
      <c r="C98" s="76">
        <f>'Stock'!L16</f>
        <v/>
      </c>
      <c r="D98" s="76">
        <f>C98-B98</f>
        <v/>
      </c>
      <c r="F98" s="84">
        <f>'Stock'!L16*'Stock'!O16</f>
        <v/>
      </c>
      <c r="G98" s="84">
        <f>D98*'Stock'!O16</f>
        <v/>
      </c>
    </row>
    <row r="99">
      <c r="A99" s="15" t="inlineStr">
        <is>
          <t>Yearlings</t>
        </is>
      </c>
      <c r="B99" s="76" t="n">
        <v>4</v>
      </c>
      <c r="C99" s="76">
        <f>'Stock'!L17</f>
        <v/>
      </c>
      <c r="D99" s="76">
        <f>C99-B99</f>
        <v/>
      </c>
      <c r="F99" s="84">
        <f>'Stock'!L17*'Stock'!O17</f>
        <v/>
      </c>
      <c r="G99" s="84">
        <f>D99*'Stock'!O17</f>
        <v/>
      </c>
    </row>
    <row r="100">
      <c r="A100" s="15" t="inlineStr">
        <is>
          <t>Calves</t>
        </is>
      </c>
      <c r="B100" s="76" t="n">
        <v>5</v>
      </c>
      <c r="C100" s="76">
        <f>'Stock'!L18</f>
        <v/>
      </c>
      <c r="D100" s="76">
        <f>C100-B100</f>
        <v/>
      </c>
      <c r="F100" s="84">
        <f>'Stock'!L18*'Stock'!O18</f>
        <v/>
      </c>
      <c r="G100" s="84">
        <f>D100*'Stock'!O18</f>
        <v/>
      </c>
    </row>
    <row r="101">
      <c r="A101" s="15" t="inlineStr">
        <is>
          <t>Wethers</t>
        </is>
      </c>
      <c r="B101" s="76" t="n">
        <v>416</v>
      </c>
      <c r="C101" s="76">
        <f>'Stock'!L19</f>
        <v/>
      </c>
      <c r="D101" s="76">
        <f>C101-B101</f>
        <v/>
      </c>
      <c r="F101" s="84">
        <f>'Stock'!L19*'Stock'!O19</f>
        <v/>
      </c>
      <c r="G101" s="84">
        <f>D101*'Stock'!O19</f>
        <v/>
      </c>
    </row>
    <row r="102">
      <c r="A102" s="15" t="inlineStr">
        <is>
          <t>Rams</t>
        </is>
      </c>
      <c r="B102" s="76" t="n">
        <v>8</v>
      </c>
      <c r="C102" s="76">
        <f>'Stock'!L20</f>
        <v/>
      </c>
      <c r="D102" s="76">
        <f>C102-B102</f>
        <v/>
      </c>
      <c r="F102" s="84">
        <f>'Stock'!L20*'Stock'!O20</f>
        <v/>
      </c>
      <c r="G102" s="84">
        <f>D102*'Stock'!O20</f>
        <v/>
      </c>
    </row>
    <row r="103">
      <c r="A103" s="15" t="inlineStr">
        <is>
          <t>Ewes</t>
        </is>
      </c>
      <c r="B103" s="76" t="n">
        <v>511</v>
      </c>
      <c r="C103" s="76">
        <f>'Stock'!L21</f>
        <v/>
      </c>
      <c r="D103" s="76">
        <f>C103-B103</f>
        <v/>
      </c>
      <c r="F103" s="84">
        <f>'Stock'!L21*'Stock'!O21</f>
        <v/>
      </c>
      <c r="G103" s="84">
        <f>D103*'Stock'!O21</f>
        <v/>
      </c>
    </row>
    <row r="104">
      <c r="A104" s="15" t="inlineStr">
        <is>
          <t>Hoggs</t>
        </is>
      </c>
      <c r="B104" s="76" t="n">
        <v>304</v>
      </c>
      <c r="C104" s="76">
        <f>'Stock'!L22</f>
        <v/>
      </c>
      <c r="D104" s="76">
        <f>C104-B104</f>
        <v/>
      </c>
      <c r="F104" s="84">
        <f>'Stock'!L22*'Stock'!O22</f>
        <v/>
      </c>
      <c r="G104" s="84">
        <f>D104*'Stock'!O22</f>
        <v/>
      </c>
    </row>
    <row r="105">
      <c r="A105" s="15" t="inlineStr">
        <is>
          <t>Lambs</t>
        </is>
      </c>
      <c r="B105" s="76" t="n">
        <v>302</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3</v>
      </c>
      <c r="C107" s="76">
        <f>'Stock'!L25</f>
        <v/>
      </c>
      <c r="D107" s="76">
        <f>C107-B107</f>
        <v/>
      </c>
      <c r="F107" s="84">
        <f>'Stock'!L25*'Stock'!O25</f>
        <v/>
      </c>
      <c r="G107" s="84">
        <f>D107*'Stock'!O25</f>
        <v/>
      </c>
    </row>
    <row r="108">
      <c r="A108" s="15" t="inlineStr">
        <is>
          <t>Pigs</t>
        </is>
      </c>
      <c r="B108" s="76" t="n">
        <v>35</v>
      </c>
      <c r="C108" s="76">
        <f>'Stock'!L26</f>
        <v/>
      </c>
      <c r="D108" s="76">
        <f>C108-B108</f>
        <v/>
      </c>
      <c r="F108" s="84">
        <f>'Stock'!L26*'Stock'!O26</f>
        <v/>
      </c>
      <c r="G108" s="84">
        <f>D108*'Stock'!O26</f>
        <v/>
      </c>
    </row>
    <row r="109">
      <c r="A109" s="15" t="inlineStr">
        <is>
          <t>Hoggets</t>
        </is>
      </c>
      <c r="B109" s="76" t="n">
        <v>39</v>
      </c>
      <c r="C109" s="76">
        <f>'Stock'!L27</f>
        <v/>
      </c>
      <c r="D109" s="76">
        <f>C109-B109</f>
        <v/>
      </c>
      <c r="F109" s="84">
        <f>'Stock'!L27*'Stock'!O27</f>
        <v/>
      </c>
      <c r="G109" s="84">
        <f>D109*'Stock'!O27</f>
        <v/>
      </c>
    </row>
    <row r="110">
      <c r="A110" s="15" t="inlineStr">
        <is>
          <t>Piglets</t>
        </is>
      </c>
      <c r="B110" s="76" t="n">
        <v>39</v>
      </c>
      <c r="C110" s="76">
        <f>'Stock'!L28</f>
        <v/>
      </c>
      <c r="D110" s="76">
        <f>C110-B110</f>
        <v/>
      </c>
      <c r="F110" s="84">
        <f>'Stock'!L28*'Stock'!O28</f>
        <v/>
      </c>
      <c r="G110" s="84">
        <f>D110*'Stock'!O28</f>
        <v/>
      </c>
    </row>
    <row r="111">
      <c r="A111" s="15" t="inlineStr">
        <is>
          <t>Swans</t>
        </is>
      </c>
      <c r="B111" s="76" t="n">
        <v>13</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5"/>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DOWNTON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1</v>
      </c>
      <c r="C3" s="128" t="n">
        <v>14</v>
      </c>
      <c r="D3" s="128" t="n">
        <v>10</v>
      </c>
      <c r="E3" s="128" t="n"/>
      <c r="F3" s="128" t="n">
        <v>1.74</v>
      </c>
      <c r="G3" s="128" t="n"/>
      <c r="H3" s="128" t="inlineStr">
        <is>
          <t>Ralph Elyot', reeve there, answers for £1 14 shilling 10pence of arrears from his last account of the preceding year.</t>
        </is>
      </c>
      <c r="I3" s="128" t="n"/>
    </row>
    <row r="4">
      <c r="A4" s="137" t="inlineStr">
        <is>
          <t>Arrears</t>
        </is>
      </c>
      <c r="B4" s="128" t="n">
        <v>1</v>
      </c>
      <c r="C4" s="128" t="n">
        <v>14</v>
      </c>
      <c r="D4" s="128" t="n">
        <v>10</v>
      </c>
      <c r="E4" s="128" t="n"/>
      <c r="F4" s="128" t="n">
        <v>1.74</v>
      </c>
      <c r="G4" s="128" t="n"/>
      <c r="H4" s="128" t="inlineStr">
        <is>
          <t>Total, £1 14 shilling 10pence.</t>
        </is>
      </c>
      <c r="I4" s="128" t="n"/>
    </row>
    <row r="5">
      <c r="A5" s="138" t="inlineStr">
        <is>
          <t>Arrears total</t>
        </is>
      </c>
      <c r="B5" s="139" t="n"/>
      <c r="C5" s="139" t="n"/>
      <c r="D5" s="139" t="n"/>
      <c r="E5" s="139" t="n"/>
      <c r="F5" s="139" t="n">
        <v>1.74</v>
      </c>
      <c r="G5" s="139" t="n">
        <v>0</v>
      </c>
      <c r="H5" s="139" t="inlineStr">
        <is>
          <t>Total</t>
        </is>
      </c>
      <c r="I5" s="139" t="n"/>
    </row>
    <row r="6">
      <c r="A6" s="137" t="n"/>
      <c r="B6" s="128" t="n"/>
      <c r="C6" s="128" t="n"/>
      <c r="D6" s="128" t="n"/>
      <c r="E6" s="128" t="n"/>
      <c r="F6" s="128" t="n"/>
      <c r="G6" s="128" t="n"/>
      <c r="H6" s="128" t="n"/>
      <c r="I6" s="128" t="n"/>
    </row>
    <row r="7">
      <c r="A7" s="136" t="inlineStr">
        <is>
          <t>Rents</t>
        </is>
      </c>
      <c r="B7" s="128" t="n">
        <v>12</v>
      </c>
      <c r="C7" s="128" t="n">
        <v>13</v>
      </c>
      <c r="D7" s="128" t="n">
        <v>10.75</v>
      </c>
      <c r="E7" s="128" t="n"/>
      <c r="F7" s="128" t="n">
        <v>12.69</v>
      </c>
      <c r="G7" s="128" t="n"/>
      <c r="H7" s="128" t="inlineStr">
        <is>
          <t>And for £12 13 shilling 10.75pence for all rents of assize at Christmas.</t>
        </is>
      </c>
      <c r="I7" s="128" t="n"/>
    </row>
    <row r="8">
      <c r="A8" s="137" t="inlineStr">
        <is>
          <t>Rents</t>
        </is>
      </c>
      <c r="B8" s="128" t="n">
        <v>13</v>
      </c>
      <c r="C8" s="128" t="n">
        <v>14</v>
      </c>
      <c r="D8" s="128" t="n">
        <v>11.75</v>
      </c>
      <c r="E8" s="128" t="n"/>
      <c r="F8" s="128" t="n">
        <v>13.75</v>
      </c>
      <c r="G8" s="128" t="n"/>
      <c r="H8" s="128" t="inlineStr">
        <is>
          <t>£13 14 shilling 11.75pence at Easter (23 March).</t>
        </is>
      </c>
      <c r="I8" s="128" t="n"/>
    </row>
    <row r="9">
      <c r="A9" s="137" t="inlineStr">
        <is>
          <t>Rents</t>
        </is>
      </c>
      <c r="B9" s="128" t="n">
        <v>12</v>
      </c>
      <c r="C9" s="128" t="n">
        <v>13</v>
      </c>
      <c r="D9" s="128" t="n">
        <v>10.75</v>
      </c>
      <c r="E9" s="128" t="n"/>
      <c r="F9" s="128" t="n">
        <v>12.69</v>
      </c>
      <c r="G9" s="128" t="n"/>
      <c r="H9" s="128" t="inlineStr">
        <is>
          <t>£12 13 shilling 10.75pence at the Nativity of St John the Baptist (24 June).</t>
        </is>
      </c>
      <c r="I9" s="128" t="n"/>
    </row>
    <row r="10">
      <c r="A10" s="137" t="inlineStr">
        <is>
          <t>Rents</t>
        </is>
      </c>
      <c r="B10" s="128" t="n">
        <v>30</v>
      </c>
      <c r="C10" s="128" t="n">
        <v>14</v>
      </c>
      <c r="D10" s="128" t="n">
        <v>8.25</v>
      </c>
      <c r="E10" s="128" t="n"/>
      <c r="F10" s="128" t="n">
        <v>30.73</v>
      </c>
      <c r="G10" s="128" t="n"/>
      <c r="H10" s="128" t="inlineStr">
        <is>
          <t>£30 14 shilling 8.25pence at Michaelmas (29 September).</t>
        </is>
      </c>
      <c r="I10" s="128" t="n"/>
    </row>
    <row r="11">
      <c r="A11" s="137" t="inlineStr">
        <is>
          <t>Rents</t>
        </is>
      </c>
      <c r="B11" s="128" t="n">
        <v>0</v>
      </c>
      <c r="C11" s="128" t="n">
        <v>10</v>
      </c>
      <c r="D11" s="128" t="n">
        <v>0</v>
      </c>
      <c r="E11" s="128" t="n"/>
      <c r="F11" s="128" t="n">
        <v>0.5</v>
      </c>
      <c r="G11" s="128" t="n"/>
      <c r="H11" s="128" t="inlineStr">
        <is>
          <t>10 shilling for the rent of Thomas Druet and John Chaunter' for land which belonged to John Dyirimyng' at the same term.</t>
        </is>
      </c>
      <c r="I11" s="128" t="n"/>
    </row>
    <row r="12">
      <c r="A12" s="137" t="inlineStr">
        <is>
          <t>Rents</t>
        </is>
      </c>
      <c r="B12" s="128" t="n">
        <v>0</v>
      </c>
      <c r="C12" s="128" t="n">
        <v>7</v>
      </c>
      <c r="D12" s="128" t="n">
        <v>1</v>
      </c>
      <c r="E12" s="128" t="n"/>
      <c r="F12" s="128" t="n">
        <v>0.35</v>
      </c>
      <c r="G12" s="128" t="n"/>
      <c r="H12" s="128" t="inlineStr">
        <is>
          <t>7 shilling 1pence for the increment of rent of John de Bottenham, Nicholas Abbot, John Warennere and John, son of Robert Clerke, for the year.</t>
        </is>
      </c>
      <c r="I12" s="128" t="n"/>
    </row>
    <row r="13">
      <c r="A13" s="137" t="inlineStr">
        <is>
          <t>Rents</t>
        </is>
      </c>
      <c r="B13" s="128" t="n">
        <v>0</v>
      </c>
      <c r="C13" s="128" t="n">
        <v>1</v>
      </c>
      <c r="D13" s="128" t="n">
        <v>0</v>
      </c>
      <c r="E13" s="128" t="n"/>
      <c r="F13" s="128" t="n">
        <v>0.05</v>
      </c>
      <c r="G13" s="128" t="n"/>
      <c r="H13" s="128" t="inlineStr">
        <is>
          <t>1 shilling for the increment of rent of John Hulas for certain land in Britford.</t>
        </is>
      </c>
      <c r="I13" s="128" t="n"/>
    </row>
    <row r="14">
      <c r="A14" s="137" t="inlineStr">
        <is>
          <t>Rents</t>
        </is>
      </c>
      <c r="B14" s="128" t="n">
        <v>0</v>
      </c>
      <c r="C14" s="128" t="n">
        <v>1</v>
      </c>
      <c r="D14" s="128" t="n">
        <v>8</v>
      </c>
      <c r="E14" s="128" t="n"/>
      <c r="F14" s="128" t="n">
        <v>0.08</v>
      </c>
      <c r="G14" s="128" t="n"/>
      <c r="H14" s="128" t="inlineStr">
        <is>
          <t>1 shilling 8pence for the increment of rent of Thomas Vale for 1 messuage and 5 acres of free land which belonged to John Bottenham, the lord's villein, in Bodenham.</t>
        </is>
      </c>
      <c r="I14" s="128" t="n"/>
    </row>
    <row r="15">
      <c r="A15" s="137" t="inlineStr">
        <is>
          <t>Rents</t>
        </is>
      </c>
      <c r="B15" s="128" t="n">
        <v>0</v>
      </c>
      <c r="C15" s="128" t="n">
        <v>0</v>
      </c>
      <c r="D15" s="128" t="n">
        <v>2</v>
      </c>
      <c r="E15" s="128" t="n"/>
      <c r="F15" s="128" t="n">
        <v>0.01</v>
      </c>
      <c r="G15" s="128" t="n"/>
      <c r="H15" s="128" t="inlineStr">
        <is>
          <t>2pence for the increment of rent of John Patyn' for 1 parcel of land of the lord's ground of the moat (de la mote) beside the gate of the curia.</t>
        </is>
      </c>
      <c r="I15" s="128" t="n"/>
    </row>
    <row r="16">
      <c r="A16" s="137" t="inlineStr">
        <is>
          <t>Rents</t>
        </is>
      </c>
      <c r="B16" s="128" t="n">
        <v>70</v>
      </c>
      <c r="C16" s="128" t="n">
        <v>17</v>
      </c>
      <c r="D16" s="128" t="n">
        <v>4.5</v>
      </c>
      <c r="E16" s="128" t="n"/>
      <c r="F16" s="128" t="n">
        <v>70.87</v>
      </c>
      <c r="G16" s="128" t="n"/>
      <c r="H16" s="128" t="inlineStr">
        <is>
          <t>Total, £70 17 shilling 4.5pence.</t>
        </is>
      </c>
      <c r="I16" s="128" t="n"/>
    </row>
    <row r="17">
      <c r="A17" s="138" t="inlineStr">
        <is>
          <t>Rents total</t>
        </is>
      </c>
      <c r="B17" s="139" t="n"/>
      <c r="C17" s="139" t="n"/>
      <c r="D17" s="139" t="n"/>
      <c r="E17" s="139" t="n"/>
      <c r="F17" s="139" t="n">
        <v>70.84999999999999</v>
      </c>
      <c r="G17" s="139" t="n">
        <v>-0.02</v>
      </c>
      <c r="H17" s="139" t="inlineStr">
        <is>
          <t>Total</t>
        </is>
      </c>
      <c r="I17" s="139" t="n"/>
    </row>
    <row r="18">
      <c r="A18" s="137" t="n"/>
      <c r="B18" s="128" t="n"/>
      <c r="C18" s="128" t="n"/>
      <c r="D18" s="128" t="n"/>
      <c r="E18" s="128" t="n"/>
      <c r="F18" s="128" t="n"/>
      <c r="G18" s="128" t="n"/>
      <c r="H18" s="128" t="n"/>
      <c r="I18" s="128" t="n"/>
    </row>
    <row r="19">
      <c r="A19" s="136" t="inlineStr">
        <is>
          <t>Defaults of rent</t>
        </is>
      </c>
      <c r="B19" s="128" t="n">
        <v>0</v>
      </c>
      <c r="C19" s="128" t="n">
        <v>6</v>
      </c>
      <c r="D19" s="128" t="n">
        <v>0</v>
      </c>
      <c r="E19" s="128" t="n"/>
      <c r="F19" s="128" t="n">
        <v>0.3</v>
      </c>
      <c r="G19" s="128" t="n"/>
      <c r="H19" s="128" t="inlineStr">
        <is>
          <t>In default of 2 ferlings of land drawn into demesne in the borough, 6 shilling for the year.</t>
        </is>
      </c>
      <c r="I19" s="128" t="n"/>
    </row>
    <row r="20">
      <c r="A20" s="137" t="inlineStr">
        <is>
          <t>Defaults of rent</t>
        </is>
      </c>
      <c r="B20" s="128" t="n">
        <v>0</v>
      </c>
      <c r="C20" s="128" t="n">
        <v>2</v>
      </c>
      <c r="D20" s="128" t="n">
        <v>0</v>
      </c>
      <c r="E20" s="128" t="n"/>
      <c r="F20" s="128" t="n">
        <v>0.1</v>
      </c>
      <c r="G20" s="128" t="n"/>
      <c r="H20" s="128" t="inlineStr">
        <is>
          <t>3 ferlings of land of Fulk de Walton', 2 shilling for the year.</t>
        </is>
      </c>
      <c r="I20" s="128" t="n"/>
    </row>
    <row r="21">
      <c r="A21" s="137" t="inlineStr">
        <is>
          <t>Defaults of rent</t>
        </is>
      </c>
      <c r="B21" s="128" t="n">
        <v>1</v>
      </c>
      <c r="C21" s="128" t="n">
        <v>7</v>
      </c>
      <c r="D21" s="128" t="n">
        <v>1</v>
      </c>
      <c r="E21" s="128" t="n"/>
      <c r="F21" s="128" t="n">
        <v>1.35</v>
      </c>
      <c r="G21" s="128" t="n"/>
      <c r="H21" s="128" t="inlineStr">
        <is>
          <t>32.5 acres called Cotsellond' through the lord bishop Gervas' £1 7 shilling 1pence, or 10pence an acre, which Simon Stopham held, paying 18 shilling 11.75pence each year to the lord, or 7pence an acre, and included above in the rents.</t>
        </is>
      </c>
      <c r="I21" s="128" t="n"/>
    </row>
    <row r="22">
      <c r="A22" s="137" t="inlineStr">
        <is>
          <t>Defaults of rent</t>
        </is>
      </c>
      <c r="B22" s="128" t="n">
        <v>2</v>
      </c>
      <c r="C22" s="128" t="n">
        <v>10</v>
      </c>
      <c r="D22" s="128" t="n">
        <v>0</v>
      </c>
      <c r="E22" s="128" t="n"/>
      <c r="F22" s="128" t="n">
        <v>2.5</v>
      </c>
      <c r="G22" s="128" t="n"/>
      <c r="H22" s="128" t="inlineStr">
        <is>
          <t>the fulling mill because it was drawn into demesne from a want of tenants and for the building there of 1 corn mill by ordinance of the steward, £2 10 shilling for the year.</t>
        </is>
      </c>
      <c r="I22" s="128" t="n"/>
    </row>
    <row r="23">
      <c r="A23" s="137" t="inlineStr">
        <is>
          <t>Defaults of rent</t>
        </is>
      </c>
      <c r="B23" s="128" t="n">
        <v>0</v>
      </c>
      <c r="C23" s="128" t="n">
        <v>10</v>
      </c>
      <c r="D23" s="128" t="n">
        <v>0</v>
      </c>
      <c r="E23" s="128" t="n"/>
      <c r="F23" s="128" t="n">
        <v>0.5</v>
      </c>
      <c r="G23" s="128" t="n"/>
      <c r="H23" s="128" t="inlineStr">
        <is>
          <t>the land called les Hangr' which formerly belonged to Elias Drapers which Roger Stopham no longer wished to hold, nor is there anything found to distrain, 10 shilling.</t>
        </is>
      </c>
      <c r="I23" s="128" t="n"/>
    </row>
    <row r="24">
      <c r="A24" s="137" t="inlineStr">
        <is>
          <t>Defaults of rent</t>
        </is>
      </c>
      <c r="B24" s="128" t="n">
        <v>0</v>
      </c>
      <c r="C24" s="128" t="n">
        <v>1</v>
      </c>
      <c r="D24" s="128" t="n">
        <v>6</v>
      </c>
      <c r="E24" s="128" t="n"/>
      <c r="F24" s="128" t="n">
        <v>0.08</v>
      </c>
      <c r="G24" s="128" t="n"/>
      <c r="H24" s="128" t="inlineStr">
        <is>
          <t>1 rood of land of the lord's demesne of Bodenham and 1 islet (insul') in the lord's river which belonged to Margery, wife of William Gale, 1 shilling, which Ralph Druet now holds, paying 6pence a year, and included above in the rents.</t>
        </is>
      </c>
      <c r="I24" s="128" t="n"/>
    </row>
    <row r="25">
      <c r="A25" s="137" t="inlineStr">
        <is>
          <t>Defaults of rent</t>
        </is>
      </c>
      <c r="B25" s="128" t="n">
        <v>0</v>
      </c>
      <c r="C25" s="128" t="n">
        <v>2</v>
      </c>
      <c r="D25" s="128" t="n">
        <v>8</v>
      </c>
      <c r="E25" s="128" t="n"/>
      <c r="F25" s="128" t="n">
        <v>0.13</v>
      </c>
      <c r="G25" s="128" t="n"/>
      <c r="H25" s="128" t="inlineStr">
        <is>
          <t>4 acres of bordage land in the tithing of Wick which Robert Tut held, 2 shilling 8pence, which was drawn into the lord's demesne of Westfeld', for this the forty-seventh year.</t>
        </is>
      </c>
      <c r="I25" s="128" t="n"/>
    </row>
    <row r="26">
      <c r="A26" s="137" t="inlineStr">
        <is>
          <t>Defaults of rent</t>
        </is>
      </c>
      <c r="B26" s="128" t="n">
        <v>4</v>
      </c>
      <c r="C26" s="128" t="n">
        <v>18</v>
      </c>
      <c r="D26" s="128" t="n">
        <v>9</v>
      </c>
      <c r="E26" s="128" t="n"/>
      <c r="F26" s="128" t="n">
        <v>4.94</v>
      </c>
      <c r="G26" s="128" t="n"/>
      <c r="H26" s="128" t="inlineStr">
        <is>
          <t>Total, £4 18 shilling 9pence.</t>
        </is>
      </c>
      <c r="I26" s="128" t="n"/>
    </row>
    <row r="27">
      <c r="A27" s="138" t="inlineStr">
        <is>
          <t>Defaults of rent total</t>
        </is>
      </c>
      <c r="B27" s="139" t="n"/>
      <c r="C27" s="139" t="n"/>
      <c r="D27" s="139" t="n"/>
      <c r="E27" s="139" t="n"/>
      <c r="F27" s="139" t="n">
        <v>4.96</v>
      </c>
      <c r="G27" s="139" t="n">
        <v>0.02</v>
      </c>
      <c r="H27" s="139" t="inlineStr">
        <is>
          <t>Total</t>
        </is>
      </c>
      <c r="I27" s="139" t="n"/>
    </row>
    <row r="28">
      <c r="A28" s="137" t="n"/>
      <c r="B28" s="128" t="n"/>
      <c r="C28" s="128" t="n"/>
      <c r="D28" s="128" t="n"/>
      <c r="E28" s="128" t="n"/>
      <c r="F28" s="128" t="n"/>
      <c r="G28" s="128" t="n"/>
      <c r="H28" s="128" t="n"/>
      <c r="I28" s="128" t="n"/>
    </row>
    <row r="29">
      <c r="A29" s="136" t="inlineStr">
        <is>
          <t>Total of quittances and defaults of rent</t>
        </is>
      </c>
      <c r="B29" s="128" t="n">
        <v>28</v>
      </c>
      <c r="C29" s="128" t="n">
        <v>17</v>
      </c>
      <c r="D29" s="128" t="n">
        <v>6</v>
      </c>
      <c r="E29" s="128" t="n"/>
      <c r="F29" s="128" t="n">
        <v>28.88</v>
      </c>
      <c r="G29" s="128" t="n"/>
      <c r="H29" s="128" t="inlineStr">
        <is>
          <t>Total of quittances and defaults of rent, £28 17 shilling 6pence.</t>
        </is>
      </c>
      <c r="I29" s="128" t="n"/>
    </row>
    <row r="30">
      <c r="A30" s="138" t="inlineStr">
        <is>
          <t>Total of quittances and defaults of rent total</t>
        </is>
      </c>
      <c r="B30" s="139" t="n"/>
      <c r="C30" s="139" t="n"/>
      <c r="D30" s="139" t="n"/>
      <c r="E30" s="139" t="n"/>
      <c r="F30" s="139" t="n">
        <v>28.88</v>
      </c>
      <c r="G30" s="139" t="n">
        <v>0</v>
      </c>
      <c r="H30" s="139" t="inlineStr">
        <is>
          <t>Total</t>
        </is>
      </c>
      <c r="I30" s="139" t="n"/>
    </row>
    <row r="31">
      <c r="A31" s="137" t="n"/>
      <c r="B31" s="128" t="n"/>
      <c r="C31" s="128" t="n"/>
      <c r="D31" s="128" t="n"/>
      <c r="E31" s="128" t="n"/>
      <c r="F31" s="128" t="n"/>
      <c r="G31" s="128" t="n"/>
      <c r="H31" s="128" t="n"/>
      <c r="I31" s="128" t="n"/>
    </row>
    <row r="32">
      <c r="A32" s="136" t="inlineStr">
        <is>
          <t>Total of rents remaining clear</t>
        </is>
      </c>
      <c r="B32" s="128" t="n">
        <v>41</v>
      </c>
      <c r="C32" s="128" t="n">
        <v>19</v>
      </c>
      <c r="D32" s="128" t="n">
        <v>10.5</v>
      </c>
      <c r="E32" s="128" t="n"/>
      <c r="F32" s="128" t="n">
        <v>41.99</v>
      </c>
      <c r="G32" s="128" t="n"/>
      <c r="H32" s="128" t="inlineStr">
        <is>
          <t>Total of rents remaining clear, £41 19 shilling 10.5pence.</t>
        </is>
      </c>
      <c r="I32" s="128" t="n"/>
    </row>
    <row r="33">
      <c r="A33" s="138" t="inlineStr">
        <is>
          <t>Total of rents remaining clear total</t>
        </is>
      </c>
      <c r="B33" s="139" t="n"/>
      <c r="C33" s="139" t="n"/>
      <c r="D33" s="139" t="n"/>
      <c r="E33" s="139" t="n"/>
      <c r="F33" s="139" t="n">
        <v>41.99</v>
      </c>
      <c r="G33" s="139" t="n">
        <v>0</v>
      </c>
      <c r="H33" s="139" t="inlineStr">
        <is>
          <t>Total</t>
        </is>
      </c>
      <c r="I33" s="139" t="n"/>
    </row>
    <row r="34">
      <c r="A34" s="137" t="n"/>
      <c r="B34" s="128" t="n"/>
      <c r="C34" s="128" t="n"/>
      <c r="D34" s="128" t="n"/>
      <c r="E34" s="128" t="n"/>
      <c r="F34" s="128" t="n"/>
      <c r="G34" s="128" t="n"/>
      <c r="H34" s="128" t="n"/>
      <c r="I34" s="128" t="n"/>
    </row>
    <row r="35">
      <c r="A35" s="136" t="inlineStr">
        <is>
          <t>Annual recognizance</t>
        </is>
      </c>
      <c r="B35" s="128" t="n">
        <v>0</v>
      </c>
      <c r="C35" s="128" t="n">
        <v>0</v>
      </c>
      <c r="D35" s="128" t="n">
        <v>3</v>
      </c>
      <c r="E35" s="128" t="n"/>
      <c r="F35" s="128" t="n">
        <v>0.01</v>
      </c>
      <c r="G35" s="128" t="n"/>
      <c r="H35" s="128" t="inlineStr">
        <is>
          <t>And for 3pence for the annual recognizance of John, son of John Shephurd', so that he may dwell outside the lord's liberty as long as it pleases the lord and come to the two tourns for the year and remain the lord's villein as before.</t>
        </is>
      </c>
      <c r="I35" s="128" t="n"/>
    </row>
    <row r="36">
      <c r="A36" s="137" t="inlineStr">
        <is>
          <t>Annual recognizance</t>
        </is>
      </c>
      <c r="B36" s="128" t="n">
        <v>0</v>
      </c>
      <c r="C36" s="128" t="n">
        <v>0</v>
      </c>
      <c r="D36" s="128" t="n">
        <v>2</v>
      </c>
      <c r="E36" s="128" t="n"/>
      <c r="F36" s="128" t="n">
        <v>0.01</v>
      </c>
      <c r="G36" s="128" t="n"/>
      <c r="H36" s="128"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I36" s="128" t="n"/>
    </row>
    <row r="37">
      <c r="A37" s="137" t="inlineStr">
        <is>
          <t>Annual recognizance</t>
        </is>
      </c>
      <c r="B37" s="128" t="n">
        <v>0</v>
      </c>
      <c r="C37" s="128" t="n">
        <v>0</v>
      </c>
      <c r="D37" s="128" t="n">
        <v>0</v>
      </c>
      <c r="E37" s="128" t="n"/>
      <c r="F37" s="128" t="n">
        <v>0</v>
      </c>
      <c r="G37" s="128" t="n"/>
      <c r="H37" s="128" t="inlineStr">
        <is>
          <t>court, saving that all his family (sequel') will remain the lord's villeins as before.</t>
        </is>
      </c>
      <c r="I37" s="128" t="n"/>
    </row>
    <row r="38">
      <c r="A38" s="137" t="inlineStr">
        <is>
          <t>Annual recognizance</t>
        </is>
      </c>
      <c r="B38" s="128" t="n">
        <v>0</v>
      </c>
      <c r="C38" s="128" t="n">
        <v>2</v>
      </c>
      <c r="D38" s="128" t="n">
        <v>0</v>
      </c>
      <c r="E38" s="128" t="n"/>
      <c r="F38" s="128" t="n">
        <v>0.1</v>
      </c>
      <c r="G38" s="128" t="n"/>
      <c r="H38" s="128" t="inlineStr">
        <is>
          <t>2 shilling from Walter Busshop so that he may dwell outside the lord's liberty as long as it pleases the lord and come to the tourn of Hockday for the year and remain the lord's villein as before.</t>
        </is>
      </c>
      <c r="I38" s="128" t="n"/>
    </row>
    <row r="39">
      <c r="A39" s="137" t="inlineStr">
        <is>
          <t>Annual recognizance</t>
        </is>
      </c>
      <c r="B39" s="128" t="n">
        <v>0</v>
      </c>
      <c r="C39" s="128" t="n">
        <v>3</v>
      </c>
      <c r="D39" s="128" t="n">
        <v>4</v>
      </c>
      <c r="E39" s="128" t="n"/>
      <c r="F39" s="128" t="n">
        <v>0.17</v>
      </c>
      <c r="G39" s="128" t="n"/>
      <c r="H39" s="128" t="inlineStr">
        <is>
          <t>nothing of the 3 shilling 4pence for the annual recognizance of John Kykayne because he is dead, as made clear in the court rolls this year.</t>
        </is>
      </c>
      <c r="I39" s="128" t="n"/>
    </row>
    <row r="40">
      <c r="A40" s="137" t="inlineStr">
        <is>
          <t>Annual recognizance</t>
        </is>
      </c>
      <c r="B40" s="128" t="n">
        <v>0</v>
      </c>
      <c r="C40" s="128" t="n">
        <v>2</v>
      </c>
      <c r="D40" s="128" t="n">
        <v>5</v>
      </c>
      <c r="E40" s="128" t="n"/>
      <c r="F40" s="128" t="n">
        <v>0.12</v>
      </c>
      <c r="G40" s="128" t="n"/>
      <c r="H40" s="128" t="inlineStr">
        <is>
          <t>Total, 2 shilling 5pence.</t>
        </is>
      </c>
      <c r="I40" s="128" t="n"/>
    </row>
    <row r="41">
      <c r="A41" s="138" t="inlineStr">
        <is>
          <t>Annual recognizance total</t>
        </is>
      </c>
      <c r="B41" s="139" t="n"/>
      <c r="C41" s="139" t="n"/>
      <c r="D41" s="139" t="n"/>
      <c r="E41" s="139" t="n"/>
      <c r="F41" s="139" t="n">
        <v>0.29</v>
      </c>
      <c r="G41" s="139" t="n">
        <v>0.17</v>
      </c>
      <c r="H41" s="139" t="inlineStr">
        <is>
          <t>Total</t>
        </is>
      </c>
      <c r="I41" s="139" t="n"/>
    </row>
    <row r="42">
      <c r="A42" s="137" t="n"/>
      <c r="B42" s="128" t="n"/>
      <c r="C42" s="128" t="n"/>
      <c r="D42" s="128" t="n"/>
      <c r="E42" s="128" t="n"/>
      <c r="F42" s="128" t="n"/>
      <c r="G42" s="128" t="n"/>
      <c r="H42" s="128" t="n"/>
      <c r="I42" s="128" t="n"/>
    </row>
    <row r="43">
      <c r="A43" s="136" t="inlineStr">
        <is>
          <t>Issues of the manor</t>
        </is>
      </c>
      <c r="B43" s="128" t="n">
        <v>0</v>
      </c>
      <c r="C43" s="128" t="n">
        <v>10</v>
      </c>
      <c r="D43" s="128" t="n">
        <v>0.5</v>
      </c>
      <c r="E43" s="128" t="n"/>
      <c r="F43" s="128" t="n">
        <v>0.5</v>
      </c>
      <c r="G43" s="128" t="n"/>
      <c r="H43" s="128" t="inlineStr">
        <is>
          <t>And for 10 shilling 0.5pence from the pannage of pigs at Martinmas.</t>
        </is>
      </c>
      <c r="I43" s="128" t="n"/>
    </row>
    <row r="44">
      <c r="A44" s="137" t="inlineStr">
        <is>
          <t>Issues of the manor</t>
        </is>
      </c>
      <c r="B44" s="128" t="n">
        <v>0</v>
      </c>
      <c r="C44" s="128" t="n">
        <v>0</v>
      </c>
      <c r="D44" s="128" t="n">
        <v>0</v>
      </c>
      <c r="E44" s="128" t="n"/>
      <c r="F44" s="128" t="n">
        <v>0</v>
      </c>
      <c r="G44" s="128" t="n"/>
      <c r="H44" s="128" t="inlineStr">
        <is>
          <t>nothing from the pannage of foreign pigs this year.</t>
        </is>
      </c>
      <c r="I44" s="128" t="n"/>
    </row>
    <row r="45">
      <c r="A45" s="137" t="inlineStr">
        <is>
          <t>Issues of the manor</t>
        </is>
      </c>
      <c r="B45" s="128" t="n">
        <v>0</v>
      </c>
      <c r="C45" s="128" t="n">
        <v>3</v>
      </c>
      <c r="D45" s="128" t="n">
        <v>4</v>
      </c>
      <c r="E45" s="128" t="n"/>
      <c r="F45" s="128" t="n">
        <v>0.17</v>
      </c>
      <c r="G45" s="128" t="n"/>
      <c r="H45" s="128" t="inlineStr">
        <is>
          <t>3 shilling 4pence from the herbage (herbag') of 2 cattle and 160 sheep of the men of Nunton at Hockday, at 4pence for fully-grown cattle, 2pence for a bullock, and 1pence per 5 sheep.</t>
        </is>
      </c>
      <c r="I45" s="128" t="n"/>
    </row>
    <row r="46">
      <c r="A46" s="137" t="inlineStr">
        <is>
          <t>Issues of the manor</t>
        </is>
      </c>
      <c r="B46" s="128" t="n">
        <v>0</v>
      </c>
      <c r="C46" s="128" t="n">
        <v>2</v>
      </c>
      <c r="D46" s="128" t="n">
        <v>0</v>
      </c>
      <c r="E46" s="128" t="n"/>
      <c r="F46" s="128" t="n">
        <v>0.1</v>
      </c>
      <c r="G46" s="128" t="n"/>
      <c r="H46" s="128" t="inlineStr">
        <is>
          <t>2 shilling from the herbage of 2 cattle and 80 sheep of the men of Witherington in a similar way.</t>
        </is>
      </c>
      <c r="I46" s="128" t="n"/>
    </row>
    <row r="47">
      <c r="A47" s="137" t="inlineStr">
        <is>
          <t>Issues of the manor</t>
        </is>
      </c>
      <c r="B47" s="128" t="n">
        <v>0</v>
      </c>
      <c r="C47" s="128" t="n">
        <v>0</v>
      </c>
      <c r="D47" s="128" t="n">
        <v>0</v>
      </c>
      <c r="E47" s="128" t="n"/>
      <c r="F47" s="128" t="n">
        <v>0</v>
      </c>
      <c r="G47" s="128" t="n"/>
      <c r="H47" s="128" t="inlineStr">
        <is>
          <t>nothing from herbage in Wick and Walton this year because they have no cattle to pay for (avesagium) and they give nothing for sheep in cash because they give sheep as made clear elsewhere.</t>
        </is>
      </c>
      <c r="I47" s="128" t="n"/>
    </row>
    <row r="48">
      <c r="A48" s="137" t="inlineStr">
        <is>
          <t>Issues of the manor</t>
        </is>
      </c>
      <c r="B48" s="128" t="n">
        <v>8</v>
      </c>
      <c r="C48" s="128" t="n">
        <v>3</v>
      </c>
      <c r="D48" s="128" t="n">
        <v>8</v>
      </c>
      <c r="E48" s="128" t="n"/>
      <c r="F48" s="128" t="n">
        <v>8.18</v>
      </c>
      <c r="G48" s="128" t="n"/>
      <c r="H48" s="128" t="inlineStr">
        <is>
          <t>£8 3 shilling 8pence from new hay sold this year.</t>
        </is>
      </c>
      <c r="I48" s="128" t="n"/>
    </row>
    <row r="49">
      <c r="A49" s="137" t="inlineStr">
        <is>
          <t>Issues of the manor</t>
        </is>
      </c>
      <c r="B49" s="128" t="n">
        <v>0</v>
      </c>
      <c r="C49" s="128" t="n">
        <v>0</v>
      </c>
      <c r="D49" s="128" t="n">
        <v>0</v>
      </c>
      <c r="E49" s="128" t="n"/>
      <c r="F49" s="128" t="n">
        <v>0</v>
      </c>
      <c r="G49" s="128" t="n"/>
      <c r="H49" s="128" t="inlineStr">
        <is>
          <t>nothing from old hay sold this year.</t>
        </is>
      </c>
      <c r="I49" s="128" t="n"/>
    </row>
    <row r="50">
      <c r="A50" s="137" t="inlineStr">
        <is>
          <t>Issues of the manor</t>
        </is>
      </c>
      <c r="B50" s="128" t="n">
        <v>0</v>
      </c>
      <c r="C50" s="128" t="n">
        <v>0</v>
      </c>
      <c r="D50" s="128" t="n">
        <v>0</v>
      </c>
      <c r="E50" s="128" t="n"/>
      <c r="F50" s="128" t="n">
        <v>0</v>
      </c>
      <c r="G50" s="128" t="n"/>
      <c r="H50" s="128" t="inlineStr">
        <is>
          <t>nothing from the sale of underwood in Privett this year.</t>
        </is>
      </c>
      <c r="I50" s="128" t="n"/>
    </row>
    <row r="51">
      <c r="A51" s="137" t="inlineStr">
        <is>
          <t>Issues of the manor</t>
        </is>
      </c>
      <c r="B51" s="128" t="n">
        <v>0</v>
      </c>
      <c r="C51" s="128" t="n">
        <v>0</v>
      </c>
      <c r="D51" s="128" t="n">
        <v>0</v>
      </c>
      <c r="E51" s="128" t="n"/>
      <c r="F51" s="128" t="n">
        <v>0</v>
      </c>
      <c r="G51" s="128" t="n"/>
      <c r="H51" s="128" t="inlineStr">
        <is>
          <t>nothing from the sale of scrags there this year.</t>
        </is>
      </c>
      <c r="I51" s="128" t="n"/>
    </row>
    <row r="52">
      <c r="A52" s="137" t="inlineStr">
        <is>
          <t>Issues of the manor</t>
        </is>
      </c>
      <c r="B52" s="128" t="n">
        <v>0</v>
      </c>
      <c r="C52" s="128" t="n">
        <v>0</v>
      </c>
      <c r="D52" s="128" t="n">
        <v>0</v>
      </c>
      <c r="E52" s="128" t="n"/>
      <c r="F52" s="128" t="n">
        <v>0</v>
      </c>
      <c r="G52" s="128" t="n"/>
      <c r="H52" s="128" t="inlineStr">
        <is>
          <t>nothing from the sale of (old) hedges there this year.</t>
        </is>
      </c>
      <c r="I52" s="128" t="n"/>
    </row>
    <row r="53">
      <c r="A53" s="137" t="inlineStr">
        <is>
          <t>Issues of the manor</t>
        </is>
      </c>
      <c r="B53" s="128" t="n">
        <v>0</v>
      </c>
      <c r="C53" s="128" t="n">
        <v>0</v>
      </c>
      <c r="D53" s="128" t="n">
        <v>0</v>
      </c>
      <c r="E53" s="128" t="n"/>
      <c r="F53" s="128" t="n">
        <v>0</v>
      </c>
      <c r="G53" s="128" t="n"/>
      <c r="H53" s="128" t="inlineStr">
        <is>
          <t>nothing from thorns in the moat this year.</t>
        </is>
      </c>
      <c r="I53" s="128" t="n"/>
    </row>
    <row r="54">
      <c r="A54" s="137" t="inlineStr">
        <is>
          <t>Issues of the manor</t>
        </is>
      </c>
      <c r="B54" s="128" t="n">
        <v>4</v>
      </c>
      <c r="C54" s="128" t="n">
        <v>4</v>
      </c>
      <c r="D54" s="128" t="n">
        <v>10</v>
      </c>
      <c r="E54" s="128" t="n"/>
      <c r="F54" s="128" t="n">
        <v>4.24</v>
      </c>
      <c r="G54" s="128" t="n"/>
      <c r="H54" s="128" t="inlineStr">
        <is>
          <t>£4 4 shilling 10pence from uriderwood sold in Ferthyngle this year.</t>
        </is>
      </c>
      <c r="I54" s="128" t="n"/>
    </row>
    <row r="55">
      <c r="A55" s="137" t="inlineStr">
        <is>
          <t>Issues of the manor</t>
        </is>
      </c>
      <c r="B55" s="128" t="n">
        <v>0</v>
      </c>
      <c r="C55" s="128" t="n">
        <v>0</v>
      </c>
      <c r="D55" s="128" t="n">
        <v>0</v>
      </c>
      <c r="E55" s="128" t="n"/>
      <c r="F55" s="128" t="n">
        <v>0</v>
      </c>
      <c r="G55" s="128" t="n"/>
      <c r="H55" s="128" t="inlineStr">
        <is>
          <t>nothing from the sale of scrags there this year.</t>
        </is>
      </c>
      <c r="I55" s="128" t="n"/>
    </row>
    <row r="56">
      <c r="A56" s="137" t="inlineStr">
        <is>
          <t>Issues of the manor</t>
        </is>
      </c>
      <c r="B56" s="128" t="n">
        <v>0</v>
      </c>
      <c r="C56" s="128" t="n">
        <v>0</v>
      </c>
      <c r="D56" s="128" t="n">
        <v>0</v>
      </c>
      <c r="E56" s="128" t="n"/>
      <c r="F56" s="128" t="n">
        <v>0</v>
      </c>
      <c r="G56" s="128" t="n"/>
      <c r="H56" s="128" t="inlineStr">
        <is>
          <t>nothing from the sale of underwood in Thornedon' this year.</t>
        </is>
      </c>
      <c r="I56" s="128" t="n"/>
    </row>
    <row r="57">
      <c r="A57" s="137" t="inlineStr">
        <is>
          <t>Issues of the manor</t>
        </is>
      </c>
      <c r="B57" s="128" t="n">
        <v>3</v>
      </c>
      <c r="C57" s="128" t="n">
        <v>1</v>
      </c>
      <c r="D57" s="128" t="n">
        <v>8</v>
      </c>
      <c r="E57" s="128" t="n"/>
      <c r="F57" s="128" t="n">
        <v>3.08</v>
      </c>
      <c r="G57" s="128" t="n"/>
      <c r="H57" s="128" t="inlineStr">
        <is>
          <t>£3 1 shilling 8pence3 from scrags sold there this year.</t>
        </is>
      </c>
      <c r="I57" s="128" t="n"/>
    </row>
    <row r="58">
      <c r="A58" s="137" t="inlineStr">
        <is>
          <t>Issues of the manor</t>
        </is>
      </c>
      <c r="B58" s="128" t="n">
        <v>0</v>
      </c>
      <c r="C58" s="128" t="n">
        <v>0</v>
      </c>
      <c r="D58" s="128" t="n">
        <v>0</v>
      </c>
      <c r="E58" s="128" t="n"/>
      <c r="F58" s="128" t="n">
        <v>0</v>
      </c>
      <c r="G58" s="128" t="n"/>
      <c r="H58" s="128" t="inlineStr">
        <is>
          <t>nothing from loppings in Burghynmor' this year.</t>
        </is>
      </c>
      <c r="I58" s="128" t="n"/>
    </row>
    <row r="59">
      <c r="A59" s="137" t="inlineStr">
        <is>
          <t>Issues of the manor</t>
        </is>
      </c>
      <c r="B59" s="128" t="n">
        <v>0</v>
      </c>
      <c r="C59" s="128" t="n">
        <v>1</v>
      </c>
      <c r="D59" s="128" t="n">
        <v>0</v>
      </c>
      <c r="E59" s="128" t="n"/>
      <c r="F59" s="128" t="n">
        <v>0.05</v>
      </c>
      <c r="G59" s="128" t="n"/>
      <c r="H59" s="128" t="inlineStr">
        <is>
          <t>1 shilling from loppings sold in Loosehanger this year.</t>
        </is>
      </c>
      <c r="I59" s="128" t="n"/>
    </row>
    <row r="60">
      <c r="A60" s="137" t="inlineStr">
        <is>
          <t>Issues of the manor</t>
        </is>
      </c>
      <c r="B60" s="128" t="n">
        <v>0</v>
      </c>
      <c r="C60" s="128" t="n">
        <v>0</v>
      </c>
      <c r="D60" s="128" t="n">
        <v>0</v>
      </c>
      <c r="E60" s="128" t="n"/>
      <c r="F60" s="128" t="n">
        <v>0</v>
      </c>
      <c r="G60" s="128" t="n"/>
      <c r="H60" s="128" t="inlineStr">
        <is>
          <t>nothing from the sale of thorns and scrags there this year.</t>
        </is>
      </c>
      <c r="I60" s="128" t="n"/>
    </row>
    <row r="61">
      <c r="A61" s="137" t="inlineStr">
        <is>
          <t>Issues of the manor</t>
        </is>
      </c>
      <c r="B61" s="128" t="n">
        <v>0</v>
      </c>
      <c r="C61" s="128" t="n">
        <v>1</v>
      </c>
      <c r="D61" s="128" t="n">
        <v>0</v>
      </c>
      <c r="E61" s="128" t="n"/>
      <c r="F61" s="128" t="n">
        <v>0.05</v>
      </c>
      <c r="G61" s="128" t="n"/>
      <c r="H61" s="128" t="inlineStr">
        <is>
          <t>1 shilling from loppings sold in Brembilwode this year.</t>
        </is>
      </c>
      <c r="I61" s="128" t="n"/>
    </row>
    <row r="62">
      <c r="A62" s="137" t="inlineStr">
        <is>
          <t>Issues of the manor</t>
        </is>
      </c>
      <c r="B62" s="128" t="n">
        <v>0</v>
      </c>
      <c r="C62" s="128" t="n">
        <v>0</v>
      </c>
      <c r="D62" s="128" t="n">
        <v>0</v>
      </c>
      <c r="E62" s="128" t="n"/>
      <c r="F62" s="128" t="n">
        <v>0</v>
      </c>
      <c r="G62" s="128" t="n"/>
      <c r="H62" s="128" t="inlineStr">
        <is>
          <t>nothing from the sale of marl this year.</t>
        </is>
      </c>
      <c r="I62" s="128" t="n"/>
    </row>
    <row r="63">
      <c r="A63" s="137" t="inlineStr">
        <is>
          <t>Issues of the manor</t>
        </is>
      </c>
      <c r="B63" s="128" t="n">
        <v>0</v>
      </c>
      <c r="C63" s="128" t="n">
        <v>0</v>
      </c>
      <c r="D63" s="128" t="n">
        <v>0</v>
      </c>
      <c r="E63" s="128" t="n"/>
      <c r="F63" s="128" t="n">
        <v>0</v>
      </c>
      <c r="G63" s="128" t="n"/>
      <c r="H63" s="128" t="inlineStr">
        <is>
          <t>nothing from the turbary sold this year from a want of buyers.</t>
        </is>
      </c>
      <c r="I63" s="128" t="n"/>
    </row>
    <row r="64">
      <c r="A64" s="137" t="inlineStr">
        <is>
          <t>Issues of the manor</t>
        </is>
      </c>
      <c r="B64" s="128" t="n">
        <v>0</v>
      </c>
      <c r="C64" s="128" t="n">
        <v>5</v>
      </c>
      <c r="D64" s="128" t="n">
        <v>6</v>
      </c>
      <c r="E64" s="128" t="n"/>
      <c r="F64" s="128" t="n">
        <v>0.28</v>
      </c>
      <c r="G64" s="128" t="n"/>
      <c r="H64" s="128" t="inlineStr">
        <is>
          <t>5 shilling 6pence from the heath 4 shilling from Peter's pence.</t>
        </is>
      </c>
      <c r="I64" s="128" t="n"/>
    </row>
    <row r="65">
      <c r="A65" s="137" t="inlineStr">
        <is>
          <t>Issues of the manor</t>
        </is>
      </c>
      <c r="B65" s="128" t="n">
        <v>0</v>
      </c>
      <c r="C65" s="128" t="n">
        <v>0</v>
      </c>
      <c r="D65" s="128" t="n">
        <v>10</v>
      </c>
      <c r="E65" s="128" t="n"/>
      <c r="F65" s="128" t="n">
        <v>0.04</v>
      </c>
      <c r="G65" s="128" t="n"/>
      <c r="H65" s="128" t="inlineStr">
        <is>
          <t>10pence from the churchscot of Barford and not more because the tenement which used to pay 3pence remains in the lord's hands.</t>
        </is>
      </c>
      <c r="I65" s="128" t="n"/>
    </row>
    <row r="66">
      <c r="A66" s="137" t="inlineStr">
        <is>
          <t>Issues of the manor</t>
        </is>
      </c>
      <c r="B66" s="128" t="n">
        <v>0</v>
      </c>
      <c r="C66" s="128" t="n">
        <v>0</v>
      </c>
      <c r="D66" s="128" t="n">
        <v>9</v>
      </c>
      <c r="E66" s="128" t="n"/>
      <c r="F66" s="128" t="n">
        <v>0.04</v>
      </c>
      <c r="G66" s="128" t="n"/>
      <c r="H66" s="128" t="inlineStr">
        <is>
          <t>9pence from 61b of wool locks sold.</t>
        </is>
      </c>
      <c r="I66" s="128" t="n"/>
    </row>
    <row r="67">
      <c r="A67" s="137" t="inlineStr">
        <is>
          <t>Issues of the manor</t>
        </is>
      </c>
      <c r="B67" s="128" t="n">
        <v>0</v>
      </c>
      <c r="C67" s="128" t="n">
        <v>5</v>
      </c>
      <c r="D67" s="128" t="n">
        <v>0</v>
      </c>
      <c r="E67" s="128" t="n"/>
      <c r="F67" s="128" t="n">
        <v>0.25</v>
      </c>
      <c r="G67" s="128" t="n"/>
      <c r="H67" s="128" t="inlineStr">
        <is>
          <t>5 shilling from the milking of 5 cows and not more because the reeve is charged below for pasture as made clear in the sale of cow pasture.</t>
        </is>
      </c>
      <c r="I67" s="128" t="n"/>
    </row>
    <row r="68">
      <c r="A68" s="137" t="inlineStr">
        <is>
          <t>Issues of the manor</t>
        </is>
      </c>
      <c r="B68" s="128" t="n">
        <v>0</v>
      </c>
      <c r="C68" s="128" t="n">
        <v>0</v>
      </c>
      <c r="D68" s="128" t="n">
        <v>0</v>
      </c>
      <c r="E68" s="128" t="n"/>
      <c r="F68" s="128" t="n">
        <v>0</v>
      </c>
      <c r="G68" s="128" t="n"/>
      <c r="H68" s="128" t="inlineStr">
        <is>
          <t>nothing from the milking of ewes this year because they were not in milk.</t>
        </is>
      </c>
      <c r="I68" s="128" t="n"/>
    </row>
    <row r="69">
      <c r="A69" s="137" t="inlineStr">
        <is>
          <t>Issues of the manor</t>
        </is>
      </c>
      <c r="B69" s="128" t="n">
        <v>0</v>
      </c>
      <c r="C69" s="128" t="n">
        <v>1</v>
      </c>
      <c r="D69" s="128" t="n">
        <v>4</v>
      </c>
      <c r="E69" s="128" t="n"/>
      <c r="F69" s="128" t="n">
        <v>0.07000000000000001</v>
      </c>
      <c r="G69" s="128" t="n"/>
      <c r="H69" s="128" t="inlineStr">
        <is>
          <t>1 shilling 4pence from the hide sold of I ox in murrain.</t>
        </is>
      </c>
      <c r="I69" s="128" t="n"/>
    </row>
    <row r="70">
      <c r="A70" s="137" t="inlineStr">
        <is>
          <t>Issues of the manor</t>
        </is>
      </c>
      <c r="B70" s="128" t="n">
        <v>0</v>
      </c>
      <c r="C70" s="128" t="n">
        <v>16</v>
      </c>
      <c r="D70" s="128" t="n">
        <v>1.5</v>
      </c>
      <c r="E70" s="128" t="n"/>
      <c r="F70" s="128" t="n">
        <v>0.8100000000000001</v>
      </c>
      <c r="G70" s="128" t="n"/>
      <c r="H70" s="128" t="inlineStr">
        <is>
          <t>16 shilling 1.5pence from the woolskins sold of 27 wethers, 3 rams, 33 ewes and hoggs in murrain before shearing, at 3pence a skin of wethers, 2pence of rams and ewes, and 1.5pence of hoggs.</t>
        </is>
      </c>
      <c r="I70" s="128" t="n"/>
    </row>
    <row r="71">
      <c r="A71" s="137" t="inlineStr">
        <is>
          <t>Issues of the manor</t>
        </is>
      </c>
      <c r="B71" s="128" t="n">
        <v>0</v>
      </c>
      <c r="C71" s="128" t="n">
        <v>2</v>
      </c>
      <c r="D71" s="128" t="n">
        <v>7</v>
      </c>
      <c r="E71" s="128" t="n"/>
      <c r="F71" s="128" t="n">
        <v>0.13</v>
      </c>
      <c r="G71" s="128" t="n"/>
      <c r="H71" s="128" t="inlineStr">
        <is>
          <t>2 shilling 7pence from the bare skins sold of 19 wethers and 12 ewes in murrain after shearing.</t>
        </is>
      </c>
      <c r="I71" s="128" t="n"/>
    </row>
    <row r="72">
      <c r="A72" s="137" t="inlineStr">
        <is>
          <t>Issues of the manor</t>
        </is>
      </c>
      <c r="B72" s="128" t="n">
        <v>0</v>
      </c>
      <c r="C72" s="128" t="n">
        <v>2</v>
      </c>
      <c r="D72" s="128" t="n">
        <v>4</v>
      </c>
      <c r="E72" s="128" t="n"/>
      <c r="F72" s="128" t="n">
        <v>0.12</v>
      </c>
      <c r="G72" s="128" t="n"/>
      <c r="H72" s="128" t="inlineStr">
        <is>
          <t>2 shilling 4pence from the skins sold of 56 lambs in murrain before weaning, at .5pence a skin.</t>
        </is>
      </c>
      <c r="I72" s="128" t="n"/>
    </row>
    <row r="73">
      <c r="A73" s="137" t="inlineStr">
        <is>
          <t>Issues of the manor</t>
        </is>
      </c>
      <c r="B73" s="128" t="n">
        <v>0</v>
      </c>
      <c r="C73" s="128" t="n">
        <v>0</v>
      </c>
      <c r="D73" s="128" t="n">
        <v>3</v>
      </c>
      <c r="E73" s="128" t="n"/>
      <c r="F73" s="128" t="n">
        <v>0.01</v>
      </c>
      <c r="G73" s="128" t="n"/>
      <c r="H73" s="128" t="inlineStr">
        <is>
          <t>3pence from the rotted skins sold of 7 lambs in murrain after weaning and before shearing.</t>
        </is>
      </c>
      <c r="I73" s="128" t="n"/>
    </row>
    <row r="74">
      <c r="A74" s="137" t="inlineStr">
        <is>
          <t>Issues of the manor</t>
        </is>
      </c>
      <c r="B74" s="128" t="n">
        <v>0</v>
      </c>
      <c r="C74" s="128" t="n">
        <v>0</v>
      </c>
      <c r="D74" s="128" t="n">
        <v>4</v>
      </c>
      <c r="E74" s="128" t="n"/>
      <c r="F74" s="128" t="n">
        <v>0.02</v>
      </c>
      <c r="G74" s="128" t="n"/>
      <c r="H74" s="128" t="inlineStr">
        <is>
          <t>4pence from the shorn skins sold of 12 lambs in murrain after shearing.</t>
        </is>
      </c>
      <c r="I74" s="128" t="n"/>
    </row>
    <row r="75">
      <c r="A75" s="137" t="inlineStr">
        <is>
          <t>Issues of the manor</t>
        </is>
      </c>
      <c r="B75" s="128" t="n">
        <v>1</v>
      </c>
      <c r="C75" s="128" t="n">
        <v>2</v>
      </c>
      <c r="D75" s="128" t="n">
        <v>0</v>
      </c>
      <c r="E75" s="128" t="n"/>
      <c r="F75" s="128" t="n">
        <v>1.1</v>
      </c>
      <c r="G75" s="128" t="n"/>
      <c r="H75" s="128" t="inlineStr">
        <is>
          <t>£1 2 shilling from 132 cocks and hens from the churchscot of the customary tenants sold, at 2pence each.</t>
        </is>
      </c>
      <c r="I75" s="128" t="n"/>
    </row>
    <row r="76">
      <c r="A76" s="137" t="inlineStr">
        <is>
          <t>Issues of the manor</t>
        </is>
      </c>
      <c r="B76" s="128" t="n">
        <v>0</v>
      </c>
      <c r="C76" s="128" t="n">
        <v>0</v>
      </c>
      <c r="D76" s="128" t="n">
        <v>0</v>
      </c>
      <c r="E76" s="128" t="n"/>
      <c r="F76" s="128" t="n">
        <v>0</v>
      </c>
      <c r="G76" s="128" t="n"/>
      <c r="H76" s="128" t="inlineStr">
        <is>
          <t>nothing from thorns in the garden this year.</t>
        </is>
      </c>
      <c r="I76" s="128" t="n"/>
    </row>
    <row r="77">
      <c r="A77" s="137" t="inlineStr">
        <is>
          <t>Issues of the manor</t>
        </is>
      </c>
      <c r="B77" s="128" t="n">
        <v>0</v>
      </c>
      <c r="C77" s="128" t="n">
        <v>0</v>
      </c>
      <c r="D77" s="128" t="n">
        <v>0</v>
      </c>
      <c r="E77" s="128" t="n"/>
      <c r="F77" s="128" t="n">
        <v>0</v>
      </c>
      <c r="G77" s="128" t="n"/>
      <c r="H77" s="128" t="inlineStr">
        <is>
          <t>nothing from winter ploughing or from the labour services for mowing and making hay or from harvest labour services here because below in the sale of labour services.</t>
        </is>
      </c>
      <c r="I77" s="128" t="n"/>
    </row>
    <row r="78">
      <c r="A78" s="137" t="inlineStr">
        <is>
          <t>Issues of the manor</t>
        </is>
      </c>
      <c r="B78" s="128" t="n">
        <v>0</v>
      </c>
      <c r="C78" s="128" t="n">
        <v>0</v>
      </c>
      <c r="D78" s="128" t="n">
        <v>0</v>
      </c>
      <c r="E78" s="128" t="n"/>
      <c r="F78" s="128" t="n">
        <v>0</v>
      </c>
      <c r="G78" s="128" t="n"/>
      <c r="H78" s="128" t="inlineStr">
        <is>
          <t>£ 1 from the whole homage for refusals to stack.</t>
        </is>
      </c>
      <c r="I78" s="128" t="n"/>
    </row>
    <row r="79">
      <c r="A79" s="137" t="inlineStr">
        <is>
          <t>Issues of the manor</t>
        </is>
      </c>
      <c r="B79" s="128" t="n">
        <v>0</v>
      </c>
      <c r="C79" s="128" t="n">
        <v>6</v>
      </c>
      <c r="D79" s="128" t="n">
        <v>8</v>
      </c>
      <c r="E79" s="128" t="n"/>
      <c r="F79" s="128" t="n">
        <v>0.33</v>
      </c>
      <c r="G79" s="128" t="n"/>
      <c r="H79" s="128" t="inlineStr">
        <is>
          <t>6 shilling 8pence from Thomas Gore-so that he may fish in the lord's water for the year.</t>
        </is>
      </c>
      <c r="I79" s="128" t="n"/>
    </row>
    <row r="80">
      <c r="A80" s="137" t="inlineStr">
        <is>
          <t>Issues of the manor</t>
        </is>
      </c>
      <c r="B80" s="128" t="n">
        <v>0</v>
      </c>
      <c r="C80" s="128" t="n">
        <v>3</v>
      </c>
      <c r="D80" s="128" t="n">
        <v>4</v>
      </c>
      <c r="E80" s="128" t="n"/>
      <c r="F80" s="128" t="n">
        <v>0.17</v>
      </c>
      <c r="G80" s="128" t="n"/>
      <c r="H80" s="128" t="inlineStr">
        <is>
          <t>3 shilling 4pence from William Swefyng' so that he may fish in the lord's water with 1 net (shovenet).</t>
        </is>
      </c>
      <c r="I80" s="128" t="n"/>
    </row>
    <row r="81">
      <c r="A81" s="137" t="inlineStr">
        <is>
          <t>Issues of the manor</t>
        </is>
      </c>
      <c r="B81" s="128" t="n">
        <v>0</v>
      </c>
      <c r="C81" s="128" t="n">
        <v>5</v>
      </c>
      <c r="D81" s="128" t="n">
        <v>0</v>
      </c>
      <c r="E81" s="128" t="n"/>
      <c r="F81" s="128" t="n">
        <v>0.25</v>
      </c>
      <c r="G81" s="128" t="n"/>
      <c r="H81" s="128" t="inlineStr">
        <is>
          <t>5 shilling from John Strodde so that he may fish in the lord's water for the year.</t>
        </is>
      </c>
      <c r="I81" s="128" t="n"/>
    </row>
    <row r="82">
      <c r="A82" s="137" t="inlineStr">
        <is>
          <t>Issues of the manor</t>
        </is>
      </c>
      <c r="B82" s="128" t="n">
        <v>0</v>
      </c>
      <c r="C82" s="128" t="n">
        <v>0</v>
      </c>
      <c r="D82" s="128" t="n">
        <v>0</v>
      </c>
      <c r="E82" s="128" t="n"/>
      <c r="F82" s="128" t="n">
        <v>0</v>
      </c>
      <c r="G82" s="128" t="n"/>
      <c r="H82" s="128" t="inlineStr">
        <is>
          <t>nothing from Thomas Fyssher' because he did not fish this year.</t>
        </is>
      </c>
      <c r="I82" s="128" t="n"/>
    </row>
    <row r="83">
      <c r="A83" s="137" t="inlineStr">
        <is>
          <t>Issues of the manor</t>
        </is>
      </c>
      <c r="B83" s="128" t="n">
        <v>0</v>
      </c>
      <c r="C83" s="128" t="n">
        <v>2</v>
      </c>
      <c r="D83" s="128" t="n">
        <v>0</v>
      </c>
      <c r="E83" s="128" t="n"/>
      <c r="F83" s="128" t="n">
        <v>0.1</v>
      </c>
      <c r="G83" s="128" t="n"/>
      <c r="H83" s="128" t="inlineStr">
        <is>
          <t>2 shilling from John Tenant for a similar reason.</t>
        </is>
      </c>
      <c r="I83" s="128" t="n"/>
    </row>
    <row r="84">
      <c r="A84" s="137" t="inlineStr">
        <is>
          <t>Issues of the manor</t>
        </is>
      </c>
      <c r="B84" s="128" t="n">
        <v>0</v>
      </c>
      <c r="C84" s="128" t="n">
        <v>1</v>
      </c>
      <c r="D84" s="128" t="n">
        <v>0</v>
      </c>
      <c r="E84" s="128" t="n"/>
      <c r="F84" s="128" t="n">
        <v>0.05</v>
      </c>
      <c r="G84" s="128" t="n"/>
      <c r="H84" s="128" t="inlineStr">
        <is>
          <t>1 shilling from pea-straw sold this year.</t>
        </is>
      </c>
      <c r="I84" s="128" t="n"/>
    </row>
    <row r="85">
      <c r="A85" s="137" t="inlineStr">
        <is>
          <t>Issues of the manor</t>
        </is>
      </c>
      <c r="B85" s="128" t="n">
        <v>0</v>
      </c>
      <c r="C85" s="128" t="n">
        <v>1</v>
      </c>
      <c r="D85" s="128" t="n">
        <v>0</v>
      </c>
      <c r="E85" s="128" t="n"/>
      <c r="F85" s="128" t="n">
        <v>0.05</v>
      </c>
      <c r="G85" s="128" t="n"/>
      <c r="H85" s="128" t="inlineStr">
        <is>
          <t>1 shilling from rushes sold this year.</t>
        </is>
      </c>
      <c r="I85" s="128" t="n"/>
    </row>
    <row r="86">
      <c r="A86" s="137" t="inlineStr">
        <is>
          <t>Issues of the manor</t>
        </is>
      </c>
      <c r="B86" s="128" t="n">
        <v>0</v>
      </c>
      <c r="C86" s="128" t="n">
        <v>0</v>
      </c>
      <c r="D86" s="128" t="n">
        <v>0</v>
      </c>
      <c r="E86" s="128" t="n"/>
      <c r="F86" s="128" t="n">
        <v>0</v>
      </c>
      <c r="G86" s="128" t="n"/>
      <c r="H86" s="128" t="inlineStr">
        <is>
          <t>nothing from hedges in Southmede this year.</t>
        </is>
      </c>
      <c r="I86" s="128" t="n"/>
    </row>
    <row r="87">
      <c r="A87" s="137" t="inlineStr">
        <is>
          <t>Issues of the manor</t>
        </is>
      </c>
      <c r="B87" s="128" t="n">
        <v>0</v>
      </c>
      <c r="C87" s="128" t="n">
        <v>0</v>
      </c>
      <c r="D87" s="128" t="n">
        <v>0</v>
      </c>
      <c r="E87" s="128" t="n"/>
      <c r="F87" s="128" t="n">
        <v>0</v>
      </c>
      <c r="G87" s="128" t="n"/>
      <c r="H87" s="128" t="inlineStr">
        <is>
          <t>nothing from thorns in la Grene this year.</t>
        </is>
      </c>
      <c r="I87" s="128" t="n"/>
    </row>
    <row r="88">
      <c r="A88" s="137" t="inlineStr">
        <is>
          <t>Issues of the manor</t>
        </is>
      </c>
      <c r="B88" s="128" t="n">
        <v>0</v>
      </c>
      <c r="C88" s="128" t="n">
        <v>0</v>
      </c>
      <c r="D88" s="128" t="n">
        <v>0</v>
      </c>
      <c r="E88" s="128" t="n"/>
      <c r="F88" s="128" t="n">
        <v>0</v>
      </c>
      <c r="G88" s="128" t="n"/>
      <c r="H88" s="128" t="inlineStr">
        <is>
          <t>nothing from hedges in Estmede this year.</t>
        </is>
      </c>
      <c r="I88" s="128" t="n"/>
    </row>
    <row r="89">
      <c r="A89" s="137" t="inlineStr">
        <is>
          <t>Issues of the manor</t>
        </is>
      </c>
      <c r="B89" s="128" t="n">
        <v>0</v>
      </c>
      <c r="C89" s="128" t="n">
        <v>0</v>
      </c>
      <c r="D89" s="128" t="n">
        <v>0</v>
      </c>
      <c r="E89" s="128" t="n"/>
      <c r="F89" s="128" t="n">
        <v>0</v>
      </c>
      <c r="G89" s="128" t="n"/>
      <c r="H89" s="128" t="inlineStr">
        <is>
          <t>nothing from the sale of rabbits this year because there are none.</t>
        </is>
      </c>
      <c r="I89" s="128" t="n"/>
    </row>
    <row r="90">
      <c r="A90" s="137" t="inlineStr">
        <is>
          <t>Issues of the manor</t>
        </is>
      </c>
      <c r="B90" s="128" t="n">
        <v>0</v>
      </c>
      <c r="C90" s="128" t="n">
        <v>1</v>
      </c>
      <c r="D90" s="128" t="n">
        <v>6</v>
      </c>
      <c r="E90" s="128" t="n"/>
      <c r="F90" s="128" t="n">
        <v>0.08</v>
      </c>
      <c r="G90" s="128" t="n"/>
      <c r="H90" s="128" t="inlineStr">
        <is>
          <t>1 shilling 6pence from the men of Landford to have pasturage for their cattle in the lord's liberty on the heath for the year.</t>
        </is>
      </c>
      <c r="I90" s="128" t="n"/>
    </row>
    <row r="91">
      <c r="A91" s="137" t="inlineStr">
        <is>
          <t>Issues of the manor</t>
        </is>
      </c>
      <c r="B91" s="128" t="n">
        <v>0</v>
      </c>
      <c r="C91" s="128" t="n">
        <v>0</v>
      </c>
      <c r="D91" s="128" t="n">
        <v>0</v>
      </c>
      <c r="E91" s="128" t="n"/>
      <c r="F91" s="128" t="n">
        <v>0</v>
      </c>
      <c r="G91" s="128" t="n"/>
      <c r="H91" s="128" t="inlineStr">
        <is>
          <t>nothing from the sale of lime this year.</t>
        </is>
      </c>
      <c r="I91" s="128" t="n"/>
    </row>
    <row r="92">
      <c r="A92" s="137" t="inlineStr">
        <is>
          <t>Issues of the manor</t>
        </is>
      </c>
      <c r="B92" s="128" t="n">
        <v>0</v>
      </c>
      <c r="C92" s="128" t="n">
        <v>0</v>
      </c>
      <c r="D92" s="128" t="n">
        <v>0</v>
      </c>
      <c r="E92" s="128" t="n"/>
      <c r="F92" s="128" t="n">
        <v>0</v>
      </c>
      <c r="G92" s="128" t="n"/>
      <c r="H92" s="128" t="inlineStr">
        <is>
          <t>nothing from the sale of oaks in Burghynmor' this year.</t>
        </is>
      </c>
      <c r="I92" s="128" t="n"/>
    </row>
    <row r="93">
      <c r="A93" s="137" t="inlineStr">
        <is>
          <t>Issues of the manor</t>
        </is>
      </c>
      <c r="B93" s="128" t="n">
        <v>0</v>
      </c>
      <c r="C93" s="128" t="n">
        <v>0</v>
      </c>
      <c r="D93" s="128" t="n">
        <v>0</v>
      </c>
      <c r="E93" s="128" t="n"/>
      <c r="F93" s="128" t="n">
        <v>0</v>
      </c>
      <c r="G93" s="128" t="n"/>
      <c r="H93" s="128" t="inlineStr">
        <is>
          <t>nothing from the sale of scrags there this year.</t>
        </is>
      </c>
      <c r="I93" s="128" t="n"/>
    </row>
    <row r="94">
      <c r="A94" s="137" t="inlineStr">
        <is>
          <t>Issues of the manor</t>
        </is>
      </c>
      <c r="B94" s="128" t="n">
        <v>0</v>
      </c>
      <c r="C94" s="128" t="n">
        <v>0</v>
      </c>
      <c r="D94" s="128" t="n">
        <v>0</v>
      </c>
      <c r="E94" s="128" t="n"/>
      <c r="F94" s="128" t="n">
        <v>0</v>
      </c>
      <c r="G94" s="128" t="n"/>
      <c r="H94" s="128" t="inlineStr">
        <is>
          <t>nothing from the sale of underwood in the park this year.</t>
        </is>
      </c>
      <c r="I94" s="128" t="n"/>
    </row>
    <row r="95">
      <c r="A95" s="137" t="inlineStr">
        <is>
          <t>Issues of the manor</t>
        </is>
      </c>
      <c r="B95" s="128" t="n">
        <v>0</v>
      </c>
      <c r="C95" s="128" t="n">
        <v>0</v>
      </c>
      <c r="D95" s="128" t="n">
        <v>0</v>
      </c>
      <c r="E95" s="128" t="n"/>
      <c r="F95" s="128" t="n">
        <v>0</v>
      </c>
      <c r="G95" s="128" t="n"/>
      <c r="H95" s="128" t="inlineStr">
        <is>
          <t>nothing from the sale of scrags there this year.</t>
        </is>
      </c>
      <c r="I95" s="128" t="n"/>
    </row>
    <row r="96">
      <c r="A96" s="137" t="inlineStr">
        <is>
          <t>Issues of the manor</t>
        </is>
      </c>
      <c r="B96" s="128" t="n">
        <v>0</v>
      </c>
      <c r="C96" s="128" t="n">
        <v>0</v>
      </c>
      <c r="D96" s="128" t="n">
        <v>0</v>
      </c>
      <c r="E96" s="128" t="n"/>
      <c r="F96" s="128" t="n">
        <v>0</v>
      </c>
      <c r="G96" s="128" t="n"/>
      <c r="H96" s="128" t="inlineStr">
        <is>
          <t>nothing from the sale of old timber this year.</t>
        </is>
      </c>
      <c r="I96" s="128" t="n"/>
    </row>
    <row r="97">
      <c r="A97" s="137" t="inlineStr">
        <is>
          <t>Issues of the manor</t>
        </is>
      </c>
      <c r="B97" s="128" t="n">
        <v>0</v>
      </c>
      <c r="C97" s="128" t="n">
        <v>0</v>
      </c>
      <c r="D97" s="128" t="n">
        <v>0</v>
      </c>
      <c r="E97" s="128" t="n"/>
      <c r="F97" s="128" t="n">
        <v>0</v>
      </c>
      <c r="G97" s="128" t="n"/>
      <c r="H97" s="128" t="inlineStr">
        <is>
          <t>nothing from the sale of chippings (chipp') this year.</t>
        </is>
      </c>
      <c r="I97" s="128" t="n"/>
    </row>
    <row r="98">
      <c r="A98" s="137" t="inlineStr">
        <is>
          <t>Issues of the manor</t>
        </is>
      </c>
      <c r="B98" s="128" t="n">
        <v>0</v>
      </c>
      <c r="C98" s="128" t="n">
        <v>0</v>
      </c>
      <c r="D98" s="128" t="n">
        <v>0</v>
      </c>
      <c r="E98" s="128" t="n"/>
      <c r="F98" s="128" t="n">
        <v>0</v>
      </c>
      <c r="G98" s="128" t="n"/>
      <c r="H98" s="128" t="inlineStr">
        <is>
          <t>nothing from the sale of bark this year.</t>
        </is>
      </c>
      <c r="I98" s="128" t="n"/>
    </row>
    <row r="99">
      <c r="A99" s="137" t="inlineStr">
        <is>
          <t>Issues of the manor</t>
        </is>
      </c>
      <c r="B99" s="128" t="n">
        <v>0</v>
      </c>
      <c r="C99" s="128" t="n">
        <v>0</v>
      </c>
      <c r="D99" s="128" t="n">
        <v>0</v>
      </c>
      <c r="E99" s="128" t="n"/>
      <c r="F99" s="128" t="n">
        <v>0</v>
      </c>
      <c r="G99" s="128" t="n"/>
      <c r="H99" s="128" t="inlineStr">
        <is>
          <t>nothing from the sale of loppings and scrags blown down by the wind in Burghynmor' this year.</t>
        </is>
      </c>
      <c r="I99" s="128" t="n"/>
    </row>
    <row r="100">
      <c r="A100" s="137" t="inlineStr">
        <is>
          <t>Issues of the manor</t>
        </is>
      </c>
      <c r="B100" s="128" t="n">
        <v>0</v>
      </c>
      <c r="C100" s="128" t="n">
        <v>0</v>
      </c>
      <c r="D100" s="128" t="n">
        <v>0</v>
      </c>
      <c r="E100" s="128" t="n"/>
      <c r="F100" s="128" t="n">
        <v>0</v>
      </c>
      <c r="G100" s="128" t="n"/>
      <c r="H100" s="128" t="inlineStr">
        <is>
          <t>nothing from the sale of poplars this year.</t>
        </is>
      </c>
      <c r="I100" s="128" t="n"/>
    </row>
    <row r="101">
      <c r="A101" s="137" t="inlineStr">
        <is>
          <t>Issues of the manor</t>
        </is>
      </c>
      <c r="B101" s="128" t="n">
        <v>0</v>
      </c>
      <c r="C101" s="128" t="n">
        <v>2</v>
      </c>
      <c r="D101" s="128" t="n">
        <v>0</v>
      </c>
      <c r="E101" s="128" t="n"/>
      <c r="F101" s="128" t="n">
        <v>0.1</v>
      </c>
      <c r="G101" s="128" t="n"/>
      <c r="H101" s="128" t="inlineStr">
        <is>
          <t>2 shilling from locks (lok') of wool sold at the shearing this year.</t>
        </is>
      </c>
      <c r="I101" s="128" t="n"/>
    </row>
    <row r="102">
      <c r="A102" s="137" t="inlineStr">
        <is>
          <t>Issues of the manor</t>
        </is>
      </c>
      <c r="B102" s="128" t="n">
        <v>2</v>
      </c>
      <c r="C102" s="128" t="n">
        <v>6</v>
      </c>
      <c r="D102" s="128" t="n">
        <v>8</v>
      </c>
      <c r="E102" s="128" t="n"/>
      <c r="F102" s="128" t="n">
        <v>2.33</v>
      </c>
      <c r="G102" s="128" t="n"/>
      <c r="H102" s="128" t="inlineStr">
        <is>
          <t>nothing from the manure of the east fold because there was no fold and the pasture there is demised for £2 6 shilling 8pence this year.</t>
        </is>
      </c>
      <c r="I102" s="128" t="n"/>
    </row>
    <row r="103">
      <c r="A103" s="137" t="inlineStr">
        <is>
          <t>Issues of the manor</t>
        </is>
      </c>
      <c r="B103" s="128" t="n">
        <v>1</v>
      </c>
      <c r="C103" s="128" t="n">
        <v>1</v>
      </c>
      <c r="D103" s="128" t="n">
        <v>8</v>
      </c>
      <c r="E103" s="128" t="n"/>
      <c r="F103" s="128" t="n">
        <v>1.08</v>
      </c>
      <c r="G103" s="128" t="n"/>
      <c r="H103" s="128" t="inlineStr">
        <is>
          <t>£1 1 shilling 8pence from 13 cloves of lamb's-wool sold, at 1 shilling 8pence a clove.</t>
        </is>
      </c>
      <c r="I103" s="128" t="n"/>
    </row>
    <row r="104">
      <c r="A104" s="137" t="inlineStr">
        <is>
          <t>Issues of the manor</t>
        </is>
      </c>
      <c r="B104" s="128" t="n">
        <v>1</v>
      </c>
      <c r="C104" s="128" t="n">
        <v>17</v>
      </c>
      <c r="D104" s="128" t="n">
        <v>2.25</v>
      </c>
      <c r="E104" s="128" t="n"/>
      <c r="F104" s="128" t="n">
        <v>1.86</v>
      </c>
      <c r="G104" s="128" t="n"/>
      <c r="H104" s="128" t="inlineStr">
        <is>
          <t>£1 17 shilling 2.25pence from 25 cloves 4.5 lb of wool soiled with tar sold, at 1 shilling 5.5pence a clove.</t>
        </is>
      </c>
      <c r="I104" s="128" t="n"/>
    </row>
    <row r="105">
      <c r="A105" s="137" t="inlineStr">
        <is>
          <t>Issues of the manor</t>
        </is>
      </c>
      <c r="B105" s="128" t="n">
        <v>0</v>
      </c>
      <c r="C105" s="128" t="n">
        <v>0</v>
      </c>
      <c r="D105" s="128" t="n">
        <v>10</v>
      </c>
      <c r="E105" s="128" t="n"/>
      <c r="F105" s="128" t="n">
        <v>0.04</v>
      </c>
      <c r="G105" s="128" t="n"/>
      <c r="H105" s="128" t="inlineStr">
        <is>
          <t>10pence from 200 hens' eggs sold.</t>
        </is>
      </c>
      <c r="I105" s="128" t="n"/>
    </row>
    <row r="106">
      <c r="A106" s="137" t="inlineStr">
        <is>
          <t>Issues of the manor</t>
        </is>
      </c>
      <c r="B106" s="128" t="n">
        <v>0</v>
      </c>
      <c r="C106" s="128" t="n">
        <v>0</v>
      </c>
      <c r="D106" s="128" t="n">
        <v>0</v>
      </c>
      <c r="E106" s="128" t="n"/>
      <c r="F106" s="128" t="n">
        <v>0</v>
      </c>
      <c r="G106" s="128" t="n"/>
      <c r="H106" s="128" t="inlineStr">
        <is>
          <t>nothing from the sale of straw this year on account of the lord's cattle and wethers.</t>
        </is>
      </c>
      <c r="I106" s="128" t="n"/>
    </row>
    <row r="107">
      <c r="A107" s="137" t="inlineStr">
        <is>
          <t>Issues of the manor</t>
        </is>
      </c>
      <c r="B107" s="128" t="n">
        <v>24</v>
      </c>
      <c r="C107" s="128" t="n">
        <v>10</v>
      </c>
      <c r="D107" s="128" t="n">
        <v>9.25</v>
      </c>
      <c r="E107" s="128" t="n"/>
      <c r="F107" s="128" t="n">
        <v>24.54</v>
      </c>
      <c r="G107" s="128" t="n"/>
      <c r="H107" s="128" t="inlineStr">
        <is>
          <t>Total, £24 10 shilling 9.25pence.</t>
        </is>
      </c>
      <c r="I107" s="128" t="n"/>
    </row>
    <row r="108">
      <c r="A108" s="138" t="inlineStr">
        <is>
          <t>Issues of the manor total</t>
        </is>
      </c>
      <c r="B108" s="139" t="n"/>
      <c r="C108" s="139" t="n"/>
      <c r="D108" s="139" t="n"/>
      <c r="E108" s="139" t="n"/>
      <c r="F108" s="139" t="n">
        <v>25.68</v>
      </c>
      <c r="G108" s="139" t="n">
        <v>1.14</v>
      </c>
      <c r="H108" s="139" t="inlineStr">
        <is>
          <t>Total</t>
        </is>
      </c>
      <c r="I108" s="139" t="n"/>
    </row>
    <row r="109">
      <c r="A109" s="137" t="n"/>
      <c r="B109" s="128" t="n"/>
      <c r="C109" s="128" t="n"/>
      <c r="D109" s="128" t="n"/>
      <c r="E109" s="128" t="n"/>
      <c r="F109" s="128" t="n"/>
      <c r="G109" s="128" t="n"/>
      <c r="H109" s="128" t="n"/>
      <c r="I109" s="128" t="n"/>
    </row>
    <row r="110">
      <c r="A110" s="136" t="inlineStr">
        <is>
          <t>Sale of corn</t>
        </is>
      </c>
      <c r="B110" s="128" t="n">
        <v>4</v>
      </c>
      <c r="C110" s="128" t="n">
        <v>18</v>
      </c>
      <c r="D110" s="128" t="n">
        <v>9</v>
      </c>
      <c r="E110" s="128" t="n"/>
      <c r="F110" s="128" t="n">
        <v>4.94</v>
      </c>
      <c r="G110" s="128" t="n"/>
      <c r="H110" s="128" t="inlineStr">
        <is>
          <t>And for £4 18 shilling 9pence from 9 quarters 7 bushels of wheat sold per mutuum, at 10 shilling a qr.</t>
        </is>
      </c>
      <c r="I110" s="128" t="n"/>
    </row>
    <row r="111">
      <c r="A111" s="137" t="inlineStr">
        <is>
          <t>Sale of corn</t>
        </is>
      </c>
      <c r="B111" s="128" t="n">
        <v>1</v>
      </c>
      <c r="C111" s="128" t="n">
        <v>4</v>
      </c>
      <c r="D111" s="128" t="n">
        <v>0</v>
      </c>
      <c r="E111" s="128" t="n"/>
      <c r="F111" s="128" t="n">
        <v>1.2</v>
      </c>
      <c r="G111" s="128" t="n"/>
      <c r="H111" s="128" t="inlineStr">
        <is>
          <t>£1 4 shilling from 4 quarters of curall sold.</t>
        </is>
      </c>
      <c r="I111" s="128" t="n"/>
    </row>
    <row r="112">
      <c r="A112" s="137" t="inlineStr">
        <is>
          <t>Sale of corn</t>
        </is>
      </c>
      <c r="B112" s="128" t="n">
        <v>3</v>
      </c>
      <c r="C112" s="128" t="n">
        <v>18</v>
      </c>
      <c r="D112" s="128" t="n">
        <v>0</v>
      </c>
      <c r="E112" s="128" t="n"/>
      <c r="F112" s="128" t="n">
        <v>3.9</v>
      </c>
      <c r="G112" s="128" t="n"/>
      <c r="H112" s="128" t="inlineStr">
        <is>
          <t>£3 18 shilling from 13 quarters of barley sold per mutuum, at 6 shilling a qr.</t>
        </is>
      </c>
      <c r="I112" s="128" t="n"/>
    </row>
    <row r="113">
      <c r="A113" s="137" t="inlineStr">
        <is>
          <t>Sale of corn</t>
        </is>
      </c>
      <c r="B113" s="128" t="n">
        <v>0</v>
      </c>
      <c r="C113" s="128" t="n">
        <v>2</v>
      </c>
      <c r="D113" s="128" t="n">
        <v>6</v>
      </c>
      <c r="E113" s="128" t="n"/>
      <c r="F113" s="128" t="n">
        <v>0.12</v>
      </c>
      <c r="G113" s="128" t="n"/>
      <c r="H113" s="128" t="inlineStr">
        <is>
          <t>2 shilling 6pence from 6 bushels of oats sold.</t>
        </is>
      </c>
      <c r="I113" s="128" t="n"/>
    </row>
    <row r="114">
      <c r="A114" s="137" t="inlineStr">
        <is>
          <t>Sale of corn</t>
        </is>
      </c>
      <c r="B114" s="128" t="n">
        <v>0</v>
      </c>
      <c r="C114" s="128" t="n">
        <v>3</v>
      </c>
      <c r="D114" s="128" t="n">
        <v>0</v>
      </c>
      <c r="E114" s="128" t="n"/>
      <c r="F114" s="128" t="n">
        <v>0.15</v>
      </c>
      <c r="G114" s="128" t="n"/>
      <c r="H114" s="128" t="inlineStr">
        <is>
          <t>3 shilling from 6 bushels of vetches sold.</t>
        </is>
      </c>
      <c r="I114" s="128" t="n"/>
    </row>
    <row r="115">
      <c r="A115" s="137" t="inlineStr">
        <is>
          <t>Sale of corn</t>
        </is>
      </c>
      <c r="B115" s="128" t="n">
        <v>10</v>
      </c>
      <c r="C115" s="128" t="n">
        <v>6</v>
      </c>
      <c r="D115" s="128" t="n">
        <v>3</v>
      </c>
      <c r="E115" s="128" t="n"/>
      <c r="F115" s="128" t="n">
        <v>10.31</v>
      </c>
      <c r="G115" s="128" t="n"/>
      <c r="H115" s="128" t="inlineStr">
        <is>
          <t>Total, £10 6 shilling 3pence.</t>
        </is>
      </c>
      <c r="I115" s="128" t="n"/>
    </row>
    <row r="116">
      <c r="A116" s="138" t="inlineStr">
        <is>
          <t>Sale of corn total</t>
        </is>
      </c>
      <c r="B116" s="139" t="n"/>
      <c r="C116" s="139" t="n"/>
      <c r="D116" s="139" t="n"/>
      <c r="E116" s="139" t="n"/>
      <c r="F116" s="139" t="n">
        <v>10.31</v>
      </c>
      <c r="G116" s="139" t="n">
        <v>0</v>
      </c>
      <c r="H116" s="139" t="inlineStr">
        <is>
          <t>Total</t>
        </is>
      </c>
      <c r="I116" s="139" t="n"/>
    </row>
    <row r="117">
      <c r="A117" s="137" t="n"/>
      <c r="B117" s="128" t="n"/>
      <c r="C117" s="128" t="n"/>
      <c r="D117" s="128" t="n"/>
      <c r="E117" s="128" t="n"/>
      <c r="F117" s="128" t="n"/>
      <c r="G117" s="128" t="n"/>
      <c r="H117" s="128" t="n"/>
      <c r="I117" s="128" t="n"/>
    </row>
    <row r="118">
      <c r="A118" s="136" t="inlineStr">
        <is>
          <t>Sale of stock</t>
        </is>
      </c>
      <c r="B118" s="128" t="n">
        <v>0</v>
      </c>
      <c r="C118" s="128" t="n">
        <v>7</v>
      </c>
      <c r="D118" s="128" t="n">
        <v>0</v>
      </c>
      <c r="E118" s="128" t="n"/>
      <c r="F118" s="128" t="n">
        <v>0.35</v>
      </c>
      <c r="G118" s="128" t="n"/>
      <c r="H118" s="128" t="inlineStr">
        <is>
          <t>And for 7 shilling from 2 plough-horses from heriots sold.</t>
        </is>
      </c>
      <c r="I118" s="128" t="n"/>
    </row>
    <row r="119">
      <c r="A119" s="137" t="inlineStr">
        <is>
          <t>Sale of stock</t>
        </is>
      </c>
      <c r="B119" s="128" t="n">
        <v>0</v>
      </c>
      <c r="C119" s="128" t="n">
        <v>16</v>
      </c>
      <c r="D119" s="128" t="n">
        <v>0</v>
      </c>
      <c r="E119" s="128" t="n"/>
      <c r="F119" s="128" t="n">
        <v>0.8</v>
      </c>
      <c r="G119" s="128" t="n"/>
      <c r="H119" s="128" t="inlineStr">
        <is>
          <t>16 shilling from 2 steers sold useless (inutil') for the lord's stock.</t>
        </is>
      </c>
      <c r="I119" s="128" t="n"/>
    </row>
    <row r="120">
      <c r="A120" s="137" t="inlineStr">
        <is>
          <t>Sale of stock</t>
        </is>
      </c>
      <c r="B120" s="128" t="n">
        <v>5</v>
      </c>
      <c r="C120" s="128" t="n">
        <v>16</v>
      </c>
      <c r="D120" s="128" t="n">
        <v>0</v>
      </c>
      <c r="E120" s="128" t="n"/>
      <c r="F120" s="128" t="n">
        <v>5.8</v>
      </c>
      <c r="G120" s="128" t="n"/>
      <c r="H120" s="128" t="inlineStr">
        <is>
          <t>£5 16 shilling from 65 wethers sold before shearing, at 2 shilling each for 23 from payment for pasturage (avesag') at Hockday, and 1 shilling 8pence each for 42 kebbs.</t>
        </is>
      </c>
      <c r="I120" s="128" t="n"/>
    </row>
    <row r="121">
      <c r="A121" s="137" t="inlineStr">
        <is>
          <t>Sale of stock</t>
        </is>
      </c>
      <c r="B121" s="128" t="n">
        <v>4</v>
      </c>
      <c r="C121" s="128" t="n">
        <v>15</v>
      </c>
      <c r="D121" s="128" t="n">
        <v>0</v>
      </c>
      <c r="E121" s="128" t="n"/>
      <c r="F121" s="128" t="n">
        <v>4.75</v>
      </c>
      <c r="G121" s="128" t="n"/>
      <c r="H121" s="128" t="inlineStr">
        <is>
          <t>£4 15 shilling from 76 kebb ewes sold before shearing, at 1 shilling 3pence each.</t>
        </is>
      </c>
      <c r="I121" s="128" t="n"/>
    </row>
    <row r="122">
      <c r="A122" s="137" t="inlineStr">
        <is>
          <t>Sale of stock</t>
        </is>
      </c>
      <c r="B122" s="128" t="n">
        <v>1</v>
      </c>
      <c r="C122" s="128" t="n">
        <v>2</v>
      </c>
      <c r="D122" s="128" t="n">
        <v>0</v>
      </c>
      <c r="E122" s="128" t="n"/>
      <c r="F122" s="128" t="n">
        <v>1.1</v>
      </c>
      <c r="G122" s="128" t="n"/>
      <c r="H122" s="128" t="inlineStr">
        <is>
          <t>£1 2 shilling from 22 hoggs, removed from stock (extract') and rejected, sold before shearing.</t>
        </is>
      </c>
      <c r="I122" s="128" t="n"/>
    </row>
    <row r="123">
      <c r="A123" s="137" t="inlineStr">
        <is>
          <t>Sale of stock</t>
        </is>
      </c>
      <c r="B123" s="128" t="n">
        <v>0</v>
      </c>
      <c r="C123" s="128" t="n">
        <v>17</v>
      </c>
      <c r="D123" s="128" t="n">
        <v>6</v>
      </c>
      <c r="E123" s="128" t="n"/>
      <c r="F123" s="128" t="n">
        <v>0.88</v>
      </c>
      <c r="G123" s="128" t="n"/>
      <c r="H123" s="128" t="inlineStr">
        <is>
          <t>17 shilling 6pence from 30 lambs removed from stock sold before shearing, at 7pence each.</t>
        </is>
      </c>
      <c r="I123" s="128" t="n"/>
    </row>
    <row r="124">
      <c r="A124" s="137" t="inlineStr">
        <is>
          <t>Sale of stock</t>
        </is>
      </c>
      <c r="B124" s="128" t="n">
        <v>3</v>
      </c>
      <c r="C124" s="128" t="n">
        <v>6</v>
      </c>
      <c r="D124" s="128" t="n">
        <v>8</v>
      </c>
      <c r="E124" s="128" t="n"/>
      <c r="F124" s="128" t="n">
        <v>3.33</v>
      </c>
      <c r="G124" s="128" t="n"/>
      <c r="H124" s="128" t="inlineStr">
        <is>
          <t>£3 6 shilling 8pence from 20 pigs sold, at 3 shilling 4pence each.</t>
        </is>
      </c>
      <c r="I124" s="128" t="n"/>
    </row>
    <row r="125">
      <c r="A125" s="137" t="inlineStr">
        <is>
          <t>Sale of stock</t>
        </is>
      </c>
      <c r="B125" s="128" t="n">
        <v>0</v>
      </c>
      <c r="C125" s="128" t="n">
        <v>7</v>
      </c>
      <c r="D125" s="128" t="n">
        <v>4</v>
      </c>
      <c r="E125" s="128" t="n"/>
      <c r="F125" s="128" t="n">
        <v>0.37</v>
      </c>
      <c r="G125" s="128" t="n"/>
      <c r="H125" s="128" t="inlineStr">
        <is>
          <t>7 shilling 4pence from 22 geese sold, at 4pence each.</t>
        </is>
      </c>
      <c r="I125" s="128" t="n"/>
    </row>
    <row r="126">
      <c r="A126" s="137" t="inlineStr">
        <is>
          <t>Sale of stock</t>
        </is>
      </c>
      <c r="B126" s="128" t="n">
        <v>0</v>
      </c>
      <c r="C126" s="128" t="n">
        <v>8</v>
      </c>
      <c r="D126" s="128" t="n">
        <v>4</v>
      </c>
      <c r="E126" s="128" t="n"/>
      <c r="F126" s="128" t="n">
        <v>0.42</v>
      </c>
      <c r="G126" s="128" t="n"/>
      <c r="H126" s="128" t="inlineStr">
        <is>
          <t>8 shilling from 24 capons sold, at 4pence each.</t>
        </is>
      </c>
      <c r="I126" s="128" t="n"/>
    </row>
    <row r="127">
      <c r="A127" s="137" t="inlineStr">
        <is>
          <t>Sale of stock</t>
        </is>
      </c>
      <c r="B127" s="128" t="n">
        <v>17</v>
      </c>
      <c r="C127" s="128" t="n">
        <v>15</v>
      </c>
      <c r="D127" s="128" t="n">
        <v>6</v>
      </c>
      <c r="E127" s="128" t="n"/>
      <c r="F127" s="128" t="n">
        <v>17.77</v>
      </c>
      <c r="G127" s="128" t="n"/>
      <c r="H127" s="128" t="inlineStr">
        <is>
          <t>Total, £17 15 shilling 6pence.</t>
        </is>
      </c>
      <c r="I127" s="128" t="n"/>
    </row>
    <row r="128">
      <c r="A128" s="138" t="inlineStr">
        <is>
          <t>Sale of stock total</t>
        </is>
      </c>
      <c r="B128" s="139" t="n"/>
      <c r="C128" s="139" t="n"/>
      <c r="D128" s="139" t="n"/>
      <c r="E128" s="139" t="n"/>
      <c r="F128" s="139" t="n">
        <v>17.8</v>
      </c>
      <c r="G128" s="139" t="n">
        <v>0.03</v>
      </c>
      <c r="H128" s="139" t="inlineStr">
        <is>
          <t>Total</t>
        </is>
      </c>
      <c r="I128" s="139" t="n"/>
    </row>
    <row r="129">
      <c r="A129" s="137" t="n"/>
      <c r="B129" s="128" t="n"/>
      <c r="C129" s="128" t="n"/>
      <c r="D129" s="128" t="n"/>
      <c r="E129" s="128" t="n"/>
      <c r="F129" s="128" t="n"/>
      <c r="G129" s="128" t="n"/>
      <c r="H129" s="128" t="n"/>
      <c r="I129" s="128" t="n"/>
    </row>
    <row r="130">
      <c r="A130" s="136" t="inlineStr">
        <is>
          <t>Entry and marriage fines</t>
        </is>
      </c>
      <c r="B130" s="128" t="n">
        <v>0</v>
      </c>
      <c r="C130" s="128" t="n">
        <v>5</v>
      </c>
      <c r="D130" s="128" t="n">
        <v>0</v>
      </c>
      <c r="E130" s="128" t="n"/>
      <c r="F130" s="128" t="n">
        <v>0.25</v>
      </c>
      <c r="G130" s="128" t="n"/>
      <c r="H130" s="128" t="inlineStr">
        <is>
          <t>And for 5 shilling from the tithing of Bodenham at the tourn of Martinmas.</t>
        </is>
      </c>
      <c r="I130" s="128" t="n"/>
    </row>
    <row r="131">
      <c r="A131" s="137" t="inlineStr">
        <is>
          <t>Entry and marriage fines</t>
        </is>
      </c>
      <c r="B131" s="128" t="n">
        <v>0</v>
      </c>
      <c r="C131" s="128" t="n">
        <v>6</v>
      </c>
      <c r="D131" s="128" t="n">
        <v>8</v>
      </c>
      <c r="E131" s="128" t="n"/>
      <c r="F131" s="128" t="n">
        <v>0.33</v>
      </c>
      <c r="G131" s="128" t="n"/>
      <c r="H131" s="128" t="inlineStr">
        <is>
          <t>6 shilling 8pence from the tithing of Charlton at the same tourn.</t>
        </is>
      </c>
      <c r="I131" s="128" t="n"/>
    </row>
    <row r="132">
      <c r="A132" s="137" t="inlineStr">
        <is>
          <t>Entry and marriage fines</t>
        </is>
      </c>
      <c r="B132" s="128" t="n">
        <v>0</v>
      </c>
      <c r="C132" s="128" t="n">
        <v>2</v>
      </c>
      <c r="D132" s="128" t="n">
        <v>0</v>
      </c>
      <c r="E132" s="128" t="n"/>
      <c r="F132" s="128" t="n">
        <v>0.1</v>
      </c>
      <c r="G132" s="128" t="n"/>
      <c r="H132" s="128" t="inlineStr">
        <is>
          <t>2 shilling from the tithing of Witherington at the same toum.</t>
        </is>
      </c>
      <c r="I132" s="128" t="n"/>
    </row>
    <row r="133">
      <c r="A133" s="137" t="inlineStr">
        <is>
          <t>Entry and marriage fines</t>
        </is>
      </c>
      <c r="B133" s="128" t="n">
        <v>0</v>
      </c>
      <c r="C133" s="128" t="n">
        <v>6</v>
      </c>
      <c r="D133" s="128" t="n">
        <v>8</v>
      </c>
      <c r="E133" s="128" t="n"/>
      <c r="F133" s="128" t="n">
        <v>0.33</v>
      </c>
      <c r="G133" s="128" t="n"/>
      <c r="H133" s="128" t="inlineStr">
        <is>
          <t>6 shilling 8pence from the tithing of the church at the same tourn.</t>
        </is>
      </c>
      <c r="I133" s="128" t="n"/>
    </row>
    <row r="134">
      <c r="A134" s="137" t="inlineStr">
        <is>
          <t>Entry and marriage fines</t>
        </is>
      </c>
      <c r="B134" s="128" t="n">
        <v>0</v>
      </c>
      <c r="C134" s="128" t="n">
        <v>5</v>
      </c>
      <c r="D134" s="128" t="n">
        <v>0</v>
      </c>
      <c r="E134" s="128" t="n"/>
      <c r="F134" s="128" t="n">
        <v>0.25</v>
      </c>
      <c r="G134" s="128" t="n"/>
      <c r="H134" s="128" t="inlineStr">
        <is>
          <t>5 shilling from the tithing of Downton at the same toum.</t>
        </is>
      </c>
      <c r="I134" s="128" t="n"/>
    </row>
    <row r="135">
      <c r="A135" s="137" t="inlineStr">
        <is>
          <t>Entry and marriage fines</t>
        </is>
      </c>
      <c r="B135" s="128" t="n">
        <v>0</v>
      </c>
      <c r="C135" s="128" t="n">
        <v>5</v>
      </c>
      <c r="D135" s="128" t="n">
        <v>0</v>
      </c>
      <c r="E135" s="128" t="n"/>
      <c r="F135" s="128" t="n">
        <v>0.25</v>
      </c>
      <c r="G135" s="128" t="n"/>
      <c r="H135" s="128" t="inlineStr">
        <is>
          <t>5 shilling from the tithing of Wick at the same toum.</t>
        </is>
      </c>
      <c r="I135" s="128" t="n"/>
    </row>
    <row r="136">
      <c r="A136" s="137" t="inlineStr">
        <is>
          <t>Entry and marriage fines</t>
        </is>
      </c>
      <c r="B136" s="128" t="n">
        <v>1</v>
      </c>
      <c r="C136" s="128" t="n">
        <v>10</v>
      </c>
      <c r="D136" s="128" t="n">
        <v>4</v>
      </c>
      <c r="E136" s="128" t="n"/>
      <c r="F136" s="128" t="n">
        <v>1.52</v>
      </c>
      <c r="G136" s="128" t="n"/>
      <c r="H136" s="128" t="inlineStr">
        <is>
          <t>£1 10 shilling 4pence from the same tithings at the tourn of Hockday.</t>
        </is>
      </c>
      <c r="I136" s="128" t="n"/>
    </row>
    <row r="137">
      <c r="A137" s="137" t="inlineStr">
        <is>
          <t>Entry and marriage fines</t>
        </is>
      </c>
      <c r="B137" s="128" t="n">
        <v>0</v>
      </c>
      <c r="C137" s="128" t="n">
        <v>3</v>
      </c>
      <c r="D137" s="128" t="n">
        <v>4</v>
      </c>
      <c r="E137" s="128" t="n"/>
      <c r="F137" s="128" t="n">
        <v>0.17</v>
      </c>
      <c r="G137" s="128" t="n"/>
      <c r="H137" s="128" t="inlineStr">
        <is>
          <t>3 shilling 4pence from Philip Pykenet to have 1 we with a curtilage and .5 virgate of villein land in East Downton by surrender John Hosyer’.</t>
        </is>
      </c>
      <c r="I137" s="128" t="n"/>
    </row>
    <row r="138">
      <c r="A138" s="137" t="inlineStr">
        <is>
          <t>Entry and marriage fines</t>
        </is>
      </c>
      <c r="B138" s="128" t="n">
        <v>0</v>
      </c>
      <c r="C138" s="128" t="n">
        <v>13</v>
      </c>
      <c r="D138" s="128" t="n">
        <v>4</v>
      </c>
      <c r="E138" s="128" t="n"/>
      <c r="F138" s="128" t="n">
        <v>0.67</v>
      </c>
      <c r="G138" s="128" t="n"/>
      <c r="H138" s="128"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I138" s="128" t="n"/>
    </row>
    <row r="139">
      <c r="A139" s="137" t="inlineStr">
        <is>
          <t>Entry and marriage fines</t>
        </is>
      </c>
      <c r="B139" s="128" t="n">
        <v>0</v>
      </c>
      <c r="C139" s="128" t="n">
        <v>13</v>
      </c>
      <c r="D139" s="128" t="n">
        <v>4</v>
      </c>
      <c r="E139" s="128" t="n"/>
      <c r="F139" s="128" t="n">
        <v>0.67</v>
      </c>
      <c r="G139" s="128" t="n"/>
      <c r="H139" s="128" t="inlineStr">
        <is>
          <t>13 shilling 4pence from David atte Mulle to have 1 messuage with .5 virgate of villein land and 1 enclosure of bordage land called les Hangr' in the tithing of East Downton by surrender of William Ailmere.</t>
        </is>
      </c>
      <c r="I139" s="128" t="n"/>
    </row>
    <row r="140">
      <c r="A140" s="137" t="inlineStr">
        <is>
          <t>Entry and marriage fines</t>
        </is>
      </c>
      <c r="B140" s="128" t="n">
        <v>0</v>
      </c>
      <c r="C140" s="128" t="n">
        <v>2</v>
      </c>
      <c r="D140" s="128" t="n">
        <v>0</v>
      </c>
      <c r="E140" s="128" t="n"/>
      <c r="F140" s="128" t="n">
        <v>0.1</v>
      </c>
      <c r="G140" s="128" t="n"/>
      <c r="H140" s="128" t="inlineStr">
        <is>
          <t>2 shilling from John Solos to have 1 toft and 1 virgate of villein land in Charlton which belonged to Robert Judde and which came into the lord's hands from a want of kin of the same Robert.</t>
        </is>
      </c>
      <c r="I140" s="128" t="n"/>
    </row>
    <row r="141">
      <c r="A141" s="137" t="inlineStr">
        <is>
          <t>Entry and marriage fines</t>
        </is>
      </c>
      <c r="B141" s="128" t="n">
        <v>0</v>
      </c>
      <c r="C141" s="128" t="n">
        <v>1</v>
      </c>
      <c r="D141" s="128" t="n">
        <v>8</v>
      </c>
      <c r="E141" s="128" t="n"/>
      <c r="F141" s="128" t="n">
        <v>0.08</v>
      </c>
      <c r="G141" s="128" t="n"/>
      <c r="H141" s="128" t="inlineStr">
        <is>
          <t>1 shilling 8pence from Margaret, daughter of John Swete, to have 1 messuage with a curtilage and .5 virgate of villein land in Bodenham in the tithing of Nunton which belonged to the aforesaid John her father.</t>
        </is>
      </c>
      <c r="I141" s="128" t="n"/>
    </row>
    <row r="142">
      <c r="A142" s="137" t="inlineStr">
        <is>
          <t>Entry and marriage fines</t>
        </is>
      </c>
      <c r="B142" s="128" t="n">
        <v>0</v>
      </c>
      <c r="C142" s="128" t="n">
        <v>1</v>
      </c>
      <c r="D142" s="128" t="n">
        <v>8</v>
      </c>
      <c r="E142" s="128" t="n"/>
      <c r="F142" s="128" t="n">
        <v>0.08</v>
      </c>
      <c r="G142" s="128" t="n"/>
      <c r="H142" s="128" t="inlineStr">
        <is>
          <t>1 shilling 8pence from William Grene to have Margaret, daughter of John Swete, with her land, that is, 1 messuage with a curtilage and .5 virgate of villein land in Bodenham in the tithing of Nunton.</t>
        </is>
      </c>
      <c r="I142" s="128" t="n"/>
    </row>
    <row r="143">
      <c r="A143" s="137" t="inlineStr">
        <is>
          <t>Entry and marriage fines</t>
        </is>
      </c>
      <c r="B143" s="128" t="n">
        <v>0</v>
      </c>
      <c r="C143" s="128" t="n">
        <v>1</v>
      </c>
      <c r="D143" s="128" t="n">
        <v>0</v>
      </c>
      <c r="E143" s="128" t="n"/>
      <c r="F143" s="128" t="n">
        <v>0.05</v>
      </c>
      <c r="G143" s="128" t="n"/>
      <c r="H143" s="128" t="inlineStr">
        <is>
          <t>1 shilling from Robert Tut to have 1 messuage and 1 ferling of villein land in Wick which belonged to William Tut and which came into the lord's hands because the same William abandoned it and refused to hold it any longer, by a fixed lease (extent') in cash.</t>
        </is>
      </c>
      <c r="I143" s="128" t="n"/>
    </row>
    <row r="144">
      <c r="A144" s="137" t="inlineStr">
        <is>
          <t>Entry and marriage fines</t>
        </is>
      </c>
      <c r="B144" s="128" t="n">
        <v>0</v>
      </c>
      <c r="C144" s="128" t="n">
        <v>1</v>
      </c>
      <c r="D144" s="128" t="n">
        <v>0</v>
      </c>
      <c r="E144" s="128" t="n"/>
      <c r="F144" s="128" t="n">
        <v>0.05</v>
      </c>
      <c r="G144" s="128" t="n"/>
      <c r="H144" s="128"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I144" s="128" t="n"/>
    </row>
    <row r="145">
      <c r="A145" s="137" t="inlineStr">
        <is>
          <t>Entry and marriage fines</t>
        </is>
      </c>
      <c r="B145" s="128" t="n">
        <v>0</v>
      </c>
      <c r="C145" s="128" t="n">
        <v>1</v>
      </c>
      <c r="D145" s="128" t="n">
        <v>0</v>
      </c>
      <c r="E145" s="128" t="n"/>
      <c r="F145" s="128" t="n">
        <v>0.05</v>
      </c>
      <c r="G145" s="128" t="n"/>
      <c r="H145" s="128"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I145" s="128" t="n"/>
    </row>
    <row r="146">
      <c r="A146" s="137" t="inlineStr">
        <is>
          <t>Entry and marriage fines</t>
        </is>
      </c>
      <c r="B146" s="128" t="n">
        <v>5</v>
      </c>
      <c r="C146" s="128" t="n">
        <v>3</v>
      </c>
      <c r="D146" s="128" t="n">
        <v>2</v>
      </c>
      <c r="E146" s="128" t="n"/>
      <c r="F146" s="128" t="n">
        <v>5.16</v>
      </c>
      <c r="G146" s="128" t="n"/>
      <c r="H146" s="128" t="inlineStr">
        <is>
          <t>Total, £5 3 shilling 2pence.</t>
        </is>
      </c>
      <c r="I146" s="128" t="n"/>
    </row>
    <row r="147">
      <c r="A147" s="138" t="inlineStr">
        <is>
          <t>Entry and marriage fines total</t>
        </is>
      </c>
      <c r="B147" s="139" t="n"/>
      <c r="C147" s="139" t="n"/>
      <c r="D147" s="139" t="n"/>
      <c r="E147" s="139" t="n"/>
      <c r="F147" s="139" t="n">
        <v>4.95</v>
      </c>
      <c r="G147" s="139" t="n">
        <v>-0.21</v>
      </c>
      <c r="H147" s="139" t="inlineStr">
        <is>
          <t>Total</t>
        </is>
      </c>
      <c r="I147" s="139" t="n"/>
    </row>
    <row r="148">
      <c r="A148" s="137" t="n"/>
      <c r="B148" s="128" t="n"/>
      <c r="C148" s="128" t="n"/>
      <c r="D148" s="128" t="n"/>
      <c r="E148" s="128" t="n"/>
      <c r="F148" s="128" t="n"/>
      <c r="G148" s="128" t="n"/>
      <c r="H148" s="128" t="n"/>
      <c r="I148" s="128" t="n"/>
    </row>
    <row r="149">
      <c r="A149" s="136" t="inlineStr">
        <is>
          <t>Perquisites of court</t>
        </is>
      </c>
      <c r="B149" s="128" t="n">
        <v>0</v>
      </c>
      <c r="C149" s="128" t="n">
        <v>7</v>
      </c>
      <c r="D149" s="128" t="n">
        <v>0</v>
      </c>
      <c r="E149" s="128" t="n"/>
      <c r="F149" s="128" t="n">
        <v>0.35</v>
      </c>
      <c r="G149" s="128" t="n"/>
      <c r="H149" s="128" t="inlineStr">
        <is>
          <t>And for 7 shilling from the perquisites of the tourn of Martinmas (11 November).</t>
        </is>
      </c>
      <c r="I149" s="128" t="n"/>
    </row>
    <row r="150">
      <c r="A150" s="137" t="inlineStr">
        <is>
          <t>Perquisites of court</t>
        </is>
      </c>
      <c r="B150" s="128" t="n">
        <v>2</v>
      </c>
      <c r="C150" s="128" t="n">
        <v>9</v>
      </c>
      <c r="D150" s="128" t="n">
        <v>1</v>
      </c>
      <c r="E150" s="128" t="n"/>
      <c r="F150" s="128" t="n">
        <v>2.45</v>
      </c>
      <c r="G150" s="128" t="n"/>
      <c r="H150" s="128" t="inlineStr">
        <is>
          <t>£2 9 shilling 1pence from the perquisites of the courts held before the tourn of Hockday.</t>
        </is>
      </c>
      <c r="I150" s="128" t="n"/>
    </row>
    <row r="151">
      <c r="A151" s="137" t="inlineStr">
        <is>
          <t>Perquisites of court</t>
        </is>
      </c>
      <c r="B151" s="128" t="n">
        <v>0</v>
      </c>
      <c r="C151" s="128" t="n">
        <v>7</v>
      </c>
      <c r="D151" s="128" t="n">
        <v>9</v>
      </c>
      <c r="E151" s="128" t="n"/>
      <c r="F151" s="128" t="n">
        <v>0.39</v>
      </c>
      <c r="G151" s="128" t="n"/>
      <c r="H151" s="128" t="inlineStr">
        <is>
          <t>7 shilling 9pence from the perquisites of the tourn of Hockday (1 April).</t>
        </is>
      </c>
      <c r="I151" s="128" t="n"/>
    </row>
    <row r="152">
      <c r="A152" s="137" t="inlineStr">
        <is>
          <t>Perquisites of court</t>
        </is>
      </c>
      <c r="B152" s="128" t="n">
        <v>2</v>
      </c>
      <c r="C152" s="128" t="n">
        <v>0</v>
      </c>
      <c r="D152" s="128" t="n">
        <v>1</v>
      </c>
      <c r="E152" s="128" t="n"/>
      <c r="F152" s="128" t="n">
        <v>2</v>
      </c>
      <c r="G152" s="128" t="n"/>
      <c r="H152" s="128" t="inlineStr">
        <is>
          <t>£2 1pence from the perquisites of the courts held after the tourn of Hockday.</t>
        </is>
      </c>
      <c r="I152" s="128" t="n"/>
    </row>
    <row r="153">
      <c r="A153" s="138" t="inlineStr">
        <is>
          <t>Perquisites of court total</t>
        </is>
      </c>
      <c r="B153" s="139" t="n">
        <v>5</v>
      </c>
      <c r="C153" s="139" t="n">
        <v>3</v>
      </c>
      <c r="D153" s="139" t="n">
        <v>11</v>
      </c>
      <c r="E153" s="139" t="n"/>
      <c r="F153" s="139" t="n">
        <v>5.2</v>
      </c>
      <c r="G153" s="139" t="n">
        <v>3.2</v>
      </c>
      <c r="H153" s="139" t="inlineStr">
        <is>
          <t>Total, £5 3 shilling 11pence.</t>
        </is>
      </c>
      <c r="I153" s="139" t="n"/>
    </row>
    <row r="154">
      <c r="A154" s="38" t="inlineStr">
        <is>
          <t>Total of all receipts recorded in accounts (calculated here)</t>
        </is>
      </c>
      <c r="F154">
        <f>SUMIF(A1:A153,"* total",F1:F153)-SUMIF(A1:A153,"Arrears total",F1:F153)</f>
        <v/>
      </c>
    </row>
    <row r="155">
      <c r="A155" s="38" t="inlineStr">
        <is>
          <t>Total of all receipts (calculated here) incl arrears</t>
        </is>
      </c>
      <c r="F155">
        <f>F154+SUMIF(A1:A153,"Arrears total",F1:F153)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DOWNTON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1</v>
      </c>
      <c r="C4" s="128" t="n">
        <v>4</v>
      </c>
      <c r="D4" s="128" t="n">
        <v>0</v>
      </c>
      <c r="E4" s="128" t="n"/>
      <c r="F4" s="128" t="n">
        <v>1.2</v>
      </c>
      <c r="G4" s="128" t="n"/>
      <c r="H4" s="128" t="n"/>
    </row>
    <row r="5">
      <c r="A5" s="137" t="inlineStr">
        <is>
          <t>Cost of ploughs</t>
        </is>
      </c>
      <c r="B5" s="128" t="n">
        <v>0</v>
      </c>
      <c r="C5" s="128" t="n">
        <v>6</v>
      </c>
      <c r="D5" s="128" t="n">
        <v>0</v>
      </c>
      <c r="E5" s="128" t="n"/>
      <c r="F5" s="128" t="n">
        <v>0.3</v>
      </c>
      <c r="G5" s="128" t="n"/>
      <c r="H5" s="128" t="n"/>
    </row>
    <row r="6">
      <c r="A6" s="137" t="inlineStr">
        <is>
          <t>Cost of ploughs</t>
        </is>
      </c>
      <c r="B6" s="128" t="n">
        <v>0</v>
      </c>
      <c r="C6" s="128" t="n">
        <v>1</v>
      </c>
      <c r="D6" s="128" t="n">
        <v>8</v>
      </c>
      <c r="E6" s="128" t="n"/>
      <c r="F6" s="128" t="n">
        <v>0.08</v>
      </c>
      <c r="G6" s="128" t="n"/>
      <c r="H6" s="128" t="n"/>
    </row>
    <row r="7">
      <c r="A7" s="137" t="inlineStr">
        <is>
          <t>Cost of ploughs</t>
        </is>
      </c>
      <c r="B7" s="128" t="n">
        <v>0</v>
      </c>
      <c r="C7" s="128" t="n">
        <v>1</v>
      </c>
      <c r="D7" s="128" t="n">
        <v>4</v>
      </c>
      <c r="E7" s="128" t="n"/>
      <c r="F7" s="128" t="n">
        <v>0.07000000000000001</v>
      </c>
      <c r="G7" s="128" t="n"/>
      <c r="H7" s="128" t="n"/>
    </row>
    <row r="8">
      <c r="A8" s="137" t="inlineStr">
        <is>
          <t>Cost of ploughs</t>
        </is>
      </c>
      <c r="B8" s="128" t="n">
        <v>0</v>
      </c>
      <c r="C8" s="128" t="n">
        <v>1</v>
      </c>
      <c r="D8" s="128" t="n">
        <v>0</v>
      </c>
      <c r="E8" s="128" t="n"/>
      <c r="F8" s="128" t="n">
        <v>0.05</v>
      </c>
      <c r="G8" s="128" t="n"/>
      <c r="H8" s="128" t="n"/>
    </row>
    <row r="9">
      <c r="A9" s="137" t="inlineStr">
        <is>
          <t>Cost of ploughs</t>
        </is>
      </c>
      <c r="B9" s="128" t="n">
        <v>0</v>
      </c>
      <c r="C9" s="128" t="n">
        <v>0</v>
      </c>
      <c r="D9" s="128" t="n">
        <v>0</v>
      </c>
      <c r="E9" s="128" t="n"/>
      <c r="F9" s="128" t="n">
        <v>0</v>
      </c>
      <c r="G9" s="128" t="n"/>
      <c r="H9" s="128" t="n"/>
    </row>
    <row r="10">
      <c r="A10" s="137" t="inlineStr">
        <is>
          <t>Cost of ploughs</t>
        </is>
      </c>
      <c r="B10" s="128" t="n">
        <v>0</v>
      </c>
      <c r="C10" s="128" t="n">
        <v>1</v>
      </c>
      <c r="D10" s="128" t="n">
        <v>0</v>
      </c>
      <c r="E10" s="128" t="n"/>
      <c r="F10" s="128" t="n">
        <v>0.05</v>
      </c>
      <c r="G10" s="128" t="n"/>
      <c r="H10" s="128" t="n"/>
    </row>
    <row r="11">
      <c r="A11" s="137" t="inlineStr">
        <is>
          <t>Cost of ploughs</t>
        </is>
      </c>
      <c r="B11" s="128" t="n">
        <v>0</v>
      </c>
      <c r="C11" s="128" t="n">
        <v>3</v>
      </c>
      <c r="D11" s="128" t="n">
        <v>0</v>
      </c>
      <c r="E11" s="128" t="n"/>
      <c r="F11" s="128" t="n">
        <v>0.15</v>
      </c>
      <c r="G11" s="128" t="n"/>
      <c r="H11" s="128" t="n"/>
    </row>
    <row r="12">
      <c r="A12" s="137" t="inlineStr">
        <is>
          <t>Cost of ploughs</t>
        </is>
      </c>
      <c r="B12" s="128" t="n">
        <v>0</v>
      </c>
      <c r="C12" s="128" t="n">
        <v>3</v>
      </c>
      <c r="D12" s="128" t="n">
        <v>4</v>
      </c>
      <c r="E12" s="128" t="n"/>
      <c r="F12" s="128" t="n">
        <v>0.17</v>
      </c>
      <c r="G12" s="128" t="n"/>
      <c r="H12" s="128" t="n"/>
    </row>
    <row r="13">
      <c r="A13" s="137" t="inlineStr">
        <is>
          <t>Cost of ploughs</t>
        </is>
      </c>
      <c r="B13" s="128" t="n">
        <v>0</v>
      </c>
      <c r="C13" s="128" t="n">
        <v>1</v>
      </c>
      <c r="D13" s="128" t="n">
        <v>4</v>
      </c>
      <c r="E13" s="128" t="n"/>
      <c r="F13" s="128" t="n">
        <v>0.07000000000000001</v>
      </c>
      <c r="G13" s="128" t="n"/>
      <c r="H13" s="128" t="n"/>
    </row>
    <row r="14">
      <c r="A14" s="137" t="inlineStr">
        <is>
          <t>Cost of ploughs</t>
        </is>
      </c>
      <c r="B14" s="128" t="n">
        <v>0</v>
      </c>
      <c r="C14" s="128" t="n">
        <v>2</v>
      </c>
      <c r="D14" s="128" t="n">
        <v>0</v>
      </c>
      <c r="E14" s="128" t="n"/>
      <c r="F14" s="128" t="n">
        <v>0.1</v>
      </c>
      <c r="G14" s="128" t="n"/>
      <c r="H14" s="128" t="n"/>
    </row>
    <row r="15">
      <c r="A15" s="137" t="inlineStr">
        <is>
          <t>Cost of ploughs</t>
        </is>
      </c>
      <c r="B15" s="128" t="n">
        <v>0</v>
      </c>
      <c r="C15" s="128" t="n">
        <v>1</v>
      </c>
      <c r="D15" s="128" t="n">
        <v>0</v>
      </c>
      <c r="E15" s="128" t="n"/>
      <c r="F15" s="128" t="n">
        <v>0.05</v>
      </c>
      <c r="G15" s="128" t="n"/>
      <c r="H15" s="128" t="n"/>
    </row>
    <row r="16">
      <c r="A16" s="137" t="inlineStr">
        <is>
          <t>Cost of ploughs</t>
        </is>
      </c>
      <c r="B16" s="128" t="n">
        <v>0</v>
      </c>
      <c r="C16" s="128" t="n">
        <v>12</v>
      </c>
      <c r="D16" s="128" t="n">
        <v>0</v>
      </c>
      <c r="E16" s="128" t="n"/>
      <c r="F16" s="128" t="n">
        <v>0.6</v>
      </c>
      <c r="G16" s="128" t="n"/>
      <c r="H16" s="128" t="n"/>
    </row>
    <row r="17">
      <c r="A17" s="137" t="inlineStr">
        <is>
          <t>Cost of ploughs</t>
        </is>
      </c>
      <c r="B17" s="128" t="n">
        <v>1</v>
      </c>
      <c r="C17" s="128" t="n">
        <v>4</v>
      </c>
      <c r="D17" s="128" t="n">
        <v>0</v>
      </c>
      <c r="E17" s="128" t="n"/>
      <c r="F17" s="128" t="n">
        <v>1.2</v>
      </c>
      <c r="G17" s="128" t="n"/>
      <c r="H17" s="128" t="n"/>
    </row>
    <row r="18">
      <c r="A18" s="137" t="inlineStr">
        <is>
          <t>Cost of ploughs</t>
        </is>
      </c>
      <c r="B18" s="128" t="n">
        <v>4</v>
      </c>
      <c r="C18" s="128" t="n">
        <v>6</v>
      </c>
      <c r="D18" s="128" t="n">
        <v>8</v>
      </c>
      <c r="E18" s="128" t="n"/>
      <c r="F18" s="128" t="n">
        <v>4.33</v>
      </c>
      <c r="G18" s="128" t="n"/>
      <c r="H18" s="128" t="n"/>
    </row>
    <row r="19">
      <c r="A19" s="138" t="inlineStr">
        <is>
          <t>Cost of ploughs total</t>
        </is>
      </c>
      <c r="B19" s="139" t="n"/>
      <c r="C19" s="139" t="n"/>
      <c r="D19" s="139" t="n"/>
      <c r="E19" s="139" t="n"/>
      <c r="F19" s="139" t="n">
        <v>4.09</v>
      </c>
      <c r="G19" s="139" t="n">
        <v>-0.24</v>
      </c>
      <c r="H19" s="139" t="n"/>
    </row>
    <row r="20">
      <c r="A20" s="137" t="n"/>
      <c r="B20" s="128" t="n"/>
      <c r="C20" s="128" t="n"/>
      <c r="D20" s="128" t="n"/>
      <c r="E20" s="128" t="n"/>
      <c r="F20" s="128" t="n"/>
      <c r="G20" s="128" t="n"/>
      <c r="H20" s="128" t="n"/>
    </row>
    <row r="21">
      <c r="A21" s="136" t="inlineStr">
        <is>
          <t>Cost of carts</t>
        </is>
      </c>
      <c r="B21" s="128" t="n">
        <v>0</v>
      </c>
      <c r="C21" s="128" t="n">
        <v>1</v>
      </c>
      <c r="D21" s="128" t="n">
        <v>8</v>
      </c>
      <c r="E21" s="128" t="n"/>
      <c r="F21" s="128" t="n">
        <v>0.08</v>
      </c>
      <c r="G21" s="128" t="n"/>
      <c r="H21" s="128" t="n"/>
    </row>
    <row r="22">
      <c r="A22" s="137" t="inlineStr">
        <is>
          <t>Cost of carts</t>
        </is>
      </c>
      <c r="B22" s="128" t="n">
        <v>0</v>
      </c>
      <c r="C22" s="128" t="n">
        <v>0</v>
      </c>
      <c r="D22" s="128" t="n">
        <v>6</v>
      </c>
      <c r="E22" s="128" t="n"/>
      <c r="F22" s="128" t="n">
        <v>0.03</v>
      </c>
      <c r="G22" s="128" t="n"/>
      <c r="H22" s="128" t="n"/>
    </row>
    <row r="23">
      <c r="A23" s="137" t="inlineStr">
        <is>
          <t>Cost of carts</t>
        </is>
      </c>
      <c r="B23" s="128" t="n">
        <v>0</v>
      </c>
      <c r="C23" s="128" t="n">
        <v>1</v>
      </c>
      <c r="D23" s="128" t="n">
        <v>4</v>
      </c>
      <c r="E23" s="128" t="n"/>
      <c r="F23" s="128" t="n">
        <v>0.07000000000000001</v>
      </c>
      <c r="G23" s="128" t="n"/>
      <c r="H23" s="128" t="n"/>
    </row>
    <row r="24">
      <c r="A24" s="137" t="inlineStr">
        <is>
          <t>Cost of carts</t>
        </is>
      </c>
      <c r="B24" s="128" t="n">
        <v>0</v>
      </c>
      <c r="C24" s="128" t="n">
        <v>0</v>
      </c>
      <c r="D24" s="128" t="n">
        <v>4</v>
      </c>
      <c r="E24" s="128" t="n"/>
      <c r="F24" s="128" t="n">
        <v>0.02</v>
      </c>
      <c r="G24" s="128" t="n"/>
      <c r="H24" s="128" t="n"/>
    </row>
    <row r="25">
      <c r="A25" s="137" t="inlineStr">
        <is>
          <t>Cost of carts</t>
        </is>
      </c>
      <c r="B25" s="128" t="n">
        <v>0</v>
      </c>
      <c r="C25" s="128" t="n">
        <v>0</v>
      </c>
      <c r="D25" s="128" t="n">
        <v>8</v>
      </c>
      <c r="E25" s="128" t="n"/>
      <c r="F25" s="128" t="n">
        <v>0.03</v>
      </c>
      <c r="G25" s="128" t="n"/>
      <c r="H25" s="128" t="n"/>
    </row>
    <row r="26">
      <c r="A26" s="137" t="inlineStr">
        <is>
          <t>Cost of carts</t>
        </is>
      </c>
      <c r="B26" s="128" t="n">
        <v>0</v>
      </c>
      <c r="C26" s="128" t="n">
        <v>0</v>
      </c>
      <c r="D26" s="128" t="n">
        <v>10</v>
      </c>
      <c r="E26" s="128" t="n"/>
      <c r="F26" s="128" t="n">
        <v>0.04</v>
      </c>
      <c r="G26" s="128" t="n"/>
      <c r="H26" s="128" t="n"/>
    </row>
    <row r="27">
      <c r="A27" s="137" t="inlineStr">
        <is>
          <t>Cost of carts</t>
        </is>
      </c>
      <c r="B27" s="128" t="n">
        <v>0</v>
      </c>
      <c r="C27" s="128" t="n">
        <v>0</v>
      </c>
      <c r="D27" s="128" t="n">
        <v>4</v>
      </c>
      <c r="E27" s="128" t="n"/>
      <c r="F27" s="128" t="n">
        <v>0.02</v>
      </c>
      <c r="G27" s="128" t="n"/>
      <c r="H27" s="128" t="n"/>
    </row>
    <row r="28">
      <c r="A28" s="137" t="inlineStr">
        <is>
          <t>Cost of carts</t>
        </is>
      </c>
      <c r="B28" s="128" t="n">
        <v>0</v>
      </c>
      <c r="C28" s="128" t="n">
        <v>0</v>
      </c>
      <c r="D28" s="128" t="n">
        <v>2</v>
      </c>
      <c r="E28" s="128" t="n"/>
      <c r="F28" s="128" t="n">
        <v>0.01</v>
      </c>
      <c r="G28" s="128" t="n"/>
      <c r="H28" s="128" t="n"/>
    </row>
    <row r="29">
      <c r="A29" s="137" t="inlineStr">
        <is>
          <t>Cost of carts</t>
        </is>
      </c>
      <c r="B29" s="128" t="n">
        <v>0</v>
      </c>
      <c r="C29" s="128" t="n">
        <v>2</v>
      </c>
      <c r="D29" s="128" t="n">
        <v>0</v>
      </c>
      <c r="E29" s="128" t="n"/>
      <c r="F29" s="128" t="n">
        <v>0.1</v>
      </c>
      <c r="G29" s="128" t="n"/>
      <c r="H29" s="128" t="n"/>
    </row>
    <row r="30">
      <c r="A30" s="137" t="inlineStr">
        <is>
          <t>Cost of carts</t>
        </is>
      </c>
      <c r="B30" s="128" t="n">
        <v>0</v>
      </c>
      <c r="C30" s="128" t="n">
        <v>1</v>
      </c>
      <c r="D30" s="128" t="n">
        <v>0</v>
      </c>
      <c r="E30" s="128" t="n"/>
      <c r="F30" s="128" t="n">
        <v>0.05</v>
      </c>
      <c r="G30" s="128" t="n"/>
      <c r="H30" s="128" t="n"/>
    </row>
    <row r="31">
      <c r="A31" s="137" t="inlineStr">
        <is>
          <t>Cost of carts</t>
        </is>
      </c>
      <c r="B31" s="128" t="n">
        <v>0</v>
      </c>
      <c r="C31" s="128" t="n">
        <v>8</v>
      </c>
      <c r="D31" s="128" t="n">
        <v>0</v>
      </c>
      <c r="E31" s="128" t="n"/>
      <c r="F31" s="128" t="n">
        <v>0.4</v>
      </c>
      <c r="G31" s="128" t="n"/>
      <c r="H31" s="128" t="n"/>
    </row>
    <row r="32">
      <c r="A32" s="137" t="inlineStr">
        <is>
          <t>Cost of carts</t>
        </is>
      </c>
      <c r="B32" s="128" t="n">
        <v>0</v>
      </c>
      <c r="C32" s="128" t="n">
        <v>13</v>
      </c>
      <c r="D32" s="128" t="n">
        <v>4</v>
      </c>
      <c r="E32" s="128" t="n"/>
      <c r="F32" s="128" t="n">
        <v>0.67</v>
      </c>
      <c r="G32" s="128" t="n"/>
      <c r="H32" s="128" t="n"/>
    </row>
    <row r="33">
      <c r="A33" s="137" t="inlineStr">
        <is>
          <t>Cost of carts</t>
        </is>
      </c>
      <c r="B33" s="128" t="n">
        <v>0</v>
      </c>
      <c r="C33" s="128" t="n">
        <v>0</v>
      </c>
      <c r="D33" s="128" t="n">
        <v>10</v>
      </c>
      <c r="E33" s="128" t="n"/>
      <c r="F33" s="128" t="n">
        <v>0.04</v>
      </c>
      <c r="G33" s="128" t="n"/>
      <c r="H33" s="128" t="n"/>
    </row>
    <row r="34">
      <c r="A34" s="137" t="inlineStr">
        <is>
          <t>Cost of carts</t>
        </is>
      </c>
      <c r="B34" s="128" t="n">
        <v>1</v>
      </c>
      <c r="C34" s="128" t="n">
        <v>11</v>
      </c>
      <c r="D34" s="128" t="n">
        <v>0</v>
      </c>
      <c r="E34" s="128" t="n"/>
      <c r="F34" s="128" t="n">
        <v>1.55</v>
      </c>
      <c r="G34" s="128" t="n"/>
      <c r="H34" s="128" t="n"/>
    </row>
    <row r="35">
      <c r="A35" s="138" t="inlineStr">
        <is>
          <t>Cost of carts total</t>
        </is>
      </c>
      <c r="B35" s="139" t="n"/>
      <c r="C35" s="139" t="n"/>
      <c r="D35" s="139" t="n"/>
      <c r="E35" s="139" t="n"/>
      <c r="F35" s="139" t="n">
        <v>1.56</v>
      </c>
      <c r="G35" s="139" t="n">
        <v>0.01</v>
      </c>
      <c r="H35" s="139" t="n"/>
    </row>
    <row r="36">
      <c r="A36" s="137" t="n"/>
      <c r="B36" s="128" t="n"/>
      <c r="C36" s="128" t="n"/>
      <c r="D36" s="128" t="n"/>
      <c r="E36" s="128" t="n"/>
      <c r="F36" s="128" t="n"/>
      <c r="G36" s="128" t="n"/>
      <c r="H36" s="128" t="n"/>
    </row>
    <row r="37">
      <c r="A37" s="136" t="inlineStr">
        <is>
          <t>Cost of buildings</t>
        </is>
      </c>
      <c r="B37" s="128" t="n">
        <v>0</v>
      </c>
      <c r="C37" s="128" t="n">
        <v>2</v>
      </c>
      <c r="D37" s="128" t="n">
        <v>8</v>
      </c>
      <c r="E37" s="128" t="n"/>
      <c r="F37" s="128" t="n">
        <v>0.13</v>
      </c>
      <c r="G37" s="128" t="n"/>
      <c r="H37" s="128" t="n"/>
    </row>
    <row r="38">
      <c r="A38" s="137" t="inlineStr">
        <is>
          <t>Cost of buildings</t>
        </is>
      </c>
      <c r="B38" s="128" t="n">
        <v>0</v>
      </c>
      <c r="C38" s="128" t="n">
        <v>2</v>
      </c>
      <c r="D38" s="128" t="n">
        <v>4</v>
      </c>
      <c r="E38" s="128" t="n"/>
      <c r="F38" s="128" t="n">
        <v>0.12</v>
      </c>
      <c r="G38" s="128" t="n"/>
      <c r="H38" s="128" t="n"/>
    </row>
    <row r="39">
      <c r="A39" s="137" t="inlineStr">
        <is>
          <t>Cost of buildings</t>
        </is>
      </c>
      <c r="B39" s="128" t="n">
        <v>0</v>
      </c>
      <c r="C39" s="128" t="n">
        <v>0</v>
      </c>
      <c r="D39" s="128" t="n">
        <v>4</v>
      </c>
      <c r="E39" s="128" t="n"/>
      <c r="F39" s="128" t="n">
        <v>0.02</v>
      </c>
      <c r="G39" s="128" t="n"/>
      <c r="H39" s="128" t="n"/>
    </row>
    <row r="40">
      <c r="A40" s="137" t="inlineStr">
        <is>
          <t>Cost of buildings</t>
        </is>
      </c>
      <c r="B40" s="128" t="n">
        <v>0</v>
      </c>
      <c r="C40" s="128" t="n">
        <v>4</v>
      </c>
      <c r="D40" s="128" t="n">
        <v>8</v>
      </c>
      <c r="E40" s="128" t="n"/>
      <c r="F40" s="128" t="n">
        <v>0.23</v>
      </c>
      <c r="G40" s="128" t="n"/>
      <c r="H40" s="128" t="n"/>
    </row>
    <row r="41">
      <c r="A41" s="137" t="inlineStr">
        <is>
          <t>Cost of buildings</t>
        </is>
      </c>
      <c r="B41" s="128" t="n">
        <v>0</v>
      </c>
      <c r="C41" s="128" t="n">
        <v>12</v>
      </c>
      <c r="D41" s="128" t="n">
        <v>4</v>
      </c>
      <c r="E41" s="128" t="n"/>
      <c r="F41" s="128" t="n">
        <v>0.62</v>
      </c>
      <c r="G41" s="128" t="n"/>
      <c r="H41" s="128" t="n"/>
    </row>
    <row r="42">
      <c r="A42" s="137" t="inlineStr">
        <is>
          <t>Cost of buildings</t>
        </is>
      </c>
      <c r="B42" s="128" t="n">
        <v>0</v>
      </c>
      <c r="C42" s="128" t="n">
        <v>8</v>
      </c>
      <c r="D42" s="128" t="n">
        <v>6</v>
      </c>
      <c r="E42" s="128" t="n"/>
      <c r="F42" s="128" t="n">
        <v>0.43</v>
      </c>
      <c r="G42" s="128" t="n"/>
      <c r="H42" s="128" t="n"/>
    </row>
    <row r="43">
      <c r="A43" s="137" t="inlineStr">
        <is>
          <t>Cost of buildings</t>
        </is>
      </c>
      <c r="B43" s="128" t="n">
        <v>0</v>
      </c>
      <c r="C43" s="128" t="n">
        <v>9</v>
      </c>
      <c r="D43" s="128" t="n">
        <v>4.5</v>
      </c>
      <c r="E43" s="128" t="n"/>
      <c r="F43" s="128" t="n">
        <v>0.47</v>
      </c>
      <c r="G43" s="128" t="n"/>
      <c r="H43" s="128" t="n"/>
    </row>
    <row r="44">
      <c r="A44" s="137" t="inlineStr">
        <is>
          <t>Cost of buildings</t>
        </is>
      </c>
      <c r="B44" s="128" t="n">
        <v>0</v>
      </c>
      <c r="C44" s="128" t="n">
        <v>10</v>
      </c>
      <c r="D44" s="128" t="n">
        <v>10</v>
      </c>
      <c r="E44" s="128" t="n"/>
      <c r="F44" s="128" t="n">
        <v>0.54</v>
      </c>
      <c r="G44" s="128" t="n"/>
      <c r="H44" s="128" t="n"/>
    </row>
    <row r="45">
      <c r="A45" s="137" t="inlineStr">
        <is>
          <t>Cost of buildings</t>
        </is>
      </c>
      <c r="B45" s="128" t="n">
        <v>5</v>
      </c>
      <c r="C45" s="128" t="n">
        <v>2</v>
      </c>
      <c r="D45" s="128" t="n">
        <v>0</v>
      </c>
      <c r="E45" s="128" t="n"/>
      <c r="F45" s="128" t="n">
        <v>5.1</v>
      </c>
      <c r="G45" s="128" t="n"/>
      <c r="H45" s="128" t="n"/>
    </row>
    <row r="46">
      <c r="A46" s="137" t="inlineStr">
        <is>
          <t>Cost of buildings</t>
        </is>
      </c>
      <c r="B46" s="128" t="n">
        <v>0</v>
      </c>
      <c r="C46" s="128" t="n">
        <v>1</v>
      </c>
      <c r="D46" s="128" t="n">
        <v>3</v>
      </c>
      <c r="E46" s="128" t="n"/>
      <c r="F46" s="128" t="n">
        <v>0.06</v>
      </c>
      <c r="G46" s="128" t="n"/>
      <c r="H46" s="128" t="n"/>
    </row>
    <row r="47">
      <c r="A47" s="137" t="inlineStr">
        <is>
          <t>Cost of buildings</t>
        </is>
      </c>
      <c r="B47" s="128" t="n">
        <v>0</v>
      </c>
      <c r="C47" s="128" t="n">
        <v>0</v>
      </c>
      <c r="D47" s="128" t="n">
        <v>9</v>
      </c>
      <c r="E47" s="128" t="n"/>
      <c r="F47" s="128" t="n">
        <v>0.04</v>
      </c>
      <c r="G47" s="128" t="n"/>
      <c r="H47" s="128" t="n"/>
    </row>
    <row r="48">
      <c r="A48" s="137" t="inlineStr">
        <is>
          <t>Cost of buildings</t>
        </is>
      </c>
      <c r="B48" s="128" t="n">
        <v>1</v>
      </c>
      <c r="C48" s="128" t="n">
        <v>11</v>
      </c>
      <c r="D48" s="128" t="n">
        <v>6</v>
      </c>
      <c r="E48" s="128" t="n"/>
      <c r="F48" s="128" t="n">
        <v>1.57</v>
      </c>
      <c r="G48" s="128" t="n"/>
      <c r="H48" s="128" t="n"/>
    </row>
    <row r="49">
      <c r="A49" s="137" t="inlineStr">
        <is>
          <t>Cost of buildings</t>
        </is>
      </c>
      <c r="B49" s="128" t="n">
        <v>0</v>
      </c>
      <c r="C49" s="128" t="n">
        <v>1</v>
      </c>
      <c r="D49" s="128" t="n">
        <v>10</v>
      </c>
      <c r="E49" s="128" t="n"/>
      <c r="F49" s="128" t="n">
        <v>0.09</v>
      </c>
      <c r="G49" s="128" t="n"/>
      <c r="H49" s="128" t="n"/>
    </row>
    <row r="50">
      <c r="A50" s="137" t="inlineStr">
        <is>
          <t>Cost of buildings</t>
        </is>
      </c>
      <c r="B50" s="128" t="n">
        <v>0</v>
      </c>
      <c r="C50" s="128" t="n">
        <v>1</v>
      </c>
      <c r="D50" s="128" t="n">
        <v>2</v>
      </c>
      <c r="E50" s="128" t="n"/>
      <c r="F50" s="128" t="n">
        <v>0.06</v>
      </c>
      <c r="G50" s="128" t="n"/>
      <c r="H50" s="128" t="n"/>
    </row>
    <row r="51">
      <c r="A51" s="137" t="inlineStr">
        <is>
          <t>Cost of buildings</t>
        </is>
      </c>
      <c r="B51" s="128" t="n">
        <v>0</v>
      </c>
      <c r="C51" s="128" t="n">
        <v>0</v>
      </c>
      <c r="D51" s="128" t="n">
        <v>2</v>
      </c>
      <c r="E51" s="128" t="n"/>
      <c r="F51" s="128" t="n">
        <v>0.01</v>
      </c>
      <c r="G51" s="128" t="n"/>
      <c r="H51" s="128" t="n"/>
    </row>
    <row r="52">
      <c r="A52" s="137" t="inlineStr">
        <is>
          <t>Cost of buildings</t>
        </is>
      </c>
      <c r="B52" s="128" t="n">
        <v>0</v>
      </c>
      <c r="C52" s="128" t="n">
        <v>2</v>
      </c>
      <c r="D52" s="128" t="n">
        <v>2</v>
      </c>
      <c r="E52" s="128" t="n"/>
      <c r="F52" s="128" t="n">
        <v>0.11</v>
      </c>
      <c r="G52" s="128" t="n"/>
      <c r="H52" s="128" t="n"/>
    </row>
    <row r="53">
      <c r="A53" s="137" t="inlineStr">
        <is>
          <t>Cost of buildings</t>
        </is>
      </c>
      <c r="B53" s="128" t="n">
        <v>0</v>
      </c>
      <c r="C53" s="128" t="n">
        <v>2</v>
      </c>
      <c r="D53" s="128" t="n">
        <v>0</v>
      </c>
      <c r="E53" s="128" t="n"/>
      <c r="F53" s="128" t="n">
        <v>0.1</v>
      </c>
      <c r="G53" s="128" t="n"/>
      <c r="H53" s="128" t="n"/>
    </row>
    <row r="54">
      <c r="A54" s="137" t="inlineStr">
        <is>
          <t>Cost of buildings</t>
        </is>
      </c>
      <c r="B54" s="128" t="n">
        <v>0</v>
      </c>
      <c r="C54" s="128" t="n">
        <v>1</v>
      </c>
      <c r="D54" s="128" t="n">
        <v>0</v>
      </c>
      <c r="E54" s="128" t="n"/>
      <c r="F54" s="128" t="n">
        <v>0.05</v>
      </c>
      <c r="G54" s="128" t="n"/>
      <c r="H54" s="128" t="n"/>
    </row>
    <row r="55">
      <c r="A55" s="137" t="inlineStr">
        <is>
          <t>Cost of buildings</t>
        </is>
      </c>
      <c r="B55" s="128" t="n">
        <v>0</v>
      </c>
      <c r="C55" s="128" t="n">
        <v>1</v>
      </c>
      <c r="D55" s="128" t="n">
        <v>0</v>
      </c>
      <c r="E55" s="128" t="n"/>
      <c r="F55" s="128" t="n">
        <v>0.05</v>
      </c>
      <c r="G55" s="128" t="n"/>
      <c r="H55" s="128" t="n"/>
    </row>
    <row r="56">
      <c r="A56" s="137" t="inlineStr">
        <is>
          <t>Cost of buildings</t>
        </is>
      </c>
      <c r="B56" s="128" t="n">
        <v>0</v>
      </c>
      <c r="C56" s="128" t="n">
        <v>0</v>
      </c>
      <c r="D56" s="128" t="n">
        <v>5</v>
      </c>
      <c r="E56" s="128" t="n"/>
      <c r="F56" s="128" t="n">
        <v>0.02</v>
      </c>
      <c r="G56" s="128" t="n"/>
      <c r="H56" s="128" t="n"/>
    </row>
    <row r="57">
      <c r="A57" s="137" t="inlineStr">
        <is>
          <t>Cost of buildings</t>
        </is>
      </c>
      <c r="B57" s="128" t="n">
        <v>0</v>
      </c>
      <c r="C57" s="128" t="n">
        <v>2</v>
      </c>
      <c r="D57" s="128" t="n">
        <v>4.5</v>
      </c>
      <c r="E57" s="128" t="n"/>
      <c r="F57" s="128" t="n">
        <v>0.12</v>
      </c>
      <c r="G57" s="128" t="n"/>
      <c r="H57" s="128" t="n"/>
    </row>
    <row r="58">
      <c r="A58" s="137" t="inlineStr">
        <is>
          <t>Cost of buildings</t>
        </is>
      </c>
      <c r="B58" s="128" t="n">
        <v>0</v>
      </c>
      <c r="C58" s="128" t="n">
        <v>3</v>
      </c>
      <c r="D58" s="128" t="n">
        <v>4</v>
      </c>
      <c r="E58" s="128" t="n"/>
      <c r="F58" s="128" t="n">
        <v>0.17</v>
      </c>
      <c r="G58" s="128" t="n"/>
      <c r="H58" s="128" t="n"/>
    </row>
    <row r="59">
      <c r="A59" s="137" t="inlineStr">
        <is>
          <t>Cost of buildings</t>
        </is>
      </c>
      <c r="B59" s="128" t="n">
        <v>0</v>
      </c>
      <c r="C59" s="128" t="n">
        <v>3</v>
      </c>
      <c r="D59" s="128" t="n">
        <v>4</v>
      </c>
      <c r="E59" s="128" t="n"/>
      <c r="F59" s="128" t="n">
        <v>0.17</v>
      </c>
      <c r="G59" s="128" t="n"/>
      <c r="H59" s="128" t="n"/>
    </row>
    <row r="60">
      <c r="A60" s="137" t="inlineStr">
        <is>
          <t>Cost of buildings</t>
        </is>
      </c>
      <c r="B60" s="128" t="n">
        <v>0</v>
      </c>
      <c r="C60" s="128" t="n">
        <v>1</v>
      </c>
      <c r="D60" s="128" t="n">
        <v>4</v>
      </c>
      <c r="E60" s="128" t="n"/>
      <c r="F60" s="128" t="n">
        <v>0.07000000000000001</v>
      </c>
      <c r="G60" s="128" t="n"/>
      <c r="H60" s="128" t="n"/>
    </row>
    <row r="61">
      <c r="A61" s="137" t="inlineStr">
        <is>
          <t>Cost of buildings</t>
        </is>
      </c>
      <c r="B61" s="128" t="n">
        <v>0</v>
      </c>
      <c r="C61" s="128" t="n">
        <v>0</v>
      </c>
      <c r="D61" s="128" t="n">
        <v>6</v>
      </c>
      <c r="E61" s="128" t="n"/>
      <c r="F61" s="128" t="n">
        <v>0.03</v>
      </c>
      <c r="G61" s="128" t="n"/>
      <c r="H61" s="128" t="n"/>
    </row>
    <row r="62">
      <c r="A62" s="137" t="inlineStr">
        <is>
          <t>Cost of buildings</t>
        </is>
      </c>
      <c r="B62" s="128" t="n">
        <v>10</v>
      </c>
      <c r="C62" s="128" t="n">
        <v>13</v>
      </c>
      <c r="D62" s="128" t="n">
        <v>7</v>
      </c>
      <c r="E62" s="128" t="n"/>
      <c r="F62" s="128" t="n">
        <v>10.68</v>
      </c>
      <c r="G62" s="128" t="n"/>
      <c r="H62" s="128" t="n"/>
    </row>
    <row r="63">
      <c r="A63" s="138" t="inlineStr">
        <is>
          <t>Cost of buildings total</t>
        </is>
      </c>
      <c r="B63" s="139" t="n"/>
      <c r="C63" s="139" t="n"/>
      <c r="D63" s="139" t="n"/>
      <c r="E63" s="139" t="n"/>
      <c r="F63" s="139" t="n">
        <v>10.38</v>
      </c>
      <c r="G63" s="139" t="n">
        <v>-0.3</v>
      </c>
      <c r="H63" s="139" t="n"/>
    </row>
    <row r="64">
      <c r="A64" s="137" t="n"/>
      <c r="B64" s="128" t="n"/>
      <c r="C64" s="128" t="n"/>
      <c r="D64" s="128" t="n"/>
      <c r="E64" s="128" t="n"/>
      <c r="F64" s="128" t="n"/>
      <c r="G64" s="128" t="n"/>
      <c r="H64" s="128" t="n"/>
    </row>
    <row r="65">
      <c r="A65" s="136" t="inlineStr">
        <is>
          <t>Cost of the dairy</t>
        </is>
      </c>
      <c r="B65" s="128" t="n">
        <v>0</v>
      </c>
      <c r="C65" s="128" t="n">
        <v>1</v>
      </c>
      <c r="D65" s="128" t="n">
        <v>2</v>
      </c>
      <c r="E65" s="128" t="n"/>
      <c r="F65" s="128" t="n">
        <v>0.06</v>
      </c>
      <c r="G65" s="128" t="n"/>
      <c r="H65" s="128" t="n"/>
    </row>
    <row r="66">
      <c r="A66" s="137" t="inlineStr">
        <is>
          <t>Cost of the dairy</t>
        </is>
      </c>
      <c r="B66" s="128" t="n">
        <v>0</v>
      </c>
      <c r="C66" s="128" t="n">
        <v>0</v>
      </c>
      <c r="D66" s="128" t="n">
        <v>3</v>
      </c>
      <c r="E66" s="128" t="n"/>
      <c r="F66" s="128" t="n">
        <v>0.01</v>
      </c>
      <c r="G66" s="128" t="n"/>
      <c r="H66" s="128" t="n"/>
    </row>
    <row r="67">
      <c r="A67" s="137" t="inlineStr">
        <is>
          <t>Cost of the dairy</t>
        </is>
      </c>
      <c r="B67" s="128" t="n">
        <v>0</v>
      </c>
      <c r="C67" s="128" t="n">
        <v>0</v>
      </c>
      <c r="D67" s="128" t="n">
        <v>2</v>
      </c>
      <c r="E67" s="128" t="n"/>
      <c r="F67" s="128" t="n">
        <v>0.01</v>
      </c>
      <c r="G67" s="128" t="n"/>
      <c r="H67" s="128" t="n"/>
    </row>
    <row r="68">
      <c r="A68" s="137" t="inlineStr">
        <is>
          <t>Cost of the dairy</t>
        </is>
      </c>
      <c r="B68" s="128" t="n">
        <v>0</v>
      </c>
      <c r="C68" s="128" t="n">
        <v>2</v>
      </c>
      <c r="D68" s="128" t="n">
        <v>6</v>
      </c>
      <c r="E68" s="128" t="n"/>
      <c r="F68" s="128" t="n">
        <v>0.12</v>
      </c>
      <c r="G68" s="128" t="n"/>
      <c r="H68" s="128" t="n"/>
    </row>
    <row r="69">
      <c r="A69" s="137" t="inlineStr">
        <is>
          <t>Cost of the dairy</t>
        </is>
      </c>
      <c r="B69" s="128" t="n">
        <v>0</v>
      </c>
      <c r="C69" s="128" t="n">
        <v>4</v>
      </c>
      <c r="D69" s="128" t="n">
        <v>1</v>
      </c>
      <c r="E69" s="128" t="n"/>
      <c r="F69" s="128" t="n">
        <v>0.2</v>
      </c>
      <c r="G69" s="128" t="n"/>
      <c r="H69" s="128" t="n"/>
    </row>
    <row r="70">
      <c r="A70" s="138" t="inlineStr">
        <is>
          <t>Cost of the dairy total</t>
        </is>
      </c>
      <c r="B70" s="139" t="n"/>
      <c r="C70" s="139" t="n"/>
      <c r="D70" s="139" t="n"/>
      <c r="E70" s="139" t="n"/>
      <c r="F70" s="139" t="n">
        <v>0.2</v>
      </c>
      <c r="G70" s="139" t="n">
        <v>0</v>
      </c>
      <c r="H70" s="139" t="n"/>
    </row>
    <row r="71">
      <c r="A71" s="137" t="n"/>
      <c r="B71" s="128" t="n"/>
      <c r="C71" s="128" t="n"/>
      <c r="D71" s="128" t="n"/>
      <c r="E71" s="128" t="n"/>
      <c r="F71" s="128" t="n"/>
      <c r="G71" s="128" t="n"/>
      <c r="H71" s="128" t="n"/>
    </row>
    <row r="72">
      <c r="A72" s="136" t="inlineStr">
        <is>
          <t>Purchase of stock</t>
        </is>
      </c>
      <c r="B72" s="128" t="n">
        <v>7</v>
      </c>
      <c r="C72" s="128" t="n">
        <v>10</v>
      </c>
      <c r="D72" s="128" t="n">
        <v>0</v>
      </c>
      <c r="E72" s="128" t="n"/>
      <c r="F72" s="128" t="n">
        <v>7.5</v>
      </c>
      <c r="G72" s="128" t="n"/>
      <c r="H72" s="128" t="n"/>
    </row>
    <row r="73">
      <c r="A73" s="137" t="inlineStr">
        <is>
          <t>Purchase of stock</t>
        </is>
      </c>
      <c r="B73" s="128" t="n">
        <v>7</v>
      </c>
      <c r="C73" s="128" t="n">
        <v>10</v>
      </c>
      <c r="D73" s="128" t="n">
        <v>0</v>
      </c>
      <c r="E73" s="128" t="n"/>
      <c r="F73" s="128" t="n">
        <v>7.5</v>
      </c>
      <c r="G73" s="128" t="n"/>
      <c r="H73" s="128" t="n"/>
    </row>
    <row r="74">
      <c r="A74" s="138" t="inlineStr">
        <is>
          <t>Purchase of stock total</t>
        </is>
      </c>
      <c r="B74" s="139" t="n"/>
      <c r="C74" s="139" t="n"/>
      <c r="D74" s="139" t="n"/>
      <c r="E74" s="139" t="n"/>
      <c r="F74" s="139" t="n">
        <v>7.5</v>
      </c>
      <c r="G74" s="139" t="n">
        <v>0</v>
      </c>
      <c r="H74" s="139" t="n"/>
    </row>
    <row r="75">
      <c r="A75" s="137" t="n"/>
      <c r="B75" s="128" t="n"/>
      <c r="C75" s="128" t="n"/>
      <c r="D75" s="128" t="n"/>
      <c r="E75" s="128" t="n"/>
      <c r="F75" s="128" t="n"/>
      <c r="G75" s="128" t="n"/>
      <c r="H75" s="128" t="n"/>
    </row>
    <row r="76">
      <c r="A76" s="136" t="inlineStr">
        <is>
          <t>Threshing and winnowing</t>
        </is>
      </c>
      <c r="B76" s="128" t="n">
        <v>0</v>
      </c>
      <c r="C76" s="128" t="n">
        <v>10</v>
      </c>
      <c r="D76" s="128" t="n">
        <v>11.5</v>
      </c>
      <c r="E76" s="128" t="n"/>
      <c r="F76" s="128" t="n">
        <v>0.55</v>
      </c>
      <c r="G76" s="128" t="n"/>
      <c r="H76" s="128" t="n"/>
    </row>
    <row r="77">
      <c r="A77" s="137" t="inlineStr">
        <is>
          <t>Threshing and winnowing</t>
        </is>
      </c>
      <c r="B77" s="128" t="n">
        <v>0</v>
      </c>
      <c r="C77" s="128" t="n">
        <v>19</v>
      </c>
      <c r="D77" s="128" t="n">
        <v>3.5</v>
      </c>
      <c r="E77" s="128" t="n"/>
      <c r="F77" s="128" t="n">
        <v>0.96</v>
      </c>
      <c r="G77" s="128" t="n"/>
      <c r="H77" s="128" t="n"/>
    </row>
    <row r="78">
      <c r="A78" s="137" t="inlineStr">
        <is>
          <t>Threshing and winnowing</t>
        </is>
      </c>
      <c r="B78" s="128" t="n">
        <v>0</v>
      </c>
      <c r="C78" s="128" t="n">
        <v>2</v>
      </c>
      <c r="D78" s="128" t="n">
        <v>8.5</v>
      </c>
      <c r="E78" s="128" t="n"/>
      <c r="F78" s="128" t="n">
        <v>0.14</v>
      </c>
      <c r="G78" s="128" t="n"/>
      <c r="H78" s="128" t="n"/>
    </row>
    <row r="79">
      <c r="A79" s="137" t="inlineStr">
        <is>
          <t>Threshing and winnowing</t>
        </is>
      </c>
      <c r="B79" s="128" t="n">
        <v>0</v>
      </c>
      <c r="C79" s="128" t="n">
        <v>3</v>
      </c>
      <c r="D79" s="128" t="n">
        <v>9.25</v>
      </c>
      <c r="E79" s="128" t="n"/>
      <c r="F79" s="128" t="n">
        <v>0.19</v>
      </c>
      <c r="G79" s="128" t="n"/>
      <c r="H79" s="128" t="n"/>
    </row>
    <row r="80">
      <c r="A80" s="137" t="inlineStr">
        <is>
          <t>Threshing and winnowing</t>
        </is>
      </c>
      <c r="B80" s="128" t="n">
        <v>7</v>
      </c>
      <c r="C80" s="128" t="n">
        <v>10</v>
      </c>
      <c r="D80" s="128" t="n">
        <v>0</v>
      </c>
      <c r="E80" s="128" t="n"/>
      <c r="F80" s="128" t="n">
        <v>7.5</v>
      </c>
      <c r="G80" s="128" t="n"/>
      <c r="H80" s="128" t="n"/>
    </row>
    <row r="81">
      <c r="A81" s="138" t="inlineStr">
        <is>
          <t>Threshing and winnowing total</t>
        </is>
      </c>
      <c r="B81" s="139" t="n"/>
      <c r="C81" s="139" t="n"/>
      <c r="D81" s="139" t="n"/>
      <c r="E81" s="139" t="n"/>
      <c r="F81" s="139" t="n">
        <v>1.84</v>
      </c>
      <c r="G81" s="139" t="n">
        <v>-5.66</v>
      </c>
      <c r="H81" s="139" t="n"/>
    </row>
    <row r="82">
      <c r="A82" s="137" t="n"/>
      <c r="B82" s="128" t="n"/>
      <c r="C82" s="128" t="n"/>
      <c r="D82" s="128" t="n"/>
      <c r="E82" s="128" t="n"/>
      <c r="F82" s="128" t="n"/>
      <c r="G82" s="128" t="n"/>
      <c r="H82" s="128" t="n"/>
    </row>
    <row r="83">
      <c r="A83" s="136" t="inlineStr">
        <is>
          <t>Cost of the mills</t>
        </is>
      </c>
      <c r="B83" s="128" t="n">
        <v>0</v>
      </c>
      <c r="C83" s="128" t="n">
        <v>2</v>
      </c>
      <c r="D83" s="128" t="n">
        <v>0</v>
      </c>
      <c r="E83" s="128" t="n"/>
      <c r="F83" s="128" t="n">
        <v>0.1</v>
      </c>
      <c r="G83" s="128" t="n"/>
      <c r="H83" s="128" t="n"/>
    </row>
    <row r="84">
      <c r="A84" s="137" t="inlineStr">
        <is>
          <t>Cost of the mills</t>
        </is>
      </c>
      <c r="B84" s="128" t="n">
        <v>0</v>
      </c>
      <c r="C84" s="128" t="n">
        <v>0</v>
      </c>
      <c r="D84" s="128" t="n">
        <v>4</v>
      </c>
      <c r="E84" s="128" t="n"/>
      <c r="F84" s="128" t="n">
        <v>0.02</v>
      </c>
      <c r="G84" s="128" t="n"/>
      <c r="H84" s="128" t="n"/>
    </row>
    <row r="85">
      <c r="A85" s="137" t="inlineStr">
        <is>
          <t>Cost of the mills</t>
        </is>
      </c>
      <c r="B85" s="128" t="n">
        <v>0</v>
      </c>
      <c r="C85" s="128" t="n">
        <v>0</v>
      </c>
      <c r="D85" s="128" t="n">
        <v>4</v>
      </c>
      <c r="E85" s="128" t="n"/>
      <c r="F85" s="128" t="n">
        <v>0.02</v>
      </c>
      <c r="G85" s="128" t="n"/>
      <c r="H85" s="128" t="n"/>
    </row>
    <row r="86">
      <c r="A86" s="137" t="inlineStr">
        <is>
          <t>Cost of the mills</t>
        </is>
      </c>
      <c r="B86" s="128" t="n">
        <v>0</v>
      </c>
      <c r="C86" s="128" t="n">
        <v>1</v>
      </c>
      <c r="D86" s="128" t="n">
        <v>0</v>
      </c>
      <c r="E86" s="128" t="n"/>
      <c r="F86" s="128" t="n">
        <v>0.05</v>
      </c>
      <c r="G86" s="128" t="n"/>
      <c r="H86" s="128" t="n"/>
    </row>
    <row r="87">
      <c r="A87" s="137" t="inlineStr">
        <is>
          <t>Cost of the mills</t>
        </is>
      </c>
      <c r="B87" s="128" t="n">
        <v>0</v>
      </c>
      <c r="C87" s="128" t="n">
        <v>4</v>
      </c>
      <c r="D87" s="128" t="n">
        <v>0</v>
      </c>
      <c r="E87" s="128" t="n"/>
      <c r="F87" s="128" t="n">
        <v>0.2</v>
      </c>
      <c r="G87" s="128" t="n"/>
      <c r="H87" s="128" t="n"/>
    </row>
    <row r="88">
      <c r="A88" s="137" t="inlineStr">
        <is>
          <t>Cost of the mills</t>
        </is>
      </c>
      <c r="B88" s="128" t="n">
        <v>0</v>
      </c>
      <c r="C88" s="128" t="n">
        <v>1</v>
      </c>
      <c r="D88" s="128" t="n">
        <v>0</v>
      </c>
      <c r="E88" s="128" t="n"/>
      <c r="F88" s="128" t="n">
        <v>0.05</v>
      </c>
      <c r="G88" s="128" t="n"/>
      <c r="H88" s="128" t="n"/>
    </row>
    <row r="89">
      <c r="A89" s="137" t="inlineStr">
        <is>
          <t>Cost of the mills</t>
        </is>
      </c>
      <c r="B89" s="128" t="n">
        <v>0</v>
      </c>
      <c r="C89" s="128" t="n">
        <v>5</v>
      </c>
      <c r="D89" s="128" t="n">
        <v>0</v>
      </c>
      <c r="E89" s="128" t="n"/>
      <c r="F89" s="128" t="n">
        <v>0.25</v>
      </c>
      <c r="G89" s="128" t="n"/>
      <c r="H89" s="128" t="n"/>
    </row>
    <row r="90">
      <c r="A90" s="137" t="inlineStr">
        <is>
          <t>Cost of the mills</t>
        </is>
      </c>
      <c r="B90" s="128" t="n">
        <v>0</v>
      </c>
      <c r="C90" s="128" t="n">
        <v>1</v>
      </c>
      <c r="D90" s="128" t="n">
        <v>0</v>
      </c>
      <c r="E90" s="128" t="n"/>
      <c r="F90" s="128" t="n">
        <v>0.05</v>
      </c>
      <c r="G90" s="128" t="n"/>
      <c r="H90" s="128" t="n"/>
    </row>
    <row r="91">
      <c r="A91" s="137" t="inlineStr">
        <is>
          <t>Cost of the mills</t>
        </is>
      </c>
      <c r="B91" s="128" t="n">
        <v>1</v>
      </c>
      <c r="C91" s="128" t="n">
        <v>0</v>
      </c>
      <c r="D91" s="128" t="n">
        <v>0</v>
      </c>
      <c r="E91" s="128" t="n"/>
      <c r="F91" s="128" t="n">
        <v>1</v>
      </c>
      <c r="G91" s="128" t="n"/>
      <c r="H91" s="128" t="n"/>
    </row>
    <row r="92">
      <c r="A92" s="137" t="inlineStr">
        <is>
          <t>Cost of the mills</t>
        </is>
      </c>
      <c r="B92" s="128" t="n">
        <v>0</v>
      </c>
      <c r="C92" s="128" t="n">
        <v>1</v>
      </c>
      <c r="D92" s="128" t="n">
        <v>10.5</v>
      </c>
      <c r="E92" s="128" t="n"/>
      <c r="F92" s="128" t="n">
        <v>0.09</v>
      </c>
      <c r="G92" s="128" t="n"/>
      <c r="H92" s="128" t="n"/>
    </row>
    <row r="93">
      <c r="A93" s="137" t="inlineStr">
        <is>
          <t>Cost of the mills</t>
        </is>
      </c>
      <c r="B93" s="128" t="n">
        <v>0</v>
      </c>
      <c r="C93" s="128" t="n">
        <v>1</v>
      </c>
      <c r="D93" s="128" t="n">
        <v>3</v>
      </c>
      <c r="E93" s="128" t="n"/>
      <c r="F93" s="128" t="n">
        <v>0.06</v>
      </c>
      <c r="G93" s="128" t="n"/>
      <c r="H93" s="128" t="n"/>
    </row>
    <row r="94">
      <c r="A94" s="137" t="inlineStr">
        <is>
          <t>Cost of the mills</t>
        </is>
      </c>
      <c r="B94" s="128" t="n">
        <v>0</v>
      </c>
      <c r="C94" s="128" t="n">
        <v>1</v>
      </c>
      <c r="D94" s="128" t="n">
        <v>0</v>
      </c>
      <c r="E94" s="128" t="n"/>
      <c r="F94" s="128" t="n">
        <v>0.05</v>
      </c>
      <c r="G94" s="128" t="n"/>
      <c r="H94" s="128" t="n"/>
    </row>
    <row r="95">
      <c r="A95" s="137" t="inlineStr">
        <is>
          <t>Cost of the mills</t>
        </is>
      </c>
      <c r="B95" s="128" t="n">
        <v>0</v>
      </c>
      <c r="C95" s="128" t="n">
        <v>1</v>
      </c>
      <c r="D95" s="128" t="n">
        <v>8</v>
      </c>
      <c r="E95" s="128" t="n"/>
      <c r="F95" s="128" t="n">
        <v>0.08</v>
      </c>
      <c r="G95" s="128" t="n"/>
      <c r="H95" s="128" t="n"/>
    </row>
    <row r="96">
      <c r="A96" s="137" t="inlineStr">
        <is>
          <t>Cost of the mills</t>
        </is>
      </c>
      <c r="B96" s="128" t="n">
        <v>0</v>
      </c>
      <c r="C96" s="128" t="n">
        <v>2</v>
      </c>
      <c r="D96" s="128" t="n">
        <v>0</v>
      </c>
      <c r="E96" s="128" t="n"/>
      <c r="F96" s="128" t="n">
        <v>0.1</v>
      </c>
      <c r="G96" s="128" t="n"/>
      <c r="H96" s="128" t="n"/>
    </row>
    <row r="97">
      <c r="A97" s="137" t="inlineStr">
        <is>
          <t>Cost of the mills</t>
        </is>
      </c>
      <c r="B97" s="128" t="n">
        <v>0</v>
      </c>
      <c r="C97" s="128" t="n">
        <v>1</v>
      </c>
      <c r="D97" s="128" t="n">
        <v>4</v>
      </c>
      <c r="E97" s="128" t="n"/>
      <c r="F97" s="128" t="n">
        <v>0.07000000000000001</v>
      </c>
      <c r="G97" s="128" t="n"/>
      <c r="H97" s="128" t="n"/>
    </row>
    <row r="98">
      <c r="A98" s="137" t="inlineStr">
        <is>
          <t>Cost of the mills</t>
        </is>
      </c>
      <c r="B98" s="128" t="n">
        <v>0</v>
      </c>
      <c r="C98" s="128" t="n">
        <v>6</v>
      </c>
      <c r="D98" s="128" t="n">
        <v>3</v>
      </c>
      <c r="E98" s="128" t="n"/>
      <c r="F98" s="128" t="n">
        <v>0.31</v>
      </c>
      <c r="G98" s="128" t="n"/>
      <c r="H98" s="128" t="n"/>
    </row>
    <row r="99">
      <c r="A99" s="137" t="inlineStr">
        <is>
          <t>Cost of the mills</t>
        </is>
      </c>
      <c r="B99" s="128" t="n">
        <v>0</v>
      </c>
      <c r="C99" s="128" t="n">
        <v>2</v>
      </c>
      <c r="D99" s="128" t="n">
        <v>8</v>
      </c>
      <c r="E99" s="128" t="n"/>
      <c r="F99" s="128" t="n">
        <v>0.13</v>
      </c>
      <c r="G99" s="128" t="n"/>
      <c r="H99" s="128" t="n"/>
    </row>
    <row r="100">
      <c r="A100" s="137" t="inlineStr">
        <is>
          <t>Cost of the mills</t>
        </is>
      </c>
      <c r="B100" s="128" t="n">
        <v>0</v>
      </c>
      <c r="C100" s="128" t="n">
        <v>0</v>
      </c>
      <c r="D100" s="128" t="n">
        <v>6</v>
      </c>
      <c r="E100" s="128" t="n"/>
      <c r="F100" s="128" t="n">
        <v>0.03</v>
      </c>
      <c r="G100" s="128" t="n"/>
      <c r="H100" s="128" t="n"/>
    </row>
    <row r="101">
      <c r="A101" s="137" t="inlineStr">
        <is>
          <t>Cost of the mills</t>
        </is>
      </c>
      <c r="B101" s="128" t="n">
        <v>0</v>
      </c>
      <c r="C101" s="128" t="n">
        <v>0</v>
      </c>
      <c r="D101" s="128" t="n">
        <v>6</v>
      </c>
      <c r="E101" s="128" t="n"/>
      <c r="F101" s="128" t="n">
        <v>0.03</v>
      </c>
      <c r="G101" s="128" t="n"/>
      <c r="H101" s="128" t="n"/>
    </row>
    <row r="102">
      <c r="A102" s="137" t="inlineStr">
        <is>
          <t>Cost of the mills</t>
        </is>
      </c>
      <c r="B102" s="128" t="n">
        <v>2</v>
      </c>
      <c r="C102" s="128" t="n">
        <v>13</v>
      </c>
      <c r="D102" s="128" t="n">
        <v>8.5</v>
      </c>
      <c r="E102" s="128" t="n"/>
      <c r="F102" s="128" t="n">
        <v>2.69</v>
      </c>
      <c r="G102" s="128" t="n"/>
      <c r="H102" s="128" t="n"/>
    </row>
    <row r="103">
      <c r="A103" s="138" t="inlineStr">
        <is>
          <t>Cost of the mills total</t>
        </is>
      </c>
      <c r="B103" s="139" t="n"/>
      <c r="C103" s="139" t="n"/>
      <c r="D103" s="139" t="n"/>
      <c r="E103" s="139" t="n"/>
      <c r="F103" s="139" t="n">
        <v>2.69</v>
      </c>
      <c r="G103" s="139" t="n">
        <v>0</v>
      </c>
      <c r="H103" s="139" t="n"/>
    </row>
    <row r="104">
      <c r="A104" s="137" t="n"/>
      <c r="B104" s="128" t="n"/>
      <c r="C104" s="128" t="n"/>
      <c r="D104" s="128" t="n"/>
      <c r="E104" s="128" t="n"/>
      <c r="F104" s="128" t="n"/>
      <c r="G104" s="128" t="n"/>
      <c r="H104" s="128" t="n"/>
    </row>
    <row r="105">
      <c r="A105" s="136" t="inlineStr">
        <is>
          <t>Expenses of the steward</t>
        </is>
      </c>
      <c r="B105" s="128" t="n">
        <v>0</v>
      </c>
      <c r="C105" s="128" t="n">
        <v>17</v>
      </c>
      <c r="D105" s="128" t="n">
        <v>11.5</v>
      </c>
      <c r="E105" s="128" t="n"/>
      <c r="F105" s="128" t="n">
        <v>0.9</v>
      </c>
      <c r="G105" s="128" t="n"/>
      <c r="H105" s="128" t="n"/>
    </row>
    <row r="106">
      <c r="A106" s="138" t="inlineStr">
        <is>
          <t>Expenses of the steward total</t>
        </is>
      </c>
      <c r="B106" s="139" t="n"/>
      <c r="C106" s="139" t="n"/>
      <c r="D106" s="139" t="n"/>
      <c r="E106" s="139" t="n"/>
      <c r="F106" s="139" t="n">
        <v>0.9</v>
      </c>
      <c r="G106" s="139" t="n">
        <v>0</v>
      </c>
      <c r="H106" s="139" t="n"/>
    </row>
    <row r="107">
      <c r="A107" s="137" t="n"/>
      <c r="B107" s="128" t="n"/>
      <c r="C107" s="128" t="n"/>
      <c r="D107" s="128" t="n"/>
      <c r="E107" s="128" t="n"/>
      <c r="F107" s="128" t="n"/>
      <c r="G107" s="128" t="n"/>
      <c r="H107" s="128" t="n"/>
    </row>
    <row r="108">
      <c r="A108" s="137" t="inlineStr">
        <is>
          <t>Total of all expenses</t>
        </is>
      </c>
      <c r="B108" s="128" t="n">
        <v>55</v>
      </c>
      <c r="C108" s="128" t="n">
        <v>15</v>
      </c>
      <c r="D108" s="128" t="n">
        <v>10</v>
      </c>
      <c r="E108" s="128" t="n"/>
      <c r="F108" s="128" t="n">
        <v>55.79</v>
      </c>
      <c r="G108" s="128" t="n"/>
      <c r="H108" s="128" t="n"/>
    </row>
    <row r="109">
      <c r="A109" s="137" t="inlineStr">
        <is>
          <t>Total of all expenses</t>
        </is>
      </c>
      <c r="B109" s="128" t="n"/>
      <c r="C109" s="128" t="n"/>
      <c r="D109" s="128" t="n"/>
      <c r="E109" s="128" t="n"/>
      <c r="F109" s="128" t="n">
        <v>0</v>
      </c>
      <c r="G109" s="128" t="n">
        <v>-55.79</v>
      </c>
      <c r="H109" s="128" t="n"/>
    </row>
    <row r="110">
      <c r="A110" s="137" t="n"/>
      <c r="B110" s="128" t="n"/>
      <c r="C110" s="128" t="n"/>
      <c r="D110" s="128" t="n"/>
      <c r="E110" s="128" t="n"/>
      <c r="F110" s="128" t="n"/>
      <c r="G110" s="128" t="n"/>
      <c r="H110" s="128" t="n"/>
    </row>
    <row r="111">
      <c r="A111" s="136" t="inlineStr">
        <is>
          <t>And he owes</t>
        </is>
      </c>
      <c r="B111" s="128" t="n">
        <v>112</v>
      </c>
      <c r="C111" s="128" t="n">
        <v>11</v>
      </c>
      <c r="D111" s="128" t="n">
        <v>9.25</v>
      </c>
      <c r="E111" s="128" t="n"/>
      <c r="F111" s="128" t="n">
        <v>112.59</v>
      </c>
      <c r="G111" s="128" t="n"/>
      <c r="H111" s="128" t="n"/>
    </row>
    <row r="112">
      <c r="A112" s="138" t="inlineStr">
        <is>
          <t>And he owes total</t>
        </is>
      </c>
      <c r="B112" s="139" t="n"/>
      <c r="C112" s="139" t="n"/>
      <c r="D112" s="139" t="n"/>
      <c r="E112" s="139" t="n"/>
      <c r="F112" s="139" t="n">
        <v>112.59</v>
      </c>
      <c r="G112" s="139" t="n">
        <v>0</v>
      </c>
      <c r="H112" s="139" t="n"/>
    </row>
    <row r="113">
      <c r="A113" s="137" t="n"/>
      <c r="B113" s="128" t="n"/>
      <c r="C113" s="128" t="n"/>
      <c r="D113" s="128" t="n"/>
      <c r="E113" s="128" t="n"/>
      <c r="F113" s="128" t="n"/>
      <c r="G113" s="128" t="n"/>
      <c r="H113" s="128" t="n"/>
    </row>
    <row r="114">
      <c r="A114" s="136" t="inlineStr">
        <is>
          <t>Cash deliveries</t>
        </is>
      </c>
      <c r="B114" s="128" t="n">
        <v>107</v>
      </c>
      <c r="C114" s="128" t="n">
        <v>0</v>
      </c>
      <c r="D114" s="128" t="n">
        <v>0</v>
      </c>
      <c r="E114" s="128" t="n"/>
      <c r="F114" s="128" t="n">
        <v>107</v>
      </c>
      <c r="G114" s="128" t="n"/>
      <c r="H114" s="128" t="n"/>
    </row>
    <row r="115">
      <c r="A115" s="137" t="inlineStr">
        <is>
          <t>Cash deliveries</t>
        </is>
      </c>
      <c r="B115" s="128" t="n">
        <v>107</v>
      </c>
      <c r="C115" s="128" t="n">
        <v>0</v>
      </c>
      <c r="D115" s="128" t="n">
        <v>0</v>
      </c>
      <c r="E115" s="128" t="n"/>
      <c r="F115" s="128" t="n">
        <v>107</v>
      </c>
      <c r="G115" s="128" t="n"/>
      <c r="H115" s="128" t="n"/>
    </row>
    <row r="116">
      <c r="A116" s="138" t="inlineStr">
        <is>
          <t>Cash deliveries total</t>
        </is>
      </c>
      <c r="B116" s="139" t="n"/>
      <c r="C116" s="139" t="n"/>
      <c r="D116" s="139" t="n"/>
      <c r="E116" s="139" t="n"/>
      <c r="F116" s="139" t="n">
        <v>107</v>
      </c>
      <c r="G116" s="139" t="n">
        <v>0</v>
      </c>
      <c r="H116" s="139" t="n"/>
    </row>
    <row r="117">
      <c r="A117" s="137" t="n"/>
      <c r="B117" s="128" t="n"/>
      <c r="C117" s="128" t="n"/>
      <c r="D117" s="128" t="n"/>
      <c r="E117" s="128" t="n"/>
      <c r="F117" s="128" t="n"/>
      <c r="G117" s="128" t="n"/>
      <c r="H117" s="128" t="n"/>
    </row>
    <row r="118">
      <c r="A118" s="136" t="inlineStr">
        <is>
          <t>Total of all allowances and cash deliveries</t>
        </is>
      </c>
      <c r="B118" s="128" t="n">
        <v>109</v>
      </c>
      <c r="C118" s="128" t="n">
        <v>16</v>
      </c>
      <c r="D118" s="128" t="n">
        <v>7.25</v>
      </c>
      <c r="E118" s="128" t="n"/>
      <c r="F118" s="128" t="n">
        <v>109.83</v>
      </c>
      <c r="G118" s="128" t="n"/>
      <c r="H118" s="128" t="n"/>
    </row>
    <row r="119"/>
    <row r="120">
      <c r="A120" s="38" t="inlineStr">
        <is>
          <t>Total of all expenses per account</t>
        </is>
      </c>
      <c r="B120" t="n">
        <v>55</v>
      </c>
      <c r="C120" t="n">
        <v>15</v>
      </c>
      <c r="D120" t="n">
        <v>10</v>
      </c>
      <c r="F120">
        <f>F108</f>
        <v/>
      </c>
    </row>
    <row r="121">
      <c r="A121" s="38" t="inlineStr">
        <is>
          <t>Total of all expenses (calculated here)</t>
        </is>
      </c>
      <c r="F121">
        <f>SUMIF(A1:A107,"* total",F1:F107)</f>
        <v/>
      </c>
    </row>
    <row r="122">
      <c r="A122" s="38" t="inlineStr">
        <is>
          <t>Total fixed investment</t>
        </is>
      </c>
    </row>
    <row r="123">
      <c r="A123"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DOWNTON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0.35</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38</v>
      </c>
      <c r="C12" t="n">
        <v>0</v>
      </c>
      <c r="H12" t="n">
        <v>0</v>
      </c>
      <c r="I12" t="n">
        <v>1</v>
      </c>
      <c r="L12">
        <f>B12+C12-H12</f>
        <v/>
      </c>
      <c r="M12">
        <f>L12-B12</f>
        <v/>
      </c>
      <c r="N12">
        <f>C12</f>
        <v/>
      </c>
      <c r="O12" t="n">
        <v>0</v>
      </c>
      <c r="P12" s="72">
        <f>O12*K12</f>
        <v/>
      </c>
      <c r="R12" t="n">
        <v>0</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6</v>
      </c>
      <c r="C14" t="n">
        <v>0</v>
      </c>
      <c r="H14" t="n">
        <v>0</v>
      </c>
      <c r="I14" t="n">
        <v>0</v>
      </c>
      <c r="L14">
        <f>B14+C14-H14</f>
        <v/>
      </c>
      <c r="M14">
        <f>L14-B14</f>
        <v/>
      </c>
      <c r="N14">
        <f>C14</f>
        <v/>
      </c>
      <c r="O14" t="n">
        <v>0</v>
      </c>
      <c r="P14" s="72">
        <f>O14*K14</f>
        <v/>
      </c>
      <c r="R14" t="n">
        <v>0</v>
      </c>
      <c r="S14">
        <f>O14*M14</f>
        <v/>
      </c>
      <c r="T14">
        <f>O14*N14</f>
        <v/>
      </c>
    </row>
    <row r="15">
      <c r="A15" t="inlineStr">
        <is>
          <t>Steers</t>
        </is>
      </c>
      <c r="B15" t="n">
        <v>7</v>
      </c>
      <c r="C15" t="n">
        <v>0</v>
      </c>
      <c r="H15" t="n">
        <v>2</v>
      </c>
      <c r="I15" t="n">
        <v>0</v>
      </c>
      <c r="L15">
        <f>B15+C15-H15</f>
        <v/>
      </c>
      <c r="M15">
        <f>L15-B15</f>
        <v/>
      </c>
      <c r="N15">
        <f>C15</f>
        <v/>
      </c>
      <c r="O15" t="n">
        <v>0.4</v>
      </c>
      <c r="P15" s="72">
        <f>O15*K15</f>
        <v/>
      </c>
      <c r="R15" t="n">
        <v>0.8</v>
      </c>
      <c r="S15">
        <f>O15*M15</f>
        <v/>
      </c>
      <c r="T15">
        <f>O15*N15</f>
        <v/>
      </c>
    </row>
    <row r="16">
      <c r="A16" t="inlineStr">
        <is>
          <t>Bullocks</t>
        </is>
      </c>
      <c r="B16" t="n">
        <v>4</v>
      </c>
      <c r="C16" t="n">
        <v>0</v>
      </c>
      <c r="H16" t="n">
        <v>0</v>
      </c>
      <c r="I16" t="n">
        <v>0</v>
      </c>
      <c r="L16">
        <f>B16+C16-H16</f>
        <v/>
      </c>
      <c r="M16">
        <f>L16-B16</f>
        <v/>
      </c>
      <c r="N16">
        <f>C16</f>
        <v/>
      </c>
      <c r="O16" t="n">
        <v>0</v>
      </c>
      <c r="P16" s="72">
        <f>O16*K16</f>
        <v/>
      </c>
      <c r="R16" t="n">
        <v>0</v>
      </c>
      <c r="S16">
        <f>O16*M16</f>
        <v/>
      </c>
      <c r="T16">
        <f>O16*N16</f>
        <v/>
      </c>
    </row>
    <row r="17">
      <c r="A17" t="inlineStr">
        <is>
          <t>Yearlings</t>
        </is>
      </c>
      <c r="B17" t="n">
        <v>4</v>
      </c>
      <c r="C17" t="n">
        <v>0</v>
      </c>
      <c r="H17" t="n">
        <v>0</v>
      </c>
      <c r="I17" t="n">
        <v>0</v>
      </c>
      <c r="L17">
        <f>B17+C17-H17</f>
        <v/>
      </c>
      <c r="M17">
        <f>L17-B17</f>
        <v/>
      </c>
      <c r="N17">
        <f>C17</f>
        <v/>
      </c>
      <c r="O17" t="n">
        <v>0</v>
      </c>
      <c r="P17" s="72">
        <f>O17*K17</f>
        <v/>
      </c>
      <c r="R17" t="n">
        <v>0</v>
      </c>
      <c r="S17">
        <f>O17*M17</f>
        <v/>
      </c>
      <c r="T17">
        <f>O17*N17</f>
        <v/>
      </c>
    </row>
    <row r="18">
      <c r="A18" t="inlineStr">
        <is>
          <t>Calves</t>
        </is>
      </c>
      <c r="B18" t="n">
        <v>5</v>
      </c>
      <c r="C18" t="n">
        <v>5</v>
      </c>
      <c r="H18" t="n">
        <v>0</v>
      </c>
      <c r="I18" t="n">
        <v>0</v>
      </c>
      <c r="L18">
        <f>B18+C18-H18</f>
        <v/>
      </c>
      <c r="M18">
        <f>L18-B18</f>
        <v/>
      </c>
      <c r="N18">
        <f>C18</f>
        <v/>
      </c>
      <c r="O18" t="n">
        <v>0</v>
      </c>
      <c r="P18" s="72">
        <f>O18*K18</f>
        <v/>
      </c>
      <c r="R18" t="n">
        <v>0</v>
      </c>
      <c r="S18">
        <f>O18*M18</f>
        <v/>
      </c>
      <c r="T18">
        <f>O18*N18</f>
        <v/>
      </c>
    </row>
    <row r="19">
      <c r="A19" t="inlineStr">
        <is>
          <t>Wethers</t>
        </is>
      </c>
      <c r="B19" t="n">
        <v>416</v>
      </c>
      <c r="C19" t="n">
        <v>0</v>
      </c>
      <c r="H19" t="n">
        <v>65</v>
      </c>
      <c r="I19" t="n">
        <v>30</v>
      </c>
      <c r="L19">
        <f>B19+C19-H19</f>
        <v/>
      </c>
      <c r="M19">
        <f>L19-B19</f>
        <v/>
      </c>
      <c r="N19">
        <f>C19</f>
        <v/>
      </c>
      <c r="O19" t="n">
        <v>0.08923076923076922</v>
      </c>
      <c r="P19" s="72">
        <f>O19*K19</f>
        <v/>
      </c>
      <c r="R19" t="n">
        <v>5.8</v>
      </c>
      <c r="S19">
        <f>O19*M19</f>
        <v/>
      </c>
      <c r="T19">
        <f>O19*N19</f>
        <v/>
      </c>
    </row>
    <row r="20">
      <c r="A20" t="inlineStr">
        <is>
          <t>Rams</t>
        </is>
      </c>
      <c r="B20" t="n">
        <v>8</v>
      </c>
      <c r="C20" t="n">
        <v>0</v>
      </c>
      <c r="H20" t="n">
        <v>0</v>
      </c>
      <c r="I20" t="n">
        <v>3</v>
      </c>
      <c r="L20">
        <f>B20+C20-H20</f>
        <v/>
      </c>
      <c r="M20">
        <f>L20-B20</f>
        <v/>
      </c>
      <c r="N20">
        <f>C20</f>
        <v/>
      </c>
      <c r="O20" t="n">
        <v>0</v>
      </c>
      <c r="P20" s="72">
        <f>O20*K20</f>
        <v/>
      </c>
      <c r="R20" t="n">
        <v>0</v>
      </c>
      <c r="S20">
        <f>O20*M20</f>
        <v/>
      </c>
      <c r="T20">
        <f>O20*N20</f>
        <v/>
      </c>
    </row>
    <row r="21">
      <c r="A21" t="inlineStr">
        <is>
          <t>Ewes</t>
        </is>
      </c>
      <c r="B21" t="n">
        <v>511</v>
      </c>
      <c r="C21" t="n">
        <v>0</v>
      </c>
      <c r="H21" t="n">
        <v>76</v>
      </c>
      <c r="I21" t="n">
        <v>49</v>
      </c>
      <c r="L21">
        <f>B21+C21-H21</f>
        <v/>
      </c>
      <c r="M21">
        <f>L21-B21</f>
        <v/>
      </c>
      <c r="N21">
        <f>C21</f>
        <v/>
      </c>
      <c r="O21" t="n">
        <v>0.0625</v>
      </c>
      <c r="P21" s="72">
        <f>O21*K21</f>
        <v/>
      </c>
      <c r="Q21" t="n">
        <v>0</v>
      </c>
      <c r="R21" t="n">
        <v>4.75</v>
      </c>
      <c r="S21">
        <f>O21*M21</f>
        <v/>
      </c>
      <c r="T21">
        <f>O21*N21</f>
        <v/>
      </c>
    </row>
    <row r="22">
      <c r="A22" t="inlineStr">
        <is>
          <t>Hoggs</t>
        </is>
      </c>
      <c r="B22" t="n">
        <v>304</v>
      </c>
      <c r="C22" t="n">
        <v>0</v>
      </c>
      <c r="H22" t="n">
        <v>22</v>
      </c>
      <c r="I22" t="n">
        <v>30</v>
      </c>
      <c r="L22">
        <f>B22+C22-H22</f>
        <v/>
      </c>
      <c r="M22">
        <f>L22-B22</f>
        <v/>
      </c>
      <c r="N22">
        <f>C22</f>
        <v/>
      </c>
      <c r="O22" t="n">
        <v>0.05</v>
      </c>
      <c r="P22" s="72">
        <f>O22*K22</f>
        <v/>
      </c>
      <c r="R22" t="n">
        <v>1.1</v>
      </c>
      <c r="S22">
        <f>O22*M22</f>
        <v/>
      </c>
      <c r="T22">
        <f>O22*N22</f>
        <v/>
      </c>
    </row>
    <row r="23">
      <c r="A23" t="inlineStr">
        <is>
          <t>Lambs</t>
        </is>
      </c>
      <c r="B23" t="n">
        <v>302</v>
      </c>
      <c r="C23" t="n">
        <v>442</v>
      </c>
      <c r="H23" t="n">
        <v>30</v>
      </c>
      <c r="I23" t="n">
        <v>81</v>
      </c>
      <c r="L23">
        <f>B23+C23-H23</f>
        <v/>
      </c>
      <c r="M23">
        <f>L23-B23</f>
        <v/>
      </c>
      <c r="N23">
        <f>C23</f>
        <v/>
      </c>
      <c r="O23" t="n">
        <v>0.02933333333333333</v>
      </c>
      <c r="P23" s="72">
        <f>O23*K23</f>
        <v/>
      </c>
      <c r="R23" t="n">
        <v>0.88</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3</v>
      </c>
      <c r="C25" t="n">
        <v>0</v>
      </c>
      <c r="H25" t="n">
        <v>0</v>
      </c>
      <c r="I25" t="n">
        <v>0</v>
      </c>
      <c r="L25">
        <f>B25+C25-H25</f>
        <v/>
      </c>
      <c r="M25">
        <f>L25-B25</f>
        <v/>
      </c>
      <c r="N25">
        <f>C25</f>
        <v/>
      </c>
      <c r="O25" t="n">
        <v>0</v>
      </c>
      <c r="P25" s="72">
        <f>O25*K25</f>
        <v/>
      </c>
      <c r="R25" t="n">
        <v>0</v>
      </c>
      <c r="S25">
        <f>O25*M25</f>
        <v/>
      </c>
      <c r="T25">
        <f>O25*N25</f>
        <v/>
      </c>
    </row>
    <row r="26">
      <c r="A26" t="inlineStr">
        <is>
          <t>Pigs</t>
        </is>
      </c>
      <c r="B26" t="n">
        <v>35</v>
      </c>
      <c r="C26" t="n">
        <v>0</v>
      </c>
      <c r="H26" t="n">
        <v>20</v>
      </c>
      <c r="I26" t="n">
        <v>8</v>
      </c>
      <c r="L26">
        <f>B26+C26-H26</f>
        <v/>
      </c>
      <c r="M26">
        <f>L26-B26</f>
        <v/>
      </c>
      <c r="N26">
        <f>C26</f>
        <v/>
      </c>
      <c r="O26" t="n">
        <v>0.1665</v>
      </c>
      <c r="P26" s="72">
        <f>O26*K26</f>
        <v/>
      </c>
      <c r="R26" t="n">
        <v>3.33</v>
      </c>
      <c r="S26">
        <f>O26*M26</f>
        <v/>
      </c>
      <c r="T26">
        <f>O26*N26</f>
        <v/>
      </c>
    </row>
    <row r="27">
      <c r="A27" t="inlineStr">
        <is>
          <t>Hoggets</t>
        </is>
      </c>
      <c r="B27" t="n">
        <v>39</v>
      </c>
      <c r="C27" t="n">
        <v>0</v>
      </c>
      <c r="H27" t="n">
        <v>0</v>
      </c>
      <c r="I27" t="n">
        <v>7</v>
      </c>
      <c r="L27">
        <f>B27+C27-H27</f>
        <v/>
      </c>
      <c r="M27">
        <f>L27-B27</f>
        <v/>
      </c>
      <c r="N27">
        <f>C27</f>
        <v/>
      </c>
      <c r="O27" t="n">
        <v>0</v>
      </c>
      <c r="P27" s="72">
        <f>O27*K27</f>
        <v/>
      </c>
      <c r="R27" t="n">
        <v>0</v>
      </c>
      <c r="S27">
        <f>O27*M27</f>
        <v/>
      </c>
      <c r="T27">
        <f>O27*N27</f>
        <v/>
      </c>
    </row>
    <row r="28">
      <c r="A28" t="inlineStr">
        <is>
          <t>Piglets</t>
        </is>
      </c>
      <c r="B28" t="n">
        <v>39</v>
      </c>
      <c r="C28" t="n">
        <v>45</v>
      </c>
      <c r="H28" t="n">
        <v>0</v>
      </c>
      <c r="I28" t="n">
        <v>0</v>
      </c>
      <c r="L28">
        <f>B28+C28-H28</f>
        <v/>
      </c>
      <c r="M28">
        <f>L28-B28</f>
        <v/>
      </c>
      <c r="N28">
        <f>C28</f>
        <v/>
      </c>
      <c r="O28" t="n">
        <v>0</v>
      </c>
      <c r="P28" s="72">
        <f>O28*K28</f>
        <v/>
      </c>
      <c r="R28" t="n">
        <v>0</v>
      </c>
      <c r="S28">
        <f>O28*M28</f>
        <v/>
      </c>
      <c r="T28">
        <f>O28*N28</f>
        <v/>
      </c>
    </row>
    <row r="29">
      <c r="A29" t="inlineStr">
        <is>
          <t>Swans</t>
        </is>
      </c>
      <c r="B29" t="n">
        <v>13</v>
      </c>
      <c r="C29" t="n">
        <v>3</v>
      </c>
      <c r="H29" t="n">
        <v>0</v>
      </c>
      <c r="I29" t="n">
        <v>2</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215</v>
      </c>
      <c r="I35" t="n">
        <v>0</v>
      </c>
    </row>
    <row r="36">
      <c r="A36" t="inlineStr">
        <is>
          <t>Lamb's wool</t>
        </is>
      </c>
      <c r="B36" t="n">
        <v>0</v>
      </c>
      <c r="C36" t="n">
        <v>0</v>
      </c>
      <c r="H36" t="n">
        <v>0</v>
      </c>
      <c r="I36" t="n">
        <v>0</v>
      </c>
    </row>
    <row r="37">
      <c r="A37" t="inlineStr">
        <is>
          <t>Wool locks</t>
        </is>
      </c>
      <c r="B37" t="n">
        <v>0</v>
      </c>
      <c r="C37" t="n">
        <v>0</v>
      </c>
      <c r="H37" t="n">
        <v>0</v>
      </c>
      <c r="I37" t="n">
        <v>1</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5</v>
      </c>
      <c r="C46" t="n">
        <v>5</v>
      </c>
      <c r="H46" t="n">
        <v>0</v>
      </c>
      <c r="I46" t="n">
        <v>0</v>
      </c>
    </row>
    <row r="47">
      <c r="A47" s="68" t="inlineStr">
        <is>
          <t>pigs</t>
        </is>
      </c>
      <c r="B47" t="n">
        <v>35</v>
      </c>
      <c r="C47" t="n">
        <v>0</v>
      </c>
      <c r="H47" t="n">
        <v>20</v>
      </c>
      <c r="I47" t="n">
        <v>8</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90</v>
      </c>
      <c r="I53" t="n">
        <v>37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19</v>
      </c>
    </row>
    <row r="60">
      <c r="A60" t="inlineStr">
        <is>
          <t>Lambskins</t>
        </is>
      </c>
      <c r="B60" t="n">
        <v>0</v>
      </c>
      <c r="C60" t="n">
        <v>0</v>
      </c>
      <c r="H60" t="n">
        <v>56</v>
      </c>
      <c r="I60" t="n">
        <v>62</v>
      </c>
    </row>
    <row r="61">
      <c r="A61" t="inlineStr">
        <is>
          <t>Rotted skins</t>
        </is>
      </c>
      <c r="B61" t="n">
        <v>0</v>
      </c>
      <c r="C61" t="n">
        <v>0</v>
      </c>
      <c r="H61" t="n">
        <v>0</v>
      </c>
      <c r="I61" t="n">
        <v>7</v>
      </c>
    </row>
    <row r="62">
      <c r="A62" t="inlineStr">
        <is>
          <t>Shorn skins</t>
        </is>
      </c>
      <c r="B62" t="n">
        <v>0</v>
      </c>
      <c r="C62" t="n">
        <v>0</v>
      </c>
      <c r="H62" t="n">
        <v>0</v>
      </c>
      <c r="I62" t="n">
        <v>12</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1.14</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71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downton manor</t>
        </is>
      </c>
      <c r="B2" t="inlineStr">
        <is>
          <t>the account i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ralph elyot', reeve there, answers for £1 14 shilling 10pence of arrears from his last account of the preceding year.</t>
        </is>
      </c>
      <c r="C3" t="n">
        <v>1.74</v>
      </c>
      <c r="D3" t="n">
        <v>1</v>
      </c>
      <c r="E3" t="n">
        <v>14</v>
      </c>
      <c r="F3" t="n">
        <v>10</v>
      </c>
      <c r="H3" t="n">
        <v>0</v>
      </c>
      <c r="I3" t="n">
        <v>0</v>
      </c>
      <c r="J3" t="n">
        <v>0</v>
      </c>
      <c r="K3" t="n">
        <v>0</v>
      </c>
      <c r="L3" t="n">
        <v>0</v>
      </c>
      <c r="M3" t="n">
        <v>0</v>
      </c>
      <c r="N3" t="n">
        <v>0</v>
      </c>
    </row>
    <row r="4">
      <c r="A4" t="inlineStr">
        <is>
          <t>arrears</t>
        </is>
      </c>
      <c r="B4" t="inlineStr">
        <is>
          <t>total, £1 14 shilling 10pence.</t>
        </is>
      </c>
      <c r="C4" t="n">
        <v>1.74</v>
      </c>
      <c r="D4" t="n">
        <v>1</v>
      </c>
      <c r="E4" t="n">
        <v>14</v>
      </c>
      <c r="F4" t="n">
        <v>10</v>
      </c>
      <c r="H4" t="n">
        <v>0</v>
      </c>
      <c r="I4" t="n">
        <v>0</v>
      </c>
      <c r="J4" t="n">
        <v>0</v>
      </c>
      <c r="K4" t="n">
        <v>0</v>
      </c>
      <c r="L4" t="n">
        <v>0</v>
      </c>
      <c r="M4" t="n">
        <v>0</v>
      </c>
      <c r="N4" t="n">
        <v>0</v>
      </c>
    </row>
    <row r="5">
      <c r="A5" t="inlineStr">
        <is>
          <t>rents</t>
        </is>
      </c>
      <c r="B5" t="inlineStr">
        <is>
          <t>and for £12 13 shilling 10.75pence for all rents of assize at christmas.</t>
        </is>
      </c>
      <c r="C5" t="n">
        <v>12.69</v>
      </c>
      <c r="D5" t="n">
        <v>12</v>
      </c>
      <c r="E5" t="n">
        <v>13</v>
      </c>
      <c r="F5" t="n">
        <v>10.75</v>
      </c>
      <c r="H5" t="n">
        <v>0</v>
      </c>
      <c r="I5" t="n">
        <v>0</v>
      </c>
      <c r="J5" t="n">
        <v>0</v>
      </c>
      <c r="K5" t="n">
        <v>0</v>
      </c>
      <c r="L5" t="n">
        <v>0</v>
      </c>
      <c r="M5" t="n">
        <v>0</v>
      </c>
      <c r="N5" t="n">
        <v>0</v>
      </c>
    </row>
    <row r="6">
      <c r="A6" t="inlineStr">
        <is>
          <t>rents</t>
        </is>
      </c>
      <c r="B6" t="inlineStr">
        <is>
          <t>£13 14 shilling 11.75pence at easter (23 march).</t>
        </is>
      </c>
      <c r="C6" t="n">
        <v>13.75</v>
      </c>
      <c r="D6" t="n">
        <v>13</v>
      </c>
      <c r="E6" t="n">
        <v>14</v>
      </c>
      <c r="F6" t="n">
        <v>11.75</v>
      </c>
      <c r="H6" t="n">
        <v>0</v>
      </c>
      <c r="I6" t="n">
        <v>0</v>
      </c>
      <c r="J6" t="n">
        <v>0</v>
      </c>
      <c r="K6" t="n">
        <v>0</v>
      </c>
      <c r="L6" t="n">
        <v>0</v>
      </c>
      <c r="M6" t="n">
        <v>0</v>
      </c>
      <c r="N6" t="n">
        <v>0</v>
      </c>
    </row>
    <row r="7">
      <c r="A7" t="inlineStr">
        <is>
          <t>rents</t>
        </is>
      </c>
      <c r="B7" t="inlineStr">
        <is>
          <t>£12 13 shilling 10.75pence at the nativity of st john the baptist (24 june).</t>
        </is>
      </c>
      <c r="C7" t="n">
        <v>12.69</v>
      </c>
      <c r="D7" t="n">
        <v>12</v>
      </c>
      <c r="E7" t="n">
        <v>13</v>
      </c>
      <c r="F7" t="n">
        <v>10.75</v>
      </c>
      <c r="H7" t="n">
        <v>0</v>
      </c>
      <c r="I7" t="n">
        <v>0</v>
      </c>
      <c r="J7" t="n">
        <v>0</v>
      </c>
      <c r="K7" t="n">
        <v>0</v>
      </c>
      <c r="L7" t="n">
        <v>0</v>
      </c>
      <c r="M7" t="n">
        <v>0</v>
      </c>
      <c r="N7" t="n">
        <v>0</v>
      </c>
    </row>
    <row r="8">
      <c r="A8" t="inlineStr">
        <is>
          <t>rents</t>
        </is>
      </c>
      <c r="B8" t="inlineStr">
        <is>
          <t>£30 14 shilling 8.25pence at michaelmas (29 september).</t>
        </is>
      </c>
      <c r="C8" t="n">
        <v>30.73</v>
      </c>
      <c r="D8" t="n">
        <v>30</v>
      </c>
      <c r="E8" t="n">
        <v>14</v>
      </c>
      <c r="F8" t="n">
        <v>8.25</v>
      </c>
      <c r="H8" t="n">
        <v>0</v>
      </c>
      <c r="I8" t="n">
        <v>0</v>
      </c>
      <c r="J8" t="n">
        <v>0</v>
      </c>
      <c r="K8" t="n">
        <v>0</v>
      </c>
      <c r="L8" t="n">
        <v>0</v>
      </c>
      <c r="M8" t="n">
        <v>0</v>
      </c>
      <c r="N8" t="n">
        <v>0</v>
      </c>
    </row>
    <row r="9">
      <c r="A9" t="inlineStr">
        <is>
          <t>rents</t>
        </is>
      </c>
      <c r="B9" t="inlineStr">
        <is>
          <t>10 shilling for the rent of thomas druet and john chaunter' for land which belonged to john dyirimyng' at the same term.</t>
        </is>
      </c>
      <c r="C9" t="n">
        <v>0.5</v>
      </c>
      <c r="D9" t="n">
        <v>0</v>
      </c>
      <c r="E9" t="n">
        <v>10</v>
      </c>
      <c r="F9" t="n">
        <v>0</v>
      </c>
      <c r="H9" t="n">
        <v>0</v>
      </c>
      <c r="I9" t="n">
        <v>0</v>
      </c>
      <c r="J9" t="n">
        <v>0</v>
      </c>
      <c r="K9" t="n">
        <v>0</v>
      </c>
      <c r="L9" t="n">
        <v>0</v>
      </c>
      <c r="M9" t="n">
        <v>0</v>
      </c>
      <c r="N9" t="n">
        <v>0</v>
      </c>
    </row>
    <row r="10">
      <c r="A10" t="inlineStr">
        <is>
          <t>rents</t>
        </is>
      </c>
      <c r="B10" t="inlineStr">
        <is>
          <t>7 shilling 1pence for the increment of rent of john de bottenham, nicholas abbot, john warennere and john, son of robert clerke, for the year.</t>
        </is>
      </c>
      <c r="C10" t="n">
        <v>0.35</v>
      </c>
      <c r="D10" t="n">
        <v>0</v>
      </c>
      <c r="E10" t="n">
        <v>7</v>
      </c>
      <c r="F10" t="n">
        <v>1</v>
      </c>
      <c r="H10" t="n">
        <v>0</v>
      </c>
      <c r="I10" t="n">
        <v>0</v>
      </c>
      <c r="J10" t="n">
        <v>0</v>
      </c>
      <c r="K10" t="n">
        <v>0</v>
      </c>
      <c r="L10" t="n">
        <v>0</v>
      </c>
      <c r="M10" t="n">
        <v>0</v>
      </c>
      <c r="N10" t="n">
        <v>0</v>
      </c>
    </row>
    <row r="11">
      <c r="A11" t="inlineStr">
        <is>
          <t>rents</t>
        </is>
      </c>
      <c r="B11" t="inlineStr">
        <is>
          <t>1 shilling for the increment of rent of john hulas for certain land in britford.</t>
        </is>
      </c>
      <c r="C11" t="n">
        <v>0.05</v>
      </c>
      <c r="D11" t="n">
        <v>0</v>
      </c>
      <c r="E11" t="n">
        <v>1</v>
      </c>
      <c r="F11" t="n">
        <v>0</v>
      </c>
      <c r="H11" t="n">
        <v>0</v>
      </c>
      <c r="I11" t="n">
        <v>0</v>
      </c>
      <c r="J11" t="n">
        <v>0</v>
      </c>
      <c r="K11" t="n">
        <v>0</v>
      </c>
      <c r="L11" t="n">
        <v>0</v>
      </c>
      <c r="M11" t="n">
        <v>0</v>
      </c>
      <c r="N11" t="n">
        <v>0</v>
      </c>
    </row>
    <row r="12">
      <c r="A12" t="inlineStr">
        <is>
          <t>rents</t>
        </is>
      </c>
      <c r="B12" t="inlineStr">
        <is>
          <t>1 shilling 8pence for the increment of rent of thomas vale for 1 messuage and 5 acres of free land which belonged to john bottenham, the lord's villein, in bodenham.</t>
        </is>
      </c>
      <c r="C12" t="n">
        <v>0.08</v>
      </c>
      <c r="D12" t="n">
        <v>0</v>
      </c>
      <c r="E12" t="n">
        <v>1</v>
      </c>
      <c r="F12" t="n">
        <v>8</v>
      </c>
      <c r="H12" t="n">
        <v>0</v>
      </c>
      <c r="I12" t="n">
        <v>0</v>
      </c>
      <c r="J12" t="n">
        <v>0</v>
      </c>
      <c r="K12" t="n">
        <v>0</v>
      </c>
      <c r="L12" t="n">
        <v>0</v>
      </c>
      <c r="M12" t="n">
        <v>0</v>
      </c>
      <c r="N12" t="n">
        <v>0</v>
      </c>
    </row>
    <row r="13">
      <c r="A13" t="inlineStr">
        <is>
          <t>rents</t>
        </is>
      </c>
      <c r="B13" t="inlineStr">
        <is>
          <t>2pence for the increment of rent of john patyn' for 1 parcel of land of the lord's ground of the moat (de la mote) beside the gate of the curia.</t>
        </is>
      </c>
      <c r="C13" t="n">
        <v>0.01</v>
      </c>
      <c r="D13" t="n">
        <v>0</v>
      </c>
      <c r="E13" t="n">
        <v>0</v>
      </c>
      <c r="F13" t="n">
        <v>2</v>
      </c>
      <c r="H13" t="n">
        <v>0</v>
      </c>
      <c r="I13" t="n">
        <v>0</v>
      </c>
      <c r="J13" t="n">
        <v>0</v>
      </c>
      <c r="K13" t="n">
        <v>0</v>
      </c>
      <c r="L13" t="n">
        <v>0</v>
      </c>
      <c r="M13" t="n">
        <v>0</v>
      </c>
      <c r="N13" t="n">
        <v>0</v>
      </c>
    </row>
    <row r="14">
      <c r="A14" t="inlineStr">
        <is>
          <t>rents</t>
        </is>
      </c>
      <c r="B14" t="inlineStr">
        <is>
          <t>total, £70 17 shilling 4.5pence.</t>
        </is>
      </c>
      <c r="C14" t="n">
        <v>70.87</v>
      </c>
      <c r="D14" t="n">
        <v>70</v>
      </c>
      <c r="E14" t="n">
        <v>17</v>
      </c>
      <c r="F14" t="n">
        <v>4.5</v>
      </c>
      <c r="H14" t="n">
        <v>0</v>
      </c>
      <c r="I14" t="n">
        <v>0</v>
      </c>
      <c r="J14" t="n">
        <v>0</v>
      </c>
      <c r="K14" t="n">
        <v>0</v>
      </c>
      <c r="L14" t="n">
        <v>0</v>
      </c>
      <c r="M14" t="n">
        <v>0</v>
      </c>
      <c r="N14" t="n">
        <v>0</v>
      </c>
    </row>
    <row r="15">
      <c r="A15" t="inlineStr">
        <is>
          <t>quittances of rent</t>
        </is>
      </c>
      <c r="B15" t="inlineStr">
        <is>
          <t>in quittance of the reeve of the manor for the year 5 shilling.</t>
        </is>
      </c>
      <c r="C15" t="n">
        <v>0.25</v>
      </c>
      <c r="D15" t="n">
        <v>0</v>
      </c>
      <c r="E15" t="n">
        <v>5</v>
      </c>
      <c r="F15" t="n">
        <v>0</v>
      </c>
      <c r="H15" t="n">
        <v>0</v>
      </c>
      <c r="I15" t="n">
        <v>0</v>
      </c>
      <c r="J15" t="n">
        <v>0</v>
      </c>
      <c r="K15" t="n">
        <v>0</v>
      </c>
      <c r="L15" t="n">
        <v>0</v>
      </c>
      <c r="M15" t="n">
        <v>0</v>
      </c>
      <c r="N15" t="n">
        <v>0</v>
      </c>
    </row>
    <row r="16">
      <c r="A16" t="inlineStr">
        <is>
          <t>quittances of rent</t>
        </is>
      </c>
      <c r="B16" t="inlineStr">
        <is>
          <t>2 haywards of wick and east downton 4 shilling, or 2 shilling each.</t>
        </is>
      </c>
      <c r="C16" t="n">
        <v>0.2</v>
      </c>
      <c r="D16" t="n">
        <v>0</v>
      </c>
      <c r="E16" t="n">
        <v>4</v>
      </c>
      <c r="F16" t="n">
        <v>0</v>
      </c>
      <c r="H16" t="n">
        <v>0</v>
      </c>
      <c r="I16" t="n">
        <v>0</v>
      </c>
      <c r="J16" t="n">
        <v>0</v>
      </c>
      <c r="K16" t="n">
        <v>0</v>
      </c>
      <c r="L16" t="n">
        <v>0</v>
      </c>
      <c r="M16" t="n">
        <v>0</v>
      </c>
      <c r="N16" t="n">
        <v>0</v>
      </c>
    </row>
    <row r="17">
      <c r="A17" t="inlineStr">
        <is>
          <t>quittances of rent</t>
        </is>
      </c>
      <c r="B17" t="inlineStr">
        <is>
          <t>1 ploughman, nothing, because he has the lord's livery as made clear elsewhere.</t>
        </is>
      </c>
      <c r="C17" t="n">
        <v>0</v>
      </c>
      <c r="D17" t="n">
        <v>0</v>
      </c>
      <c r="E17" t="n">
        <v>0</v>
      </c>
      <c r="F17" t="n">
        <v>0</v>
      </c>
      <c r="H17" t="n">
        <v>0</v>
      </c>
      <c r="I17" t="n">
        <v>0</v>
      </c>
      <c r="J17" t="n">
        <v>0</v>
      </c>
      <c r="K17" t="n">
        <v>0</v>
      </c>
      <c r="L17" t="n">
        <v>0</v>
      </c>
      <c r="M17" t="n">
        <v>0</v>
      </c>
      <c r="N17" t="n">
        <v>0</v>
      </c>
    </row>
    <row r="18">
      <c r="A18" t="inlineStr">
        <is>
          <t>quittances of rent</t>
        </is>
      </c>
      <c r="B18" t="inlineStr">
        <is>
          <t>2 oxherds, nothing this year, because they have the lord's livery as made clear elsewhere.</t>
        </is>
      </c>
      <c r="C18" t="n">
        <v>0</v>
      </c>
      <c r="D18" t="n">
        <v>0</v>
      </c>
      <c r="E18" t="n">
        <v>0</v>
      </c>
      <c r="F18" t="n">
        <v>0</v>
      </c>
      <c r="H18" t="n">
        <v>0</v>
      </c>
      <c r="I18" t="n">
        <v>0</v>
      </c>
      <c r="J18" t="n">
        <v>0</v>
      </c>
      <c r="K18" t="n">
        <v>0</v>
      </c>
      <c r="L18" t="n">
        <v>0</v>
      </c>
      <c r="M18" t="n">
        <v>0</v>
      </c>
      <c r="N18" t="n">
        <v>0</v>
      </c>
    </row>
    <row r="19">
      <c r="A19" t="inlineStr">
        <is>
          <t>quittances of rent</t>
        </is>
      </c>
      <c r="B19" t="inlineStr">
        <is>
          <t>1 shepherd of ewes, nothing, for a similar reason.</t>
        </is>
      </c>
      <c r="C19" t="n">
        <v>0</v>
      </c>
      <c r="D19" t="n">
        <v>0</v>
      </c>
      <c r="E19" t="n">
        <v>0</v>
      </c>
      <c r="F19" t="n">
        <v>0</v>
      </c>
      <c r="H19" t="n">
        <v>0</v>
      </c>
      <c r="I19" t="n">
        <v>0</v>
      </c>
      <c r="J19" t="n">
        <v>0</v>
      </c>
      <c r="K19" t="n">
        <v>0</v>
      </c>
      <c r="L19" t="n">
        <v>0</v>
      </c>
      <c r="M19" t="n">
        <v>0</v>
      </c>
      <c r="N19" t="n">
        <v>0</v>
      </c>
    </row>
    <row r="20">
      <c r="A20" t="inlineStr">
        <is>
          <t>quittances of rent</t>
        </is>
      </c>
      <c r="B20" t="inlineStr">
        <is>
          <t>1 shepherd of hoggs, nothing, for a similar reason.</t>
        </is>
      </c>
      <c r="C20" t="n">
        <v>0</v>
      </c>
      <c r="D20" t="n">
        <v>0</v>
      </c>
      <c r="E20" t="n">
        <v>0</v>
      </c>
      <c r="F20" t="n">
        <v>0</v>
      </c>
      <c r="H20" t="n">
        <v>0</v>
      </c>
      <c r="I20" t="n">
        <v>0</v>
      </c>
      <c r="J20" t="n">
        <v>0</v>
      </c>
      <c r="K20" t="n">
        <v>0</v>
      </c>
      <c r="L20" t="n">
        <v>0</v>
      </c>
      <c r="M20" t="n">
        <v>0</v>
      </c>
      <c r="N20" t="n">
        <v>0</v>
      </c>
    </row>
    <row r="21">
      <c r="A21" t="inlineStr">
        <is>
          <t>quittances of rent</t>
        </is>
      </c>
      <c r="B21" t="inlineStr">
        <is>
          <t>1 keeper of wethers, nothing, for a similar reason.</t>
        </is>
      </c>
      <c r="C21" t="n">
        <v>0</v>
      </c>
      <c r="D21" t="n">
        <v>0</v>
      </c>
      <c r="E21" t="n">
        <v>0</v>
      </c>
      <c r="F21" t="n">
        <v>0</v>
      </c>
      <c r="H21" t="n">
        <v>0</v>
      </c>
      <c r="I21" t="n">
        <v>0</v>
      </c>
      <c r="J21" t="n">
        <v>0</v>
      </c>
      <c r="K21" t="n">
        <v>0</v>
      </c>
      <c r="L21" t="n">
        <v>0</v>
      </c>
      <c r="M21" t="n">
        <v>0</v>
      </c>
      <c r="N21" t="n">
        <v>0</v>
      </c>
    </row>
    <row r="22">
      <c r="A22" t="inlineStr">
        <is>
          <t>quittances of rent</t>
        </is>
      </c>
      <c r="B22" t="inlineStr">
        <is>
          <t>1 bullock-keeper, nothing, for a similar reason.</t>
        </is>
      </c>
      <c r="C22" t="n">
        <v>0</v>
      </c>
      <c r="D22" t="n">
        <v>0</v>
      </c>
      <c r="E22" t="n">
        <v>0</v>
      </c>
      <c r="F22" t="n">
        <v>0</v>
      </c>
      <c r="H22" t="n">
        <v>0</v>
      </c>
      <c r="I22" t="n">
        <v>0</v>
      </c>
      <c r="J22" t="n">
        <v>0</v>
      </c>
      <c r="K22" t="n">
        <v>0</v>
      </c>
      <c r="L22" t="n">
        <v>0</v>
      </c>
      <c r="M22" t="n">
        <v>0</v>
      </c>
      <c r="N22" t="n">
        <v>0</v>
      </c>
    </row>
    <row r="23">
      <c r="A23" t="inlineStr">
        <is>
          <t>quittances of rent</t>
        </is>
      </c>
      <c r="B23" t="inlineStr">
        <is>
          <t>1 swineherd, nothing, for a similar reason.</t>
        </is>
      </c>
      <c r="C23" t="n">
        <v>0</v>
      </c>
      <c r="D23" t="n">
        <v>0</v>
      </c>
      <c r="E23" t="n">
        <v>0</v>
      </c>
      <c r="F23" t="n">
        <v>0</v>
      </c>
      <c r="H23" t="n">
        <v>0</v>
      </c>
      <c r="I23" t="n">
        <v>0</v>
      </c>
      <c r="J23" t="n">
        <v>0</v>
      </c>
      <c r="K23" t="n">
        <v>0</v>
      </c>
      <c r="L23" t="n">
        <v>0</v>
      </c>
      <c r="M23" t="n">
        <v>0</v>
      </c>
      <c r="N23" t="n">
        <v>0</v>
      </c>
    </row>
    <row r="24">
      <c r="A24" t="inlineStr">
        <is>
          <t>quittances of rent</t>
        </is>
      </c>
      <c r="B24" t="inlineStr">
        <is>
          <t>1 virgate of land for the repair of the mill-bridge as long as it pleases the lord 5 shilling.</t>
        </is>
      </c>
      <c r="C24" t="n">
        <v>0.25</v>
      </c>
      <c r="D24" t="n">
        <v>0</v>
      </c>
      <c r="E24" t="n">
        <v>5</v>
      </c>
      <c r="F24" t="n">
        <v>0</v>
      </c>
      <c r="H24" t="n">
        <v>0</v>
      </c>
      <c r="I24" t="n">
        <v>0</v>
      </c>
      <c r="J24" t="n">
        <v>0</v>
      </c>
      <c r="K24" t="n">
        <v>0</v>
      </c>
      <c r="L24" t="n">
        <v>0</v>
      </c>
      <c r="M24" t="n">
        <v>0</v>
      </c>
      <c r="N24" t="n">
        <v>0</v>
      </c>
    </row>
    <row r="25">
      <c r="A25" t="inlineStr">
        <is>
          <t>quittances of rent</t>
        </is>
      </c>
      <c r="B25" t="inlineStr">
        <is>
          <t>total, 14 shilling.</t>
        </is>
      </c>
      <c r="C25" t="n">
        <v>0.7</v>
      </c>
      <c r="D25" t="n">
        <v>0</v>
      </c>
      <c r="E25" t="n">
        <v>14</v>
      </c>
      <c r="F25" t="n">
        <v>0</v>
      </c>
      <c r="H25" t="n">
        <v>0</v>
      </c>
      <c r="I25" t="n">
        <v>0</v>
      </c>
      <c r="J25" t="n">
        <v>0</v>
      </c>
      <c r="K25" t="n">
        <v>0</v>
      </c>
      <c r="L25" t="n">
        <v>0</v>
      </c>
      <c r="M25" t="n">
        <v>0</v>
      </c>
      <c r="N25" t="n">
        <v>0</v>
      </c>
    </row>
    <row r="26">
      <c r="A26" t="inlineStr">
        <is>
          <t>defaults of rent</t>
        </is>
      </c>
      <c r="B26" t="inlineStr">
        <is>
          <t>in default of 2 ferlings of land drawn into demesne in the borough, 6 shilling for the year.</t>
        </is>
      </c>
      <c r="C26" t="n">
        <v>0.3</v>
      </c>
      <c r="D26" t="n">
        <v>0</v>
      </c>
      <c r="E26" t="n">
        <v>6</v>
      </c>
      <c r="F26" t="n">
        <v>0</v>
      </c>
      <c r="H26" t="n">
        <v>0</v>
      </c>
      <c r="I26" t="n">
        <v>0</v>
      </c>
      <c r="J26" t="n">
        <v>0</v>
      </c>
      <c r="K26" t="n">
        <v>0</v>
      </c>
      <c r="L26" t="n">
        <v>0</v>
      </c>
      <c r="M26" t="n">
        <v>0</v>
      </c>
      <c r="N26" t="n">
        <v>0</v>
      </c>
    </row>
    <row r="27">
      <c r="A27" t="inlineStr">
        <is>
          <t>defaults of rent</t>
        </is>
      </c>
      <c r="B27" t="inlineStr">
        <is>
          <t>3 ferlings of land of fulk de walton', 2 shilling for the year.</t>
        </is>
      </c>
      <c r="C27" t="n">
        <v>0.1</v>
      </c>
      <c r="D27" t="n">
        <v>0</v>
      </c>
      <c r="E27" t="n">
        <v>2</v>
      </c>
      <c r="F27" t="n">
        <v>0</v>
      </c>
      <c r="H27" t="n">
        <v>0</v>
      </c>
      <c r="I27" t="n">
        <v>0</v>
      </c>
      <c r="J27" t="n">
        <v>0</v>
      </c>
      <c r="K27" t="n">
        <v>0</v>
      </c>
      <c r="L27" t="n">
        <v>0</v>
      </c>
      <c r="M27" t="n">
        <v>0</v>
      </c>
      <c r="N27" t="n">
        <v>0</v>
      </c>
    </row>
    <row r="28">
      <c r="A28" t="inlineStr">
        <is>
          <t>defaults of rent</t>
        </is>
      </c>
      <c r="B28" t="inlineStr">
        <is>
          <t>32.5 acres called cotsellond' through the lord bishop gervas' £1 7 shilling 1pence, or 10pence an acre, which simon stopham held, paying 18 shilling 11.75pence each year to the lord, or 7pence an acre, and included above in the rents.</t>
        </is>
      </c>
      <c r="C28" t="n">
        <v>1.35</v>
      </c>
      <c r="D28" t="n">
        <v>1</v>
      </c>
      <c r="E28" t="n">
        <v>7</v>
      </c>
      <c r="F28" t="n">
        <v>1</v>
      </c>
      <c r="H28" t="n">
        <v>0</v>
      </c>
      <c r="I28" t="n">
        <v>0</v>
      </c>
      <c r="J28" t="n">
        <v>0</v>
      </c>
      <c r="K28" t="n">
        <v>0</v>
      </c>
      <c r="L28" t="n">
        <v>0</v>
      </c>
      <c r="M28" t="n">
        <v>0</v>
      </c>
      <c r="N28" t="n">
        <v>0</v>
      </c>
    </row>
    <row r="29">
      <c r="A29" t="inlineStr">
        <is>
          <t>defaults of rent</t>
        </is>
      </c>
      <c r="B29" t="inlineStr">
        <is>
          <t>the fulling mill because it was drawn into demesne from a want of tenants and for the building there of 1 corn mill by ordinance of the steward, £2 10 shilling for the year.</t>
        </is>
      </c>
      <c r="C29" t="n">
        <v>2.5</v>
      </c>
      <c r="D29" t="n">
        <v>2</v>
      </c>
      <c r="E29" t="n">
        <v>10</v>
      </c>
      <c r="F29" t="n">
        <v>0</v>
      </c>
      <c r="H29" t="n">
        <v>0</v>
      </c>
      <c r="I29" t="n">
        <v>0</v>
      </c>
      <c r="J29" t="n">
        <v>0</v>
      </c>
      <c r="K29" t="n">
        <v>0</v>
      </c>
      <c r="L29" t="n">
        <v>0</v>
      </c>
      <c r="M29" t="n">
        <v>0</v>
      </c>
      <c r="N29" t="n">
        <v>0</v>
      </c>
    </row>
    <row r="30">
      <c r="A30" t="inlineStr">
        <is>
          <t>defaults of rent</t>
        </is>
      </c>
      <c r="B30" t="inlineStr">
        <is>
          <t>the land called les hangr' which formerly belonged to elias drapers which roger stopham no longer wished to hold, nor is there anything found to distrain, 10 shilling.</t>
        </is>
      </c>
      <c r="C30" t="n">
        <v>0.5</v>
      </c>
      <c r="D30" t="n">
        <v>0</v>
      </c>
      <c r="E30" t="n">
        <v>10</v>
      </c>
      <c r="F30" t="n">
        <v>0</v>
      </c>
      <c r="H30" t="n">
        <v>0</v>
      </c>
      <c r="I30" t="n">
        <v>0</v>
      </c>
      <c r="J30" t="n">
        <v>0</v>
      </c>
      <c r="K30" t="n">
        <v>0</v>
      </c>
      <c r="L30" t="n">
        <v>0</v>
      </c>
      <c r="M30" t="n">
        <v>0</v>
      </c>
      <c r="N30" t="n">
        <v>0</v>
      </c>
    </row>
    <row r="31">
      <c r="A31" t="inlineStr">
        <is>
          <t>defaults of rent</t>
        </is>
      </c>
      <c r="B31" t="inlineStr">
        <is>
          <t>1 rood of land of the lord's demesne of bodenham and 1 islet (insul') in the lord's river which belonged to margery, wife of william gale, 1 shilling, which ralph druet now holds, paying 6pence a year, and included above in the rents.</t>
        </is>
      </c>
      <c r="C31" t="n">
        <v>0.08</v>
      </c>
      <c r="D31" t="n">
        <v>0</v>
      </c>
      <c r="E31" t="n">
        <v>1</v>
      </c>
      <c r="F31" t="n">
        <v>6</v>
      </c>
      <c r="H31" t="n">
        <v>0</v>
      </c>
      <c r="I31" t="n">
        <v>0</v>
      </c>
      <c r="J31" t="n">
        <v>0</v>
      </c>
      <c r="K31" t="n">
        <v>0</v>
      </c>
      <c r="L31" t="n">
        <v>0</v>
      </c>
      <c r="M31" t="n">
        <v>0</v>
      </c>
      <c r="N31" t="n">
        <v>0</v>
      </c>
    </row>
    <row r="32">
      <c r="A32" t="inlineStr">
        <is>
          <t>defaults of rent</t>
        </is>
      </c>
      <c r="B32" t="inlineStr">
        <is>
          <t>4 acres of bordage land in the tithing of wick which robert tut held, 2 shilling 8pence, which was drawn into the lord's demesne of westfeld', for this the forty-seventh year.</t>
        </is>
      </c>
      <c r="C32" t="n">
        <v>0.13</v>
      </c>
      <c r="D32" t="n">
        <v>0</v>
      </c>
      <c r="E32" t="n">
        <v>2</v>
      </c>
      <c r="F32" t="n">
        <v>8</v>
      </c>
      <c r="H32" t="n">
        <v>0</v>
      </c>
      <c r="I32" t="n">
        <v>0</v>
      </c>
      <c r="J32" t="n">
        <v>0</v>
      </c>
      <c r="K32" t="n">
        <v>0</v>
      </c>
      <c r="L32" t="n">
        <v>0</v>
      </c>
      <c r="M32" t="n">
        <v>0</v>
      </c>
      <c r="N32" t="n">
        <v>0</v>
      </c>
    </row>
    <row r="33">
      <c r="A33" t="inlineStr">
        <is>
          <t>defaults of rent</t>
        </is>
      </c>
      <c r="B33" t="inlineStr">
        <is>
          <t>total, £4 18 shilling 9pence.</t>
        </is>
      </c>
      <c r="C33" t="n">
        <v>4.94</v>
      </c>
      <c r="D33" t="n">
        <v>4</v>
      </c>
      <c r="E33" t="n">
        <v>18</v>
      </c>
      <c r="F33" t="n">
        <v>9</v>
      </c>
      <c r="H33" t="n">
        <v>0</v>
      </c>
      <c r="I33" t="n">
        <v>0</v>
      </c>
      <c r="J33" t="n">
        <v>0</v>
      </c>
      <c r="K33" t="n">
        <v>0</v>
      </c>
      <c r="L33" t="n">
        <v>0</v>
      </c>
      <c r="M33" t="n">
        <v>0</v>
      </c>
      <c r="N33" t="n">
        <v>0</v>
      </c>
    </row>
    <row r="34">
      <c r="A34" t="inlineStr">
        <is>
          <t>defaults of rent through the first pestilence, this being the sixty-second year,  the second pestilence, this being the forty-ninth year</t>
        </is>
      </c>
      <c r="B34" t="inlineStr">
        <is>
          <t>in default of 1 virgate of land formerly of john pynnek', 1 virgate of land form' robert judde, 1 virgate of land formerly of john coppis, 1 virgate of land formerly of john gouldon', 1 virgate of land formerly of john irusshe, 1 virgate of land f_ue_rly of of robert mody, 1 virgate of land formerly of john clement, 1 virgate of land fonriedy of william chale, 1 virgate of land formerly of john sewy, 1 virgate of land forrinmerly of thomas wegge, because in the lord's hands, £2 10 shilling, or 5 shilling a virgate.</t>
        </is>
      </c>
      <c r="C34" t="n">
        <v>2.5</v>
      </c>
      <c r="D34" t="n">
        <v>2</v>
      </c>
      <c r="E34" t="n">
        <v>10</v>
      </c>
      <c r="F34" t="n">
        <v>0</v>
      </c>
      <c r="H34" t="n">
        <v>0</v>
      </c>
      <c r="I34" t="n">
        <v>0</v>
      </c>
      <c r="J34" t="n">
        <v>0</v>
      </c>
      <c r="K34" t="n">
        <v>0</v>
      </c>
      <c r="L34" t="n">
        <v>0</v>
      </c>
      <c r="M34" t="n">
        <v>0</v>
      </c>
      <c r="N34" t="n">
        <v>0</v>
      </c>
    </row>
    <row r="35">
      <c r="A35" t="inlineStr">
        <is>
          <t>defaults of rent through the first pestilence, this being the sixty-second year,  the second pestilence, this being the forty-ninth year</t>
        </is>
      </c>
      <c r="B35" t="inlineStr">
        <is>
          <t>virgate of land which belonged to william gurvyle because in the lord's hands through the death of the same 5 shilling.</t>
        </is>
      </c>
      <c r="C35" t="n">
        <v>0.25</v>
      </c>
      <c r="D35" t="n">
        <v>0</v>
      </c>
      <c r="E35" t="n">
        <v>5</v>
      </c>
      <c r="F35" t="n">
        <v>0</v>
      </c>
      <c r="H35" t="n">
        <v>0</v>
      </c>
      <c r="I35" t="n">
        <v>0</v>
      </c>
      <c r="J35" t="n">
        <v>0</v>
      </c>
      <c r="K35" t="n">
        <v>0</v>
      </c>
      <c r="L35" t="n">
        <v>0</v>
      </c>
      <c r="M35" t="n">
        <v>0</v>
      </c>
      <c r="N35" t="n">
        <v>0</v>
      </c>
    </row>
    <row r="36">
      <c r="A36" t="inlineStr">
        <is>
          <t>defaults wick</t>
        </is>
      </c>
      <c r="B36" t="inlineStr">
        <is>
          <t>in default of 1 ferling of land formerly of william tut, 1 ferling of land fornlerly of robert whyte and 1 ferling of land formerly of john tut in wick, 1 ferling of land formerly of richard bruton', 1 ferling of land formerly of robert tut, 1 ferling of land  formerly of thomas keynere, 1 ferling of land formerly of william wilfull', 1 felling of land formerly of richard scoundy, 1 ferling of land formerly of john dodde, ferling of land formerly of william tut, 1 ferling of land formerly of walter janne, ferling of land formerly of william kente, 1 ferling of land formerly of gilbert tawyer' and 1 ferling of land formerly of ralph dodde in walton, because in the lord's hands, £1 8 shilling for the year, or 2 shilling a ferling.</t>
        </is>
      </c>
      <c r="C36" t="n">
        <v>1.4</v>
      </c>
      <c r="D36" t="n">
        <v>1</v>
      </c>
      <c r="E36" t="n">
        <v>8</v>
      </c>
      <c r="F36" t="n">
        <v>0</v>
      </c>
      <c r="H36" t="n">
        <v>0</v>
      </c>
      <c r="I36" t="n">
        <v>0</v>
      </c>
      <c r="J36" t="n">
        <v>0</v>
      </c>
      <c r="K36" t="n">
        <v>0</v>
      </c>
      <c r="L36" t="n">
        <v>0</v>
      </c>
      <c r="M36" t="n">
        <v>0</v>
      </c>
      <c r="N36" t="n">
        <v>0</v>
      </c>
    </row>
    <row r="37">
      <c r="A37" t="inlineStr">
        <is>
          <t>defaults wick</t>
        </is>
      </c>
      <c r="B37" t="inlineStr">
        <is>
          <t>1 cottage formerly of william pyperwhyte in wick, 1 cottage formerly of matilda alewyne, 1 cottage formerly of john hakehoude and 1 cottage formerly of john bernard' in walton, because in the lord's hands, 8 shilling for the year, or 2 shilling for each cottage.</t>
        </is>
      </c>
      <c r="C37" t="n">
        <v>0.4</v>
      </c>
      <c r="D37" t="n">
        <v>0</v>
      </c>
      <c r="E37" t="n">
        <v>8</v>
      </c>
      <c r="F37" t="n">
        <v>0</v>
      </c>
      <c r="H37" t="n">
        <v>0</v>
      </c>
      <c r="I37" t="n">
        <v>0</v>
      </c>
      <c r="J37" t="n">
        <v>0</v>
      </c>
      <c r="K37" t="n">
        <v>0</v>
      </c>
      <c r="L37" t="n">
        <v>0</v>
      </c>
      <c r="M37" t="n">
        <v>0</v>
      </c>
      <c r="N37" t="n">
        <v>0</v>
      </c>
    </row>
    <row r="38">
      <c r="A38" t="inlineStr">
        <is>
          <t>defaults wick</t>
        </is>
      </c>
      <c r="B38" t="inlineStr">
        <is>
          <t>1 cottage in walton formerly of john penow because in the lord's hands 6pence.</t>
        </is>
      </c>
      <c r="C38" t="n">
        <v>0.03</v>
      </c>
      <c r="D38" t="n">
        <v>0</v>
      </c>
      <c r="E38" t="n">
        <v>0</v>
      </c>
      <c r="F38" t="n">
        <v>6</v>
      </c>
      <c r="H38" t="n">
        <v>0</v>
      </c>
      <c r="I38" t="n">
        <v>0</v>
      </c>
      <c r="J38" t="n">
        <v>0</v>
      </c>
      <c r="K38" t="n">
        <v>0</v>
      </c>
      <c r="L38" t="n">
        <v>0</v>
      </c>
      <c r="M38" t="n">
        <v>0</v>
      </c>
      <c r="N38" t="n">
        <v>0</v>
      </c>
    </row>
    <row r="39">
      <c r="A39" t="inlineStr">
        <is>
          <t>defaults wick</t>
        </is>
      </c>
      <c r="B39" t="inlineStr">
        <is>
          <t>6 acres of bordage land formerly of william radde in wick because in the lord's hands, 12 shilling for the year.</t>
        </is>
      </c>
      <c r="C39" t="n">
        <v>0.6</v>
      </c>
      <c r="D39" t="n">
        <v>0</v>
      </c>
      <c r="E39" t="n">
        <v>12</v>
      </c>
      <c r="F39" t="n">
        <v>0</v>
      </c>
      <c r="H39" t="n">
        <v>0</v>
      </c>
      <c r="I39" t="n">
        <v>0</v>
      </c>
      <c r="J39" t="n">
        <v>0</v>
      </c>
      <c r="K39" t="n">
        <v>0</v>
      </c>
      <c r="L39" t="n">
        <v>0</v>
      </c>
      <c r="M39" t="n">
        <v>0</v>
      </c>
      <c r="N39" t="n">
        <v>0</v>
      </c>
    </row>
    <row r="40">
      <c r="A40" t="inlineStr">
        <is>
          <t>defaults wick</t>
        </is>
      </c>
      <c r="B40" t="inlineStr">
        <is>
          <t>7 acres of bordage land there at foxeburgh' because in the lord's hands, 4 shilling 8pence for the year.</t>
        </is>
      </c>
      <c r="C40" t="n">
        <v>0.23</v>
      </c>
      <c r="D40" t="n">
        <v>0</v>
      </c>
      <c r="E40" t="n">
        <v>4</v>
      </c>
      <c r="F40" t="n">
        <v>8</v>
      </c>
      <c r="H40" t="n">
        <v>0</v>
      </c>
      <c r="I40" t="n">
        <v>0</v>
      </c>
      <c r="J40" t="n">
        <v>0</v>
      </c>
      <c r="K40" t="n">
        <v>0</v>
      </c>
      <c r="L40" t="n">
        <v>0</v>
      </c>
      <c r="M40" t="n">
        <v>0</v>
      </c>
      <c r="N40" t="n">
        <v>0</v>
      </c>
    </row>
    <row r="41">
      <c r="A41" t="inlineStr">
        <is>
          <t>defaults wick</t>
        </is>
      </c>
      <c r="B41" t="inlineStr">
        <is>
          <t>3 acres of bordage land there which belonged to laurence skynner' because in the lord's hands, 4 shilling 6pence for the year.</t>
        </is>
      </c>
      <c r="C41" t="n">
        <v>0.23</v>
      </c>
      <c r="D41" t="n">
        <v>0</v>
      </c>
      <c r="E41" t="n">
        <v>4</v>
      </c>
      <c r="F41" t="n">
        <v>6</v>
      </c>
      <c r="H41" t="n">
        <v>0</v>
      </c>
      <c r="I41" t="n">
        <v>0</v>
      </c>
      <c r="J41" t="n">
        <v>0</v>
      </c>
      <c r="K41" t="n">
        <v>0</v>
      </c>
      <c r="L41" t="n">
        <v>0</v>
      </c>
      <c r="M41" t="n">
        <v>0</v>
      </c>
      <c r="N41" t="n">
        <v>0</v>
      </c>
    </row>
    <row r="42">
      <c r="A42" t="inlineStr">
        <is>
          <t>defaults wick</t>
        </is>
      </c>
      <c r="B42" t="inlineStr">
        <is>
          <t>10 acres 1 rood of bordage land there which belonged to john dekene because in the lord's hands, 6 shilling 10pence for the year.</t>
        </is>
      </c>
      <c r="C42" t="n">
        <v>0.34</v>
      </c>
      <c r="D42" t="n">
        <v>0</v>
      </c>
      <c r="E42" t="n">
        <v>6</v>
      </c>
      <c r="F42" t="n">
        <v>10</v>
      </c>
      <c r="H42" t="n">
        <v>0</v>
      </c>
      <c r="I42" t="n">
        <v>0</v>
      </c>
      <c r="J42" t="n">
        <v>0</v>
      </c>
      <c r="K42" t="n">
        <v>0</v>
      </c>
      <c r="L42" t="n">
        <v>0</v>
      </c>
      <c r="M42" t="n">
        <v>0</v>
      </c>
      <c r="N42" t="n">
        <v>0</v>
      </c>
    </row>
    <row r="43">
      <c r="A43" t="inlineStr">
        <is>
          <t>defaults wick</t>
        </is>
      </c>
      <c r="B43" t="inlineStr">
        <is>
          <t>2 acres of bordage land there which belonged to roger coupere because in the lord's hands, 3 shilling for the year.</t>
        </is>
      </c>
      <c r="C43" t="n">
        <v>0.15</v>
      </c>
      <c r="D43" t="n">
        <v>0</v>
      </c>
      <c r="E43" t="n">
        <v>3</v>
      </c>
      <c r="F43" t="n">
        <v>0</v>
      </c>
      <c r="H43" t="n">
        <v>0</v>
      </c>
      <c r="I43" t="n">
        <v>0</v>
      </c>
      <c r="J43" t="n">
        <v>0</v>
      </c>
      <c r="K43" t="n">
        <v>0</v>
      </c>
      <c r="L43" t="n">
        <v>0</v>
      </c>
      <c r="M43" t="n">
        <v>0</v>
      </c>
      <c r="N43" t="n">
        <v>0</v>
      </c>
    </row>
    <row r="44">
      <c r="A44" t="inlineStr">
        <is>
          <t>defaults witherington</t>
        </is>
      </c>
      <c r="B44" t="inlineStr">
        <is>
          <t>in default of 1 virgate of villein land and 2 acres of bordage land in witherington formerly of john willis because in the lord's hands, 7 shilling for the year.</t>
        </is>
      </c>
      <c r="C44" t="n">
        <v>0.35</v>
      </c>
      <c r="D44" t="n">
        <v>0</v>
      </c>
      <c r="E44" t="n">
        <v>7</v>
      </c>
      <c r="F44" t="n">
        <v>0</v>
      </c>
      <c r="H44" t="n">
        <v>0</v>
      </c>
      <c r="I44" t="n">
        <v>0</v>
      </c>
      <c r="J44" t="n">
        <v>0</v>
      </c>
      <c r="K44" t="n">
        <v>0</v>
      </c>
      <c r="L44" t="n">
        <v>0</v>
      </c>
      <c r="M44" t="n">
        <v>0</v>
      </c>
      <c r="N44" t="n">
        <v>0</v>
      </c>
    </row>
    <row r="45">
      <c r="A45" t="inlineStr">
        <is>
          <t>defaults witherington</t>
        </is>
      </c>
      <c r="B45" t="inlineStr">
        <is>
          <t>1 virgate of villein land and 6 acres of bordage land there formerly of john waltris because in the lord's hands, 10 shilling 4pence for the year.</t>
        </is>
      </c>
      <c r="C45" t="n">
        <v>0.52</v>
      </c>
      <c r="D45" t="n">
        <v>0</v>
      </c>
      <c r="E45" t="n">
        <v>10</v>
      </c>
      <c r="F45" t="n">
        <v>4</v>
      </c>
      <c r="H45" t="n">
        <v>0</v>
      </c>
      <c r="I45" t="n">
        <v>0</v>
      </c>
      <c r="J45" t="n">
        <v>0</v>
      </c>
      <c r="K45" t="n">
        <v>0</v>
      </c>
      <c r="L45" t="n">
        <v>0</v>
      </c>
      <c r="M45" t="n">
        <v>0</v>
      </c>
      <c r="N45" t="n">
        <v>0</v>
      </c>
    </row>
    <row r="46">
      <c r="A46" t="inlineStr">
        <is>
          <t>defaults witherington</t>
        </is>
      </c>
      <c r="B46" t="inlineStr">
        <is>
          <t>1 virgate of villein land, 1 toft, 1 portion (hamme) of meadow and 3 acres of bordage land there formerly of john haukyn' because in the lord's hands, 11 shilling for the year.</t>
        </is>
      </c>
      <c r="C46" t="n">
        <v>0.55</v>
      </c>
      <c r="D46" t="n">
        <v>0</v>
      </c>
      <c r="E46" t="n">
        <v>11</v>
      </c>
      <c r="F46" t="n">
        <v>0</v>
      </c>
      <c r="H46" t="n">
        <v>0</v>
      </c>
      <c r="I46" t="n">
        <v>0</v>
      </c>
      <c r="J46" t="n">
        <v>0</v>
      </c>
      <c r="K46" t="n">
        <v>0</v>
      </c>
      <c r="L46" t="n">
        <v>0</v>
      </c>
      <c r="M46" t="n">
        <v>0</v>
      </c>
      <c r="N46" t="n">
        <v>0</v>
      </c>
    </row>
    <row r="47">
      <c r="A47" t="inlineStr">
        <is>
          <t>defaults witherington</t>
        </is>
      </c>
      <c r="B47" t="inlineStr">
        <is>
          <t>.5 virgate of villein land there formerly of william trapull' because in the lord's hands, 2 shilling 6pence for the year.</t>
        </is>
      </c>
      <c r="C47" t="n">
        <v>0.12</v>
      </c>
      <c r="D47" t="n">
        <v>0</v>
      </c>
      <c r="E47" t="n">
        <v>2</v>
      </c>
      <c r="F47" t="n">
        <v>6</v>
      </c>
      <c r="H47" t="n">
        <v>0</v>
      </c>
      <c r="I47" t="n">
        <v>0</v>
      </c>
      <c r="J47" t="n">
        <v>0</v>
      </c>
      <c r="K47" t="n">
        <v>0</v>
      </c>
      <c r="L47" t="n">
        <v>0</v>
      </c>
      <c r="M47" t="n">
        <v>0</v>
      </c>
      <c r="N47" t="n">
        <v>0</v>
      </c>
    </row>
    <row r="48">
      <c r="A48" t="inlineStr">
        <is>
          <t>defaults witherington</t>
        </is>
      </c>
      <c r="B48" t="inlineStr">
        <is>
          <t>.5 virgate of villein land and .5 acre of bordage land there formerly of ralph brytful because in the lord's hands, 3 shilling for the year.</t>
        </is>
      </c>
      <c r="C48" t="n">
        <v>0.15</v>
      </c>
      <c r="D48" t="n">
        <v>0</v>
      </c>
      <c r="E48" t="n">
        <v>3</v>
      </c>
      <c r="F48" t="n">
        <v>0</v>
      </c>
      <c r="H48" t="n">
        <v>0</v>
      </c>
      <c r="I48" t="n">
        <v>0</v>
      </c>
      <c r="J48" t="n">
        <v>0</v>
      </c>
      <c r="K48" t="n">
        <v>0</v>
      </c>
      <c r="L48" t="n">
        <v>0</v>
      </c>
      <c r="M48" t="n">
        <v>0</v>
      </c>
      <c r="N48" t="n">
        <v>0</v>
      </c>
    </row>
    <row r="49">
      <c r="A49" t="inlineStr">
        <is>
          <t>defaults witherington</t>
        </is>
      </c>
      <c r="B49" t="inlineStr">
        <is>
          <t>1 ferling of land formerly of ralph brytful, 1 ferling of land formerly of walter kyng', 1 ferling of land formerly of thomas keyner' there, because in the lord's hands, 5 shilling for the year.</t>
        </is>
      </c>
      <c r="C49" t="n">
        <v>0.25</v>
      </c>
      <c r="D49" t="n">
        <v>0</v>
      </c>
      <c r="E49" t="n">
        <v>5</v>
      </c>
      <c r="F49" t="n">
        <v>0</v>
      </c>
      <c r="H49" t="n">
        <v>0</v>
      </c>
      <c r="I49" t="n">
        <v>0</v>
      </c>
      <c r="J49" t="n">
        <v>0</v>
      </c>
      <c r="K49" t="n">
        <v>0</v>
      </c>
      <c r="L49" t="n">
        <v>0</v>
      </c>
      <c r="M49" t="n">
        <v>0</v>
      </c>
      <c r="N49" t="n">
        <v>0</v>
      </c>
    </row>
    <row r="50">
      <c r="A50" t="inlineStr">
        <is>
          <t>defaults witherington</t>
        </is>
      </c>
      <c r="B50" t="inlineStr">
        <is>
          <t>1 cottage of villein land and 2 acres of bordage land there, formerly of tryttull', because in the lord's hands, 2 shilling 4pence for the year.</t>
        </is>
      </c>
      <c r="C50" t="n">
        <v>0.12</v>
      </c>
      <c r="D50" t="n">
        <v>0</v>
      </c>
      <c r="E50" t="n">
        <v>2</v>
      </c>
      <c r="F50" t="n">
        <v>4</v>
      </c>
      <c r="H50" t="n">
        <v>0</v>
      </c>
      <c r="I50" t="n">
        <v>0</v>
      </c>
      <c r="J50" t="n">
        <v>0</v>
      </c>
      <c r="K50" t="n">
        <v>0</v>
      </c>
      <c r="L50" t="n">
        <v>0</v>
      </c>
      <c r="M50" t="n">
        <v>0</v>
      </c>
      <c r="N50" t="n">
        <v>0</v>
      </c>
    </row>
    <row r="51">
      <c r="A51" t="inlineStr">
        <is>
          <t>defaults witherington</t>
        </is>
      </c>
      <c r="B51" t="inlineStr">
        <is>
          <t>1 cottage of villein land and 8 acres of bordage land there formerly of john willis because in the lord's hands, 6 shilling for the year.</t>
        </is>
      </c>
      <c r="C51" t="n">
        <v>0.3</v>
      </c>
      <c r="D51" t="n">
        <v>0</v>
      </c>
      <c r="E51" t="n">
        <v>6</v>
      </c>
      <c r="F51" t="n">
        <v>0</v>
      </c>
      <c r="H51" t="n">
        <v>0</v>
      </c>
      <c r="I51" t="n">
        <v>0</v>
      </c>
      <c r="J51" t="n">
        <v>0</v>
      </c>
      <c r="K51" t="n">
        <v>0</v>
      </c>
      <c r="L51" t="n">
        <v>0</v>
      </c>
      <c r="M51" t="n">
        <v>0</v>
      </c>
      <c r="N51" t="n">
        <v>0</v>
      </c>
    </row>
    <row r="52">
      <c r="A52" t="inlineStr">
        <is>
          <t>defaults witherington</t>
        </is>
      </c>
      <c r="B52" t="inlineStr">
        <is>
          <t>1 cottage of villein land and 3 acres 3 roods of bordage land there formerly of thomas adekyns because in the lord's hands, 3 shilling 11pence for the year.</t>
        </is>
      </c>
      <c r="C52" t="n">
        <v>0.2</v>
      </c>
      <c r="D52" t="n">
        <v>0</v>
      </c>
      <c r="E52" t="n">
        <v>3</v>
      </c>
      <c r="F52" t="n">
        <v>11</v>
      </c>
      <c r="H52" t="n">
        <v>0</v>
      </c>
      <c r="I52" t="n">
        <v>0</v>
      </c>
      <c r="J52" t="n">
        <v>0</v>
      </c>
      <c r="K52" t="n">
        <v>0</v>
      </c>
      <c r="L52" t="n">
        <v>0</v>
      </c>
      <c r="M52" t="n">
        <v>0</v>
      </c>
      <c r="N52" t="n">
        <v>0</v>
      </c>
    </row>
    <row r="53">
      <c r="A53" t="inlineStr">
        <is>
          <t>defaults witherington</t>
        </is>
      </c>
      <c r="B53" t="inlineStr">
        <is>
          <t>1 cottage of villein land and 1.5 acres of bordage land there formerly of thomas fysshar' because in the lord's hands, 1 shilling 6pence for the year.</t>
        </is>
      </c>
      <c r="C53" t="n">
        <v>0.08</v>
      </c>
      <c r="D53" t="n">
        <v>0</v>
      </c>
      <c r="E53" t="n">
        <v>1</v>
      </c>
      <c r="F53" t="n">
        <v>6</v>
      </c>
      <c r="H53" t="n">
        <v>0</v>
      </c>
      <c r="I53" t="n">
        <v>0</v>
      </c>
      <c r="J53" t="n">
        <v>0</v>
      </c>
      <c r="K53" t="n">
        <v>0</v>
      </c>
      <c r="L53" t="n">
        <v>0</v>
      </c>
      <c r="M53" t="n">
        <v>0</v>
      </c>
      <c r="N53" t="n">
        <v>0</v>
      </c>
    </row>
    <row r="54">
      <c r="A54" t="inlineStr">
        <is>
          <t>defaults witherington</t>
        </is>
      </c>
      <c r="B54" t="inlineStr">
        <is>
          <t>2 cottages and 11 acres of bordage land there formerly of william radyche because in the lord's hands, 13 shilling 4pence for the year.</t>
        </is>
      </c>
      <c r="C54" t="n">
        <v>0.67</v>
      </c>
      <c r="D54" t="n">
        <v>0</v>
      </c>
      <c r="E54" t="n">
        <v>13</v>
      </c>
      <c r="F54" t="n">
        <v>4</v>
      </c>
      <c r="H54" t="n">
        <v>0</v>
      </c>
      <c r="I54" t="n">
        <v>0</v>
      </c>
      <c r="J54" t="n">
        <v>0</v>
      </c>
      <c r="K54" t="n">
        <v>0</v>
      </c>
      <c r="L54" t="n">
        <v>0</v>
      </c>
      <c r="M54" t="n">
        <v>0</v>
      </c>
      <c r="N54" t="n">
        <v>0</v>
      </c>
    </row>
    <row r="55">
      <c r="A55" t="inlineStr">
        <is>
          <t>defaults witherington</t>
        </is>
      </c>
      <c r="B55" t="inlineStr">
        <is>
          <t>1 cottage of villein land and 1 cottage of bordage [land] there formerly of william trapul because in the lord's hands, 4 shilling 4pence for the year.</t>
        </is>
      </c>
      <c r="C55" t="n">
        <v>0.22</v>
      </c>
      <c r="D55" t="n">
        <v>0</v>
      </c>
      <c r="E55" t="n">
        <v>4</v>
      </c>
      <c r="F55" t="n">
        <v>4</v>
      </c>
      <c r="H55" t="n">
        <v>0</v>
      </c>
      <c r="I55" t="n">
        <v>0</v>
      </c>
      <c r="J55" t="n">
        <v>0</v>
      </c>
      <c r="K55" t="n">
        <v>0</v>
      </c>
      <c r="L55" t="n">
        <v>0</v>
      </c>
      <c r="M55" t="n">
        <v>0</v>
      </c>
      <c r="N55" t="n">
        <v>0</v>
      </c>
    </row>
    <row r="56">
      <c r="A56" t="inlineStr">
        <is>
          <t>defaults witherington</t>
        </is>
      </c>
      <c r="B56" t="inlineStr">
        <is>
          <t>1 cottage and 19 acres of bordage land there of john coupere because in the lord's hands, 19 shilling 6pence for the year.</t>
        </is>
      </c>
      <c r="C56" t="n">
        <v>0.97</v>
      </c>
      <c r="D56" t="n">
        <v>0</v>
      </c>
      <c r="E56" t="n">
        <v>19</v>
      </c>
      <c r="F56" t="n">
        <v>6</v>
      </c>
      <c r="H56" t="n">
        <v>0</v>
      </c>
      <c r="I56" t="n">
        <v>0</v>
      </c>
      <c r="J56" t="n">
        <v>0</v>
      </c>
      <c r="K56" t="n">
        <v>0</v>
      </c>
      <c r="L56" t="n">
        <v>0</v>
      </c>
      <c r="M56" t="n">
        <v>0</v>
      </c>
      <c r="N56" t="n">
        <v>0</v>
      </c>
    </row>
    <row r="57">
      <c r="A57" t="inlineStr">
        <is>
          <t>defaults witherington</t>
        </is>
      </c>
      <c r="B57" t="inlineStr">
        <is>
          <t>the land called mullelond' there because in the lord's hands, 16 shilling 7pence for the year.</t>
        </is>
      </c>
      <c r="C57" t="n">
        <v>0.83</v>
      </c>
      <c r="D57" t="n">
        <v>0</v>
      </c>
      <c r="E57" t="n">
        <v>16</v>
      </c>
      <c r="F57" t="n">
        <v>7</v>
      </c>
      <c r="H57" t="n">
        <v>0</v>
      </c>
      <c r="I57" t="n">
        <v>0</v>
      </c>
      <c r="J57" t="n">
        <v>0</v>
      </c>
      <c r="K57" t="n">
        <v>0</v>
      </c>
      <c r="L57" t="n">
        <v>0</v>
      </c>
      <c r="M57" t="n">
        <v>0</v>
      </c>
      <c r="N57" t="n">
        <v>0</v>
      </c>
    </row>
    <row r="58">
      <c r="A58" t="inlineStr">
        <is>
          <t>defaults witherington</t>
        </is>
      </c>
      <c r="B58" t="inlineStr">
        <is>
          <t>1 virgate of villein land which belonged to john grave because in the lord's hands, 5 shilling the year.</t>
        </is>
      </c>
      <c r="C58" t="n">
        <v>0.25</v>
      </c>
      <c r="D58" t="n">
        <v>0</v>
      </c>
      <c r="E58" t="n">
        <v>5</v>
      </c>
      <c r="F58" t="n">
        <v>0</v>
      </c>
      <c r="H58" t="n">
        <v>0</v>
      </c>
      <c r="I58" t="n">
        <v>0</v>
      </c>
      <c r="J58" t="n">
        <v>0</v>
      </c>
      <c r="K58" t="n">
        <v>0</v>
      </c>
      <c r="L58" t="n">
        <v>0</v>
      </c>
      <c r="M58" t="n">
        <v>0</v>
      </c>
      <c r="N58" t="n">
        <v>0</v>
      </c>
    </row>
    <row r="59">
      <c r="A59" t="inlineStr">
        <is>
          <t>defaults witherington</t>
        </is>
      </c>
      <c r="B59" t="inlineStr">
        <is>
          <t>' virgate of villein land which belonged to thomas adekyns because in the lord's hands, 2 shilling 6pence for the year.</t>
        </is>
      </c>
      <c r="C59" t="n">
        <v>0.12</v>
      </c>
      <c r="D59" t="n">
        <v>0</v>
      </c>
      <c r="E59" t="n">
        <v>2</v>
      </c>
      <c r="F59" t="n">
        <v>6</v>
      </c>
      <c r="H59" t="n">
        <v>0</v>
      </c>
      <c r="I59" t="n">
        <v>0</v>
      </c>
      <c r="J59" t="n">
        <v>0</v>
      </c>
      <c r="K59" t="n">
        <v>0</v>
      </c>
      <c r="L59" t="n">
        <v>0</v>
      </c>
      <c r="M59" t="n">
        <v>0</v>
      </c>
      <c r="N59" t="n">
        <v>0</v>
      </c>
    </row>
    <row r="60">
      <c r="A60" t="inlineStr">
        <is>
          <t>defaults east downton</t>
        </is>
      </c>
      <c r="B60" t="inlineStr">
        <is>
          <t>in default of .5 virgate of villein land formerly of john brewe in east downton because in the lord's hands, 2 shilling for the year.</t>
        </is>
      </c>
      <c r="C60" t="n">
        <v>0.1</v>
      </c>
      <c r="D60" t="n">
        <v>0</v>
      </c>
      <c r="E60" t="n">
        <v>2</v>
      </c>
      <c r="F60" t="n">
        <v>0</v>
      </c>
      <c r="H60" t="n">
        <v>0</v>
      </c>
      <c r="I60" t="n">
        <v>0</v>
      </c>
      <c r="J60" t="n">
        <v>0</v>
      </c>
      <c r="K60" t="n">
        <v>0</v>
      </c>
      <c r="L60" t="n">
        <v>0</v>
      </c>
      <c r="M60" t="n">
        <v>0</v>
      </c>
      <c r="N60" t="n">
        <v>0</v>
      </c>
    </row>
    <row r="61">
      <c r="A61" t="inlineStr">
        <is>
          <t>defaults east downton</t>
        </is>
      </c>
      <c r="B61" t="inlineStr">
        <is>
          <t>1 ferling of land there which belonged to william tury, 1 ferling of land formerly of john coke, 1 ferling of land formerly of john goudale there, and 1 ferling of land formerly of john atte churche there, because in the lord's hands, 8 shilling for the year, or 2 shilling a ferling.</t>
        </is>
      </c>
      <c r="C61" t="n">
        <v>0.4</v>
      </c>
      <c r="D61" t="n">
        <v>0</v>
      </c>
      <c r="E61" t="n">
        <v>8</v>
      </c>
      <c r="F61" t="n">
        <v>0</v>
      </c>
      <c r="H61" t="n">
        <v>0</v>
      </c>
      <c r="I61" t="n">
        <v>0</v>
      </c>
      <c r="J61" t="n">
        <v>0</v>
      </c>
      <c r="K61" t="n">
        <v>0</v>
      </c>
      <c r="L61" t="n">
        <v>0</v>
      </c>
      <c r="M61" t="n">
        <v>0</v>
      </c>
      <c r="N61" t="n">
        <v>0</v>
      </c>
    </row>
    <row r="62">
      <c r="A62" t="inlineStr">
        <is>
          <t>defaults east downton</t>
        </is>
      </c>
      <c r="B62" t="inlineStr">
        <is>
          <t>1 cottage formerly of richard coulond' there because in the lord's hands, 1 shilling for the year.</t>
        </is>
      </c>
      <c r="C62" t="n">
        <v>0.05</v>
      </c>
      <c r="D62" t="n">
        <v>0</v>
      </c>
      <c r="E62" t="n">
        <v>1</v>
      </c>
      <c r="F62" t="n">
        <v>0</v>
      </c>
      <c r="H62" t="n">
        <v>0</v>
      </c>
      <c r="I62" t="n">
        <v>0</v>
      </c>
      <c r="J62" t="n">
        <v>0</v>
      </c>
      <c r="K62" t="n">
        <v>0</v>
      </c>
      <c r="L62" t="n">
        <v>0</v>
      </c>
      <c r="M62" t="n">
        <v>0</v>
      </c>
      <c r="N62" t="n">
        <v>0</v>
      </c>
    </row>
    <row r="63">
      <c r="A63" t="inlineStr">
        <is>
          <t>defaults east downton</t>
        </is>
      </c>
      <c r="B63" t="inlineStr">
        <is>
          <t>1 cottage of villein land and 3 roods of bordage land formerly of luke thurbarn' there because in the lord's hands, 5 shilling 10.5pence for the year.</t>
        </is>
      </c>
      <c r="C63" t="n">
        <v>0.29</v>
      </c>
      <c r="D63" t="n">
        <v>0</v>
      </c>
      <c r="E63" t="n">
        <v>5</v>
      </c>
      <c r="F63" t="n">
        <v>10.5</v>
      </c>
      <c r="H63" t="n">
        <v>0</v>
      </c>
      <c r="I63" t="n">
        <v>0</v>
      </c>
      <c r="J63" t="n">
        <v>0</v>
      </c>
      <c r="K63" t="n">
        <v>0</v>
      </c>
      <c r="L63" t="n">
        <v>0</v>
      </c>
      <c r="M63" t="n">
        <v>0</v>
      </c>
      <c r="N63" t="n">
        <v>0</v>
      </c>
    </row>
    <row r="64">
      <c r="A64" t="inlineStr">
        <is>
          <t>defaults east downton</t>
        </is>
      </c>
      <c r="B64" t="inlineStr">
        <is>
          <t>1 cottage formerly of john keppyng' there because in the lord's hands, 6pence for the year.</t>
        </is>
      </c>
      <c r="C64" t="n">
        <v>0.03</v>
      </c>
      <c r="D64" t="n">
        <v>0</v>
      </c>
      <c r="E64" t="n">
        <v>0</v>
      </c>
      <c r="F64" t="n">
        <v>6</v>
      </c>
      <c r="H64" t="n">
        <v>0</v>
      </c>
      <c r="I64" t="n">
        <v>0</v>
      </c>
      <c r="J64" t="n">
        <v>0</v>
      </c>
      <c r="K64" t="n">
        <v>0</v>
      </c>
      <c r="L64" t="n">
        <v>0</v>
      </c>
      <c r="M64" t="n">
        <v>0</v>
      </c>
      <c r="N64" t="n">
        <v>0</v>
      </c>
    </row>
    <row r="65">
      <c r="A65" t="inlineStr">
        <is>
          <t>defaults east downton</t>
        </is>
      </c>
      <c r="B65" t="inlineStr">
        <is>
          <t>1 cottage there formerly of nicholas keente because in the lord's hands, 1 shilling for the year.</t>
        </is>
      </c>
      <c r="C65" t="n">
        <v>0.05</v>
      </c>
      <c r="D65" t="n">
        <v>0</v>
      </c>
      <c r="E65" t="n">
        <v>1</v>
      </c>
      <c r="F65" t="n">
        <v>0</v>
      </c>
      <c r="H65" t="n">
        <v>0</v>
      </c>
      <c r="I65" t="n">
        <v>0</v>
      </c>
      <c r="J65" t="n">
        <v>0</v>
      </c>
      <c r="K65" t="n">
        <v>0</v>
      </c>
      <c r="L65" t="n">
        <v>0</v>
      </c>
      <c r="M65" t="n">
        <v>0</v>
      </c>
      <c r="N65" t="n">
        <v>0</v>
      </c>
    </row>
    <row r="66">
      <c r="A66" t="inlineStr">
        <is>
          <t>defaults east downton</t>
        </is>
      </c>
      <c r="B66" t="inlineStr">
        <is>
          <t>1 cottage there formerly of john muleward' because in the lord's hands, 1 shilling for the year.</t>
        </is>
      </c>
      <c r="C66" t="n">
        <v>0.05</v>
      </c>
      <c r="D66" t="n">
        <v>0</v>
      </c>
      <c r="E66" t="n">
        <v>1</v>
      </c>
      <c r="F66" t="n">
        <v>0</v>
      </c>
      <c r="H66" t="n">
        <v>0</v>
      </c>
      <c r="I66" t="n">
        <v>0</v>
      </c>
      <c r="J66" t="n">
        <v>0</v>
      </c>
      <c r="K66" t="n">
        <v>0</v>
      </c>
      <c r="L66" t="n">
        <v>0</v>
      </c>
      <c r="M66" t="n">
        <v>0</v>
      </c>
      <c r="N66" t="n">
        <v>0</v>
      </c>
    </row>
    <row r="67">
      <c r="A67" t="inlineStr">
        <is>
          <t>defaults east downton</t>
        </is>
      </c>
      <c r="B67" t="inlineStr">
        <is>
          <t>1 croft called patcombe there because in the lord's hands, £2 2 shilling 5pence for the year.</t>
        </is>
      </c>
      <c r="C67" t="n">
        <v>2.12</v>
      </c>
      <c r="D67" t="n">
        <v>2</v>
      </c>
      <c r="E67" t="n">
        <v>2</v>
      </c>
      <c r="F67" t="n">
        <v>5</v>
      </c>
      <c r="H67" t="n">
        <v>0</v>
      </c>
      <c r="I67" t="n">
        <v>0</v>
      </c>
      <c r="J67" t="n">
        <v>0</v>
      </c>
      <c r="K67" t="n">
        <v>0</v>
      </c>
      <c r="L67" t="n">
        <v>0</v>
      </c>
      <c r="M67" t="n">
        <v>0</v>
      </c>
      <c r="N67" t="n">
        <v>0</v>
      </c>
    </row>
    <row r="68">
      <c r="A68" t="inlineStr">
        <is>
          <t>defaults east downton</t>
        </is>
      </c>
      <c r="B68" t="inlineStr">
        <is>
          <t>17 acres 1 rood of bordage land there which belonged to ralph collis because in the lord's hands, £1 12 shilling 6.5pence for the year.</t>
        </is>
      </c>
      <c r="C68" t="n">
        <v>1.63</v>
      </c>
      <c r="D68" t="n">
        <v>1</v>
      </c>
      <c r="E68" t="n">
        <v>12</v>
      </c>
      <c r="F68" t="n">
        <v>6.5</v>
      </c>
      <c r="H68" t="n">
        <v>0</v>
      </c>
      <c r="I68" t="n">
        <v>0</v>
      </c>
      <c r="J68" t="n">
        <v>0</v>
      </c>
      <c r="K68" t="n">
        <v>0</v>
      </c>
      <c r="L68" t="n">
        <v>0</v>
      </c>
      <c r="M68" t="n">
        <v>0</v>
      </c>
      <c r="N68" t="n">
        <v>0</v>
      </c>
    </row>
    <row r="69">
      <c r="A69" t="inlineStr">
        <is>
          <t>defaults east downton</t>
        </is>
      </c>
      <c r="B69" t="inlineStr">
        <is>
          <t>the pasture called berehul there formerly of thomas de boukelond' because in the lord's hands, £1 6 shilling 8pence for the year.</t>
        </is>
      </c>
      <c r="C69" t="n">
        <v>1.33</v>
      </c>
      <c r="D69" t="n">
        <v>1</v>
      </c>
      <c r="E69" t="n">
        <v>6</v>
      </c>
      <c r="F69" t="n">
        <v>8</v>
      </c>
      <c r="H69" t="n">
        <v>0</v>
      </c>
      <c r="I69" t="n">
        <v>0</v>
      </c>
      <c r="J69" t="n">
        <v>0</v>
      </c>
      <c r="K69" t="n">
        <v>0</v>
      </c>
      <c r="L69" t="n">
        <v>0</v>
      </c>
      <c r="M69" t="n">
        <v>0</v>
      </c>
      <c r="N69" t="n">
        <v>0</v>
      </c>
    </row>
    <row r="70">
      <c r="A70" t="inlineStr">
        <is>
          <t>defaults east downton</t>
        </is>
      </c>
      <c r="B70" t="inlineStr">
        <is>
          <t>the holding (tenur') formerly of john poole there because in the lord's hands, £2 13 shilling for the year.</t>
        </is>
      </c>
      <c r="C70" t="n">
        <v>2.65</v>
      </c>
      <c r="D70" t="n">
        <v>2</v>
      </c>
      <c r="E70" t="n">
        <v>13</v>
      </c>
      <c r="F70" t="n">
        <v>0</v>
      </c>
      <c r="H70" t="n">
        <v>0</v>
      </c>
      <c r="I70" t="n">
        <v>0</v>
      </c>
      <c r="J70" t="n">
        <v>0</v>
      </c>
      <c r="K70" t="n">
        <v>0</v>
      </c>
      <c r="L70" t="n">
        <v>0</v>
      </c>
      <c r="M70" t="n">
        <v>0</v>
      </c>
      <c r="N70" t="n">
        <v>0</v>
      </c>
    </row>
    <row r="71">
      <c r="A71" t="inlineStr">
        <is>
          <t>defaults east downton</t>
        </is>
      </c>
      <c r="B71" t="inlineStr">
        <is>
          <t>1 acre of bordage land there formerly of john pynnok' because in the lord's hands, 1 shilling 6pence for the year.</t>
        </is>
      </c>
      <c r="C71" t="n">
        <v>0.08</v>
      </c>
      <c r="D71" t="n">
        <v>0</v>
      </c>
      <c r="E71" t="n">
        <v>1</v>
      </c>
      <c r="F71" t="n">
        <v>6</v>
      </c>
      <c r="H71" t="n">
        <v>0</v>
      </c>
      <c r="I71" t="n">
        <v>0</v>
      </c>
      <c r="J71" t="n">
        <v>0</v>
      </c>
      <c r="K71" t="n">
        <v>0</v>
      </c>
      <c r="L71" t="n">
        <v>0</v>
      </c>
      <c r="M71" t="n">
        <v>0</v>
      </c>
      <c r="N71" t="n">
        <v>0</v>
      </c>
    </row>
    <row r="72">
      <c r="A72" t="inlineStr">
        <is>
          <t>defaults east downton</t>
        </is>
      </c>
      <c r="B72" t="inlineStr">
        <is>
          <t>1 cottage formerly of christine gemot' there because in the lord's hands, 1 shilling 4pence for the year.</t>
        </is>
      </c>
      <c r="C72" t="n">
        <v>0.07000000000000001</v>
      </c>
      <c r="D72" t="n">
        <v>0</v>
      </c>
      <c r="E72" t="n">
        <v>1</v>
      </c>
      <c r="F72" t="n">
        <v>4</v>
      </c>
      <c r="H72" t="n">
        <v>0</v>
      </c>
      <c r="I72" t="n">
        <v>0</v>
      </c>
      <c r="J72" t="n">
        <v>0</v>
      </c>
      <c r="K72" t="n">
        <v>0</v>
      </c>
      <c r="L72" t="n">
        <v>0</v>
      </c>
      <c r="M72" t="n">
        <v>0</v>
      </c>
      <c r="N72" t="n">
        <v>0</v>
      </c>
    </row>
    <row r="73">
      <c r="A73" t="inlineStr">
        <is>
          <t>defaults east downton</t>
        </is>
      </c>
      <c r="B73" t="inlineStr">
        <is>
          <t>1 acre of bordage land formerly of john preest there because in the lord's hands, 1 shilling 6pence for the year.</t>
        </is>
      </c>
      <c r="C73" t="n">
        <v>0.08</v>
      </c>
      <c r="D73" t="n">
        <v>0</v>
      </c>
      <c r="E73" t="n">
        <v>1</v>
      </c>
      <c r="F73" t="n">
        <v>6</v>
      </c>
      <c r="H73" t="n">
        <v>0</v>
      </c>
      <c r="I73" t="n">
        <v>0</v>
      </c>
      <c r="J73" t="n">
        <v>0</v>
      </c>
      <c r="K73" t="n">
        <v>0</v>
      </c>
      <c r="L73" t="n">
        <v>0</v>
      </c>
      <c r="M73" t="n">
        <v>0</v>
      </c>
      <c r="N73" t="n">
        <v>0</v>
      </c>
    </row>
    <row r="74">
      <c r="A74" t="inlineStr">
        <is>
          <t>defaults east downton</t>
        </is>
      </c>
      <c r="B74" t="inlineStr">
        <is>
          <t>.5 acre of bordage land there formerly of gervase carpentere 1 shilling 3pence.</t>
        </is>
      </c>
      <c r="C74" t="n">
        <v>0.06</v>
      </c>
      <c r="D74" t="n">
        <v>0</v>
      </c>
      <c r="E74" t="n">
        <v>1</v>
      </c>
      <c r="F74" t="n">
        <v>3</v>
      </c>
      <c r="H74" t="n">
        <v>0</v>
      </c>
      <c r="I74" t="n">
        <v>0</v>
      </c>
      <c r="J74" t="n">
        <v>0</v>
      </c>
      <c r="K74" t="n">
        <v>0</v>
      </c>
      <c r="L74" t="n">
        <v>0</v>
      </c>
      <c r="M74" t="n">
        <v>0</v>
      </c>
      <c r="N74" t="n">
        <v>0</v>
      </c>
    </row>
    <row r="75">
      <c r="A75" t="inlineStr">
        <is>
          <t>defaults east downton</t>
        </is>
      </c>
      <c r="B75" t="inlineStr">
        <is>
          <t>3 acres of bordage land there formerly of john bryt for a similar reason 3 shilling 6pence.</t>
        </is>
      </c>
      <c r="C75" t="n">
        <v>0.17</v>
      </c>
      <c r="D75" t="n">
        <v>0</v>
      </c>
      <c r="E75" t="n">
        <v>3</v>
      </c>
      <c r="F75" t="n">
        <v>6</v>
      </c>
      <c r="H75" t="n">
        <v>0</v>
      </c>
      <c r="I75" t="n">
        <v>0</v>
      </c>
      <c r="J75" t="n">
        <v>0</v>
      </c>
      <c r="K75" t="n">
        <v>0</v>
      </c>
      <c r="L75" t="n">
        <v>0</v>
      </c>
      <c r="M75" t="n">
        <v>0</v>
      </c>
      <c r="N75" t="n">
        <v>0</v>
      </c>
    </row>
    <row r="76">
      <c r="A76" t="inlineStr">
        <is>
          <t>defaults east downton</t>
        </is>
      </c>
      <c r="B76" t="inlineStr">
        <is>
          <t>1 acre and 1 rood recently of john mersere because in the lord's hands, 2 shilling 2.5pence for the year.</t>
        </is>
      </c>
      <c r="C76" t="n">
        <v>0.11</v>
      </c>
      <c r="D76" t="n">
        <v>0</v>
      </c>
      <c r="E76" t="n">
        <v>2</v>
      </c>
      <c r="F76" t="n">
        <v>2.5</v>
      </c>
      <c r="H76" t="n">
        <v>0</v>
      </c>
      <c r="I76" t="n">
        <v>0</v>
      </c>
      <c r="J76" t="n">
        <v>0</v>
      </c>
      <c r="K76" t="n">
        <v>0</v>
      </c>
      <c r="L76" t="n">
        <v>0</v>
      </c>
      <c r="M76" t="n">
        <v>0</v>
      </c>
      <c r="N76" t="n">
        <v>0</v>
      </c>
    </row>
    <row r="77">
      <c r="A77" t="inlineStr">
        <is>
          <t>defaults barford</t>
        </is>
      </c>
      <c r="B77" t="inlineStr">
        <is>
          <t>in default of .5 virgate of villein land formerly of walter goveyr' in barford because in the lord's hands, 2 shilling 4pence for the year.</t>
        </is>
      </c>
      <c r="C77" t="n">
        <v>0.12</v>
      </c>
      <c r="D77" t="n">
        <v>0</v>
      </c>
      <c r="E77" t="n">
        <v>2</v>
      </c>
      <c r="F77" t="n">
        <v>4</v>
      </c>
      <c r="H77" t="n">
        <v>0</v>
      </c>
      <c r="I77" t="n">
        <v>0</v>
      </c>
      <c r="J77" t="n">
        <v>0</v>
      </c>
      <c r="K77" t="n">
        <v>0</v>
      </c>
      <c r="L77" t="n">
        <v>0</v>
      </c>
      <c r="M77" t="n">
        <v>0</v>
      </c>
      <c r="N77" t="n">
        <v>0</v>
      </c>
    </row>
    <row r="78">
      <c r="A78" t="inlineStr">
        <is>
          <t>defaults barford</t>
        </is>
      </c>
      <c r="B78" t="inlineStr">
        <is>
          <t>1 ferling of land there formerly of john wythewell' because in the lord's hands, 2 shilling for the year.</t>
        </is>
      </c>
      <c r="C78" t="n">
        <v>0.1</v>
      </c>
      <c r="D78" t="n">
        <v>0</v>
      </c>
      <c r="E78" t="n">
        <v>2</v>
      </c>
      <c r="F78" t="n">
        <v>0</v>
      </c>
      <c r="H78" t="n">
        <v>0</v>
      </c>
      <c r="I78" t="n">
        <v>0</v>
      </c>
      <c r="J78" t="n">
        <v>0</v>
      </c>
      <c r="K78" t="n">
        <v>0</v>
      </c>
      <c r="L78" t="n">
        <v>0</v>
      </c>
      <c r="M78" t="n">
        <v>0</v>
      </c>
      <c r="N78" t="n">
        <v>0</v>
      </c>
    </row>
    <row r="79">
      <c r="A79" t="inlineStr">
        <is>
          <t>defaults barford</t>
        </is>
      </c>
      <c r="B79" t="inlineStr">
        <is>
          <t>1 ferling of villein land formerly of john trewe because in the lord's hands, 3 shilling for the year.</t>
        </is>
      </c>
      <c r="C79" t="n">
        <v>0.15</v>
      </c>
      <c r="D79" t="n">
        <v>0</v>
      </c>
      <c r="E79" t="n">
        <v>3</v>
      </c>
      <c r="F79" t="n">
        <v>0</v>
      </c>
      <c r="H79" t="n">
        <v>0</v>
      </c>
      <c r="I79" t="n">
        <v>0</v>
      </c>
      <c r="J79" t="n">
        <v>0</v>
      </c>
      <c r="K79" t="n">
        <v>0</v>
      </c>
      <c r="L79" t="n">
        <v>0</v>
      </c>
      <c r="M79" t="n">
        <v>0</v>
      </c>
      <c r="N79" t="n">
        <v>0</v>
      </c>
    </row>
    <row r="80">
      <c r="A80" t="inlineStr">
        <is>
          <t>defaults nunton</t>
        </is>
      </c>
      <c r="B80" t="inlineStr">
        <is>
          <t>in default of .5 virgate of villein land in nunton formerly of william coupere because in the lord's hands, 5 shilling for the year.</t>
        </is>
      </c>
      <c r="C80" t="n">
        <v>0.25</v>
      </c>
      <c r="D80" t="n">
        <v>0</v>
      </c>
      <c r="E80" t="n">
        <v>5</v>
      </c>
      <c r="F80" t="n">
        <v>0</v>
      </c>
      <c r="H80" t="n">
        <v>0</v>
      </c>
      <c r="I80" t="n">
        <v>0</v>
      </c>
      <c r="J80" t="n">
        <v>0</v>
      </c>
      <c r="K80" t="n">
        <v>0</v>
      </c>
      <c r="L80" t="n">
        <v>0</v>
      </c>
      <c r="M80" t="n">
        <v>0</v>
      </c>
      <c r="N80" t="n">
        <v>0</v>
      </c>
    </row>
    <row r="81">
      <c r="A81" t="inlineStr">
        <is>
          <t>defaults nunton</t>
        </is>
      </c>
      <c r="B81" t="inlineStr">
        <is>
          <t>.5 virgate of villein land there formerly of john roddek because in the lord's hands, 5 shilling for the year.</t>
        </is>
      </c>
      <c r="C81" t="n">
        <v>0.25</v>
      </c>
      <c r="D81" t="n">
        <v>0</v>
      </c>
      <c r="E81" t="n">
        <v>5</v>
      </c>
      <c r="F81" t="n">
        <v>0</v>
      </c>
      <c r="H81" t="n">
        <v>0</v>
      </c>
      <c r="I81" t="n">
        <v>0</v>
      </c>
      <c r="J81" t="n">
        <v>0</v>
      </c>
      <c r="K81" t="n">
        <v>0</v>
      </c>
      <c r="L81" t="n">
        <v>0</v>
      </c>
      <c r="M81" t="n">
        <v>0</v>
      </c>
      <c r="N81" t="n">
        <v>0</v>
      </c>
    </row>
    <row r="82">
      <c r="A82" t="inlineStr">
        <is>
          <t>defaults nunton</t>
        </is>
      </c>
      <c r="B82" t="inlineStr">
        <is>
          <t>.5 virgate of villein land there formerly of laurence fr' because in the lord's hands, 5 shilling for the year.</t>
        </is>
      </c>
      <c r="C82" t="n">
        <v>0.25</v>
      </c>
      <c r="D82" t="n">
        <v>0</v>
      </c>
      <c r="E82" t="n">
        <v>5</v>
      </c>
      <c r="F82" t="n">
        <v>0</v>
      </c>
      <c r="H82" t="n">
        <v>0</v>
      </c>
      <c r="I82" t="n">
        <v>0</v>
      </c>
      <c r="J82" t="n">
        <v>0</v>
      </c>
      <c r="K82" t="n">
        <v>0</v>
      </c>
      <c r="L82" t="n">
        <v>0</v>
      </c>
      <c r="M82" t="n">
        <v>0</v>
      </c>
      <c r="N82" t="n">
        <v>0</v>
      </c>
    </row>
    <row r="83">
      <c r="A83" t="inlineStr">
        <is>
          <t>defaults nunton</t>
        </is>
      </c>
      <c r="B83" t="inlineStr">
        <is>
          <t>1 ferling of land there formerly of william wythie because in the lord's hands, 3 shilling for the year.</t>
        </is>
      </c>
      <c r="C83" t="n">
        <v>0.15</v>
      </c>
      <c r="D83" t="n">
        <v>0</v>
      </c>
      <c r="E83" t="n">
        <v>3</v>
      </c>
      <c r="F83" t="n">
        <v>0</v>
      </c>
      <c r="H83" t="n">
        <v>0</v>
      </c>
      <c r="I83" t="n">
        <v>0</v>
      </c>
      <c r="J83" t="n">
        <v>0</v>
      </c>
      <c r="K83" t="n">
        <v>0</v>
      </c>
      <c r="L83" t="n">
        <v>0</v>
      </c>
      <c r="M83" t="n">
        <v>0</v>
      </c>
      <c r="N83" t="n">
        <v>0</v>
      </c>
    </row>
    <row r="84">
      <c r="A84" t="inlineStr">
        <is>
          <t>defaults nunton</t>
        </is>
      </c>
      <c r="B84" t="inlineStr">
        <is>
          <t>1 ferling of land there formerly of nicholas keente because in the lord's hands, 2 shilling for the year.</t>
        </is>
      </c>
      <c r="C84" t="n">
        <v>0.1</v>
      </c>
      <c r="D84" t="n">
        <v>0</v>
      </c>
      <c r="E84" t="n">
        <v>2</v>
      </c>
      <c r="F84" t="n">
        <v>0</v>
      </c>
      <c r="H84" t="n">
        <v>0</v>
      </c>
      <c r="I84" t="n">
        <v>0</v>
      </c>
      <c r="J84" t="n">
        <v>0</v>
      </c>
      <c r="K84" t="n">
        <v>0</v>
      </c>
      <c r="L84" t="n">
        <v>0</v>
      </c>
      <c r="M84" t="n">
        <v>0</v>
      </c>
      <c r="N84" t="n">
        <v>0</v>
      </c>
    </row>
    <row r="85">
      <c r="A85" t="inlineStr">
        <is>
          <t>defaults nunton</t>
        </is>
      </c>
      <c r="B85" t="inlineStr">
        <is>
          <t>1 ferling of land, 1 acre of meadow and 1 acre 3 roods of bordage land there formerly of john atte wolle because in the lord's hands, 8 shilling 7.5pence for the year.</t>
        </is>
      </c>
      <c r="C85" t="n">
        <v>0.43</v>
      </c>
      <c r="D85" t="n">
        <v>0</v>
      </c>
      <c r="E85" t="n">
        <v>8</v>
      </c>
      <c r="F85" t="n">
        <v>7.5</v>
      </c>
      <c r="H85" t="n">
        <v>0</v>
      </c>
      <c r="I85" t="n">
        <v>0</v>
      </c>
      <c r="J85" t="n">
        <v>0</v>
      </c>
      <c r="K85" t="n">
        <v>0</v>
      </c>
      <c r="L85" t="n">
        <v>0</v>
      </c>
      <c r="M85" t="n">
        <v>0</v>
      </c>
      <c r="N85" t="n">
        <v>0</v>
      </c>
    </row>
    <row r="86">
      <c r="A86" t="inlineStr">
        <is>
          <t>defaults nunton</t>
        </is>
      </c>
      <c r="B86" t="inlineStr">
        <is>
          <t>1 ferling of villein land and 1 acre of bordage land there formerly of john slopere because in hand the year.</t>
        </is>
      </c>
      <c r="C86" t="n">
        <v>0</v>
      </c>
      <c r="D86" t="n">
        <v>0</v>
      </c>
      <c r="E86" t="n">
        <v>0</v>
      </c>
      <c r="F86" t="n">
        <v>0</v>
      </c>
      <c r="H86" t="n">
        <v>0</v>
      </c>
      <c r="I86" t="n">
        <v>0</v>
      </c>
      <c r="J86" t="n">
        <v>0</v>
      </c>
      <c r="K86" t="n">
        <v>0</v>
      </c>
      <c r="L86" t="n">
        <v>0</v>
      </c>
      <c r="M86" t="n">
        <v>0</v>
      </c>
      <c r="N86" t="n">
        <v>0</v>
      </c>
    </row>
    <row r="87">
      <c r="A87" t="inlineStr">
        <is>
          <t>defaults nunton</t>
        </is>
      </c>
      <c r="B87" t="inlineStr">
        <is>
          <t>1 ferling of land there formerly of william bras3eters because in the lord’s hands, 2 shilling for the year.</t>
        </is>
      </c>
      <c r="C87" t="n">
        <v>0.1</v>
      </c>
      <c r="D87" t="n">
        <v>0</v>
      </c>
      <c r="E87" t="n">
        <v>2</v>
      </c>
      <c r="F87" t="n">
        <v>0</v>
      </c>
      <c r="H87" t="n">
        <v>0</v>
      </c>
      <c r="I87" t="n">
        <v>0</v>
      </c>
      <c r="J87" t="n">
        <v>0</v>
      </c>
      <c r="K87" t="n">
        <v>0</v>
      </c>
      <c r="L87" t="n">
        <v>0</v>
      </c>
      <c r="M87" t="n">
        <v>0</v>
      </c>
      <c r="N87" t="n">
        <v>0</v>
      </c>
    </row>
    <row r="88">
      <c r="A88" t="inlineStr">
        <is>
          <t>defaults nunton</t>
        </is>
      </c>
      <c r="B88" t="inlineStr">
        <is>
          <t>1 cottage there formerly of john fre because in the lord’s hands, 1 s. for the year.</t>
        </is>
      </c>
      <c r="C88" t="n">
        <v>0</v>
      </c>
      <c r="D88" t="n">
        <v>0</v>
      </c>
      <c r="E88" t="n">
        <v>0</v>
      </c>
      <c r="F88" t="n">
        <v>0</v>
      </c>
      <c r="H88" t="n">
        <v>0</v>
      </c>
      <c r="I88" t="n">
        <v>0</v>
      </c>
      <c r="J88" t="n">
        <v>0</v>
      </c>
      <c r="K88" t="n">
        <v>0</v>
      </c>
      <c r="L88" t="n">
        <v>0</v>
      </c>
      <c r="M88" t="n">
        <v>0</v>
      </c>
      <c r="N88" t="n">
        <v>0</v>
      </c>
    </row>
    <row r="89">
      <c r="A89" t="inlineStr">
        <is>
          <t>defaults nunton</t>
        </is>
      </c>
      <c r="B89" t="inlineStr">
        <is>
          <t>total, £23 4 shilling 9pence.</t>
        </is>
      </c>
      <c r="C89" t="n">
        <v>23.24</v>
      </c>
      <c r="D89" t="n">
        <v>23</v>
      </c>
      <c r="E89" t="n">
        <v>4</v>
      </c>
      <c r="F89" t="n">
        <v>9</v>
      </c>
      <c r="H89" t="n">
        <v>0</v>
      </c>
      <c r="I89" t="n">
        <v>0</v>
      </c>
      <c r="J89" t="n">
        <v>0</v>
      </c>
      <c r="K89" t="n">
        <v>0</v>
      </c>
      <c r="L89" t="n">
        <v>0</v>
      </c>
      <c r="M89" t="n">
        <v>0</v>
      </c>
      <c r="N89" t="n">
        <v>0</v>
      </c>
    </row>
    <row r="90">
      <c r="A90" t="inlineStr">
        <is>
          <t>total of quittances and defaults of rent</t>
        </is>
      </c>
      <c r="B90" t="inlineStr">
        <is>
          <t>total of quittances and defaults of rent, £28 17 shilling 6pence.</t>
        </is>
      </c>
      <c r="C90" t="n">
        <v>28.88</v>
      </c>
      <c r="D90" t="n">
        <v>28</v>
      </c>
      <c r="E90" t="n">
        <v>17</v>
      </c>
      <c r="F90" t="n">
        <v>6</v>
      </c>
      <c r="H90" t="n">
        <v>0</v>
      </c>
      <c r="I90" t="n">
        <v>0</v>
      </c>
      <c r="J90" t="n">
        <v>0</v>
      </c>
      <c r="K90" t="n">
        <v>0</v>
      </c>
      <c r="L90" t="n">
        <v>0</v>
      </c>
      <c r="M90" t="n">
        <v>0</v>
      </c>
      <c r="N90" t="n">
        <v>0</v>
      </c>
    </row>
    <row r="91">
      <c r="A91" t="inlineStr">
        <is>
          <t>total of rents remaining clear</t>
        </is>
      </c>
      <c r="B91" t="inlineStr">
        <is>
          <t>total of rents remaining clear, £41 19 shilling 10.5pence.</t>
        </is>
      </c>
      <c r="C91" t="n">
        <v>41.99</v>
      </c>
      <c r="D91" t="n">
        <v>41</v>
      </c>
      <c r="E91" t="n">
        <v>19</v>
      </c>
      <c r="F91" t="n">
        <v>10.5</v>
      </c>
      <c r="H91" t="n">
        <v>0</v>
      </c>
      <c r="I91" t="n">
        <v>0</v>
      </c>
      <c r="J91" t="n">
        <v>0</v>
      </c>
      <c r="K91" t="n">
        <v>0</v>
      </c>
      <c r="L91" t="n">
        <v>0</v>
      </c>
      <c r="M91" t="n">
        <v>0</v>
      </c>
      <c r="N91" t="n">
        <v>0</v>
      </c>
    </row>
    <row r="92">
      <c r="A92" t="inlineStr">
        <is>
          <t>spurs and cumin</t>
        </is>
      </c>
      <c r="B92" t="inlineStr">
        <is>
          <t>and for 6pence for 1 pair of spurs for the rent of john wrothe.</t>
        </is>
      </c>
      <c r="C92" t="n">
        <v>0.03</v>
      </c>
      <c r="D92" t="n">
        <v>0</v>
      </c>
      <c r="E92" t="n">
        <v>0</v>
      </c>
      <c r="F92" t="n">
        <v>6</v>
      </c>
      <c r="H92" t="n">
        <v>0</v>
      </c>
      <c r="I92" t="n">
        <v>0</v>
      </c>
      <c r="J92" t="n">
        <v>0</v>
      </c>
      <c r="K92" t="n">
        <v>0</v>
      </c>
      <c r="L92" t="n">
        <v>0</v>
      </c>
      <c r="M92" t="n">
        <v>0</v>
      </c>
      <c r="N92" t="n">
        <v>0</v>
      </c>
    </row>
    <row r="93">
      <c r="A93" t="inlineStr">
        <is>
          <t>spurs and cumin</t>
        </is>
      </c>
      <c r="B93" t="inlineStr">
        <is>
          <t>1 lb of cumin for the rent of john chepman balance 1 garden in wick.</t>
        </is>
      </c>
      <c r="C93" t="n">
        <v>0</v>
      </c>
      <c r="D93" t="n">
        <v>0</v>
      </c>
      <c r="E93" t="n">
        <v>0</v>
      </c>
      <c r="F93" t="n">
        <v>0</v>
      </c>
      <c r="H93" t="n">
        <v>0</v>
      </c>
      <c r="I93" t="n">
        <v>0</v>
      </c>
      <c r="J93" t="n">
        <v>0</v>
      </c>
      <c r="K93" t="n">
        <v>0</v>
      </c>
      <c r="L93" t="n">
        <v>0</v>
      </c>
      <c r="M93" t="n">
        <v>0</v>
      </c>
      <c r="N93" t="n">
        <v>0</v>
      </c>
    </row>
    <row r="94">
      <c r="A94" t="inlineStr">
        <is>
          <t>spurs and cumin</t>
        </is>
      </c>
      <c r="B94" t="inlineStr">
        <is>
          <t>all delivered to the treasurer of wolvesey at the exchequer.</t>
        </is>
      </c>
      <c r="C94" t="n">
        <v>0</v>
      </c>
      <c r="D94" t="n">
        <v>0</v>
      </c>
      <c r="E94" t="n">
        <v>0</v>
      </c>
      <c r="F94" t="n">
        <v>0</v>
      </c>
      <c r="H94" t="n">
        <v>0</v>
      </c>
      <c r="I94" t="n">
        <v>0</v>
      </c>
      <c r="J94" t="n">
        <v>0</v>
      </c>
      <c r="K94" t="n">
        <v>0</v>
      </c>
      <c r="L94" t="n">
        <v>0</v>
      </c>
      <c r="M94" t="n">
        <v>0</v>
      </c>
      <c r="N94" t="n">
        <v>0</v>
      </c>
    </row>
    <row r="95">
      <c r="A95" t="inlineStr">
        <is>
          <t>spurs and cumin</t>
        </is>
      </c>
      <c r="B95" t="inlineStr">
        <is>
          <t>it balances.</t>
        </is>
      </c>
      <c r="C95" t="n">
        <v>0</v>
      </c>
      <c r="D95" t="n">
        <v>0</v>
      </c>
      <c r="E95" t="n">
        <v>0</v>
      </c>
      <c r="F95" t="n">
        <v>0</v>
      </c>
      <c r="H95" t="n">
        <v>0</v>
      </c>
      <c r="I95" t="n">
        <v>0</v>
      </c>
      <c r="J95" t="n">
        <v>0</v>
      </c>
      <c r="K95" t="n">
        <v>0</v>
      </c>
      <c r="L95" t="n">
        <v>0</v>
      </c>
      <c r="M95" t="n">
        <v>0</v>
      </c>
      <c r="N95" t="n">
        <v>0</v>
      </c>
    </row>
    <row r="96">
      <c r="A96" t="inlineStr">
        <is>
          <t>annual recognizance</t>
        </is>
      </c>
      <c r="B96" t="inlineStr">
        <is>
          <t>and for 3pence for the annual recognizance of john, son of john shephurd', so that he may dwell outside the lord's liberty as long as it pleases the lord and come to the two tourns for the year and remain the lord's villein as before.</t>
        </is>
      </c>
      <c r="C96" t="n">
        <v>0.01</v>
      </c>
      <c r="D96" t="n">
        <v>0</v>
      </c>
      <c r="E96" t="n">
        <v>0</v>
      </c>
      <c r="F96" t="n">
        <v>3</v>
      </c>
      <c r="H96" t="n">
        <v>0</v>
      </c>
      <c r="I96" t="n">
        <v>0</v>
      </c>
      <c r="J96" t="n">
        <v>0</v>
      </c>
      <c r="K96" t="n">
        <v>0</v>
      </c>
      <c r="L96" t="n">
        <v>0</v>
      </c>
      <c r="M96" t="n">
        <v>0</v>
      </c>
      <c r="N96" t="n">
        <v>0</v>
      </c>
    </row>
    <row r="97">
      <c r="A97" t="inlineStr">
        <is>
          <t>annual recognizance</t>
        </is>
      </c>
      <c r="B97"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C97" t="n">
        <v>0.01</v>
      </c>
      <c r="D97" t="n">
        <v>0</v>
      </c>
      <c r="E97" t="n">
        <v>0</v>
      </c>
      <c r="F97" t="n">
        <v>2</v>
      </c>
      <c r="H97" t="n">
        <v>0</v>
      </c>
      <c r="I97" t="n">
        <v>0</v>
      </c>
      <c r="J97" t="n">
        <v>0</v>
      </c>
      <c r="K97" t="n">
        <v>0</v>
      </c>
      <c r="L97" t="n">
        <v>0</v>
      </c>
      <c r="M97" t="n">
        <v>0</v>
      </c>
      <c r="N97" t="n">
        <v>0</v>
      </c>
    </row>
    <row r="98">
      <c r="A98" t="inlineStr">
        <is>
          <t>annual recognizance</t>
        </is>
      </c>
      <c r="B98" t="inlineStr">
        <is>
          <t>court, saving that all his family (sequel') will remain the lord's villeins as before.</t>
        </is>
      </c>
      <c r="C98" t="n">
        <v>0</v>
      </c>
      <c r="D98" t="n">
        <v>0</v>
      </c>
      <c r="E98" t="n">
        <v>0</v>
      </c>
      <c r="F98" t="n">
        <v>0</v>
      </c>
      <c r="H98" t="n">
        <v>0</v>
      </c>
      <c r="I98" t="n">
        <v>0</v>
      </c>
      <c r="J98" t="n">
        <v>0</v>
      </c>
      <c r="K98" t="n">
        <v>0</v>
      </c>
      <c r="L98" t="n">
        <v>0</v>
      </c>
      <c r="M98" t="n">
        <v>0</v>
      </c>
      <c r="N98" t="n">
        <v>0</v>
      </c>
    </row>
    <row r="99">
      <c r="A99" t="inlineStr">
        <is>
          <t>annual recognizance</t>
        </is>
      </c>
      <c r="B99" t="inlineStr">
        <is>
          <t>2 shilling from walter busshop so that he may dwell outside the lord's liberty as long as it pleases the lord and come to the tourn of hockday for the year and remain the lord's villein as before.</t>
        </is>
      </c>
      <c r="C99" t="n">
        <v>0.1</v>
      </c>
      <c r="D99" t="n">
        <v>0</v>
      </c>
      <c r="E99" t="n">
        <v>2</v>
      </c>
      <c r="F99" t="n">
        <v>0</v>
      </c>
      <c r="H99" t="n">
        <v>0</v>
      </c>
      <c r="I99" t="n">
        <v>0</v>
      </c>
      <c r="J99" t="n">
        <v>0</v>
      </c>
      <c r="K99" t="n">
        <v>0</v>
      </c>
      <c r="L99" t="n">
        <v>0</v>
      </c>
      <c r="M99" t="n">
        <v>0</v>
      </c>
      <c r="N99" t="n">
        <v>0</v>
      </c>
    </row>
    <row r="100">
      <c r="A100" t="inlineStr">
        <is>
          <t>annual recognizance</t>
        </is>
      </c>
      <c r="B100" t="inlineStr">
        <is>
          <t>nothing of the 3 shilling 4pence for the annual recognizance of john kykayne because he is dead, as made clear in the court rolls this year.</t>
        </is>
      </c>
      <c r="C100" t="n">
        <v>0.17</v>
      </c>
      <c r="D100" t="n">
        <v>0</v>
      </c>
      <c r="E100" t="n">
        <v>3</v>
      </c>
      <c r="F100" t="n">
        <v>4</v>
      </c>
      <c r="H100" t="n">
        <v>0</v>
      </c>
      <c r="I100" t="n">
        <v>0</v>
      </c>
      <c r="J100" t="n">
        <v>0</v>
      </c>
      <c r="K100" t="n">
        <v>0</v>
      </c>
      <c r="L100" t="n">
        <v>0</v>
      </c>
      <c r="M100" t="n">
        <v>0</v>
      </c>
      <c r="N100" t="n">
        <v>0</v>
      </c>
    </row>
    <row r="101">
      <c r="A101" t="inlineStr">
        <is>
          <t>annual recognizance</t>
        </is>
      </c>
      <c r="B101" t="inlineStr">
        <is>
          <t>total, 2 shilling 5pence.</t>
        </is>
      </c>
      <c r="C101" t="n">
        <v>0.12</v>
      </c>
      <c r="D101" t="n">
        <v>0</v>
      </c>
      <c r="E101" t="n">
        <v>2</v>
      </c>
      <c r="F101" t="n">
        <v>5</v>
      </c>
      <c r="H101" t="n">
        <v>0</v>
      </c>
      <c r="I101" t="n">
        <v>0</v>
      </c>
      <c r="J101" t="n">
        <v>0</v>
      </c>
      <c r="K101" t="n">
        <v>0</v>
      </c>
      <c r="L101" t="n">
        <v>0</v>
      </c>
      <c r="M101" t="n">
        <v>0</v>
      </c>
      <c r="N101" t="n">
        <v>0</v>
      </c>
    </row>
    <row r="102">
      <c r="A102" t="inlineStr">
        <is>
          <t>farms</t>
        </is>
      </c>
      <c r="B102" t="inlineStr">
        <is>
          <t>and for £1 from william broune, nicholas craas and john jonys for the pasture in oxynlese in nunton.</t>
        </is>
      </c>
      <c r="C102" t="n">
        <v>1</v>
      </c>
      <c r="D102" t="n">
        <v>1</v>
      </c>
      <c r="E102" t="n">
        <v>0</v>
      </c>
      <c r="F102" t="n">
        <v>0</v>
      </c>
      <c r="H102" t="n">
        <v>0</v>
      </c>
      <c r="I102" t="n">
        <v>0</v>
      </c>
      <c r="J102" t="n">
        <v>0</v>
      </c>
      <c r="K102" t="n">
        <v>0</v>
      </c>
      <c r="L102" t="n">
        <v>0</v>
      </c>
      <c r="M102" t="n">
        <v>0</v>
      </c>
      <c r="N102" t="n">
        <v>0</v>
      </c>
    </row>
    <row r="103">
      <c r="A103" t="inlineStr">
        <is>
          <t>farms</t>
        </is>
      </c>
      <c r="B103" t="inlineStr">
        <is>
          <t>£2 from the men of nunton for the farm of the meadow of nuntoni called westmede.</t>
        </is>
      </c>
      <c r="C103" t="n">
        <v>2</v>
      </c>
      <c r="D103" t="n">
        <v>2</v>
      </c>
      <c r="E103" t="n">
        <v>0</v>
      </c>
      <c r="F103" t="n">
        <v>0</v>
      </c>
      <c r="H103" t="n">
        <v>0</v>
      </c>
      <c r="I103" t="n">
        <v>0</v>
      </c>
      <c r="J103" t="n">
        <v>0</v>
      </c>
      <c r="K103" t="n">
        <v>0</v>
      </c>
      <c r="L103" t="n">
        <v>0</v>
      </c>
      <c r="M103" t="n">
        <v>0</v>
      </c>
      <c r="N103" t="n">
        <v>0</v>
      </c>
    </row>
    <row r="104">
      <c r="A104" t="inlineStr">
        <is>
          <t>farms</t>
        </is>
      </c>
      <c r="B104" t="inlineStr">
        <is>
          <t>£1 6 shilling 8pence from the tenants of nunton for 88 acres of demesne land there together with the sheep2 pasture there, adjacent to the same, let this year.</t>
        </is>
      </c>
      <c r="C104" t="n">
        <v>1.33</v>
      </c>
      <c r="D104" t="n">
        <v>1</v>
      </c>
      <c r="E104" t="n">
        <v>6</v>
      </c>
      <c r="F104" t="n">
        <v>8</v>
      </c>
      <c r="H104" t="n">
        <v>0</v>
      </c>
      <c r="I104" t="n">
        <v>0</v>
      </c>
      <c r="J104" t="n">
        <v>0</v>
      </c>
      <c r="K104" t="n">
        <v>0</v>
      </c>
      <c r="L104" t="n">
        <v>0</v>
      </c>
      <c r="M104" t="n">
        <v>0</v>
      </c>
      <c r="N104" t="n">
        <v>0</v>
      </c>
    </row>
    <row r="105">
      <c r="A105" t="inlineStr">
        <is>
          <t>farms</t>
        </is>
      </c>
      <c r="B105" t="inlineStr">
        <is>
          <t>2 shilling 6pence from john pypere for a certain croft beside the barton of the sheepcote of nunton, as enclosed, for which he has fined.</t>
        </is>
      </c>
      <c r="C105" t="n">
        <v>0.12</v>
      </c>
      <c r="D105" t="n">
        <v>0</v>
      </c>
      <c r="E105" t="n">
        <v>2</v>
      </c>
      <c r="F105" t="n">
        <v>6</v>
      </c>
      <c r="H105" t="n">
        <v>0</v>
      </c>
      <c r="I105" t="n">
        <v>0</v>
      </c>
      <c r="J105" t="n">
        <v>0</v>
      </c>
      <c r="K105" t="n">
        <v>0</v>
      </c>
      <c r="L105" t="n">
        <v>0</v>
      </c>
      <c r="M105" t="n">
        <v>0</v>
      </c>
      <c r="N105" t="n">
        <v>0</v>
      </c>
    </row>
    <row r="106">
      <c r="A106" t="inlineStr">
        <is>
          <t>farms</t>
        </is>
      </c>
      <c r="B106" t="inlineStr">
        <is>
          <t>total, £4 9 shilling 2pence.</t>
        </is>
      </c>
      <c r="C106" t="n">
        <v>4.46</v>
      </c>
      <c r="D106" t="n">
        <v>4</v>
      </c>
      <c r="E106" t="n">
        <v>9</v>
      </c>
      <c r="F106" t="n">
        <v>2</v>
      </c>
      <c r="H106" t="n">
        <v>0</v>
      </c>
      <c r="I106" t="n">
        <v>0</v>
      </c>
      <c r="J106" t="n">
        <v>0</v>
      </c>
      <c r="K106" t="n">
        <v>0</v>
      </c>
      <c r="L106" t="n">
        <v>0</v>
      </c>
      <c r="M106" t="n">
        <v>0</v>
      </c>
      <c r="N106" t="n">
        <v>0</v>
      </c>
    </row>
    <row r="107">
      <c r="A107" t="inlineStr">
        <is>
          <t>issues of the manor</t>
        </is>
      </c>
      <c r="B107" t="inlineStr">
        <is>
          <t>and for 10 shilling 0.5pence from the pannage of pigs at martinmas.</t>
        </is>
      </c>
      <c r="C107" t="n">
        <v>0.5</v>
      </c>
      <c r="D107" t="n">
        <v>0</v>
      </c>
      <c r="E107" t="n">
        <v>10</v>
      </c>
      <c r="F107" t="n">
        <v>0.5</v>
      </c>
      <c r="H107" t="n">
        <v>0</v>
      </c>
      <c r="I107" t="n">
        <v>0</v>
      </c>
      <c r="J107" t="n">
        <v>0</v>
      </c>
      <c r="K107" t="n">
        <v>0</v>
      </c>
      <c r="L107" t="n">
        <v>0</v>
      </c>
      <c r="M107" t="n">
        <v>0</v>
      </c>
      <c r="N107" t="n">
        <v>0</v>
      </c>
    </row>
    <row r="108">
      <c r="A108" t="inlineStr">
        <is>
          <t>issues of the manor</t>
        </is>
      </c>
      <c r="B108" t="inlineStr">
        <is>
          <t>nothing from the pannage of foreign pigs this year.</t>
        </is>
      </c>
      <c r="C108" t="n">
        <v>0</v>
      </c>
      <c r="D108" t="n">
        <v>0</v>
      </c>
      <c r="E108" t="n">
        <v>0</v>
      </c>
      <c r="F108" t="n">
        <v>0</v>
      </c>
      <c r="H108" t="n">
        <v>0</v>
      </c>
      <c r="I108" t="n">
        <v>0</v>
      </c>
      <c r="J108" t="n">
        <v>0</v>
      </c>
      <c r="K108" t="n">
        <v>0</v>
      </c>
      <c r="L108" t="n">
        <v>0</v>
      </c>
      <c r="M108" t="n">
        <v>0</v>
      </c>
      <c r="N108" t="n">
        <v>0</v>
      </c>
    </row>
    <row r="109">
      <c r="A109" t="inlineStr">
        <is>
          <t>issues of the manor</t>
        </is>
      </c>
      <c r="B109" t="inlineStr">
        <is>
          <t>3 shilling 4pence from the herbage (herbag') of 2 cattle and 160 sheep of the men of nunton at hockday, at 4pence for fully-grown cattle, 2pence for a bullock, and 1pence per 5 sheep.</t>
        </is>
      </c>
      <c r="C109" t="n">
        <v>0.17</v>
      </c>
      <c r="D109" t="n">
        <v>0</v>
      </c>
      <c r="E109" t="n">
        <v>3</v>
      </c>
      <c r="F109" t="n">
        <v>4</v>
      </c>
      <c r="H109" t="n">
        <v>0</v>
      </c>
      <c r="I109" t="n">
        <v>0</v>
      </c>
      <c r="J109" t="n">
        <v>0</v>
      </c>
      <c r="K109" t="n">
        <v>0</v>
      </c>
      <c r="L109" t="n">
        <v>0</v>
      </c>
      <c r="M109" t="n">
        <v>0</v>
      </c>
      <c r="N109" t="n">
        <v>0</v>
      </c>
    </row>
    <row r="110">
      <c r="A110" t="inlineStr">
        <is>
          <t>issues of the manor</t>
        </is>
      </c>
      <c r="B110" t="inlineStr">
        <is>
          <t>2 shilling from the herbage of 2 cattle and 80 sheep of the men of witherington in a similar way.</t>
        </is>
      </c>
      <c r="C110" t="n">
        <v>0.1</v>
      </c>
      <c r="D110" t="n">
        <v>0</v>
      </c>
      <c r="E110" t="n">
        <v>2</v>
      </c>
      <c r="F110" t="n">
        <v>0</v>
      </c>
      <c r="H110" t="n">
        <v>0</v>
      </c>
      <c r="I110" t="n">
        <v>0</v>
      </c>
      <c r="J110" t="n">
        <v>0</v>
      </c>
      <c r="K110" t="n">
        <v>0</v>
      </c>
      <c r="L110" t="n">
        <v>0</v>
      </c>
      <c r="M110" t="n">
        <v>0</v>
      </c>
      <c r="N110" t="n">
        <v>0</v>
      </c>
    </row>
    <row r="111">
      <c r="A111" t="inlineStr">
        <is>
          <t>issues of the manor</t>
        </is>
      </c>
      <c r="B111" t="inlineStr">
        <is>
          <t>nothing from herbage in wick and walton this year because they have no cattle to pay for (avesagium) and they give nothing for sheep in cash because they give sheep as made clear elsewhere.</t>
        </is>
      </c>
      <c r="C111" t="n">
        <v>0</v>
      </c>
      <c r="D111" t="n">
        <v>0</v>
      </c>
      <c r="E111" t="n">
        <v>0</v>
      </c>
      <c r="F111" t="n">
        <v>0</v>
      </c>
      <c r="H111" t="n">
        <v>0</v>
      </c>
      <c r="I111" t="n">
        <v>0</v>
      </c>
      <c r="J111" t="n">
        <v>0</v>
      </c>
      <c r="K111" t="n">
        <v>0</v>
      </c>
      <c r="L111" t="n">
        <v>0</v>
      </c>
      <c r="M111" t="n">
        <v>0</v>
      </c>
      <c r="N111" t="n">
        <v>0</v>
      </c>
    </row>
    <row r="112">
      <c r="A112" t="inlineStr">
        <is>
          <t>issues of the manor</t>
        </is>
      </c>
      <c r="B112" t="inlineStr">
        <is>
          <t>£8 3 shilling 8pence from new hay sold this year.</t>
        </is>
      </c>
      <c r="C112" t="n">
        <v>8.18</v>
      </c>
      <c r="D112" t="n">
        <v>8</v>
      </c>
      <c r="E112" t="n">
        <v>3</v>
      </c>
      <c r="F112" t="n">
        <v>8</v>
      </c>
      <c r="H112" t="n">
        <v>0</v>
      </c>
      <c r="I112" t="n">
        <v>0</v>
      </c>
      <c r="J112" t="n">
        <v>0</v>
      </c>
      <c r="K112" t="n">
        <v>0</v>
      </c>
      <c r="L112" t="n">
        <v>0</v>
      </c>
      <c r="M112" t="n">
        <v>0</v>
      </c>
      <c r="N112" t="n">
        <v>0</v>
      </c>
    </row>
    <row r="113">
      <c r="A113" t="inlineStr">
        <is>
          <t>issues of the manor</t>
        </is>
      </c>
      <c r="B113" t="inlineStr">
        <is>
          <t>nothing from old hay sold this year.</t>
        </is>
      </c>
      <c r="C113" t="n">
        <v>0</v>
      </c>
      <c r="D113" t="n">
        <v>0</v>
      </c>
      <c r="E113" t="n">
        <v>0</v>
      </c>
      <c r="F113" t="n">
        <v>0</v>
      </c>
      <c r="H113" t="n">
        <v>0</v>
      </c>
      <c r="I113" t="n">
        <v>0</v>
      </c>
      <c r="J113" t="n">
        <v>0</v>
      </c>
      <c r="K113" t="n">
        <v>0</v>
      </c>
      <c r="L113" t="n">
        <v>0</v>
      </c>
      <c r="M113" t="n">
        <v>0</v>
      </c>
      <c r="N113" t="n">
        <v>0</v>
      </c>
    </row>
    <row r="114">
      <c r="A114" t="inlineStr">
        <is>
          <t>issues of the manor</t>
        </is>
      </c>
      <c r="B114" t="inlineStr">
        <is>
          <t>nothing from the sale of underwood in privett this year.</t>
        </is>
      </c>
      <c r="C114" t="n">
        <v>0</v>
      </c>
      <c r="D114" t="n">
        <v>0</v>
      </c>
      <c r="E114" t="n">
        <v>0</v>
      </c>
      <c r="F114" t="n">
        <v>0</v>
      </c>
      <c r="H114" t="n">
        <v>0</v>
      </c>
      <c r="I114" t="n">
        <v>0</v>
      </c>
      <c r="J114" t="n">
        <v>0</v>
      </c>
      <c r="K114" t="n">
        <v>0</v>
      </c>
      <c r="L114" t="n">
        <v>0</v>
      </c>
      <c r="M114" t="n">
        <v>0</v>
      </c>
      <c r="N114" t="n">
        <v>0</v>
      </c>
    </row>
    <row r="115">
      <c r="A115" t="inlineStr">
        <is>
          <t>issues of the manor</t>
        </is>
      </c>
      <c r="B115" t="inlineStr">
        <is>
          <t>nothing from the sale of scrags there this year.</t>
        </is>
      </c>
      <c r="C115" t="n">
        <v>0</v>
      </c>
      <c r="D115" t="n">
        <v>0</v>
      </c>
      <c r="E115" t="n">
        <v>0</v>
      </c>
      <c r="F115" t="n">
        <v>0</v>
      </c>
      <c r="H115" t="n">
        <v>0</v>
      </c>
      <c r="I115" t="n">
        <v>0</v>
      </c>
      <c r="J115" t="n">
        <v>0</v>
      </c>
      <c r="K115" t="n">
        <v>0</v>
      </c>
      <c r="L115" t="n">
        <v>0</v>
      </c>
      <c r="M115" t="n">
        <v>0</v>
      </c>
      <c r="N115" t="n">
        <v>0</v>
      </c>
    </row>
    <row r="116">
      <c r="A116" t="inlineStr">
        <is>
          <t>issues of the manor</t>
        </is>
      </c>
      <c r="B116" t="inlineStr">
        <is>
          <t>nothing from the sale of (old) hedges there this year.</t>
        </is>
      </c>
      <c r="C116" t="n">
        <v>0</v>
      </c>
      <c r="D116" t="n">
        <v>0</v>
      </c>
      <c r="E116" t="n">
        <v>0</v>
      </c>
      <c r="F116" t="n">
        <v>0</v>
      </c>
      <c r="H116" t="n">
        <v>0</v>
      </c>
      <c r="I116" t="n">
        <v>0</v>
      </c>
      <c r="J116" t="n">
        <v>0</v>
      </c>
      <c r="K116" t="n">
        <v>0</v>
      </c>
      <c r="L116" t="n">
        <v>0</v>
      </c>
      <c r="M116" t="n">
        <v>0</v>
      </c>
      <c r="N116" t="n">
        <v>0</v>
      </c>
    </row>
    <row r="117">
      <c r="A117" t="inlineStr">
        <is>
          <t>issues of the manor</t>
        </is>
      </c>
      <c r="B117" t="inlineStr">
        <is>
          <t>nothing from thorns in the moat this year.</t>
        </is>
      </c>
      <c r="C117" t="n">
        <v>0</v>
      </c>
      <c r="D117" t="n">
        <v>0</v>
      </c>
      <c r="E117" t="n">
        <v>0</v>
      </c>
      <c r="F117" t="n">
        <v>0</v>
      </c>
      <c r="H117" t="n">
        <v>0</v>
      </c>
      <c r="I117" t="n">
        <v>0</v>
      </c>
      <c r="J117" t="n">
        <v>0</v>
      </c>
      <c r="K117" t="n">
        <v>0</v>
      </c>
      <c r="L117" t="n">
        <v>0</v>
      </c>
      <c r="M117" t="n">
        <v>0</v>
      </c>
      <c r="N117" t="n">
        <v>0</v>
      </c>
    </row>
    <row r="118">
      <c r="A118" t="inlineStr">
        <is>
          <t>issues of the manor</t>
        </is>
      </c>
      <c r="B118" t="inlineStr">
        <is>
          <t>£4 4 shilling 10pence from uriderwood sold in ferthyngle this year.</t>
        </is>
      </c>
      <c r="C118" t="n">
        <v>4.24</v>
      </c>
      <c r="D118" t="n">
        <v>4</v>
      </c>
      <c r="E118" t="n">
        <v>4</v>
      </c>
      <c r="F118" t="n">
        <v>10</v>
      </c>
      <c r="H118" t="n">
        <v>0</v>
      </c>
      <c r="I118" t="n">
        <v>0</v>
      </c>
      <c r="J118" t="n">
        <v>0</v>
      </c>
      <c r="K118" t="n">
        <v>0</v>
      </c>
      <c r="L118" t="n">
        <v>0</v>
      </c>
      <c r="M118" t="n">
        <v>0</v>
      </c>
      <c r="N118" t="n">
        <v>0</v>
      </c>
    </row>
    <row r="119">
      <c r="A119" t="inlineStr">
        <is>
          <t>issues of the manor</t>
        </is>
      </c>
      <c r="B119" t="inlineStr">
        <is>
          <t>nothing from the sale of scrags there this year.</t>
        </is>
      </c>
      <c r="C119" t="n">
        <v>0</v>
      </c>
      <c r="D119" t="n">
        <v>0</v>
      </c>
      <c r="E119" t="n">
        <v>0</v>
      </c>
      <c r="F119" t="n">
        <v>0</v>
      </c>
      <c r="H119" t="n">
        <v>0</v>
      </c>
      <c r="I119" t="n">
        <v>0</v>
      </c>
      <c r="J119" t="n">
        <v>0</v>
      </c>
      <c r="K119" t="n">
        <v>0</v>
      </c>
      <c r="L119" t="n">
        <v>0</v>
      </c>
      <c r="M119" t="n">
        <v>0</v>
      </c>
      <c r="N119" t="n">
        <v>0</v>
      </c>
    </row>
    <row r="120">
      <c r="A120" t="inlineStr">
        <is>
          <t>issues of the manor</t>
        </is>
      </c>
      <c r="B120" t="inlineStr">
        <is>
          <t>nothing from the sale of underwood in thornedon' this year.</t>
        </is>
      </c>
      <c r="C120" t="n">
        <v>0</v>
      </c>
      <c r="D120" t="n">
        <v>0</v>
      </c>
      <c r="E120" t="n">
        <v>0</v>
      </c>
      <c r="F120" t="n">
        <v>0</v>
      </c>
      <c r="H120" t="n">
        <v>0</v>
      </c>
      <c r="I120" t="n">
        <v>0</v>
      </c>
      <c r="J120" t="n">
        <v>0</v>
      </c>
      <c r="K120" t="n">
        <v>0</v>
      </c>
      <c r="L120" t="n">
        <v>0</v>
      </c>
      <c r="M120" t="n">
        <v>0</v>
      </c>
      <c r="N120" t="n">
        <v>0</v>
      </c>
    </row>
    <row r="121">
      <c r="A121" t="inlineStr">
        <is>
          <t>issues of the manor</t>
        </is>
      </c>
      <c r="B121" t="inlineStr">
        <is>
          <t>£3 1 shilling 8pence3 from scrags sold there this year.</t>
        </is>
      </c>
      <c r="C121" t="n">
        <v>3.08</v>
      </c>
      <c r="D121" t="n">
        <v>3</v>
      </c>
      <c r="E121" t="n">
        <v>1</v>
      </c>
      <c r="F121" t="n">
        <v>8</v>
      </c>
      <c r="H121" t="n">
        <v>0</v>
      </c>
      <c r="I121" t="n">
        <v>0</v>
      </c>
      <c r="J121" t="n">
        <v>0</v>
      </c>
      <c r="K121" t="n">
        <v>0</v>
      </c>
      <c r="L121" t="n">
        <v>0</v>
      </c>
      <c r="M121" t="n">
        <v>0</v>
      </c>
      <c r="N121" t="n">
        <v>0</v>
      </c>
    </row>
    <row r="122">
      <c r="A122" t="inlineStr">
        <is>
          <t>issues of the manor</t>
        </is>
      </c>
      <c r="B122" t="inlineStr">
        <is>
          <t>nothing from loppings in burghynmor' this year.</t>
        </is>
      </c>
      <c r="C122" t="n">
        <v>0</v>
      </c>
      <c r="D122" t="n">
        <v>0</v>
      </c>
      <c r="E122" t="n">
        <v>0</v>
      </c>
      <c r="F122" t="n">
        <v>0</v>
      </c>
      <c r="H122" t="n">
        <v>0</v>
      </c>
      <c r="I122" t="n">
        <v>0</v>
      </c>
      <c r="J122" t="n">
        <v>0</v>
      </c>
      <c r="K122" t="n">
        <v>0</v>
      </c>
      <c r="L122" t="n">
        <v>0</v>
      </c>
      <c r="M122" t="n">
        <v>0</v>
      </c>
      <c r="N122" t="n">
        <v>0</v>
      </c>
    </row>
    <row r="123">
      <c r="A123" t="inlineStr">
        <is>
          <t>issues of the manor</t>
        </is>
      </c>
      <c r="B123" t="inlineStr">
        <is>
          <t>1 shilling from loppings sold in loosehanger this year.</t>
        </is>
      </c>
      <c r="C123" t="n">
        <v>0.05</v>
      </c>
      <c r="D123" t="n">
        <v>0</v>
      </c>
      <c r="E123" t="n">
        <v>1</v>
      </c>
      <c r="F123" t="n">
        <v>0</v>
      </c>
      <c r="H123" t="n">
        <v>0</v>
      </c>
      <c r="I123" t="n">
        <v>0</v>
      </c>
      <c r="J123" t="n">
        <v>0</v>
      </c>
      <c r="K123" t="n">
        <v>0</v>
      </c>
      <c r="L123" t="n">
        <v>0</v>
      </c>
      <c r="M123" t="n">
        <v>0</v>
      </c>
      <c r="N123" t="n">
        <v>0</v>
      </c>
    </row>
    <row r="124">
      <c r="A124" t="inlineStr">
        <is>
          <t>issues of the manor</t>
        </is>
      </c>
      <c r="B124" t="inlineStr">
        <is>
          <t>nothing from the sale of thorns and scrags there this year.</t>
        </is>
      </c>
      <c r="C124" t="n">
        <v>0</v>
      </c>
      <c r="D124" t="n">
        <v>0</v>
      </c>
      <c r="E124" t="n">
        <v>0</v>
      </c>
      <c r="F124" t="n">
        <v>0</v>
      </c>
      <c r="H124" t="n">
        <v>0</v>
      </c>
      <c r="I124" t="n">
        <v>0</v>
      </c>
      <c r="J124" t="n">
        <v>0</v>
      </c>
      <c r="K124" t="n">
        <v>0</v>
      </c>
      <c r="L124" t="n">
        <v>0</v>
      </c>
      <c r="M124" t="n">
        <v>0</v>
      </c>
      <c r="N124" t="n">
        <v>0</v>
      </c>
    </row>
    <row r="125">
      <c r="A125" t="inlineStr">
        <is>
          <t>issues of the manor</t>
        </is>
      </c>
      <c r="B125" t="inlineStr">
        <is>
          <t>1 shilling from loppings sold in brembilwode this year.</t>
        </is>
      </c>
      <c r="C125" t="n">
        <v>0.05</v>
      </c>
      <c r="D125" t="n">
        <v>0</v>
      </c>
      <c r="E125" t="n">
        <v>1</v>
      </c>
      <c r="F125" t="n">
        <v>0</v>
      </c>
      <c r="H125" t="n">
        <v>0</v>
      </c>
      <c r="I125" t="n">
        <v>0</v>
      </c>
      <c r="J125" t="n">
        <v>0</v>
      </c>
      <c r="K125" t="n">
        <v>0</v>
      </c>
      <c r="L125" t="n">
        <v>0</v>
      </c>
      <c r="M125" t="n">
        <v>0</v>
      </c>
      <c r="N125" t="n">
        <v>0</v>
      </c>
    </row>
    <row r="126">
      <c r="A126" t="inlineStr">
        <is>
          <t>issues of the manor</t>
        </is>
      </c>
      <c r="B126" t="inlineStr">
        <is>
          <t>nothing from the sale of marl this year.</t>
        </is>
      </c>
      <c r="C126" t="n">
        <v>0</v>
      </c>
      <c r="D126" t="n">
        <v>0</v>
      </c>
      <c r="E126" t="n">
        <v>0</v>
      </c>
      <c r="F126" t="n">
        <v>0</v>
      </c>
      <c r="H126" t="n">
        <v>0</v>
      </c>
      <c r="I126" t="n">
        <v>0</v>
      </c>
      <c r="J126" t="n">
        <v>0</v>
      </c>
      <c r="K126" t="n">
        <v>0</v>
      </c>
      <c r="L126" t="n">
        <v>0</v>
      </c>
      <c r="M126" t="n">
        <v>0</v>
      </c>
      <c r="N126" t="n">
        <v>0</v>
      </c>
    </row>
    <row r="127">
      <c r="A127" t="inlineStr">
        <is>
          <t>issues of the manor</t>
        </is>
      </c>
      <c r="B127" t="inlineStr">
        <is>
          <t>nothing from the turbary sold this year from a want of buyers.</t>
        </is>
      </c>
      <c r="C127" t="n">
        <v>0</v>
      </c>
      <c r="D127" t="n">
        <v>0</v>
      </c>
      <c r="E127" t="n">
        <v>0</v>
      </c>
      <c r="F127" t="n">
        <v>0</v>
      </c>
      <c r="H127" t="n">
        <v>0</v>
      </c>
      <c r="I127" t="n">
        <v>0</v>
      </c>
      <c r="J127" t="n">
        <v>0</v>
      </c>
      <c r="K127" t="n">
        <v>0</v>
      </c>
      <c r="L127" t="n">
        <v>0</v>
      </c>
      <c r="M127" t="n">
        <v>0</v>
      </c>
      <c r="N127" t="n">
        <v>0</v>
      </c>
    </row>
    <row r="128">
      <c r="A128" t="inlineStr">
        <is>
          <t>issues of the manor</t>
        </is>
      </c>
      <c r="B128" t="inlineStr">
        <is>
          <t>5 shilling 6pence from the heath 4 shilling from peter's pence.</t>
        </is>
      </c>
      <c r="C128" t="n">
        <v>0.28</v>
      </c>
      <c r="D128" t="n">
        <v>0</v>
      </c>
      <c r="E128" t="n">
        <v>5</v>
      </c>
      <c r="F128" t="n">
        <v>6</v>
      </c>
      <c r="H128" t="n">
        <v>0</v>
      </c>
      <c r="I128" t="n">
        <v>0</v>
      </c>
      <c r="J128" t="n">
        <v>0</v>
      </c>
      <c r="K128" t="n">
        <v>0</v>
      </c>
      <c r="L128" t="n">
        <v>0</v>
      </c>
      <c r="M128" t="n">
        <v>0</v>
      </c>
      <c r="N128" t="n">
        <v>0</v>
      </c>
    </row>
    <row r="129">
      <c r="A129" t="inlineStr">
        <is>
          <t>issues of the manor</t>
        </is>
      </c>
      <c r="B129" t="inlineStr">
        <is>
          <t>10pence from the churchscot of barford and not more because the tenement which used to pay 3pence remains in the lord's hands.</t>
        </is>
      </c>
      <c r="C129" t="n">
        <v>0.04</v>
      </c>
      <c r="D129" t="n">
        <v>0</v>
      </c>
      <c r="E129" t="n">
        <v>0</v>
      </c>
      <c r="F129" t="n">
        <v>10</v>
      </c>
      <c r="H129" t="n">
        <v>0</v>
      </c>
      <c r="I129" t="n">
        <v>0</v>
      </c>
      <c r="J129" t="n">
        <v>0</v>
      </c>
      <c r="K129" t="n">
        <v>0</v>
      </c>
      <c r="L129" t="n">
        <v>0</v>
      </c>
      <c r="M129" t="n">
        <v>0</v>
      </c>
      <c r="N129" t="n">
        <v>0</v>
      </c>
    </row>
    <row r="130">
      <c r="A130" t="inlineStr">
        <is>
          <t>issues of the manor</t>
        </is>
      </c>
      <c r="B130" t="inlineStr">
        <is>
          <t>9pence from 61b of wool locks sold.</t>
        </is>
      </c>
      <c r="C130" t="n">
        <v>0.04</v>
      </c>
      <c r="D130" t="n">
        <v>0</v>
      </c>
      <c r="E130" t="n">
        <v>0</v>
      </c>
      <c r="F130" t="n">
        <v>9</v>
      </c>
      <c r="H130" t="n">
        <v>0</v>
      </c>
      <c r="I130" t="n">
        <v>0</v>
      </c>
      <c r="J130" t="n">
        <v>0</v>
      </c>
      <c r="K130" t="n">
        <v>0</v>
      </c>
      <c r="L130" t="n">
        <v>0</v>
      </c>
      <c r="M130" t="n">
        <v>0</v>
      </c>
      <c r="N130" t="n">
        <v>0</v>
      </c>
    </row>
    <row r="131">
      <c r="A131" t="inlineStr">
        <is>
          <t>issues of the manor</t>
        </is>
      </c>
      <c r="B131" t="inlineStr">
        <is>
          <t>5 shilling from the milking of 5 cows and not more because the reeve is charged below for pasture as made clear in the sale of cow pasture.</t>
        </is>
      </c>
      <c r="C131" t="n">
        <v>0.25</v>
      </c>
      <c r="D131" t="n">
        <v>0</v>
      </c>
      <c r="E131" t="n">
        <v>5</v>
      </c>
      <c r="F131" t="n">
        <v>0</v>
      </c>
      <c r="H131" t="n">
        <v>0</v>
      </c>
      <c r="I131" t="n">
        <v>0</v>
      </c>
      <c r="J131" t="n">
        <v>0</v>
      </c>
      <c r="K131" t="n">
        <v>0</v>
      </c>
      <c r="L131" t="n">
        <v>0</v>
      </c>
      <c r="M131" t="n">
        <v>0</v>
      </c>
      <c r="N131" t="n">
        <v>0</v>
      </c>
    </row>
    <row r="132">
      <c r="A132" t="inlineStr">
        <is>
          <t>issues of the manor</t>
        </is>
      </c>
      <c r="B132" t="inlineStr">
        <is>
          <t>nothing from the milking of ewes this year because they were not in milk.</t>
        </is>
      </c>
      <c r="C132" t="n">
        <v>0</v>
      </c>
      <c r="D132" t="n">
        <v>0</v>
      </c>
      <c r="E132" t="n">
        <v>0</v>
      </c>
      <c r="F132" t="n">
        <v>0</v>
      </c>
      <c r="H132" t="n">
        <v>0</v>
      </c>
      <c r="I132" t="n">
        <v>0</v>
      </c>
      <c r="J132" t="n">
        <v>0</v>
      </c>
      <c r="K132" t="n">
        <v>0</v>
      </c>
      <c r="L132" t="n">
        <v>0</v>
      </c>
      <c r="M132" t="n">
        <v>0</v>
      </c>
      <c r="N132" t="n">
        <v>0</v>
      </c>
    </row>
    <row r="133">
      <c r="A133" t="inlineStr">
        <is>
          <t>issues of the manor</t>
        </is>
      </c>
      <c r="B133" t="inlineStr">
        <is>
          <t>1 shilling 4pence from the hide sold of i ox in murrain.</t>
        </is>
      </c>
      <c r="C133" t="n">
        <v>0.07000000000000001</v>
      </c>
      <c r="D133" t="n">
        <v>0</v>
      </c>
      <c r="E133" t="n">
        <v>1</v>
      </c>
      <c r="F133" t="n">
        <v>4</v>
      </c>
      <c r="H133" t="n">
        <v>0</v>
      </c>
      <c r="I133" t="n">
        <v>0</v>
      </c>
      <c r="J133" t="n">
        <v>0</v>
      </c>
      <c r="K133" t="n">
        <v>0</v>
      </c>
      <c r="L133" t="n">
        <v>0</v>
      </c>
      <c r="M133" t="n">
        <v>0</v>
      </c>
      <c r="N133" t="n">
        <v>0</v>
      </c>
    </row>
    <row r="134">
      <c r="A134" t="inlineStr">
        <is>
          <t>issues of the manor</t>
        </is>
      </c>
      <c r="B134" t="inlineStr">
        <is>
          <t>16 shilling 1.5pence from the woolskins sold of 27 wethers, 3 rams, 33 ewes and hoggs in murrain before shearing, at 3pence a skin of wethers, 2pence of rams and ewes, and 1.5pence of hoggs.</t>
        </is>
      </c>
      <c r="C134" t="n">
        <v>0.8100000000000001</v>
      </c>
      <c r="D134" t="n">
        <v>0</v>
      </c>
      <c r="E134" t="n">
        <v>16</v>
      </c>
      <c r="F134" t="n">
        <v>1.5</v>
      </c>
      <c r="H134" t="n">
        <v>0</v>
      </c>
      <c r="I134" t="n">
        <v>0</v>
      </c>
      <c r="J134" t="n">
        <v>0</v>
      </c>
      <c r="K134" t="n">
        <v>0</v>
      </c>
      <c r="L134" t="n">
        <v>0</v>
      </c>
      <c r="M134" t="n">
        <v>0</v>
      </c>
      <c r="N134" t="n">
        <v>0</v>
      </c>
    </row>
    <row r="135">
      <c r="A135" t="inlineStr">
        <is>
          <t>issues of the manor</t>
        </is>
      </c>
      <c r="B135" t="inlineStr">
        <is>
          <t>2 shilling 7pence from the bare skins sold of 19 wethers and 12 ewes in murrain after shearing.</t>
        </is>
      </c>
      <c r="C135" t="n">
        <v>0.13</v>
      </c>
      <c r="D135" t="n">
        <v>0</v>
      </c>
      <c r="E135" t="n">
        <v>2</v>
      </c>
      <c r="F135" t="n">
        <v>7</v>
      </c>
      <c r="H135" t="n">
        <v>0</v>
      </c>
      <c r="I135" t="n">
        <v>0</v>
      </c>
      <c r="J135" t="n">
        <v>0</v>
      </c>
      <c r="K135" t="n">
        <v>0</v>
      </c>
      <c r="L135" t="n">
        <v>0</v>
      </c>
      <c r="M135" t="n">
        <v>0</v>
      </c>
      <c r="N135" t="n">
        <v>0</v>
      </c>
    </row>
    <row r="136">
      <c r="A136" t="inlineStr">
        <is>
          <t>issues of the manor</t>
        </is>
      </c>
      <c r="B136" t="inlineStr">
        <is>
          <t>2 shilling 4pence from the skins sold of 56 lambs in murrain before weaning, at .5pence a skin.</t>
        </is>
      </c>
      <c r="C136" t="n">
        <v>0.12</v>
      </c>
      <c r="D136" t="n">
        <v>0</v>
      </c>
      <c r="E136" t="n">
        <v>2</v>
      </c>
      <c r="F136" t="n">
        <v>4</v>
      </c>
      <c r="H136" t="n">
        <v>0</v>
      </c>
      <c r="I136" t="n">
        <v>0</v>
      </c>
      <c r="J136" t="n">
        <v>0</v>
      </c>
      <c r="K136" t="n">
        <v>0</v>
      </c>
      <c r="L136" t="n">
        <v>0</v>
      </c>
      <c r="M136" t="n">
        <v>0</v>
      </c>
      <c r="N136" t="n">
        <v>0</v>
      </c>
    </row>
    <row r="137">
      <c r="A137" t="inlineStr">
        <is>
          <t>issues of the manor</t>
        </is>
      </c>
      <c r="B137" t="inlineStr">
        <is>
          <t>3pence from the rotted skins sold of 7 lambs in murrain after weaning and before shearing.</t>
        </is>
      </c>
      <c r="C137" t="n">
        <v>0.01</v>
      </c>
      <c r="D137" t="n">
        <v>0</v>
      </c>
      <c r="E137" t="n">
        <v>0</v>
      </c>
      <c r="F137" t="n">
        <v>3</v>
      </c>
      <c r="H137" t="n">
        <v>0</v>
      </c>
      <c r="I137" t="n">
        <v>0</v>
      </c>
      <c r="J137" t="n">
        <v>0</v>
      </c>
      <c r="K137" t="n">
        <v>0</v>
      </c>
      <c r="L137" t="n">
        <v>0</v>
      </c>
      <c r="M137" t="n">
        <v>0</v>
      </c>
      <c r="N137" t="n">
        <v>0</v>
      </c>
    </row>
    <row r="138">
      <c r="A138" t="inlineStr">
        <is>
          <t>issues of the manor</t>
        </is>
      </c>
      <c r="B138" t="inlineStr">
        <is>
          <t>4pence from the shorn skins sold of 12 lambs in murrain after shearing.</t>
        </is>
      </c>
      <c r="C138" t="n">
        <v>0.02</v>
      </c>
      <c r="D138" t="n">
        <v>0</v>
      </c>
      <c r="E138" t="n">
        <v>0</v>
      </c>
      <c r="F138" t="n">
        <v>4</v>
      </c>
      <c r="H138" t="n">
        <v>0</v>
      </c>
      <c r="I138" t="n">
        <v>0</v>
      </c>
      <c r="J138" t="n">
        <v>0</v>
      </c>
      <c r="K138" t="n">
        <v>0</v>
      </c>
      <c r="L138" t="n">
        <v>0</v>
      </c>
      <c r="M138" t="n">
        <v>0</v>
      </c>
      <c r="N138" t="n">
        <v>0</v>
      </c>
    </row>
    <row r="139">
      <c r="A139" t="inlineStr">
        <is>
          <t>issues of the manor</t>
        </is>
      </c>
      <c r="B139" t="inlineStr">
        <is>
          <t>£1 2 shilling from 132 cocks and hens from the churchscot of the customary tenants sold, at 2pence each.</t>
        </is>
      </c>
      <c r="C139" t="n">
        <v>1.1</v>
      </c>
      <c r="D139" t="n">
        <v>1</v>
      </c>
      <c r="E139" t="n">
        <v>2</v>
      </c>
      <c r="F139" t="n">
        <v>0</v>
      </c>
      <c r="H139" t="n">
        <v>0</v>
      </c>
      <c r="I139" t="n">
        <v>0</v>
      </c>
      <c r="J139" t="n">
        <v>0</v>
      </c>
      <c r="K139" t="n">
        <v>0</v>
      </c>
      <c r="L139" t="n">
        <v>0</v>
      </c>
      <c r="M139" t="n">
        <v>0</v>
      </c>
      <c r="N139" t="n">
        <v>0</v>
      </c>
    </row>
    <row r="140">
      <c r="A140" t="inlineStr">
        <is>
          <t>issues of the manor</t>
        </is>
      </c>
      <c r="B140" t="inlineStr">
        <is>
          <t>nothing from thorns in the garden this year.</t>
        </is>
      </c>
      <c r="C140" t="n">
        <v>0</v>
      </c>
      <c r="D140" t="n">
        <v>0</v>
      </c>
      <c r="E140" t="n">
        <v>0</v>
      </c>
      <c r="F140" t="n">
        <v>0</v>
      </c>
      <c r="H140" t="n">
        <v>0</v>
      </c>
      <c r="I140" t="n">
        <v>0</v>
      </c>
      <c r="J140" t="n">
        <v>0</v>
      </c>
      <c r="K140" t="n">
        <v>0</v>
      </c>
      <c r="L140" t="n">
        <v>0</v>
      </c>
      <c r="M140" t="n">
        <v>0</v>
      </c>
      <c r="N140" t="n">
        <v>0</v>
      </c>
    </row>
    <row r="141">
      <c r="A141" t="inlineStr">
        <is>
          <t>issues of the manor</t>
        </is>
      </c>
      <c r="B141" t="inlineStr">
        <is>
          <t>nothing from winter ploughing or from the labour services for mowing and making hay or from harvest labour services here because below in the sale of labour services.</t>
        </is>
      </c>
      <c r="C141" t="n">
        <v>0</v>
      </c>
      <c r="D141" t="n">
        <v>0</v>
      </c>
      <c r="E141" t="n">
        <v>0</v>
      </c>
      <c r="F141" t="n">
        <v>0</v>
      </c>
      <c r="H141" t="n">
        <v>0</v>
      </c>
      <c r="I141" t="n">
        <v>0</v>
      </c>
      <c r="J141" t="n">
        <v>0</v>
      </c>
      <c r="K141" t="n">
        <v>0</v>
      </c>
      <c r="L141" t="n">
        <v>0</v>
      </c>
      <c r="M141" t="n">
        <v>0</v>
      </c>
      <c r="N141" t="n">
        <v>0</v>
      </c>
    </row>
    <row r="142">
      <c r="A142" t="inlineStr">
        <is>
          <t>issues of the manor</t>
        </is>
      </c>
      <c r="B142" t="inlineStr">
        <is>
          <t>£ 1 from the whole homage for refusals to stack.</t>
        </is>
      </c>
      <c r="C142" t="n">
        <v>0</v>
      </c>
      <c r="D142" t="n">
        <v>0</v>
      </c>
      <c r="E142" t="n">
        <v>0</v>
      </c>
      <c r="F142" t="n">
        <v>0</v>
      </c>
      <c r="H142" t="n">
        <v>0</v>
      </c>
      <c r="I142" t="n">
        <v>0</v>
      </c>
      <c r="J142" t="n">
        <v>0</v>
      </c>
      <c r="K142" t="n">
        <v>0</v>
      </c>
      <c r="L142" t="n">
        <v>0</v>
      </c>
      <c r="M142" t="n">
        <v>0</v>
      </c>
      <c r="N142" t="n">
        <v>0</v>
      </c>
    </row>
    <row r="143">
      <c r="A143" t="inlineStr">
        <is>
          <t>issues of the manor</t>
        </is>
      </c>
      <c r="B143" t="inlineStr">
        <is>
          <t>6 shilling 8pence from thomas gore-so that he may fish in the lord's water for the year.</t>
        </is>
      </c>
      <c r="C143" t="n">
        <v>0.33</v>
      </c>
      <c r="D143" t="n">
        <v>0</v>
      </c>
      <c r="E143" t="n">
        <v>6</v>
      </c>
      <c r="F143" t="n">
        <v>8</v>
      </c>
      <c r="H143" t="n">
        <v>0</v>
      </c>
      <c r="I143" t="n">
        <v>0</v>
      </c>
      <c r="J143" t="n">
        <v>0</v>
      </c>
      <c r="K143" t="n">
        <v>0</v>
      </c>
      <c r="L143" t="n">
        <v>0</v>
      </c>
      <c r="M143" t="n">
        <v>0</v>
      </c>
      <c r="N143" t="n">
        <v>0</v>
      </c>
    </row>
    <row r="144">
      <c r="A144" t="inlineStr">
        <is>
          <t>issues of the manor</t>
        </is>
      </c>
      <c r="B144" t="inlineStr">
        <is>
          <t>3 shilling 4pence from william swefyng' so that he may fish in the lord's water with 1 net (shovenet).</t>
        </is>
      </c>
      <c r="C144" t="n">
        <v>0.17</v>
      </c>
      <c r="D144" t="n">
        <v>0</v>
      </c>
      <c r="E144" t="n">
        <v>3</v>
      </c>
      <c r="F144" t="n">
        <v>4</v>
      </c>
      <c r="H144" t="n">
        <v>0</v>
      </c>
      <c r="I144" t="n">
        <v>0</v>
      </c>
      <c r="J144" t="n">
        <v>0</v>
      </c>
      <c r="K144" t="n">
        <v>0</v>
      </c>
      <c r="L144" t="n">
        <v>0</v>
      </c>
      <c r="M144" t="n">
        <v>0</v>
      </c>
      <c r="N144" t="n">
        <v>0</v>
      </c>
    </row>
    <row r="145">
      <c r="A145" t="inlineStr">
        <is>
          <t>issues of the manor</t>
        </is>
      </c>
      <c r="B145" t="inlineStr">
        <is>
          <t>5 shilling from john strodde so that he may fish in the lord's water for the year.</t>
        </is>
      </c>
      <c r="C145" t="n">
        <v>0.25</v>
      </c>
      <c r="D145" t="n">
        <v>0</v>
      </c>
      <c r="E145" t="n">
        <v>5</v>
      </c>
      <c r="F145" t="n">
        <v>0</v>
      </c>
      <c r="H145" t="n">
        <v>0</v>
      </c>
      <c r="I145" t="n">
        <v>0</v>
      </c>
      <c r="J145" t="n">
        <v>0</v>
      </c>
      <c r="K145" t="n">
        <v>0</v>
      </c>
      <c r="L145" t="n">
        <v>0</v>
      </c>
      <c r="M145" t="n">
        <v>0</v>
      </c>
      <c r="N145" t="n">
        <v>0</v>
      </c>
    </row>
    <row r="146">
      <c r="A146" t="inlineStr">
        <is>
          <t>issues of the manor</t>
        </is>
      </c>
      <c r="B146" t="inlineStr">
        <is>
          <t>nothing from thomas fyssher' because he did not fish this year.</t>
        </is>
      </c>
      <c r="C146" t="n">
        <v>0</v>
      </c>
      <c r="D146" t="n">
        <v>0</v>
      </c>
      <c r="E146" t="n">
        <v>0</v>
      </c>
      <c r="F146" t="n">
        <v>0</v>
      </c>
      <c r="H146" t="n">
        <v>0</v>
      </c>
      <c r="I146" t="n">
        <v>0</v>
      </c>
      <c r="J146" t="n">
        <v>0</v>
      </c>
      <c r="K146" t="n">
        <v>0</v>
      </c>
      <c r="L146" t="n">
        <v>0</v>
      </c>
      <c r="M146" t="n">
        <v>0</v>
      </c>
      <c r="N146" t="n">
        <v>0</v>
      </c>
    </row>
    <row r="147">
      <c r="A147" t="inlineStr">
        <is>
          <t>issues of the manor</t>
        </is>
      </c>
      <c r="B147" t="inlineStr">
        <is>
          <t>2 shilling from john tenant for a similar reason.</t>
        </is>
      </c>
      <c r="C147" t="n">
        <v>0.1</v>
      </c>
      <c r="D147" t="n">
        <v>0</v>
      </c>
      <c r="E147" t="n">
        <v>2</v>
      </c>
      <c r="F147" t="n">
        <v>0</v>
      </c>
      <c r="H147" t="n">
        <v>0</v>
      </c>
      <c r="I147" t="n">
        <v>0</v>
      </c>
      <c r="J147" t="n">
        <v>0</v>
      </c>
      <c r="K147" t="n">
        <v>0</v>
      </c>
      <c r="L147" t="n">
        <v>0</v>
      </c>
      <c r="M147" t="n">
        <v>0</v>
      </c>
      <c r="N147" t="n">
        <v>0</v>
      </c>
    </row>
    <row r="148">
      <c r="A148" t="inlineStr">
        <is>
          <t>issues of the manor</t>
        </is>
      </c>
      <c r="B148" t="inlineStr">
        <is>
          <t>1 shilling from pea-straw sold this year.</t>
        </is>
      </c>
      <c r="C148" t="n">
        <v>0.05</v>
      </c>
      <c r="D148" t="n">
        <v>0</v>
      </c>
      <c r="E148" t="n">
        <v>1</v>
      </c>
      <c r="F148" t="n">
        <v>0</v>
      </c>
      <c r="H148" t="n">
        <v>0</v>
      </c>
      <c r="I148" t="n">
        <v>0</v>
      </c>
      <c r="J148" t="n">
        <v>0</v>
      </c>
      <c r="K148" t="n">
        <v>0</v>
      </c>
      <c r="L148" t="n">
        <v>0</v>
      </c>
      <c r="M148" t="n">
        <v>0</v>
      </c>
      <c r="N148" t="n">
        <v>0</v>
      </c>
    </row>
    <row r="149">
      <c r="A149" t="inlineStr">
        <is>
          <t>issues of the manor</t>
        </is>
      </c>
      <c r="B149" t="inlineStr">
        <is>
          <t>1 shilling from rushes sold this year.</t>
        </is>
      </c>
      <c r="C149" t="n">
        <v>0.05</v>
      </c>
      <c r="D149" t="n">
        <v>0</v>
      </c>
      <c r="E149" t="n">
        <v>1</v>
      </c>
      <c r="F149" t="n">
        <v>0</v>
      </c>
      <c r="H149" t="n">
        <v>0</v>
      </c>
      <c r="I149" t="n">
        <v>0</v>
      </c>
      <c r="J149" t="n">
        <v>0</v>
      </c>
      <c r="K149" t="n">
        <v>0</v>
      </c>
      <c r="L149" t="n">
        <v>0</v>
      </c>
      <c r="M149" t="n">
        <v>0</v>
      </c>
      <c r="N149" t="n">
        <v>0</v>
      </c>
    </row>
    <row r="150">
      <c r="A150" t="inlineStr">
        <is>
          <t>issues of the manor</t>
        </is>
      </c>
      <c r="B150" t="inlineStr">
        <is>
          <t>nothing from hedges in southmede this year.</t>
        </is>
      </c>
      <c r="C150" t="n">
        <v>0</v>
      </c>
      <c r="D150" t="n">
        <v>0</v>
      </c>
      <c r="E150" t="n">
        <v>0</v>
      </c>
      <c r="F150" t="n">
        <v>0</v>
      </c>
      <c r="H150" t="n">
        <v>0</v>
      </c>
      <c r="I150" t="n">
        <v>0</v>
      </c>
      <c r="J150" t="n">
        <v>0</v>
      </c>
      <c r="K150" t="n">
        <v>0</v>
      </c>
      <c r="L150" t="n">
        <v>0</v>
      </c>
      <c r="M150" t="n">
        <v>0</v>
      </c>
      <c r="N150" t="n">
        <v>0</v>
      </c>
    </row>
    <row r="151">
      <c r="A151" t="inlineStr">
        <is>
          <t>issues of the manor</t>
        </is>
      </c>
      <c r="B151" t="inlineStr">
        <is>
          <t>nothing from thorns in la grene this year.</t>
        </is>
      </c>
      <c r="C151" t="n">
        <v>0</v>
      </c>
      <c r="D151" t="n">
        <v>0</v>
      </c>
      <c r="E151" t="n">
        <v>0</v>
      </c>
      <c r="F151" t="n">
        <v>0</v>
      </c>
      <c r="H151" t="n">
        <v>0</v>
      </c>
      <c r="I151" t="n">
        <v>0</v>
      </c>
      <c r="J151" t="n">
        <v>0</v>
      </c>
      <c r="K151" t="n">
        <v>0</v>
      </c>
      <c r="L151" t="n">
        <v>0</v>
      </c>
      <c r="M151" t="n">
        <v>0</v>
      </c>
      <c r="N151" t="n">
        <v>0</v>
      </c>
    </row>
    <row r="152">
      <c r="A152" t="inlineStr">
        <is>
          <t>issues of the manor</t>
        </is>
      </c>
      <c r="B152" t="inlineStr">
        <is>
          <t>nothing from hedges in estmede this year.</t>
        </is>
      </c>
      <c r="C152" t="n">
        <v>0</v>
      </c>
      <c r="D152" t="n">
        <v>0</v>
      </c>
      <c r="E152" t="n">
        <v>0</v>
      </c>
      <c r="F152" t="n">
        <v>0</v>
      </c>
      <c r="H152" t="n">
        <v>0</v>
      </c>
      <c r="I152" t="n">
        <v>0</v>
      </c>
      <c r="J152" t="n">
        <v>0</v>
      </c>
      <c r="K152" t="n">
        <v>0</v>
      </c>
      <c r="L152" t="n">
        <v>0</v>
      </c>
      <c r="M152" t="n">
        <v>0</v>
      </c>
      <c r="N152" t="n">
        <v>0</v>
      </c>
    </row>
    <row r="153">
      <c r="A153" t="inlineStr">
        <is>
          <t>issues of the manor</t>
        </is>
      </c>
      <c r="B153" t="inlineStr">
        <is>
          <t>nothing from the sale of rabbits this year because there are none.</t>
        </is>
      </c>
      <c r="C153" t="n">
        <v>0</v>
      </c>
      <c r="D153" t="n">
        <v>0</v>
      </c>
      <c r="E153" t="n">
        <v>0</v>
      </c>
      <c r="F153" t="n">
        <v>0</v>
      </c>
      <c r="H153" t="n">
        <v>0</v>
      </c>
      <c r="I153" t="n">
        <v>0</v>
      </c>
      <c r="J153" t="n">
        <v>0</v>
      </c>
      <c r="K153" t="n">
        <v>0</v>
      </c>
      <c r="L153" t="n">
        <v>0</v>
      </c>
      <c r="M153" t="n">
        <v>0</v>
      </c>
      <c r="N153" t="n">
        <v>0</v>
      </c>
    </row>
    <row r="154">
      <c r="A154" t="inlineStr">
        <is>
          <t>issues of the manor</t>
        </is>
      </c>
      <c r="B154" t="inlineStr">
        <is>
          <t>1 shilling 6pence from the men of landford to have pasturage for their cattle in the lord's liberty on the heath for the year.</t>
        </is>
      </c>
      <c r="C154" t="n">
        <v>0.08</v>
      </c>
      <c r="D154" t="n">
        <v>0</v>
      </c>
      <c r="E154" t="n">
        <v>1</v>
      </c>
      <c r="F154" t="n">
        <v>6</v>
      </c>
      <c r="H154" t="n">
        <v>0</v>
      </c>
      <c r="I154" t="n">
        <v>0</v>
      </c>
      <c r="J154" t="n">
        <v>0</v>
      </c>
      <c r="K154" t="n">
        <v>0</v>
      </c>
      <c r="L154" t="n">
        <v>0</v>
      </c>
      <c r="M154" t="n">
        <v>0</v>
      </c>
      <c r="N154" t="n">
        <v>0</v>
      </c>
    </row>
    <row r="155">
      <c r="A155" t="inlineStr">
        <is>
          <t>issues of the manor</t>
        </is>
      </c>
      <c r="B155" t="inlineStr">
        <is>
          <t>nothing from the sale of lime this year.</t>
        </is>
      </c>
      <c r="C155" t="n">
        <v>0</v>
      </c>
      <c r="D155" t="n">
        <v>0</v>
      </c>
      <c r="E155" t="n">
        <v>0</v>
      </c>
      <c r="F155" t="n">
        <v>0</v>
      </c>
      <c r="H155" t="n">
        <v>0</v>
      </c>
      <c r="I155" t="n">
        <v>0</v>
      </c>
      <c r="J155" t="n">
        <v>0</v>
      </c>
      <c r="K155" t="n">
        <v>0</v>
      </c>
      <c r="L155" t="n">
        <v>0</v>
      </c>
      <c r="M155" t="n">
        <v>0</v>
      </c>
      <c r="N155" t="n">
        <v>0</v>
      </c>
    </row>
    <row r="156">
      <c r="A156" t="inlineStr">
        <is>
          <t>issues of the manor</t>
        </is>
      </c>
      <c r="B156" t="inlineStr">
        <is>
          <t>nothing from the sale of oaks in burghynmor' this year.</t>
        </is>
      </c>
      <c r="C156" t="n">
        <v>0</v>
      </c>
      <c r="D156" t="n">
        <v>0</v>
      </c>
      <c r="E156" t="n">
        <v>0</v>
      </c>
      <c r="F156" t="n">
        <v>0</v>
      </c>
      <c r="H156" t="n">
        <v>0</v>
      </c>
      <c r="I156" t="n">
        <v>0</v>
      </c>
      <c r="J156" t="n">
        <v>0</v>
      </c>
      <c r="K156" t="n">
        <v>0</v>
      </c>
      <c r="L156" t="n">
        <v>0</v>
      </c>
      <c r="M156" t="n">
        <v>0</v>
      </c>
      <c r="N156" t="n">
        <v>0</v>
      </c>
    </row>
    <row r="157">
      <c r="A157" t="inlineStr">
        <is>
          <t>issues of the manor</t>
        </is>
      </c>
      <c r="B157" t="inlineStr">
        <is>
          <t>nothing from the sale of scrags there this year.</t>
        </is>
      </c>
      <c r="C157" t="n">
        <v>0</v>
      </c>
      <c r="D157" t="n">
        <v>0</v>
      </c>
      <c r="E157" t="n">
        <v>0</v>
      </c>
      <c r="F157" t="n">
        <v>0</v>
      </c>
      <c r="H157" t="n">
        <v>0</v>
      </c>
      <c r="I157" t="n">
        <v>0</v>
      </c>
      <c r="J157" t="n">
        <v>0</v>
      </c>
      <c r="K157" t="n">
        <v>0</v>
      </c>
      <c r="L157" t="n">
        <v>0</v>
      </c>
      <c r="M157" t="n">
        <v>0</v>
      </c>
      <c r="N157" t="n">
        <v>0</v>
      </c>
    </row>
    <row r="158">
      <c r="A158" t="inlineStr">
        <is>
          <t>issues of the manor</t>
        </is>
      </c>
      <c r="B158" t="inlineStr">
        <is>
          <t>nothing from the sale of underwood in the park this year.</t>
        </is>
      </c>
      <c r="C158" t="n">
        <v>0</v>
      </c>
      <c r="D158" t="n">
        <v>0</v>
      </c>
      <c r="E158" t="n">
        <v>0</v>
      </c>
      <c r="F158" t="n">
        <v>0</v>
      </c>
      <c r="H158" t="n">
        <v>0</v>
      </c>
      <c r="I158" t="n">
        <v>0</v>
      </c>
      <c r="J158" t="n">
        <v>0</v>
      </c>
      <c r="K158" t="n">
        <v>0</v>
      </c>
      <c r="L158" t="n">
        <v>0</v>
      </c>
      <c r="M158" t="n">
        <v>0</v>
      </c>
      <c r="N158" t="n">
        <v>0</v>
      </c>
    </row>
    <row r="159">
      <c r="A159" t="inlineStr">
        <is>
          <t>issues of the manor</t>
        </is>
      </c>
      <c r="B159" t="inlineStr">
        <is>
          <t>nothing from the sale of scrags there this year.</t>
        </is>
      </c>
      <c r="C159" t="n">
        <v>0</v>
      </c>
      <c r="D159" t="n">
        <v>0</v>
      </c>
      <c r="E159" t="n">
        <v>0</v>
      </c>
      <c r="F159" t="n">
        <v>0</v>
      </c>
      <c r="H159" t="n">
        <v>0</v>
      </c>
      <c r="I159" t="n">
        <v>0</v>
      </c>
      <c r="J159" t="n">
        <v>0</v>
      </c>
      <c r="K159" t="n">
        <v>0</v>
      </c>
      <c r="L159" t="n">
        <v>0</v>
      </c>
      <c r="M159" t="n">
        <v>0</v>
      </c>
      <c r="N159" t="n">
        <v>0</v>
      </c>
    </row>
    <row r="160">
      <c r="A160" t="inlineStr">
        <is>
          <t>issues of the manor</t>
        </is>
      </c>
      <c r="B160" t="inlineStr">
        <is>
          <t>nothing from the sale of old timber this year.</t>
        </is>
      </c>
      <c r="C160" t="n">
        <v>0</v>
      </c>
      <c r="D160" t="n">
        <v>0</v>
      </c>
      <c r="E160" t="n">
        <v>0</v>
      </c>
      <c r="F160" t="n">
        <v>0</v>
      </c>
      <c r="H160" t="n">
        <v>0</v>
      </c>
      <c r="I160" t="n">
        <v>0</v>
      </c>
      <c r="J160" t="n">
        <v>0</v>
      </c>
      <c r="K160" t="n">
        <v>0</v>
      </c>
      <c r="L160" t="n">
        <v>0</v>
      </c>
      <c r="M160" t="n">
        <v>0</v>
      </c>
      <c r="N160" t="n">
        <v>0</v>
      </c>
    </row>
    <row r="161">
      <c r="A161" t="inlineStr">
        <is>
          <t>issues of the manor</t>
        </is>
      </c>
      <c r="B161" t="inlineStr">
        <is>
          <t>nothing from the sale of chippings (chipp') this year.</t>
        </is>
      </c>
      <c r="C161" t="n">
        <v>0</v>
      </c>
      <c r="D161" t="n">
        <v>0</v>
      </c>
      <c r="E161" t="n">
        <v>0</v>
      </c>
      <c r="F161" t="n">
        <v>0</v>
      </c>
      <c r="H161" t="n">
        <v>0</v>
      </c>
      <c r="I161" t="n">
        <v>0</v>
      </c>
      <c r="J161" t="n">
        <v>0</v>
      </c>
      <c r="K161" t="n">
        <v>0</v>
      </c>
      <c r="L161" t="n">
        <v>0</v>
      </c>
      <c r="M161" t="n">
        <v>0</v>
      </c>
      <c r="N161" t="n">
        <v>0</v>
      </c>
    </row>
    <row r="162">
      <c r="A162" t="inlineStr">
        <is>
          <t>issues of the manor</t>
        </is>
      </c>
      <c r="B162" t="inlineStr">
        <is>
          <t>nothing from the sale of bark this year.</t>
        </is>
      </c>
      <c r="C162" t="n">
        <v>0</v>
      </c>
      <c r="D162" t="n">
        <v>0</v>
      </c>
      <c r="E162" t="n">
        <v>0</v>
      </c>
      <c r="F162" t="n">
        <v>0</v>
      </c>
      <c r="H162" t="n">
        <v>0</v>
      </c>
      <c r="I162" t="n">
        <v>0</v>
      </c>
      <c r="J162" t="n">
        <v>0</v>
      </c>
      <c r="K162" t="n">
        <v>0</v>
      </c>
      <c r="L162" t="n">
        <v>0</v>
      </c>
      <c r="M162" t="n">
        <v>0</v>
      </c>
      <c r="N162" t="n">
        <v>0</v>
      </c>
    </row>
    <row r="163">
      <c r="A163" t="inlineStr">
        <is>
          <t>issues of the manor</t>
        </is>
      </c>
      <c r="B163" t="inlineStr">
        <is>
          <t>nothing from the sale of loppings and scrags blown down by the wind in burghynmor' this year.</t>
        </is>
      </c>
      <c r="C163" t="n">
        <v>0</v>
      </c>
      <c r="D163" t="n">
        <v>0</v>
      </c>
      <c r="E163" t="n">
        <v>0</v>
      </c>
      <c r="F163" t="n">
        <v>0</v>
      </c>
      <c r="H163" t="n">
        <v>0</v>
      </c>
      <c r="I163" t="n">
        <v>0</v>
      </c>
      <c r="J163" t="n">
        <v>0</v>
      </c>
      <c r="K163" t="n">
        <v>0</v>
      </c>
      <c r="L163" t="n">
        <v>0</v>
      </c>
      <c r="M163" t="n">
        <v>0</v>
      </c>
      <c r="N163" t="n">
        <v>0</v>
      </c>
    </row>
    <row r="164">
      <c r="A164" t="inlineStr">
        <is>
          <t>issues of the manor</t>
        </is>
      </c>
      <c r="B164" t="inlineStr">
        <is>
          <t>nothing from the sale of poplars this year.</t>
        </is>
      </c>
      <c r="C164" t="n">
        <v>0</v>
      </c>
      <c r="D164" t="n">
        <v>0</v>
      </c>
      <c r="E164" t="n">
        <v>0</v>
      </c>
      <c r="F164" t="n">
        <v>0</v>
      </c>
      <c r="H164" t="n">
        <v>0</v>
      </c>
      <c r="I164" t="n">
        <v>0</v>
      </c>
      <c r="J164" t="n">
        <v>0</v>
      </c>
      <c r="K164" t="n">
        <v>0</v>
      </c>
      <c r="L164" t="n">
        <v>0</v>
      </c>
      <c r="M164" t="n">
        <v>0</v>
      </c>
      <c r="N164" t="n">
        <v>0</v>
      </c>
    </row>
    <row r="165">
      <c r="A165" t="inlineStr">
        <is>
          <t>issues of the manor</t>
        </is>
      </c>
      <c r="B165" t="inlineStr">
        <is>
          <t>2 shilling from locks (lok') of wool sold at the shearing this year.</t>
        </is>
      </c>
      <c r="C165" t="n">
        <v>0.1</v>
      </c>
      <c r="D165" t="n">
        <v>0</v>
      </c>
      <c r="E165" t="n">
        <v>2</v>
      </c>
      <c r="F165" t="n">
        <v>0</v>
      </c>
      <c r="H165" t="n">
        <v>0</v>
      </c>
      <c r="I165" t="n">
        <v>0</v>
      </c>
      <c r="J165" t="n">
        <v>0</v>
      </c>
      <c r="K165" t="n">
        <v>0</v>
      </c>
      <c r="L165" t="n">
        <v>0</v>
      </c>
      <c r="M165" t="n">
        <v>0</v>
      </c>
      <c r="N165" t="n">
        <v>0</v>
      </c>
    </row>
    <row r="166">
      <c r="A166" t="inlineStr">
        <is>
          <t>issues of the manor</t>
        </is>
      </c>
      <c r="B166" t="inlineStr">
        <is>
          <t>nothing from the manure of the east fold because there was no fold and the pasture there is demised for £2 6 shilling 8pence this year.</t>
        </is>
      </c>
      <c r="C166" t="n">
        <v>2.33</v>
      </c>
      <c r="D166" t="n">
        <v>2</v>
      </c>
      <c r="E166" t="n">
        <v>6</v>
      </c>
      <c r="F166" t="n">
        <v>8</v>
      </c>
      <c r="H166" t="n">
        <v>0</v>
      </c>
      <c r="I166" t="n">
        <v>0</v>
      </c>
      <c r="J166" t="n">
        <v>0</v>
      </c>
      <c r="K166" t="n">
        <v>0</v>
      </c>
      <c r="L166" t="n">
        <v>0</v>
      </c>
      <c r="M166" t="n">
        <v>0</v>
      </c>
      <c r="N166" t="n">
        <v>0</v>
      </c>
    </row>
    <row r="167">
      <c r="A167" t="inlineStr">
        <is>
          <t>issues of the manor</t>
        </is>
      </c>
      <c r="B167" t="inlineStr">
        <is>
          <t>£1 1 shilling 8pence from 13 cloves of lamb's-wool sold, at 1 shilling 8pence a clove.</t>
        </is>
      </c>
      <c r="C167" t="n">
        <v>1.08</v>
      </c>
      <c r="D167" t="n">
        <v>1</v>
      </c>
      <c r="E167" t="n">
        <v>1</v>
      </c>
      <c r="F167" t="n">
        <v>8</v>
      </c>
      <c r="H167" t="n">
        <v>0</v>
      </c>
      <c r="I167" t="n">
        <v>0</v>
      </c>
      <c r="J167" t="n">
        <v>0</v>
      </c>
      <c r="K167" t="n">
        <v>0</v>
      </c>
      <c r="L167" t="n">
        <v>0</v>
      </c>
      <c r="M167" t="n">
        <v>0</v>
      </c>
      <c r="N167" t="n">
        <v>0</v>
      </c>
    </row>
    <row r="168">
      <c r="A168" t="inlineStr">
        <is>
          <t>issues of the manor</t>
        </is>
      </c>
      <c r="B168" t="inlineStr">
        <is>
          <t>£1 17 shilling 2.25pence from 25 cloves 4.5 lb of wool soiled with tar sold, at 1 shilling 5.5pence a clove.</t>
        </is>
      </c>
      <c r="C168" t="n">
        <v>1.86</v>
      </c>
      <c r="D168" t="n">
        <v>1</v>
      </c>
      <c r="E168" t="n">
        <v>17</v>
      </c>
      <c r="F168" t="n">
        <v>2.25</v>
      </c>
      <c r="H168" t="n">
        <v>0</v>
      </c>
      <c r="I168" t="n">
        <v>0</v>
      </c>
      <c r="J168" t="n">
        <v>0</v>
      </c>
      <c r="K168" t="n">
        <v>0</v>
      </c>
      <c r="L168" t="n">
        <v>0</v>
      </c>
      <c r="M168" t="n">
        <v>0</v>
      </c>
      <c r="N168" t="n">
        <v>0</v>
      </c>
    </row>
    <row r="169">
      <c r="A169" t="inlineStr">
        <is>
          <t>issues of the manor</t>
        </is>
      </c>
      <c r="B169" t="inlineStr">
        <is>
          <t>10pence from 200 hens' eggs sold.</t>
        </is>
      </c>
      <c r="C169" t="n">
        <v>0.04</v>
      </c>
      <c r="D169" t="n">
        <v>0</v>
      </c>
      <c r="E169" t="n">
        <v>0</v>
      </c>
      <c r="F169" t="n">
        <v>10</v>
      </c>
      <c r="H169" t="n">
        <v>0</v>
      </c>
      <c r="I169" t="n">
        <v>0</v>
      </c>
      <c r="J169" t="n">
        <v>0</v>
      </c>
      <c r="K169" t="n">
        <v>0</v>
      </c>
      <c r="L169" t="n">
        <v>0</v>
      </c>
      <c r="M169" t="n">
        <v>0</v>
      </c>
      <c r="N169" t="n">
        <v>0</v>
      </c>
    </row>
    <row r="170">
      <c r="A170" t="inlineStr">
        <is>
          <t>issues of the manor</t>
        </is>
      </c>
      <c r="B170" t="inlineStr">
        <is>
          <t>nothing from the sale of straw this year on account of the lord's cattle and wethers.</t>
        </is>
      </c>
      <c r="C170" t="n">
        <v>0</v>
      </c>
      <c r="D170" t="n">
        <v>0</v>
      </c>
      <c r="E170" t="n">
        <v>0</v>
      </c>
      <c r="F170" t="n">
        <v>0</v>
      </c>
      <c r="H170" t="n">
        <v>0</v>
      </c>
      <c r="I170" t="n">
        <v>0</v>
      </c>
      <c r="J170" t="n">
        <v>0</v>
      </c>
      <c r="K170" t="n">
        <v>0</v>
      </c>
      <c r="L170" t="n">
        <v>0</v>
      </c>
      <c r="M170" t="n">
        <v>0</v>
      </c>
      <c r="N170" t="n">
        <v>0</v>
      </c>
    </row>
    <row r="171">
      <c r="A171" t="inlineStr">
        <is>
          <t>issues of the manor</t>
        </is>
      </c>
      <c r="B171" t="inlineStr">
        <is>
          <t>total, £24 10 shilling 9.25pence.</t>
        </is>
      </c>
      <c r="C171" t="n">
        <v>24.54</v>
      </c>
      <c r="D171" t="n">
        <v>24</v>
      </c>
      <c r="E171" t="n">
        <v>10</v>
      </c>
      <c r="F171" t="n">
        <v>9.25</v>
      </c>
      <c r="H171" t="n">
        <v>0</v>
      </c>
      <c r="I171" t="n">
        <v>0</v>
      </c>
      <c r="J171" t="n">
        <v>0</v>
      </c>
      <c r="K171" t="n">
        <v>0</v>
      </c>
      <c r="L171" t="n">
        <v>0</v>
      </c>
      <c r="M171" t="n">
        <v>0</v>
      </c>
      <c r="N171" t="n">
        <v>0</v>
      </c>
    </row>
    <row r="172">
      <c r="A172" t="inlineStr">
        <is>
          <t>issues of the lands and tenements in the lord's hands through the pestilence</t>
        </is>
      </c>
      <c r="B172" t="inlineStr">
        <is>
          <t>and for 10 shilling from the issue of 1 virgate of land in charlton which belonged to john pynnok'.</t>
        </is>
      </c>
      <c r="C172" t="n">
        <v>0.5</v>
      </c>
      <c r="D172" t="n">
        <v>0</v>
      </c>
      <c r="E172" t="n">
        <v>10</v>
      </c>
      <c r="F172" t="n">
        <v>0</v>
      </c>
      <c r="H172" t="n">
        <v>0</v>
      </c>
      <c r="I172" t="n">
        <v>0</v>
      </c>
      <c r="J172" t="n">
        <v>0</v>
      </c>
      <c r="K172" t="n">
        <v>0</v>
      </c>
      <c r="L172" t="n">
        <v>0</v>
      </c>
      <c r="M172" t="n">
        <v>0</v>
      </c>
      <c r="N172" t="n">
        <v>0</v>
      </c>
    </row>
    <row r="173">
      <c r="A173" t="inlineStr">
        <is>
          <t>issues of the lands and tenements in the lord's hands through the pestilence</t>
        </is>
      </c>
      <c r="B173" t="inlineStr">
        <is>
          <t>10 shilling from 1 virgate of land there which belonged to robert judde.</t>
        </is>
      </c>
      <c r="C173" t="n">
        <v>0.5</v>
      </c>
      <c r="D173" t="n">
        <v>0</v>
      </c>
      <c r="E173" t="n">
        <v>10</v>
      </c>
      <c r="F173" t="n">
        <v>0</v>
      </c>
      <c r="H173" t="n">
        <v>0</v>
      </c>
      <c r="I173" t="n">
        <v>0</v>
      </c>
      <c r="J173" t="n">
        <v>0</v>
      </c>
      <c r="K173" t="n">
        <v>0</v>
      </c>
      <c r="L173" t="n">
        <v>0</v>
      </c>
      <c r="M173" t="n">
        <v>0</v>
      </c>
      <c r="N173" t="n">
        <v>0</v>
      </c>
    </row>
    <row r="174">
      <c r="A174" t="inlineStr">
        <is>
          <t>issues of the lands and tenements in the lord's hands through the pestilence</t>
        </is>
      </c>
      <c r="B174" t="inlineStr">
        <is>
          <t>8 shilling from 1 virgate of land there which belonged to john coppis, demised by the bailiff.</t>
        </is>
      </c>
      <c r="C174" t="n">
        <v>0.4</v>
      </c>
      <c r="D174" t="n">
        <v>0</v>
      </c>
      <c r="E174" t="n">
        <v>8</v>
      </c>
      <c r="F174" t="n">
        <v>0</v>
      </c>
      <c r="H174" t="n">
        <v>0</v>
      </c>
      <c r="I174" t="n">
        <v>0</v>
      </c>
      <c r="J174" t="n">
        <v>0</v>
      </c>
      <c r="K174" t="n">
        <v>0</v>
      </c>
      <c r="L174" t="n">
        <v>0</v>
      </c>
      <c r="M174" t="n">
        <v>0</v>
      </c>
      <c r="N174" t="n">
        <v>0</v>
      </c>
    </row>
    <row r="175">
      <c r="A175" t="inlineStr">
        <is>
          <t>issues of the lands and tenements in the lord's hands through the pestilence</t>
        </is>
      </c>
      <c r="B175" t="inlineStr">
        <is>
          <t>10 shilling from 1 virgate of land there which belonged to john gouldon'.</t>
        </is>
      </c>
      <c r="C175" t="n">
        <v>0.5</v>
      </c>
      <c r="D175" t="n">
        <v>0</v>
      </c>
      <c r="E175" t="n">
        <v>10</v>
      </c>
      <c r="F175" t="n">
        <v>0</v>
      </c>
      <c r="H175" t="n">
        <v>0</v>
      </c>
      <c r="I175" t="n">
        <v>0</v>
      </c>
      <c r="J175" t="n">
        <v>0</v>
      </c>
      <c r="K175" t="n">
        <v>0</v>
      </c>
      <c r="L175" t="n">
        <v>0</v>
      </c>
      <c r="M175" t="n">
        <v>0</v>
      </c>
      <c r="N175" t="n">
        <v>0</v>
      </c>
    </row>
    <row r="176">
      <c r="A176" t="inlineStr">
        <is>
          <t>issues of the lands and tenements in the lord's hands through the pestilence</t>
        </is>
      </c>
      <c r="B176" t="inlineStr">
        <is>
          <t>11 shilling from 1 virgate of land there which belonged to john irusshe.</t>
        </is>
      </c>
      <c r="C176" t="n">
        <v>0.55</v>
      </c>
      <c r="D176" t="n">
        <v>0</v>
      </c>
      <c r="E176" t="n">
        <v>11</v>
      </c>
      <c r="F176" t="n">
        <v>0</v>
      </c>
      <c r="H176" t="n">
        <v>0</v>
      </c>
      <c r="I176" t="n">
        <v>0</v>
      </c>
      <c r="J176" t="n">
        <v>0</v>
      </c>
      <c r="K176" t="n">
        <v>0</v>
      </c>
      <c r="L176" t="n">
        <v>0</v>
      </c>
      <c r="M176" t="n">
        <v>0</v>
      </c>
      <c r="N176" t="n">
        <v>0</v>
      </c>
    </row>
    <row r="177">
      <c r="A177" t="inlineStr">
        <is>
          <t>issues of the lands and tenements in the lord's hands through the pestilence</t>
        </is>
      </c>
      <c r="B177" t="inlineStr">
        <is>
          <t>10 shilling from 1 virgate of land there which belonged to robert mody.</t>
        </is>
      </c>
      <c r="C177" t="n">
        <v>0.5</v>
      </c>
      <c r="D177" t="n">
        <v>0</v>
      </c>
      <c r="E177" t="n">
        <v>10</v>
      </c>
      <c r="F177" t="n">
        <v>0</v>
      </c>
      <c r="H177" t="n">
        <v>0</v>
      </c>
      <c r="I177" t="n">
        <v>0</v>
      </c>
      <c r="J177" t="n">
        <v>0</v>
      </c>
      <c r="K177" t="n">
        <v>0</v>
      </c>
      <c r="L177" t="n">
        <v>0</v>
      </c>
      <c r="M177" t="n">
        <v>0</v>
      </c>
      <c r="N177" t="n">
        <v>0</v>
      </c>
    </row>
    <row r="178">
      <c r="A178" t="inlineStr">
        <is>
          <t>issues of the lands and tenements in the lord's hands through the pestilence</t>
        </is>
      </c>
      <c r="B178" t="inlineStr">
        <is>
          <t>8 shilling from 1 virgate of land there which belonged to john clement.</t>
        </is>
      </c>
      <c r="C178" t="n">
        <v>0.4</v>
      </c>
      <c r="D178" t="n">
        <v>0</v>
      </c>
      <c r="E178" t="n">
        <v>8</v>
      </c>
      <c r="F178" t="n">
        <v>0</v>
      </c>
      <c r="H178" t="n">
        <v>0</v>
      </c>
      <c r="I178" t="n">
        <v>0</v>
      </c>
      <c r="J178" t="n">
        <v>0</v>
      </c>
      <c r="K178" t="n">
        <v>0</v>
      </c>
      <c r="L178" t="n">
        <v>0</v>
      </c>
      <c r="M178" t="n">
        <v>0</v>
      </c>
      <c r="N178" t="n">
        <v>0</v>
      </c>
    </row>
    <row r="179">
      <c r="A179" t="inlineStr">
        <is>
          <t>issues of the lands and tenements in the lord's hands through the pestilence</t>
        </is>
      </c>
      <c r="B179" t="inlineStr">
        <is>
          <t>8 shilling from 1 virgate of land there which belonged to william charle.</t>
        </is>
      </c>
      <c r="C179" t="n">
        <v>0.4</v>
      </c>
      <c r="D179" t="n">
        <v>0</v>
      </c>
      <c r="E179" t="n">
        <v>8</v>
      </c>
      <c r="F179" t="n">
        <v>0</v>
      </c>
      <c r="H179" t="n">
        <v>0</v>
      </c>
      <c r="I179" t="n">
        <v>0</v>
      </c>
      <c r="J179" t="n">
        <v>0</v>
      </c>
      <c r="K179" t="n">
        <v>0</v>
      </c>
      <c r="L179" t="n">
        <v>0</v>
      </c>
      <c r="M179" t="n">
        <v>0</v>
      </c>
      <c r="N179" t="n">
        <v>0</v>
      </c>
    </row>
    <row r="180">
      <c r="A180" t="inlineStr">
        <is>
          <t>issues of the lands and tenements in the lord's hands through the pestilence</t>
        </is>
      </c>
      <c r="B180" t="inlineStr">
        <is>
          <t>9 shilling from 1 virgate of land there which belonged to john sewy.</t>
        </is>
      </c>
      <c r="C180" t="n">
        <v>0.45</v>
      </c>
      <c r="D180" t="n">
        <v>0</v>
      </c>
      <c r="E180" t="n">
        <v>9</v>
      </c>
      <c r="F180" t="n">
        <v>0</v>
      </c>
      <c r="H180" t="n">
        <v>0</v>
      </c>
      <c r="I180" t="n">
        <v>0</v>
      </c>
      <c r="J180" t="n">
        <v>0</v>
      </c>
      <c r="K180" t="n">
        <v>0</v>
      </c>
      <c r="L180" t="n">
        <v>0</v>
      </c>
      <c r="M180" t="n">
        <v>0</v>
      </c>
      <c r="N180" t="n">
        <v>0</v>
      </c>
    </row>
    <row r="181">
      <c r="A181" t="inlineStr">
        <is>
          <t>issues of the lands and tenements in the lord's hands through the pestilence</t>
        </is>
      </c>
      <c r="B181" t="inlineStr">
        <is>
          <t>8 shilling from 1 virgate of land there which belonged to thomas wegg'.</t>
        </is>
      </c>
      <c r="C181" t="n">
        <v>0.4</v>
      </c>
      <c r="D181" t="n">
        <v>0</v>
      </c>
      <c r="E181" t="n">
        <v>8</v>
      </c>
      <c r="F181" t="n">
        <v>0</v>
      </c>
      <c r="H181" t="n">
        <v>0</v>
      </c>
      <c r="I181" t="n">
        <v>0</v>
      </c>
      <c r="J181" t="n">
        <v>0</v>
      </c>
      <c r="K181" t="n">
        <v>0</v>
      </c>
      <c r="L181" t="n">
        <v>0</v>
      </c>
      <c r="M181" t="n">
        <v>0</v>
      </c>
      <c r="N181" t="n">
        <v>0</v>
      </c>
    </row>
    <row r="182">
      <c r="A182" t="inlineStr">
        <is>
          <t>issues of the lands and tenements in the lord's hands through the pestilence</t>
        </is>
      </c>
      <c r="B182" t="inlineStr">
        <is>
          <t>8 shilling from 1 virgate of land there which belonged to william gurvyle, demised in parce1 shilling.</t>
        </is>
      </c>
      <c r="C182" t="n">
        <v>0.4</v>
      </c>
      <c r="D182" t="n">
        <v>0</v>
      </c>
      <c r="E182" t="n">
        <v>8</v>
      </c>
      <c r="F182" t="n">
        <v>0</v>
      </c>
      <c r="H182" t="n">
        <v>0</v>
      </c>
      <c r="I182" t="n">
        <v>0</v>
      </c>
      <c r="J182" t="n">
        <v>0</v>
      </c>
      <c r="K182" t="n">
        <v>0</v>
      </c>
      <c r="L182" t="n">
        <v>0</v>
      </c>
      <c r="M182" t="n">
        <v>0</v>
      </c>
      <c r="N182" t="n">
        <v>0</v>
      </c>
    </row>
    <row r="183">
      <c r="A183" t="inlineStr">
        <is>
          <t>issues from wick</t>
        </is>
      </c>
      <c r="B183" t="inlineStr">
        <is>
          <t>and for 4 shilling from the issue of 1 ferling of land formerly of william tut' in wick.</t>
        </is>
      </c>
      <c r="C183" t="n">
        <v>0.2</v>
      </c>
      <c r="D183" t="n">
        <v>0</v>
      </c>
      <c r="E183" t="n">
        <v>4</v>
      </c>
      <c r="F183" t="n">
        <v>0</v>
      </c>
      <c r="H183" t="n">
        <v>0</v>
      </c>
      <c r="I183" t="n">
        <v>0</v>
      </c>
      <c r="J183" t="n">
        <v>0</v>
      </c>
      <c r="K183" t="n">
        <v>0</v>
      </c>
      <c r="L183" t="n">
        <v>0</v>
      </c>
      <c r="M183" t="n">
        <v>0</v>
      </c>
      <c r="N183" t="n">
        <v>0</v>
      </c>
    </row>
    <row r="184">
      <c r="A184" t="inlineStr">
        <is>
          <t>issues from wick</t>
        </is>
      </c>
      <c r="B184" t="inlineStr">
        <is>
          <t>4 shilling' from 1 ferling of land there formerly of robert wyche.</t>
        </is>
      </c>
      <c r="C184" t="n">
        <v>0.2</v>
      </c>
      <c r="D184" t="n">
        <v>0</v>
      </c>
      <c r="E184" t="n">
        <v>4</v>
      </c>
      <c r="F184" t="n">
        <v>0</v>
      </c>
      <c r="H184" t="n">
        <v>0</v>
      </c>
      <c r="I184" t="n">
        <v>0</v>
      </c>
      <c r="J184" t="n">
        <v>0</v>
      </c>
      <c r="K184" t="n">
        <v>0</v>
      </c>
      <c r="L184" t="n">
        <v>0</v>
      </c>
      <c r="M184" t="n">
        <v>0</v>
      </c>
      <c r="N184" t="n">
        <v>0</v>
      </c>
    </row>
    <row r="185">
      <c r="A185" t="inlineStr">
        <is>
          <t>issues from wick</t>
        </is>
      </c>
      <c r="B185" t="inlineStr">
        <is>
          <t>6 shilling from 1 ferling there formerly of john tut, 4 shilling from 1 ferling of land formerly of richard bruton in walton.</t>
        </is>
      </c>
      <c r="C185" t="n">
        <v>0.3</v>
      </c>
      <c r="D185" t="n">
        <v>0</v>
      </c>
      <c r="E185" t="n">
        <v>6</v>
      </c>
      <c r="F185" t="n">
        <v>0</v>
      </c>
      <c r="H185" t="n">
        <v>0</v>
      </c>
      <c r="I185" t="n">
        <v>0</v>
      </c>
      <c r="J185" t="n">
        <v>0</v>
      </c>
      <c r="K185" t="n">
        <v>0</v>
      </c>
      <c r="L185" t="n">
        <v>0</v>
      </c>
      <c r="M185" t="n">
        <v>0</v>
      </c>
      <c r="N185" t="n">
        <v>0</v>
      </c>
    </row>
    <row r="186">
      <c r="A186" t="inlineStr">
        <is>
          <t>issues from wick</t>
        </is>
      </c>
      <c r="B186" t="inlineStr">
        <is>
          <t>3 shilling 4pence from 1 ferling of land there formerly of robert tut'.</t>
        </is>
      </c>
      <c r="C186" t="n">
        <v>0.17</v>
      </c>
      <c r="D186" t="n">
        <v>0</v>
      </c>
      <c r="E186" t="n">
        <v>3</v>
      </c>
      <c r="F186" t="n">
        <v>4</v>
      </c>
      <c r="H186" t="n">
        <v>0</v>
      </c>
      <c r="I186" t="n">
        <v>0</v>
      </c>
      <c r="J186" t="n">
        <v>0</v>
      </c>
      <c r="K186" t="n">
        <v>0</v>
      </c>
      <c r="L186" t="n">
        <v>0</v>
      </c>
      <c r="M186" t="n">
        <v>0</v>
      </c>
      <c r="N186" t="n">
        <v>0</v>
      </c>
    </row>
    <row r="187">
      <c r="A187" t="inlineStr">
        <is>
          <t>issues from wick</t>
        </is>
      </c>
      <c r="B187" t="inlineStr">
        <is>
          <t>6 shilling from 1 ferling of land formerly of thomas keynere.</t>
        </is>
      </c>
      <c r="C187" t="n">
        <v>0.3</v>
      </c>
      <c r="D187" t="n">
        <v>0</v>
      </c>
      <c r="E187" t="n">
        <v>6</v>
      </c>
      <c r="F187" t="n">
        <v>0</v>
      </c>
      <c r="H187" t="n">
        <v>0</v>
      </c>
      <c r="I187" t="n">
        <v>0</v>
      </c>
      <c r="J187" t="n">
        <v>0</v>
      </c>
      <c r="K187" t="n">
        <v>0</v>
      </c>
      <c r="L187" t="n">
        <v>0</v>
      </c>
      <c r="M187" t="n">
        <v>0</v>
      </c>
      <c r="N187" t="n">
        <v>0</v>
      </c>
    </row>
    <row r="188">
      <c r="A188" t="inlineStr">
        <is>
          <t>issues from wick</t>
        </is>
      </c>
      <c r="B188" t="inlineStr">
        <is>
          <t>6 shilling 8pence from 1 ferling of land formerly of william wilful.</t>
        </is>
      </c>
      <c r="C188" t="n">
        <v>0.33</v>
      </c>
      <c r="D188" t="n">
        <v>0</v>
      </c>
      <c r="E188" t="n">
        <v>6</v>
      </c>
      <c r="F188" t="n">
        <v>8</v>
      </c>
      <c r="H188" t="n">
        <v>0</v>
      </c>
      <c r="I188" t="n">
        <v>0</v>
      </c>
      <c r="J188" t="n">
        <v>0</v>
      </c>
      <c r="K188" t="n">
        <v>0</v>
      </c>
      <c r="L188" t="n">
        <v>0</v>
      </c>
      <c r="M188" t="n">
        <v>0</v>
      </c>
      <c r="N188" t="n">
        <v>0</v>
      </c>
    </row>
    <row r="189">
      <c r="A189" t="inlineStr">
        <is>
          <t>issues from wick</t>
        </is>
      </c>
      <c r="B189" t="inlineStr">
        <is>
          <t>5 shilling from 1 ferling of land there formerly of richard scoundy.</t>
        </is>
      </c>
      <c r="C189" t="n">
        <v>0.25</v>
      </c>
      <c r="D189" t="n">
        <v>0</v>
      </c>
      <c r="E189" t="n">
        <v>5</v>
      </c>
      <c r="F189" t="n">
        <v>0</v>
      </c>
      <c r="H189" t="n">
        <v>0</v>
      </c>
      <c r="I189" t="n">
        <v>0</v>
      </c>
      <c r="J189" t="n">
        <v>0</v>
      </c>
      <c r="K189" t="n">
        <v>0</v>
      </c>
      <c r="L189" t="n">
        <v>0</v>
      </c>
      <c r="M189" t="n">
        <v>0</v>
      </c>
      <c r="N189" t="n">
        <v>0</v>
      </c>
    </row>
    <row r="190">
      <c r="A190" t="inlineStr">
        <is>
          <t>issues from wick</t>
        </is>
      </c>
      <c r="B190" t="inlineStr">
        <is>
          <t>4 shilling from 1 ferling of land there formerly of john dodde.</t>
        </is>
      </c>
      <c r="C190" t="n">
        <v>0.2</v>
      </c>
      <c r="D190" t="n">
        <v>0</v>
      </c>
      <c r="E190" t="n">
        <v>4</v>
      </c>
      <c r="F190" t="n">
        <v>0</v>
      </c>
      <c r="H190" t="n">
        <v>0</v>
      </c>
      <c r="I190" t="n">
        <v>0</v>
      </c>
      <c r="J190" t="n">
        <v>0</v>
      </c>
      <c r="K190" t="n">
        <v>0</v>
      </c>
      <c r="L190" t="n">
        <v>0</v>
      </c>
      <c r="M190" t="n">
        <v>0</v>
      </c>
      <c r="N190" t="n">
        <v>0</v>
      </c>
    </row>
    <row r="191">
      <c r="A191" t="inlineStr">
        <is>
          <t>issues from wick</t>
        </is>
      </c>
      <c r="B191" t="inlineStr">
        <is>
          <t>8 shilling from 1 ferling of rlandl there formerly of william tut.</t>
        </is>
      </c>
      <c r="C191" t="n">
        <v>0.4</v>
      </c>
      <c r="D191" t="n">
        <v>0</v>
      </c>
      <c r="E191" t="n">
        <v>8</v>
      </c>
      <c r="F191" t="n">
        <v>0</v>
      </c>
      <c r="H191" t="n">
        <v>0</v>
      </c>
      <c r="I191" t="n">
        <v>0</v>
      </c>
      <c r="J191" t="n">
        <v>0</v>
      </c>
      <c r="K191" t="n">
        <v>0</v>
      </c>
      <c r="L191" t="n">
        <v>0</v>
      </c>
      <c r="M191" t="n">
        <v>0</v>
      </c>
      <c r="N191" t="n">
        <v>0</v>
      </c>
    </row>
    <row r="192">
      <c r="A192" t="inlineStr">
        <is>
          <t>issues from wick</t>
        </is>
      </c>
      <c r="B192" t="inlineStr">
        <is>
          <t>5 shilling 6pence from 1 ferling of land formerly of ralph jamme.</t>
        </is>
      </c>
      <c r="C192" t="n">
        <v>0.28</v>
      </c>
      <c r="D192" t="n">
        <v>0</v>
      </c>
      <c r="E192" t="n">
        <v>5</v>
      </c>
      <c r="F192" t="n">
        <v>6</v>
      </c>
      <c r="H192" t="n">
        <v>0</v>
      </c>
      <c r="I192" t="n">
        <v>0</v>
      </c>
      <c r="J192" t="n">
        <v>0</v>
      </c>
      <c r="K192" t="n">
        <v>0</v>
      </c>
      <c r="L192" t="n">
        <v>0</v>
      </c>
      <c r="M192" t="n">
        <v>0</v>
      </c>
      <c r="N192" t="n">
        <v>0</v>
      </c>
    </row>
    <row r="193">
      <c r="A193" t="inlineStr">
        <is>
          <t>issues from wick</t>
        </is>
      </c>
      <c r="B193" t="inlineStr">
        <is>
          <t>4 shilling 6pence from ferling of land there formerly of william kente.</t>
        </is>
      </c>
      <c r="C193" t="n">
        <v>0.23</v>
      </c>
      <c r="D193" t="n">
        <v>0</v>
      </c>
      <c r="E193" t="n">
        <v>4</v>
      </c>
      <c r="F193" t="n">
        <v>6</v>
      </c>
      <c r="H193" t="n">
        <v>0</v>
      </c>
      <c r="I193" t="n">
        <v>0</v>
      </c>
      <c r="J193" t="n">
        <v>0</v>
      </c>
      <c r="K193" t="n">
        <v>0</v>
      </c>
      <c r="L193" t="n">
        <v>0</v>
      </c>
      <c r="M193" t="n">
        <v>0</v>
      </c>
      <c r="N193" t="n">
        <v>0</v>
      </c>
    </row>
    <row r="194">
      <c r="A194" t="inlineStr">
        <is>
          <t>issues from wick</t>
        </is>
      </c>
      <c r="B194" t="inlineStr">
        <is>
          <t>4 shilling 8pence from 1 ferling of land there formerly of gilbert tawyere.</t>
        </is>
      </c>
      <c r="C194" t="n">
        <v>0.23</v>
      </c>
      <c r="D194" t="n">
        <v>0</v>
      </c>
      <c r="E194" t="n">
        <v>4</v>
      </c>
      <c r="F194" t="n">
        <v>8</v>
      </c>
      <c r="H194" t="n">
        <v>0</v>
      </c>
      <c r="I194" t="n">
        <v>0</v>
      </c>
      <c r="J194" t="n">
        <v>0</v>
      </c>
      <c r="K194" t="n">
        <v>0</v>
      </c>
      <c r="L194" t="n">
        <v>0</v>
      </c>
      <c r="M194" t="n">
        <v>0</v>
      </c>
      <c r="N194" t="n">
        <v>0</v>
      </c>
    </row>
    <row r="195">
      <c r="A195" t="inlineStr">
        <is>
          <t>issues from wick</t>
        </is>
      </c>
      <c r="B195" t="inlineStr">
        <is>
          <t>3 shilling from 1 ferling of land there formerly of ralph dodde.</t>
        </is>
      </c>
      <c r="C195" t="n">
        <v>0.15</v>
      </c>
      <c r="D195" t="n">
        <v>0</v>
      </c>
      <c r="E195" t="n">
        <v>3</v>
      </c>
      <c r="F195" t="n">
        <v>0</v>
      </c>
      <c r="H195" t="n">
        <v>0</v>
      </c>
      <c r="I195" t="n">
        <v>0</v>
      </c>
      <c r="J195" t="n">
        <v>0</v>
      </c>
      <c r="K195" t="n">
        <v>0</v>
      </c>
      <c r="L195" t="n">
        <v>0</v>
      </c>
      <c r="M195" t="n">
        <v>0</v>
      </c>
      <c r="N195" t="n">
        <v>0</v>
      </c>
    </row>
    <row r="196">
      <c r="A196" t="inlineStr">
        <is>
          <t>issues from wick</t>
        </is>
      </c>
      <c r="B196" t="inlineStr">
        <is>
          <t>2 shilling from 1 cottage formerly of william pyperwhyte in wick.</t>
        </is>
      </c>
      <c r="C196" t="n">
        <v>0.1</v>
      </c>
      <c r="D196" t="n">
        <v>0</v>
      </c>
      <c r="E196" t="n">
        <v>2</v>
      </c>
      <c r="F196" t="n">
        <v>0</v>
      </c>
      <c r="H196" t="n">
        <v>0</v>
      </c>
      <c r="I196" t="n">
        <v>0</v>
      </c>
      <c r="J196" t="n">
        <v>0</v>
      </c>
      <c r="K196" t="n">
        <v>0</v>
      </c>
      <c r="L196" t="n">
        <v>0</v>
      </c>
      <c r="M196" t="n">
        <v>0</v>
      </c>
      <c r="N196" t="n">
        <v>0</v>
      </c>
    </row>
    <row r="197">
      <c r="A197" t="inlineStr">
        <is>
          <t>issues from wick</t>
        </is>
      </c>
      <c r="B197" t="inlineStr">
        <is>
          <t>2 shilling from 1 cottage in walton formerly of matilda alewyne.</t>
        </is>
      </c>
      <c r="C197" t="n">
        <v>0.1</v>
      </c>
      <c r="D197" t="n">
        <v>0</v>
      </c>
      <c r="E197" t="n">
        <v>2</v>
      </c>
      <c r="F197" t="n">
        <v>0</v>
      </c>
      <c r="H197" t="n">
        <v>0</v>
      </c>
      <c r="I197" t="n">
        <v>0</v>
      </c>
      <c r="J197" t="n">
        <v>0</v>
      </c>
      <c r="K197" t="n">
        <v>0</v>
      </c>
      <c r="L197" t="n">
        <v>0</v>
      </c>
      <c r="M197" t="n">
        <v>0</v>
      </c>
      <c r="N197" t="n">
        <v>0</v>
      </c>
    </row>
    <row r="198">
      <c r="A198" t="inlineStr">
        <is>
          <t>issues from wick</t>
        </is>
      </c>
      <c r="B198" t="inlineStr">
        <is>
          <t>3 shilling 6pence from 1 cottage there formerly of john hakehoude.</t>
        </is>
      </c>
      <c r="C198" t="n">
        <v>0.17</v>
      </c>
      <c r="D198" t="n">
        <v>0</v>
      </c>
      <c r="E198" t="n">
        <v>3</v>
      </c>
      <c r="F198" t="n">
        <v>6</v>
      </c>
      <c r="H198" t="n">
        <v>0</v>
      </c>
      <c r="I198" t="n">
        <v>0</v>
      </c>
      <c r="J198" t="n">
        <v>0</v>
      </c>
      <c r="K198" t="n">
        <v>0</v>
      </c>
      <c r="L198" t="n">
        <v>0</v>
      </c>
      <c r="M198" t="n">
        <v>0</v>
      </c>
      <c r="N198" t="n">
        <v>0</v>
      </c>
    </row>
    <row r="199">
      <c r="A199" t="inlineStr">
        <is>
          <t>issues from wick</t>
        </is>
      </c>
      <c r="B199" t="inlineStr">
        <is>
          <t>2 shilling from 1 cottage formerly of john bernerd in walton.</t>
        </is>
      </c>
      <c r="C199" t="n">
        <v>0.1</v>
      </c>
      <c r="D199" t="n">
        <v>0</v>
      </c>
      <c r="E199" t="n">
        <v>2</v>
      </c>
      <c r="F199" t="n">
        <v>0</v>
      </c>
      <c r="H199" t="n">
        <v>0</v>
      </c>
      <c r="I199" t="n">
        <v>0</v>
      </c>
      <c r="J199" t="n">
        <v>0</v>
      </c>
      <c r="K199" t="n">
        <v>0</v>
      </c>
      <c r="L199" t="n">
        <v>0</v>
      </c>
      <c r="M199" t="n">
        <v>0</v>
      </c>
      <c r="N199" t="n">
        <v>0</v>
      </c>
    </row>
    <row r="200">
      <c r="A200" t="inlineStr">
        <is>
          <t>issues from wick</t>
        </is>
      </c>
      <c r="B200" t="inlineStr">
        <is>
          <t>6pence from 1 cottage there formerly of john penowe.</t>
        </is>
      </c>
      <c r="C200" t="n">
        <v>0.03</v>
      </c>
      <c r="D200" t="n">
        <v>0</v>
      </c>
      <c r="E200" t="n">
        <v>0</v>
      </c>
      <c r="F200" t="n">
        <v>6</v>
      </c>
      <c r="H200" t="n">
        <v>0</v>
      </c>
      <c r="I200" t="n">
        <v>0</v>
      </c>
      <c r="J200" t="n">
        <v>0</v>
      </c>
      <c r="K200" t="n">
        <v>0</v>
      </c>
      <c r="L200" t="n">
        <v>0</v>
      </c>
      <c r="M200" t="n">
        <v>0</v>
      </c>
      <c r="N200" t="n">
        <v>0</v>
      </c>
    </row>
    <row r="201">
      <c r="A201" t="inlineStr">
        <is>
          <t>issues from wick</t>
        </is>
      </c>
      <c r="B201" t="inlineStr">
        <is>
          <t>6 shilling from 6 acres of bordage land in wick formerly of william radde.</t>
        </is>
      </c>
      <c r="C201" t="n">
        <v>0.3</v>
      </c>
      <c r="D201" t="n">
        <v>0</v>
      </c>
      <c r="E201" t="n">
        <v>6</v>
      </c>
      <c r="F201" t="n">
        <v>0</v>
      </c>
      <c r="H201" t="n">
        <v>0</v>
      </c>
      <c r="I201" t="n">
        <v>0</v>
      </c>
      <c r="J201" t="n">
        <v>0</v>
      </c>
      <c r="K201" t="n">
        <v>0</v>
      </c>
      <c r="L201" t="n">
        <v>0</v>
      </c>
      <c r="M201" t="n">
        <v>0</v>
      </c>
      <c r="N201" t="n">
        <v>0</v>
      </c>
    </row>
    <row r="202">
      <c r="A202" t="inlineStr">
        <is>
          <t>issues from wick</t>
        </is>
      </c>
      <c r="B202" t="inlineStr">
        <is>
          <t>2 shilling 4pence from 6 acres of bordage land at foxeburghe.</t>
        </is>
      </c>
      <c r="C202" t="n">
        <v>0.12</v>
      </c>
      <c r="D202" t="n">
        <v>0</v>
      </c>
      <c r="E202" t="n">
        <v>2</v>
      </c>
      <c r="F202" t="n">
        <v>4</v>
      </c>
      <c r="H202" t="n">
        <v>0</v>
      </c>
      <c r="I202" t="n">
        <v>0</v>
      </c>
      <c r="J202" t="n">
        <v>0</v>
      </c>
      <c r="K202" t="n">
        <v>0</v>
      </c>
      <c r="L202" t="n">
        <v>0</v>
      </c>
      <c r="M202" t="n">
        <v>0</v>
      </c>
      <c r="N202" t="n">
        <v>0</v>
      </c>
    </row>
    <row r="203">
      <c r="A203" t="inlineStr">
        <is>
          <t>issues from wick</t>
        </is>
      </c>
      <c r="B203" t="inlineStr">
        <is>
          <t>3 shilling from 3 acres of bordage land there formerly of laurence skynnar'.</t>
        </is>
      </c>
      <c r="C203" t="n">
        <v>0.15</v>
      </c>
      <c r="D203" t="n">
        <v>0</v>
      </c>
      <c r="E203" t="n">
        <v>3</v>
      </c>
      <c r="F203" t="n">
        <v>0</v>
      </c>
      <c r="H203" t="n">
        <v>0</v>
      </c>
      <c r="I203" t="n">
        <v>0</v>
      </c>
      <c r="J203" t="n">
        <v>0</v>
      </c>
      <c r="K203" t="n">
        <v>0</v>
      </c>
      <c r="L203" t="n">
        <v>0</v>
      </c>
      <c r="M203" t="n">
        <v>0</v>
      </c>
      <c r="N203" t="n">
        <v>0</v>
      </c>
    </row>
    <row r="204">
      <c r="A204" t="inlineStr">
        <is>
          <t>issues from wick</t>
        </is>
      </c>
      <c r="B204" t="inlineStr">
        <is>
          <t>2 shilling from 10 acres 1 rood of bordage land which belonged to john dekene.</t>
        </is>
      </c>
      <c r="C204" t="n">
        <v>0.1</v>
      </c>
      <c r="D204" t="n">
        <v>0</v>
      </c>
      <c r="E204" t="n">
        <v>2</v>
      </c>
      <c r="F204" t="n">
        <v>0</v>
      </c>
      <c r="H204" t="n">
        <v>0</v>
      </c>
      <c r="I204" t="n">
        <v>0</v>
      </c>
      <c r="J204" t="n">
        <v>0</v>
      </c>
      <c r="K204" t="n">
        <v>0</v>
      </c>
      <c r="L204" t="n">
        <v>0</v>
      </c>
      <c r="M204" t="n">
        <v>0</v>
      </c>
      <c r="N204" t="n">
        <v>0</v>
      </c>
    </row>
    <row r="205">
      <c r="A205" t="inlineStr">
        <is>
          <t>issues from wick</t>
        </is>
      </c>
      <c r="B205" t="inlineStr">
        <is>
          <t>1 shilling 6pence from 3 acres of land called brygelond' demised there.</t>
        </is>
      </c>
      <c r="C205" t="n">
        <v>0.08</v>
      </c>
      <c r="D205" t="n">
        <v>0</v>
      </c>
      <c r="E205" t="n">
        <v>1</v>
      </c>
      <c r="F205" t="n">
        <v>6</v>
      </c>
      <c r="H205" t="n">
        <v>0</v>
      </c>
      <c r="I205" t="n">
        <v>0</v>
      </c>
      <c r="J205" t="n">
        <v>0</v>
      </c>
      <c r="K205" t="n">
        <v>0</v>
      </c>
      <c r="L205" t="n">
        <v>0</v>
      </c>
      <c r="M205" t="n">
        <v>0</v>
      </c>
      <c r="N205" t="n">
        <v>0</v>
      </c>
    </row>
    <row r="206">
      <c r="A206" t="inlineStr">
        <is>
          <t>issues from wick</t>
        </is>
      </c>
      <c r="B206" t="inlineStr">
        <is>
          <t>2 shilling from 2 acres of bordage land formerly of roger coupers' there.</t>
        </is>
      </c>
      <c r="C206" t="n">
        <v>0.1</v>
      </c>
      <c r="D206" t="n">
        <v>0</v>
      </c>
      <c r="E206" t="n">
        <v>2</v>
      </c>
      <c r="F206" t="n">
        <v>0</v>
      </c>
      <c r="H206" t="n">
        <v>0</v>
      </c>
      <c r="I206" t="n">
        <v>0</v>
      </c>
      <c r="J206" t="n">
        <v>0</v>
      </c>
      <c r="K206" t="n">
        <v>0</v>
      </c>
      <c r="L206" t="n">
        <v>0</v>
      </c>
      <c r="M206" t="n">
        <v>0</v>
      </c>
      <c r="N206" t="n">
        <v>0</v>
      </c>
    </row>
    <row r="207">
      <c r="A207" t="inlineStr">
        <is>
          <t>issues from witherington</t>
        </is>
      </c>
      <c r="B207" t="inlineStr">
        <is>
          <t>and for 5 shilling from the issue of 1 virgate of villein land and 2 acres of bordage land in witherington which belonged to john willis.</t>
        </is>
      </c>
      <c r="C207" t="n">
        <v>0.25</v>
      </c>
      <c r="D207" t="n">
        <v>0</v>
      </c>
      <c r="E207" t="n">
        <v>5</v>
      </c>
      <c r="F207" t="n">
        <v>0</v>
      </c>
      <c r="H207" t="n">
        <v>0</v>
      </c>
      <c r="I207" t="n">
        <v>0</v>
      </c>
      <c r="J207" t="n">
        <v>0</v>
      </c>
      <c r="K207" t="n">
        <v>0</v>
      </c>
      <c r="L207" t="n">
        <v>0</v>
      </c>
      <c r="M207" t="n">
        <v>0</v>
      </c>
      <c r="N207" t="n">
        <v>0</v>
      </c>
    </row>
    <row r="208">
      <c r="A208" t="inlineStr">
        <is>
          <t>issues from witherington</t>
        </is>
      </c>
      <c r="B208" t="inlineStr">
        <is>
          <t>7 shilling from 1 virgate of villein land and 6 acres of bordage land there formerly of john waltr'.</t>
        </is>
      </c>
      <c r="C208" t="n">
        <v>0.35</v>
      </c>
      <c r="D208" t="n">
        <v>0</v>
      </c>
      <c r="E208" t="n">
        <v>7</v>
      </c>
      <c r="F208" t="n">
        <v>0</v>
      </c>
      <c r="H208" t="n">
        <v>0</v>
      </c>
      <c r="I208" t="n">
        <v>0</v>
      </c>
      <c r="J208" t="n">
        <v>0</v>
      </c>
      <c r="K208" t="n">
        <v>0</v>
      </c>
      <c r="L208" t="n">
        <v>0</v>
      </c>
      <c r="M208" t="n">
        <v>0</v>
      </c>
      <c r="N208" t="n">
        <v>0</v>
      </c>
    </row>
    <row r="209">
      <c r="A209" t="inlineStr">
        <is>
          <t>issues from witherington</t>
        </is>
      </c>
      <c r="B209" t="inlineStr">
        <is>
          <t>10 shilling from 1 virgate of villein land, 1 small toft, 1 portion of meadow and 3 acres of bordage land there which belonged to john haukyn'.</t>
        </is>
      </c>
      <c r="C209" t="n">
        <v>0.5</v>
      </c>
      <c r="D209" t="n">
        <v>0</v>
      </c>
      <c r="E209" t="n">
        <v>10</v>
      </c>
      <c r="F209" t="n">
        <v>0</v>
      </c>
      <c r="H209" t="n">
        <v>0</v>
      </c>
      <c r="I209" t="n">
        <v>0</v>
      </c>
      <c r="J209" t="n">
        <v>0</v>
      </c>
      <c r="K209" t="n">
        <v>0</v>
      </c>
      <c r="L209" t="n">
        <v>0</v>
      </c>
      <c r="M209" t="n">
        <v>0</v>
      </c>
      <c r="N209" t="n">
        <v>0</v>
      </c>
    </row>
    <row r="210">
      <c r="A210" t="inlineStr">
        <is>
          <t>issues from witherington</t>
        </is>
      </c>
      <c r="B210" t="inlineStr">
        <is>
          <t>4 shilling from .5 virgate of villein land there formerly of william trapul.</t>
        </is>
      </c>
      <c r="C210" t="n">
        <v>0.2</v>
      </c>
      <c r="D210" t="n">
        <v>0</v>
      </c>
      <c r="E210" t="n">
        <v>4</v>
      </c>
      <c r="F210" t="n">
        <v>0</v>
      </c>
      <c r="H210" t="n">
        <v>0</v>
      </c>
      <c r="I210" t="n">
        <v>0</v>
      </c>
      <c r="J210" t="n">
        <v>0</v>
      </c>
      <c r="K210" t="n">
        <v>0</v>
      </c>
      <c r="L210" t="n">
        <v>0</v>
      </c>
      <c r="M210" t="n">
        <v>0</v>
      </c>
      <c r="N210" t="n">
        <v>0</v>
      </c>
    </row>
    <row r="211">
      <c r="A211" t="inlineStr">
        <is>
          <t>issues from witherington</t>
        </is>
      </c>
      <c r="B211" t="inlineStr">
        <is>
          <t>4 shilling from .5 virgate of villein land and .5 acre of bordage land there which belonged to ralph brytful.</t>
        </is>
      </c>
      <c r="C211" t="n">
        <v>0.2</v>
      </c>
      <c r="D211" t="n">
        <v>0</v>
      </c>
      <c r="E211" t="n">
        <v>4</v>
      </c>
      <c r="F211" t="n">
        <v>0</v>
      </c>
      <c r="H211" t="n">
        <v>0</v>
      </c>
      <c r="I211" t="n">
        <v>0</v>
      </c>
      <c r="J211" t="n">
        <v>0</v>
      </c>
      <c r="K211" t="n">
        <v>0</v>
      </c>
      <c r="L211" t="n">
        <v>0</v>
      </c>
      <c r="M211" t="n">
        <v>0</v>
      </c>
      <c r="N211" t="n">
        <v>0</v>
      </c>
    </row>
    <row r="212">
      <c r="A212" t="inlineStr">
        <is>
          <t>issues from witherington</t>
        </is>
      </c>
      <c r="B212" t="inlineStr">
        <is>
          <t>3 shilling from 1 ferling of land there formerly of ralph brytfull'.</t>
        </is>
      </c>
      <c r="C212" t="n">
        <v>0.15</v>
      </c>
      <c r="D212" t="n">
        <v>0</v>
      </c>
      <c r="E212" t="n">
        <v>3</v>
      </c>
      <c r="F212" t="n">
        <v>0</v>
      </c>
      <c r="H212" t="n">
        <v>0</v>
      </c>
      <c r="I212" t="n">
        <v>0</v>
      </c>
      <c r="J212" t="n">
        <v>0</v>
      </c>
      <c r="K212" t="n">
        <v>0</v>
      </c>
      <c r="L212" t="n">
        <v>0</v>
      </c>
      <c r="M212" t="n">
        <v>0</v>
      </c>
      <c r="N212" t="n">
        <v>0</v>
      </c>
    </row>
    <row r="213">
      <c r="A213" t="inlineStr">
        <is>
          <t>issues from witherington</t>
        </is>
      </c>
      <c r="B213" t="inlineStr">
        <is>
          <t>2 shilling from 1 ferling of land there formerly of walter kyng'.</t>
        </is>
      </c>
      <c r="C213" t="n">
        <v>0.1</v>
      </c>
      <c r="D213" t="n">
        <v>0</v>
      </c>
      <c r="E213" t="n">
        <v>2</v>
      </c>
      <c r="F213" t="n">
        <v>0</v>
      </c>
      <c r="H213" t="n">
        <v>0</v>
      </c>
      <c r="I213" t="n">
        <v>0</v>
      </c>
      <c r="J213" t="n">
        <v>0</v>
      </c>
      <c r="K213" t="n">
        <v>0</v>
      </c>
      <c r="L213" t="n">
        <v>0</v>
      </c>
      <c r="M213" t="n">
        <v>0</v>
      </c>
      <c r="N213" t="n">
        <v>0</v>
      </c>
    </row>
    <row r="214">
      <c r="A214" t="inlineStr">
        <is>
          <t>issues from witherington</t>
        </is>
      </c>
      <c r="B214" t="inlineStr">
        <is>
          <t>2 shilling from 1 ferling of land there formerly of thomas kynere.</t>
        </is>
      </c>
      <c r="C214" t="n">
        <v>0.1</v>
      </c>
      <c r="D214" t="n">
        <v>0</v>
      </c>
      <c r="E214" t="n">
        <v>2</v>
      </c>
      <c r="F214" t="n">
        <v>0</v>
      </c>
      <c r="H214" t="n">
        <v>0</v>
      </c>
      <c r="I214" t="n">
        <v>0</v>
      </c>
      <c r="J214" t="n">
        <v>0</v>
      </c>
      <c r="K214" t="n">
        <v>0</v>
      </c>
      <c r="L214" t="n">
        <v>0</v>
      </c>
      <c r="M214" t="n">
        <v>0</v>
      </c>
      <c r="N214" t="n">
        <v>0</v>
      </c>
    </row>
    <row r="215">
      <c r="A215" t="inlineStr">
        <is>
          <t>issues from witherington</t>
        </is>
      </c>
      <c r="B215" t="inlineStr">
        <is>
          <t>1 shilling 5pence from 1 cottage there formerly of trytul.</t>
        </is>
      </c>
      <c r="C215" t="n">
        <v>0.07000000000000001</v>
      </c>
      <c r="D215" t="n">
        <v>0</v>
      </c>
      <c r="E215" t="n">
        <v>1</v>
      </c>
      <c r="F215" t="n">
        <v>5</v>
      </c>
      <c r="H215" t="n">
        <v>0</v>
      </c>
      <c r="I215" t="n">
        <v>0</v>
      </c>
      <c r="J215" t="n">
        <v>0</v>
      </c>
      <c r="K215" t="n">
        <v>0</v>
      </c>
      <c r="L215" t="n">
        <v>0</v>
      </c>
      <c r="M215" t="n">
        <v>0</v>
      </c>
      <c r="N215" t="n">
        <v>0</v>
      </c>
    </row>
    <row r="216">
      <c r="A216" t="inlineStr">
        <is>
          <t>issues from witherington</t>
        </is>
      </c>
      <c r="B216" t="inlineStr">
        <is>
          <t>1 shilling from 1 cottage of villein land and 8 acres of bordage land there formerly of john willis.</t>
        </is>
      </c>
      <c r="C216" t="n">
        <v>0.05</v>
      </c>
      <c r="D216" t="n">
        <v>0</v>
      </c>
      <c r="E216" t="n">
        <v>1</v>
      </c>
      <c r="F216" t="n">
        <v>0</v>
      </c>
      <c r="H216" t="n">
        <v>0</v>
      </c>
      <c r="I216" t="n">
        <v>0</v>
      </c>
      <c r="J216" t="n">
        <v>0</v>
      </c>
      <c r="K216" t="n">
        <v>0</v>
      </c>
      <c r="L216" t="n">
        <v>0</v>
      </c>
      <c r="M216" t="n">
        <v>0</v>
      </c>
      <c r="N216" t="n">
        <v>0</v>
      </c>
    </row>
    <row r="217">
      <c r="A217" t="inlineStr">
        <is>
          <t>issues from witherington</t>
        </is>
      </c>
      <c r="B217" t="inlineStr">
        <is>
          <t>8pence from 1 garden, 1 cottage of villein land, 3 acres and 3 roods of bordage land there formerly of thomas adekyns and not more from a want of buyers.</t>
        </is>
      </c>
      <c r="C217" t="n">
        <v>0.03</v>
      </c>
      <c r="D217" t="n">
        <v>0</v>
      </c>
      <c r="E217" t="n">
        <v>0</v>
      </c>
      <c r="F217" t="n">
        <v>8</v>
      </c>
      <c r="H217" t="n">
        <v>0</v>
      </c>
      <c r="I217" t="n">
        <v>0</v>
      </c>
      <c r="J217" t="n">
        <v>0</v>
      </c>
      <c r="K217" t="n">
        <v>0</v>
      </c>
      <c r="L217" t="n">
        <v>0</v>
      </c>
      <c r="M217" t="n">
        <v>0</v>
      </c>
      <c r="N217" t="n">
        <v>0</v>
      </c>
    </row>
    <row r="218">
      <c r="A218" t="inlineStr">
        <is>
          <t>issues from witherington</t>
        </is>
      </c>
      <c r="B218" t="inlineStr">
        <is>
          <t>1 shilling from 1 garden, 1 cottage of villein land and 1.5 acres of bordage land there formerly of thomas fyssher' and not more from a want of buyers.</t>
        </is>
      </c>
      <c r="C218" t="n">
        <v>0.05</v>
      </c>
      <c r="D218" t="n">
        <v>0</v>
      </c>
      <c r="E218" t="n">
        <v>1</v>
      </c>
      <c r="F218" t="n">
        <v>0</v>
      </c>
      <c r="H218" t="n">
        <v>0</v>
      </c>
      <c r="I218" t="n">
        <v>0</v>
      </c>
      <c r="J218" t="n">
        <v>0</v>
      </c>
      <c r="K218" t="n">
        <v>0</v>
      </c>
      <c r="L218" t="n">
        <v>0</v>
      </c>
      <c r="M218" t="n">
        <v>0</v>
      </c>
      <c r="N218" t="n">
        <v>0</v>
      </c>
    </row>
    <row r="219">
      <c r="A219" t="inlineStr">
        <is>
          <t>issues from witherington</t>
        </is>
      </c>
      <c r="B219" t="inlineStr">
        <is>
          <t>5 shilling from 2 cottages and 11 acres of bordage land there formerly of william radyche.</t>
        </is>
      </c>
      <c r="C219" t="n">
        <v>0.25</v>
      </c>
      <c r="D219" t="n">
        <v>0</v>
      </c>
      <c r="E219" t="n">
        <v>5</v>
      </c>
      <c r="F219" t="n">
        <v>0</v>
      </c>
      <c r="H219" t="n">
        <v>0</v>
      </c>
      <c r="I219" t="n">
        <v>0</v>
      </c>
      <c r="J219" t="n">
        <v>0</v>
      </c>
      <c r="K219" t="n">
        <v>0</v>
      </c>
      <c r="L219" t="n">
        <v>0</v>
      </c>
      <c r="M219" t="n">
        <v>0</v>
      </c>
      <c r="N219" t="n">
        <v>0</v>
      </c>
    </row>
    <row r="220">
      <c r="A220" t="inlineStr">
        <is>
          <t>issues from witherington</t>
        </is>
      </c>
      <c r="B220" t="inlineStr">
        <is>
          <t>1 shilling 8pence from 1 cottage of villein land and 1 cottage of bordage land there formerly of william trapul.</t>
        </is>
      </c>
      <c r="C220" t="n">
        <v>0.08</v>
      </c>
      <c r="D220" t="n">
        <v>0</v>
      </c>
      <c r="E220" t="n">
        <v>1</v>
      </c>
      <c r="F220" t="n">
        <v>8</v>
      </c>
      <c r="H220" t="n">
        <v>0</v>
      </c>
      <c r="I220" t="n">
        <v>0</v>
      </c>
      <c r="J220" t="n">
        <v>0</v>
      </c>
      <c r="K220" t="n">
        <v>0</v>
      </c>
      <c r="L220" t="n">
        <v>0</v>
      </c>
      <c r="M220" t="n">
        <v>0</v>
      </c>
      <c r="N220" t="n">
        <v>0</v>
      </c>
    </row>
    <row r="221">
      <c r="A221" t="inlineStr">
        <is>
          <t>issues from witherington</t>
        </is>
      </c>
      <c r="B221" t="inlineStr">
        <is>
          <t>8 shilling from 1 cottage and 19 acres of bordage land there formerly of john coupere, demised this year in parcels.</t>
        </is>
      </c>
      <c r="C221" t="n">
        <v>0.4</v>
      </c>
      <c r="D221" t="n">
        <v>0</v>
      </c>
      <c r="E221" t="n">
        <v>8</v>
      </c>
      <c r="F221" t="n">
        <v>0</v>
      </c>
      <c r="H221" t="n">
        <v>0</v>
      </c>
      <c r="I221" t="n">
        <v>0</v>
      </c>
      <c r="J221" t="n">
        <v>0</v>
      </c>
      <c r="K221" t="n">
        <v>0</v>
      </c>
      <c r="L221" t="n">
        <v>0</v>
      </c>
      <c r="M221" t="n">
        <v>0</v>
      </c>
      <c r="N221" t="n">
        <v>0</v>
      </c>
    </row>
    <row r="222">
      <c r="A222" t="inlineStr">
        <is>
          <t>issues from witherington</t>
        </is>
      </c>
      <c r="B222" t="inlineStr">
        <is>
          <t>10 shilling from the land called mullond' there, demised this year.</t>
        </is>
      </c>
      <c r="C222" t="n">
        <v>0.5</v>
      </c>
      <c r="D222" t="n">
        <v>0</v>
      </c>
      <c r="E222" t="n">
        <v>10</v>
      </c>
      <c r="F222" t="n">
        <v>0</v>
      </c>
      <c r="H222" t="n">
        <v>0</v>
      </c>
      <c r="I222" t="n">
        <v>0</v>
      </c>
      <c r="J222" t="n">
        <v>0</v>
      </c>
      <c r="K222" t="n">
        <v>0</v>
      </c>
      <c r="L222" t="n">
        <v>0</v>
      </c>
      <c r="M222" t="n">
        <v>0</v>
      </c>
      <c r="N222" t="n">
        <v>0</v>
      </c>
    </row>
    <row r="223">
      <c r="A223" t="inlineStr">
        <is>
          <t>issues from witherington</t>
        </is>
      </c>
      <c r="B223" t="inlineStr">
        <is>
          <t>4 shilling from 1 virgate of villein land there which belonged to john grave.</t>
        </is>
      </c>
      <c r="C223" t="n">
        <v>0.2</v>
      </c>
      <c r="D223" t="n">
        <v>0</v>
      </c>
      <c r="E223" t="n">
        <v>4</v>
      </c>
      <c r="F223" t="n">
        <v>0</v>
      </c>
      <c r="H223" t="n">
        <v>0</v>
      </c>
      <c r="I223" t="n">
        <v>0</v>
      </c>
      <c r="J223" t="n">
        <v>0</v>
      </c>
      <c r="K223" t="n">
        <v>0</v>
      </c>
      <c r="L223" t="n">
        <v>0</v>
      </c>
      <c r="M223" t="n">
        <v>0</v>
      </c>
      <c r="N223" t="n">
        <v>0</v>
      </c>
    </row>
    <row r="224">
      <c r="A224" t="inlineStr">
        <is>
          <t>issues from witherington</t>
        </is>
      </c>
      <c r="B224" t="inlineStr">
        <is>
          <t>4 shilling from 0.5 virgate of villein land recently of thomas adekyns.</t>
        </is>
      </c>
      <c r="C224" t="n">
        <v>0.2</v>
      </c>
      <c r="D224" t="n">
        <v>0</v>
      </c>
      <c r="E224" t="n">
        <v>4</v>
      </c>
      <c r="F224" t="n">
        <v>0</v>
      </c>
      <c r="H224" t="n">
        <v>0</v>
      </c>
      <c r="I224" t="n">
        <v>0</v>
      </c>
      <c r="J224" t="n">
        <v>0</v>
      </c>
      <c r="K224" t="n">
        <v>0</v>
      </c>
      <c r="L224" t="n">
        <v>0</v>
      </c>
      <c r="M224" t="n">
        <v>0</v>
      </c>
      <c r="N224" t="n">
        <v>0</v>
      </c>
    </row>
    <row r="225">
      <c r="A225" t="inlineStr">
        <is>
          <t>issues from east downton</t>
        </is>
      </c>
      <c r="B225" t="inlineStr">
        <is>
          <t>and for 8 shilling from the issue of .5 virgate of villein land in east downton which belonged to john brewe.</t>
        </is>
      </c>
      <c r="C225" t="n">
        <v>0.4</v>
      </c>
      <c r="D225" t="n">
        <v>0</v>
      </c>
      <c r="E225" t="n">
        <v>8</v>
      </c>
      <c r="F225" t="n">
        <v>0</v>
      </c>
      <c r="H225" t="n">
        <v>0</v>
      </c>
      <c r="I225" t="n">
        <v>0</v>
      </c>
      <c r="J225" t="n">
        <v>0</v>
      </c>
      <c r="K225" t="n">
        <v>0</v>
      </c>
      <c r="L225" t="n">
        <v>0</v>
      </c>
      <c r="M225" t="n">
        <v>0</v>
      </c>
      <c r="N225" t="n">
        <v>0</v>
      </c>
    </row>
    <row r="226">
      <c r="A226" t="inlineStr">
        <is>
          <t>issues from east downton</t>
        </is>
      </c>
      <c r="B226" t="inlineStr">
        <is>
          <t>7 shilling from 1 ferling of land there formerly of william tury.</t>
        </is>
      </c>
      <c r="C226" t="n">
        <v>0.35</v>
      </c>
      <c r="D226" t="n">
        <v>0</v>
      </c>
      <c r="E226" t="n">
        <v>7</v>
      </c>
      <c r="F226" t="n">
        <v>0</v>
      </c>
      <c r="H226" t="n">
        <v>0</v>
      </c>
      <c r="I226" t="n">
        <v>0</v>
      </c>
      <c r="J226" t="n">
        <v>0</v>
      </c>
      <c r="K226" t="n">
        <v>0</v>
      </c>
      <c r="L226" t="n">
        <v>0</v>
      </c>
      <c r="M226" t="n">
        <v>0</v>
      </c>
      <c r="N226" t="n">
        <v>0</v>
      </c>
    </row>
    <row r="227">
      <c r="A227" t="inlineStr">
        <is>
          <t>issues from east downton</t>
        </is>
      </c>
      <c r="B227" t="inlineStr">
        <is>
          <t>10 shilling from 1 ferling of land there formerly of john cooke.</t>
        </is>
      </c>
      <c r="C227" t="n">
        <v>0.5</v>
      </c>
      <c r="D227" t="n">
        <v>0</v>
      </c>
      <c r="E227" t="n">
        <v>10</v>
      </c>
      <c r="F227" t="n">
        <v>0</v>
      </c>
      <c r="H227" t="n">
        <v>0</v>
      </c>
      <c r="I227" t="n">
        <v>0</v>
      </c>
      <c r="J227" t="n">
        <v>0</v>
      </c>
      <c r="K227" t="n">
        <v>0</v>
      </c>
      <c r="L227" t="n">
        <v>0</v>
      </c>
      <c r="M227" t="n">
        <v>0</v>
      </c>
      <c r="N227" t="n">
        <v>0</v>
      </c>
    </row>
    <row r="228">
      <c r="A228" t="inlineStr">
        <is>
          <t>issues from east downton</t>
        </is>
      </c>
      <c r="B228" t="inlineStr">
        <is>
          <t>5 shilling from 1 ferling of land there formerly of john goudale.</t>
        </is>
      </c>
      <c r="C228" t="n">
        <v>0.25</v>
      </c>
      <c r="D228" t="n">
        <v>0</v>
      </c>
      <c r="E228" t="n">
        <v>5</v>
      </c>
      <c r="F228" t="n">
        <v>0</v>
      </c>
      <c r="H228" t="n">
        <v>0</v>
      </c>
      <c r="I228" t="n">
        <v>0</v>
      </c>
      <c r="J228" t="n">
        <v>0</v>
      </c>
      <c r="K228" t="n">
        <v>0</v>
      </c>
      <c r="L228" t="n">
        <v>0</v>
      </c>
      <c r="M228" t="n">
        <v>0</v>
      </c>
      <c r="N228" t="n">
        <v>0</v>
      </c>
    </row>
    <row r="229">
      <c r="A229" t="inlineStr">
        <is>
          <t>issues from east downton</t>
        </is>
      </c>
      <c r="B229" t="inlineStr">
        <is>
          <t>7 shilling from 1 ferling of land there formerly of john atte churche.</t>
        </is>
      </c>
      <c r="C229" t="n">
        <v>0.35</v>
      </c>
      <c r="D229" t="n">
        <v>0</v>
      </c>
      <c r="E229" t="n">
        <v>7</v>
      </c>
      <c r="F229" t="n">
        <v>0</v>
      </c>
      <c r="H229" t="n">
        <v>0</v>
      </c>
      <c r="I229" t="n">
        <v>0</v>
      </c>
      <c r="J229" t="n">
        <v>0</v>
      </c>
      <c r="K229" t="n">
        <v>0</v>
      </c>
      <c r="L229" t="n">
        <v>0</v>
      </c>
      <c r="M229" t="n">
        <v>0</v>
      </c>
      <c r="N229" t="n">
        <v>0</v>
      </c>
    </row>
    <row r="230">
      <c r="A230" t="inlineStr">
        <is>
          <t>issues from east downton</t>
        </is>
      </c>
      <c r="B230" t="inlineStr">
        <is>
          <t>2 shilling from i cottage there formerly of richard coulond.</t>
        </is>
      </c>
      <c r="C230" t="n">
        <v>0.1</v>
      </c>
      <c r="D230" t="n">
        <v>0</v>
      </c>
      <c r="E230" t="n">
        <v>2</v>
      </c>
      <c r="F230" t="n">
        <v>0</v>
      </c>
      <c r="H230" t="n">
        <v>0</v>
      </c>
      <c r="I230" t="n">
        <v>0</v>
      </c>
      <c r="J230" t="n">
        <v>0</v>
      </c>
      <c r="K230" t="n">
        <v>0</v>
      </c>
      <c r="L230" t="n">
        <v>0</v>
      </c>
      <c r="M230" t="n">
        <v>0</v>
      </c>
      <c r="N230" t="n">
        <v>0</v>
      </c>
    </row>
    <row r="231">
      <c r="A231" t="inlineStr">
        <is>
          <t>issues from east downton</t>
        </is>
      </c>
      <c r="B231" t="inlineStr">
        <is>
          <t>4 shilling from 1 cottage of villein land, 1 acre and 3 roods of bordage land there formerly of luke thurbarn'.</t>
        </is>
      </c>
      <c r="C231" t="n">
        <v>0.2</v>
      </c>
      <c r="D231" t="n">
        <v>0</v>
      </c>
      <c r="E231" t="n">
        <v>4</v>
      </c>
      <c r="F231" t="n">
        <v>0</v>
      </c>
      <c r="H231" t="n">
        <v>0</v>
      </c>
      <c r="I231" t="n">
        <v>0</v>
      </c>
      <c r="J231" t="n">
        <v>0</v>
      </c>
      <c r="K231" t="n">
        <v>0</v>
      </c>
      <c r="L231" t="n">
        <v>0</v>
      </c>
      <c r="M231" t="n">
        <v>0</v>
      </c>
      <c r="N231" t="n">
        <v>0</v>
      </c>
    </row>
    <row r="232">
      <c r="A232" t="inlineStr">
        <is>
          <t>issues from east downton</t>
        </is>
      </c>
      <c r="B232" t="inlineStr">
        <is>
          <t>6pence from 1 cottage there formerly of john keppyng'.</t>
        </is>
      </c>
      <c r="C232" t="n">
        <v>0.03</v>
      </c>
      <c r="D232" t="n">
        <v>0</v>
      </c>
      <c r="E232" t="n">
        <v>0</v>
      </c>
      <c r="F232" t="n">
        <v>6</v>
      </c>
      <c r="H232" t="n">
        <v>0</v>
      </c>
      <c r="I232" t="n">
        <v>0</v>
      </c>
      <c r="J232" t="n">
        <v>0</v>
      </c>
      <c r="K232" t="n">
        <v>0</v>
      </c>
      <c r="L232" t="n">
        <v>0</v>
      </c>
      <c r="M232" t="n">
        <v>0</v>
      </c>
      <c r="N232" t="n">
        <v>0</v>
      </c>
    </row>
    <row r="233">
      <c r="A233" t="inlineStr">
        <is>
          <t>issues from east downton</t>
        </is>
      </c>
      <c r="B233" t="inlineStr">
        <is>
          <t>1 shilling from 1 cottage there formerly of nicholas kenete.</t>
        </is>
      </c>
      <c r="C233" t="n">
        <v>0.05</v>
      </c>
      <c r="D233" t="n">
        <v>0</v>
      </c>
      <c r="E233" t="n">
        <v>1</v>
      </c>
      <c r="F233" t="n">
        <v>0</v>
      </c>
      <c r="H233" t="n">
        <v>0</v>
      </c>
      <c r="I233" t="n">
        <v>0</v>
      </c>
      <c r="J233" t="n">
        <v>0</v>
      </c>
      <c r="K233" t="n">
        <v>0</v>
      </c>
      <c r="L233" t="n">
        <v>0</v>
      </c>
      <c r="M233" t="n">
        <v>0</v>
      </c>
      <c r="N233" t="n">
        <v>0</v>
      </c>
    </row>
    <row r="234">
      <c r="A234" t="inlineStr">
        <is>
          <t>issues from east downton</t>
        </is>
      </c>
      <c r="B234" t="inlineStr">
        <is>
          <t>2 shilling from 1 cottage there formerly of john mulward'.</t>
        </is>
      </c>
      <c r="C234" t="n">
        <v>0.1</v>
      </c>
      <c r="D234" t="n">
        <v>0</v>
      </c>
      <c r="E234" t="n">
        <v>2</v>
      </c>
      <c r="F234" t="n">
        <v>0</v>
      </c>
      <c r="H234" t="n">
        <v>0</v>
      </c>
      <c r="I234" t="n">
        <v>0</v>
      </c>
      <c r="J234" t="n">
        <v>0</v>
      </c>
      <c r="K234" t="n">
        <v>0</v>
      </c>
      <c r="L234" t="n">
        <v>0</v>
      </c>
      <c r="M234" t="n">
        <v>0</v>
      </c>
      <c r="N234" t="n">
        <v>0</v>
      </c>
    </row>
    <row r="235">
      <c r="A235" t="inlineStr">
        <is>
          <t>issues from east downton</t>
        </is>
      </c>
      <c r="B235" t="inlineStr">
        <is>
          <t>£1 from 1 croft called patcombe.</t>
        </is>
      </c>
      <c r="C235" t="n">
        <v>1</v>
      </c>
      <c r="D235" t="n">
        <v>1</v>
      </c>
      <c r="E235" t="n">
        <v>0</v>
      </c>
      <c r="F235" t="n">
        <v>0</v>
      </c>
      <c r="H235" t="n">
        <v>0</v>
      </c>
      <c r="I235" t="n">
        <v>0</v>
      </c>
      <c r="J235" t="n">
        <v>0</v>
      </c>
      <c r="K235" t="n">
        <v>0</v>
      </c>
      <c r="L235" t="n">
        <v>0</v>
      </c>
      <c r="M235" t="n">
        <v>0</v>
      </c>
      <c r="N235" t="n">
        <v>0</v>
      </c>
    </row>
    <row r="236">
      <c r="A236" t="inlineStr">
        <is>
          <t>issues from east downton</t>
        </is>
      </c>
      <c r="B236" t="inlineStr">
        <is>
          <t>13 shilling 9.5pence from 17 acres and 1 rood of bordage land there formerly of ralph collys.</t>
        </is>
      </c>
      <c r="C236" t="n">
        <v>0.6899999999999999</v>
      </c>
      <c r="D236" t="n">
        <v>0</v>
      </c>
      <c r="E236" t="n">
        <v>13</v>
      </c>
      <c r="F236" t="n">
        <v>9.5</v>
      </c>
      <c r="H236" t="n">
        <v>0</v>
      </c>
      <c r="I236" t="n">
        <v>0</v>
      </c>
      <c r="J236" t="n">
        <v>0</v>
      </c>
      <c r="K236" t="n">
        <v>0</v>
      </c>
      <c r="L236" t="n">
        <v>0</v>
      </c>
      <c r="M236" t="n">
        <v>0</v>
      </c>
      <c r="N236" t="n">
        <v>0</v>
      </c>
    </row>
    <row r="237">
      <c r="A237" t="inlineStr">
        <is>
          <t>issues from east downton</t>
        </is>
      </c>
      <c r="B237" t="inlineStr">
        <is>
          <t>13 shilling 4pence from the pasture called berehulle there formerly of thomas de boukelond'.</t>
        </is>
      </c>
      <c r="C237" t="n">
        <v>0.67</v>
      </c>
      <c r="D237" t="n">
        <v>0</v>
      </c>
      <c r="E237" t="n">
        <v>13</v>
      </c>
      <c r="F237" t="n">
        <v>4</v>
      </c>
      <c r="H237" t="n">
        <v>0</v>
      </c>
      <c r="I237" t="n">
        <v>0</v>
      </c>
      <c r="J237" t="n">
        <v>0</v>
      </c>
      <c r="K237" t="n">
        <v>0</v>
      </c>
      <c r="L237" t="n">
        <v>0</v>
      </c>
      <c r="M237" t="n">
        <v>0</v>
      </c>
      <c r="N237" t="n">
        <v>0</v>
      </c>
    </row>
    <row r="238">
      <c r="A238" t="inlineStr">
        <is>
          <t>issues from east downton</t>
        </is>
      </c>
      <c r="B238" t="inlineStr">
        <is>
          <t>£1 11 shilling 10.5pence from the holding formerly of john poole there.</t>
        </is>
      </c>
      <c r="C238" t="n">
        <v>1.59</v>
      </c>
      <c r="D238" t="n">
        <v>1</v>
      </c>
      <c r="E238" t="n">
        <v>11</v>
      </c>
      <c r="F238" t="n">
        <v>10.5</v>
      </c>
      <c r="H238" t="n">
        <v>0</v>
      </c>
      <c r="I238" t="n">
        <v>0</v>
      </c>
      <c r="J238" t="n">
        <v>0</v>
      </c>
      <c r="K238" t="n">
        <v>0</v>
      </c>
      <c r="L238" t="n">
        <v>0</v>
      </c>
      <c r="M238" t="n">
        <v>0</v>
      </c>
      <c r="N238" t="n">
        <v>0</v>
      </c>
    </row>
    <row r="239">
      <c r="A239" t="inlineStr">
        <is>
          <t>issues from east downton</t>
        </is>
      </c>
      <c r="B239" t="inlineStr">
        <is>
          <t>1 shilling from 1 acre of bordage land there formerly of john pynnok.</t>
        </is>
      </c>
      <c r="C239" t="n">
        <v>0.05</v>
      </c>
      <c r="D239" t="n">
        <v>0</v>
      </c>
      <c r="E239" t="n">
        <v>1</v>
      </c>
      <c r="F239" t="n">
        <v>0</v>
      </c>
      <c r="H239" t="n">
        <v>0</v>
      </c>
      <c r="I239" t="n">
        <v>0</v>
      </c>
      <c r="J239" t="n">
        <v>0</v>
      </c>
      <c r="K239" t="n">
        <v>0</v>
      </c>
      <c r="L239" t="n">
        <v>0</v>
      </c>
      <c r="M239" t="n">
        <v>0</v>
      </c>
      <c r="N239" t="n">
        <v>0</v>
      </c>
    </row>
    <row r="240">
      <c r="A240" t="inlineStr">
        <is>
          <t>issues from east downton</t>
        </is>
      </c>
      <c r="B240" t="inlineStr">
        <is>
          <t>nothing from 1 cottage there formerly of christine gomot' from a want of buyers.</t>
        </is>
      </c>
      <c r="C240" t="n">
        <v>0</v>
      </c>
      <c r="D240" t="n">
        <v>0</v>
      </c>
      <c r="E240" t="n">
        <v>0</v>
      </c>
      <c r="F240" t="n">
        <v>0</v>
      </c>
      <c r="H240" t="n">
        <v>0</v>
      </c>
      <c r="I240" t="n">
        <v>0</v>
      </c>
      <c r="J240" t="n">
        <v>0</v>
      </c>
      <c r="K240" t="n">
        <v>0</v>
      </c>
      <c r="L240" t="n">
        <v>0</v>
      </c>
      <c r="M240" t="n">
        <v>0</v>
      </c>
      <c r="N240" t="n">
        <v>0</v>
      </c>
    </row>
    <row r="241">
      <c r="A241" t="inlineStr">
        <is>
          <t>issues from east downton</t>
        </is>
      </c>
      <c r="B241" t="inlineStr">
        <is>
          <t>10pence from 1 acre of bordage land there formerly of john preest.</t>
        </is>
      </c>
      <c r="C241" t="n">
        <v>0.04</v>
      </c>
      <c r="D241" t="n">
        <v>0</v>
      </c>
      <c r="E241" t="n">
        <v>0</v>
      </c>
      <c r="F241" t="n">
        <v>10</v>
      </c>
      <c r="H241" t="n">
        <v>0</v>
      </c>
      <c r="I241" t="n">
        <v>0</v>
      </c>
      <c r="J241" t="n">
        <v>0</v>
      </c>
      <c r="K241" t="n">
        <v>0</v>
      </c>
      <c r="L241" t="n">
        <v>0</v>
      </c>
      <c r="M241" t="n">
        <v>0</v>
      </c>
      <c r="N241" t="n">
        <v>0</v>
      </c>
    </row>
    <row r="242">
      <c r="A242" t="inlineStr">
        <is>
          <t>issues from east downton</t>
        </is>
      </c>
      <c r="B242" t="inlineStr">
        <is>
          <t>5pence from .5 acre of bordage land there formerly of gervase carpenter'.</t>
        </is>
      </c>
      <c r="C242" t="n">
        <v>0.02</v>
      </c>
      <c r="D242" t="n">
        <v>0</v>
      </c>
      <c r="E242" t="n">
        <v>0</v>
      </c>
      <c r="F242" t="n">
        <v>5</v>
      </c>
      <c r="H242" t="n">
        <v>0</v>
      </c>
      <c r="I242" t="n">
        <v>0</v>
      </c>
      <c r="J242" t="n">
        <v>0</v>
      </c>
      <c r="K242" t="n">
        <v>0</v>
      </c>
      <c r="L242" t="n">
        <v>0</v>
      </c>
      <c r="M242" t="n">
        <v>0</v>
      </c>
      <c r="N242" t="n">
        <v>0</v>
      </c>
    </row>
    <row r="243">
      <c r="A243" t="inlineStr">
        <is>
          <t>issues from east downton</t>
        </is>
      </c>
      <c r="B243" t="inlineStr">
        <is>
          <t>1 shilling 4pence from 3 acres of bordage land there formerly of john preest.'.</t>
        </is>
      </c>
      <c r="C243" t="n">
        <v>0.07000000000000001</v>
      </c>
      <c r="D243" t="n">
        <v>0</v>
      </c>
      <c r="E243" t="n">
        <v>1</v>
      </c>
      <c r="F243" t="n">
        <v>4</v>
      </c>
      <c r="H243" t="n">
        <v>0</v>
      </c>
      <c r="I243" t="n">
        <v>0</v>
      </c>
      <c r="J243" t="n">
        <v>0</v>
      </c>
      <c r="K243" t="n">
        <v>0</v>
      </c>
      <c r="L243" t="n">
        <v>0</v>
      </c>
      <c r="M243" t="n">
        <v>0</v>
      </c>
      <c r="N243" t="n">
        <v>0</v>
      </c>
    </row>
    <row r="244">
      <c r="A244" t="inlineStr">
        <is>
          <t>issues from barford</t>
        </is>
      </c>
      <c r="B244" t="inlineStr">
        <is>
          <t>and for 6 shilling from the issue of .5 virgate of land which belonged to walter covyre in barford for the year, demised by the bailiff.</t>
        </is>
      </c>
      <c r="C244" t="n">
        <v>0.3</v>
      </c>
      <c r="D244" t="n">
        <v>0</v>
      </c>
      <c r="E244" t="n">
        <v>6</v>
      </c>
      <c r="F244" t="n">
        <v>0</v>
      </c>
      <c r="H244" t="n">
        <v>0</v>
      </c>
      <c r="I244" t="n">
        <v>0</v>
      </c>
      <c r="J244" t="n">
        <v>0</v>
      </c>
      <c r="K244" t="n">
        <v>0</v>
      </c>
      <c r="L244" t="n">
        <v>0</v>
      </c>
      <c r="M244" t="n">
        <v>0</v>
      </c>
      <c r="N244" t="n">
        <v>0</v>
      </c>
    </row>
    <row r="245">
      <c r="A245" t="inlineStr">
        <is>
          <t>issues from barford</t>
        </is>
      </c>
      <c r="B245" t="inlineStr">
        <is>
          <t>8 shilling from 1 ferling of land there which belonged to john wythewelle.</t>
        </is>
      </c>
      <c r="C245" t="n">
        <v>0.4</v>
      </c>
      <c r="D245" t="n">
        <v>0</v>
      </c>
      <c r="E245" t="n">
        <v>8</v>
      </c>
      <c r="F245" t="n">
        <v>0</v>
      </c>
      <c r="H245" t="n">
        <v>0</v>
      </c>
      <c r="I245" t="n">
        <v>0</v>
      </c>
      <c r="J245" t="n">
        <v>0</v>
      </c>
      <c r="K245" t="n">
        <v>0</v>
      </c>
      <c r="L245" t="n">
        <v>0</v>
      </c>
      <c r="M245" t="n">
        <v>0</v>
      </c>
      <c r="N245" t="n">
        <v>0</v>
      </c>
    </row>
    <row r="246">
      <c r="A246" t="inlineStr">
        <is>
          <t>issues from barford</t>
        </is>
      </c>
      <c r="B246" t="inlineStr">
        <is>
          <t>3 shilling 4pence from 1 ferling of land there formerly of john trewe.</t>
        </is>
      </c>
      <c r="C246" t="n">
        <v>0.17</v>
      </c>
      <c r="D246" t="n">
        <v>0</v>
      </c>
      <c r="E246" t="n">
        <v>3</v>
      </c>
      <c r="F246" t="n">
        <v>4</v>
      </c>
      <c r="H246" t="n">
        <v>0</v>
      </c>
      <c r="I246" t="n">
        <v>0</v>
      </c>
      <c r="J246" t="n">
        <v>0</v>
      </c>
      <c r="K246" t="n">
        <v>0</v>
      </c>
      <c r="L246" t="n">
        <v>0</v>
      </c>
      <c r="M246" t="n">
        <v>0</v>
      </c>
      <c r="N246" t="n">
        <v>0</v>
      </c>
    </row>
    <row r="247">
      <c r="A247" t="inlineStr">
        <is>
          <t>issues from nunton</t>
        </is>
      </c>
      <c r="B247" t="inlineStr">
        <is>
          <t>and for 5 shilling from the issue of 1 virgate2 of land in nunton which belonged to william coupere.</t>
        </is>
      </c>
      <c r="C247" t="n">
        <v>0.25</v>
      </c>
      <c r="D247" t="n">
        <v>0</v>
      </c>
      <c r="E247" t="n">
        <v>5</v>
      </c>
      <c r="F247" t="n">
        <v>0</v>
      </c>
      <c r="H247" t="n">
        <v>0</v>
      </c>
      <c r="I247" t="n">
        <v>0</v>
      </c>
      <c r="J247" t="n">
        <v>0</v>
      </c>
      <c r="K247" t="n">
        <v>0</v>
      </c>
      <c r="L247" t="n">
        <v>0</v>
      </c>
      <c r="M247" t="n">
        <v>0</v>
      </c>
      <c r="N247" t="n">
        <v>0</v>
      </c>
    </row>
    <row r="248">
      <c r="A248" t="inlineStr">
        <is>
          <t>issues from nunton</t>
        </is>
      </c>
      <c r="B248" t="inlineStr">
        <is>
          <t>3 shilling from .5  virgate of villein land there which belonged to john roddok'.</t>
        </is>
      </c>
      <c r="C248" t="n">
        <v>0.15</v>
      </c>
      <c r="D248" t="n">
        <v>0</v>
      </c>
      <c r="E248" t="n">
        <v>3</v>
      </c>
      <c r="F248" t="n">
        <v>0</v>
      </c>
      <c r="H248" t="n">
        <v>0</v>
      </c>
      <c r="I248" t="n">
        <v>0</v>
      </c>
      <c r="J248" t="n">
        <v>0</v>
      </c>
      <c r="K248" t="n">
        <v>0</v>
      </c>
      <c r="L248" t="n">
        <v>0</v>
      </c>
      <c r="M248" t="n">
        <v>0</v>
      </c>
      <c r="N248" t="n">
        <v>0</v>
      </c>
    </row>
    <row r="249">
      <c r="A249" t="inlineStr">
        <is>
          <t>issues from nunton</t>
        </is>
      </c>
      <c r="B249" t="inlineStr">
        <is>
          <t>8 shilling from' virgate of villein land there which belonged to laurence free.</t>
        </is>
      </c>
      <c r="C249" t="n">
        <v>0.4</v>
      </c>
      <c r="D249" t="n">
        <v>0</v>
      </c>
      <c r="E249" t="n">
        <v>8</v>
      </c>
      <c r="F249" t="n">
        <v>0</v>
      </c>
      <c r="H249" t="n">
        <v>0</v>
      </c>
      <c r="I249" t="n">
        <v>0</v>
      </c>
      <c r="J249" t="n">
        <v>0</v>
      </c>
      <c r="K249" t="n">
        <v>0</v>
      </c>
      <c r="L249" t="n">
        <v>0</v>
      </c>
      <c r="M249" t="n">
        <v>0</v>
      </c>
      <c r="N249" t="n">
        <v>0</v>
      </c>
    </row>
    <row r="250">
      <c r="A250" t="inlineStr">
        <is>
          <t>issues from nunton</t>
        </is>
      </c>
      <c r="B250" t="inlineStr">
        <is>
          <t>3 shilling 6pence from 1 ferling of villein land there which belonged to william wythie.</t>
        </is>
      </c>
      <c r="C250" t="n">
        <v>0.17</v>
      </c>
      <c r="D250" t="n">
        <v>0</v>
      </c>
      <c r="E250" t="n">
        <v>3</v>
      </c>
      <c r="F250" t="n">
        <v>6</v>
      </c>
      <c r="H250" t="n">
        <v>0</v>
      </c>
      <c r="I250" t="n">
        <v>0</v>
      </c>
      <c r="J250" t="n">
        <v>0</v>
      </c>
      <c r="K250" t="n">
        <v>0</v>
      </c>
      <c r="L250" t="n">
        <v>0</v>
      </c>
      <c r="M250" t="n">
        <v>0</v>
      </c>
      <c r="N250" t="n">
        <v>0</v>
      </c>
    </row>
    <row r="251">
      <c r="A251" t="inlineStr">
        <is>
          <t>issues from nunton</t>
        </is>
      </c>
      <c r="B251" t="inlineStr">
        <is>
          <t>5 shilling from 1 ferling of land there which belonged to nicholas keente.</t>
        </is>
      </c>
      <c r="C251" t="n">
        <v>0.25</v>
      </c>
      <c r="D251" t="n">
        <v>0</v>
      </c>
      <c r="E251" t="n">
        <v>5</v>
      </c>
      <c r="F251" t="n">
        <v>0</v>
      </c>
      <c r="H251" t="n">
        <v>0</v>
      </c>
      <c r="I251" t="n">
        <v>0</v>
      </c>
      <c r="J251" t="n">
        <v>0</v>
      </c>
      <c r="K251" t="n">
        <v>0</v>
      </c>
      <c r="L251" t="n">
        <v>0</v>
      </c>
      <c r="M251" t="n">
        <v>0</v>
      </c>
      <c r="N251" t="n">
        <v>0</v>
      </c>
    </row>
    <row r="252">
      <c r="A252" t="inlineStr">
        <is>
          <t>issues from nunton</t>
        </is>
      </c>
      <c r="B252" t="inlineStr">
        <is>
          <t>12 shilling from 1 ferling of villein land and 1 acre 3 roods of bordage land there which belonged to john atte welle.</t>
        </is>
      </c>
      <c r="C252" t="n">
        <v>0.6</v>
      </c>
      <c r="D252" t="n">
        <v>0</v>
      </c>
      <c r="E252" t="n">
        <v>12</v>
      </c>
      <c r="F252" t="n">
        <v>0</v>
      </c>
      <c r="H252" t="n">
        <v>0</v>
      </c>
      <c r="I252" t="n">
        <v>0</v>
      </c>
      <c r="J252" t="n">
        <v>0</v>
      </c>
      <c r="K252" t="n">
        <v>0</v>
      </c>
      <c r="L252" t="n">
        <v>0</v>
      </c>
      <c r="M252" t="n">
        <v>0</v>
      </c>
      <c r="N252" t="n">
        <v>0</v>
      </c>
    </row>
    <row r="253">
      <c r="A253" t="inlineStr">
        <is>
          <t>issues from nunton</t>
        </is>
      </c>
      <c r="B253" t="inlineStr">
        <is>
          <t>5 shilling from 1 ferling of villein land and 1 acre of bordage land there which belonged to john slopere.</t>
        </is>
      </c>
      <c r="C253" t="n">
        <v>0.25</v>
      </c>
      <c r="D253" t="n">
        <v>0</v>
      </c>
      <c r="E253" t="n">
        <v>5</v>
      </c>
      <c r="F253" t="n">
        <v>0</v>
      </c>
      <c r="H253" t="n">
        <v>0</v>
      </c>
      <c r="I253" t="n">
        <v>0</v>
      </c>
      <c r="J253" t="n">
        <v>0</v>
      </c>
      <c r="K253" t="n">
        <v>0</v>
      </c>
      <c r="L253" t="n">
        <v>0</v>
      </c>
      <c r="M253" t="n">
        <v>0</v>
      </c>
      <c r="N253" t="n">
        <v>0</v>
      </c>
    </row>
    <row r="254">
      <c r="A254" t="inlineStr">
        <is>
          <t>issues from nunton</t>
        </is>
      </c>
      <c r="B254" t="inlineStr">
        <is>
          <t>3 shilling 4pence from 1 ferling of land there which belonged to william bras3eters.</t>
        </is>
      </c>
      <c r="C254" t="n">
        <v>0.17</v>
      </c>
      <c r="D254" t="n">
        <v>0</v>
      </c>
      <c r="E254" t="n">
        <v>3</v>
      </c>
      <c r="F254" t="n">
        <v>4</v>
      </c>
      <c r="H254" t="n">
        <v>0</v>
      </c>
      <c r="I254" t="n">
        <v>0</v>
      </c>
      <c r="J254" t="n">
        <v>0</v>
      </c>
      <c r="K254" t="n">
        <v>0</v>
      </c>
      <c r="L254" t="n">
        <v>0</v>
      </c>
      <c r="M254" t="n">
        <v>0</v>
      </c>
      <c r="N254" t="n">
        <v>0</v>
      </c>
    </row>
    <row r="255">
      <c r="A255" t="inlineStr">
        <is>
          <t>issues from nunton</t>
        </is>
      </c>
      <c r="B255" t="inlineStr">
        <is>
          <t>1 shilling 4pence from 1 cottage there which belonged to john fre.</t>
        </is>
      </c>
      <c r="C255" t="n">
        <v>0.07000000000000001</v>
      </c>
      <c r="D255" t="n">
        <v>0</v>
      </c>
      <c r="E255" t="n">
        <v>1</v>
      </c>
      <c r="F255" t="n">
        <v>4</v>
      </c>
      <c r="H255" t="n">
        <v>0</v>
      </c>
      <c r="I255" t="n">
        <v>0</v>
      </c>
      <c r="J255" t="n">
        <v>0</v>
      </c>
      <c r="K255" t="n">
        <v>0</v>
      </c>
      <c r="L255" t="n">
        <v>0</v>
      </c>
      <c r="M255" t="n">
        <v>0</v>
      </c>
      <c r="N255" t="n">
        <v>0</v>
      </c>
    </row>
    <row r="256">
      <c r="A256" t="inlineStr">
        <is>
          <t>issues from nunton</t>
        </is>
      </c>
      <c r="B256" t="inlineStr">
        <is>
          <t>total, £23 5 shilling 9pence.</t>
        </is>
      </c>
      <c r="C256" t="n">
        <v>23.29</v>
      </c>
      <c r="D256" t="n">
        <v>23</v>
      </c>
      <c r="E256" t="n">
        <v>5</v>
      </c>
      <c r="F256" t="n">
        <v>9</v>
      </c>
      <c r="H256" t="n">
        <v>0</v>
      </c>
      <c r="I256" t="n">
        <v>0</v>
      </c>
      <c r="J256" t="n">
        <v>0</v>
      </c>
      <c r="K256" t="n">
        <v>0</v>
      </c>
      <c r="L256" t="n">
        <v>0</v>
      </c>
      <c r="M256" t="n">
        <v>0</v>
      </c>
      <c r="N256" t="n">
        <v>0</v>
      </c>
    </row>
    <row r="257">
      <c r="A257" t="inlineStr">
        <is>
          <t>sale of pasture</t>
        </is>
      </c>
      <c r="B257" t="inlineStr">
        <is>
          <t>and for 13 shilling 4pence from the pasturage in the park for the year.</t>
        </is>
      </c>
      <c r="C257" t="n">
        <v>0.67</v>
      </c>
      <c r="D257" t="n">
        <v>0</v>
      </c>
      <c r="E257" t="n">
        <v>13</v>
      </c>
      <c r="F257" t="n">
        <v>4</v>
      </c>
      <c r="H257" t="n">
        <v>0</v>
      </c>
      <c r="I257" t="n">
        <v>0</v>
      </c>
      <c r="J257" t="n">
        <v>0</v>
      </c>
      <c r="K257" t="n">
        <v>0</v>
      </c>
      <c r="L257" t="n">
        <v>0</v>
      </c>
      <c r="M257" t="n">
        <v>0</v>
      </c>
      <c r="N257" t="n">
        <v>0</v>
      </c>
    </row>
    <row r="258">
      <c r="A258" t="inlineStr">
        <is>
          <t>sale of pasture</t>
        </is>
      </c>
      <c r="B258" t="inlineStr">
        <is>
          <t>nothing from the pasturage in melkehulle and tymberhulle because it is demised for a fixed rent.</t>
        </is>
      </c>
      <c r="C258" t="n">
        <v>0</v>
      </c>
      <c r="D258" t="n">
        <v>0</v>
      </c>
      <c r="E258" t="n">
        <v>0</v>
      </c>
      <c r="F258" t="n">
        <v>0</v>
      </c>
      <c r="H258" t="n">
        <v>0</v>
      </c>
      <c r="I258" t="n">
        <v>0</v>
      </c>
      <c r="J258" t="n">
        <v>0</v>
      </c>
      <c r="K258" t="n">
        <v>0</v>
      </c>
      <c r="L258" t="n">
        <v>0</v>
      </c>
      <c r="M258" t="n">
        <v>0</v>
      </c>
      <c r="N258" t="n">
        <v>0</v>
      </c>
    </row>
    <row r="259">
      <c r="A259" t="inlineStr">
        <is>
          <t>sale of pasture</t>
        </is>
      </c>
      <c r="B259" t="inlineStr">
        <is>
          <t>nothing from winter pasturage in cowyke this year.</t>
        </is>
      </c>
      <c r="C259" t="n">
        <v>0</v>
      </c>
      <c r="D259" t="n">
        <v>0</v>
      </c>
      <c r="E259" t="n">
        <v>0</v>
      </c>
      <c r="F259" t="n">
        <v>0</v>
      </c>
      <c r="H259" t="n">
        <v>0</v>
      </c>
      <c r="I259" t="n">
        <v>0</v>
      </c>
      <c r="J259" t="n">
        <v>0</v>
      </c>
      <c r="K259" t="n">
        <v>0</v>
      </c>
      <c r="L259" t="n">
        <v>0</v>
      </c>
      <c r="M259" t="n">
        <v>0</v>
      </c>
      <c r="N259" t="n">
        <v>0</v>
      </c>
    </row>
    <row r="260">
      <c r="A260" t="inlineStr">
        <is>
          <t>sale of pasture</t>
        </is>
      </c>
      <c r="B260" t="inlineStr">
        <is>
          <t>nothing from winter pasturage in the field of witherington because it is demised for a fixed rent.</t>
        </is>
      </c>
      <c r="C260" t="n">
        <v>0</v>
      </c>
      <c r="D260" t="n">
        <v>0</v>
      </c>
      <c r="E260" t="n">
        <v>0</v>
      </c>
      <c r="F260" t="n">
        <v>0</v>
      </c>
      <c r="H260" t="n">
        <v>0</v>
      </c>
      <c r="I260" t="n">
        <v>0</v>
      </c>
      <c r="J260" t="n">
        <v>0</v>
      </c>
      <c r="K260" t="n">
        <v>0</v>
      </c>
      <c r="L260" t="n">
        <v>0</v>
      </c>
      <c r="M260" t="n">
        <v>0</v>
      </c>
      <c r="N260" t="n">
        <v>0</v>
      </c>
    </row>
    <row r="261">
      <c r="A261" t="inlineStr">
        <is>
          <t>sale of pasture</t>
        </is>
      </c>
      <c r="B261" t="inlineStr">
        <is>
          <t>nothing from the pasturage in le groton' for the lord's sheep.</t>
        </is>
      </c>
      <c r="C261" t="n">
        <v>0</v>
      </c>
      <c r="D261" t="n">
        <v>0</v>
      </c>
      <c r="E261" t="n">
        <v>0</v>
      </c>
      <c r="F261" t="n">
        <v>0</v>
      </c>
      <c r="H261" t="n">
        <v>0</v>
      </c>
      <c r="I261" t="n">
        <v>0</v>
      </c>
      <c r="J261" t="n">
        <v>0</v>
      </c>
      <c r="K261" t="n">
        <v>0</v>
      </c>
      <c r="L261" t="n">
        <v>0</v>
      </c>
      <c r="M261" t="n">
        <v>0</v>
      </c>
      <c r="N261" t="n">
        <v>0</v>
      </c>
    </row>
    <row r="262">
      <c r="A262" t="inlineStr">
        <is>
          <t>sale of pasture</t>
        </is>
      </c>
      <c r="B262" t="inlineStr">
        <is>
          <t>nothing from winter pasturage in redmede this year for the lord's cattle and sheep.</t>
        </is>
      </c>
      <c r="C262" t="n">
        <v>0</v>
      </c>
      <c r="D262" t="n">
        <v>0</v>
      </c>
      <c r="E262" t="n">
        <v>0</v>
      </c>
      <c r="F262" t="n">
        <v>0</v>
      </c>
      <c r="H262" t="n">
        <v>0</v>
      </c>
      <c r="I262" t="n">
        <v>0</v>
      </c>
      <c r="J262" t="n">
        <v>0</v>
      </c>
      <c r="K262" t="n">
        <v>0</v>
      </c>
      <c r="L262" t="n">
        <v>0</v>
      </c>
      <c r="M262" t="n">
        <v>0</v>
      </c>
      <c r="N262" t="n">
        <v>0</v>
      </c>
    </row>
    <row r="263">
      <c r="A263" t="inlineStr">
        <is>
          <t>sale of pasture</t>
        </is>
      </c>
      <c r="B263" t="inlineStr">
        <is>
          <t>nothing from winter pasturage in the moat this year.</t>
        </is>
      </c>
      <c r="C263" t="n">
        <v>0</v>
      </c>
      <c r="D263" t="n">
        <v>0</v>
      </c>
      <c r="E263" t="n">
        <v>0</v>
      </c>
      <c r="F263" t="n">
        <v>0</v>
      </c>
      <c r="H263" t="n">
        <v>0</v>
      </c>
      <c r="I263" t="n">
        <v>0</v>
      </c>
      <c r="J263" t="n">
        <v>0</v>
      </c>
      <c r="K263" t="n">
        <v>0</v>
      </c>
      <c r="L263" t="n">
        <v>0</v>
      </c>
      <c r="M263" t="n">
        <v>0</v>
      </c>
      <c r="N263" t="n">
        <v>0</v>
      </c>
    </row>
    <row r="264">
      <c r="A264" t="inlineStr">
        <is>
          <t>sale of pasture</t>
        </is>
      </c>
      <c r="B264" t="inlineStr">
        <is>
          <t>8 shilling from winter pasturage in the meadow of witherington this year.</t>
        </is>
      </c>
      <c r="C264" t="n">
        <v>0.4</v>
      </c>
      <c r="D264" t="n">
        <v>0</v>
      </c>
      <c r="E264" t="n">
        <v>8</v>
      </c>
      <c r="F264" t="n">
        <v>0</v>
      </c>
      <c r="H264" t="n">
        <v>0</v>
      </c>
      <c r="I264" t="n">
        <v>0</v>
      </c>
      <c r="J264" t="n">
        <v>0</v>
      </c>
      <c r="K264" t="n">
        <v>0</v>
      </c>
      <c r="L264" t="n">
        <v>0</v>
      </c>
      <c r="M264" t="n">
        <v>0</v>
      </c>
      <c r="N264" t="n">
        <v>0</v>
      </c>
    </row>
    <row r="265">
      <c r="A265" t="inlineStr">
        <is>
          <t>sale of pasture</t>
        </is>
      </c>
      <c r="B265" t="inlineStr">
        <is>
          <t>6 shilling from winter pasturage on the hill of witherington.</t>
        </is>
      </c>
      <c r="C265" t="n">
        <v>0.3</v>
      </c>
      <c r="D265" t="n">
        <v>0</v>
      </c>
      <c r="E265" t="n">
        <v>6</v>
      </c>
      <c r="F265" t="n">
        <v>0</v>
      </c>
      <c r="H265" t="n">
        <v>0</v>
      </c>
      <c r="I265" t="n">
        <v>0</v>
      </c>
      <c r="J265" t="n">
        <v>0</v>
      </c>
      <c r="K265" t="n">
        <v>0</v>
      </c>
      <c r="L265" t="n">
        <v>0</v>
      </c>
      <c r="M265" t="n">
        <v>0</v>
      </c>
      <c r="N265" t="n">
        <v>0</v>
      </c>
    </row>
    <row r="266">
      <c r="A266" t="inlineStr">
        <is>
          <t>sale of pasture</t>
        </is>
      </c>
      <c r="B266" t="inlineStr">
        <is>
          <t>15 shilling 8pence from summer pasturage in loosehanger this year and not more from a want of buyers.</t>
        </is>
      </c>
      <c r="C266" t="n">
        <v>0.78</v>
      </c>
      <c r="D266" t="n">
        <v>0</v>
      </c>
      <c r="E266" t="n">
        <v>15</v>
      </c>
      <c r="F266" t="n">
        <v>8</v>
      </c>
      <c r="H266" t="n">
        <v>0</v>
      </c>
      <c r="I266" t="n">
        <v>0</v>
      </c>
      <c r="J266" t="n">
        <v>0</v>
      </c>
      <c r="K266" t="n">
        <v>0</v>
      </c>
      <c r="L266" t="n">
        <v>0</v>
      </c>
      <c r="M266" t="n">
        <v>0</v>
      </c>
      <c r="N266" t="n">
        <v>0</v>
      </c>
    </row>
    <row r="267">
      <c r="A267" t="inlineStr">
        <is>
          <t>sale of pasture</t>
        </is>
      </c>
      <c r="B267" t="inlineStr">
        <is>
          <t>nothing from summer pasturage in grendon' this year for the lord's sheep.</t>
        </is>
      </c>
      <c r="C267" t="n">
        <v>0</v>
      </c>
      <c r="D267" t="n">
        <v>0</v>
      </c>
      <c r="E267" t="n">
        <v>0</v>
      </c>
      <c r="F267" t="n">
        <v>0</v>
      </c>
      <c r="H267" t="n">
        <v>0</v>
      </c>
      <c r="I267" t="n">
        <v>0</v>
      </c>
      <c r="J267" t="n">
        <v>0</v>
      </c>
      <c r="K267" t="n">
        <v>0</v>
      </c>
      <c r="L267" t="n">
        <v>0</v>
      </c>
      <c r="M267" t="n">
        <v>0</v>
      </c>
      <c r="N267" t="n">
        <v>0</v>
      </c>
    </row>
    <row r="268">
      <c r="A268" t="inlineStr">
        <is>
          <t>sale of pasture</t>
        </is>
      </c>
      <c r="B268" t="inlineStr">
        <is>
          <t>nothing from winter pasturage in southmede this year for the lord's sheep.</t>
        </is>
      </c>
      <c r="C268" t="n">
        <v>0</v>
      </c>
      <c r="D268" t="n">
        <v>0</v>
      </c>
      <c r="E268" t="n">
        <v>0</v>
      </c>
      <c r="F268" t="n">
        <v>0</v>
      </c>
      <c r="H268" t="n">
        <v>0</v>
      </c>
      <c r="I268" t="n">
        <v>0</v>
      </c>
      <c r="J268" t="n">
        <v>0</v>
      </c>
      <c r="K268" t="n">
        <v>0</v>
      </c>
      <c r="L268" t="n">
        <v>0</v>
      </c>
      <c r="M268" t="n">
        <v>0</v>
      </c>
      <c r="N268" t="n">
        <v>0</v>
      </c>
    </row>
    <row r="269">
      <c r="A269" t="inlineStr">
        <is>
          <t>sale of pasture</t>
        </is>
      </c>
      <c r="B269" t="inlineStr">
        <is>
          <t>£2 9 shilling 8pence from summer pasturage there this year and not more for the lord's cattle.</t>
        </is>
      </c>
      <c r="C269" t="n">
        <v>2.48</v>
      </c>
      <c r="D269" t="n">
        <v>2</v>
      </c>
      <c r="E269" t="n">
        <v>9</v>
      </c>
      <c r="F269" t="n">
        <v>8</v>
      </c>
      <c r="H269" t="n">
        <v>0</v>
      </c>
      <c r="I269" t="n">
        <v>0</v>
      </c>
      <c r="J269" t="n">
        <v>0</v>
      </c>
      <c r="K269" t="n">
        <v>0</v>
      </c>
      <c r="L269" t="n">
        <v>0</v>
      </c>
      <c r="M269" t="n">
        <v>0</v>
      </c>
      <c r="N269" t="n">
        <v>0</v>
      </c>
    </row>
    <row r="270">
      <c r="A270" t="inlineStr">
        <is>
          <t>sale of pasture</t>
        </is>
      </c>
      <c r="B270" t="inlineStr">
        <is>
          <t>nothing from summer pasturage in the moat this year on account of strays.</t>
        </is>
      </c>
      <c r="C270" t="n">
        <v>0</v>
      </c>
      <c r="D270" t="n">
        <v>0</v>
      </c>
      <c r="E270" t="n">
        <v>0</v>
      </c>
      <c r="F270" t="n">
        <v>0</v>
      </c>
      <c r="H270" t="n">
        <v>0</v>
      </c>
      <c r="I270" t="n">
        <v>0</v>
      </c>
      <c r="J270" t="n">
        <v>0</v>
      </c>
      <c r="K270" t="n">
        <v>0</v>
      </c>
      <c r="L270" t="n">
        <v>0</v>
      </c>
      <c r="M270" t="n">
        <v>0</v>
      </c>
      <c r="N270" t="n">
        <v>0</v>
      </c>
    </row>
    <row r="271">
      <c r="A271" t="inlineStr">
        <is>
          <t>sale of pasture</t>
        </is>
      </c>
      <c r="B271" t="inlineStr">
        <is>
          <t>nothing from the pasturage of the uncultivated land (frisco) this year.</t>
        </is>
      </c>
      <c r="C271" t="n">
        <v>0</v>
      </c>
      <c r="D271" t="n">
        <v>0</v>
      </c>
      <c r="E271" t="n">
        <v>0</v>
      </c>
      <c r="F271" t="n">
        <v>0</v>
      </c>
      <c r="H271" t="n">
        <v>0</v>
      </c>
      <c r="I271" t="n">
        <v>0</v>
      </c>
      <c r="J271" t="n">
        <v>0</v>
      </c>
      <c r="K271" t="n">
        <v>0</v>
      </c>
      <c r="L271" t="n">
        <v>0</v>
      </c>
      <c r="M271" t="n">
        <v>0</v>
      </c>
      <c r="N271" t="n">
        <v>0</v>
      </c>
    </row>
    <row r="272">
      <c r="A272" t="inlineStr">
        <is>
          <t>sale of pasture</t>
        </is>
      </c>
      <c r="B272" t="inlineStr">
        <is>
          <t>nothing from the pasturage in wychewey for the lord's sheep.</t>
        </is>
      </c>
      <c r="C272" t="n">
        <v>0</v>
      </c>
      <c r="D272" t="n">
        <v>0</v>
      </c>
      <c r="E272" t="n">
        <v>0</v>
      </c>
      <c r="F272" t="n">
        <v>0</v>
      </c>
      <c r="H272" t="n">
        <v>0</v>
      </c>
      <c r="I272" t="n">
        <v>0</v>
      </c>
      <c r="J272" t="n">
        <v>0</v>
      </c>
      <c r="K272" t="n">
        <v>0</v>
      </c>
      <c r="L272" t="n">
        <v>0</v>
      </c>
      <c r="M272" t="n">
        <v>0</v>
      </c>
      <c r="N272" t="n">
        <v>0</v>
      </c>
    </row>
    <row r="273">
      <c r="A273" t="inlineStr">
        <is>
          <t>sale of pasture</t>
        </is>
      </c>
      <c r="B273" t="inlineStr">
        <is>
          <t>7 shilling from summer pasturage on the hill of witherington.</t>
        </is>
      </c>
      <c r="C273" t="n">
        <v>0.35</v>
      </c>
      <c r="D273" t="n">
        <v>0</v>
      </c>
      <c r="E273" t="n">
        <v>7</v>
      </c>
      <c r="F273" t="n">
        <v>0</v>
      </c>
      <c r="H273" t="n">
        <v>0</v>
      </c>
      <c r="I273" t="n">
        <v>0</v>
      </c>
      <c r="J273" t="n">
        <v>0</v>
      </c>
      <c r="K273" t="n">
        <v>0</v>
      </c>
      <c r="L273" t="n">
        <v>0</v>
      </c>
      <c r="M273" t="n">
        <v>0</v>
      </c>
      <c r="N273" t="n">
        <v>0</v>
      </c>
    </row>
    <row r="274">
      <c r="A274" t="inlineStr">
        <is>
          <t>sale of pasture</t>
        </is>
      </c>
      <c r="B274" t="inlineStr">
        <is>
          <t>nothing from the herbage of the meadow of nunton because it is demised for a fixed rent.</t>
        </is>
      </c>
      <c r="C274" t="n">
        <v>0</v>
      </c>
      <c r="D274" t="n">
        <v>0</v>
      </c>
      <c r="E274" t="n">
        <v>0</v>
      </c>
      <c r="F274" t="n">
        <v>0</v>
      </c>
      <c r="H274" t="n">
        <v>0</v>
      </c>
      <c r="I274" t="n">
        <v>0</v>
      </c>
      <c r="J274" t="n">
        <v>0</v>
      </c>
      <c r="K274" t="n">
        <v>0</v>
      </c>
      <c r="L274" t="n">
        <v>0</v>
      </c>
      <c r="M274" t="n">
        <v>0</v>
      </c>
      <c r="N274" t="n">
        <v>0</v>
      </c>
    </row>
    <row r="275">
      <c r="A275" t="inlineStr">
        <is>
          <t>sale of pasture</t>
        </is>
      </c>
      <c r="B275" t="inlineStr">
        <is>
          <t>nothing from the pasturage of the same meadow after mowing for the aforesaid reason.</t>
        </is>
      </c>
      <c r="C275" t="n">
        <v>0</v>
      </c>
      <c r="D275" t="n">
        <v>0</v>
      </c>
      <c r="E275" t="n">
        <v>0</v>
      </c>
      <c r="F275" t="n">
        <v>0</v>
      </c>
      <c r="H275" t="n">
        <v>0</v>
      </c>
      <c r="I275" t="n">
        <v>0</v>
      </c>
      <c r="J275" t="n">
        <v>0</v>
      </c>
      <c r="K275" t="n">
        <v>0</v>
      </c>
      <c r="L275" t="n">
        <v>0</v>
      </c>
      <c r="M275" t="n">
        <v>0</v>
      </c>
      <c r="N275" t="n">
        <v>0</v>
      </c>
    </row>
    <row r="276">
      <c r="A276" t="inlineStr">
        <is>
          <t>sale of pasture</t>
        </is>
      </c>
      <c r="B276" t="inlineStr">
        <is>
          <t>nothing from the herbage of the meadow called hulmed' from a want of buyers.</t>
        </is>
      </c>
      <c r="C276" t="n">
        <v>0</v>
      </c>
      <c r="D276" t="n">
        <v>0</v>
      </c>
      <c r="E276" t="n">
        <v>0</v>
      </c>
      <c r="F276" t="n">
        <v>0</v>
      </c>
      <c r="H276" t="n">
        <v>0</v>
      </c>
      <c r="I276" t="n">
        <v>0</v>
      </c>
      <c r="J276" t="n">
        <v>0</v>
      </c>
      <c r="K276" t="n">
        <v>0</v>
      </c>
      <c r="L276" t="n">
        <v>0</v>
      </c>
      <c r="M276" t="n">
        <v>0</v>
      </c>
      <c r="N276" t="n">
        <v>0</v>
      </c>
    </row>
    <row r="277">
      <c r="A277" t="inlineStr">
        <is>
          <t>sale of pasture</t>
        </is>
      </c>
      <c r="B277" t="inlineStr">
        <is>
          <t>nothing from the herbage.</t>
        </is>
      </c>
      <c r="C277" t="n">
        <v>0</v>
      </c>
      <c r="D277" t="n">
        <v>0</v>
      </c>
      <c r="E277" t="n">
        <v>0</v>
      </c>
      <c r="F277" t="n">
        <v>0</v>
      </c>
      <c r="H277" t="n">
        <v>0</v>
      </c>
      <c r="I277" t="n">
        <v>0</v>
      </c>
      <c r="J277" t="n">
        <v>0</v>
      </c>
      <c r="K277" t="n">
        <v>0</v>
      </c>
      <c r="L277" t="n">
        <v>0</v>
      </c>
      <c r="M277" t="n">
        <v>0</v>
      </c>
      <c r="N277" t="n">
        <v>0</v>
      </c>
    </row>
    <row r="278">
      <c r="A278" t="inlineStr">
        <is>
          <t>sale of pasture</t>
        </is>
      </c>
      <c r="B278" t="inlineStr">
        <is>
          <t>of the meadow called oxynlese from a want of buyers.</t>
        </is>
      </c>
      <c r="C278" t="n">
        <v>0</v>
      </c>
      <c r="D278" t="n">
        <v>0</v>
      </c>
      <c r="E278" t="n">
        <v>0</v>
      </c>
      <c r="F278" t="n">
        <v>0</v>
      </c>
      <c r="H278" t="n">
        <v>0</v>
      </c>
      <c r="I278" t="n">
        <v>0</v>
      </c>
      <c r="J278" t="n">
        <v>0</v>
      </c>
      <c r="K278" t="n">
        <v>0</v>
      </c>
      <c r="L278" t="n">
        <v>0</v>
      </c>
      <c r="M278" t="n">
        <v>0</v>
      </c>
      <c r="N278" t="n">
        <v>0</v>
      </c>
    </row>
    <row r="279">
      <c r="A279" t="inlineStr">
        <is>
          <t>sale of pasture</t>
        </is>
      </c>
      <c r="B279" t="inlineStr">
        <is>
          <t>nothing from the herbage of the meadow called nywemed' here because it is mown in demesne.</t>
        </is>
      </c>
      <c r="C279" t="n">
        <v>0</v>
      </c>
      <c r="D279" t="n">
        <v>0</v>
      </c>
      <c r="E279" t="n">
        <v>0</v>
      </c>
      <c r="F279" t="n">
        <v>0</v>
      </c>
      <c r="H279" t="n">
        <v>0</v>
      </c>
      <c r="I279" t="n">
        <v>0</v>
      </c>
      <c r="J279" t="n">
        <v>0</v>
      </c>
      <c r="K279" t="n">
        <v>0</v>
      </c>
      <c r="L279" t="n">
        <v>0</v>
      </c>
      <c r="M279" t="n">
        <v>0</v>
      </c>
      <c r="N279" t="n">
        <v>0</v>
      </c>
    </row>
    <row r="280">
      <c r="A280" t="inlineStr">
        <is>
          <t>sale of pasture</t>
        </is>
      </c>
      <c r="B280" t="inlineStr">
        <is>
          <t>nothing from the pasturage of 1 day-work (daywyne) for a similar reason.</t>
        </is>
      </c>
      <c r="C280" t="n">
        <v>0</v>
      </c>
      <c r="D280" t="n">
        <v>0</v>
      </c>
      <c r="E280" t="n">
        <v>0</v>
      </c>
      <c r="F280" t="n">
        <v>0</v>
      </c>
      <c r="H280" t="n">
        <v>0</v>
      </c>
      <c r="I280" t="n">
        <v>0</v>
      </c>
      <c r="J280" t="n">
        <v>0</v>
      </c>
      <c r="K280" t="n">
        <v>0</v>
      </c>
      <c r="L280" t="n">
        <v>0</v>
      </c>
      <c r="M280" t="n">
        <v>0</v>
      </c>
      <c r="N280" t="n">
        <v>0</v>
      </c>
    </row>
    <row r="281">
      <c r="A281" t="inlineStr">
        <is>
          <t>sale of pasture</t>
        </is>
      </c>
      <c r="B281" t="inlineStr">
        <is>
          <t>£2 from the pasturage in la-grene in summer this year.</t>
        </is>
      </c>
      <c r="C281" t="n">
        <v>2</v>
      </c>
      <c r="D281" t="n">
        <v>2</v>
      </c>
      <c r="E281" t="n">
        <v>0</v>
      </c>
      <c r="F281" t="n">
        <v>0</v>
      </c>
      <c r="H281" t="n">
        <v>0</v>
      </c>
      <c r="I281" t="n">
        <v>0</v>
      </c>
      <c r="J281" t="n">
        <v>0</v>
      </c>
      <c r="K281" t="n">
        <v>0</v>
      </c>
      <c r="L281" t="n">
        <v>0</v>
      </c>
      <c r="M281" t="n">
        <v>0</v>
      </c>
      <c r="N281" t="n">
        <v>0</v>
      </c>
    </row>
    <row r="282">
      <c r="A282" t="inlineStr">
        <is>
          <t>sale of pasture</t>
        </is>
      </c>
      <c r="B282" t="inlineStr">
        <is>
          <t>10 shilling from winter pasturage in estmede this year.</t>
        </is>
      </c>
      <c r="C282" t="n">
        <v>0.5</v>
      </c>
      <c r="D282" t="n">
        <v>0</v>
      </c>
      <c r="E282" t="n">
        <v>10</v>
      </c>
      <c r="F282" t="n">
        <v>0</v>
      </c>
      <c r="H282" t="n">
        <v>0</v>
      </c>
      <c r="I282" t="n">
        <v>0</v>
      </c>
      <c r="J282" t="n">
        <v>0</v>
      </c>
      <c r="K282" t="n">
        <v>0</v>
      </c>
      <c r="L282" t="n">
        <v>0</v>
      </c>
      <c r="M282" t="n">
        <v>0</v>
      </c>
      <c r="N282" t="n">
        <v>0</v>
      </c>
    </row>
    <row r="283">
      <c r="A283" t="inlineStr">
        <is>
          <t>sale of pasture</t>
        </is>
      </c>
      <c r="B283" t="inlineStr">
        <is>
          <t>4 shilling from the pasturage in marygge this year.</t>
        </is>
      </c>
      <c r="C283" t="n">
        <v>0.2</v>
      </c>
      <c r="D283" t="n">
        <v>0</v>
      </c>
      <c r="E283" t="n">
        <v>4</v>
      </c>
      <c r="F283" t="n">
        <v>0</v>
      </c>
      <c r="H283" t="n">
        <v>0</v>
      </c>
      <c r="I283" t="n">
        <v>0</v>
      </c>
      <c r="J283" t="n">
        <v>0</v>
      </c>
      <c r="K283" t="n">
        <v>0</v>
      </c>
      <c r="L283" t="n">
        <v>0</v>
      </c>
      <c r="M283" t="n">
        <v>0</v>
      </c>
      <c r="N283" t="n">
        <v>0</v>
      </c>
    </row>
    <row r="284">
      <c r="A284" t="inlineStr">
        <is>
          <t>sale of pasture</t>
        </is>
      </c>
      <c r="B284" t="inlineStr">
        <is>
          <t>nothing of the 2 shilling for the pasturage of the ditch next to roger alayne because it is drawn into the lord's meadow.</t>
        </is>
      </c>
      <c r="C284" t="n">
        <v>0.1</v>
      </c>
      <c r="D284" t="n">
        <v>0</v>
      </c>
      <c r="E284" t="n">
        <v>2</v>
      </c>
      <c r="F284" t="n">
        <v>0</v>
      </c>
      <c r="H284" t="n">
        <v>0</v>
      </c>
      <c r="I284" t="n">
        <v>0</v>
      </c>
      <c r="J284" t="n">
        <v>0</v>
      </c>
      <c r="K284" t="n">
        <v>0</v>
      </c>
      <c r="L284" t="n">
        <v>0</v>
      </c>
      <c r="M284" t="n">
        <v>0</v>
      </c>
      <c r="N284" t="n">
        <v>0</v>
      </c>
    </row>
    <row r="285">
      <c r="A285" t="inlineStr">
        <is>
          <t>sale of pasture</t>
        </is>
      </c>
      <c r="B285" t="inlineStr">
        <is>
          <t>nothing from winter pastuarage in editham because it is mown in demesne.</t>
        </is>
      </c>
      <c r="C285" t="n">
        <v>0</v>
      </c>
      <c r="D285" t="n">
        <v>0</v>
      </c>
      <c r="E285" t="n">
        <v>0</v>
      </c>
      <c r="F285" t="n">
        <v>0</v>
      </c>
      <c r="H285" t="n">
        <v>0</v>
      </c>
      <c r="I285" t="n">
        <v>0</v>
      </c>
      <c r="J285" t="n">
        <v>0</v>
      </c>
      <c r="K285" t="n">
        <v>0</v>
      </c>
      <c r="L285" t="n">
        <v>0</v>
      </c>
      <c r="M285" t="n">
        <v>0</v>
      </c>
      <c r="N285" t="n">
        <v>0</v>
      </c>
    </row>
    <row r="286">
      <c r="A286" t="inlineStr">
        <is>
          <t>sale of pasture</t>
        </is>
      </c>
      <c r="B286" t="inlineStr">
        <is>
          <t>2 shilling from the same meadow after mowing.</t>
        </is>
      </c>
      <c r="C286" t="n">
        <v>0.1</v>
      </c>
      <c r="D286" t="n">
        <v>0</v>
      </c>
      <c r="E286" t="n">
        <v>2</v>
      </c>
      <c r="F286" t="n">
        <v>0</v>
      </c>
      <c r="H286" t="n">
        <v>0</v>
      </c>
      <c r="I286" t="n">
        <v>0</v>
      </c>
      <c r="J286" t="n">
        <v>0</v>
      </c>
      <c r="K286" t="n">
        <v>0</v>
      </c>
      <c r="L286" t="n">
        <v>0</v>
      </c>
      <c r="M286" t="n">
        <v>0</v>
      </c>
      <c r="N286" t="n">
        <v>0</v>
      </c>
    </row>
    <row r="287">
      <c r="A287" t="inlineStr">
        <is>
          <t>sale of pasture</t>
        </is>
      </c>
      <c r="B287" t="inlineStr">
        <is>
          <t>nothing from the pasturage on the heath from a want of buyers.</t>
        </is>
      </c>
      <c r="C287" t="n">
        <v>0</v>
      </c>
      <c r="D287" t="n">
        <v>0</v>
      </c>
      <c r="E287" t="n">
        <v>0</v>
      </c>
      <c r="F287" t="n">
        <v>0</v>
      </c>
      <c r="H287" t="n">
        <v>0</v>
      </c>
      <c r="I287" t="n">
        <v>0</v>
      </c>
      <c r="J287" t="n">
        <v>0</v>
      </c>
      <c r="K287" t="n">
        <v>0</v>
      </c>
      <c r="L287" t="n">
        <v>0</v>
      </c>
      <c r="M287" t="n">
        <v>0</v>
      </c>
      <c r="N287" t="n">
        <v>0</v>
      </c>
    </row>
    <row r="288">
      <c r="A288" t="inlineStr">
        <is>
          <t>sale of pasture</t>
        </is>
      </c>
      <c r="B288" t="inlineStr">
        <is>
          <t>nothing from the pasturage in northmershegate for the lord's cattle.</t>
        </is>
      </c>
      <c r="C288" t="n">
        <v>0</v>
      </c>
      <c r="D288" t="n">
        <v>0</v>
      </c>
      <c r="E288" t="n">
        <v>0</v>
      </c>
      <c r="F288" t="n">
        <v>0</v>
      </c>
      <c r="H288" t="n">
        <v>0</v>
      </c>
      <c r="I288" t="n">
        <v>0</v>
      </c>
      <c r="J288" t="n">
        <v>0</v>
      </c>
      <c r="K288" t="n">
        <v>0</v>
      </c>
      <c r="L288" t="n">
        <v>0</v>
      </c>
      <c r="M288" t="n">
        <v>0</v>
      </c>
      <c r="N288" t="n">
        <v>0</v>
      </c>
    </row>
    <row r="289">
      <c r="A289" t="inlineStr">
        <is>
          <t>sale of pasture</t>
        </is>
      </c>
      <c r="B289" t="inlineStr">
        <is>
          <t>nothing from the pasturage of the meadow called les hammys in wick and east downton because the haywards of wick and east downton hold it according to custom.</t>
        </is>
      </c>
      <c r="C289" t="n">
        <v>0</v>
      </c>
      <c r="D289" t="n">
        <v>0</v>
      </c>
      <c r="E289" t="n">
        <v>0</v>
      </c>
      <c r="F289" t="n">
        <v>0</v>
      </c>
      <c r="H289" t="n">
        <v>0</v>
      </c>
      <c r="I289" t="n">
        <v>0</v>
      </c>
      <c r="J289" t="n">
        <v>0</v>
      </c>
      <c r="K289" t="n">
        <v>0</v>
      </c>
      <c r="L289" t="n">
        <v>0</v>
      </c>
      <c r="M289" t="n">
        <v>0</v>
      </c>
      <c r="N289" t="n">
        <v>0</v>
      </c>
    </row>
    <row r="290">
      <c r="A290" t="inlineStr">
        <is>
          <t>sale of pasture</t>
        </is>
      </c>
      <c r="B290" t="inlineStr">
        <is>
          <t>1 shilling 6pence from the pasturage in ferchyngle this year.</t>
        </is>
      </c>
      <c r="C290" t="n">
        <v>0.08</v>
      </c>
      <c r="D290" t="n">
        <v>0</v>
      </c>
      <c r="E290" t="n">
        <v>1</v>
      </c>
      <c r="F290" t="n">
        <v>6</v>
      </c>
      <c r="H290" t="n">
        <v>0</v>
      </c>
      <c r="I290" t="n">
        <v>0</v>
      </c>
      <c r="J290" t="n">
        <v>0</v>
      </c>
      <c r="K290" t="n">
        <v>0</v>
      </c>
      <c r="L290" t="n">
        <v>0</v>
      </c>
      <c r="M290" t="n">
        <v>0</v>
      </c>
      <c r="N290" t="n">
        <v>0</v>
      </c>
    </row>
    <row r="291">
      <c r="A291" t="inlineStr">
        <is>
          <t>sale of pasture</t>
        </is>
      </c>
      <c r="B291" t="inlineStr">
        <is>
          <t>1 shilling from the pasturage in the garden of st mary's this year.</t>
        </is>
      </c>
      <c r="C291" t="n">
        <v>0.05</v>
      </c>
      <c r="D291" t="n">
        <v>0</v>
      </c>
      <c r="E291" t="n">
        <v>1</v>
      </c>
      <c r="F291" t="n">
        <v>0</v>
      </c>
      <c r="H291" t="n">
        <v>0</v>
      </c>
      <c r="I291" t="n">
        <v>0</v>
      </c>
      <c r="J291" t="n">
        <v>0</v>
      </c>
      <c r="K291" t="n">
        <v>0</v>
      </c>
      <c r="L291" t="n">
        <v>0</v>
      </c>
      <c r="M291" t="n">
        <v>0</v>
      </c>
      <c r="N291" t="n">
        <v>0</v>
      </c>
    </row>
    <row r="292">
      <c r="A292" t="inlineStr">
        <is>
          <t>sale of pasture</t>
        </is>
      </c>
      <c r="B292" t="inlineStr">
        <is>
          <t>2 shilling from calves agisted in caterynmede in winter this year.</t>
        </is>
      </c>
      <c r="C292" t="n">
        <v>0.1</v>
      </c>
      <c r="D292" t="n">
        <v>0</v>
      </c>
      <c r="E292" t="n">
        <v>2</v>
      </c>
      <c r="F292" t="n">
        <v>0</v>
      </c>
      <c r="H292" t="n">
        <v>0</v>
      </c>
      <c r="I292" t="n">
        <v>0</v>
      </c>
      <c r="J292" t="n">
        <v>0</v>
      </c>
      <c r="K292" t="n">
        <v>0</v>
      </c>
      <c r="L292" t="n">
        <v>0</v>
      </c>
      <c r="M292" t="n">
        <v>0</v>
      </c>
      <c r="N292" t="n">
        <v>0</v>
      </c>
    </row>
    <row r="293">
      <c r="A293" t="inlineStr">
        <is>
          <t>sale of pasture</t>
        </is>
      </c>
      <c r="B293" t="inlineStr">
        <is>
          <t>nothing from the greenway called mediate this year.</t>
        </is>
      </c>
      <c r="C293" t="n">
        <v>0</v>
      </c>
      <c r="D293" t="n">
        <v>0</v>
      </c>
      <c r="E293" t="n">
        <v>0</v>
      </c>
      <c r="F293" t="n">
        <v>0</v>
      </c>
      <c r="H293" t="n">
        <v>0</v>
      </c>
      <c r="I293" t="n">
        <v>0</v>
      </c>
      <c r="J293" t="n">
        <v>0</v>
      </c>
      <c r="K293" t="n">
        <v>0</v>
      </c>
      <c r="L293" t="n">
        <v>0</v>
      </c>
      <c r="M293" t="n">
        <v>0</v>
      </c>
      <c r="N293" t="n">
        <v>0</v>
      </c>
    </row>
    <row r="294">
      <c r="A294" t="inlineStr">
        <is>
          <t>sale of pasture</t>
        </is>
      </c>
      <c r="B294" t="inlineStr">
        <is>
          <t>13 shilling 4pence from sheep agisted with the lord's ewes this year.</t>
        </is>
      </c>
      <c r="C294" t="n">
        <v>0.67</v>
      </c>
      <c r="D294" t="n">
        <v>0</v>
      </c>
      <c r="E294" t="n">
        <v>13</v>
      </c>
      <c r="F294" t="n">
        <v>4</v>
      </c>
      <c r="H294" t="n">
        <v>0</v>
      </c>
      <c r="I294" t="n">
        <v>0</v>
      </c>
      <c r="J294" t="n">
        <v>0</v>
      </c>
      <c r="K294" t="n">
        <v>0</v>
      </c>
      <c r="L294" t="n">
        <v>0</v>
      </c>
      <c r="M294" t="n">
        <v>0</v>
      </c>
      <c r="N294" t="n">
        <v>0</v>
      </c>
    </row>
    <row r="295">
      <c r="A295" t="inlineStr">
        <is>
          <t>sale of pasture</t>
        </is>
      </c>
      <c r="B295" t="inlineStr">
        <is>
          <t>total, £8 13 shilling 6pence.</t>
        </is>
      </c>
      <c r="C295" t="n">
        <v>8.68</v>
      </c>
      <c r="D295" t="n">
        <v>8</v>
      </c>
      <c r="E295" t="n">
        <v>13</v>
      </c>
      <c r="F295" t="n">
        <v>6</v>
      </c>
      <c r="H295" t="n">
        <v>0</v>
      </c>
      <c r="I295" t="n">
        <v>0</v>
      </c>
      <c r="J295" t="n">
        <v>0</v>
      </c>
      <c r="K295" t="n">
        <v>0</v>
      </c>
      <c r="L295" t="n">
        <v>0</v>
      </c>
      <c r="M295" t="n">
        <v>0</v>
      </c>
      <c r="N295" t="n">
        <v>0</v>
      </c>
    </row>
    <row r="296">
      <c r="A296" t="inlineStr">
        <is>
          <t>sale of corn</t>
        </is>
      </c>
      <c r="B296" t="inlineStr">
        <is>
          <t>and for £4 18 shilling 9pence from 9 quarters 7 bushels of wheat sold per mutuum, at 10 shilling a quarters.</t>
        </is>
      </c>
      <c r="C296" t="n">
        <v>4.94</v>
      </c>
      <c r="D296" t="n">
        <v>4</v>
      </c>
      <c r="E296" t="n">
        <v>18</v>
      </c>
      <c r="F296" t="n">
        <v>9</v>
      </c>
      <c r="G296" t="inlineStr">
        <is>
          <t>wheat</t>
        </is>
      </c>
      <c r="H296" t="n">
        <v>9</v>
      </c>
      <c r="I296" t="n">
        <v>7</v>
      </c>
      <c r="J296" t="n">
        <v>9.880000000000001</v>
      </c>
      <c r="K296" t="n">
        <v>9.880000000000001</v>
      </c>
      <c r="L296" t="n">
        <v>0</v>
      </c>
      <c r="M296" t="n">
        <v>9</v>
      </c>
      <c r="N296" t="n">
        <v>7</v>
      </c>
      <c r="U296" t="n">
        <v>10</v>
      </c>
      <c r="V296" t="n">
        <v>0</v>
      </c>
    </row>
    <row r="297">
      <c r="A297" t="inlineStr">
        <is>
          <t>sale of corn</t>
        </is>
      </c>
      <c r="B297" t="inlineStr">
        <is>
          <t>£1 4 shilling from 4 quarters of curall sold.</t>
        </is>
      </c>
      <c r="C297" t="n">
        <v>1.2</v>
      </c>
      <c r="D297" t="n">
        <v>1</v>
      </c>
      <c r="E297" t="n">
        <v>4</v>
      </c>
      <c r="F297" t="n">
        <v>0</v>
      </c>
      <c r="G297" t="inlineStr">
        <is>
          <t>curall</t>
        </is>
      </c>
      <c r="H297" t="n">
        <v>4</v>
      </c>
      <c r="I297" t="n">
        <v>0</v>
      </c>
      <c r="J297" t="n">
        <v>4</v>
      </c>
      <c r="K297" t="n">
        <v>4</v>
      </c>
      <c r="L297" t="n">
        <v>0</v>
      </c>
      <c r="M297" t="n">
        <v>4</v>
      </c>
      <c r="N297" t="n">
        <v>0</v>
      </c>
    </row>
    <row r="298">
      <c r="A298" t="inlineStr">
        <is>
          <t>sale of corn</t>
        </is>
      </c>
      <c r="B298" t="inlineStr">
        <is>
          <t>£3 18 shilling from 13 quarters of barley sold per mutuum, at 6 shilling a quarters.</t>
        </is>
      </c>
      <c r="C298" t="n">
        <v>3.9</v>
      </c>
      <c r="D298" t="n">
        <v>3</v>
      </c>
      <c r="E298" t="n">
        <v>18</v>
      </c>
      <c r="F298" t="n">
        <v>0</v>
      </c>
      <c r="G298" t="inlineStr">
        <is>
          <t>barley</t>
        </is>
      </c>
      <c r="H298" t="n">
        <v>13</v>
      </c>
      <c r="I298" t="n">
        <v>0</v>
      </c>
      <c r="J298" t="n">
        <v>13</v>
      </c>
      <c r="K298" t="n">
        <v>13</v>
      </c>
      <c r="L298" t="n">
        <v>0</v>
      </c>
      <c r="M298" t="n">
        <v>13</v>
      </c>
      <c r="N298" t="n">
        <v>0</v>
      </c>
      <c r="U298" t="n">
        <v>6</v>
      </c>
      <c r="V298" t="n">
        <v>0</v>
      </c>
    </row>
    <row r="299">
      <c r="A299" t="inlineStr">
        <is>
          <t>sale of corn</t>
        </is>
      </c>
      <c r="B299" t="inlineStr">
        <is>
          <t>2 shilling 6pence from 6 bushels of oats sold.</t>
        </is>
      </c>
      <c r="C299" t="n">
        <v>0.12</v>
      </c>
      <c r="D299" t="n">
        <v>0</v>
      </c>
      <c r="E299" t="n">
        <v>2</v>
      </c>
      <c r="F299" t="n">
        <v>6</v>
      </c>
      <c r="G299" t="inlineStr">
        <is>
          <t>oats</t>
        </is>
      </c>
      <c r="H299" t="n">
        <v>0</v>
      </c>
      <c r="I299" t="n">
        <v>6</v>
      </c>
      <c r="J299" t="n">
        <v>0.75</v>
      </c>
      <c r="K299" t="n">
        <v>0.75</v>
      </c>
      <c r="L299" t="n">
        <v>0</v>
      </c>
      <c r="M299" t="n">
        <v>0</v>
      </c>
      <c r="N299" t="n">
        <v>6</v>
      </c>
    </row>
    <row r="300">
      <c r="A300" t="inlineStr">
        <is>
          <t>sale of corn</t>
        </is>
      </c>
      <c r="B300" t="inlineStr">
        <is>
          <t>3 shilling from 6 bushels of vetches sold.</t>
        </is>
      </c>
      <c r="C300" t="n">
        <v>0.15</v>
      </c>
      <c r="D300" t="n">
        <v>0</v>
      </c>
      <c r="E300" t="n">
        <v>3</v>
      </c>
      <c r="F300" t="n">
        <v>0</v>
      </c>
      <c r="G300" t="inlineStr">
        <is>
          <t>vetches</t>
        </is>
      </c>
      <c r="H300" t="n">
        <v>0</v>
      </c>
      <c r="I300" t="n">
        <v>6</v>
      </c>
      <c r="J300" t="n">
        <v>0.75</v>
      </c>
      <c r="K300" t="n">
        <v>0.75</v>
      </c>
      <c r="L300" t="n">
        <v>0</v>
      </c>
      <c r="M300" t="n">
        <v>0</v>
      </c>
      <c r="N300" t="n">
        <v>6</v>
      </c>
    </row>
    <row r="301">
      <c r="A301" t="inlineStr">
        <is>
          <t>sale of corn</t>
        </is>
      </c>
      <c r="B301" t="inlineStr">
        <is>
          <t>total, £10 6 shilling 3pence.</t>
        </is>
      </c>
      <c r="C301" t="n">
        <v>10.31</v>
      </c>
      <c r="D301" t="n">
        <v>10</v>
      </c>
      <c r="E301" t="n">
        <v>6</v>
      </c>
      <c r="F301" t="n">
        <v>3</v>
      </c>
      <c r="H301" t="n">
        <v>0</v>
      </c>
      <c r="I301" t="n">
        <v>0</v>
      </c>
      <c r="J301" t="n">
        <v>0</v>
      </c>
      <c r="K301" t="n">
        <v>0</v>
      </c>
      <c r="L301" t="n">
        <v>0</v>
      </c>
      <c r="M301" t="n">
        <v>0</v>
      </c>
      <c r="N301" t="n">
        <v>0</v>
      </c>
    </row>
    <row r="302">
      <c r="A302" t="inlineStr">
        <is>
          <t>sale of mill corn</t>
        </is>
      </c>
      <c r="B302" t="inlineStr">
        <is>
          <t>and for £3 15 shilling from 7 quarters 4 bushels of wheat sold, at 10 shilling a quarters.</t>
        </is>
      </c>
      <c r="C302" t="n">
        <v>3.75</v>
      </c>
      <c r="D302" t="n">
        <v>3</v>
      </c>
      <c r="E302" t="n">
        <v>15</v>
      </c>
      <c r="F302" t="n">
        <v>0</v>
      </c>
      <c r="G302" t="inlineStr">
        <is>
          <t>wheat</t>
        </is>
      </c>
      <c r="H302" t="n">
        <v>7</v>
      </c>
      <c r="I302" t="n">
        <v>4</v>
      </c>
      <c r="J302" t="n">
        <v>7.5</v>
      </c>
      <c r="K302" t="n">
        <v>7.5</v>
      </c>
      <c r="L302" t="n">
        <v>0</v>
      </c>
      <c r="M302" t="n">
        <v>7</v>
      </c>
      <c r="N302" t="n">
        <v>4</v>
      </c>
      <c r="U302" t="n">
        <v>10</v>
      </c>
      <c r="V302" t="n">
        <v>0</v>
      </c>
    </row>
    <row r="303">
      <c r="A303" t="inlineStr">
        <is>
          <t>sale of mill corn</t>
        </is>
      </c>
      <c r="B303" t="inlineStr">
        <is>
          <t>£3 13 shilling 6pence from 12 quarters 2 bushels of barley sold, at 6 shilling a quarters.</t>
        </is>
      </c>
      <c r="C303" t="n">
        <v>3.67</v>
      </c>
      <c r="D303" t="n">
        <v>3</v>
      </c>
      <c r="E303" t="n">
        <v>13</v>
      </c>
      <c r="F303" t="n">
        <v>6</v>
      </c>
      <c r="G303" t="inlineStr">
        <is>
          <t>barley</t>
        </is>
      </c>
      <c r="H303" t="n">
        <v>12</v>
      </c>
      <c r="I303" t="n">
        <v>2</v>
      </c>
      <c r="J303" t="n">
        <v>12.25</v>
      </c>
      <c r="K303" t="n">
        <v>12.25</v>
      </c>
      <c r="L303" t="n">
        <v>0</v>
      </c>
      <c r="M303" t="n">
        <v>12</v>
      </c>
      <c r="N303" t="n">
        <v>2</v>
      </c>
      <c r="U303" t="n">
        <v>6</v>
      </c>
      <c r="V303" t="n">
        <v>0</v>
      </c>
    </row>
    <row r="304">
      <c r="A304" t="inlineStr">
        <is>
          <t>sale of mill corn</t>
        </is>
      </c>
      <c r="B304" t="inlineStr">
        <is>
          <t>£9 3 shilling 7pence from 28 quarters 3 bushels of second-grade malt sold, at 6 shilling 8pence a quarters for 20 quarters, and 6 shilling a quarters for 8 quarters 3 bushels.</t>
        </is>
      </c>
      <c r="C304" t="n">
        <v>9.18</v>
      </c>
      <c r="D304" t="n">
        <v>9</v>
      </c>
      <c r="E304" t="n">
        <v>3</v>
      </c>
      <c r="F304" t="n">
        <v>7</v>
      </c>
      <c r="G304" t="inlineStr">
        <is>
          <t>second-grade malt, malt</t>
        </is>
      </c>
      <c r="H304" t="n">
        <v>28</v>
      </c>
      <c r="I304" t="n">
        <v>3</v>
      </c>
      <c r="J304" t="n">
        <v>28.38</v>
      </c>
      <c r="K304" t="n">
        <v>28.38</v>
      </c>
      <c r="L304" t="n">
        <v>0</v>
      </c>
      <c r="M304" t="n">
        <v>28</v>
      </c>
      <c r="N304" t="n">
        <v>3</v>
      </c>
      <c r="O304" t="n">
        <v>20</v>
      </c>
      <c r="P304" t="n">
        <v>0</v>
      </c>
      <c r="Q304" t="n">
        <v>8</v>
      </c>
      <c r="R304" t="n">
        <v>3</v>
      </c>
      <c r="U304" t="n">
        <v>6</v>
      </c>
      <c r="V304" t="n">
        <v>8</v>
      </c>
      <c r="W304" t="n">
        <v>6</v>
      </c>
      <c r="X304" t="n">
        <v>0</v>
      </c>
    </row>
    <row r="305">
      <c r="A305" t="inlineStr">
        <is>
          <t>sale of mill corn</t>
        </is>
      </c>
      <c r="B305" t="inlineStr">
        <is>
          <t>8pence from .5 bushels of oatmeal sold.</t>
        </is>
      </c>
      <c r="C305" t="n">
        <v>0.03</v>
      </c>
      <c r="D305" t="n">
        <v>0</v>
      </c>
      <c r="E305" t="n">
        <v>0</v>
      </c>
      <c r="F305" t="n">
        <v>8</v>
      </c>
      <c r="G305" t="inlineStr">
        <is>
          <t>meal, oatmeal</t>
        </is>
      </c>
      <c r="H305" t="n">
        <v>0</v>
      </c>
      <c r="I305" t="n">
        <v>5</v>
      </c>
      <c r="J305" t="n">
        <v>0.62</v>
      </c>
      <c r="K305" t="n">
        <v>0.62</v>
      </c>
      <c r="L305" t="n">
        <v>0</v>
      </c>
      <c r="M305" t="n">
        <v>0</v>
      </c>
      <c r="N305" t="n">
        <v>5</v>
      </c>
    </row>
    <row r="306">
      <c r="A306" t="inlineStr">
        <is>
          <t>sale of mill corn</t>
        </is>
      </c>
      <c r="B306" t="inlineStr">
        <is>
          <t>1 shilling from 6 bushels of fine bran (pulv') sold.</t>
        </is>
      </c>
      <c r="C306" t="n">
        <v>0.05</v>
      </c>
      <c r="D306" t="n">
        <v>0</v>
      </c>
      <c r="E306" t="n">
        <v>1</v>
      </c>
      <c r="F306" t="n">
        <v>0</v>
      </c>
      <c r="H306" t="n">
        <v>0</v>
      </c>
      <c r="I306" t="n">
        <v>6</v>
      </c>
      <c r="J306" t="n">
        <v>0.75</v>
      </c>
      <c r="K306" t="n">
        <v>0.75</v>
      </c>
      <c r="L306" t="n">
        <v>0</v>
      </c>
      <c r="M306" t="n">
        <v>0</v>
      </c>
      <c r="N306" t="n">
        <v>6</v>
      </c>
    </row>
    <row r="307">
      <c r="A307" t="inlineStr">
        <is>
          <t>sale of mill corn</t>
        </is>
      </c>
      <c r="B307" t="inlineStr">
        <is>
          <t>£1 from fishing for eels sold.</t>
        </is>
      </c>
      <c r="C307" t="n">
        <v>1</v>
      </c>
      <c r="D307" t="n">
        <v>1</v>
      </c>
      <c r="E307" t="n">
        <v>0</v>
      </c>
      <c r="F307" t="n">
        <v>0</v>
      </c>
      <c r="H307" t="n">
        <v>0</v>
      </c>
      <c r="I307" t="n">
        <v>0</v>
      </c>
      <c r="J307" t="n">
        <v>0</v>
      </c>
      <c r="K307" t="n">
        <v>0</v>
      </c>
      <c r="L307" t="n">
        <v>0</v>
      </c>
      <c r="M307" t="n">
        <v>0</v>
      </c>
      <c r="N307" t="n">
        <v>0</v>
      </c>
    </row>
    <row r="308">
      <c r="A308" t="inlineStr">
        <is>
          <t>sale of mill corn</t>
        </is>
      </c>
      <c r="B308" t="inlineStr">
        <is>
          <t>total, £17 13 shilling 9pence.</t>
        </is>
      </c>
      <c r="C308" t="n">
        <v>17.69</v>
      </c>
      <c r="D308" t="n">
        <v>17</v>
      </c>
      <c r="E308" t="n">
        <v>13</v>
      </c>
      <c r="F308" t="n">
        <v>9</v>
      </c>
      <c r="H308" t="n">
        <v>0</v>
      </c>
      <c r="I308" t="n">
        <v>0</v>
      </c>
      <c r="J308" t="n">
        <v>0</v>
      </c>
      <c r="K308" t="n">
        <v>0</v>
      </c>
      <c r="L308" t="n">
        <v>0</v>
      </c>
      <c r="M308" t="n">
        <v>0</v>
      </c>
      <c r="N308" t="n">
        <v>0</v>
      </c>
    </row>
    <row r="309">
      <c r="A309" t="inlineStr">
        <is>
          <t>sale of stock</t>
        </is>
      </c>
      <c r="B309" t="inlineStr">
        <is>
          <t>and for 7 shilling from 2 plough-horses from heriots sold.</t>
        </is>
      </c>
      <c r="C309" t="n">
        <v>0.35</v>
      </c>
      <c r="D309" t="n">
        <v>0</v>
      </c>
      <c r="E309" t="n">
        <v>7</v>
      </c>
      <c r="F309" t="n">
        <v>0</v>
      </c>
      <c r="H309" t="n">
        <v>0</v>
      </c>
      <c r="I309" t="n">
        <v>0</v>
      </c>
      <c r="J309" t="n">
        <v>0</v>
      </c>
      <c r="K309" t="n">
        <v>0</v>
      </c>
      <c r="L309" t="n">
        <v>0</v>
      </c>
      <c r="M309" t="n">
        <v>0</v>
      </c>
      <c r="N309" t="n">
        <v>0</v>
      </c>
    </row>
    <row r="310">
      <c r="A310" t="inlineStr">
        <is>
          <t>sale of stock</t>
        </is>
      </c>
      <c r="B310" t="inlineStr">
        <is>
          <t>16 shilling from 2 steers sold useless (inutil') for the lord's stock.</t>
        </is>
      </c>
      <c r="C310" t="n">
        <v>0.8</v>
      </c>
      <c r="D310" t="n">
        <v>0</v>
      </c>
      <c r="E310" t="n">
        <v>16</v>
      </c>
      <c r="F310" t="n">
        <v>0</v>
      </c>
      <c r="H310" t="n">
        <v>0</v>
      </c>
      <c r="I310" t="n">
        <v>0</v>
      </c>
      <c r="J310" t="n">
        <v>0</v>
      </c>
      <c r="K310" t="n">
        <v>0</v>
      </c>
      <c r="L310" t="n">
        <v>0</v>
      </c>
      <c r="M310" t="n">
        <v>0</v>
      </c>
      <c r="N310" t="n">
        <v>0</v>
      </c>
    </row>
    <row r="311">
      <c r="A311" t="inlineStr">
        <is>
          <t>sale of stock</t>
        </is>
      </c>
      <c r="B311" t="inlineStr">
        <is>
          <t>£5 16 shilling from 65 wethers sold before shearing, at 2 shilling each for 23 from payment for pasturage (avesag') at hockday, and 1 shilling 8pence each for 42 kebbs.</t>
        </is>
      </c>
      <c r="C311" t="n">
        <v>5.8</v>
      </c>
      <c r="D311" t="n">
        <v>5</v>
      </c>
      <c r="E311" t="n">
        <v>16</v>
      </c>
      <c r="F311" t="n">
        <v>0</v>
      </c>
      <c r="H311" t="n">
        <v>0</v>
      </c>
      <c r="I311" t="n">
        <v>0</v>
      </c>
      <c r="J311" t="n">
        <v>0</v>
      </c>
      <c r="K311" t="n">
        <v>0</v>
      </c>
      <c r="L311" t="n">
        <v>0</v>
      </c>
      <c r="M311" t="n">
        <v>0</v>
      </c>
      <c r="N311" t="n">
        <v>0</v>
      </c>
    </row>
    <row r="312">
      <c r="A312" t="inlineStr">
        <is>
          <t>sale of stock</t>
        </is>
      </c>
      <c r="B312" t="inlineStr">
        <is>
          <t>£4 15 shilling from 76 kebb ewes sold before shearing, at 1 shilling 3pence each.</t>
        </is>
      </c>
      <c r="C312" t="n">
        <v>4.75</v>
      </c>
      <c r="D312" t="n">
        <v>4</v>
      </c>
      <c r="E312" t="n">
        <v>15</v>
      </c>
      <c r="F312" t="n">
        <v>0</v>
      </c>
      <c r="H312" t="n">
        <v>0</v>
      </c>
      <c r="I312" t="n">
        <v>0</v>
      </c>
      <c r="J312" t="n">
        <v>0</v>
      </c>
      <c r="K312" t="n">
        <v>0</v>
      </c>
      <c r="L312" t="n">
        <v>0</v>
      </c>
      <c r="M312" t="n">
        <v>0</v>
      </c>
      <c r="N312" t="n">
        <v>0</v>
      </c>
    </row>
    <row r="313">
      <c r="A313" t="inlineStr">
        <is>
          <t>sale of stock</t>
        </is>
      </c>
      <c r="B313" t="inlineStr">
        <is>
          <t>£1 2 shilling from 22 hoggs, removed from stock (extract') and rejected, sold before shearing.</t>
        </is>
      </c>
      <c r="C313" t="n">
        <v>1.1</v>
      </c>
      <c r="D313" t="n">
        <v>1</v>
      </c>
      <c r="E313" t="n">
        <v>2</v>
      </c>
      <c r="F313" t="n">
        <v>0</v>
      </c>
      <c r="H313" t="n">
        <v>0</v>
      </c>
      <c r="I313" t="n">
        <v>0</v>
      </c>
      <c r="J313" t="n">
        <v>0</v>
      </c>
      <c r="K313" t="n">
        <v>0</v>
      </c>
      <c r="L313" t="n">
        <v>0</v>
      </c>
      <c r="M313" t="n">
        <v>0</v>
      </c>
      <c r="N313" t="n">
        <v>0</v>
      </c>
    </row>
    <row r="314">
      <c r="A314" t="inlineStr">
        <is>
          <t>sale of stock</t>
        </is>
      </c>
      <c r="B314" t="inlineStr">
        <is>
          <t>17 shilling 6pence from 30 lambs removed from stock sold before shearing, at 7pence each.</t>
        </is>
      </c>
      <c r="C314" t="n">
        <v>0.88</v>
      </c>
      <c r="D314" t="n">
        <v>0</v>
      </c>
      <c r="E314" t="n">
        <v>17</v>
      </c>
      <c r="F314" t="n">
        <v>6</v>
      </c>
      <c r="H314" t="n">
        <v>0</v>
      </c>
      <c r="I314" t="n">
        <v>0</v>
      </c>
      <c r="J314" t="n">
        <v>0</v>
      </c>
      <c r="K314" t="n">
        <v>0</v>
      </c>
      <c r="L314" t="n">
        <v>0</v>
      </c>
      <c r="M314" t="n">
        <v>0</v>
      </c>
      <c r="N314" t="n">
        <v>0</v>
      </c>
    </row>
    <row r="315">
      <c r="A315" t="inlineStr">
        <is>
          <t>sale of stock</t>
        </is>
      </c>
      <c r="B315" t="inlineStr">
        <is>
          <t>£3 6 shilling 8pence from 20 pigs sold, at 3 shilling 4pence each.</t>
        </is>
      </c>
      <c r="C315" t="n">
        <v>3.33</v>
      </c>
      <c r="D315" t="n">
        <v>3</v>
      </c>
      <c r="E315" t="n">
        <v>6</v>
      </c>
      <c r="F315" t="n">
        <v>8</v>
      </c>
      <c r="H315" t="n">
        <v>0</v>
      </c>
      <c r="I315" t="n">
        <v>0</v>
      </c>
      <c r="J315" t="n">
        <v>0</v>
      </c>
      <c r="K315" t="n">
        <v>0</v>
      </c>
      <c r="L315" t="n">
        <v>0</v>
      </c>
      <c r="M315" t="n">
        <v>0</v>
      </c>
      <c r="N315" t="n">
        <v>0</v>
      </c>
    </row>
    <row r="316">
      <c r="A316" t="inlineStr">
        <is>
          <t>sale of stock</t>
        </is>
      </c>
      <c r="B316" t="inlineStr">
        <is>
          <t>7 shilling 4pence from 22 geese sold, at 4pence each.</t>
        </is>
      </c>
      <c r="C316" t="n">
        <v>0.37</v>
      </c>
      <c r="D316" t="n">
        <v>0</v>
      </c>
      <c r="E316" t="n">
        <v>7</v>
      </c>
      <c r="F316" t="n">
        <v>4</v>
      </c>
      <c r="H316" t="n">
        <v>0</v>
      </c>
      <c r="I316" t="n">
        <v>0</v>
      </c>
      <c r="J316" t="n">
        <v>0</v>
      </c>
      <c r="K316" t="n">
        <v>0</v>
      </c>
      <c r="L316" t="n">
        <v>0</v>
      </c>
      <c r="M316" t="n">
        <v>0</v>
      </c>
      <c r="N316" t="n">
        <v>0</v>
      </c>
    </row>
    <row r="317">
      <c r="A317" t="inlineStr">
        <is>
          <t>sale of stock</t>
        </is>
      </c>
      <c r="B317" t="inlineStr">
        <is>
          <t>8 shilling from 24 capons sold, at 4pence each.</t>
        </is>
      </c>
      <c r="C317" t="n">
        <v>0.42</v>
      </c>
      <c r="D317" t="n">
        <v>0</v>
      </c>
      <c r="E317" t="n">
        <v>8</v>
      </c>
      <c r="F317" t="n">
        <v>4</v>
      </c>
      <c r="H317" t="n">
        <v>0</v>
      </c>
      <c r="I317" t="n">
        <v>0</v>
      </c>
      <c r="J317" t="n">
        <v>0</v>
      </c>
      <c r="K317" t="n">
        <v>0</v>
      </c>
      <c r="L317" t="n">
        <v>0</v>
      </c>
      <c r="M317" t="n">
        <v>0</v>
      </c>
      <c r="N317" t="n">
        <v>0</v>
      </c>
    </row>
    <row r="318">
      <c r="A318" t="inlineStr">
        <is>
          <t>sale of stock</t>
        </is>
      </c>
      <c r="B318" t="inlineStr">
        <is>
          <t>total, £17 15 shilling 6pence.</t>
        </is>
      </c>
      <c r="C318" t="n">
        <v>17.77</v>
      </c>
      <c r="D318" t="n">
        <v>17</v>
      </c>
      <c r="E318" t="n">
        <v>15</v>
      </c>
      <c r="F318" t="n">
        <v>6</v>
      </c>
      <c r="H318" t="n">
        <v>0</v>
      </c>
      <c r="I318" t="n">
        <v>0</v>
      </c>
      <c r="J318" t="n">
        <v>0</v>
      </c>
      <c r="K318" t="n">
        <v>0</v>
      </c>
      <c r="L318" t="n">
        <v>0</v>
      </c>
      <c r="M318" t="n">
        <v>0</v>
      </c>
      <c r="N318" t="n">
        <v>0</v>
      </c>
    </row>
    <row r="319">
      <c r="A319" t="inlineStr">
        <is>
          <t>entry and marriage fines</t>
        </is>
      </c>
      <c r="B319" t="inlineStr">
        <is>
          <t>and for 5 shilling from the tithing of bodenham at the tourn of martinmas.</t>
        </is>
      </c>
      <c r="C319" t="n">
        <v>0.25</v>
      </c>
      <c r="D319" t="n">
        <v>0</v>
      </c>
      <c r="E319" t="n">
        <v>5</v>
      </c>
      <c r="F319" t="n">
        <v>0</v>
      </c>
      <c r="H319" t="n">
        <v>0</v>
      </c>
      <c r="I319" t="n">
        <v>0</v>
      </c>
      <c r="J319" t="n">
        <v>0</v>
      </c>
      <c r="K319" t="n">
        <v>0</v>
      </c>
      <c r="L319" t="n">
        <v>0</v>
      </c>
      <c r="M319" t="n">
        <v>0</v>
      </c>
      <c r="N319" t="n">
        <v>0</v>
      </c>
    </row>
    <row r="320">
      <c r="A320" t="inlineStr">
        <is>
          <t>entry and marriage fines</t>
        </is>
      </c>
      <c r="B320" t="inlineStr">
        <is>
          <t>6 shilling 8pence from the tithing of charlton at the same tourn.</t>
        </is>
      </c>
      <c r="C320" t="n">
        <v>0.33</v>
      </c>
      <c r="D320" t="n">
        <v>0</v>
      </c>
      <c r="E320" t="n">
        <v>6</v>
      </c>
      <c r="F320" t="n">
        <v>8</v>
      </c>
      <c r="H320" t="n">
        <v>0</v>
      </c>
      <c r="I320" t="n">
        <v>0</v>
      </c>
      <c r="J320" t="n">
        <v>0</v>
      </c>
      <c r="K320" t="n">
        <v>0</v>
      </c>
      <c r="L320" t="n">
        <v>0</v>
      </c>
      <c r="M320" t="n">
        <v>0</v>
      </c>
      <c r="N320" t="n">
        <v>0</v>
      </c>
    </row>
    <row r="321">
      <c r="A321" t="inlineStr">
        <is>
          <t>entry and marriage fines</t>
        </is>
      </c>
      <c r="B321" t="inlineStr">
        <is>
          <t>2 shilling from the tithing of witherington at the same toum.</t>
        </is>
      </c>
      <c r="C321" t="n">
        <v>0.1</v>
      </c>
      <c r="D321" t="n">
        <v>0</v>
      </c>
      <c r="E321" t="n">
        <v>2</v>
      </c>
      <c r="F321" t="n">
        <v>0</v>
      </c>
      <c r="H321" t="n">
        <v>0</v>
      </c>
      <c r="I321" t="n">
        <v>0</v>
      </c>
      <c r="J321" t="n">
        <v>0</v>
      </c>
      <c r="K321" t="n">
        <v>0</v>
      </c>
      <c r="L321" t="n">
        <v>0</v>
      </c>
      <c r="M321" t="n">
        <v>0</v>
      </c>
      <c r="N321" t="n">
        <v>0</v>
      </c>
    </row>
    <row r="322">
      <c r="A322" t="inlineStr">
        <is>
          <t>entry and marriage fines</t>
        </is>
      </c>
      <c r="B322" t="inlineStr">
        <is>
          <t>6 shilling 8pence from the tithing of the church at the same tourn.</t>
        </is>
      </c>
      <c r="C322" t="n">
        <v>0.33</v>
      </c>
      <c r="D322" t="n">
        <v>0</v>
      </c>
      <c r="E322" t="n">
        <v>6</v>
      </c>
      <c r="F322" t="n">
        <v>8</v>
      </c>
      <c r="H322" t="n">
        <v>0</v>
      </c>
      <c r="I322" t="n">
        <v>0</v>
      </c>
      <c r="J322" t="n">
        <v>0</v>
      </c>
      <c r="K322" t="n">
        <v>0</v>
      </c>
      <c r="L322" t="n">
        <v>0</v>
      </c>
      <c r="M322" t="n">
        <v>0</v>
      </c>
      <c r="N322" t="n">
        <v>0</v>
      </c>
    </row>
    <row r="323">
      <c r="A323" t="inlineStr">
        <is>
          <t>entry and marriage fines</t>
        </is>
      </c>
      <c r="B323" t="inlineStr">
        <is>
          <t>5 shilling from the tithing of downton at the same toum.</t>
        </is>
      </c>
      <c r="C323" t="n">
        <v>0.25</v>
      </c>
      <c r="D323" t="n">
        <v>0</v>
      </c>
      <c r="E323" t="n">
        <v>5</v>
      </c>
      <c r="F323" t="n">
        <v>0</v>
      </c>
      <c r="H323" t="n">
        <v>0</v>
      </c>
      <c r="I323" t="n">
        <v>0</v>
      </c>
      <c r="J323" t="n">
        <v>0</v>
      </c>
      <c r="K323" t="n">
        <v>0</v>
      </c>
      <c r="L323" t="n">
        <v>0</v>
      </c>
      <c r="M323" t="n">
        <v>0</v>
      </c>
      <c r="N323" t="n">
        <v>0</v>
      </c>
    </row>
    <row r="324">
      <c r="A324" t="inlineStr">
        <is>
          <t>entry and marriage fines</t>
        </is>
      </c>
      <c r="B324" t="inlineStr">
        <is>
          <t>5 shilling from the tithing of wick at the same toum.</t>
        </is>
      </c>
      <c r="C324" t="n">
        <v>0.25</v>
      </c>
      <c r="D324" t="n">
        <v>0</v>
      </c>
      <c r="E324" t="n">
        <v>5</v>
      </c>
      <c r="F324" t="n">
        <v>0</v>
      </c>
      <c r="H324" t="n">
        <v>0</v>
      </c>
      <c r="I324" t="n">
        <v>0</v>
      </c>
      <c r="J324" t="n">
        <v>0</v>
      </c>
      <c r="K324" t="n">
        <v>0</v>
      </c>
      <c r="L324" t="n">
        <v>0</v>
      </c>
      <c r="M324" t="n">
        <v>0</v>
      </c>
      <c r="N324" t="n">
        <v>0</v>
      </c>
    </row>
    <row r="325">
      <c r="A325" t="inlineStr">
        <is>
          <t>entry and marriage fines</t>
        </is>
      </c>
      <c r="B325" t="inlineStr">
        <is>
          <t>£1 10 shilling 4pence from the same tithings at the tourn of hockday.</t>
        </is>
      </c>
      <c r="C325" t="n">
        <v>1.52</v>
      </c>
      <c r="D325" t="n">
        <v>1</v>
      </c>
      <c r="E325" t="n">
        <v>10</v>
      </c>
      <c r="F325" t="n">
        <v>4</v>
      </c>
      <c r="H325" t="n">
        <v>0</v>
      </c>
      <c r="I325" t="n">
        <v>0</v>
      </c>
      <c r="J325" t="n">
        <v>0</v>
      </c>
      <c r="K325" t="n">
        <v>0</v>
      </c>
      <c r="L325" t="n">
        <v>0</v>
      </c>
      <c r="M325" t="n">
        <v>0</v>
      </c>
      <c r="N325" t="n">
        <v>0</v>
      </c>
    </row>
    <row r="326">
      <c r="A326" t="inlineStr">
        <is>
          <t>entry and marriage fines</t>
        </is>
      </c>
      <c r="B326" t="inlineStr">
        <is>
          <t>3 shilling 4pence from philip pykenet to have 1 we with a curtilage and .5 virgate of villein land in east downton by surrender john hosyer’.</t>
        </is>
      </c>
      <c r="C326" t="n">
        <v>0.17</v>
      </c>
      <c r="D326" t="n">
        <v>0</v>
      </c>
      <c r="E326" t="n">
        <v>3</v>
      </c>
      <c r="F326" t="n">
        <v>4</v>
      </c>
      <c r="H326" t="n">
        <v>0</v>
      </c>
      <c r="I326" t="n">
        <v>0</v>
      </c>
      <c r="J326" t="n">
        <v>0</v>
      </c>
      <c r="K326" t="n">
        <v>0</v>
      </c>
      <c r="L326" t="n">
        <v>0</v>
      </c>
      <c r="M326" t="n">
        <v>0</v>
      </c>
      <c r="N326" t="n">
        <v>0</v>
      </c>
    </row>
    <row r="327">
      <c r="A327" t="inlineStr">
        <is>
          <t>entry and marriage fines</t>
        </is>
      </c>
      <c r="B327"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C327" t="n">
        <v>0.67</v>
      </c>
      <c r="D327" t="n">
        <v>0</v>
      </c>
      <c r="E327" t="n">
        <v>13</v>
      </c>
      <c r="F327" t="n">
        <v>4</v>
      </c>
      <c r="H327" t="n">
        <v>0</v>
      </c>
      <c r="I327" t="n">
        <v>0</v>
      </c>
      <c r="J327" t="n">
        <v>0</v>
      </c>
      <c r="K327" t="n">
        <v>0</v>
      </c>
      <c r="L327" t="n">
        <v>0</v>
      </c>
      <c r="M327" t="n">
        <v>0</v>
      </c>
      <c r="N327" t="n">
        <v>0</v>
      </c>
    </row>
    <row r="328">
      <c r="A328" t="inlineStr">
        <is>
          <t>entry and marriage fines</t>
        </is>
      </c>
      <c r="B328" t="inlineStr">
        <is>
          <t>13 shilling 4pence from david atte mulle to have 1 messuage with .5 virgate of villein land and 1 enclosure of bordage land called les hangr' in the tithing of east downton by surrender of william ailmere.</t>
        </is>
      </c>
      <c r="C328" t="n">
        <v>0.67</v>
      </c>
      <c r="D328" t="n">
        <v>0</v>
      </c>
      <c r="E328" t="n">
        <v>13</v>
      </c>
      <c r="F328" t="n">
        <v>4</v>
      </c>
      <c r="H328" t="n">
        <v>0</v>
      </c>
      <c r="I328" t="n">
        <v>0</v>
      </c>
      <c r="J328" t="n">
        <v>0</v>
      </c>
      <c r="K328" t="n">
        <v>0</v>
      </c>
      <c r="L328" t="n">
        <v>0</v>
      </c>
      <c r="M328" t="n">
        <v>0</v>
      </c>
      <c r="N328" t="n">
        <v>0</v>
      </c>
    </row>
    <row r="329">
      <c r="A329" t="inlineStr">
        <is>
          <t>entry and marriage fines</t>
        </is>
      </c>
      <c r="B329" t="inlineStr">
        <is>
          <t>2 shilling from john solos to have 1 toft and 1 virgate of villein land in charlton which belonged to robert judde and which came into the lord's hands from a want of kin of the same robert.</t>
        </is>
      </c>
      <c r="C329" t="n">
        <v>0.1</v>
      </c>
      <c r="D329" t="n">
        <v>0</v>
      </c>
      <c r="E329" t="n">
        <v>2</v>
      </c>
      <c r="F329" t="n">
        <v>0</v>
      </c>
      <c r="H329" t="n">
        <v>0</v>
      </c>
      <c r="I329" t="n">
        <v>0</v>
      </c>
      <c r="J329" t="n">
        <v>0</v>
      </c>
      <c r="K329" t="n">
        <v>0</v>
      </c>
      <c r="L329" t="n">
        <v>0</v>
      </c>
      <c r="M329" t="n">
        <v>0</v>
      </c>
      <c r="N329" t="n">
        <v>0</v>
      </c>
    </row>
    <row r="330">
      <c r="A330" t="inlineStr">
        <is>
          <t>entry and marriage fines</t>
        </is>
      </c>
      <c r="B330" t="inlineStr">
        <is>
          <t>1 shilling 8pence from margaret, daughter of john swete, to have 1 messuage with a curtilage and .5 virgate of villein land in bodenham in the tithing of nunton which belonged to the aforesaid john her father.</t>
        </is>
      </c>
      <c r="C330" t="n">
        <v>0.08</v>
      </c>
      <c r="D330" t="n">
        <v>0</v>
      </c>
      <c r="E330" t="n">
        <v>1</v>
      </c>
      <c r="F330" t="n">
        <v>8</v>
      </c>
      <c r="H330" t="n">
        <v>0</v>
      </c>
      <c r="I330" t="n">
        <v>0</v>
      </c>
      <c r="J330" t="n">
        <v>0</v>
      </c>
      <c r="K330" t="n">
        <v>0</v>
      </c>
      <c r="L330" t="n">
        <v>0</v>
      </c>
      <c r="M330" t="n">
        <v>0</v>
      </c>
      <c r="N330" t="n">
        <v>0</v>
      </c>
    </row>
    <row r="331">
      <c r="A331" t="inlineStr">
        <is>
          <t>entry and marriage fines</t>
        </is>
      </c>
      <c r="B331" t="inlineStr">
        <is>
          <t>1 shilling 8pence from william grene to have margaret, daughter of john swete, with her land, that is, 1 messuage with a curtilage and .5 virgate of villein land in bodenham in the tithing of nunton.</t>
        </is>
      </c>
      <c r="C331" t="n">
        <v>0.08</v>
      </c>
      <c r="D331" t="n">
        <v>0</v>
      </c>
      <c r="E331" t="n">
        <v>1</v>
      </c>
      <c r="F331" t="n">
        <v>8</v>
      </c>
      <c r="H331" t="n">
        <v>0</v>
      </c>
      <c r="I331" t="n">
        <v>0</v>
      </c>
      <c r="J331" t="n">
        <v>0</v>
      </c>
      <c r="K331" t="n">
        <v>0</v>
      </c>
      <c r="L331" t="n">
        <v>0</v>
      </c>
      <c r="M331" t="n">
        <v>0</v>
      </c>
      <c r="N331" t="n">
        <v>0</v>
      </c>
    </row>
    <row r="332">
      <c r="A332" t="inlineStr">
        <is>
          <t>entry and marriage fines</t>
        </is>
      </c>
      <c r="B332" t="inlineStr">
        <is>
          <t>1 shilling from robert tut to have 1 messuage and 1 ferling of villein land in wick which belonged to william tut and which came into the lord's hands because the same william abandoned it and refused to hold it any longer, by a fixed lease (extent') in cash.</t>
        </is>
      </c>
      <c r="C332" t="n">
        <v>0.05</v>
      </c>
      <c r="D332" t="n">
        <v>0</v>
      </c>
      <c r="E332" t="n">
        <v>1</v>
      </c>
      <c r="F332" t="n">
        <v>0</v>
      </c>
      <c r="H332" t="n">
        <v>0</v>
      </c>
      <c r="I332" t="n">
        <v>0</v>
      </c>
      <c r="J332" t="n">
        <v>0</v>
      </c>
      <c r="K332" t="n">
        <v>0</v>
      </c>
      <c r="L332" t="n">
        <v>0</v>
      </c>
      <c r="M332" t="n">
        <v>0</v>
      </c>
      <c r="N332" t="n">
        <v>0</v>
      </c>
    </row>
    <row r="333">
      <c r="A333" t="inlineStr">
        <is>
          <t>entry and marriage fines</t>
        </is>
      </c>
      <c r="B333"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C333" t="n">
        <v>0.05</v>
      </c>
      <c r="D333" t="n">
        <v>0</v>
      </c>
      <c r="E333" t="n">
        <v>1</v>
      </c>
      <c r="F333" t="n">
        <v>0</v>
      </c>
      <c r="H333" t="n">
        <v>0</v>
      </c>
      <c r="I333" t="n">
        <v>0</v>
      </c>
      <c r="J333" t="n">
        <v>0</v>
      </c>
      <c r="K333" t="n">
        <v>0</v>
      </c>
      <c r="L333" t="n">
        <v>0</v>
      </c>
      <c r="M333" t="n">
        <v>0</v>
      </c>
      <c r="N333" t="n">
        <v>0</v>
      </c>
    </row>
    <row r="334">
      <c r="A334" t="inlineStr">
        <is>
          <t>entry and marriage fines</t>
        </is>
      </c>
      <c r="B334"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C334" t="n">
        <v>0.05</v>
      </c>
      <c r="D334" t="n">
        <v>0</v>
      </c>
      <c r="E334" t="n">
        <v>1</v>
      </c>
      <c r="F334" t="n">
        <v>0</v>
      </c>
      <c r="H334" t="n">
        <v>0</v>
      </c>
      <c r="I334" t="n">
        <v>0</v>
      </c>
      <c r="J334" t="n">
        <v>0</v>
      </c>
      <c r="K334" t="n">
        <v>0</v>
      </c>
      <c r="L334" t="n">
        <v>0</v>
      </c>
      <c r="M334" t="n">
        <v>0</v>
      </c>
      <c r="N334" t="n">
        <v>0</v>
      </c>
    </row>
    <row r="335">
      <c r="A335" t="inlineStr">
        <is>
          <t>entry and marriage fines</t>
        </is>
      </c>
      <c r="B335" t="inlineStr">
        <is>
          <t>total, £5 3 shilling 2pence.</t>
        </is>
      </c>
      <c r="C335" t="n">
        <v>5.16</v>
      </c>
      <c r="D335" t="n">
        <v>5</v>
      </c>
      <c r="E335" t="n">
        <v>3</v>
      </c>
      <c r="F335" t="n">
        <v>2</v>
      </c>
      <c r="H335" t="n">
        <v>0</v>
      </c>
      <c r="I335" t="n">
        <v>0</v>
      </c>
      <c r="J335" t="n">
        <v>0</v>
      </c>
      <c r="K335" t="n">
        <v>0</v>
      </c>
      <c r="L335" t="n">
        <v>0</v>
      </c>
      <c r="M335" t="n">
        <v>0</v>
      </c>
      <c r="N335" t="n">
        <v>0</v>
      </c>
    </row>
    <row r="336">
      <c r="A336" t="inlineStr">
        <is>
          <t>perquisites of court</t>
        </is>
      </c>
      <c r="B336" t="inlineStr">
        <is>
          <t>and for 7 shilling from the perquisites of the tourn of martinmas (11 november).</t>
        </is>
      </c>
      <c r="C336" t="n">
        <v>0.35</v>
      </c>
      <c r="D336" t="n">
        <v>0</v>
      </c>
      <c r="E336" t="n">
        <v>7</v>
      </c>
      <c r="F336" t="n">
        <v>0</v>
      </c>
      <c r="H336" t="n">
        <v>0</v>
      </c>
      <c r="I336" t="n">
        <v>0</v>
      </c>
      <c r="J336" t="n">
        <v>0</v>
      </c>
      <c r="K336" t="n">
        <v>0</v>
      </c>
      <c r="L336" t="n">
        <v>0</v>
      </c>
      <c r="M336" t="n">
        <v>0</v>
      </c>
      <c r="N336" t="n">
        <v>0</v>
      </c>
    </row>
    <row r="337">
      <c r="A337" t="inlineStr">
        <is>
          <t>perquisites of court</t>
        </is>
      </c>
      <c r="B337" t="inlineStr">
        <is>
          <t>£2 9 shilling 1pence from the perquisites of the courts held before the tourn of hockday.</t>
        </is>
      </c>
      <c r="C337" t="n">
        <v>2.45</v>
      </c>
      <c r="D337" t="n">
        <v>2</v>
      </c>
      <c r="E337" t="n">
        <v>9</v>
      </c>
      <c r="F337" t="n">
        <v>1</v>
      </c>
      <c r="H337" t="n">
        <v>0</v>
      </c>
      <c r="I337" t="n">
        <v>0</v>
      </c>
      <c r="J337" t="n">
        <v>0</v>
      </c>
      <c r="K337" t="n">
        <v>0</v>
      </c>
      <c r="L337" t="n">
        <v>0</v>
      </c>
      <c r="M337" t="n">
        <v>0</v>
      </c>
      <c r="N337" t="n">
        <v>0</v>
      </c>
    </row>
    <row r="338">
      <c r="A338" t="inlineStr">
        <is>
          <t>perquisites of court</t>
        </is>
      </c>
      <c r="B338" t="inlineStr">
        <is>
          <t>7 shilling 9pence from the perquisites of the tourn of hockday (1 april).</t>
        </is>
      </c>
      <c r="C338" t="n">
        <v>0.39</v>
      </c>
      <c r="D338" t="n">
        <v>0</v>
      </c>
      <c r="E338" t="n">
        <v>7</v>
      </c>
      <c r="F338" t="n">
        <v>9</v>
      </c>
      <c r="H338" t="n">
        <v>0</v>
      </c>
      <c r="I338" t="n">
        <v>0</v>
      </c>
      <c r="J338" t="n">
        <v>0</v>
      </c>
      <c r="K338" t="n">
        <v>0</v>
      </c>
      <c r="L338" t="n">
        <v>0</v>
      </c>
      <c r="M338" t="n">
        <v>0</v>
      </c>
      <c r="N338" t="n">
        <v>0</v>
      </c>
    </row>
    <row r="339">
      <c r="A339" t="inlineStr">
        <is>
          <t>perquisites of court</t>
        </is>
      </c>
      <c r="B339" t="inlineStr">
        <is>
          <t>£2 1pence from the perquisites of the courts held after the tourn of hockday.</t>
        </is>
      </c>
      <c r="C339" t="n">
        <v>2</v>
      </c>
      <c r="D339" t="n">
        <v>2</v>
      </c>
      <c r="E339" t="n">
        <v>0</v>
      </c>
      <c r="F339" t="n">
        <v>1</v>
      </c>
      <c r="H339" t="n">
        <v>0</v>
      </c>
      <c r="I339" t="n">
        <v>0</v>
      </c>
      <c r="J339" t="n">
        <v>0</v>
      </c>
      <c r="K339" t="n">
        <v>0</v>
      </c>
      <c r="L339" t="n">
        <v>0</v>
      </c>
      <c r="M339" t="n">
        <v>0</v>
      </c>
      <c r="N339" t="n">
        <v>0</v>
      </c>
    </row>
    <row r="340">
      <c r="A340" t="inlineStr">
        <is>
          <t>perquisites of court</t>
        </is>
      </c>
      <c r="B340" t="inlineStr">
        <is>
          <t>total, £5 3 shilling 11pence.</t>
        </is>
      </c>
      <c r="C340" t="n">
        <v>5.2</v>
      </c>
      <c r="D340" t="n">
        <v>5</v>
      </c>
      <c r="E340" t="n">
        <v>3</v>
      </c>
      <c r="F340" t="n">
        <v>11</v>
      </c>
      <c r="H340" t="n">
        <v>0</v>
      </c>
      <c r="I340" t="n">
        <v>0</v>
      </c>
      <c r="J340" t="n">
        <v>0</v>
      </c>
      <c r="K340" t="n">
        <v>0</v>
      </c>
      <c r="L340" t="n">
        <v>0</v>
      </c>
      <c r="M340" t="n">
        <v>0</v>
      </c>
      <c r="N340" t="n">
        <v>0</v>
      </c>
    </row>
    <row r="341">
      <c r="A341" t="inlineStr">
        <is>
          <t>sale of labour services</t>
        </is>
      </c>
      <c r="B341" t="inlineStr">
        <is>
          <t>and for £2 1 shilling 10.5pence for 100.5 acres called graserthe sold, at 5pence an acre.</t>
        </is>
      </c>
      <c r="C341" t="n">
        <v>2.09</v>
      </c>
      <c r="D341" t="n">
        <v>2</v>
      </c>
      <c r="E341" t="n">
        <v>1</v>
      </c>
      <c r="F341" t="n">
        <v>10.5</v>
      </c>
      <c r="H341" t="n">
        <v>0</v>
      </c>
      <c r="I341" t="n">
        <v>0</v>
      </c>
      <c r="J341" t="n">
        <v>0</v>
      </c>
      <c r="K341" t="n">
        <v>0</v>
      </c>
      <c r="L341" t="n">
        <v>0</v>
      </c>
      <c r="M341" t="n">
        <v>0</v>
      </c>
      <c r="N341" t="n">
        <v>0</v>
      </c>
    </row>
    <row r="342">
      <c r="A342" t="inlineStr">
        <is>
          <t>sale of labour services</t>
        </is>
      </c>
      <c r="B342" t="inlineStr">
        <is>
          <t>15 shilling 5pence for 37 acres of boon-works sold, at 5pence an acre.</t>
        </is>
      </c>
      <c r="C342" t="n">
        <v>0.77</v>
      </c>
      <c r="D342" t="n">
        <v>0</v>
      </c>
      <c r="E342" t="n">
        <v>15</v>
      </c>
      <c r="F342" t="n">
        <v>5</v>
      </c>
      <c r="H342" t="n">
        <v>0</v>
      </c>
      <c r="I342" t="n">
        <v>0</v>
      </c>
      <c r="J342" t="n">
        <v>0</v>
      </c>
      <c r="K342" t="n">
        <v>0</v>
      </c>
      <c r="L342" t="n">
        <v>0</v>
      </c>
      <c r="M342" t="n">
        <v>0</v>
      </c>
      <c r="N342" t="n">
        <v>0</v>
      </c>
    </row>
    <row r="343">
      <c r="A343" t="inlineStr">
        <is>
          <t>sale of labour services</t>
        </is>
      </c>
      <c r="B343" t="inlineStr">
        <is>
          <t>6 shilling for the labour service of .5 virgate of land sold to john throstell'.</t>
        </is>
      </c>
      <c r="C343" t="n">
        <v>0.3</v>
      </c>
      <c r="D343" t="n">
        <v>0</v>
      </c>
      <c r="E343" t="n">
        <v>6</v>
      </c>
      <c r="F343" t="n">
        <v>0</v>
      </c>
      <c r="H343" t="n">
        <v>0</v>
      </c>
      <c r="I343" t="n">
        <v>0</v>
      </c>
      <c r="J343" t="n">
        <v>0</v>
      </c>
      <c r="K343" t="n">
        <v>0</v>
      </c>
      <c r="L343" t="n">
        <v>0</v>
      </c>
      <c r="M343" t="n">
        <v>0</v>
      </c>
      <c r="N343" t="n">
        <v>0</v>
      </c>
    </row>
    <row r="344">
      <c r="A344" t="inlineStr">
        <is>
          <t>sale of labour services</t>
        </is>
      </c>
      <c r="B344" t="inlineStr">
        <is>
          <t>total, £3 3 shilling 3.5pence.</t>
        </is>
      </c>
      <c r="C344" t="n">
        <v>3.16</v>
      </c>
      <c r="D344" t="n">
        <v>3</v>
      </c>
      <c r="E344" t="n">
        <v>3</v>
      </c>
      <c r="F344" t="n">
        <v>3.5</v>
      </c>
      <c r="H344" t="n">
        <v>0</v>
      </c>
      <c r="I344" t="n">
        <v>0</v>
      </c>
      <c r="J344" t="n">
        <v>0</v>
      </c>
      <c r="K344" t="n">
        <v>0</v>
      </c>
      <c r="L344" t="n">
        <v>0</v>
      </c>
      <c r="M344" t="n">
        <v>0</v>
      </c>
      <c r="N344" t="n">
        <v>0</v>
      </c>
    </row>
    <row r="345">
      <c r="A345" t="inlineStr">
        <is>
          <t>sales at the audit</t>
        </is>
      </c>
      <c r="B345" t="inlineStr">
        <is>
          <t>and for £4 4 shilling 9pence from various sales at the audit as made clear elsewhere.</t>
        </is>
      </c>
      <c r="C345" t="n">
        <v>4.24</v>
      </c>
      <c r="D345" t="n">
        <v>4</v>
      </c>
      <c r="E345" t="n">
        <v>4</v>
      </c>
      <c r="F345" t="n">
        <v>9</v>
      </c>
      <c r="H345" t="n">
        <v>0</v>
      </c>
      <c r="I345" t="n">
        <v>0</v>
      </c>
      <c r="J345" t="n">
        <v>0</v>
      </c>
      <c r="K345" t="n">
        <v>0</v>
      </c>
      <c r="L345" t="n">
        <v>0</v>
      </c>
      <c r="M345" t="n">
        <v>0</v>
      </c>
      <c r="N345" t="n">
        <v>0</v>
      </c>
    </row>
    <row r="346">
      <c r="A346" t="inlineStr">
        <is>
          <t>sales at the audit</t>
        </is>
      </c>
      <c r="B346" t="inlineStr">
        <is>
          <t>total, £4 4 shilling 9d,.</t>
        </is>
      </c>
      <c r="C346" t="n">
        <v>4.2</v>
      </c>
      <c r="D346" t="n">
        <v>4</v>
      </c>
      <c r="E346" t="n">
        <v>4</v>
      </c>
      <c r="F346" t="n">
        <v>0</v>
      </c>
      <c r="H346" t="n">
        <v>0</v>
      </c>
      <c r="I346" t="n">
        <v>0</v>
      </c>
      <c r="J346" t="n">
        <v>0</v>
      </c>
      <c r="K346" t="n">
        <v>0</v>
      </c>
      <c r="L346" t="n">
        <v>0</v>
      </c>
      <c r="M346" t="n">
        <v>0</v>
      </c>
      <c r="N346" t="n">
        <v>0</v>
      </c>
    </row>
    <row r="347">
      <c r="A347" t="inlineStr">
        <is>
          <t>total of all receipts with arrears</t>
        </is>
      </c>
      <c r="B347" t="inlineStr">
        <is>
          <t>total of all receipts with arrears, £168 7 shilling 7.25pence.</t>
        </is>
      </c>
      <c r="C347" t="n">
        <v>168.38</v>
      </c>
      <c r="D347" t="n">
        <v>168</v>
      </c>
      <c r="E347" t="n">
        <v>7</v>
      </c>
      <c r="F347" t="n">
        <v>7.25</v>
      </c>
      <c r="H347" t="n">
        <v>0</v>
      </c>
      <c r="I347" t="n">
        <v>0</v>
      </c>
      <c r="J347" t="n">
        <v>0</v>
      </c>
      <c r="K347" t="n">
        <v>0</v>
      </c>
      <c r="L347" t="n">
        <v>0</v>
      </c>
      <c r="M347" t="n">
        <v>0</v>
      </c>
      <c r="N347" t="n">
        <v>0</v>
      </c>
    </row>
    <row r="348">
      <c r="A348" t="inlineStr">
        <is>
          <t>cost of ploughs</t>
        </is>
      </c>
      <c r="B348" t="inlineStr">
        <is>
          <t>in iron and steel bought for the ironwork of 4 poughs for the year with the stipend f the smith £1 4 shilling.</t>
        </is>
      </c>
      <c r="C348" t="n">
        <v>1.2</v>
      </c>
      <c r="D348" t="n">
        <v>1</v>
      </c>
      <c r="E348" t="n">
        <v>4</v>
      </c>
      <c r="F348" t="n">
        <v>0</v>
      </c>
      <c r="H348" t="n">
        <v>0</v>
      </c>
      <c r="I348" t="n">
        <v>0</v>
      </c>
      <c r="J348" t="n">
        <v>0</v>
      </c>
      <c r="K348" t="n">
        <v>0</v>
      </c>
      <c r="L348" t="n">
        <v>0</v>
      </c>
      <c r="M348" t="n">
        <v>0</v>
      </c>
      <c r="N348" t="n">
        <v>0</v>
      </c>
    </row>
    <row r="349">
      <c r="A349" t="inlineStr">
        <is>
          <t>cost of ploughs</t>
        </is>
      </c>
      <c r="B349" t="inlineStr">
        <is>
          <t>shoeing 36 oxen 6 shilling.</t>
        </is>
      </c>
      <c r="C349" t="n">
        <v>0.3</v>
      </c>
      <c r="D349" t="n">
        <v>0</v>
      </c>
      <c r="E349" t="n">
        <v>6</v>
      </c>
      <c r="F349" t="n">
        <v>0</v>
      </c>
      <c r="H349" t="n">
        <v>0</v>
      </c>
      <c r="I349" t="n">
        <v>0</v>
      </c>
      <c r="J349" t="n">
        <v>0</v>
      </c>
      <c r="K349" t="n">
        <v>0</v>
      </c>
      <c r="L349" t="n">
        <v>0</v>
      </c>
      <c r="M349" t="n">
        <v>0</v>
      </c>
      <c r="N349" t="n">
        <v>0</v>
      </c>
    </row>
    <row r="350">
      <c r="A350" t="inlineStr">
        <is>
          <t>cost of ploughs</t>
        </is>
      </c>
      <c r="B350" t="inlineStr">
        <is>
          <t>4' plough feet bought 1 shilling 8pence.</t>
        </is>
      </c>
      <c r="C350" t="n">
        <v>0.08</v>
      </c>
      <c r="D350" t="n">
        <v>0</v>
      </c>
      <c r="E350" t="n">
        <v>1</v>
      </c>
      <c r="F350" t="n">
        <v>8</v>
      </c>
      <c r="H350" t="n">
        <v>0</v>
      </c>
      <c r="I350" t="n">
        <v>0</v>
      </c>
      <c r="J350" t="n">
        <v>0</v>
      </c>
      <c r="K350" t="n">
        <v>0</v>
      </c>
      <c r="L350" t="n">
        <v>0</v>
      </c>
      <c r="M350" t="n">
        <v>0</v>
      </c>
      <c r="N350" t="n">
        <v>0</v>
      </c>
    </row>
    <row r="351">
      <c r="A351" t="inlineStr">
        <is>
          <t>cost of ploughs</t>
        </is>
      </c>
      <c r="B351" t="inlineStr">
        <is>
          <t>2 pairs of wheels bought for the ploughs 1 shilling 4pence.</t>
        </is>
      </c>
      <c r="C351" t="n">
        <v>0.07000000000000001</v>
      </c>
      <c r="D351" t="n">
        <v>0</v>
      </c>
      <c r="E351" t="n">
        <v>1</v>
      </c>
      <c r="F351" t="n">
        <v>4</v>
      </c>
      <c r="H351" t="n">
        <v>0</v>
      </c>
      <c r="I351" t="n">
        <v>0</v>
      </c>
      <c r="J351" t="n">
        <v>0</v>
      </c>
      <c r="K351" t="n">
        <v>0</v>
      </c>
      <c r="L351" t="n">
        <v>0</v>
      </c>
      <c r="M351" t="n">
        <v>0</v>
      </c>
      <c r="N351" t="n">
        <v>0</v>
      </c>
    </row>
    <row r="352">
      <c r="A352" t="inlineStr">
        <is>
          <t>cost of ploughs</t>
        </is>
      </c>
      <c r="B352" t="inlineStr">
        <is>
          <t>mending iron crooks, rings and staples for the ploughs 1 shilling.</t>
        </is>
      </c>
      <c r="C352" t="n">
        <v>0.05</v>
      </c>
      <c r="D352" t="n">
        <v>0</v>
      </c>
      <c r="E352" t="n">
        <v>1</v>
      </c>
      <c r="F352" t="n">
        <v>0</v>
      </c>
      <c r="H352" t="n">
        <v>0</v>
      </c>
      <c r="I352" t="n">
        <v>0</v>
      </c>
      <c r="J352" t="n">
        <v>0</v>
      </c>
      <c r="K352" t="n">
        <v>0</v>
      </c>
      <c r="L352" t="n">
        <v>0</v>
      </c>
      <c r="M352" t="n">
        <v>0</v>
      </c>
      <c r="N352" t="n">
        <v>0</v>
      </c>
    </row>
    <row r="353">
      <c r="A353" t="inlineStr">
        <is>
          <t>cost of ploughs</t>
        </is>
      </c>
      <c r="B353" t="inlineStr">
        <is>
          <t>agreement with 1 man to make and maintain the ploughs for the year 5s.</t>
        </is>
      </c>
      <c r="C353" t="n">
        <v>0</v>
      </c>
      <c r="D353" t="n">
        <v>0</v>
      </c>
      <c r="E353" t="n">
        <v>0</v>
      </c>
      <c r="F353" t="n">
        <v>0</v>
      </c>
      <c r="H353" t="n">
        <v>0</v>
      </c>
      <c r="I353" t="n">
        <v>0</v>
      </c>
      <c r="J353" t="n">
        <v>0</v>
      </c>
      <c r="K353" t="n">
        <v>0</v>
      </c>
      <c r="L353" t="n">
        <v>0</v>
      </c>
      <c r="M353" t="n">
        <v>0</v>
      </c>
      <c r="N353" t="n">
        <v>0</v>
      </c>
    </row>
    <row r="354">
      <c r="A354" t="inlineStr">
        <is>
          <t>cost of ploughs</t>
        </is>
      </c>
      <c r="B354" t="inlineStr">
        <is>
          <t>6 yokes bought 1 shilling.</t>
        </is>
      </c>
      <c r="C354" t="n">
        <v>0.05</v>
      </c>
      <c r="D354" t="n">
        <v>0</v>
      </c>
      <c r="E354" t="n">
        <v>1</v>
      </c>
      <c r="F354" t="n">
        <v>0</v>
      </c>
      <c r="H354" t="n">
        <v>0</v>
      </c>
      <c r="I354" t="n">
        <v>0</v>
      </c>
      <c r="J354" t="n">
        <v>0</v>
      </c>
      <c r="K354" t="n">
        <v>0</v>
      </c>
      <c r="L354" t="n">
        <v>0</v>
      </c>
      <c r="M354" t="n">
        <v>0</v>
      </c>
      <c r="N354" t="n">
        <v>0</v>
      </c>
    </row>
    <row r="355">
      <c r="A355" t="inlineStr">
        <is>
          <t>cost of ploughs</t>
        </is>
      </c>
      <c r="B355" t="inlineStr">
        <is>
          <t>2 ploughshares bought 3 shilling.</t>
        </is>
      </c>
      <c r="C355" t="n">
        <v>0.15</v>
      </c>
      <c r="D355" t="n">
        <v>0</v>
      </c>
      <c r="E355" t="n">
        <v>3</v>
      </c>
      <c r="F355" t="n">
        <v>0</v>
      </c>
      <c r="H355" t="n">
        <v>0</v>
      </c>
      <c r="I355" t="n">
        <v>0</v>
      </c>
      <c r="J355" t="n">
        <v>0</v>
      </c>
      <c r="K355" t="n">
        <v>0</v>
      </c>
      <c r="L355" t="n">
        <v>0</v>
      </c>
      <c r="M355" t="n">
        <v>0</v>
      </c>
      <c r="N355" t="n">
        <v>0</v>
      </c>
    </row>
    <row r="356">
      <c r="A356" t="inlineStr">
        <is>
          <t>cost of ploughs</t>
        </is>
      </c>
      <c r="B356" t="inlineStr">
        <is>
          <t>customary payment to the customary tenants ploughing 20 acres according to custom 3 shilling 4pence, at 2pence an acre.</t>
        </is>
      </c>
      <c r="C356" t="n">
        <v>0.17</v>
      </c>
      <c r="D356" t="n">
        <v>0</v>
      </c>
      <c r="E356" t="n">
        <v>3</v>
      </c>
      <c r="F356" t="n">
        <v>4</v>
      </c>
      <c r="H356" t="n">
        <v>0</v>
      </c>
      <c r="I356" t="n">
        <v>0</v>
      </c>
      <c r="J356" t="n">
        <v>0</v>
      </c>
      <c r="K356" t="n">
        <v>0</v>
      </c>
      <c r="L356" t="n">
        <v>0</v>
      </c>
      <c r="M356" t="n">
        <v>0</v>
      </c>
      <c r="N356" t="n">
        <v>0</v>
      </c>
    </row>
    <row r="357">
      <c r="A357" t="inlineStr">
        <is>
          <t>cost of ploughs</t>
        </is>
      </c>
      <c r="B357" t="inlineStr">
        <is>
          <t>2 harrows bought 1 shilling 4pence.</t>
        </is>
      </c>
      <c r="C357" t="n">
        <v>0.07000000000000001</v>
      </c>
      <c r="D357" t="n">
        <v>0</v>
      </c>
      <c r="E357" t="n">
        <v>1</v>
      </c>
      <c r="F357" t="n">
        <v>4</v>
      </c>
      <c r="H357" t="n">
        <v>0</v>
      </c>
      <c r="I357" t="n">
        <v>0</v>
      </c>
      <c r="J357" t="n">
        <v>0</v>
      </c>
      <c r="K357" t="n">
        <v>0</v>
      </c>
      <c r="L357" t="n">
        <v>0</v>
      </c>
      <c r="M357" t="n">
        <v>0</v>
      </c>
      <c r="N357" t="n">
        <v>0</v>
      </c>
    </row>
    <row r="358">
      <c r="A358" t="inlineStr">
        <is>
          <t>cost of ploughs</t>
        </is>
      </c>
      <c r="B358" t="inlineStr">
        <is>
          <t>iron teeth bought for 1 harrow 2 shilling.</t>
        </is>
      </c>
      <c r="C358" t="n">
        <v>0.1</v>
      </c>
      <c r="D358" t="n">
        <v>0</v>
      </c>
      <c r="E358" t="n">
        <v>2</v>
      </c>
      <c r="F358" t="n">
        <v>0</v>
      </c>
      <c r="H358" t="n">
        <v>0</v>
      </c>
      <c r="I358" t="n">
        <v>0</v>
      </c>
      <c r="J358" t="n">
        <v>0</v>
      </c>
      <c r="K358" t="n">
        <v>0</v>
      </c>
      <c r="L358" t="n">
        <v>0</v>
      </c>
      <c r="M358" t="n">
        <v>0</v>
      </c>
      <c r="N358" t="n">
        <v>0</v>
      </c>
    </row>
    <row r="359">
      <c r="A359" t="inlineStr">
        <is>
          <t>cost of ploughs</t>
        </is>
      </c>
      <c r="B359" t="inlineStr">
        <is>
          <t>reinforcing and sharpening the iron teeth of the other harrow 1 shilling.</t>
        </is>
      </c>
      <c r="C359" t="n">
        <v>0.05</v>
      </c>
      <c r="D359" t="n">
        <v>0</v>
      </c>
      <c r="E359" t="n">
        <v>1</v>
      </c>
      <c r="F359" t="n">
        <v>0</v>
      </c>
      <c r="H359" t="n">
        <v>0</v>
      </c>
      <c r="I359" t="n">
        <v>0</v>
      </c>
      <c r="J359" t="n">
        <v>0</v>
      </c>
      <c r="K359" t="n">
        <v>0</v>
      </c>
      <c r="L359" t="n">
        <v>0</v>
      </c>
      <c r="M359" t="n">
        <v>0</v>
      </c>
      <c r="N359" t="n">
        <v>0</v>
      </c>
    </row>
    <row r="360">
      <c r="A360" t="inlineStr">
        <is>
          <t>cost of ploughs</t>
        </is>
      </c>
      <c r="B360" t="inlineStr">
        <is>
          <t>stipend of 2 oxherds for the year 12 shilling.</t>
        </is>
      </c>
      <c r="C360" t="n">
        <v>0.6</v>
      </c>
      <c r="D360" t="n">
        <v>0</v>
      </c>
      <c r="E360" t="n">
        <v>12</v>
      </c>
      <c r="F360" t="n">
        <v>0</v>
      </c>
      <c r="H360" t="n">
        <v>0</v>
      </c>
      <c r="I360" t="n">
        <v>0</v>
      </c>
      <c r="J360" t="n">
        <v>0</v>
      </c>
      <c r="K360" t="n">
        <v>0</v>
      </c>
      <c r="L360" t="n">
        <v>0</v>
      </c>
      <c r="M360" t="n">
        <v>0</v>
      </c>
      <c r="N360" t="n">
        <v>0</v>
      </c>
    </row>
    <row r="361">
      <c r="A361" t="inlineStr">
        <is>
          <t>cost of ploughs</t>
        </is>
      </c>
      <c r="B361" t="inlineStr">
        <is>
          <t>stipend of 6 drovers for the year £1 4 shilling.</t>
        </is>
      </c>
      <c r="C361" t="n">
        <v>1.2</v>
      </c>
      <c r="D361" t="n">
        <v>1</v>
      </c>
      <c r="E361" t="n">
        <v>4</v>
      </c>
      <c r="F361" t="n">
        <v>0</v>
      </c>
      <c r="H361" t="n">
        <v>0</v>
      </c>
      <c r="I361" t="n">
        <v>0</v>
      </c>
      <c r="J361" t="n">
        <v>0</v>
      </c>
      <c r="K361" t="n">
        <v>0</v>
      </c>
      <c r="L361" t="n">
        <v>0</v>
      </c>
      <c r="M361" t="n">
        <v>0</v>
      </c>
      <c r="N361" t="n">
        <v>0</v>
      </c>
    </row>
    <row r="362">
      <c r="A362" t="inlineStr">
        <is>
          <t>cost of ploughs</t>
        </is>
      </c>
      <c r="B362" t="inlineStr">
        <is>
          <t>total, £4 6 shilling 8pence.</t>
        </is>
      </c>
      <c r="C362" t="n">
        <v>4.33</v>
      </c>
      <c r="D362" t="n">
        <v>4</v>
      </c>
      <c r="E362" t="n">
        <v>6</v>
      </c>
      <c r="F362" t="n">
        <v>8</v>
      </c>
      <c r="H362" t="n">
        <v>0</v>
      </c>
      <c r="I362" t="n">
        <v>0</v>
      </c>
      <c r="J362" t="n">
        <v>0</v>
      </c>
      <c r="K362" t="n">
        <v>0</v>
      </c>
      <c r="L362" t="n">
        <v>0</v>
      </c>
      <c r="M362" t="n">
        <v>0</v>
      </c>
      <c r="N362" t="n">
        <v>0</v>
      </c>
    </row>
    <row r="363">
      <c r="A363" t="inlineStr">
        <is>
          <t>cost of carts</t>
        </is>
      </c>
      <c r="B363" t="inlineStr">
        <is>
          <t>in 8 clouts with nails bought for the cart 1 shilling 8pence.</t>
        </is>
      </c>
      <c r="C363" t="n">
        <v>0.08</v>
      </c>
      <c r="D363" t="n">
        <v>0</v>
      </c>
      <c r="E363" t="n">
        <v>1</v>
      </c>
      <c r="F363" t="n">
        <v>8</v>
      </c>
      <c r="H363" t="n">
        <v>0</v>
      </c>
      <c r="I363" t="n">
        <v>0</v>
      </c>
      <c r="J363" t="n">
        <v>0</v>
      </c>
      <c r="K363" t="n">
        <v>0</v>
      </c>
      <c r="L363" t="n">
        <v>0</v>
      </c>
      <c r="M363" t="n">
        <v>0</v>
      </c>
      <c r="N363" t="n">
        <v>0</v>
      </c>
    </row>
    <row r="364">
      <c r="A364" t="inlineStr">
        <is>
          <t>cost of carts</t>
        </is>
      </c>
      <c r="B364" t="inlineStr">
        <is>
          <t>grease bought for the cart 6pence.</t>
        </is>
      </c>
      <c r="C364" t="n">
        <v>0.03</v>
      </c>
      <c r="D364" t="n">
        <v>0</v>
      </c>
      <c r="E364" t="n">
        <v>0</v>
      </c>
      <c r="F364" t="n">
        <v>6</v>
      </c>
      <c r="H364" t="n">
        <v>0</v>
      </c>
      <c r="I364" t="n">
        <v>0</v>
      </c>
      <c r="J364" t="n">
        <v>0</v>
      </c>
      <c r="K364" t="n">
        <v>0</v>
      </c>
      <c r="L364" t="n">
        <v>0</v>
      </c>
      <c r="M364" t="n">
        <v>0</v>
      </c>
      <c r="N364" t="n">
        <v>0</v>
      </c>
    </row>
    <row r="365">
      <c r="A365" t="inlineStr">
        <is>
          <t>cost of carts</t>
        </is>
      </c>
      <c r="B365" t="inlineStr">
        <is>
          <t>white leather bought 1 shilling 4pence.</t>
        </is>
      </c>
      <c r="C365" t="n">
        <v>0.07000000000000001</v>
      </c>
      <c r="D365" t="n">
        <v>0</v>
      </c>
      <c r="E365" t="n">
        <v>1</v>
      </c>
      <c r="F365" t="n">
        <v>4</v>
      </c>
      <c r="H365" t="n">
        <v>0</v>
      </c>
      <c r="I365" t="n">
        <v>0</v>
      </c>
      <c r="J365" t="n">
        <v>0</v>
      </c>
      <c r="K365" t="n">
        <v>0</v>
      </c>
      <c r="L365" t="n">
        <v>0</v>
      </c>
      <c r="M365" t="n">
        <v>0</v>
      </c>
      <c r="N365" t="n">
        <v>0</v>
      </c>
    </row>
    <row r="366">
      <c r="A366" t="inlineStr">
        <is>
          <t>cost of carts</t>
        </is>
      </c>
      <c r="B366" t="inlineStr">
        <is>
          <t>4 halters bought 4pence.</t>
        </is>
      </c>
      <c r="C366" t="n">
        <v>0.02</v>
      </c>
      <c r="D366" t="n">
        <v>0</v>
      </c>
      <c r="E366" t="n">
        <v>0</v>
      </c>
      <c r="F366" t="n">
        <v>4</v>
      </c>
      <c r="H366" t="n">
        <v>0</v>
      </c>
      <c r="I366" t="n">
        <v>0</v>
      </c>
      <c r="J366" t="n">
        <v>0</v>
      </c>
      <c r="K366" t="n">
        <v>0</v>
      </c>
      <c r="L366" t="n">
        <v>0</v>
      </c>
      <c r="M366" t="n">
        <v>0</v>
      </c>
      <c r="N366" t="n">
        <v>0</v>
      </c>
    </row>
    <row r="367">
      <c r="A367" t="inlineStr">
        <is>
          <t>cost of carts</t>
        </is>
      </c>
      <c r="B367" t="inlineStr">
        <is>
          <t>fitting the cart with axles 8pence.</t>
        </is>
      </c>
      <c r="C367" t="n">
        <v>0.03</v>
      </c>
      <c r="D367" t="n">
        <v>0</v>
      </c>
      <c r="E367" t="n">
        <v>0</v>
      </c>
      <c r="F367" t="n">
        <v>8</v>
      </c>
      <c r="H367" t="n">
        <v>0</v>
      </c>
      <c r="I367" t="n">
        <v>0</v>
      </c>
      <c r="J367" t="n">
        <v>0</v>
      </c>
      <c r="K367" t="n">
        <v>0</v>
      </c>
      <c r="L367" t="n">
        <v>0</v>
      </c>
      <c r="M367" t="n">
        <v>0</v>
      </c>
      <c r="N367" t="n">
        <v>0</v>
      </c>
    </row>
    <row r="368">
      <c r="A368" t="inlineStr">
        <is>
          <t>cost of carts</t>
        </is>
      </c>
      <c r="B368" t="inlineStr">
        <is>
          <t>4 clouts with nails bought for the dung-cart 10pence.</t>
        </is>
      </c>
      <c r="C368" t="n">
        <v>0.04</v>
      </c>
      <c r="D368" t="n">
        <v>0</v>
      </c>
      <c r="E368" t="n">
        <v>0</v>
      </c>
      <c r="F368" t="n">
        <v>10</v>
      </c>
      <c r="H368" t="n">
        <v>0</v>
      </c>
      <c r="I368" t="n">
        <v>0</v>
      </c>
      <c r="J368" t="n">
        <v>0</v>
      </c>
      <c r="K368" t="n">
        <v>0</v>
      </c>
      <c r="L368" t="n">
        <v>0</v>
      </c>
      <c r="M368" t="n">
        <v>0</v>
      </c>
      <c r="N368" t="n">
        <v>0</v>
      </c>
    </row>
    <row r="369">
      <c r="A369" t="inlineStr">
        <is>
          <t>cost of carts</t>
        </is>
      </c>
      <c r="B369" t="inlineStr">
        <is>
          <t>fitting the same cart with axles 4pence.</t>
        </is>
      </c>
      <c r="C369" t="n">
        <v>0.02</v>
      </c>
      <c r="D369" t="n">
        <v>0</v>
      </c>
      <c r="E369" t="n">
        <v>0</v>
      </c>
      <c r="F369" t="n">
        <v>4</v>
      </c>
      <c r="H369" t="n">
        <v>0</v>
      </c>
      <c r="I369" t="n">
        <v>0</v>
      </c>
      <c r="J369" t="n">
        <v>0</v>
      </c>
      <c r="K369" t="n">
        <v>0</v>
      </c>
      <c r="L369" t="n">
        <v>0</v>
      </c>
      <c r="M369" t="n">
        <v>0</v>
      </c>
      <c r="N369" t="n">
        <v>0</v>
      </c>
    </row>
    <row r="370">
      <c r="A370" t="inlineStr">
        <is>
          <t>cost of carts</t>
        </is>
      </c>
      <c r="B370" t="inlineStr">
        <is>
          <t>grease bought for the same cart 2pence.</t>
        </is>
      </c>
      <c r="C370" t="n">
        <v>0.01</v>
      </c>
      <c r="D370" t="n">
        <v>0</v>
      </c>
      <c r="E370" t="n">
        <v>0</v>
      </c>
      <c r="F370" t="n">
        <v>2</v>
      </c>
      <c r="H370" t="n">
        <v>0</v>
      </c>
      <c r="I370" t="n">
        <v>0</v>
      </c>
      <c r="J370" t="n">
        <v>0</v>
      </c>
      <c r="K370" t="n">
        <v>0</v>
      </c>
      <c r="L370" t="n">
        <v>0</v>
      </c>
      <c r="M370" t="n">
        <v>0</v>
      </c>
      <c r="N370" t="n">
        <v>0</v>
      </c>
    </row>
    <row r="371">
      <c r="A371" t="inlineStr">
        <is>
          <t>cost of carts</t>
        </is>
      </c>
      <c r="B371" t="inlineStr">
        <is>
          <t>2 collars bought 2 shilling.</t>
        </is>
      </c>
      <c r="C371" t="n">
        <v>0.1</v>
      </c>
      <c r="D371" t="n">
        <v>0</v>
      </c>
      <c r="E371" t="n">
        <v>2</v>
      </c>
      <c r="F371" t="n">
        <v>0</v>
      </c>
      <c r="H371" t="n">
        <v>0</v>
      </c>
      <c r="I371" t="n">
        <v>0</v>
      </c>
      <c r="J371" t="n">
        <v>0</v>
      </c>
      <c r="K371" t="n">
        <v>0</v>
      </c>
      <c r="L371" t="n">
        <v>0</v>
      </c>
      <c r="M371" t="n">
        <v>0</v>
      </c>
      <c r="N371" t="n">
        <v>0</v>
      </c>
    </row>
    <row r="372">
      <c r="A372" t="inlineStr">
        <is>
          <t>cost of carts</t>
        </is>
      </c>
      <c r="B372" t="inlineStr">
        <is>
          <t>2 pairs of traces bought 1 shilling.</t>
        </is>
      </c>
      <c r="C372" t="n">
        <v>0.05</v>
      </c>
      <c r="D372" t="n">
        <v>0</v>
      </c>
      <c r="E372" t="n">
        <v>1</v>
      </c>
      <c r="F372" t="n">
        <v>0</v>
      </c>
      <c r="H372" t="n">
        <v>0</v>
      </c>
      <c r="I372" t="n">
        <v>0</v>
      </c>
      <c r="J372" t="n">
        <v>0</v>
      </c>
      <c r="K372" t="n">
        <v>0</v>
      </c>
      <c r="L372" t="n">
        <v>0</v>
      </c>
      <c r="M372" t="n">
        <v>0</v>
      </c>
      <c r="N372" t="n">
        <v>0</v>
      </c>
    </row>
    <row r="373">
      <c r="A373" t="inlineStr">
        <is>
          <t>cost of carts</t>
        </is>
      </c>
      <c r="B373" t="inlineStr">
        <is>
          <t>shoeing 4 horses for the year 8 shilling.</t>
        </is>
      </c>
      <c r="C373" t="n">
        <v>0.4</v>
      </c>
      <c r="D373" t="n">
        <v>0</v>
      </c>
      <c r="E373" t="n">
        <v>8</v>
      </c>
      <c r="F373" t="n">
        <v>0</v>
      </c>
      <c r="H373" t="n">
        <v>0</v>
      </c>
      <c r="I373" t="n">
        <v>0</v>
      </c>
      <c r="J373" t="n">
        <v>0</v>
      </c>
      <c r="K373" t="n">
        <v>0</v>
      </c>
      <c r="L373" t="n">
        <v>0</v>
      </c>
      <c r="M373" t="n">
        <v>0</v>
      </c>
      <c r="N373" t="n">
        <v>0</v>
      </c>
    </row>
    <row r="374">
      <c r="A374" t="inlineStr">
        <is>
          <t>cost of carts</t>
        </is>
      </c>
      <c r="B374" t="inlineStr">
        <is>
          <t>stipend of 2 carters for the year 13 shilling 4pence.</t>
        </is>
      </c>
      <c r="C374" t="n">
        <v>0.67</v>
      </c>
      <c r="D374" t="n">
        <v>0</v>
      </c>
      <c r="E374" t="n">
        <v>13</v>
      </c>
      <c r="F374" t="n">
        <v>4</v>
      </c>
      <c r="H374" t="n">
        <v>0</v>
      </c>
      <c r="I374" t="n">
        <v>0</v>
      </c>
      <c r="J374" t="n">
        <v>0</v>
      </c>
      <c r="K374" t="n">
        <v>0</v>
      </c>
      <c r="L374" t="n">
        <v>0</v>
      </c>
      <c r="M374" t="n">
        <v>0</v>
      </c>
      <c r="N374" t="n">
        <v>0</v>
      </c>
    </row>
    <row r="375">
      <c r="A375" t="inlineStr">
        <is>
          <t>cost of carts</t>
        </is>
      </c>
      <c r="B375" t="inlineStr">
        <is>
          <t>1 cart saddle with saddle-pads bought 10pence.</t>
        </is>
      </c>
      <c r="C375" t="n">
        <v>0.04</v>
      </c>
      <c r="D375" t="n">
        <v>0</v>
      </c>
      <c r="E375" t="n">
        <v>0</v>
      </c>
      <c r="F375" t="n">
        <v>10</v>
      </c>
      <c r="H375" t="n">
        <v>0</v>
      </c>
      <c r="I375" t="n">
        <v>0</v>
      </c>
      <c r="J375" t="n">
        <v>0</v>
      </c>
      <c r="K375" t="n">
        <v>0</v>
      </c>
      <c r="L375" t="n">
        <v>0</v>
      </c>
      <c r="M375" t="n">
        <v>0</v>
      </c>
      <c r="N375" t="n">
        <v>0</v>
      </c>
    </row>
    <row r="376">
      <c r="A376" t="inlineStr">
        <is>
          <t>cost of carts</t>
        </is>
      </c>
      <c r="B376" t="inlineStr">
        <is>
          <t>total, £1 11 shilling.</t>
        </is>
      </c>
      <c r="C376" t="n">
        <v>1.55</v>
      </c>
      <c r="D376" t="n">
        <v>1</v>
      </c>
      <c r="E376" t="n">
        <v>11</v>
      </c>
      <c r="F376" t="n">
        <v>0</v>
      </c>
      <c r="H376" t="n">
        <v>0</v>
      </c>
      <c r="I376" t="n">
        <v>0</v>
      </c>
      <c r="J376" t="n">
        <v>0</v>
      </c>
      <c r="K376" t="n">
        <v>0</v>
      </c>
      <c r="L376" t="n">
        <v>0</v>
      </c>
      <c r="M376" t="n">
        <v>0</v>
      </c>
      <c r="N376" t="n">
        <v>0</v>
      </c>
    </row>
    <row r="377">
      <c r="A377" t="inlineStr">
        <is>
          <t>cost of buildings</t>
        </is>
      </c>
      <c r="B377" t="inlineStr">
        <is>
          <t>in hiring 1 roofer with 1 mate (servitor') to roof and mend the defects on the lord's chamber and bailiff's chamber for 4 days 2 shilling 8pence, taking together 8pence a day.</t>
        </is>
      </c>
      <c r="C377" t="n">
        <v>0.13</v>
      </c>
      <c r="D377" t="n">
        <v>0</v>
      </c>
      <c r="E377" t="n">
        <v>2</v>
      </c>
      <c r="F377" t="n">
        <v>8</v>
      </c>
      <c r="H377" t="n">
        <v>0</v>
      </c>
      <c r="I377" t="n">
        <v>0</v>
      </c>
      <c r="J377" t="n">
        <v>0</v>
      </c>
      <c r="K377" t="n">
        <v>0</v>
      </c>
      <c r="L377" t="n">
        <v>0</v>
      </c>
      <c r="M377" t="n">
        <v>0</v>
      </c>
      <c r="N377" t="n">
        <v>0</v>
      </c>
    </row>
    <row r="378">
      <c r="A378" t="inlineStr">
        <is>
          <t>cost of buildings</t>
        </is>
      </c>
      <c r="B378" t="inlineStr">
        <is>
          <t>2 old wine casks bought to make shingles therefrom for the lord's chamber 2 shilling 4pence.</t>
        </is>
      </c>
      <c r="C378" t="n">
        <v>0.12</v>
      </c>
      <c r="D378" t="n">
        <v>0</v>
      </c>
      <c r="E378" t="n">
        <v>2</v>
      </c>
      <c r="F378" t="n">
        <v>4</v>
      </c>
      <c r="H378" t="n">
        <v>0</v>
      </c>
      <c r="I378" t="n">
        <v>0</v>
      </c>
      <c r="J378" t="n">
        <v>0</v>
      </c>
      <c r="K378" t="n">
        <v>0</v>
      </c>
      <c r="L378" t="n">
        <v>0</v>
      </c>
      <c r="M378" t="n">
        <v>0</v>
      </c>
      <c r="N378" t="n">
        <v>0</v>
      </c>
    </row>
    <row r="379">
      <c r="A379" t="inlineStr">
        <is>
          <t>cost of buildings</t>
        </is>
      </c>
      <c r="B379" t="inlineStr">
        <is>
          <t>nails bought for the same 4pence.</t>
        </is>
      </c>
      <c r="C379" t="n">
        <v>0.02</v>
      </c>
      <c r="D379" t="n">
        <v>0</v>
      </c>
      <c r="E379" t="n">
        <v>0</v>
      </c>
      <c r="F379" t="n">
        <v>4</v>
      </c>
      <c r="H379" t="n">
        <v>0</v>
      </c>
      <c r="I379" t="n">
        <v>0</v>
      </c>
      <c r="J379" t="n">
        <v>0</v>
      </c>
      <c r="K379" t="n">
        <v>0</v>
      </c>
      <c r="L379" t="n">
        <v>0</v>
      </c>
      <c r="M379" t="n">
        <v>0</v>
      </c>
      <c r="N379" t="n">
        <v>0</v>
      </c>
    </row>
    <row r="380">
      <c r="A380" t="inlineStr">
        <is>
          <t>cost of buildings</t>
        </is>
      </c>
      <c r="B380" t="inlineStr">
        <is>
          <t>enclosing with new hedge 1 furlong 35 perches at the northern end of suthmed' 4 shilling 8pence, at 2 shilling 6pence a furlong.</t>
        </is>
      </c>
      <c r="C380" t="n">
        <v>0.23</v>
      </c>
      <c r="D380" t="n">
        <v>0</v>
      </c>
      <c r="E380" t="n">
        <v>4</v>
      </c>
      <c r="F380" t="n">
        <v>8</v>
      </c>
      <c r="H380" t="n">
        <v>0</v>
      </c>
      <c r="I380" t="n">
        <v>0</v>
      </c>
      <c r="J380" t="n">
        <v>0</v>
      </c>
      <c r="K380" t="n">
        <v>0</v>
      </c>
      <c r="L380" t="n">
        <v>0</v>
      </c>
      <c r="M380" t="n">
        <v>0</v>
      </c>
      <c r="N380" t="n">
        <v>0</v>
      </c>
    </row>
    <row r="381">
      <c r="A381" t="inlineStr">
        <is>
          <t>cost of buildings</t>
        </is>
      </c>
      <c r="B381" t="inlineStr">
        <is>
          <t>digging 36 perches of new ditch at le worthere and planting seedlings there 12 shilling, at 4pence a perch.</t>
        </is>
      </c>
      <c r="C381" t="n">
        <v>0.62</v>
      </c>
      <c r="D381" t="n">
        <v>0</v>
      </c>
      <c r="E381" t="n">
        <v>12</v>
      </c>
      <c r="F381" t="n">
        <v>4</v>
      </c>
      <c r="H381" t="n">
        <v>0</v>
      </c>
      <c r="I381" t="n">
        <v>0</v>
      </c>
      <c r="J381" t="n">
        <v>0</v>
      </c>
      <c r="K381" t="n">
        <v>0</v>
      </c>
      <c r="L381" t="n">
        <v>0</v>
      </c>
      <c r="M381" t="n">
        <v>0</v>
      </c>
      <c r="N381" t="n">
        <v>0</v>
      </c>
    </row>
    <row r="382">
      <c r="A382" t="inlineStr">
        <is>
          <t>cost of buildings</t>
        </is>
      </c>
      <c r="B382" t="inlineStr">
        <is>
          <t>felling and enclosing with quickset hedge 2 furlongs 22 perches there and at the northern end of the same croft 8 shilling 6pence, at 3 shilling 4pence a furlong.</t>
        </is>
      </c>
      <c r="C382" t="n">
        <v>0.43</v>
      </c>
      <c r="D382" t="n">
        <v>0</v>
      </c>
      <c r="E382" t="n">
        <v>8</v>
      </c>
      <c r="F382" t="n">
        <v>6</v>
      </c>
      <c r="H382" t="n">
        <v>0</v>
      </c>
      <c r="I382" t="n">
        <v>0</v>
      </c>
      <c r="J382" t="n">
        <v>0</v>
      </c>
      <c r="K382" t="n">
        <v>0</v>
      </c>
      <c r="L382" t="n">
        <v>0</v>
      </c>
      <c r="M382" t="n">
        <v>0</v>
      </c>
      <c r="N382" t="n">
        <v>0</v>
      </c>
    </row>
    <row r="383">
      <c r="A383" t="inlineStr">
        <is>
          <t>cost of buildings</t>
        </is>
      </c>
      <c r="B383" t="inlineStr">
        <is>
          <t>enclosing with new hedge 5 furlongs 25 perches around the coppice of ferthyngle 9 shilling 4.5pence, at 1 shilling 8pence a furlong.</t>
        </is>
      </c>
      <c r="C383" t="n">
        <v>0.47</v>
      </c>
      <c r="D383" t="n">
        <v>0</v>
      </c>
      <c r="E383" t="n">
        <v>9</v>
      </c>
      <c r="F383" t="n">
        <v>4.5</v>
      </c>
      <c r="H383" t="n">
        <v>0</v>
      </c>
      <c r="I383" t="n">
        <v>0</v>
      </c>
      <c r="J383" t="n">
        <v>0</v>
      </c>
      <c r="K383" t="n">
        <v>0</v>
      </c>
      <c r="L383" t="n">
        <v>0</v>
      </c>
      <c r="M383" t="n">
        <v>0</v>
      </c>
      <c r="N383" t="n">
        <v>0</v>
      </c>
    </row>
    <row r="384">
      <c r="A384" t="inlineStr">
        <is>
          <t>cost of buildings</t>
        </is>
      </c>
      <c r="B384" t="inlineStr">
        <is>
          <t>cleaning out  1 furlong 12 perches of ditch at the southern end of southmed' 10 shilling 10pence, at 8 shilling 4pence a furlong.</t>
        </is>
      </c>
      <c r="C384" t="n">
        <v>0.54</v>
      </c>
      <c r="D384" t="n">
        <v>0</v>
      </c>
      <c r="E384" t="n">
        <v>10</v>
      </c>
      <c r="F384" t="n">
        <v>10</v>
      </c>
      <c r="H384" t="n">
        <v>0</v>
      </c>
      <c r="I384" t="n">
        <v>0</v>
      </c>
      <c r="J384" t="n">
        <v>0</v>
      </c>
      <c r="K384" t="n">
        <v>0</v>
      </c>
      <c r="L384" t="n">
        <v>0</v>
      </c>
      <c r="M384" t="n">
        <v>0</v>
      </c>
      <c r="N384" t="n">
        <v>0</v>
      </c>
    </row>
    <row r="385">
      <c r="A385" t="inlineStr">
        <is>
          <t>cost of buildings</t>
        </is>
      </c>
      <c r="B385" t="inlineStr">
        <is>
          <t>17,000 tiles bought for the customary tenants to roof the barn and byre £5 2 shilling, at 6 shilling a 1,000..</t>
        </is>
      </c>
      <c r="C385" t="n">
        <v>5.1</v>
      </c>
      <c r="D385" t="n">
        <v>5</v>
      </c>
      <c r="E385" t="n">
        <v>2</v>
      </c>
      <c r="F385" t="n">
        <v>0</v>
      </c>
      <c r="H385" t="n">
        <v>0</v>
      </c>
      <c r="I385" t="n">
        <v>0</v>
      </c>
      <c r="J385" t="n">
        <v>0</v>
      </c>
      <c r="K385" t="n">
        <v>0</v>
      </c>
      <c r="L385" t="n">
        <v>0</v>
      </c>
      <c r="M385" t="n">
        <v>0</v>
      </c>
      <c r="N385" t="n">
        <v>0</v>
      </c>
    </row>
    <row r="386">
      <c r="A386" t="inlineStr">
        <is>
          <t>cost of buildings</t>
        </is>
      </c>
      <c r="B386" t="inlineStr">
        <is>
          <t>12 ridge-tiles bought for the same 1 shilling 3pence.</t>
        </is>
      </c>
      <c r="C386" t="n">
        <v>0.06</v>
      </c>
      <c r="D386" t="n">
        <v>0</v>
      </c>
      <c r="E386" t="n">
        <v>1</v>
      </c>
      <c r="F386" t="n">
        <v>3</v>
      </c>
      <c r="H386" t="n">
        <v>0</v>
      </c>
      <c r="I386" t="n">
        <v>0</v>
      </c>
      <c r="J386" t="n">
        <v>0</v>
      </c>
      <c r="K386" t="n">
        <v>0</v>
      </c>
      <c r="L386" t="n">
        <v>0</v>
      </c>
      <c r="M386" t="n">
        <v>0</v>
      </c>
      <c r="N386" t="n">
        <v>0</v>
      </c>
    </row>
    <row r="387">
      <c r="A387" t="inlineStr">
        <is>
          <t>cost of buildings</t>
        </is>
      </c>
      <c r="B387" t="inlineStr">
        <is>
          <t>25 hip-tiles bought for the same 9pence.</t>
        </is>
      </c>
      <c r="C387" t="n">
        <v>0.04</v>
      </c>
      <c r="D387" t="n">
        <v>0</v>
      </c>
      <c r="E387" t="n">
        <v>0</v>
      </c>
      <c r="F387" t="n">
        <v>9</v>
      </c>
      <c r="H387" t="n">
        <v>0</v>
      </c>
      <c r="I387" t="n">
        <v>0</v>
      </c>
      <c r="J387" t="n">
        <v>0</v>
      </c>
      <c r="K387" t="n">
        <v>0</v>
      </c>
      <c r="L387" t="n">
        <v>0</v>
      </c>
      <c r="M387" t="n">
        <v>0</v>
      </c>
      <c r="N387" t="n">
        <v>0</v>
      </c>
    </row>
    <row r="388">
      <c r="A388" t="inlineStr">
        <is>
          <t>cost of buildings</t>
        </is>
      </c>
      <c r="B388" t="inlineStr">
        <is>
          <t>21 quarters of quicklime bought for the same £1 11 shilling 6pence, at 1 shilling 6pence a quarters.</t>
        </is>
      </c>
      <c r="C388" t="n">
        <v>1.57</v>
      </c>
      <c r="D388" t="n">
        <v>1</v>
      </c>
      <c r="E388" t="n">
        <v>11</v>
      </c>
      <c r="F388" t="n">
        <v>6</v>
      </c>
      <c r="H388" t="n">
        <v>21</v>
      </c>
      <c r="I388" t="n">
        <v>0</v>
      </c>
      <c r="J388" t="n">
        <v>21</v>
      </c>
      <c r="K388" t="n">
        <v>21</v>
      </c>
      <c r="L388" t="n">
        <v>0</v>
      </c>
      <c r="M388" t="n">
        <v>21</v>
      </c>
      <c r="N388" t="n">
        <v>0</v>
      </c>
      <c r="U388" t="n">
        <v>1</v>
      </c>
      <c r="V388" t="n">
        <v>6</v>
      </c>
    </row>
    <row r="389">
      <c r="A389" t="inlineStr">
        <is>
          <t>cost of buildings</t>
        </is>
      </c>
      <c r="B389" t="inlineStr">
        <is>
          <t>250 laths bought for the same 1 shilling 10pence.</t>
        </is>
      </c>
      <c r="C389" t="n">
        <v>0.09</v>
      </c>
      <c r="D389" t="n">
        <v>0</v>
      </c>
      <c r="E389" t="n">
        <v>1</v>
      </c>
      <c r="F389" t="n">
        <v>10</v>
      </c>
      <c r="H389" t="n">
        <v>0</v>
      </c>
      <c r="I389" t="n">
        <v>0</v>
      </c>
      <c r="J389" t="n">
        <v>0</v>
      </c>
      <c r="K389" t="n">
        <v>0</v>
      </c>
      <c r="L389" t="n">
        <v>0</v>
      </c>
      <c r="M389" t="n">
        <v>0</v>
      </c>
      <c r="N389" t="n">
        <v>0</v>
      </c>
    </row>
    <row r="390">
      <c r="A390" t="inlineStr">
        <is>
          <t>cost of buildings</t>
        </is>
      </c>
      <c r="B390" t="inlineStr">
        <is>
          <t>1,000 lath-nails bought for the same 1 shilling 2pence.</t>
        </is>
      </c>
      <c r="C390" t="n">
        <v>0.06</v>
      </c>
      <c r="D390" t="n">
        <v>0</v>
      </c>
      <c r="E390" t="n">
        <v>1</v>
      </c>
      <c r="F390" t="n">
        <v>2</v>
      </c>
      <c r="H390" t="n">
        <v>0</v>
      </c>
      <c r="I390" t="n">
        <v>0</v>
      </c>
      <c r="J390" t="n">
        <v>0</v>
      </c>
      <c r="K390" t="n">
        <v>0</v>
      </c>
      <c r="L390" t="n">
        <v>0</v>
      </c>
      <c r="M390" t="n">
        <v>0</v>
      </c>
      <c r="N390" t="n">
        <v>0</v>
      </c>
    </row>
    <row r="391">
      <c r="A391" t="inlineStr">
        <is>
          <t>cost of buildings</t>
        </is>
      </c>
      <c r="B391" t="inlineStr">
        <is>
          <t>40 eaves-board nails bought for the same 2pence.</t>
        </is>
      </c>
      <c r="C391" t="n">
        <v>0.01</v>
      </c>
      <c r="D391" t="n">
        <v>0</v>
      </c>
      <c r="E391" t="n">
        <v>0</v>
      </c>
      <c r="F391" t="n">
        <v>2</v>
      </c>
      <c r="H391" t="n">
        <v>0</v>
      </c>
      <c r="I391" t="n">
        <v>0</v>
      </c>
      <c r="J391" t="n">
        <v>0</v>
      </c>
      <c r="K391" t="n">
        <v>0</v>
      </c>
      <c r="L391" t="n">
        <v>0</v>
      </c>
      <c r="M391" t="n">
        <v>0</v>
      </c>
      <c r="N391" t="n">
        <v>0</v>
      </c>
    </row>
    <row r="392">
      <c r="A392" t="inlineStr">
        <is>
          <t>cost of buildings</t>
        </is>
      </c>
      <c r="B392" t="inlineStr">
        <is>
          <t>12,000 pegs bought for the same 2 shilling, at 2pence a 1,000..</t>
        </is>
      </c>
      <c r="C392" t="n">
        <v>0.11</v>
      </c>
      <c r="D392" t="n">
        <v>0</v>
      </c>
      <c r="E392" t="n">
        <v>2</v>
      </c>
      <c r="F392" t="n">
        <v>2</v>
      </c>
      <c r="H392" t="n">
        <v>0</v>
      </c>
      <c r="I392" t="n">
        <v>0</v>
      </c>
      <c r="J392" t="n">
        <v>0</v>
      </c>
      <c r="K392" t="n">
        <v>0</v>
      </c>
      <c r="L392" t="n">
        <v>0</v>
      </c>
      <c r="M392" t="n">
        <v>0</v>
      </c>
      <c r="N392" t="n">
        <v>0</v>
      </c>
    </row>
    <row r="393">
      <c r="A393" t="inlineStr">
        <is>
          <t>cost of buildings</t>
        </is>
      </c>
      <c r="B393" t="inlineStr">
        <is>
          <t>wood for fencing (claust') felled for the customary tenants and the lord's servants to enclose the hedges in various places 2 shilling.</t>
        </is>
      </c>
      <c r="C393" t="n">
        <v>0.1</v>
      </c>
      <c r="D393" t="n">
        <v>0</v>
      </c>
      <c r="E393" t="n">
        <v>2</v>
      </c>
      <c r="F393" t="n">
        <v>0</v>
      </c>
      <c r="H393" t="n">
        <v>0</v>
      </c>
      <c r="I393" t="n">
        <v>0</v>
      </c>
      <c r="J393" t="n">
        <v>0</v>
      </c>
      <c r="K393" t="n">
        <v>0</v>
      </c>
      <c r="L393" t="n">
        <v>0</v>
      </c>
      <c r="M393" t="n">
        <v>0</v>
      </c>
      <c r="N393" t="n">
        <v>0</v>
      </c>
    </row>
    <row r="394">
      <c r="A394" t="inlineStr">
        <is>
          <t>cost of buildings</t>
        </is>
      </c>
      <c r="B394" t="inlineStr">
        <is>
          <t>1 sack bought 1 shilling.</t>
        </is>
      </c>
      <c r="C394" t="n">
        <v>0.05</v>
      </c>
      <c r="D394" t="n">
        <v>0</v>
      </c>
      <c r="E394" t="n">
        <v>1</v>
      </c>
      <c r="F394" t="n">
        <v>0</v>
      </c>
      <c r="H394" t="n">
        <v>0</v>
      </c>
      <c r="I394" t="n">
        <v>0</v>
      </c>
      <c r="J394" t="n">
        <v>0</v>
      </c>
      <c r="K394" t="n">
        <v>0</v>
      </c>
      <c r="L394" t="n">
        <v>0</v>
      </c>
      <c r="M394" t="n">
        <v>0</v>
      </c>
      <c r="N394" t="n">
        <v>0</v>
      </c>
    </row>
    <row r="395">
      <c r="A395" t="inlineStr">
        <is>
          <t>cost of buildings</t>
        </is>
      </c>
      <c r="B395" t="inlineStr">
        <is>
          <t>making well (sanand') the female piglets 1 shilling.</t>
        </is>
      </c>
      <c r="C395" t="n">
        <v>0.05</v>
      </c>
      <c r="D395" t="n">
        <v>0</v>
      </c>
      <c r="E395" t="n">
        <v>1</v>
      </c>
      <c r="F395" t="n">
        <v>0</v>
      </c>
      <c r="H395" t="n">
        <v>0</v>
      </c>
      <c r="I395" t="n">
        <v>0</v>
      </c>
      <c r="J395" t="n">
        <v>0</v>
      </c>
      <c r="K395" t="n">
        <v>0</v>
      </c>
      <c r="L395" t="n">
        <v>0</v>
      </c>
      <c r="M395" t="n">
        <v>0</v>
      </c>
      <c r="N395" t="n">
        <v>0</v>
      </c>
    </row>
    <row r="396">
      <c r="A396" t="inlineStr">
        <is>
          <t>cost of buildings</t>
        </is>
      </c>
      <c r="B396" t="inlineStr">
        <is>
          <t>1 sieve and 1 riddle (rider') bought 5pence.</t>
        </is>
      </c>
      <c r="C396" t="n">
        <v>0.02</v>
      </c>
      <c r="D396" t="n">
        <v>0</v>
      </c>
      <c r="E396" t="n">
        <v>0</v>
      </c>
      <c r="F396" t="n">
        <v>5</v>
      </c>
      <c r="H396" t="n">
        <v>0</v>
      </c>
      <c r="I396" t="n">
        <v>0</v>
      </c>
      <c r="J396" t="n">
        <v>0</v>
      </c>
      <c r="K396" t="n">
        <v>0</v>
      </c>
      <c r="L396" t="n">
        <v>0</v>
      </c>
      <c r="M396" t="n">
        <v>0</v>
      </c>
      <c r="N396" t="n">
        <v>0</v>
      </c>
    </row>
    <row r="397">
      <c r="A397" t="inlineStr">
        <is>
          <t>cost of buildings</t>
        </is>
      </c>
      <c r="B397" t="inlineStr">
        <is>
          <t>hiring 12 carpenter for 3.5 days to make a railing at the new curia in front of the barn and byre 2 shilling 7.5.d., both taking 4.5pence a day.</t>
        </is>
      </c>
      <c r="C397" t="n">
        <v>0.12</v>
      </c>
      <c r="D397" t="n">
        <v>0</v>
      </c>
      <c r="E397" t="n">
        <v>2</v>
      </c>
      <c r="F397" t="n">
        <v>4.5</v>
      </c>
      <c r="H397" t="n">
        <v>0</v>
      </c>
      <c r="I397" t="n">
        <v>0</v>
      </c>
      <c r="J397" t="n">
        <v>0</v>
      </c>
      <c r="K397" t="n">
        <v>0</v>
      </c>
      <c r="L397" t="n">
        <v>0</v>
      </c>
      <c r="M397" t="n">
        <v>0</v>
      </c>
      <c r="N397" t="n">
        <v>0</v>
      </c>
    </row>
    <row r="398">
      <c r="A398" t="inlineStr">
        <is>
          <t>cost of buildings</t>
        </is>
      </c>
      <c r="B398" t="inlineStr">
        <is>
          <t>enclosing with new hedge 2 furlongs around le worthe beside radmede 3 shilling 4pence, at 1 shilling 8pence a furlong.</t>
        </is>
      </c>
      <c r="C398" t="n">
        <v>0.17</v>
      </c>
      <c r="D398" t="n">
        <v>0</v>
      </c>
      <c r="E398" t="n">
        <v>3</v>
      </c>
      <c r="F398" t="n">
        <v>4</v>
      </c>
      <c r="H398" t="n">
        <v>0</v>
      </c>
      <c r="I398" t="n">
        <v>0</v>
      </c>
      <c r="J398" t="n">
        <v>0</v>
      </c>
      <c r="K398" t="n">
        <v>0</v>
      </c>
      <c r="L398" t="n">
        <v>0</v>
      </c>
      <c r="M398" t="n">
        <v>0</v>
      </c>
      <c r="N398" t="n">
        <v>0</v>
      </c>
    </row>
    <row r="399">
      <c r="A399" t="inlineStr">
        <is>
          <t>cost of buildings</t>
        </is>
      </c>
      <c r="B399" t="inlineStr">
        <is>
          <t>hiring 2 labourers to wattle and daub the walls of the barn for 5 days 3 shilling 4pence.</t>
        </is>
      </c>
      <c r="C399" t="n">
        <v>0.17</v>
      </c>
      <c r="D399" t="n">
        <v>0</v>
      </c>
      <c r="E399" t="n">
        <v>3</v>
      </c>
      <c r="F399" t="n">
        <v>4</v>
      </c>
      <c r="H399" t="n">
        <v>0</v>
      </c>
      <c r="I399" t="n">
        <v>0</v>
      </c>
      <c r="J399" t="n">
        <v>0</v>
      </c>
      <c r="K399" t="n">
        <v>0</v>
      </c>
      <c r="L399" t="n">
        <v>0</v>
      </c>
      <c r="M399" t="n">
        <v>0</v>
      </c>
      <c r="N399" t="n">
        <v>0</v>
      </c>
    </row>
    <row r="400">
      <c r="A400" t="inlineStr">
        <is>
          <t>cost of buildings</t>
        </is>
      </c>
      <c r="B400" t="inlineStr">
        <is>
          <t>1 wheelbarrow bought 1 shilling 4pence.</t>
        </is>
      </c>
      <c r="C400" t="n">
        <v>0.07000000000000001</v>
      </c>
      <c r="D400" t="n">
        <v>0</v>
      </c>
      <c r="E400" t="n">
        <v>1</v>
      </c>
      <c r="F400" t="n">
        <v>4</v>
      </c>
      <c r="H400" t="n">
        <v>0</v>
      </c>
      <c r="I400" t="n">
        <v>0</v>
      </c>
      <c r="J400" t="n">
        <v>0</v>
      </c>
      <c r="K400" t="n">
        <v>0</v>
      </c>
      <c r="L400" t="n">
        <v>0</v>
      </c>
      <c r="M400" t="n">
        <v>0</v>
      </c>
      <c r="N400" t="n">
        <v>0</v>
      </c>
    </row>
    <row r="401">
      <c r="A401" t="inlineStr">
        <is>
          <t>cost of buildings</t>
        </is>
      </c>
      <c r="B401" t="inlineStr">
        <is>
          <t>fitting the same with iron tyres 6pence.</t>
        </is>
      </c>
      <c r="C401" t="n">
        <v>0.03</v>
      </c>
      <c r="D401" t="n">
        <v>0</v>
      </c>
      <c r="E401" t="n">
        <v>0</v>
      </c>
      <c r="F401" t="n">
        <v>6</v>
      </c>
      <c r="H401" t="n">
        <v>0</v>
      </c>
      <c r="I401" t="n">
        <v>0</v>
      </c>
      <c r="J401" t="n">
        <v>0</v>
      </c>
      <c r="K401" t="n">
        <v>0</v>
      </c>
      <c r="L401" t="n">
        <v>0</v>
      </c>
      <c r="M401" t="n">
        <v>0</v>
      </c>
      <c r="N401" t="n">
        <v>0</v>
      </c>
    </row>
    <row r="402">
      <c r="A402" t="inlineStr">
        <is>
          <t>cost of buildings</t>
        </is>
      </c>
      <c r="B402" t="inlineStr">
        <is>
          <t>total, £10 13 shilling 7pence.</t>
        </is>
      </c>
      <c r="C402" t="n">
        <v>10.68</v>
      </c>
      <c r="D402" t="n">
        <v>10</v>
      </c>
      <c r="E402" t="n">
        <v>13</v>
      </c>
      <c r="F402" t="n">
        <v>7</v>
      </c>
      <c r="H402" t="n">
        <v>0</v>
      </c>
      <c r="I402" t="n">
        <v>0</v>
      </c>
      <c r="J402" t="n">
        <v>0</v>
      </c>
      <c r="K402" t="n">
        <v>0</v>
      </c>
      <c r="L402" t="n">
        <v>0</v>
      </c>
      <c r="M402" t="n">
        <v>0</v>
      </c>
      <c r="N402" t="n">
        <v>0</v>
      </c>
    </row>
    <row r="403">
      <c r="A403" t="inlineStr">
        <is>
          <t>cost of the dairy</t>
        </is>
      </c>
      <c r="B403" t="inlineStr">
        <is>
          <t>in 2 bushels of salt bought for the pottage of the manorial servants and the dairy for the year 1 shilling 2pence.</t>
        </is>
      </c>
      <c r="C403" t="n">
        <v>0.06</v>
      </c>
      <c r="D403" t="n">
        <v>0</v>
      </c>
      <c r="E403" t="n">
        <v>1</v>
      </c>
      <c r="F403" t="n">
        <v>2</v>
      </c>
      <c r="H403" t="n">
        <v>0</v>
      </c>
      <c r="I403" t="n">
        <v>2</v>
      </c>
      <c r="J403" t="n">
        <v>0.25</v>
      </c>
      <c r="K403" t="n">
        <v>0.25</v>
      </c>
      <c r="L403" t="n">
        <v>0</v>
      </c>
      <c r="M403" t="n">
        <v>0</v>
      </c>
      <c r="N403" t="n">
        <v>2</v>
      </c>
    </row>
    <row r="404">
      <c r="A404" t="inlineStr">
        <is>
          <t>cost of the dairy</t>
        </is>
      </c>
      <c r="B404" t="inlineStr">
        <is>
          <t>linen cloth bought 3pence.</t>
        </is>
      </c>
      <c r="C404" t="n">
        <v>0.01</v>
      </c>
      <c r="D404" t="n">
        <v>0</v>
      </c>
      <c r="E404" t="n">
        <v>0</v>
      </c>
      <c r="F404" t="n">
        <v>3</v>
      </c>
      <c r="H404" t="n">
        <v>0</v>
      </c>
      <c r="I404" t="n">
        <v>0</v>
      </c>
      <c r="J404" t="n">
        <v>0</v>
      </c>
      <c r="K404" t="n">
        <v>0</v>
      </c>
      <c r="L404" t="n">
        <v>0</v>
      </c>
      <c r="M404" t="n">
        <v>0</v>
      </c>
      <c r="N404" t="n">
        <v>0</v>
      </c>
    </row>
    <row r="405">
      <c r="A405" t="inlineStr">
        <is>
          <t>cost of the dairy</t>
        </is>
      </c>
      <c r="B405" t="inlineStr">
        <is>
          <t>rennet (coagul') bought 2pence.</t>
        </is>
      </c>
      <c r="C405" t="n">
        <v>0.01</v>
      </c>
      <c r="D405" t="n">
        <v>0</v>
      </c>
      <c r="E405" t="n">
        <v>0</v>
      </c>
      <c r="F405" t="n">
        <v>2</v>
      </c>
      <c r="H405" t="n">
        <v>0</v>
      </c>
      <c r="I405" t="n">
        <v>0</v>
      </c>
      <c r="J405" t="n">
        <v>0</v>
      </c>
      <c r="K405" t="n">
        <v>0</v>
      </c>
      <c r="L405" t="n">
        <v>0</v>
      </c>
      <c r="M405" t="n">
        <v>0</v>
      </c>
      <c r="N405" t="n">
        <v>0</v>
      </c>
    </row>
    <row r="406">
      <c r="A406" t="inlineStr">
        <is>
          <t>cost of the dairy</t>
        </is>
      </c>
      <c r="B406" t="inlineStr">
        <is>
          <t>stipend of 1 dairymaid for the year 2 shilling 6pence.</t>
        </is>
      </c>
      <c r="C406" t="n">
        <v>0.12</v>
      </c>
      <c r="D406" t="n">
        <v>0</v>
      </c>
      <c r="E406" t="n">
        <v>2</v>
      </c>
      <c r="F406" t="n">
        <v>6</v>
      </c>
      <c r="H406" t="n">
        <v>0</v>
      </c>
      <c r="I406" t="n">
        <v>0</v>
      </c>
      <c r="J406" t="n">
        <v>0</v>
      </c>
      <c r="K406" t="n">
        <v>0</v>
      </c>
      <c r="L406" t="n">
        <v>0</v>
      </c>
      <c r="M406" t="n">
        <v>0</v>
      </c>
      <c r="N406" t="n">
        <v>0</v>
      </c>
    </row>
    <row r="407">
      <c r="A407" t="inlineStr">
        <is>
          <t>cost of the dairy</t>
        </is>
      </c>
      <c r="B407" t="inlineStr">
        <is>
          <t>total, 4 shilling 1pence.</t>
        </is>
      </c>
      <c r="C407" t="n">
        <v>0.2</v>
      </c>
      <c r="D407" t="n">
        <v>0</v>
      </c>
      <c r="E407" t="n">
        <v>4</v>
      </c>
      <c r="F407" t="n">
        <v>1</v>
      </c>
      <c r="H407" t="n">
        <v>0</v>
      </c>
      <c r="I407" t="n">
        <v>0</v>
      </c>
      <c r="J407" t="n">
        <v>0</v>
      </c>
      <c r="K407" t="n">
        <v>0</v>
      </c>
      <c r="L407" t="n">
        <v>0</v>
      </c>
      <c r="M407" t="n">
        <v>0</v>
      </c>
      <c r="N407" t="n">
        <v>0</v>
      </c>
    </row>
    <row r="408">
      <c r="A408" t="inlineStr">
        <is>
          <t>cost of the sheepcote</t>
        </is>
      </c>
      <c r="B408" t="inlineStr">
        <is>
          <t>in 1.5 barrels of tar bought to grease the lord's sheep 6 shilling 4pence.</t>
        </is>
      </c>
      <c r="C408" t="n">
        <v>0.32</v>
      </c>
      <c r="D408" t="n">
        <v>0</v>
      </c>
      <c r="E408" t="n">
        <v>6</v>
      </c>
      <c r="F408" t="n">
        <v>4</v>
      </c>
      <c r="H408" t="n">
        <v>0</v>
      </c>
      <c r="I408" t="n">
        <v>0</v>
      </c>
      <c r="J408" t="n">
        <v>0</v>
      </c>
      <c r="K408" t="n">
        <v>0</v>
      </c>
      <c r="L408" t="n">
        <v>0</v>
      </c>
      <c r="M408" t="n">
        <v>0</v>
      </c>
      <c r="N408" t="n">
        <v>0</v>
      </c>
    </row>
    <row r="409">
      <c r="A409" t="inlineStr">
        <is>
          <t>cost of the sheepcote</t>
        </is>
      </c>
      <c r="B409" t="inlineStr">
        <is>
          <t>grease bought for the 13 shilling 4pence.</t>
        </is>
      </c>
      <c r="C409" t="n">
        <v>0.67</v>
      </c>
      <c r="D409" t="n">
        <v>0</v>
      </c>
      <c r="E409" t="n">
        <v>13</v>
      </c>
      <c r="F409" t="n">
        <v>4</v>
      </c>
      <c r="H409" t="n">
        <v>0</v>
      </c>
      <c r="I409" t="n">
        <v>0</v>
      </c>
      <c r="J409" t="n">
        <v>0</v>
      </c>
      <c r="K409" t="n">
        <v>0</v>
      </c>
      <c r="L409" t="n">
        <v>0</v>
      </c>
      <c r="M409" t="n">
        <v>0</v>
      </c>
      <c r="N409" t="n">
        <v>0</v>
      </c>
    </row>
    <row r="410">
      <c r="A410" t="inlineStr">
        <is>
          <t>cost of the sheepcote</t>
        </is>
      </c>
      <c r="B410" t="inlineStr">
        <is>
          <t>red ochre bought to mark the lord's sheep on 2 occasions 1 shilling 8pence.</t>
        </is>
      </c>
      <c r="C410" t="n">
        <v>0.08</v>
      </c>
      <c r="D410" t="n">
        <v>0</v>
      </c>
      <c r="E410" t="n">
        <v>1</v>
      </c>
      <c r="F410" t="n">
        <v>8</v>
      </c>
      <c r="H410" t="n">
        <v>0</v>
      </c>
      <c r="I410" t="n">
        <v>0</v>
      </c>
      <c r="J410" t="n">
        <v>0</v>
      </c>
      <c r="K410" t="n">
        <v>0</v>
      </c>
      <c r="L410" t="n">
        <v>0</v>
      </c>
      <c r="M410" t="n">
        <v>0</v>
      </c>
      <c r="N410" t="n">
        <v>0</v>
      </c>
    </row>
    <row r="411">
      <c r="A411" t="inlineStr">
        <is>
          <t>cost of the sheepcote</t>
        </is>
      </c>
      <c r="B411" t="inlineStr">
        <is>
          <t>thread bought for packing the lord's wool 2pence.</t>
        </is>
      </c>
      <c r="C411" t="n">
        <v>0.01</v>
      </c>
      <c r="D411" t="n">
        <v>0</v>
      </c>
      <c r="E411" t="n">
        <v>0</v>
      </c>
      <c r="F411" t="n">
        <v>2</v>
      </c>
      <c r="H411" t="n">
        <v>0</v>
      </c>
      <c r="I411" t="n">
        <v>0</v>
      </c>
      <c r="J411" t="n">
        <v>0</v>
      </c>
      <c r="K411" t="n">
        <v>0</v>
      </c>
      <c r="L411" t="n">
        <v>0</v>
      </c>
      <c r="M411" t="n">
        <v>0</v>
      </c>
      <c r="N411" t="n">
        <v>0</v>
      </c>
    </row>
    <row r="412">
      <c r="A412" t="inlineStr">
        <is>
          <t>cost of the sheepcote</t>
        </is>
      </c>
      <c r="B412" t="inlineStr">
        <is>
          <t>8 ells of canvas cloth bought for 1 sarplier 3 shilling, at 4.5pence an ell.</t>
        </is>
      </c>
      <c r="C412" t="n">
        <v>0.17</v>
      </c>
      <c r="D412" t="n">
        <v>0</v>
      </c>
      <c r="E412" t="n">
        <v>3</v>
      </c>
      <c r="F412" t="n">
        <v>4.5</v>
      </c>
      <c r="H412" t="n">
        <v>0</v>
      </c>
      <c r="I412" t="n">
        <v>0</v>
      </c>
      <c r="J412" t="n">
        <v>0</v>
      </c>
      <c r="K412" t="n">
        <v>0</v>
      </c>
      <c r="L412" t="n">
        <v>0</v>
      </c>
      <c r="M412" t="n">
        <v>0</v>
      </c>
      <c r="N412" t="n">
        <v>0</v>
      </c>
    </row>
    <row r="413">
      <c r="A413" t="inlineStr">
        <is>
          <t>cost of the sheepcote</t>
        </is>
      </c>
      <c r="B413" t="inlineStr">
        <is>
          <t>wattling the walls of the shepherd's house by piece-work 2 shilling.</t>
        </is>
      </c>
      <c r="C413" t="n">
        <v>0.1</v>
      </c>
      <c r="D413" t="n">
        <v>0</v>
      </c>
      <c r="E413" t="n">
        <v>2</v>
      </c>
      <c r="F413" t="n">
        <v>0</v>
      </c>
      <c r="H413" t="n">
        <v>0</v>
      </c>
      <c r="I413" t="n">
        <v>0</v>
      </c>
      <c r="J413" t="n">
        <v>0</v>
      </c>
      <c r="K413" t="n">
        <v>0</v>
      </c>
      <c r="L413" t="n">
        <v>0</v>
      </c>
      <c r="M413" t="n">
        <v>0</v>
      </c>
      <c r="N413" t="n">
        <v>0</v>
      </c>
    </row>
    <row r="414">
      <c r="A414" t="inlineStr">
        <is>
          <t>cost of the sheepcote</t>
        </is>
      </c>
      <c r="B414" t="inlineStr">
        <is>
          <t>enclosing with new hedge 2 furlongs 15 perches around the barton of the sheepcote 3 shilling 11.5pence, at 1 shilling 8pence a furlong.</t>
        </is>
      </c>
      <c r="C414" t="n">
        <v>0.2</v>
      </c>
      <c r="D414" t="n">
        <v>0</v>
      </c>
      <c r="E414" t="n">
        <v>3</v>
      </c>
      <c r="F414" t="n">
        <v>11.5</v>
      </c>
      <c r="H414" t="n">
        <v>0</v>
      </c>
      <c r="I414" t="n">
        <v>0</v>
      </c>
      <c r="J414" t="n">
        <v>0</v>
      </c>
      <c r="K414" t="n">
        <v>0</v>
      </c>
      <c r="L414" t="n">
        <v>0</v>
      </c>
      <c r="M414" t="n">
        <v>0</v>
      </c>
      <c r="N414" t="n">
        <v>0</v>
      </c>
    </row>
    <row r="415">
      <c r="A415" t="inlineStr">
        <is>
          <t>cost of the sheepcote</t>
        </is>
      </c>
      <c r="B415" t="inlineStr">
        <is>
          <t>stipend of 1 shepherd of wethers, 1 shepherd of ewes and 1 shepherd of hoggs for the year £1 4 shilling.</t>
        </is>
      </c>
      <c r="C415" t="n">
        <v>1.2</v>
      </c>
      <c r="D415" t="n">
        <v>1</v>
      </c>
      <c r="E415" t="n">
        <v>4</v>
      </c>
      <c r="F415" t="n">
        <v>0</v>
      </c>
      <c r="H415" t="n">
        <v>0</v>
      </c>
      <c r="I415" t="n">
        <v>0</v>
      </c>
      <c r="J415" t="n">
        <v>0</v>
      </c>
      <c r="K415" t="n">
        <v>0</v>
      </c>
      <c r="L415" t="n">
        <v>0</v>
      </c>
      <c r="M415" t="n">
        <v>0</v>
      </c>
      <c r="N415" t="n">
        <v>0</v>
      </c>
    </row>
    <row r="416">
      <c r="A416" t="inlineStr">
        <is>
          <t>cost of the sheepcote</t>
        </is>
      </c>
      <c r="B416" t="inlineStr">
        <is>
          <t>total, £2 14 shilling 5.5pence.</t>
        </is>
      </c>
      <c r="C416" t="n">
        <v>2.72</v>
      </c>
      <c r="D416" t="n">
        <v>2</v>
      </c>
      <c r="E416" t="n">
        <v>14</v>
      </c>
      <c r="F416" t="n">
        <v>5.5</v>
      </c>
      <c r="H416" t="n">
        <v>0</v>
      </c>
      <c r="I416" t="n">
        <v>0</v>
      </c>
      <c r="J416" t="n">
        <v>0</v>
      </c>
      <c r="K416" t="n">
        <v>0</v>
      </c>
      <c r="L416" t="n">
        <v>0</v>
      </c>
      <c r="M416" t="n">
        <v>0</v>
      </c>
      <c r="N416" t="n">
        <v>0</v>
      </c>
    </row>
    <row r="417">
      <c r="A417" t="inlineStr">
        <is>
          <t>purchase of stock</t>
        </is>
      </c>
      <c r="B417" t="inlineStr">
        <is>
          <t>in 120 lambs bought before shearing £7 10 shilling, at 1 shilling 3pence each.</t>
        </is>
      </c>
      <c r="C417" t="n">
        <v>7.5</v>
      </c>
      <c r="D417" t="n">
        <v>7</v>
      </c>
      <c r="E417" t="n">
        <v>10</v>
      </c>
      <c r="F417" t="n">
        <v>0</v>
      </c>
      <c r="H417" t="n">
        <v>0</v>
      </c>
      <c r="I417" t="n">
        <v>0</v>
      </c>
      <c r="J417" t="n">
        <v>0</v>
      </c>
      <c r="K417" t="n">
        <v>0</v>
      </c>
      <c r="L417" t="n">
        <v>0</v>
      </c>
      <c r="M417" t="n">
        <v>0</v>
      </c>
      <c r="N417" t="n">
        <v>0</v>
      </c>
    </row>
    <row r="418">
      <c r="A418" t="inlineStr">
        <is>
          <t>purchase of stock</t>
        </is>
      </c>
      <c r="B418" t="inlineStr">
        <is>
          <t>total, £7 10 shilling.</t>
        </is>
      </c>
      <c r="C418" t="n">
        <v>7.5</v>
      </c>
      <c r="D418" t="n">
        <v>7</v>
      </c>
      <c r="E418" t="n">
        <v>10</v>
      </c>
      <c r="F418" t="n">
        <v>0</v>
      </c>
      <c r="H418" t="n">
        <v>0</v>
      </c>
      <c r="I418" t="n">
        <v>0</v>
      </c>
      <c r="J418" t="n">
        <v>0</v>
      </c>
      <c r="K418" t="n">
        <v>0</v>
      </c>
      <c r="L418" t="n">
        <v>0</v>
      </c>
      <c r="M418" t="n">
        <v>0</v>
      </c>
      <c r="N418" t="n">
        <v>0</v>
      </c>
    </row>
    <row r="419">
      <c r="A419" t="inlineStr">
        <is>
          <t>threshing and winnowing</t>
        </is>
      </c>
      <c r="B419" t="inlineStr">
        <is>
          <t>in threshing 34 quarters 1 bushels of wheat, 4 quarters of curall, 2 quarters of peas and 3 quarters 6 bushels of vetches by piece-work 10 shilling 11.5pence, at 3pence a quarters.</t>
        </is>
      </c>
      <c r="C419" t="n">
        <v>0.55</v>
      </c>
      <c r="D419" t="n">
        <v>0</v>
      </c>
      <c r="E419" t="n">
        <v>10</v>
      </c>
      <c r="F419" t="n">
        <v>11.5</v>
      </c>
      <c r="G419" t="inlineStr">
        <is>
          <t>peas, vetches, wheat, curall</t>
        </is>
      </c>
      <c r="H419" t="n">
        <v>9</v>
      </c>
      <c r="I419" t="n">
        <v>6</v>
      </c>
      <c r="J419" t="n">
        <v>9.75</v>
      </c>
      <c r="K419" t="n">
        <v>34.12</v>
      </c>
      <c r="L419" t="n">
        <v>-24.38</v>
      </c>
      <c r="M419" t="n">
        <v>34</v>
      </c>
      <c r="N419" t="n">
        <v>1</v>
      </c>
      <c r="O419" t="n">
        <v>4</v>
      </c>
      <c r="P419" t="n">
        <v>0</v>
      </c>
      <c r="Q419" t="n">
        <v>2</v>
      </c>
      <c r="R419" t="n">
        <v>0</v>
      </c>
      <c r="S419" t="n">
        <v>3</v>
      </c>
      <c r="T419" t="n">
        <v>6</v>
      </c>
    </row>
    <row r="420">
      <c r="A420" t="inlineStr">
        <is>
          <t>threshing and winnowing</t>
        </is>
      </c>
      <c r="B420" t="inlineStr">
        <is>
          <t>threshing 115 quarters 6 bushels of barley by piece-work 19 shilling 3.5pence, at 2pence a quarters.</t>
        </is>
      </c>
      <c r="C420" t="n">
        <v>0.96</v>
      </c>
      <c r="D420" t="n">
        <v>0</v>
      </c>
      <c r="E420" t="n">
        <v>19</v>
      </c>
      <c r="F420" t="n">
        <v>3.5</v>
      </c>
      <c r="G420" t="inlineStr">
        <is>
          <t>barley</t>
        </is>
      </c>
      <c r="H420" t="n">
        <v>115</v>
      </c>
      <c r="I420" t="n">
        <v>6</v>
      </c>
      <c r="J420" t="n">
        <v>115.75</v>
      </c>
      <c r="K420" t="n">
        <v>115.75</v>
      </c>
      <c r="L420" t="n">
        <v>0</v>
      </c>
      <c r="M420" t="n">
        <v>115</v>
      </c>
      <c r="N420" t="n">
        <v>6</v>
      </c>
    </row>
    <row r="421">
      <c r="A421" t="inlineStr">
        <is>
          <t>threshing and winnowing</t>
        </is>
      </c>
      <c r="B421" t="inlineStr">
        <is>
          <t>threshing 21 quarters 6 bushels of oats by piece-work 2 shilling 8.5pence, at i.5pence a quarters.</t>
        </is>
      </c>
      <c r="C421" t="n">
        <v>0.14</v>
      </c>
      <c r="D421" t="n">
        <v>0</v>
      </c>
      <c r="E421" t="n">
        <v>2</v>
      </c>
      <c r="F421" t="n">
        <v>8.5</v>
      </c>
      <c r="G421" t="inlineStr">
        <is>
          <t>oats</t>
        </is>
      </c>
      <c r="H421" t="n">
        <v>21</v>
      </c>
      <c r="I421" t="n">
        <v>6</v>
      </c>
      <c r="J421" t="n">
        <v>21.75</v>
      </c>
      <c r="K421" t="n">
        <v>21.75</v>
      </c>
      <c r="L421" t="n">
        <v>0</v>
      </c>
      <c r="M421" t="n">
        <v>21</v>
      </c>
      <c r="N421" t="n">
        <v>6</v>
      </c>
    </row>
    <row r="422">
      <c r="A422" t="inlineStr">
        <is>
          <t>threshing and winnowing</t>
        </is>
      </c>
      <c r="B422" t="inlineStr">
        <is>
          <t>winnowing all the abovesaid corn, which made 181 quarters 3 bushels, by piece-work 3 shilling 9.25pence, at 1pence per 4 quarters.</t>
        </is>
      </c>
      <c r="C422" t="n">
        <v>0.19</v>
      </c>
      <c r="D422" t="n">
        <v>0</v>
      </c>
      <c r="E422" t="n">
        <v>3</v>
      </c>
      <c r="F422" t="n">
        <v>9.25</v>
      </c>
      <c r="H422" t="n">
        <v>4</v>
      </c>
      <c r="I422" t="n">
        <v>3</v>
      </c>
      <c r="J422" t="n">
        <v>4.38</v>
      </c>
      <c r="K422" t="n">
        <v>181.38</v>
      </c>
      <c r="L422" t="n">
        <v>-177</v>
      </c>
      <c r="M422" t="n">
        <v>181</v>
      </c>
      <c r="N422" t="n">
        <v>3</v>
      </c>
      <c r="O422" t="n">
        <v>4</v>
      </c>
      <c r="P422" t="n">
        <v>0</v>
      </c>
    </row>
    <row r="423">
      <c r="A423" t="inlineStr">
        <is>
          <t>threshing and winnowing</t>
        </is>
      </c>
      <c r="B423" t="inlineStr">
        <is>
          <t>total, £7 10 shilling.</t>
        </is>
      </c>
      <c r="C423" t="n">
        <v>7.5</v>
      </c>
      <c r="D423" t="n">
        <v>7</v>
      </c>
      <c r="E423" t="n">
        <v>10</v>
      </c>
      <c r="F423" t="n">
        <v>0</v>
      </c>
      <c r="H423" t="n">
        <v>0</v>
      </c>
      <c r="I423" t="n">
        <v>0</v>
      </c>
      <c r="J423" t="n">
        <v>0</v>
      </c>
      <c r="K423" t="n">
        <v>0</v>
      </c>
      <c r="L423" t="n">
        <v>0</v>
      </c>
      <c r="M423" t="n">
        <v>0</v>
      </c>
      <c r="N423" t="n">
        <v>0</v>
      </c>
    </row>
    <row r="424">
      <c r="A424" t="inlineStr">
        <is>
          <t>cost of the mills</t>
        </is>
      </c>
      <c r="B424" t="inlineStr">
        <is>
          <t>in remaking the broken spindle of the east mill with iron bought for the same 2 shilling.</t>
        </is>
      </c>
      <c r="C424" t="n">
        <v>0.1</v>
      </c>
      <c r="D424" t="n">
        <v>0</v>
      </c>
      <c r="E424" t="n">
        <v>2</v>
      </c>
      <c r="F424" t="n">
        <v>0</v>
      </c>
      <c r="H424" t="n">
        <v>0</v>
      </c>
      <c r="I424" t="n">
        <v>0</v>
      </c>
      <c r="J424" t="n">
        <v>0</v>
      </c>
      <c r="K424" t="n">
        <v>0</v>
      </c>
      <c r="L424" t="n">
        <v>0</v>
      </c>
      <c r="M424" t="n">
        <v>0</v>
      </c>
      <c r="N424" t="n">
        <v>0</v>
      </c>
    </row>
    <row r="425">
      <c r="A425" t="inlineStr">
        <is>
          <t>cost of the mills</t>
        </is>
      </c>
      <c r="B425" t="inlineStr">
        <is>
          <t>remaking 1 broken gudgeon of the same mill with 4 pieces of iron bought for the same 4pence.</t>
        </is>
      </c>
      <c r="C425" t="n">
        <v>0.02</v>
      </c>
      <c r="D425" t="n">
        <v>0</v>
      </c>
      <c r="E425" t="n">
        <v>0</v>
      </c>
      <c r="F425" t="n">
        <v>4</v>
      </c>
      <c r="H425" t="n">
        <v>0</v>
      </c>
      <c r="I425" t="n">
        <v>0</v>
      </c>
      <c r="J425" t="n">
        <v>0</v>
      </c>
      <c r="K425" t="n">
        <v>0</v>
      </c>
      <c r="L425" t="n">
        <v>0</v>
      </c>
      <c r="M425" t="n">
        <v>0</v>
      </c>
      <c r="N425" t="n">
        <v>0</v>
      </c>
    </row>
    <row r="426">
      <c r="A426" t="inlineStr">
        <is>
          <t>cost of the mills</t>
        </is>
      </c>
      <c r="B426" t="inlineStr">
        <is>
          <t>remaking 1 broken gudgeon of the west mill 4pence.</t>
        </is>
      </c>
      <c r="C426" t="n">
        <v>0.02</v>
      </c>
      <c r="D426" t="n">
        <v>0</v>
      </c>
      <c r="E426" t="n">
        <v>0</v>
      </c>
      <c r="F426" t="n">
        <v>4</v>
      </c>
      <c r="H426" t="n">
        <v>0</v>
      </c>
      <c r="I426" t="n">
        <v>0</v>
      </c>
      <c r="J426" t="n">
        <v>0</v>
      </c>
      <c r="K426" t="n">
        <v>0</v>
      </c>
      <c r="L426" t="n">
        <v>0</v>
      </c>
      <c r="M426" t="n">
        <v>0</v>
      </c>
      <c r="N426" t="n">
        <v>0</v>
      </c>
    </row>
    <row r="427">
      <c r="A427" t="inlineStr">
        <is>
          <t>cost of the mills</t>
        </is>
      </c>
      <c r="B427" t="inlineStr">
        <is>
          <t>1 pair of trundle-wheels bought for the mill 1 shilling.</t>
        </is>
      </c>
      <c r="C427" t="n">
        <v>0.05</v>
      </c>
      <c r="D427" t="n">
        <v>0</v>
      </c>
      <c r="E427" t="n">
        <v>1</v>
      </c>
      <c r="F427" t="n">
        <v>0</v>
      </c>
      <c r="H427" t="n">
        <v>0</v>
      </c>
      <c r="I427" t="n">
        <v>0</v>
      </c>
      <c r="J427" t="n">
        <v>0</v>
      </c>
      <c r="K427" t="n">
        <v>0</v>
      </c>
      <c r="L427" t="n">
        <v>0</v>
      </c>
      <c r="M427" t="n">
        <v>0</v>
      </c>
      <c r="N427" t="n">
        <v>0</v>
      </c>
    </row>
    <row r="428">
      <c r="A428" t="inlineStr">
        <is>
          <t>cost of the mills</t>
        </is>
      </c>
      <c r="B428" t="inlineStr">
        <is>
          <t>3 cart-loads of timber bought and felled in the new forest and carried to the demesne to make cogs and rungs therefrom 4 shilling.</t>
        </is>
      </c>
      <c r="C428" t="n">
        <v>0.2</v>
      </c>
      <c r="D428" t="n">
        <v>0</v>
      </c>
      <c r="E428" t="n">
        <v>4</v>
      </c>
      <c r="F428" t="n">
        <v>0</v>
      </c>
      <c r="H428" t="n">
        <v>0</v>
      </c>
      <c r="I428" t="n">
        <v>0</v>
      </c>
      <c r="J428" t="n">
        <v>0</v>
      </c>
      <c r="K428" t="n">
        <v>0</v>
      </c>
      <c r="L428" t="n">
        <v>0</v>
      </c>
      <c r="M428" t="n">
        <v>0</v>
      </c>
      <c r="N428" t="n">
        <v>0</v>
      </c>
    </row>
    <row r="429">
      <c r="A429" t="inlineStr">
        <is>
          <t>cost of the mills</t>
        </is>
      </c>
      <c r="B429" t="inlineStr">
        <is>
          <t>i iron hoop bought for the axle of the west mill 1 shilling.</t>
        </is>
      </c>
      <c r="C429" t="n">
        <v>0.05</v>
      </c>
      <c r="D429" t="n">
        <v>0</v>
      </c>
      <c r="E429" t="n">
        <v>1</v>
      </c>
      <c r="F429" t="n">
        <v>0</v>
      </c>
      <c r="H429" t="n">
        <v>0</v>
      </c>
      <c r="I429" t="n">
        <v>0</v>
      </c>
      <c r="J429" t="n">
        <v>0</v>
      </c>
      <c r="K429" t="n">
        <v>0</v>
      </c>
      <c r="L429" t="n">
        <v>0</v>
      </c>
      <c r="M429" t="n">
        <v>0</v>
      </c>
      <c r="N429" t="n">
        <v>0</v>
      </c>
    </row>
    <row r="430">
      <c r="A430" t="inlineStr">
        <is>
          <t>cost of the mills</t>
        </is>
      </c>
      <c r="B430" t="inlineStr">
        <is>
          <t>sharpening mill bills for the year 5 shilling.</t>
        </is>
      </c>
      <c r="C430" t="n">
        <v>0.25</v>
      </c>
      <c r="D430" t="n">
        <v>0</v>
      </c>
      <c r="E430" t="n">
        <v>5</v>
      </c>
      <c r="F430" t="n">
        <v>0</v>
      </c>
      <c r="H430" t="n">
        <v>0</v>
      </c>
      <c r="I430" t="n">
        <v>0</v>
      </c>
      <c r="J430" t="n">
        <v>0</v>
      </c>
      <c r="K430" t="n">
        <v>0</v>
      </c>
      <c r="L430" t="n">
        <v>0</v>
      </c>
      <c r="M430" t="n">
        <v>0</v>
      </c>
      <c r="N430" t="n">
        <v>0</v>
      </c>
    </row>
    <row r="431">
      <c r="A431" t="inlineStr">
        <is>
          <t>cost of the mills</t>
        </is>
      </c>
      <c r="B431" t="inlineStr">
        <is>
          <t>grease bought for the cog-wheels for the year 1 shilling.</t>
        </is>
      </c>
      <c r="C431" t="n">
        <v>0.05</v>
      </c>
      <c r="D431" t="n">
        <v>0</v>
      </c>
      <c r="E431" t="n">
        <v>1</v>
      </c>
      <c r="F431" t="n">
        <v>0</v>
      </c>
      <c r="H431" t="n">
        <v>0</v>
      </c>
      <c r="I431" t="n">
        <v>0</v>
      </c>
      <c r="J431" t="n">
        <v>0</v>
      </c>
      <c r="K431" t="n">
        <v>0</v>
      </c>
      <c r="L431" t="n">
        <v>0</v>
      </c>
      <c r="M431" t="n">
        <v>0</v>
      </c>
      <c r="N431" t="n">
        <v>0</v>
      </c>
    </row>
    <row r="432">
      <c r="A432" t="inlineStr">
        <is>
          <t>cost of the mills</t>
        </is>
      </c>
      <c r="B432" t="inlineStr">
        <is>
          <t>payment for the tithe of the mills for the year £1..</t>
        </is>
      </c>
      <c r="C432" t="n">
        <v>1</v>
      </c>
      <c r="D432" t="n">
        <v>1</v>
      </c>
      <c r="E432" t="n">
        <v>0</v>
      </c>
      <c r="F432" t="n">
        <v>0</v>
      </c>
      <c r="H432" t="n">
        <v>0</v>
      </c>
      <c r="I432" t="n">
        <v>0</v>
      </c>
      <c r="J432" t="n">
        <v>0</v>
      </c>
      <c r="K432" t="n">
        <v>0</v>
      </c>
      <c r="L432" t="n">
        <v>0</v>
      </c>
      <c r="M432" t="n">
        <v>0</v>
      </c>
      <c r="N432" t="n">
        <v>0</v>
      </c>
    </row>
    <row r="433">
      <c r="A433" t="inlineStr">
        <is>
          <t>cost of the mills</t>
        </is>
      </c>
      <c r="B433" t="inlineStr">
        <is>
          <t>hiring 3 carpenters to trim the water-wheel of the east mill for 1.5 days 1 shilling 10.5pence, taking together 1 shilling 3pence a day.</t>
        </is>
      </c>
      <c r="C433" t="n">
        <v>0.09</v>
      </c>
      <c r="D433" t="n">
        <v>0</v>
      </c>
      <c r="E433" t="n">
        <v>1</v>
      </c>
      <c r="F433" t="n">
        <v>10.5</v>
      </c>
      <c r="H433" t="n">
        <v>0</v>
      </c>
      <c r="I433" t="n">
        <v>0</v>
      </c>
      <c r="J433" t="n">
        <v>0</v>
      </c>
      <c r="K433" t="n">
        <v>0</v>
      </c>
      <c r="L433" t="n">
        <v>0</v>
      </c>
      <c r="M433" t="n">
        <v>0</v>
      </c>
      <c r="N433" t="n">
        <v>0</v>
      </c>
    </row>
    <row r="434">
      <c r="A434" t="inlineStr">
        <is>
          <t>cost of the mills</t>
        </is>
      </c>
      <c r="B434" t="inlineStr">
        <is>
          <t>hiring 1 carpenter to mend the pale (palls) at the outer gate of the old curia and make a land-fast (landfast) there for 3 days 1 shilling 3pence.</t>
        </is>
      </c>
      <c r="C434" t="n">
        <v>0.06</v>
      </c>
      <c r="D434" t="n">
        <v>0</v>
      </c>
      <c r="E434" t="n">
        <v>1</v>
      </c>
      <c r="F434" t="n">
        <v>3</v>
      </c>
      <c r="H434" t="n">
        <v>0</v>
      </c>
      <c r="I434" t="n">
        <v>0</v>
      </c>
      <c r="J434" t="n">
        <v>0</v>
      </c>
      <c r="K434" t="n">
        <v>0</v>
      </c>
      <c r="L434" t="n">
        <v>0</v>
      </c>
      <c r="M434" t="n">
        <v>0</v>
      </c>
      <c r="N434" t="n">
        <v>0</v>
      </c>
    </row>
    <row r="435">
      <c r="A435" t="inlineStr">
        <is>
          <t>cost of the mills</t>
        </is>
      </c>
      <c r="B435" t="inlineStr">
        <is>
          <t>expenses of various men driving and ramming in piles there 1 shilling.</t>
        </is>
      </c>
      <c r="C435" t="n">
        <v>0.05</v>
      </c>
      <c r="D435" t="n">
        <v>0</v>
      </c>
      <c r="E435" t="n">
        <v>1</v>
      </c>
      <c r="F435" t="n">
        <v>0</v>
      </c>
      <c r="H435" t="n">
        <v>0</v>
      </c>
      <c r="I435" t="n">
        <v>0</v>
      </c>
      <c r="J435" t="n">
        <v>0</v>
      </c>
      <c r="K435" t="n">
        <v>0</v>
      </c>
      <c r="L435" t="n">
        <v>0</v>
      </c>
      <c r="M435" t="n">
        <v>0</v>
      </c>
      <c r="N435" t="n">
        <v>0</v>
      </c>
    </row>
    <row r="436">
      <c r="A436" t="inlineStr">
        <is>
          <t>cost of the mills</t>
        </is>
      </c>
      <c r="B436" t="inlineStr">
        <is>
          <t>hiring 10 labourers for 10 days to split, sharpen and drive in piles at the weir, 1 shilling 8pence and dinner.</t>
        </is>
      </c>
      <c r="C436" t="n">
        <v>0.08</v>
      </c>
      <c r="D436" t="n">
        <v>0</v>
      </c>
      <c r="E436" t="n">
        <v>1</v>
      </c>
      <c r="F436" t="n">
        <v>8</v>
      </c>
      <c r="H436" t="n">
        <v>0</v>
      </c>
      <c r="I436" t="n">
        <v>0</v>
      </c>
      <c r="J436" t="n">
        <v>0</v>
      </c>
      <c r="K436" t="n">
        <v>0</v>
      </c>
      <c r="L436" t="n">
        <v>0</v>
      </c>
      <c r="M436" t="n">
        <v>0</v>
      </c>
      <c r="N436" t="n">
        <v>0</v>
      </c>
    </row>
    <row r="437">
      <c r="A437" t="inlineStr">
        <is>
          <t>cost of the mills</t>
        </is>
      </c>
      <c r="B437" t="inlineStr">
        <is>
          <t>expenses of the same and other outsiders for a boon-work 2 shilling.</t>
        </is>
      </c>
      <c r="C437" t="n">
        <v>0.1</v>
      </c>
      <c r="D437" t="n">
        <v>0</v>
      </c>
      <c r="E437" t="n">
        <v>2</v>
      </c>
      <c r="F437" t="n">
        <v>0</v>
      </c>
      <c r="H437" t="n">
        <v>0</v>
      </c>
      <c r="I437" t="n">
        <v>0</v>
      </c>
      <c r="J437" t="n">
        <v>0</v>
      </c>
      <c r="K437" t="n">
        <v>0</v>
      </c>
      <c r="L437" t="n">
        <v>0</v>
      </c>
      <c r="M437" t="n">
        <v>0</v>
      </c>
      <c r="N437" t="n">
        <v>0</v>
      </c>
    </row>
    <row r="438">
      <c r="A438" t="inlineStr">
        <is>
          <t>cost of the mills</t>
        </is>
      </c>
      <c r="B438" t="inlineStr">
        <is>
          <t>hiring 2 carpenters for the same for 2 days 1 shilling 4pence.</t>
        </is>
      </c>
      <c r="C438" t="n">
        <v>0.07000000000000001</v>
      </c>
      <c r="D438" t="n">
        <v>0</v>
      </c>
      <c r="E438" t="n">
        <v>1</v>
      </c>
      <c r="F438" t="n">
        <v>4</v>
      </c>
      <c r="H438" t="n">
        <v>0</v>
      </c>
      <c r="I438" t="n">
        <v>0</v>
      </c>
      <c r="J438" t="n">
        <v>0</v>
      </c>
      <c r="K438" t="n">
        <v>0</v>
      </c>
      <c r="L438" t="n">
        <v>0</v>
      </c>
      <c r="M438" t="n">
        <v>0</v>
      </c>
      <c r="N438" t="n">
        <v>0</v>
      </c>
    </row>
    <row r="439">
      <c r="A439" t="inlineStr">
        <is>
          <t>cost of the mills</t>
        </is>
      </c>
      <c r="B439" t="inlineStr">
        <is>
          <t>hiring 2 carpenters to mend the water-wheel of the fulling mill and to make anew i shuttle (schittd) and mend the rack of the same mill for 7.5 days 6 shilling 3pence, both taking 5pence a day.</t>
        </is>
      </c>
      <c r="C439" t="n">
        <v>0.31</v>
      </c>
      <c r="D439" t="n">
        <v>0</v>
      </c>
      <c r="E439" t="n">
        <v>6</v>
      </c>
      <c r="F439" t="n">
        <v>3</v>
      </c>
      <c r="H439" t="n">
        <v>0</v>
      </c>
      <c r="I439" t="n">
        <v>0</v>
      </c>
      <c r="J439" t="n">
        <v>0</v>
      </c>
      <c r="K439" t="n">
        <v>0</v>
      </c>
      <c r="L439" t="n">
        <v>0</v>
      </c>
      <c r="M439" t="n">
        <v>0</v>
      </c>
      <c r="N439" t="n">
        <v>0</v>
      </c>
    </row>
    <row r="440">
      <c r="A440" t="inlineStr">
        <is>
          <t>cost of the mills</t>
        </is>
      </c>
      <c r="B440" t="inlineStr">
        <is>
          <t>2,000 rack-nails bought for the same 2 shilling 8pence.</t>
        </is>
      </c>
      <c r="C440" t="n">
        <v>0.13</v>
      </c>
      <c r="D440" t="n">
        <v>0</v>
      </c>
      <c r="E440" t="n">
        <v>2</v>
      </c>
      <c r="F440" t="n">
        <v>8</v>
      </c>
      <c r="H440" t="n">
        <v>0</v>
      </c>
      <c r="I440" t="n">
        <v>0</v>
      </c>
      <c r="J440" t="n">
        <v>0</v>
      </c>
      <c r="K440" t="n">
        <v>0</v>
      </c>
      <c r="L440" t="n">
        <v>0</v>
      </c>
      <c r="M440" t="n">
        <v>0</v>
      </c>
      <c r="N440" t="n">
        <v>0</v>
      </c>
    </row>
    <row r="441">
      <c r="A441" t="inlineStr">
        <is>
          <t>cost of the mills</t>
        </is>
      </c>
      <c r="B441" t="inlineStr">
        <is>
          <t>100 board-nails bought for the same 6pence.</t>
        </is>
      </c>
      <c r="C441" t="n">
        <v>0.03</v>
      </c>
      <c r="D441" t="n">
        <v>0</v>
      </c>
      <c r="E441" t="n">
        <v>0</v>
      </c>
      <c r="F441" t="n">
        <v>6</v>
      </c>
      <c r="H441" t="n">
        <v>0</v>
      </c>
      <c r="I441" t="n">
        <v>0</v>
      </c>
      <c r="J441" t="n">
        <v>0</v>
      </c>
      <c r="K441" t="n">
        <v>0</v>
      </c>
      <c r="L441" t="n">
        <v>0</v>
      </c>
      <c r="M441" t="n">
        <v>0</v>
      </c>
      <c r="N441" t="n">
        <v>0</v>
      </c>
    </row>
    <row r="442">
      <c r="A442" t="inlineStr">
        <is>
          <t>cost of the mills</t>
        </is>
      </c>
      <c r="B442" t="inlineStr">
        <is>
          <t>60 spike-nails bought for the same 6pence.</t>
        </is>
      </c>
      <c r="C442" t="n">
        <v>0.03</v>
      </c>
      <c r="D442" t="n">
        <v>0</v>
      </c>
      <c r="E442" t="n">
        <v>0</v>
      </c>
      <c r="F442" t="n">
        <v>6</v>
      </c>
      <c r="H442" t="n">
        <v>0</v>
      </c>
      <c r="I442" t="n">
        <v>0</v>
      </c>
      <c r="J442" t="n">
        <v>0</v>
      </c>
      <c r="K442" t="n">
        <v>0</v>
      </c>
      <c r="L442" t="n">
        <v>0</v>
      </c>
      <c r="M442" t="n">
        <v>0</v>
      </c>
      <c r="N442" t="n">
        <v>0</v>
      </c>
    </row>
    <row r="443">
      <c r="A443" t="inlineStr">
        <is>
          <t>cost of the mills</t>
        </is>
      </c>
      <c r="B443" t="inlineStr">
        <is>
          <t>total, £2 13 shilling 8.5pence.</t>
        </is>
      </c>
      <c r="C443" t="n">
        <v>2.69</v>
      </c>
      <c r="D443" t="n">
        <v>2</v>
      </c>
      <c r="E443" t="n">
        <v>13</v>
      </c>
      <c r="F443" t="n">
        <v>8.5</v>
      </c>
      <c r="H443" t="n">
        <v>0</v>
      </c>
      <c r="I443" t="n">
        <v>0</v>
      </c>
      <c r="J443" t="n">
        <v>0</v>
      </c>
      <c r="K443" t="n">
        <v>0</v>
      </c>
      <c r="L443" t="n">
        <v>0</v>
      </c>
      <c r="M443" t="n">
        <v>0</v>
      </c>
      <c r="N443" t="n">
        <v>0</v>
      </c>
    </row>
    <row r="444">
      <c r="A444" t="inlineStr">
        <is>
          <t>weeding corn</t>
        </is>
      </c>
      <c r="B444" t="inlineStr">
        <is>
          <t>in weeding the lord's corn this year, nothing, because it was done by the labour service of the customary tenants.</t>
        </is>
      </c>
      <c r="C444" t="n">
        <v>0</v>
      </c>
      <c r="D444" t="n">
        <v>0</v>
      </c>
      <c r="E444" t="n">
        <v>0</v>
      </c>
      <c r="F444" t="n">
        <v>0</v>
      </c>
      <c r="H444" t="n">
        <v>0</v>
      </c>
      <c r="I444" t="n">
        <v>0</v>
      </c>
      <c r="J444" t="n">
        <v>0</v>
      </c>
      <c r="K444" t="n">
        <v>0</v>
      </c>
      <c r="L444" t="n">
        <v>0</v>
      </c>
      <c r="M444" t="n">
        <v>0</v>
      </c>
      <c r="N444" t="n">
        <v>0</v>
      </c>
    </row>
    <row r="445">
      <c r="A445" t="inlineStr">
        <is>
          <t>weeding corn</t>
        </is>
      </c>
      <c r="B445" t="inlineStr">
        <is>
          <t>customary payment to the customary tenants mowing the lord's meadow of radmede 6pence.</t>
        </is>
      </c>
      <c r="C445" t="n">
        <v>0.03</v>
      </c>
      <c r="D445" t="n">
        <v>0</v>
      </c>
      <c r="E445" t="n">
        <v>0</v>
      </c>
      <c r="F445" t="n">
        <v>6</v>
      </c>
      <c r="H445" t="n">
        <v>0</v>
      </c>
      <c r="I445" t="n">
        <v>0</v>
      </c>
      <c r="J445" t="n">
        <v>0</v>
      </c>
      <c r="K445" t="n">
        <v>0</v>
      </c>
      <c r="L445" t="n">
        <v>0</v>
      </c>
      <c r="M445" t="n">
        <v>0</v>
      </c>
      <c r="N445" t="n">
        <v>0</v>
      </c>
    </row>
    <row r="446">
      <c r="A446" t="inlineStr">
        <is>
          <t>weeding corn</t>
        </is>
      </c>
      <c r="B446" t="inlineStr">
        <is>
          <t>payment made to the same for 1 cheese which they should have according to custom 6pence nothing for the boon-work of cowyke this year because nothing was sown.</t>
        </is>
      </c>
      <c r="C446" t="n">
        <v>0.03</v>
      </c>
      <c r="D446" t="n">
        <v>0</v>
      </c>
      <c r="E446" t="n">
        <v>0</v>
      </c>
      <c r="F446" t="n">
        <v>6</v>
      </c>
      <c r="H446" t="n">
        <v>0</v>
      </c>
      <c r="I446" t="n">
        <v>0</v>
      </c>
      <c r="J446" t="n">
        <v>0</v>
      </c>
      <c r="K446" t="n">
        <v>0</v>
      </c>
      <c r="L446" t="n">
        <v>0</v>
      </c>
      <c r="M446" t="n">
        <v>0</v>
      </c>
      <c r="N446" t="n">
        <v>0</v>
      </c>
    </row>
    <row r="447">
      <c r="A447" t="inlineStr">
        <is>
          <t>weeding corn</t>
        </is>
      </c>
      <c r="B447" t="inlineStr">
        <is>
          <t>expenses of 90 men at harvest-time for 1 meal who reaped, bond and carried 26 acres 12 shilling.</t>
        </is>
      </c>
      <c r="C447" t="n">
        <v>0.6</v>
      </c>
      <c r="D447" t="n">
        <v>0</v>
      </c>
      <c r="E447" t="n">
        <v>12</v>
      </c>
      <c r="F447" t="n">
        <v>0</v>
      </c>
      <c r="G447" t="inlineStr">
        <is>
          <t>meal</t>
        </is>
      </c>
      <c r="H447" t="n">
        <v>0</v>
      </c>
      <c r="I447" t="n">
        <v>0</v>
      </c>
      <c r="J447" t="n">
        <v>0</v>
      </c>
      <c r="K447" t="n">
        <v>0</v>
      </c>
      <c r="L447" t="n">
        <v>0</v>
      </c>
      <c r="M447" t="n">
        <v>0</v>
      </c>
      <c r="N447" t="n">
        <v>0</v>
      </c>
    </row>
    <row r="448">
      <c r="A448" t="inlineStr">
        <is>
          <t>weeding corn</t>
        </is>
      </c>
      <c r="B448" t="inlineStr">
        <is>
          <t>total 13 shilling.</t>
        </is>
      </c>
      <c r="C448" t="n">
        <v>0.65</v>
      </c>
      <c r="D448" t="n">
        <v>0</v>
      </c>
      <c r="E448" t="n">
        <v>13</v>
      </c>
      <c r="F448" t="n">
        <v>0</v>
      </c>
      <c r="H448" t="n">
        <v>0</v>
      </c>
      <c r="I448" t="n">
        <v>0</v>
      </c>
      <c r="J448" t="n">
        <v>0</v>
      </c>
      <c r="K448" t="n">
        <v>0</v>
      </c>
      <c r="L448" t="n">
        <v>0</v>
      </c>
      <c r="M448" t="n">
        <v>0</v>
      </c>
      <c r="N448" t="n">
        <v>0</v>
      </c>
    </row>
    <row r="449">
      <c r="A449" t="inlineStr">
        <is>
          <t>expenses of the steward</t>
        </is>
      </c>
      <c r="B449" t="inlineStr">
        <is>
          <t>in expenses of richard wyot', steward, at the tourns of martinmas and hockday, by 2 sealed bills, 17 shilling 11.5pence.</t>
        </is>
      </c>
      <c r="C449" t="n">
        <v>0.9</v>
      </c>
      <c r="D449" t="n">
        <v>0</v>
      </c>
      <c r="E449" t="n">
        <v>17</v>
      </c>
      <c r="F449" t="n">
        <v>11.5</v>
      </c>
      <c r="H449" t="n">
        <v>0</v>
      </c>
      <c r="I449" t="n">
        <v>0</v>
      </c>
      <c r="J449" t="n">
        <v>0</v>
      </c>
      <c r="K449" t="n">
        <v>0</v>
      </c>
      <c r="L449" t="n">
        <v>0</v>
      </c>
      <c r="M449" t="n">
        <v>0</v>
      </c>
      <c r="N449" t="n">
        <v>0</v>
      </c>
    </row>
    <row r="450">
      <c r="A450" t="inlineStr">
        <is>
          <t>wages of the bailiff</t>
        </is>
      </c>
      <c r="B450" t="inlineStr">
        <is>
          <t>in wages of john bryt and thomas ryngwod', bailiffs there, £5 for the year.</t>
        </is>
      </c>
      <c r="C450" t="n">
        <v>5</v>
      </c>
      <c r="D450" t="n">
        <v>5</v>
      </c>
      <c r="E450" t="n">
        <v>0</v>
      </c>
      <c r="F450" t="n">
        <v>0</v>
      </c>
      <c r="H450" t="n">
        <v>0</v>
      </c>
      <c r="I450" t="n">
        <v>0</v>
      </c>
      <c r="J450" t="n">
        <v>0</v>
      </c>
      <c r="K450" t="n">
        <v>0</v>
      </c>
      <c r="L450" t="n">
        <v>0</v>
      </c>
      <c r="M450" t="n">
        <v>0</v>
      </c>
      <c r="N450" t="n">
        <v>0</v>
      </c>
    </row>
    <row r="451">
      <c r="A451" t="inlineStr">
        <is>
          <t>wages of the bailiff</t>
        </is>
      </c>
      <c r="B451" t="inlineStr">
        <is>
          <t>stipend of 1 warrener for the year 6 shilling 8pence.</t>
        </is>
      </c>
      <c r="C451" t="n">
        <v>0.33</v>
      </c>
      <c r="D451" t="n">
        <v>0</v>
      </c>
      <c r="E451" t="n">
        <v>6</v>
      </c>
      <c r="F451" t="n">
        <v>8</v>
      </c>
      <c r="H451" t="n">
        <v>0</v>
      </c>
      <c r="I451" t="n">
        <v>0</v>
      </c>
      <c r="J451" t="n">
        <v>0</v>
      </c>
      <c r="K451" t="n">
        <v>0</v>
      </c>
      <c r="L451" t="n">
        <v>0</v>
      </c>
      <c r="M451" t="n">
        <v>0</v>
      </c>
      <c r="N451" t="n">
        <v>0</v>
      </c>
    </row>
    <row r="452">
      <c r="A452" t="inlineStr">
        <is>
          <t>wages of the bailiff</t>
        </is>
      </c>
      <c r="B452" t="inlineStr">
        <is>
          <t>a certain annuity of 20 marks a year granted by the lord to henry thorp', esquire (scutifero), for the term of his life, to be received annually from the issues of this manor through the hands of the reeve, bailiff, farmer or whatever other official of the lord is there at the time, at easter and michaelmas in equal portions, at the same terms this year by delivery of the lord's letter of warranty given on the fourth day of february in the tenth year of the present king (1409), together with the quittance of the same henry, at the audit of this account, £13 6 shilling 8pence.</t>
        </is>
      </c>
      <c r="C452" t="n">
        <v>13.33</v>
      </c>
      <c r="D452" t="n">
        <v>13</v>
      </c>
      <c r="E452" t="n">
        <v>6</v>
      </c>
      <c r="F452" t="n">
        <v>8</v>
      </c>
      <c r="H452" t="n">
        <v>0</v>
      </c>
      <c r="I452" t="n">
        <v>0</v>
      </c>
      <c r="J452" t="n">
        <v>0</v>
      </c>
      <c r="K452" t="n">
        <v>0</v>
      </c>
      <c r="L452" t="n">
        <v>0</v>
      </c>
      <c r="M452" t="n">
        <v>0</v>
      </c>
      <c r="N452" t="n">
        <v>0</v>
      </c>
    </row>
    <row r="453">
      <c r="A453" t="inlineStr">
        <is>
          <t>wages of the bailiff</t>
        </is>
      </c>
      <c r="B453" t="inlineStr">
        <is>
          <t>total, £18 13 shilling 4pence.</t>
        </is>
      </c>
      <c r="C453" t="n">
        <v>18.67</v>
      </c>
      <c r="D453" t="n">
        <v>18</v>
      </c>
      <c r="E453" t="n">
        <v>13</v>
      </c>
      <c r="F453" t="n">
        <v>4</v>
      </c>
      <c r="H453" t="n">
        <v>0</v>
      </c>
      <c r="I453" t="n">
        <v>0</v>
      </c>
      <c r="J453" t="n">
        <v>0</v>
      </c>
      <c r="K453" t="n">
        <v>0</v>
      </c>
      <c r="L453" t="n">
        <v>0</v>
      </c>
      <c r="M453" t="n">
        <v>0</v>
      </c>
      <c r="N453" t="n">
        <v>0</v>
      </c>
    </row>
    <row r="454">
      <c r="A454" t="inlineStr">
        <is>
          <t>building of a new fulling mill</t>
        </is>
      </c>
      <c r="B454" t="inlineStr">
        <is>
          <t>in agreement with 1 carpenter to build anew 1 building, 38 feet long and 21 feet wide, for the fulling mill by piece-work with timber felled for the same, to saw boards for 4 doors and 2 windows for the same, and to board up a wall of 1 bay, £2 13 shilling 4pence.</t>
        </is>
      </c>
      <c r="C454" t="n">
        <v>2.67</v>
      </c>
      <c r="D454" t="n">
        <v>2</v>
      </c>
      <c r="E454" t="n">
        <v>13</v>
      </c>
      <c r="F454" t="n">
        <v>4</v>
      </c>
      <c r="H454" t="n">
        <v>0</v>
      </c>
      <c r="I454" t="n">
        <v>0</v>
      </c>
      <c r="J454" t="n">
        <v>0</v>
      </c>
      <c r="K454" t="n">
        <v>0</v>
      </c>
      <c r="L454" t="n">
        <v>0</v>
      </c>
      <c r="M454" t="n">
        <v>0</v>
      </c>
      <c r="N454" t="n">
        <v>0</v>
      </c>
    </row>
    <row r="455">
      <c r="A455" t="inlineStr">
        <is>
          <t>building of a new fulling mill</t>
        </is>
      </c>
      <c r="B455" t="inlineStr">
        <is>
          <t>10 hooks and 10 hinges bought for the said doors and windows, weighing 321b, 4 shilling, at 1.54. a lb.</t>
        </is>
      </c>
      <c r="C455" t="n">
        <v>0.2</v>
      </c>
      <c r="D455" t="n">
        <v>0</v>
      </c>
      <c r="E455" t="n">
        <v>4</v>
      </c>
      <c r="F455" t="n">
        <v>0</v>
      </c>
      <c r="H455" t="n">
        <v>0</v>
      </c>
      <c r="I455" t="n">
        <v>0</v>
      </c>
      <c r="J455" t="n">
        <v>0</v>
      </c>
      <c r="K455" t="n">
        <v>0</v>
      </c>
      <c r="L455" t="n">
        <v>0</v>
      </c>
      <c r="M455" t="n">
        <v>0</v>
      </c>
      <c r="N455" t="n">
        <v>0</v>
      </c>
    </row>
    <row r="456">
      <c r="A456" t="inlineStr">
        <is>
          <t>building of a new fulling mill</t>
        </is>
      </c>
      <c r="B456" t="inlineStr">
        <is>
          <t>400 board-nails bought for the said doors and windows and for boarding up a wall of 1 bay 2 shilling.</t>
        </is>
      </c>
      <c r="C456" t="n">
        <v>0.1</v>
      </c>
      <c r="D456" t="n">
        <v>0</v>
      </c>
      <c r="E456" t="n">
        <v>2</v>
      </c>
      <c r="F456" t="n">
        <v>0</v>
      </c>
      <c r="H456" t="n">
        <v>0</v>
      </c>
      <c r="I456" t="n">
        <v>0</v>
      </c>
      <c r="J456" t="n">
        <v>0</v>
      </c>
      <c r="K456" t="n">
        <v>0</v>
      </c>
      <c r="L456" t="n">
        <v>0</v>
      </c>
      <c r="M456" t="n">
        <v>0</v>
      </c>
      <c r="N456" t="n">
        <v>0</v>
      </c>
    </row>
    <row r="457">
      <c r="A457" t="inlineStr">
        <is>
          <t>building of a new fulling mill</t>
        </is>
      </c>
      <c r="B457" t="inlineStr">
        <is>
          <t>agreement with 1 man to wattle (brudend') and daub and fence with wattle (watilland') the said building by piece-work with withies collected for the' same 7 shilling.</t>
        </is>
      </c>
      <c r="C457" t="n">
        <v>0.35</v>
      </c>
      <c r="D457" t="n">
        <v>0</v>
      </c>
      <c r="E457" t="n">
        <v>7</v>
      </c>
      <c r="F457" t="n">
        <v>0</v>
      </c>
      <c r="H457" t="n">
        <v>0</v>
      </c>
      <c r="I457" t="n">
        <v>0</v>
      </c>
      <c r="J457" t="n">
        <v>0</v>
      </c>
      <c r="K457" t="n">
        <v>0</v>
      </c>
      <c r="L457" t="n">
        <v>0</v>
      </c>
      <c r="M457" t="n">
        <v>0</v>
      </c>
      <c r="N457" t="n">
        <v>0</v>
      </c>
    </row>
    <row r="458">
      <c r="A458" t="inlineStr">
        <is>
          <t>building of a new fulling mill</t>
        </is>
      </c>
      <c r="B458" t="inlineStr">
        <is>
          <t>agreement with 1 thatcher to roof the said building by piece-work 6 shilling 8pence.</t>
        </is>
      </c>
      <c r="C458" t="n">
        <v>0.33</v>
      </c>
      <c r="D458" t="n">
        <v>0</v>
      </c>
      <c r="E458" t="n">
        <v>6</v>
      </c>
      <c r="F458" t="n">
        <v>8</v>
      </c>
      <c r="H458" t="n">
        <v>0</v>
      </c>
      <c r="I458" t="n">
        <v>0</v>
      </c>
      <c r="J458" t="n">
        <v>0</v>
      </c>
      <c r="K458" t="n">
        <v>0</v>
      </c>
      <c r="L458" t="n">
        <v>0</v>
      </c>
      <c r="M458" t="n">
        <v>0</v>
      </c>
      <c r="N458" t="n">
        <v>0</v>
      </c>
    </row>
    <row r="459">
      <c r="A459" t="inlineStr">
        <is>
          <t>building of a new fulling mill</t>
        </is>
      </c>
      <c r="B459" t="inlineStr">
        <is>
          <t>straw bought for the same 3 shilling 4pence.</t>
        </is>
      </c>
      <c r="C459" t="n">
        <v>0.17</v>
      </c>
      <c r="D459" t="n">
        <v>0</v>
      </c>
      <c r="E459" t="n">
        <v>3</v>
      </c>
      <c r="F459" t="n">
        <v>4</v>
      </c>
      <c r="H459" t="n">
        <v>0</v>
      </c>
      <c r="I459" t="n">
        <v>0</v>
      </c>
      <c r="J459" t="n">
        <v>0</v>
      </c>
      <c r="K459" t="n">
        <v>0</v>
      </c>
      <c r="L459" t="n">
        <v>0</v>
      </c>
      <c r="M459" t="n">
        <v>0</v>
      </c>
      <c r="N459" t="n">
        <v>0</v>
      </c>
    </row>
    <row r="460">
      <c r="A460" t="inlineStr">
        <is>
          <t>building of a new fulling mill</t>
        </is>
      </c>
      <c r="B460" t="inlineStr">
        <is>
          <t>expenses of 17 men coming for a boon-work with 8 carts, besides the lord's carts, and 8 other men helping to load the carts with timber for the said building, who carried 27 cart-loads of timber from various places within the lord's demesne to the building of the said mill, 3 shilling.</t>
        </is>
      </c>
      <c r="C460" t="n">
        <v>0.15</v>
      </c>
      <c r="D460" t="n">
        <v>0</v>
      </c>
      <c r="E460" t="n">
        <v>3</v>
      </c>
      <c r="F460" t="n">
        <v>0</v>
      </c>
      <c r="H460" t="n">
        <v>0</v>
      </c>
      <c r="I460" t="n">
        <v>0</v>
      </c>
      <c r="J460" t="n">
        <v>0</v>
      </c>
      <c r="K460" t="n">
        <v>0</v>
      </c>
      <c r="L460" t="n">
        <v>0</v>
      </c>
      <c r="M460" t="n">
        <v>0</v>
      </c>
      <c r="N460" t="n">
        <v>0</v>
      </c>
    </row>
    <row r="461">
      <c r="A461" t="inlineStr">
        <is>
          <t>building of a new fulling mill</t>
        </is>
      </c>
      <c r="B461" t="inlineStr">
        <is>
          <t>hiring 1 carter for the same for 2 days who carried 4 cart-loads of timber 2 shilling.</t>
        </is>
      </c>
      <c r="C461" t="n">
        <v>0.1</v>
      </c>
      <c r="D461" t="n">
        <v>0</v>
      </c>
      <c r="E461" t="n">
        <v>2</v>
      </c>
      <c r="F461" t="n">
        <v>0</v>
      </c>
      <c r="H461" t="n">
        <v>0</v>
      </c>
      <c r="I461" t="n">
        <v>0</v>
      </c>
      <c r="J461" t="n">
        <v>0</v>
      </c>
      <c r="K461" t="n">
        <v>0</v>
      </c>
      <c r="L461" t="n">
        <v>0</v>
      </c>
      <c r="M461" t="n">
        <v>0</v>
      </c>
      <c r="N461" t="n">
        <v>0</v>
      </c>
    </row>
    <row r="462">
      <c r="A462" t="inlineStr">
        <is>
          <t>building of a new fulling mill</t>
        </is>
      </c>
      <c r="B462" t="inlineStr">
        <is>
          <t>total, £4 1 shilling 4pence.</t>
        </is>
      </c>
      <c r="C462" t="n">
        <v>4.07</v>
      </c>
      <c r="D462" t="n">
        <v>4</v>
      </c>
      <c r="E462" t="n">
        <v>1</v>
      </c>
      <c r="F462" t="n">
        <v>4</v>
      </c>
      <c r="H462" t="n">
        <v>0</v>
      </c>
      <c r="I462" t="n">
        <v>0</v>
      </c>
      <c r="J462" t="n">
        <v>0</v>
      </c>
      <c r="K462" t="n">
        <v>0</v>
      </c>
      <c r="L462" t="n">
        <v>0</v>
      </c>
      <c r="M462" t="n">
        <v>0</v>
      </c>
      <c r="N462" t="n">
        <v>0</v>
      </c>
    </row>
    <row r="463">
      <c r="A463" t="inlineStr">
        <is>
          <t>total of all expenses</t>
        </is>
      </c>
      <c r="B463" t="inlineStr">
        <is>
          <t>total of all expenses, £55 15 shilling 10pence.</t>
        </is>
      </c>
      <c r="C463" t="n">
        <v>55.79</v>
      </c>
      <c r="D463" t="n">
        <v>55</v>
      </c>
      <c r="E463" t="n">
        <v>15</v>
      </c>
      <c r="F463" t="n">
        <v>10</v>
      </c>
      <c r="H463" t="n">
        <v>0</v>
      </c>
      <c r="I463" t="n">
        <v>0</v>
      </c>
      <c r="J463" t="n">
        <v>0</v>
      </c>
      <c r="K463" t="n">
        <v>0</v>
      </c>
      <c r="L463" t="n">
        <v>0</v>
      </c>
      <c r="M463" t="n">
        <v>0</v>
      </c>
      <c r="N463" t="n">
        <v>0</v>
      </c>
    </row>
    <row r="464">
      <c r="A464" t="inlineStr">
        <is>
          <t>and he owes</t>
        </is>
      </c>
      <c r="B464" t="inlineStr">
        <is>
          <t>and he owes, £112 11 shilling 9.25pence.</t>
        </is>
      </c>
      <c r="C464" t="n">
        <v>112.59</v>
      </c>
      <c r="D464" t="n">
        <v>112</v>
      </c>
      <c r="E464" t="n">
        <v>11</v>
      </c>
      <c r="F464" t="n">
        <v>9.25</v>
      </c>
      <c r="H464" t="n">
        <v>0</v>
      </c>
      <c r="I464" t="n">
        <v>0</v>
      </c>
      <c r="J464" t="n">
        <v>0</v>
      </c>
      <c r="K464" t="n">
        <v>0</v>
      </c>
      <c r="L464" t="n">
        <v>0</v>
      </c>
      <c r="M464" t="n">
        <v>0</v>
      </c>
      <c r="N464" t="n">
        <v>0</v>
      </c>
    </row>
    <row r="465">
      <c r="A465" t="inlineStr">
        <is>
          <t>allowances without writ</t>
        </is>
      </c>
      <c r="B465" t="inlineStr">
        <is>
          <t>in various surcharges and disallowances in this present account £2 6 shilling 9.25pence.</t>
        </is>
      </c>
      <c r="C465" t="n">
        <v>2.34</v>
      </c>
      <c r="D465" t="n">
        <v>2</v>
      </c>
      <c r="E465" t="n">
        <v>6</v>
      </c>
      <c r="F465" t="n">
        <v>9.25</v>
      </c>
      <c r="H465" t="n">
        <v>0</v>
      </c>
      <c r="I465" t="n">
        <v>0</v>
      </c>
      <c r="J465" t="n">
        <v>0</v>
      </c>
      <c r="K465" t="n">
        <v>0</v>
      </c>
      <c r="L465" t="n">
        <v>0</v>
      </c>
      <c r="M465" t="n">
        <v>0</v>
      </c>
      <c r="N465" t="n">
        <v>0</v>
      </c>
    </row>
    <row r="466">
      <c r="A466" t="inlineStr">
        <is>
          <t>allowances without writ</t>
        </is>
      </c>
      <c r="B466" t="inlineStr">
        <is>
          <t>total, £2 6 shilling 9.25pence.</t>
        </is>
      </c>
      <c r="C466" t="n">
        <v>2.34</v>
      </c>
      <c r="D466" t="n">
        <v>2</v>
      </c>
      <c r="E466" t="n">
        <v>6</v>
      </c>
      <c r="F466" t="n">
        <v>9.25</v>
      </c>
      <c r="H466" t="n">
        <v>0</v>
      </c>
      <c r="I466" t="n">
        <v>0</v>
      </c>
      <c r="J466" t="n">
        <v>0</v>
      </c>
      <c r="K466" t="n">
        <v>0</v>
      </c>
      <c r="L466" t="n">
        <v>0</v>
      </c>
      <c r="M466" t="n">
        <v>0</v>
      </c>
      <c r="N466" t="n">
        <v>0</v>
      </c>
    </row>
    <row r="467">
      <c r="A467" t="inlineStr">
        <is>
          <t>allowances by writ</t>
        </is>
      </c>
      <c r="B467" t="inlineStr">
        <is>
          <t>in allowance to the same for 9 shilling 10pence delivered to john rede, treasurer of the lord's, household, as the price of various victuals for the provision of the said household, just as is made clear by the evidence of the same john delivered to the auditor of this account.</t>
        </is>
      </c>
      <c r="C467" t="n">
        <v>0.49</v>
      </c>
      <c r="D467" t="n">
        <v>0</v>
      </c>
      <c r="E467" t="n">
        <v>9</v>
      </c>
      <c r="F467" t="n">
        <v>10</v>
      </c>
      <c r="H467" t="n">
        <v>0</v>
      </c>
      <c r="I467" t="n">
        <v>0</v>
      </c>
      <c r="J467" t="n">
        <v>0</v>
      </c>
      <c r="K467" t="n">
        <v>0</v>
      </c>
      <c r="L467" t="n">
        <v>0</v>
      </c>
      <c r="M467" t="n">
        <v>0</v>
      </c>
      <c r="N467" t="n">
        <v>0</v>
      </c>
    </row>
    <row r="468">
      <c r="A468" t="inlineStr">
        <is>
          <t>allowances by writ</t>
        </is>
      </c>
      <c r="B468" t="inlineStr">
        <is>
          <t>total, 9 shilling 10pence.</t>
        </is>
      </c>
      <c r="C468" t="n">
        <v>0.49</v>
      </c>
      <c r="D468" t="n">
        <v>0</v>
      </c>
      <c r="E468" t="n">
        <v>9</v>
      </c>
      <c r="F468" t="n">
        <v>10</v>
      </c>
      <c r="H468" t="n">
        <v>0</v>
      </c>
      <c r="I468" t="n">
        <v>0</v>
      </c>
      <c r="J468" t="n">
        <v>0</v>
      </c>
      <c r="K468" t="n">
        <v>0</v>
      </c>
      <c r="L468" t="n">
        <v>0</v>
      </c>
      <c r="M468" t="n">
        <v>0</v>
      </c>
      <c r="N468" t="n">
        <v>0</v>
      </c>
    </row>
    <row r="469">
      <c r="A469" t="inlineStr">
        <is>
          <t>cash deliveries</t>
        </is>
      </c>
      <c r="B469" t="inlineStr">
        <is>
          <t>in cash delivered to john arnald', receiver of wolvesey, by 1 tally, £107..</t>
        </is>
      </c>
      <c r="C469" t="n">
        <v>107</v>
      </c>
      <c r="D469" t="n">
        <v>107</v>
      </c>
      <c r="E469" t="n">
        <v>0</v>
      </c>
      <c r="F469" t="n">
        <v>0</v>
      </c>
      <c r="H469" t="n">
        <v>0</v>
      </c>
      <c r="I469" t="n">
        <v>0</v>
      </c>
      <c r="J469" t="n">
        <v>0</v>
      </c>
      <c r="K469" t="n">
        <v>0</v>
      </c>
      <c r="L469" t="n">
        <v>0</v>
      </c>
      <c r="M469" t="n">
        <v>0</v>
      </c>
      <c r="N469" t="n">
        <v>0</v>
      </c>
    </row>
    <row r="470">
      <c r="A470" t="inlineStr">
        <is>
          <t>cash deliveries</t>
        </is>
      </c>
      <c r="B470" t="inlineStr">
        <is>
          <t>total, £107..</t>
        </is>
      </c>
      <c r="C470" t="n">
        <v>107</v>
      </c>
      <c r="D470" t="n">
        <v>107</v>
      </c>
      <c r="E470" t="n">
        <v>0</v>
      </c>
      <c r="F470" t="n">
        <v>0</v>
      </c>
      <c r="H470" t="n">
        <v>0</v>
      </c>
      <c r="I470" t="n">
        <v>0</v>
      </c>
      <c r="J470" t="n">
        <v>0</v>
      </c>
      <c r="K470" t="n">
        <v>0</v>
      </c>
      <c r="L470" t="n">
        <v>0</v>
      </c>
      <c r="M470" t="n">
        <v>0</v>
      </c>
      <c r="N470" t="n">
        <v>0</v>
      </c>
    </row>
    <row r="471">
      <c r="A471" t="inlineStr">
        <is>
          <t>total of all allowances and cash deliveries</t>
        </is>
      </c>
      <c r="B471" t="inlineStr">
        <is>
          <t>total of all allowances and cash deliveries, £109 16 shilling 7.25pence.</t>
        </is>
      </c>
      <c r="C471" t="n">
        <v>109.83</v>
      </c>
      <c r="D471" t="n">
        <v>109</v>
      </c>
      <c r="E471" t="n">
        <v>16</v>
      </c>
      <c r="F471" t="n">
        <v>7.25</v>
      </c>
      <c r="H471" t="n">
        <v>0</v>
      </c>
      <c r="I471" t="n">
        <v>0</v>
      </c>
      <c r="J471" t="n">
        <v>0</v>
      </c>
      <c r="K471" t="n">
        <v>0</v>
      </c>
      <c r="L471" t="n">
        <v>0</v>
      </c>
      <c r="M471" t="n">
        <v>0</v>
      </c>
      <c r="N471" t="n">
        <v>0</v>
      </c>
    </row>
    <row r="472">
      <c r="A472" t="inlineStr">
        <is>
          <t>and he owes clear</t>
        </is>
      </c>
      <c r="B472" t="inlineStr">
        <is>
          <t>and he owes clear, £2 15 shilling, of which £1 14 shilling 10pence is in the hands of the escheator, for which he is charged in the following account under the heading of arrears.</t>
        </is>
      </c>
      <c r="C472" t="n">
        <v>2.75</v>
      </c>
      <c r="D472" t="n">
        <v>2</v>
      </c>
      <c r="E472" t="n">
        <v>15</v>
      </c>
      <c r="F472" t="n">
        <v>0</v>
      </c>
      <c r="H472" t="n">
        <v>0</v>
      </c>
      <c r="I472" t="n">
        <v>0</v>
      </c>
      <c r="J472" t="n">
        <v>0</v>
      </c>
      <c r="K472" t="n">
        <v>0</v>
      </c>
      <c r="L472" t="n">
        <v>0</v>
      </c>
      <c r="M472" t="n">
        <v>0</v>
      </c>
      <c r="N472" t="n">
        <v>0</v>
      </c>
    </row>
    <row r="473">
      <c r="A473" t="inlineStr">
        <is>
          <t>wheat</t>
        </is>
      </c>
      <c r="B473" t="inlineStr">
        <is>
          <t>ralph elyot', reeve there, answers for 34 quarters 1 bushels of wheat from the whole grange, threshed by piece-work.</t>
        </is>
      </c>
      <c r="C473" t="n">
        <v>0</v>
      </c>
      <c r="D473" t="n">
        <v>0</v>
      </c>
      <c r="E473" t="n">
        <v>0</v>
      </c>
      <c r="F473" t="n">
        <v>0</v>
      </c>
      <c r="G473" t="inlineStr">
        <is>
          <t>wheat</t>
        </is>
      </c>
      <c r="H473" t="n">
        <v>34</v>
      </c>
      <c r="I473" t="n">
        <v>1</v>
      </c>
      <c r="J473" t="n">
        <v>34.12</v>
      </c>
      <c r="K473" t="n">
        <v>34.12</v>
      </c>
      <c r="L473" t="n">
        <v>0</v>
      </c>
      <c r="M473" t="n">
        <v>34</v>
      </c>
      <c r="N473" t="n">
        <v>1</v>
      </c>
    </row>
    <row r="474">
      <c r="A474" t="inlineStr">
        <is>
          <t>wheat</t>
        </is>
      </c>
      <c r="B474" t="inlineStr">
        <is>
          <t>3 quarters 6 bushels in 5 acres which the reeve, ploughmen and haywards of wick and east downton receive according to custom.</t>
        </is>
      </c>
      <c r="C474" t="n">
        <v>0</v>
      </c>
      <c r="D474" t="n">
        <v>0</v>
      </c>
      <c r="E474" t="n">
        <v>0</v>
      </c>
      <c r="F474" t="n">
        <v>0</v>
      </c>
      <c r="H474" t="n">
        <v>3</v>
      </c>
      <c r="I474" t="n">
        <v>6</v>
      </c>
      <c r="J474" t="n">
        <v>3.75</v>
      </c>
      <c r="K474" t="n">
        <v>3.75</v>
      </c>
      <c r="L474" t="n">
        <v>0</v>
      </c>
      <c r="M474" t="n">
        <v>3</v>
      </c>
      <c r="N474" t="n">
        <v>6</v>
      </c>
    </row>
    <row r="475">
      <c r="A475" t="inlineStr">
        <is>
          <t>wheat</t>
        </is>
      </c>
      <c r="B475" t="inlineStr">
        <is>
          <t>1 quarters 5 bushels surcharged so that he answers for a 3-fold yield..</t>
        </is>
      </c>
      <c r="C475" t="n">
        <v>0</v>
      </c>
      <c r="D475" t="n">
        <v>0</v>
      </c>
      <c r="E475" t="n">
        <v>0</v>
      </c>
      <c r="F475" t="n">
        <v>0</v>
      </c>
      <c r="H475" t="n">
        <v>1</v>
      </c>
      <c r="I475" t="n">
        <v>5</v>
      </c>
      <c r="J475" t="n">
        <v>1.62</v>
      </c>
      <c r="K475" t="n">
        <v>1.62</v>
      </c>
      <c r="L475" t="n">
        <v>0</v>
      </c>
      <c r="M475" t="n">
        <v>1</v>
      </c>
      <c r="N475" t="n">
        <v>5</v>
      </c>
    </row>
    <row r="476">
      <c r="A476" t="inlineStr">
        <is>
          <t>wheat</t>
        </is>
      </c>
      <c r="B476" t="inlineStr">
        <is>
          <t>total, 39 quarters 4 bushels.</t>
        </is>
      </c>
      <c r="C476" t="n">
        <v>0</v>
      </c>
      <c r="D476" t="n">
        <v>0</v>
      </c>
      <c r="E476" t="n">
        <v>0</v>
      </c>
      <c r="F476" t="n">
        <v>0</v>
      </c>
      <c r="H476" t="n">
        <v>39</v>
      </c>
      <c r="I476" t="n">
        <v>4</v>
      </c>
      <c r="J476" t="n">
        <v>39.5</v>
      </c>
      <c r="K476" t="n">
        <v>39.5</v>
      </c>
      <c r="L476" t="n">
        <v>0</v>
      </c>
      <c r="M476" t="n">
        <v>39</v>
      </c>
      <c r="N476" t="n">
        <v>4</v>
      </c>
    </row>
    <row r="477">
      <c r="A477" t="inlineStr">
        <is>
          <t>wheat</t>
        </is>
      </c>
      <c r="B477" t="inlineStr">
        <is>
          <t>sown over 51 acres, 16 quarters.</t>
        </is>
      </c>
      <c r="C477" t="n">
        <v>0</v>
      </c>
      <c r="D477" t="n">
        <v>0</v>
      </c>
      <c r="E477" t="n">
        <v>0</v>
      </c>
      <c r="F477" t="n">
        <v>0</v>
      </c>
      <c r="H477" t="n">
        <v>16</v>
      </c>
      <c r="I477" t="n">
        <v>0</v>
      </c>
      <c r="J477" t="n">
        <v>16</v>
      </c>
      <c r="K477" t="n">
        <v>16</v>
      </c>
      <c r="L477" t="n">
        <v>0</v>
      </c>
      <c r="M477" t="n">
        <v>16</v>
      </c>
      <c r="N477" t="n">
        <v>0</v>
      </c>
    </row>
    <row r="478">
      <c r="A478" t="inlineStr">
        <is>
          <t>wheat</t>
        </is>
      </c>
      <c r="B478" t="inlineStr">
        <is>
          <t>that is, 2.5 bushels an acre, plush bushels in all.</t>
        </is>
      </c>
      <c r="C478" t="n">
        <v>0</v>
      </c>
      <c r="D478" t="n">
        <v>0</v>
      </c>
      <c r="E478" t="n">
        <v>0</v>
      </c>
      <c r="F478" t="n">
        <v>0</v>
      </c>
      <c r="H478" t="n">
        <v>0</v>
      </c>
      <c r="I478" t="n">
        <v>2.5</v>
      </c>
      <c r="J478" t="n">
        <v>0.31</v>
      </c>
      <c r="K478" t="n">
        <v>0.31</v>
      </c>
      <c r="L478" t="n">
        <v>0</v>
      </c>
      <c r="M478" t="n">
        <v>0</v>
      </c>
      <c r="N478" t="n">
        <v>2.5</v>
      </c>
    </row>
    <row r="479">
      <c r="A479" t="inlineStr">
        <is>
          <t>wheat</t>
        </is>
      </c>
      <c r="B479" t="inlineStr">
        <is>
          <t>given to the reeve, ploughmen and haywards of wick and east downton in 5 acres which they receive according to custom, 3 quarters 6 bushels.</t>
        </is>
      </c>
      <c r="C479" t="n">
        <v>0</v>
      </c>
      <c r="D479" t="n">
        <v>0</v>
      </c>
      <c r="E479" t="n">
        <v>0</v>
      </c>
      <c r="F479" t="n">
        <v>0</v>
      </c>
      <c r="H479" t="n">
        <v>3</v>
      </c>
      <c r="I479" t="n">
        <v>6</v>
      </c>
      <c r="J479" t="n">
        <v>3.75</v>
      </c>
      <c r="K479" t="n">
        <v>3.75</v>
      </c>
      <c r="L479" t="n">
        <v>0</v>
      </c>
      <c r="M479" t="n">
        <v>3</v>
      </c>
      <c r="N479" t="n">
        <v>6</v>
      </c>
    </row>
    <row r="480">
      <c r="A480" t="inlineStr">
        <is>
          <t>wheat</t>
        </is>
      </c>
      <c r="B480" t="inlineStr">
        <is>
          <t>livery of 1 sergeant taking the place of the warrener for the year, 6 quarters 4 bushels.</t>
        </is>
      </c>
      <c r="C480" t="n">
        <v>0</v>
      </c>
      <c r="D480" t="n">
        <v>0</v>
      </c>
      <c r="E480" t="n">
        <v>0</v>
      </c>
      <c r="F480" t="n">
        <v>0</v>
      </c>
      <c r="H480" t="n">
        <v>6</v>
      </c>
      <c r="I480" t="n">
        <v>4</v>
      </c>
      <c r="J480" t="n">
        <v>6.5</v>
      </c>
      <c r="K480" t="n">
        <v>6.5</v>
      </c>
      <c r="L480" t="n">
        <v>0</v>
      </c>
      <c r="M480" t="n">
        <v>6</v>
      </c>
      <c r="N480" t="n">
        <v>4</v>
      </c>
    </row>
    <row r="481">
      <c r="A481" t="inlineStr">
        <is>
          <t>wheat</t>
        </is>
      </c>
      <c r="B481" t="inlineStr">
        <is>
          <t>a gift for cutting and clearing the reeds (les grethyn') in the water beside the mill, 1 bushels.</t>
        </is>
      </c>
      <c r="C481" t="n">
        <v>0</v>
      </c>
      <c r="D481" t="n">
        <v>0</v>
      </c>
      <c r="E481" t="n">
        <v>0</v>
      </c>
      <c r="F481" t="n">
        <v>0</v>
      </c>
      <c r="H481" t="n">
        <v>0</v>
      </c>
      <c r="I481" t="n">
        <v>1</v>
      </c>
      <c r="J481" t="n">
        <v>0.12</v>
      </c>
      <c r="K481" t="n">
        <v>0.12</v>
      </c>
      <c r="L481" t="n">
        <v>0</v>
      </c>
      <c r="M481" t="n">
        <v>0</v>
      </c>
      <c r="N481" t="n">
        <v>1</v>
      </c>
    </row>
    <row r="482">
      <c r="A482" t="inlineStr">
        <is>
          <t>wheat</t>
        </is>
      </c>
      <c r="B482" t="inlineStr">
        <is>
          <t>provision of the steward at the tourns of martinmas and hockday, by 2 sealed bills, 5 bushels.</t>
        </is>
      </c>
      <c r="C482" t="n">
        <v>0</v>
      </c>
      <c r="D482" t="n">
        <v>0</v>
      </c>
      <c r="E482" t="n">
        <v>0</v>
      </c>
      <c r="F482" t="n">
        <v>0</v>
      </c>
      <c r="H482" t="n">
        <v>0</v>
      </c>
      <c r="I482" t="n">
        <v>5</v>
      </c>
      <c r="J482" t="n">
        <v>0.62</v>
      </c>
      <c r="K482" t="n">
        <v>0.62</v>
      </c>
      <c r="L482" t="n">
        <v>0</v>
      </c>
      <c r="M482" t="n">
        <v>0</v>
      </c>
      <c r="N482" t="n">
        <v>5</v>
      </c>
    </row>
    <row r="483">
      <c r="A483" t="inlineStr">
        <is>
          <t>wheat</t>
        </is>
      </c>
      <c r="B483" t="inlineStr">
        <is>
          <t>sold within, 9 quarters 7 bushels.</t>
        </is>
      </c>
      <c r="C483" t="n">
        <v>0</v>
      </c>
      <c r="D483" t="n">
        <v>0</v>
      </c>
      <c r="E483" t="n">
        <v>0</v>
      </c>
      <c r="F483" t="n">
        <v>0</v>
      </c>
      <c r="H483" t="n">
        <v>9</v>
      </c>
      <c r="I483" t="n">
        <v>7</v>
      </c>
      <c r="J483" t="n">
        <v>9.880000000000001</v>
      </c>
      <c r="K483" t="n">
        <v>9.880000000000001</v>
      </c>
      <c r="L483" t="n">
        <v>0</v>
      </c>
      <c r="M483" t="n">
        <v>9</v>
      </c>
      <c r="N483" t="n">
        <v>7</v>
      </c>
    </row>
    <row r="484">
      <c r="A484" t="inlineStr">
        <is>
          <t>wheat</t>
        </is>
      </c>
      <c r="B484" t="inlineStr">
        <is>
          <t>sold at the audit, 2 quarters 5 bushels for £1 3 shilling 7.5pence.</t>
        </is>
      </c>
      <c r="C484" t="n">
        <v>1.18</v>
      </c>
      <c r="D484" t="n">
        <v>1</v>
      </c>
      <c r="E484" t="n">
        <v>3</v>
      </c>
      <c r="F484" t="n">
        <v>7.5</v>
      </c>
      <c r="H484" t="n">
        <v>2</v>
      </c>
      <c r="I484" t="n">
        <v>5</v>
      </c>
      <c r="J484" t="n">
        <v>2.62</v>
      </c>
      <c r="K484" t="n">
        <v>2.62</v>
      </c>
      <c r="L484" t="n">
        <v>0</v>
      </c>
      <c r="M484" t="n">
        <v>2</v>
      </c>
      <c r="N484" t="n">
        <v>5</v>
      </c>
    </row>
    <row r="485">
      <c r="A485" t="inlineStr">
        <is>
          <t>wheat</t>
        </is>
      </c>
      <c r="B485" t="inlineStr">
        <is>
          <t>total as before.</t>
        </is>
      </c>
      <c r="C485" t="n">
        <v>0</v>
      </c>
      <c r="D485" t="n">
        <v>0</v>
      </c>
      <c r="E485" t="n">
        <v>0</v>
      </c>
      <c r="F485" t="n">
        <v>0</v>
      </c>
      <c r="H485" t="n">
        <v>0</v>
      </c>
      <c r="I485" t="n">
        <v>0</v>
      </c>
      <c r="J485" t="n">
        <v>0</v>
      </c>
      <c r="K485" t="n">
        <v>0</v>
      </c>
      <c r="L485" t="n">
        <v>0</v>
      </c>
      <c r="M485" t="n">
        <v>0</v>
      </c>
      <c r="N485" t="n">
        <v>0</v>
      </c>
    </row>
    <row r="486">
      <c r="A486" t="inlineStr">
        <is>
          <t>wheat</t>
        </is>
      </c>
      <c r="B486" t="inlineStr">
        <is>
          <t>it balances.</t>
        </is>
      </c>
      <c r="C486" t="n">
        <v>0</v>
      </c>
      <c r="D486" t="n">
        <v>0</v>
      </c>
      <c r="E486" t="n">
        <v>0</v>
      </c>
      <c r="F486" t="n">
        <v>0</v>
      </c>
      <c r="H486" t="n">
        <v>0</v>
      </c>
      <c r="I486" t="n">
        <v>0</v>
      </c>
      <c r="J486" t="n">
        <v>0</v>
      </c>
      <c r="K486" t="n">
        <v>0</v>
      </c>
      <c r="L486" t="n">
        <v>0</v>
      </c>
      <c r="M486" t="n">
        <v>0</v>
      </c>
      <c r="N486" t="n">
        <v>0</v>
      </c>
    </row>
    <row r="487">
      <c r="A487" t="inlineStr">
        <is>
          <t>curall</t>
        </is>
      </c>
      <c r="B487" t="inlineStr">
        <is>
          <t>and for 4 quarters of curall from the issue of the said wheat, threshed by piece-work.</t>
        </is>
      </c>
      <c r="C487" t="n">
        <v>0</v>
      </c>
      <c r="D487" t="n">
        <v>0</v>
      </c>
      <c r="E487" t="n">
        <v>0</v>
      </c>
      <c r="F487" t="n">
        <v>0</v>
      </c>
      <c r="G487" t="inlineStr">
        <is>
          <t>wheat, curall</t>
        </is>
      </c>
      <c r="H487" t="n">
        <v>4</v>
      </c>
      <c r="I487" t="n">
        <v>0</v>
      </c>
      <c r="J487" t="n">
        <v>4</v>
      </c>
      <c r="K487" t="n">
        <v>4</v>
      </c>
      <c r="L487" t="n">
        <v>0</v>
      </c>
      <c r="M487" t="n">
        <v>4</v>
      </c>
      <c r="N487" t="n">
        <v>0</v>
      </c>
    </row>
    <row r="488">
      <c r="A488" t="inlineStr">
        <is>
          <t>curall</t>
        </is>
      </c>
      <c r="B488" t="inlineStr">
        <is>
          <t>sold within..</t>
        </is>
      </c>
      <c r="C488" t="n">
        <v>0</v>
      </c>
      <c r="D488" t="n">
        <v>0</v>
      </c>
      <c r="E488" t="n">
        <v>0</v>
      </c>
      <c r="F488" t="n">
        <v>0</v>
      </c>
      <c r="H488" t="n">
        <v>0</v>
      </c>
      <c r="I488" t="n">
        <v>0</v>
      </c>
      <c r="J488" t="n">
        <v>0</v>
      </c>
      <c r="K488" t="n">
        <v>0</v>
      </c>
      <c r="L488" t="n">
        <v>0</v>
      </c>
      <c r="M488" t="n">
        <v>0</v>
      </c>
      <c r="N488" t="n">
        <v>0</v>
      </c>
    </row>
    <row r="489">
      <c r="A489" t="inlineStr">
        <is>
          <t>curall</t>
        </is>
      </c>
      <c r="B489" t="inlineStr">
        <is>
          <t>it balances.</t>
        </is>
      </c>
      <c r="C489" t="n">
        <v>0</v>
      </c>
      <c r="D489" t="n">
        <v>0</v>
      </c>
      <c r="E489" t="n">
        <v>0</v>
      </c>
      <c r="F489" t="n">
        <v>0</v>
      </c>
      <c r="H489" t="n">
        <v>0</v>
      </c>
      <c r="I489" t="n">
        <v>0</v>
      </c>
      <c r="J489" t="n">
        <v>0</v>
      </c>
      <c r="K489" t="n">
        <v>0</v>
      </c>
      <c r="L489" t="n">
        <v>0</v>
      </c>
      <c r="M489" t="n">
        <v>0</v>
      </c>
      <c r="N489" t="n">
        <v>0</v>
      </c>
    </row>
    <row r="490">
      <c r="A490" t="inlineStr">
        <is>
          <t>barley</t>
        </is>
      </c>
      <c r="B490" t="inlineStr">
        <is>
          <t>and for 115 quarters 6 bushels of barley from the issue of the grange, threshed by piece-work.</t>
        </is>
      </c>
      <c r="C490" t="n">
        <v>0</v>
      </c>
      <c r="D490" t="n">
        <v>0</v>
      </c>
      <c r="E490" t="n">
        <v>0</v>
      </c>
      <c r="F490" t="n">
        <v>0</v>
      </c>
      <c r="G490" t="inlineStr">
        <is>
          <t>barley</t>
        </is>
      </c>
      <c r="H490" t="n">
        <v>115</v>
      </c>
      <c r="I490" t="n">
        <v>6</v>
      </c>
      <c r="J490" t="n">
        <v>115.75</v>
      </c>
      <c r="K490" t="n">
        <v>115.75</v>
      </c>
      <c r="L490" t="n">
        <v>0</v>
      </c>
      <c r="M490" t="n">
        <v>115</v>
      </c>
      <c r="N490" t="n">
        <v>6</v>
      </c>
    </row>
    <row r="491">
      <c r="A491" t="inlineStr">
        <is>
          <t>barley</t>
        </is>
      </c>
      <c r="B491" t="inlineStr">
        <is>
          <t>4 quarters 2 bushels surcharged so that he answers for a 4-fold yield..</t>
        </is>
      </c>
      <c r="C491" t="n">
        <v>0</v>
      </c>
      <c r="D491" t="n">
        <v>0</v>
      </c>
      <c r="E491" t="n">
        <v>0</v>
      </c>
      <c r="F491" t="n">
        <v>0</v>
      </c>
      <c r="H491" t="n">
        <v>4</v>
      </c>
      <c r="I491" t="n">
        <v>2</v>
      </c>
      <c r="J491" t="n">
        <v>4.25</v>
      </c>
      <c r="K491" t="n">
        <v>4.25</v>
      </c>
      <c r="L491" t="n">
        <v>0</v>
      </c>
      <c r="M491" t="n">
        <v>4</v>
      </c>
      <c r="N491" t="n">
        <v>2</v>
      </c>
    </row>
    <row r="492">
      <c r="A492" t="inlineStr">
        <is>
          <t>barley</t>
        </is>
      </c>
      <c r="B492" t="inlineStr">
        <is>
          <t>total, 120 quarters.</t>
        </is>
      </c>
      <c r="C492" t="n">
        <v>0</v>
      </c>
      <c r="D492" t="n">
        <v>0</v>
      </c>
      <c r="E492" t="n">
        <v>0</v>
      </c>
      <c r="F492" t="n">
        <v>0</v>
      </c>
      <c r="H492" t="n">
        <v>120</v>
      </c>
      <c r="I492" t="n">
        <v>0</v>
      </c>
      <c r="J492" t="n">
        <v>120</v>
      </c>
      <c r="K492" t="n">
        <v>120</v>
      </c>
      <c r="L492" t="n">
        <v>0</v>
      </c>
      <c r="M492" t="n">
        <v>120</v>
      </c>
      <c r="N492" t="n">
        <v>0</v>
      </c>
    </row>
    <row r="493">
      <c r="A493" t="inlineStr">
        <is>
          <t>barley</t>
        </is>
      </c>
      <c r="B493" t="inlineStr">
        <is>
          <t>sown over 68 acres, 34 quarters.</t>
        </is>
      </c>
      <c r="C493" t="n">
        <v>0</v>
      </c>
      <c r="D493" t="n">
        <v>0</v>
      </c>
      <c r="E493" t="n">
        <v>0</v>
      </c>
      <c r="F493" t="n">
        <v>0</v>
      </c>
      <c r="H493" t="n">
        <v>34</v>
      </c>
      <c r="I493" t="n">
        <v>0</v>
      </c>
      <c r="J493" t="n">
        <v>34</v>
      </c>
      <c r="K493" t="n">
        <v>34</v>
      </c>
      <c r="L493" t="n">
        <v>0</v>
      </c>
      <c r="M493" t="n">
        <v>34</v>
      </c>
      <c r="N493" t="n">
        <v>0</v>
      </c>
    </row>
    <row r="494">
      <c r="A494" t="inlineStr">
        <is>
          <t>barley</t>
        </is>
      </c>
      <c r="B494" t="inlineStr">
        <is>
          <t>that is, 4 bushels an acre.</t>
        </is>
      </c>
      <c r="C494" t="n">
        <v>0</v>
      </c>
      <c r="D494" t="n">
        <v>0</v>
      </c>
      <c r="E494" t="n">
        <v>0</v>
      </c>
      <c r="F494" t="n">
        <v>0</v>
      </c>
      <c r="H494" t="n">
        <v>0</v>
      </c>
      <c r="I494" t="n">
        <v>4</v>
      </c>
      <c r="J494" t="n">
        <v>0.5</v>
      </c>
      <c r="K494" t="n">
        <v>0.5</v>
      </c>
      <c r="L494" t="n">
        <v>0</v>
      </c>
      <c r="M494" t="n">
        <v>0</v>
      </c>
      <c r="N494" t="n">
        <v>4</v>
      </c>
    </row>
    <row r="495">
      <c r="A495" t="inlineStr">
        <is>
          <t>barley</t>
        </is>
      </c>
      <c r="B495" t="inlineStr">
        <is>
          <t>liveries of the manorial servants below, 64 quarters 6 bushels.</t>
        </is>
      </c>
      <c r="C495" t="n">
        <v>0</v>
      </c>
      <c r="D495" t="n">
        <v>0</v>
      </c>
      <c r="E495" t="n">
        <v>0</v>
      </c>
      <c r="F495" t="n">
        <v>0</v>
      </c>
      <c r="H495" t="n">
        <v>64</v>
      </c>
      <c r="I495" t="n">
        <v>6</v>
      </c>
      <c r="J495" t="n">
        <v>64.75</v>
      </c>
      <c r="K495" t="n">
        <v>64.75</v>
      </c>
      <c r="L495" t="n">
        <v>0</v>
      </c>
      <c r="M495" t="n">
        <v>64</v>
      </c>
      <c r="N495" t="n">
        <v>6</v>
      </c>
    </row>
    <row r="496">
      <c r="A496" t="inlineStr">
        <is>
          <t>barley</t>
        </is>
      </c>
      <c r="B496" t="inlineStr">
        <is>
          <t>clearing the lord's dung, 2 quarters.</t>
        </is>
      </c>
      <c r="C496" t="n">
        <v>0</v>
      </c>
      <c r="D496" t="n">
        <v>0</v>
      </c>
      <c r="E496" t="n">
        <v>0</v>
      </c>
      <c r="F496" t="n">
        <v>0</v>
      </c>
      <c r="H496" t="n">
        <v>2</v>
      </c>
      <c r="I496" t="n">
        <v>0</v>
      </c>
      <c r="J496" t="n">
        <v>2</v>
      </c>
      <c r="K496" t="n">
        <v>2</v>
      </c>
      <c r="L496" t="n">
        <v>0</v>
      </c>
      <c r="M496" t="n">
        <v>2</v>
      </c>
      <c r="N496" t="n">
        <v>0</v>
      </c>
    </row>
    <row r="497">
      <c r="A497" t="inlineStr">
        <is>
          <t>barley</t>
        </is>
      </c>
      <c r="B497" t="inlineStr">
        <is>
          <t>nothing of the 1 quarters which was accustomed to be given for the boon-work of cowyke because the field was not sown this year.</t>
        </is>
      </c>
      <c r="C497" t="n">
        <v>0</v>
      </c>
      <c r="D497" t="n">
        <v>0</v>
      </c>
      <c r="E497" t="n">
        <v>0</v>
      </c>
      <c r="F497" t="n">
        <v>0</v>
      </c>
      <c r="H497" t="n">
        <v>1</v>
      </c>
      <c r="I497" t="n">
        <v>0</v>
      </c>
      <c r="J497" t="n">
        <v>1</v>
      </c>
      <c r="K497" t="n">
        <v>1</v>
      </c>
      <c r="L497" t="n">
        <v>0</v>
      </c>
      <c r="M497" t="n">
        <v>1</v>
      </c>
      <c r="N497" t="n">
        <v>0</v>
      </c>
    </row>
    <row r="498">
      <c r="A498" t="inlineStr">
        <is>
          <t>barley</t>
        </is>
      </c>
      <c r="B498" t="inlineStr">
        <is>
          <t>supporting the pigs and sows in winter and in weaning the piglets, 2 quarters..</t>
        </is>
      </c>
      <c r="C498" t="n">
        <v>0</v>
      </c>
      <c r="D498" t="n">
        <v>0</v>
      </c>
      <c r="E498" t="n">
        <v>0</v>
      </c>
      <c r="F498" t="n">
        <v>0</v>
      </c>
      <c r="H498" t="n">
        <v>2</v>
      </c>
      <c r="I498" t="n">
        <v>0</v>
      </c>
      <c r="J498" t="n">
        <v>2</v>
      </c>
      <c r="K498" t="n">
        <v>2</v>
      </c>
      <c r="L498" t="n">
        <v>0</v>
      </c>
      <c r="M498" t="n">
        <v>2</v>
      </c>
      <c r="N498" t="n">
        <v>0</v>
      </c>
    </row>
    <row r="499">
      <c r="A499" t="inlineStr">
        <is>
          <t>barley</t>
        </is>
      </c>
      <c r="B499" t="inlineStr">
        <is>
          <t>sold within, 13 quarters..</t>
        </is>
      </c>
      <c r="C499" t="n">
        <v>0</v>
      </c>
      <c r="D499" t="n">
        <v>0</v>
      </c>
      <c r="E499" t="n">
        <v>0</v>
      </c>
      <c r="F499" t="n">
        <v>0</v>
      </c>
      <c r="H499" t="n">
        <v>13</v>
      </c>
      <c r="I499" t="n">
        <v>0</v>
      </c>
      <c r="J499" t="n">
        <v>13</v>
      </c>
      <c r="K499" t="n">
        <v>13</v>
      </c>
      <c r="L499" t="n">
        <v>0</v>
      </c>
      <c r="M499" t="n">
        <v>13</v>
      </c>
      <c r="N499" t="n">
        <v>0</v>
      </c>
    </row>
    <row r="500">
      <c r="A500" t="inlineStr">
        <is>
          <t>barley</t>
        </is>
      </c>
      <c r="B500" t="inlineStr">
        <is>
          <t>sold at the audit, 4 quarters 2 bushels for £1 5 shilling 6pence.</t>
        </is>
      </c>
      <c r="C500" t="n">
        <v>1.27</v>
      </c>
      <c r="D500" t="n">
        <v>1</v>
      </c>
      <c r="E500" t="n">
        <v>5</v>
      </c>
      <c r="F500" t="n">
        <v>6</v>
      </c>
      <c r="H500" t="n">
        <v>4</v>
      </c>
      <c r="I500" t="n">
        <v>2</v>
      </c>
      <c r="J500" t="n">
        <v>4.25</v>
      </c>
      <c r="K500" t="n">
        <v>4.25</v>
      </c>
      <c r="L500" t="n">
        <v>0</v>
      </c>
      <c r="M500" t="n">
        <v>4</v>
      </c>
      <c r="N500" t="n">
        <v>2</v>
      </c>
    </row>
    <row r="501">
      <c r="A501" t="inlineStr">
        <is>
          <t>barley</t>
        </is>
      </c>
      <c r="B501" t="inlineStr">
        <is>
          <t>total as before.</t>
        </is>
      </c>
      <c r="C501" t="n">
        <v>0</v>
      </c>
      <c r="D501" t="n">
        <v>0</v>
      </c>
      <c r="E501" t="n">
        <v>0</v>
      </c>
      <c r="F501" t="n">
        <v>0</v>
      </c>
      <c r="H501" t="n">
        <v>0</v>
      </c>
      <c r="I501" t="n">
        <v>0</v>
      </c>
      <c r="J501" t="n">
        <v>0</v>
      </c>
      <c r="K501" t="n">
        <v>0</v>
      </c>
      <c r="L501" t="n">
        <v>0</v>
      </c>
      <c r="M501" t="n">
        <v>0</v>
      </c>
      <c r="N501" t="n">
        <v>0</v>
      </c>
    </row>
    <row r="502">
      <c r="A502" t="inlineStr">
        <is>
          <t>barley</t>
        </is>
      </c>
      <c r="B502" t="inlineStr">
        <is>
          <t>it balances.</t>
        </is>
      </c>
      <c r="C502" t="n">
        <v>0</v>
      </c>
      <c r="D502" t="n">
        <v>0</v>
      </c>
      <c r="E502" t="n">
        <v>0</v>
      </c>
      <c r="F502" t="n">
        <v>0</v>
      </c>
      <c r="H502" t="n">
        <v>0</v>
      </c>
      <c r="I502" t="n">
        <v>0</v>
      </c>
      <c r="J502" t="n">
        <v>0</v>
      </c>
      <c r="K502" t="n">
        <v>0</v>
      </c>
      <c r="L502" t="n">
        <v>0</v>
      </c>
      <c r="M502" t="n">
        <v>0</v>
      </c>
      <c r="N502" t="n">
        <v>0</v>
      </c>
    </row>
    <row r="503">
      <c r="A503" t="inlineStr">
        <is>
          <t>oats</t>
        </is>
      </c>
      <c r="B503" t="inlineStr">
        <is>
          <t>and for 21 quarters 6 bushels of oats from the whole issue of the grange, threshed by piece-work.</t>
        </is>
      </c>
      <c r="C503" t="n">
        <v>0</v>
      </c>
      <c r="D503" t="n">
        <v>0</v>
      </c>
      <c r="E503" t="n">
        <v>0</v>
      </c>
      <c r="F503" t="n">
        <v>0</v>
      </c>
      <c r="G503" t="inlineStr">
        <is>
          <t>oats</t>
        </is>
      </c>
      <c r="H503" t="n">
        <v>21</v>
      </c>
      <c r="I503" t="n">
        <v>6</v>
      </c>
      <c r="J503" t="n">
        <v>21.75</v>
      </c>
      <c r="K503" t="n">
        <v>21.75</v>
      </c>
      <c r="L503" t="n">
        <v>0</v>
      </c>
      <c r="M503" t="n">
        <v>21</v>
      </c>
      <c r="N503" t="n">
        <v>6</v>
      </c>
    </row>
    <row r="504">
      <c r="A504" t="inlineStr">
        <is>
          <t>oats</t>
        </is>
      </c>
      <c r="B504" t="inlineStr">
        <is>
          <t>14 quarters 2 bushels surcharged so that he answers for a 3-fold yield.</t>
        </is>
      </c>
      <c r="C504" t="n">
        <v>0</v>
      </c>
      <c r="D504" t="n">
        <v>0</v>
      </c>
      <c r="E504" t="n">
        <v>0</v>
      </c>
      <c r="F504" t="n">
        <v>0</v>
      </c>
      <c r="H504" t="n">
        <v>14</v>
      </c>
      <c r="I504" t="n">
        <v>2</v>
      </c>
      <c r="J504" t="n">
        <v>14.25</v>
      </c>
      <c r="K504" t="n">
        <v>14.25</v>
      </c>
      <c r="L504" t="n">
        <v>0</v>
      </c>
      <c r="M504" t="n">
        <v>14</v>
      </c>
      <c r="N504" t="n">
        <v>2</v>
      </c>
    </row>
    <row r="505">
      <c r="A505" t="inlineStr">
        <is>
          <t>oats</t>
        </is>
      </c>
      <c r="B505" t="inlineStr">
        <is>
          <t>total, 36 quarters.</t>
        </is>
      </c>
      <c r="C505" t="n">
        <v>0</v>
      </c>
      <c r="D505" t="n">
        <v>0</v>
      </c>
      <c r="E505" t="n">
        <v>0</v>
      </c>
      <c r="F505" t="n">
        <v>0</v>
      </c>
      <c r="H505" t="n">
        <v>36</v>
      </c>
      <c r="I505" t="n">
        <v>0</v>
      </c>
      <c r="J505" t="n">
        <v>36</v>
      </c>
      <c r="K505" t="n">
        <v>36</v>
      </c>
      <c r="L505" t="n">
        <v>0</v>
      </c>
      <c r="M505" t="n">
        <v>36</v>
      </c>
      <c r="N505" t="n">
        <v>0</v>
      </c>
    </row>
    <row r="506">
      <c r="A506" t="inlineStr">
        <is>
          <t>oats</t>
        </is>
      </c>
      <c r="B506" t="inlineStr">
        <is>
          <t>sown over 16 acres, 8 quarters.</t>
        </is>
      </c>
      <c r="C506" t="n">
        <v>0</v>
      </c>
      <c r="D506" t="n">
        <v>0</v>
      </c>
      <c r="E506" t="n">
        <v>0</v>
      </c>
      <c r="F506" t="n">
        <v>0</v>
      </c>
      <c r="H506" t="n">
        <v>8</v>
      </c>
      <c r="I506" t="n">
        <v>0</v>
      </c>
      <c r="J506" t="n">
        <v>8</v>
      </c>
      <c r="K506" t="n">
        <v>8</v>
      </c>
      <c r="L506" t="n">
        <v>0</v>
      </c>
      <c r="M506" t="n">
        <v>8</v>
      </c>
      <c r="N506" t="n">
        <v>0</v>
      </c>
    </row>
    <row r="507">
      <c r="A507" t="inlineStr">
        <is>
          <t>oats</t>
        </is>
      </c>
      <c r="B507" t="inlineStr">
        <is>
          <t>that is, 4 bushels an acre.</t>
        </is>
      </c>
      <c r="C507" t="n">
        <v>0</v>
      </c>
      <c r="D507" t="n">
        <v>0</v>
      </c>
      <c r="E507" t="n">
        <v>0</v>
      </c>
      <c r="F507" t="n">
        <v>0</v>
      </c>
      <c r="H507" t="n">
        <v>0</v>
      </c>
      <c r="I507" t="n">
        <v>4</v>
      </c>
      <c r="J507" t="n">
        <v>0.5</v>
      </c>
      <c r="K507" t="n">
        <v>0.5</v>
      </c>
      <c r="L507" t="n">
        <v>0</v>
      </c>
      <c r="M507" t="n">
        <v>0</v>
      </c>
      <c r="N507" t="n">
        <v>4</v>
      </c>
    </row>
    <row r="508">
      <c r="A508" t="inlineStr">
        <is>
          <t>oats</t>
        </is>
      </c>
      <c r="B508" t="inlineStr">
        <is>
          <t>fodder of the horses at sowing-time, 2 quarters 4 bushels.</t>
        </is>
      </c>
      <c r="C508" t="n">
        <v>0</v>
      </c>
      <c r="D508" t="n">
        <v>0</v>
      </c>
      <c r="E508" t="n">
        <v>0</v>
      </c>
      <c r="F508" t="n">
        <v>0</v>
      </c>
      <c r="H508" t="n">
        <v>2</v>
      </c>
      <c r="I508" t="n">
        <v>4</v>
      </c>
      <c r="J508" t="n">
        <v>2.5</v>
      </c>
      <c r="K508" t="n">
        <v>2.5</v>
      </c>
      <c r="L508" t="n">
        <v>0</v>
      </c>
      <c r="M508" t="n">
        <v>2</v>
      </c>
      <c r="N508" t="n">
        <v>4</v>
      </c>
    </row>
    <row r="509">
      <c r="A509" t="inlineStr">
        <is>
          <t>oats</t>
        </is>
      </c>
      <c r="B509" t="inlineStr">
        <is>
          <t>meal for the pottage of the manorial servants for the year, 6 quarters.</t>
        </is>
      </c>
      <c r="C509" t="n">
        <v>0</v>
      </c>
      <c r="D509" t="n">
        <v>0</v>
      </c>
      <c r="E509" t="n">
        <v>0</v>
      </c>
      <c r="F509" t="n">
        <v>0</v>
      </c>
      <c r="G509" t="inlineStr">
        <is>
          <t>meal</t>
        </is>
      </c>
      <c r="H509" t="n">
        <v>6</v>
      </c>
      <c r="I509" t="n">
        <v>0</v>
      </c>
      <c r="J509" t="n">
        <v>6</v>
      </c>
      <c r="K509" t="n">
        <v>6</v>
      </c>
      <c r="L509" t="n">
        <v>0</v>
      </c>
      <c r="M509" t="n">
        <v>6</v>
      </c>
      <c r="N509" t="n">
        <v>0</v>
      </c>
    </row>
    <row r="510">
      <c r="A510" t="inlineStr">
        <is>
          <t>oats</t>
        </is>
      </c>
      <c r="B510" t="inlineStr">
        <is>
          <t>fodder of the horses at the tourns of martinmas and hockday, by 2 sealed bills, 4 quarters 4 bushels.</t>
        </is>
      </c>
      <c r="C510" t="n">
        <v>0</v>
      </c>
      <c r="D510" t="n">
        <v>0</v>
      </c>
      <c r="E510" t="n">
        <v>0</v>
      </c>
      <c r="F510" t="n">
        <v>0</v>
      </c>
      <c r="H510" t="n">
        <v>4</v>
      </c>
      <c r="I510" t="n">
        <v>4</v>
      </c>
      <c r="J510" t="n">
        <v>4.5</v>
      </c>
      <c r="K510" t="n">
        <v>4.5</v>
      </c>
      <c r="L510" t="n">
        <v>0</v>
      </c>
      <c r="M510" t="n">
        <v>4</v>
      </c>
      <c r="N510" t="n">
        <v>4</v>
      </c>
    </row>
    <row r="511">
      <c r="A511" t="inlineStr">
        <is>
          <t>oats</t>
        </is>
      </c>
      <c r="B511" t="inlineStr">
        <is>
          <t>sold within, 6 bushels.</t>
        </is>
      </c>
      <c r="C511" t="n">
        <v>0</v>
      </c>
      <c r="D511" t="n">
        <v>0</v>
      </c>
      <c r="E511" t="n">
        <v>0</v>
      </c>
      <c r="F511" t="n">
        <v>0</v>
      </c>
      <c r="H511" t="n">
        <v>0</v>
      </c>
      <c r="I511" t="n">
        <v>6</v>
      </c>
      <c r="J511" t="n">
        <v>0.75</v>
      </c>
      <c r="K511" t="n">
        <v>0.75</v>
      </c>
      <c r="L511" t="n">
        <v>0</v>
      </c>
      <c r="M511" t="n">
        <v>0</v>
      </c>
      <c r="N511" t="n">
        <v>6</v>
      </c>
    </row>
    <row r="512">
      <c r="A512" t="inlineStr">
        <is>
          <t>oats</t>
        </is>
      </c>
      <c r="B512" t="inlineStr">
        <is>
          <t>sold at the audit, 14 quarters 2 bushels for £1 15 shilling 7.5pence.</t>
        </is>
      </c>
      <c r="C512" t="n">
        <v>1.78</v>
      </c>
      <c r="D512" t="n">
        <v>1</v>
      </c>
      <c r="E512" t="n">
        <v>15</v>
      </c>
      <c r="F512" t="n">
        <v>7.5</v>
      </c>
      <c r="H512" t="n">
        <v>14</v>
      </c>
      <c r="I512" t="n">
        <v>2</v>
      </c>
      <c r="J512" t="n">
        <v>14.25</v>
      </c>
      <c r="K512" t="n">
        <v>14.25</v>
      </c>
      <c r="L512" t="n">
        <v>0</v>
      </c>
      <c r="M512" t="n">
        <v>14</v>
      </c>
      <c r="N512" t="n">
        <v>2</v>
      </c>
    </row>
    <row r="513">
      <c r="A513" t="inlineStr">
        <is>
          <t>oats</t>
        </is>
      </c>
      <c r="B513" t="inlineStr">
        <is>
          <t>total as before.</t>
        </is>
      </c>
      <c r="C513" t="n">
        <v>0</v>
      </c>
      <c r="D513" t="n">
        <v>0</v>
      </c>
      <c r="E513" t="n">
        <v>0</v>
      </c>
      <c r="F513" t="n">
        <v>0</v>
      </c>
      <c r="H513" t="n">
        <v>0</v>
      </c>
      <c r="I513" t="n">
        <v>0</v>
      </c>
      <c r="J513" t="n">
        <v>0</v>
      </c>
      <c r="K513" t="n">
        <v>0</v>
      </c>
      <c r="L513" t="n">
        <v>0</v>
      </c>
      <c r="M513" t="n">
        <v>0</v>
      </c>
      <c r="N513" t="n">
        <v>0</v>
      </c>
    </row>
    <row r="514">
      <c r="A514" t="inlineStr">
        <is>
          <t>oats</t>
        </is>
      </c>
      <c r="B514" t="inlineStr">
        <is>
          <t>it balances.</t>
        </is>
      </c>
      <c r="C514" t="n">
        <v>0</v>
      </c>
      <c r="D514" t="n">
        <v>0</v>
      </c>
      <c r="E514" t="n">
        <v>0</v>
      </c>
      <c r="F514" t="n">
        <v>0</v>
      </c>
      <c r="H514" t="n">
        <v>0</v>
      </c>
      <c r="I514" t="n">
        <v>0</v>
      </c>
      <c r="J514" t="n">
        <v>0</v>
      </c>
      <c r="K514" t="n">
        <v>0</v>
      </c>
      <c r="L514" t="n">
        <v>0</v>
      </c>
      <c r="M514" t="n">
        <v>0</v>
      </c>
      <c r="N514" t="n">
        <v>0</v>
      </c>
    </row>
    <row r="515">
      <c r="A515" t="inlineStr">
        <is>
          <t>peas</t>
        </is>
      </c>
      <c r="B515" t="inlineStr">
        <is>
          <t>and for 2 quarters of peas from the issue of the grange, threshed by piece-work.</t>
        </is>
      </c>
      <c r="C515" t="n">
        <v>0</v>
      </c>
      <c r="D515" t="n">
        <v>0</v>
      </c>
      <c r="E515" t="n">
        <v>0</v>
      </c>
      <c r="F515" t="n">
        <v>0</v>
      </c>
      <c r="G515" t="inlineStr">
        <is>
          <t>peas</t>
        </is>
      </c>
      <c r="H515" t="n">
        <v>2</v>
      </c>
      <c r="I515" t="n">
        <v>0</v>
      </c>
      <c r="J515" t="n">
        <v>2</v>
      </c>
      <c r="K515" t="n">
        <v>2</v>
      </c>
      <c r="L515" t="n">
        <v>0</v>
      </c>
      <c r="M515" t="n">
        <v>2</v>
      </c>
      <c r="N515" t="n">
        <v>0</v>
      </c>
    </row>
    <row r="516">
      <c r="A516" t="inlineStr">
        <is>
          <t>peas</t>
        </is>
      </c>
      <c r="B516" t="inlineStr">
        <is>
          <t>3 quarters from the same issue by estimation in husks..</t>
        </is>
      </c>
      <c r="C516" t="n">
        <v>0</v>
      </c>
      <c r="D516" t="n">
        <v>0</v>
      </c>
      <c r="E516" t="n">
        <v>0</v>
      </c>
      <c r="F516" t="n">
        <v>0</v>
      </c>
      <c r="H516" t="n">
        <v>3</v>
      </c>
      <c r="I516" t="n">
        <v>0</v>
      </c>
      <c r="J516" t="n">
        <v>3</v>
      </c>
      <c r="K516" t="n">
        <v>3</v>
      </c>
      <c r="L516" t="n">
        <v>0</v>
      </c>
      <c r="M516" t="n">
        <v>3</v>
      </c>
      <c r="N516" t="n">
        <v>0</v>
      </c>
    </row>
    <row r="517">
      <c r="A517" t="inlineStr">
        <is>
          <t>peas</t>
        </is>
      </c>
      <c r="B517" t="inlineStr">
        <is>
          <t>total, 5 quarters.</t>
        </is>
      </c>
      <c r="C517" t="n">
        <v>0</v>
      </c>
      <c r="D517" t="n">
        <v>0</v>
      </c>
      <c r="E517" t="n">
        <v>0</v>
      </c>
      <c r="F517" t="n">
        <v>0</v>
      </c>
      <c r="H517" t="n">
        <v>5</v>
      </c>
      <c r="I517" t="n">
        <v>0</v>
      </c>
      <c r="J517" t="n">
        <v>5</v>
      </c>
      <c r="K517" t="n">
        <v>5</v>
      </c>
      <c r="L517" t="n">
        <v>0</v>
      </c>
      <c r="M517" t="n">
        <v>5</v>
      </c>
      <c r="N517" t="n">
        <v>0</v>
      </c>
    </row>
    <row r="518">
      <c r="A518" t="inlineStr">
        <is>
          <t>peas</t>
        </is>
      </c>
      <c r="B518" t="inlineStr">
        <is>
          <t>sown over 8 acres, 2 quarters.</t>
        </is>
      </c>
      <c r="C518" t="n">
        <v>0</v>
      </c>
      <c r="D518" t="n">
        <v>0</v>
      </c>
      <c r="E518" t="n">
        <v>0</v>
      </c>
      <c r="F518" t="n">
        <v>0</v>
      </c>
      <c r="H518" t="n">
        <v>2</v>
      </c>
      <c r="I518" t="n">
        <v>0</v>
      </c>
      <c r="J518" t="n">
        <v>2</v>
      </c>
      <c r="K518" t="n">
        <v>2</v>
      </c>
      <c r="L518" t="n">
        <v>0</v>
      </c>
      <c r="M518" t="n">
        <v>2</v>
      </c>
      <c r="N518" t="n">
        <v>0</v>
      </c>
    </row>
    <row r="519">
      <c r="A519" t="inlineStr">
        <is>
          <t>peas</t>
        </is>
      </c>
      <c r="B519" t="inlineStr">
        <is>
          <t>that is, 2 bushels an acre.</t>
        </is>
      </c>
      <c r="C519" t="n">
        <v>0</v>
      </c>
      <c r="D519" t="n">
        <v>0</v>
      </c>
      <c r="E519" t="n">
        <v>0</v>
      </c>
      <c r="F519" t="n">
        <v>0</v>
      </c>
      <c r="H519" t="n">
        <v>0</v>
      </c>
      <c r="I519" t="n">
        <v>2</v>
      </c>
      <c r="J519" t="n">
        <v>0.25</v>
      </c>
      <c r="K519" t="n">
        <v>0.25</v>
      </c>
      <c r="L519" t="n">
        <v>0</v>
      </c>
      <c r="M519" t="n">
        <v>0</v>
      </c>
      <c r="N519" t="n">
        <v>2</v>
      </c>
    </row>
    <row r="520">
      <c r="A520" t="inlineStr">
        <is>
          <t>peas</t>
        </is>
      </c>
      <c r="B520" t="inlineStr">
        <is>
          <t>supporting the lord's ewes in winter, 3 quarters by estimation in husks..</t>
        </is>
      </c>
      <c r="C520" t="n">
        <v>0</v>
      </c>
      <c r="D520" t="n">
        <v>0</v>
      </c>
      <c r="E520" t="n">
        <v>0</v>
      </c>
      <c r="F520" t="n">
        <v>0</v>
      </c>
      <c r="H520" t="n">
        <v>3</v>
      </c>
      <c r="I520" t="n">
        <v>0</v>
      </c>
      <c r="J520" t="n">
        <v>3</v>
      </c>
      <c r="K520" t="n">
        <v>3</v>
      </c>
      <c r="L520" t="n">
        <v>0</v>
      </c>
      <c r="M520" t="n">
        <v>3</v>
      </c>
      <c r="N520" t="n">
        <v>0</v>
      </c>
    </row>
    <row r="521">
      <c r="A521" t="inlineStr">
        <is>
          <t>peas</t>
        </is>
      </c>
      <c r="B521" t="inlineStr">
        <is>
          <t>total as before.</t>
        </is>
      </c>
      <c r="C521" t="n">
        <v>0</v>
      </c>
      <c r="D521" t="n">
        <v>0</v>
      </c>
      <c r="E521" t="n">
        <v>0</v>
      </c>
      <c r="F521" t="n">
        <v>0</v>
      </c>
      <c r="H521" t="n">
        <v>0</v>
      </c>
      <c r="I521" t="n">
        <v>0</v>
      </c>
      <c r="J521" t="n">
        <v>0</v>
      </c>
      <c r="K521" t="n">
        <v>0</v>
      </c>
      <c r="L521" t="n">
        <v>0</v>
      </c>
      <c r="M521" t="n">
        <v>0</v>
      </c>
      <c r="N521" t="n">
        <v>0</v>
      </c>
    </row>
    <row r="522">
      <c r="A522" t="inlineStr">
        <is>
          <t>peas</t>
        </is>
      </c>
      <c r="B522" t="inlineStr">
        <is>
          <t>it balances.</t>
        </is>
      </c>
      <c r="C522" t="n">
        <v>0</v>
      </c>
      <c r="D522" t="n">
        <v>0</v>
      </c>
      <c r="E522" t="n">
        <v>0</v>
      </c>
      <c r="F522" t="n">
        <v>0</v>
      </c>
      <c r="H522" t="n">
        <v>0</v>
      </c>
      <c r="I522" t="n">
        <v>0</v>
      </c>
      <c r="J522" t="n">
        <v>0</v>
      </c>
      <c r="K522" t="n">
        <v>0</v>
      </c>
      <c r="L522" t="n">
        <v>0</v>
      </c>
      <c r="M522" t="n">
        <v>0</v>
      </c>
      <c r="N522" t="n">
        <v>0</v>
      </c>
    </row>
    <row r="523">
      <c r="A523" t="inlineStr">
        <is>
          <t>vetches</t>
        </is>
      </c>
      <c r="B523" t="inlineStr">
        <is>
          <t>and for 3 quarters 6 bushels of vetches from the issue of the grange, threshed by piece-work.</t>
        </is>
      </c>
      <c r="C523" t="n">
        <v>0</v>
      </c>
      <c r="D523" t="n">
        <v>0</v>
      </c>
      <c r="E523" t="n">
        <v>0</v>
      </c>
      <c r="F523" t="n">
        <v>0</v>
      </c>
      <c r="G523" t="inlineStr">
        <is>
          <t>vetches</t>
        </is>
      </c>
      <c r="H523" t="n">
        <v>3</v>
      </c>
      <c r="I523" t="n">
        <v>6</v>
      </c>
      <c r="J523" t="n">
        <v>3.75</v>
      </c>
      <c r="K523" t="n">
        <v>3.75</v>
      </c>
      <c r="L523" t="n">
        <v>0</v>
      </c>
      <c r="M523" t="n">
        <v>3</v>
      </c>
      <c r="N523" t="n">
        <v>6</v>
      </c>
    </row>
    <row r="524">
      <c r="A524" t="inlineStr">
        <is>
          <t>vetches</t>
        </is>
      </c>
      <c r="B524" t="inlineStr">
        <is>
          <t>3 quarters from the same issue by estimation in husks..</t>
        </is>
      </c>
      <c r="C524" t="n">
        <v>0</v>
      </c>
      <c r="D524" t="n">
        <v>0</v>
      </c>
      <c r="E524" t="n">
        <v>0</v>
      </c>
      <c r="F524" t="n">
        <v>0</v>
      </c>
      <c r="H524" t="n">
        <v>3</v>
      </c>
      <c r="I524" t="n">
        <v>0</v>
      </c>
      <c r="J524" t="n">
        <v>3</v>
      </c>
      <c r="K524" t="n">
        <v>3</v>
      </c>
      <c r="L524" t="n">
        <v>0</v>
      </c>
      <c r="M524" t="n">
        <v>3</v>
      </c>
      <c r="N524" t="n">
        <v>0</v>
      </c>
    </row>
    <row r="525">
      <c r="A525" t="inlineStr">
        <is>
          <t>vetches</t>
        </is>
      </c>
      <c r="B525" t="inlineStr">
        <is>
          <t>total, 6 quarters 6 bushels.</t>
        </is>
      </c>
      <c r="C525" t="n">
        <v>0</v>
      </c>
      <c r="D525" t="n">
        <v>0</v>
      </c>
      <c r="E525" t="n">
        <v>0</v>
      </c>
      <c r="F525" t="n">
        <v>0</v>
      </c>
      <c r="H525" t="n">
        <v>6</v>
      </c>
      <c r="I525" t="n">
        <v>6</v>
      </c>
      <c r="J525" t="n">
        <v>6.75</v>
      </c>
      <c r="K525" t="n">
        <v>6.75</v>
      </c>
      <c r="L525" t="n">
        <v>0</v>
      </c>
      <c r="M525" t="n">
        <v>6</v>
      </c>
      <c r="N525" t="n">
        <v>6</v>
      </c>
    </row>
    <row r="526">
      <c r="A526" t="inlineStr">
        <is>
          <t>vetches</t>
        </is>
      </c>
      <c r="B526" t="inlineStr">
        <is>
          <t>sown over 12 acres, 3 quarters.</t>
        </is>
      </c>
      <c r="C526" t="n">
        <v>0</v>
      </c>
      <c r="D526" t="n">
        <v>0</v>
      </c>
      <c r="E526" t="n">
        <v>0</v>
      </c>
      <c r="F526" t="n">
        <v>0</v>
      </c>
      <c r="H526" t="n">
        <v>3</v>
      </c>
      <c r="I526" t="n">
        <v>0</v>
      </c>
      <c r="J526" t="n">
        <v>3</v>
      </c>
      <c r="K526" t="n">
        <v>3</v>
      </c>
      <c r="L526" t="n">
        <v>0</v>
      </c>
      <c r="M526" t="n">
        <v>3</v>
      </c>
      <c r="N526" t="n">
        <v>0</v>
      </c>
    </row>
    <row r="527">
      <c r="A527" t="inlineStr">
        <is>
          <t>vetches</t>
        </is>
      </c>
      <c r="B527" t="inlineStr">
        <is>
          <t>that is, 2 bushels an acre.</t>
        </is>
      </c>
      <c r="C527" t="n">
        <v>0</v>
      </c>
      <c r="D527" t="n">
        <v>0</v>
      </c>
      <c r="E527" t="n">
        <v>0</v>
      </c>
      <c r="F527" t="n">
        <v>0</v>
      </c>
      <c r="H527" t="n">
        <v>0</v>
      </c>
      <c r="I527" t="n">
        <v>2</v>
      </c>
      <c r="J527" t="n">
        <v>0.25</v>
      </c>
      <c r="K527" t="n">
        <v>0.25</v>
      </c>
      <c r="L527" t="n">
        <v>0</v>
      </c>
      <c r="M527" t="n">
        <v>0</v>
      </c>
      <c r="N527" t="n">
        <v>2</v>
      </c>
    </row>
    <row r="528">
      <c r="A528" t="inlineStr">
        <is>
          <t>vetches</t>
        </is>
      </c>
      <c r="B528" t="inlineStr">
        <is>
          <t>given to support the lord’s horses and.</t>
        </is>
      </c>
      <c r="C528" t="n">
        <v>0</v>
      </c>
      <c r="D528" t="n">
        <v>0</v>
      </c>
      <c r="E528" t="n">
        <v>0</v>
      </c>
      <c r="F528" t="n">
        <v>0</v>
      </c>
      <c r="H528" t="n">
        <v>0</v>
      </c>
      <c r="I528" t="n">
        <v>0</v>
      </c>
      <c r="J528" t="n">
        <v>0</v>
      </c>
      <c r="K528" t="n">
        <v>0</v>
      </c>
      <c r="L528" t="n">
        <v>0</v>
      </c>
      <c r="M528" t="n">
        <v>0</v>
      </c>
      <c r="N528" t="n">
        <v>0</v>
      </c>
    </row>
    <row r="529">
      <c r="A529" t="inlineStr">
        <is>
          <t>vetches</t>
        </is>
      </c>
      <c r="B529" t="inlineStr">
        <is>
          <t>sheep in winter, 3 quarters by estimation in husks..</t>
        </is>
      </c>
      <c r="C529" t="n">
        <v>0</v>
      </c>
      <c r="D529" t="n">
        <v>0</v>
      </c>
      <c r="E529" t="n">
        <v>0</v>
      </c>
      <c r="F529" t="n">
        <v>0</v>
      </c>
      <c r="H529" t="n">
        <v>3</v>
      </c>
      <c r="I529" t="n">
        <v>0</v>
      </c>
      <c r="J529" t="n">
        <v>3</v>
      </c>
      <c r="K529" t="n">
        <v>3</v>
      </c>
      <c r="L529" t="n">
        <v>0</v>
      </c>
      <c r="M529" t="n">
        <v>3</v>
      </c>
      <c r="N529" t="n">
        <v>0</v>
      </c>
    </row>
    <row r="530">
      <c r="A530" t="inlineStr">
        <is>
          <t>vetches</t>
        </is>
      </c>
      <c r="B530" t="inlineStr">
        <is>
          <t>sold within, 6 bushels.</t>
        </is>
      </c>
      <c r="C530" t="n">
        <v>0</v>
      </c>
      <c r="D530" t="n">
        <v>0</v>
      </c>
      <c r="E530" t="n">
        <v>0</v>
      </c>
      <c r="F530" t="n">
        <v>0</v>
      </c>
      <c r="H530" t="n">
        <v>0</v>
      </c>
      <c r="I530" t="n">
        <v>6</v>
      </c>
      <c r="J530" t="n">
        <v>0.75</v>
      </c>
      <c r="K530" t="n">
        <v>0.75</v>
      </c>
      <c r="L530" t="n">
        <v>0</v>
      </c>
      <c r="M530" t="n">
        <v>0</v>
      </c>
      <c r="N530" t="n">
        <v>6</v>
      </c>
    </row>
    <row r="531">
      <c r="A531" t="inlineStr">
        <is>
          <t>vetches</t>
        </is>
      </c>
      <c r="B531" t="inlineStr">
        <is>
          <t>total as before.</t>
        </is>
      </c>
      <c r="C531" t="n">
        <v>0</v>
      </c>
      <c r="D531" t="n">
        <v>0</v>
      </c>
      <c r="E531" t="n">
        <v>0</v>
      </c>
      <c r="F531" t="n">
        <v>0</v>
      </c>
      <c r="H531" t="n">
        <v>0</v>
      </c>
      <c r="I531" t="n">
        <v>0</v>
      </c>
      <c r="J531" t="n">
        <v>0</v>
      </c>
      <c r="K531" t="n">
        <v>0</v>
      </c>
      <c r="L531" t="n">
        <v>0</v>
      </c>
      <c r="M531" t="n">
        <v>0</v>
      </c>
      <c r="N531" t="n">
        <v>0</v>
      </c>
    </row>
    <row r="532">
      <c r="A532" t="inlineStr">
        <is>
          <t>vetches</t>
        </is>
      </c>
      <c r="B532" t="inlineStr">
        <is>
          <t>it balances.</t>
        </is>
      </c>
      <c r="C532" t="n">
        <v>0</v>
      </c>
      <c r="D532" t="n">
        <v>0</v>
      </c>
      <c r="E532" t="n">
        <v>0</v>
      </c>
      <c r="F532" t="n">
        <v>0</v>
      </c>
      <c r="H532" t="n">
        <v>0</v>
      </c>
      <c r="I532" t="n">
        <v>0</v>
      </c>
      <c r="J532" t="n">
        <v>0</v>
      </c>
      <c r="K532" t="n">
        <v>0</v>
      </c>
      <c r="L532" t="n">
        <v>0</v>
      </c>
      <c r="M532" t="n">
        <v>0</v>
      </c>
      <c r="N532" t="n">
        <v>0</v>
      </c>
    </row>
    <row r="533">
      <c r="A533" t="inlineStr">
        <is>
          <t>acreage sown</t>
        </is>
      </c>
      <c r="B533" t="inlineStr">
        <is>
          <t>sown this year, 155 acres, of which 5 acres are in liveries of the reeve, 2 hayward all the ploughmen, and 119 acres are reaped by the labour services of the reapers, at 5 an acre, and 26 by boon-works.</t>
        </is>
      </c>
      <c r="C533" t="n">
        <v>0</v>
      </c>
      <c r="D533" t="n">
        <v>0</v>
      </c>
      <c r="E533" t="n">
        <v>0</v>
      </c>
      <c r="F533" t="n">
        <v>0</v>
      </c>
      <c r="H533" t="n">
        <v>0</v>
      </c>
      <c r="I533" t="n">
        <v>0</v>
      </c>
      <c r="J533" t="n">
        <v>0</v>
      </c>
      <c r="K533" t="n">
        <v>0</v>
      </c>
      <c r="L533" t="n">
        <v>0</v>
      </c>
      <c r="M533" t="n">
        <v>0</v>
      </c>
      <c r="N533" t="n">
        <v>0</v>
      </c>
    </row>
    <row r="534">
      <c r="A534" t="inlineStr">
        <is>
          <t>liveries of the manorial servants</t>
        </is>
      </c>
      <c r="B534" t="inlineStr">
        <is>
          <t>and for 74 quarters' 6 bushels of barley received above for the'liveries of the manorial servants.</t>
        </is>
      </c>
      <c r="C534" t="n">
        <v>0</v>
      </c>
      <c r="D534" t="n">
        <v>0</v>
      </c>
      <c r="E534" t="n">
        <v>0</v>
      </c>
      <c r="F534" t="n">
        <v>0</v>
      </c>
      <c r="G534" t="inlineStr">
        <is>
          <t>barley</t>
        </is>
      </c>
      <c r="H534" t="n">
        <v>74</v>
      </c>
      <c r="I534" t="n">
        <v>6</v>
      </c>
      <c r="J534" t="n">
        <v>74.75</v>
      </c>
      <c r="K534" t="n">
        <v>74</v>
      </c>
      <c r="L534" t="n">
        <v>0.75</v>
      </c>
      <c r="M534" t="n">
        <v>74</v>
      </c>
      <c r="N534" t="n">
        <v>0</v>
      </c>
      <c r="O534" t="n">
        <v>0</v>
      </c>
      <c r="P534" t="n">
        <v>6</v>
      </c>
    </row>
    <row r="535">
      <c r="A535" t="inlineStr">
        <is>
          <t>liveries of the manorial servants</t>
        </is>
      </c>
      <c r="B535" t="inlineStr">
        <is>
          <t>total, 64 quarters 6 bushels.</t>
        </is>
      </c>
      <c r="C535" t="n">
        <v>0</v>
      </c>
      <c r="D535" t="n">
        <v>0</v>
      </c>
      <c r="E535" t="n">
        <v>0</v>
      </c>
      <c r="F535" t="n">
        <v>0</v>
      </c>
      <c r="H535" t="n">
        <v>64</v>
      </c>
      <c r="I535" t="n">
        <v>6</v>
      </c>
      <c r="J535" t="n">
        <v>64.75</v>
      </c>
      <c r="K535" t="n">
        <v>64.75</v>
      </c>
      <c r="L535" t="n">
        <v>0</v>
      </c>
      <c r="M535" t="n">
        <v>64</v>
      </c>
      <c r="N535" t="n">
        <v>6</v>
      </c>
    </row>
    <row r="536">
      <c r="A536" t="inlineStr">
        <is>
          <t>liveries of the manorial servants</t>
        </is>
      </c>
      <c r="B536" t="inlineStr">
        <is>
          <t>in liveries of 2 carters, 2 oxherds, 1 shepherd of wethers, 1 shepherd of ewes and 1 shepherd of hoggs for the year, 36 quarters 2.5 bushels, each of whom takes a quarter every lo weeks.</t>
        </is>
      </c>
      <c r="C536" t="n">
        <v>0</v>
      </c>
      <c r="D536" t="n">
        <v>0</v>
      </c>
      <c r="E536" t="n">
        <v>0</v>
      </c>
      <c r="F536" t="n">
        <v>0</v>
      </c>
      <c r="H536" t="n">
        <v>36</v>
      </c>
      <c r="I536" t="n">
        <v>2.5</v>
      </c>
      <c r="J536" t="n">
        <v>36.31</v>
      </c>
      <c r="K536" t="n">
        <v>36.31</v>
      </c>
      <c r="L536" t="n">
        <v>0</v>
      </c>
      <c r="M536" t="n">
        <v>36</v>
      </c>
      <c r="N536" t="n">
        <v>2.5</v>
      </c>
    </row>
    <row r="537">
      <c r="A537" t="inlineStr">
        <is>
          <t>liveries of the manorial servants</t>
        </is>
      </c>
      <c r="B537" t="inlineStr">
        <is>
          <t>liveries of 6 ploughmen, 19 quarters 4 bushels, each of whom takes a quarter every 16 weeks.</t>
        </is>
      </c>
      <c r="C537" t="n">
        <v>0</v>
      </c>
      <c r="D537" t="n">
        <v>0</v>
      </c>
      <c r="E537" t="n">
        <v>0</v>
      </c>
      <c r="F537" t="n">
        <v>0</v>
      </c>
      <c r="H537" t="n">
        <v>19</v>
      </c>
      <c r="I537" t="n">
        <v>4</v>
      </c>
      <c r="J537" t="n">
        <v>19.5</v>
      </c>
      <c r="K537" t="n">
        <v>19.5</v>
      </c>
      <c r="L537" t="n">
        <v>0</v>
      </c>
      <c r="M537" t="n">
        <v>19</v>
      </c>
      <c r="N537" t="n">
        <v>4</v>
      </c>
    </row>
    <row r="538">
      <c r="A538" t="inlineStr">
        <is>
          <t>liveries of the manorial servants</t>
        </is>
      </c>
      <c r="B538" t="inlineStr">
        <is>
          <t>livery of 1 swineherd for the year, 5 quarters 1.5 bushels, taking a quarter every 10 weeks.</t>
        </is>
      </c>
      <c r="C538" t="n">
        <v>0</v>
      </c>
      <c r="D538" t="n">
        <v>0</v>
      </c>
      <c r="E538" t="n">
        <v>0</v>
      </c>
      <c r="F538" t="n">
        <v>0</v>
      </c>
      <c r="H538" t="n">
        <v>5</v>
      </c>
      <c r="I538" t="n">
        <v>1.5</v>
      </c>
      <c r="J538" t="n">
        <v>5.19</v>
      </c>
      <c r="K538" t="n">
        <v>5.19</v>
      </c>
      <c r="L538" t="n">
        <v>0</v>
      </c>
      <c r="M538" t="n">
        <v>5</v>
      </c>
      <c r="N538" t="n">
        <v>1.5</v>
      </c>
    </row>
    <row r="539">
      <c r="A539" t="inlineStr">
        <is>
          <t>liveries of the manorial servants</t>
        </is>
      </c>
      <c r="B539" t="inlineStr">
        <is>
          <t>livery of 1 dairymaid for the year, 3 quarters 2 bushels, taking a quarter every 16 weeks.</t>
        </is>
      </c>
      <c r="C539" t="n">
        <v>0</v>
      </c>
      <c r="D539" t="n">
        <v>0</v>
      </c>
      <c r="E539" t="n">
        <v>0</v>
      </c>
      <c r="F539" t="n">
        <v>0</v>
      </c>
      <c r="H539" t="n">
        <v>3</v>
      </c>
      <c r="I539" t="n">
        <v>2</v>
      </c>
      <c r="J539" t="n">
        <v>3.25</v>
      </c>
      <c r="K539" t="n">
        <v>3.25</v>
      </c>
      <c r="L539" t="n">
        <v>0</v>
      </c>
      <c r="M539" t="n">
        <v>3</v>
      </c>
      <c r="N539" t="n">
        <v>2</v>
      </c>
    </row>
    <row r="540">
      <c r="A540" t="inlineStr">
        <is>
          <t>liveries of the manorial servants</t>
        </is>
      </c>
      <c r="B540" t="inlineStr">
        <is>
          <t>livery of 1 attendant helping the shepherd at lambing-time, 4 bushels.</t>
        </is>
      </c>
      <c r="C540" t="n">
        <v>0</v>
      </c>
      <c r="D540" t="n">
        <v>0</v>
      </c>
      <c r="E540" t="n">
        <v>0</v>
      </c>
      <c r="F540" t="n">
        <v>0</v>
      </c>
      <c r="H540" t="n">
        <v>0</v>
      </c>
      <c r="I540" t="n">
        <v>4</v>
      </c>
      <c r="J540" t="n">
        <v>0.5</v>
      </c>
      <c r="K540" t="n">
        <v>0.5</v>
      </c>
      <c r="L540" t="n">
        <v>0</v>
      </c>
      <c r="M540" t="n">
        <v>0</v>
      </c>
      <c r="N540" t="n">
        <v>4</v>
      </c>
    </row>
    <row r="541">
      <c r="A541" t="inlineStr">
        <is>
          <t>liveries of the manorial servants</t>
        </is>
      </c>
      <c r="B541" t="inlineStr">
        <is>
          <t>total as before.</t>
        </is>
      </c>
      <c r="C541" t="n">
        <v>0</v>
      </c>
      <c r="D541" t="n">
        <v>0</v>
      </c>
      <c r="E541" t="n">
        <v>0</v>
      </c>
      <c r="F541" t="n">
        <v>0</v>
      </c>
      <c r="H541" t="n">
        <v>0</v>
      </c>
      <c r="I541" t="n">
        <v>0</v>
      </c>
      <c r="J541" t="n">
        <v>0</v>
      </c>
      <c r="K541" t="n">
        <v>0</v>
      </c>
      <c r="L541" t="n">
        <v>0</v>
      </c>
      <c r="M541" t="n">
        <v>0</v>
      </c>
      <c r="N541" t="n">
        <v>0</v>
      </c>
    </row>
    <row r="542">
      <c r="A542" t="inlineStr">
        <is>
          <t>liveries of the manorial servants</t>
        </is>
      </c>
      <c r="B542" t="inlineStr">
        <is>
          <t>it balances.</t>
        </is>
      </c>
      <c r="C542" t="n">
        <v>0</v>
      </c>
      <c r="D542" t="n">
        <v>0</v>
      </c>
      <c r="E542" t="n">
        <v>0</v>
      </c>
      <c r="F542" t="n">
        <v>0</v>
      </c>
      <c r="H542" t="n">
        <v>0</v>
      </c>
      <c r="I542" t="n">
        <v>0</v>
      </c>
      <c r="J542" t="n">
        <v>0</v>
      </c>
      <c r="K542" t="n">
        <v>0</v>
      </c>
      <c r="L542" t="n">
        <v>0</v>
      </c>
      <c r="M542" t="n">
        <v>0</v>
      </c>
      <c r="N542" t="n">
        <v>0</v>
      </c>
    </row>
    <row r="543">
      <c r="A543" t="inlineStr">
        <is>
          <t>issues of the mill</t>
        </is>
      </c>
      <c r="B543" t="inlineStr">
        <is>
          <t>and for 7 quarters 4 bushels of wheat from the whole issue of the mill.</t>
        </is>
      </c>
      <c r="C543" t="n">
        <v>0</v>
      </c>
      <c r="D543" t="n">
        <v>0</v>
      </c>
      <c r="E543" t="n">
        <v>0</v>
      </c>
      <c r="F543" t="n">
        <v>0</v>
      </c>
      <c r="G543" t="inlineStr">
        <is>
          <t>wheat</t>
        </is>
      </c>
      <c r="H543" t="n">
        <v>7</v>
      </c>
      <c r="I543" t="n">
        <v>4</v>
      </c>
      <c r="J543" t="n">
        <v>7.5</v>
      </c>
      <c r="K543" t="n">
        <v>7.5</v>
      </c>
      <c r="L543" t="n">
        <v>0</v>
      </c>
      <c r="M543" t="n">
        <v>7</v>
      </c>
      <c r="N543" t="n">
        <v>4</v>
      </c>
    </row>
    <row r="544">
      <c r="A544" t="inlineStr">
        <is>
          <t>issues of the mill</t>
        </is>
      </c>
      <c r="B544" t="inlineStr">
        <is>
          <t>12 quarters 2 bushels of barley from the whole issue of the same.</t>
        </is>
      </c>
      <c r="C544" t="n">
        <v>0</v>
      </c>
      <c r="D544" t="n">
        <v>0</v>
      </c>
      <c r="E544" t="n">
        <v>0</v>
      </c>
      <c r="F544" t="n">
        <v>0</v>
      </c>
      <c r="G544" t="inlineStr">
        <is>
          <t>barley</t>
        </is>
      </c>
      <c r="H544" t="n">
        <v>12</v>
      </c>
      <c r="I544" t="n">
        <v>2</v>
      </c>
      <c r="J544" t="n">
        <v>12.25</v>
      </c>
      <c r="K544" t="n">
        <v>12.25</v>
      </c>
      <c r="L544" t="n">
        <v>0</v>
      </c>
      <c r="M544" t="n">
        <v>12</v>
      </c>
      <c r="N544" t="n">
        <v>2</v>
      </c>
    </row>
    <row r="545">
      <c r="A545" t="inlineStr">
        <is>
          <t>issues of the mill</t>
        </is>
      </c>
      <c r="B545" t="inlineStr">
        <is>
          <t>no first-grade malt this year.</t>
        </is>
      </c>
      <c r="C545" t="n">
        <v>0</v>
      </c>
      <c r="D545" t="n">
        <v>0</v>
      </c>
      <c r="E545" t="n">
        <v>0</v>
      </c>
      <c r="F545" t="n">
        <v>0</v>
      </c>
      <c r="G545" t="inlineStr">
        <is>
          <t>first-grade malt, malt</t>
        </is>
      </c>
      <c r="H545" t="n">
        <v>0</v>
      </c>
      <c r="I545" t="n">
        <v>0</v>
      </c>
      <c r="J545" t="n">
        <v>0</v>
      </c>
      <c r="K545" t="n">
        <v>0</v>
      </c>
      <c r="L545" t="n">
        <v>0</v>
      </c>
      <c r="M545" t="n">
        <v>0</v>
      </c>
      <c r="N545" t="n">
        <v>0</v>
      </c>
    </row>
    <row r="546">
      <c r="A546" t="inlineStr">
        <is>
          <t>issues of the mill</t>
        </is>
      </c>
      <c r="B546" t="inlineStr">
        <is>
          <t>28 quarters 3 bushels of second grade malt from the issue of the same.</t>
        </is>
      </c>
      <c r="C546" t="n">
        <v>0</v>
      </c>
      <c r="D546" t="n">
        <v>0</v>
      </c>
      <c r="E546" t="n">
        <v>0</v>
      </c>
      <c r="F546" t="n">
        <v>0</v>
      </c>
      <c r="G546" t="inlineStr">
        <is>
          <t>malt</t>
        </is>
      </c>
      <c r="H546" t="n">
        <v>28</v>
      </c>
      <c r="I546" t="n">
        <v>3</v>
      </c>
      <c r="J546" t="n">
        <v>28.38</v>
      </c>
      <c r="K546" t="n">
        <v>28.38</v>
      </c>
      <c r="L546" t="n">
        <v>0</v>
      </c>
      <c r="M546" t="n">
        <v>28</v>
      </c>
      <c r="N546" t="n">
        <v>3</v>
      </c>
    </row>
    <row r="547">
      <c r="A547" t="inlineStr">
        <is>
          <t>issues of the mill</t>
        </is>
      </c>
      <c r="B547" t="inlineStr">
        <is>
          <t>.5 bushels of oatmeal from the issue of the same.</t>
        </is>
      </c>
      <c r="C547" t="n">
        <v>0</v>
      </c>
      <c r="D547" t="n">
        <v>0</v>
      </c>
      <c r="E547" t="n">
        <v>0</v>
      </c>
      <c r="F547" t="n">
        <v>0</v>
      </c>
      <c r="G547" t="inlineStr">
        <is>
          <t>meal, oatmeal</t>
        </is>
      </c>
      <c r="H547" t="n">
        <v>0</v>
      </c>
      <c r="I547" t="n">
        <v>5</v>
      </c>
      <c r="J547" t="n">
        <v>0.62</v>
      </c>
      <c r="K547" t="n">
        <v>0.62</v>
      </c>
      <c r="L547" t="n">
        <v>0</v>
      </c>
      <c r="M547" t="n">
        <v>0</v>
      </c>
      <c r="N547" t="n">
        <v>5</v>
      </c>
    </row>
    <row r="548">
      <c r="A548" t="inlineStr">
        <is>
          <t>issues of the mill</t>
        </is>
      </c>
      <c r="B548" t="inlineStr">
        <is>
          <t>6 bushels of fine bran from the issue of the same.</t>
        </is>
      </c>
      <c r="C548" t="n">
        <v>0</v>
      </c>
      <c r="D548" t="n">
        <v>0</v>
      </c>
      <c r="E548" t="n">
        <v>0</v>
      </c>
      <c r="F548" t="n">
        <v>0</v>
      </c>
      <c r="H548" t="n">
        <v>0</v>
      </c>
      <c r="I548" t="n">
        <v>6</v>
      </c>
      <c r="J548" t="n">
        <v>0.75</v>
      </c>
      <c r="K548" t="n">
        <v>0.75</v>
      </c>
      <c r="L548" t="n">
        <v>0</v>
      </c>
      <c r="M548" t="n">
        <v>0</v>
      </c>
      <c r="N548" t="n">
        <v>6</v>
      </c>
    </row>
    <row r="549">
      <c r="A549" t="inlineStr">
        <is>
          <t>issues of the mill</t>
        </is>
      </c>
      <c r="B549" t="inlineStr">
        <is>
          <t>all sold within.</t>
        </is>
      </c>
      <c r="C549" t="n">
        <v>0</v>
      </c>
      <c r="D549" t="n">
        <v>0</v>
      </c>
      <c r="E549" t="n">
        <v>0</v>
      </c>
      <c r="F549" t="n">
        <v>0</v>
      </c>
      <c r="H549" t="n">
        <v>0</v>
      </c>
      <c r="I549" t="n">
        <v>0</v>
      </c>
      <c r="J549" t="n">
        <v>0</v>
      </c>
      <c r="K549" t="n">
        <v>0</v>
      </c>
      <c r="L549" t="n">
        <v>0</v>
      </c>
      <c r="M549" t="n">
        <v>0</v>
      </c>
      <c r="N549" t="n">
        <v>0</v>
      </c>
    </row>
    <row r="550">
      <c r="A550" t="inlineStr">
        <is>
          <t>issues of the mill</t>
        </is>
      </c>
      <c r="B550" t="inlineStr">
        <is>
          <t>it balances.</t>
        </is>
      </c>
      <c r="C550" t="n">
        <v>0</v>
      </c>
      <c r="D550" t="n">
        <v>0</v>
      </c>
      <c r="E550" t="n">
        <v>0</v>
      </c>
      <c r="F550" t="n">
        <v>0</v>
      </c>
      <c r="H550" t="n">
        <v>0</v>
      </c>
      <c r="I550" t="n">
        <v>0</v>
      </c>
      <c r="J550" t="n">
        <v>0</v>
      </c>
      <c r="K550" t="n">
        <v>0</v>
      </c>
      <c r="L550" t="n">
        <v>0</v>
      </c>
      <c r="M550" t="n">
        <v>0</v>
      </c>
      <c r="N550" t="n">
        <v>0</v>
      </c>
    </row>
    <row r="551">
      <c r="A551" t="inlineStr">
        <is>
          <t>stock</t>
        </is>
      </c>
      <c r="B551" t="inlineStr">
        <is>
          <t>horses: 4 remain.</t>
        </is>
      </c>
      <c r="C551" t="n">
        <v>0</v>
      </c>
      <c r="D551" t="n">
        <v>0</v>
      </c>
      <c r="E551" t="n">
        <v>0</v>
      </c>
      <c r="F551" t="n">
        <v>0</v>
      </c>
      <c r="H551" t="n">
        <v>0</v>
      </c>
      <c r="I551" t="n">
        <v>0</v>
      </c>
      <c r="J551" t="n">
        <v>0</v>
      </c>
      <c r="K551" t="n">
        <v>0</v>
      </c>
      <c r="L551" t="n">
        <v>0</v>
      </c>
      <c r="M551" t="n">
        <v>0</v>
      </c>
      <c r="N551" t="n">
        <v>0</v>
      </c>
    </row>
    <row r="552">
      <c r="A552" t="inlineStr">
        <is>
          <t>stock</t>
        </is>
      </c>
      <c r="B552" t="inlineStr">
        <is>
          <t>total, 4. 4 remain.</t>
        </is>
      </c>
      <c r="C552" t="n">
        <v>0</v>
      </c>
      <c r="D552" t="n">
        <v>0</v>
      </c>
      <c r="E552" t="n">
        <v>0</v>
      </c>
      <c r="F552" t="n">
        <v>0</v>
      </c>
      <c r="H552" t="n">
        <v>0</v>
      </c>
      <c r="I552" t="n">
        <v>0</v>
      </c>
      <c r="J552" t="n">
        <v>0</v>
      </c>
      <c r="K552" t="n">
        <v>0</v>
      </c>
      <c r="L552" t="n">
        <v>0</v>
      </c>
      <c r="M552" t="n">
        <v>0</v>
      </c>
      <c r="N552" t="n">
        <v>0</v>
      </c>
    </row>
    <row r="553">
      <c r="A553" t="inlineStr">
        <is>
          <t>stock</t>
        </is>
      </c>
      <c r="B553" t="inlineStr">
        <is>
          <t>plough-horses: 1 from the heriot of john wilkyn'.</t>
        </is>
      </c>
      <c r="C553" t="n">
        <v>0</v>
      </c>
      <c r="D553" t="n">
        <v>0</v>
      </c>
      <c r="E553" t="n">
        <v>0</v>
      </c>
      <c r="F553" t="n">
        <v>0</v>
      </c>
      <c r="H553" t="n">
        <v>0</v>
      </c>
      <c r="I553" t="n">
        <v>0</v>
      </c>
      <c r="J553" t="n">
        <v>0</v>
      </c>
      <c r="K553" t="n">
        <v>0</v>
      </c>
      <c r="L553" t="n">
        <v>0</v>
      </c>
      <c r="M553" t="n">
        <v>0</v>
      </c>
      <c r="N553" t="n">
        <v>0</v>
      </c>
    </row>
    <row r="554">
      <c r="A554" t="inlineStr">
        <is>
          <t>stock</t>
        </is>
      </c>
      <c r="B554" t="inlineStr">
        <is>
          <t>1 from the heriot of john wegge.</t>
        </is>
      </c>
      <c r="C554" t="n">
        <v>0</v>
      </c>
      <c r="D554" t="n">
        <v>0</v>
      </c>
      <c r="E554" t="n">
        <v>0</v>
      </c>
      <c r="F554" t="n">
        <v>0</v>
      </c>
      <c r="H554" t="n">
        <v>0</v>
      </c>
      <c r="I554" t="n">
        <v>0</v>
      </c>
      <c r="J554" t="n">
        <v>0</v>
      </c>
      <c r="K554" t="n">
        <v>0</v>
      </c>
      <c r="L554" t="n">
        <v>0</v>
      </c>
      <c r="M554" t="n">
        <v>0</v>
      </c>
      <c r="N554" t="n">
        <v>0</v>
      </c>
    </row>
    <row r="555">
      <c r="A555" t="inlineStr">
        <is>
          <t>stock</t>
        </is>
      </c>
      <c r="B555" t="inlineStr">
        <is>
          <t>sold within.</t>
        </is>
      </c>
      <c r="C555" t="n">
        <v>0</v>
      </c>
      <c r="D555" t="n">
        <v>0</v>
      </c>
      <c r="E555" t="n">
        <v>0</v>
      </c>
      <c r="F555" t="n">
        <v>0</v>
      </c>
      <c r="H555" t="n">
        <v>0</v>
      </c>
      <c r="I555" t="n">
        <v>0</v>
      </c>
      <c r="J555" t="n">
        <v>0</v>
      </c>
      <c r="K555" t="n">
        <v>0</v>
      </c>
      <c r="L555" t="n">
        <v>0</v>
      </c>
      <c r="M555" t="n">
        <v>0</v>
      </c>
      <c r="N555" t="n">
        <v>0</v>
      </c>
    </row>
    <row r="556">
      <c r="A556" t="inlineStr">
        <is>
          <t>stock</t>
        </is>
      </c>
      <c r="B556" t="inlineStr">
        <is>
          <t>none remain.</t>
        </is>
      </c>
      <c r="C556" t="n">
        <v>0</v>
      </c>
      <c r="D556" t="n">
        <v>0</v>
      </c>
      <c r="E556" t="n">
        <v>0</v>
      </c>
      <c r="F556" t="n">
        <v>0</v>
      </c>
      <c r="H556" t="n">
        <v>0</v>
      </c>
      <c r="I556" t="n">
        <v>0</v>
      </c>
      <c r="J556" t="n">
        <v>0</v>
      </c>
      <c r="K556" t="n">
        <v>0</v>
      </c>
      <c r="L556" t="n">
        <v>0</v>
      </c>
      <c r="M556" t="n">
        <v>0</v>
      </c>
      <c r="N556" t="n">
        <v>0</v>
      </c>
    </row>
    <row r="557">
      <c r="A557" t="inlineStr">
        <is>
          <t>stock</t>
        </is>
      </c>
      <c r="B557" t="inlineStr">
        <is>
          <t>oxen: 38 remain.</t>
        </is>
      </c>
      <c r="C557" t="n">
        <v>0</v>
      </c>
      <c r="D557" t="n">
        <v>0</v>
      </c>
      <c r="E557" t="n">
        <v>0</v>
      </c>
      <c r="F557" t="n">
        <v>0</v>
      </c>
      <c r="H557" t="n">
        <v>0</v>
      </c>
      <c r="I557" t="n">
        <v>0</v>
      </c>
      <c r="J557" t="n">
        <v>0</v>
      </c>
      <c r="K557" t="n">
        <v>0</v>
      </c>
      <c r="L557" t="n">
        <v>0</v>
      </c>
      <c r="M557" t="n">
        <v>0</v>
      </c>
      <c r="N557" t="n">
        <v>0</v>
      </c>
    </row>
    <row r="558">
      <c r="A558" t="inlineStr">
        <is>
          <t>stock</t>
        </is>
      </c>
      <c r="B558" t="inlineStr">
        <is>
          <t>3 added from steers below.</t>
        </is>
      </c>
      <c r="C558" t="n">
        <v>0</v>
      </c>
      <c r="D558" t="n">
        <v>0</v>
      </c>
      <c r="E558" t="n">
        <v>0</v>
      </c>
      <c r="F558" t="n">
        <v>0</v>
      </c>
      <c r="H558" t="n">
        <v>0</v>
      </c>
      <c r="I558" t="n">
        <v>0</v>
      </c>
      <c r="J558" t="n">
        <v>0</v>
      </c>
      <c r="K558" t="n">
        <v>0</v>
      </c>
      <c r="L558" t="n">
        <v>0</v>
      </c>
      <c r="M558" t="n">
        <v>0</v>
      </c>
      <c r="N558" t="n">
        <v>0</v>
      </c>
    </row>
    <row r="559">
      <c r="A559" t="inlineStr">
        <is>
          <t>stock</t>
        </is>
      </c>
      <c r="B559" t="inlineStr">
        <is>
          <t>total, 41. 1 in murrain.</t>
        </is>
      </c>
      <c r="C559" t="n">
        <v>0</v>
      </c>
      <c r="D559" t="n">
        <v>0</v>
      </c>
      <c r="E559" t="n">
        <v>0</v>
      </c>
      <c r="F559" t="n">
        <v>0</v>
      </c>
      <c r="H559" t="n">
        <v>0</v>
      </c>
      <c r="I559" t="n">
        <v>0</v>
      </c>
      <c r="J559" t="n">
        <v>0</v>
      </c>
      <c r="K559" t="n">
        <v>0</v>
      </c>
      <c r="L559" t="n">
        <v>0</v>
      </c>
      <c r="M559" t="n">
        <v>0</v>
      </c>
      <c r="N559" t="n">
        <v>0</v>
      </c>
    </row>
    <row r="560">
      <c r="A560" t="inlineStr">
        <is>
          <t>stock</t>
        </is>
      </c>
      <c r="B560" t="inlineStr">
        <is>
          <t>40 remain, 2 of them kebbs.</t>
        </is>
      </c>
      <c r="C560" t="n">
        <v>0</v>
      </c>
      <c r="D560" t="n">
        <v>0</v>
      </c>
      <c r="E560" t="n">
        <v>0</v>
      </c>
      <c r="F560" t="n">
        <v>0</v>
      </c>
      <c r="H560" t="n">
        <v>0</v>
      </c>
      <c r="I560" t="n">
        <v>0</v>
      </c>
      <c r="J560" t="n">
        <v>0</v>
      </c>
      <c r="K560" t="n">
        <v>0</v>
      </c>
      <c r="L560" t="n">
        <v>0</v>
      </c>
      <c r="M560" t="n">
        <v>0</v>
      </c>
      <c r="N560" t="n">
        <v>0</v>
      </c>
    </row>
    <row r="561">
      <c r="A561" t="inlineStr">
        <is>
          <t>stock</t>
        </is>
      </c>
      <c r="B561" t="inlineStr">
        <is>
          <t>bulls: 1 remains.</t>
        </is>
      </c>
      <c r="C561" t="n">
        <v>0</v>
      </c>
      <c r="D561" t="n">
        <v>0</v>
      </c>
      <c r="E561" t="n">
        <v>0</v>
      </c>
      <c r="F561" t="n">
        <v>0</v>
      </c>
      <c r="H561" t="n">
        <v>0</v>
      </c>
      <c r="I561" t="n">
        <v>0</v>
      </c>
      <c r="J561" t="n">
        <v>0</v>
      </c>
      <c r="K561" t="n">
        <v>0</v>
      </c>
      <c r="L561" t="n">
        <v>0</v>
      </c>
      <c r="M561" t="n">
        <v>0</v>
      </c>
      <c r="N561" t="n">
        <v>0</v>
      </c>
    </row>
    <row r="562">
      <c r="A562" t="inlineStr">
        <is>
          <t>stock</t>
        </is>
      </c>
      <c r="B562" t="inlineStr">
        <is>
          <t>1 added from steers below.</t>
        </is>
      </c>
      <c r="C562" t="n">
        <v>0</v>
      </c>
      <c r="D562" t="n">
        <v>0</v>
      </c>
      <c r="E562" t="n">
        <v>0</v>
      </c>
      <c r="F562" t="n">
        <v>0</v>
      </c>
      <c r="H562" t="n">
        <v>0</v>
      </c>
      <c r="I562" t="n">
        <v>0</v>
      </c>
      <c r="J562" t="n">
        <v>0</v>
      </c>
      <c r="K562" t="n">
        <v>0</v>
      </c>
      <c r="L562" t="n">
        <v>0</v>
      </c>
      <c r="M562" t="n">
        <v>0</v>
      </c>
      <c r="N562" t="n">
        <v>0</v>
      </c>
    </row>
    <row r="563">
      <c r="A563" t="inlineStr">
        <is>
          <t>stock</t>
        </is>
      </c>
      <c r="B563" t="inlineStr">
        <is>
          <t>2 remain.</t>
        </is>
      </c>
      <c r="C563" t="n">
        <v>0</v>
      </c>
      <c r="D563" t="n">
        <v>0</v>
      </c>
      <c r="E563" t="n">
        <v>0</v>
      </c>
      <c r="F563" t="n">
        <v>0</v>
      </c>
      <c r="H563" t="n">
        <v>0</v>
      </c>
      <c r="I563" t="n">
        <v>0</v>
      </c>
      <c r="J563" t="n">
        <v>0</v>
      </c>
      <c r="K563" t="n">
        <v>0</v>
      </c>
      <c r="L563" t="n">
        <v>0</v>
      </c>
      <c r="M563" t="n">
        <v>0</v>
      </c>
      <c r="N563" t="n">
        <v>0</v>
      </c>
    </row>
    <row r="564">
      <c r="A564" t="inlineStr">
        <is>
          <t>stock</t>
        </is>
      </c>
      <c r="B564" t="inlineStr">
        <is>
          <t>cows: 6 remain.</t>
        </is>
      </c>
      <c r="C564" t="n">
        <v>0</v>
      </c>
      <c r="D564" t="n">
        <v>0</v>
      </c>
      <c r="E564" t="n">
        <v>0</v>
      </c>
      <c r="F564" t="n">
        <v>0</v>
      </c>
      <c r="H564" t="n">
        <v>0</v>
      </c>
      <c r="I564" t="n">
        <v>0</v>
      </c>
      <c r="J564" t="n">
        <v>0</v>
      </c>
      <c r="K564" t="n">
        <v>0</v>
      </c>
      <c r="L564" t="n">
        <v>0</v>
      </c>
      <c r="M564" t="n">
        <v>0</v>
      </c>
      <c r="N564" t="n">
        <v>0</v>
      </c>
    </row>
    <row r="565">
      <c r="A565" t="inlineStr">
        <is>
          <t>stock</t>
        </is>
      </c>
      <c r="B565" t="inlineStr">
        <is>
          <t>2 added from steers below.</t>
        </is>
      </c>
      <c r="C565" t="n">
        <v>0</v>
      </c>
      <c r="D565" t="n">
        <v>0</v>
      </c>
      <c r="E565" t="n">
        <v>0</v>
      </c>
      <c r="F565" t="n">
        <v>0</v>
      </c>
      <c r="H565" t="n">
        <v>0</v>
      </c>
      <c r="I565" t="n">
        <v>0</v>
      </c>
      <c r="J565" t="n">
        <v>0</v>
      </c>
      <c r="K565" t="n">
        <v>0</v>
      </c>
      <c r="L565" t="n">
        <v>0</v>
      </c>
      <c r="M565" t="n">
        <v>0</v>
      </c>
      <c r="N565" t="n">
        <v>0</v>
      </c>
    </row>
    <row r="566">
      <c r="A566" t="inlineStr">
        <is>
          <t>stock</t>
        </is>
      </c>
      <c r="B566" t="inlineStr">
        <is>
          <t>total, 8. 8 remain.</t>
        </is>
      </c>
      <c r="C566" t="n">
        <v>0</v>
      </c>
      <c r="D566" t="n">
        <v>0</v>
      </c>
      <c r="E566" t="n">
        <v>0</v>
      </c>
      <c r="F566" t="n">
        <v>0</v>
      </c>
      <c r="H566" t="n">
        <v>0</v>
      </c>
      <c r="I566" t="n">
        <v>0</v>
      </c>
      <c r="J566" t="n">
        <v>0</v>
      </c>
      <c r="K566" t="n">
        <v>0</v>
      </c>
      <c r="L566" t="n">
        <v>0</v>
      </c>
      <c r="M566" t="n">
        <v>0</v>
      </c>
      <c r="N566" t="n">
        <v>0</v>
      </c>
    </row>
    <row r="567">
      <c r="A567" t="inlineStr">
        <is>
          <t>stock</t>
        </is>
      </c>
      <c r="B567" t="inlineStr">
        <is>
          <t>steers: 7 remain from the bullocks.</t>
        </is>
      </c>
      <c r="C567" t="n">
        <v>0</v>
      </c>
      <c r="D567" t="n">
        <v>0</v>
      </c>
      <c r="E567" t="n">
        <v>0</v>
      </c>
      <c r="F567" t="n">
        <v>0</v>
      </c>
      <c r="H567" t="n">
        <v>0</v>
      </c>
      <c r="I567" t="n">
        <v>0</v>
      </c>
      <c r="J567" t="n">
        <v>0</v>
      </c>
      <c r="K567" t="n">
        <v>0</v>
      </c>
      <c r="L567" t="n">
        <v>0</v>
      </c>
      <c r="M567" t="n">
        <v>0</v>
      </c>
      <c r="N567" t="n">
        <v>0</v>
      </c>
    </row>
    <row r="568">
      <c r="A568" t="inlineStr">
        <is>
          <t>stock</t>
        </is>
      </c>
      <c r="B568" t="inlineStr">
        <is>
          <t>1 from the heriot of william ailmere.</t>
        </is>
      </c>
      <c r="C568" t="n">
        <v>0</v>
      </c>
      <c r="D568" t="n">
        <v>0</v>
      </c>
      <c r="E568" t="n">
        <v>0</v>
      </c>
      <c r="F568" t="n">
        <v>0</v>
      </c>
      <c r="H568" t="n">
        <v>0</v>
      </c>
      <c r="I568" t="n">
        <v>0</v>
      </c>
      <c r="J568" t="n">
        <v>0</v>
      </c>
      <c r="K568" t="n">
        <v>0</v>
      </c>
      <c r="L568" t="n">
        <v>0</v>
      </c>
      <c r="M568" t="n">
        <v>0</v>
      </c>
      <c r="N568" t="n">
        <v>0</v>
      </c>
    </row>
    <row r="569">
      <c r="A569" t="inlineStr">
        <is>
          <t>stock</t>
        </is>
      </c>
      <c r="B569" t="inlineStr">
        <is>
          <t>total, 8. 33 added above to oxen, 1 to bulls and 2 to cows.</t>
        </is>
      </c>
      <c r="C569" t="n">
        <v>0</v>
      </c>
      <c r="D569" t="n">
        <v>0</v>
      </c>
      <c r="E569" t="n">
        <v>0</v>
      </c>
      <c r="F569" t="n">
        <v>0</v>
      </c>
      <c r="H569" t="n">
        <v>0</v>
      </c>
      <c r="I569" t="n">
        <v>0</v>
      </c>
      <c r="J569" t="n">
        <v>0</v>
      </c>
      <c r="K569" t="n">
        <v>0</v>
      </c>
      <c r="L569" t="n">
        <v>0</v>
      </c>
      <c r="M569" t="n">
        <v>0</v>
      </c>
      <c r="N569" t="n">
        <v>0</v>
      </c>
    </row>
    <row r="570">
      <c r="A570" t="inlineStr">
        <is>
          <t>stock</t>
        </is>
      </c>
      <c r="B570" t="inlineStr">
        <is>
          <t>2 sold within because useless, for the lord's stock.</t>
        </is>
      </c>
      <c r="C570" t="n">
        <v>0</v>
      </c>
      <c r="D570" t="n">
        <v>0</v>
      </c>
      <c r="E570" t="n">
        <v>0</v>
      </c>
      <c r="F570" t="n">
        <v>0</v>
      </c>
      <c r="H570" t="n">
        <v>0</v>
      </c>
      <c r="I570" t="n">
        <v>0</v>
      </c>
      <c r="J570" t="n">
        <v>0</v>
      </c>
      <c r="K570" t="n">
        <v>0</v>
      </c>
      <c r="L570" t="n">
        <v>0</v>
      </c>
      <c r="M570" t="n">
        <v>0</v>
      </c>
      <c r="N570" t="n">
        <v>0</v>
      </c>
    </row>
    <row r="571">
      <c r="A571" t="inlineStr">
        <is>
          <t>stock</t>
        </is>
      </c>
      <c r="B571" t="inlineStr">
        <is>
          <t>total as before.</t>
        </is>
      </c>
      <c r="C571" t="n">
        <v>0</v>
      </c>
      <c r="D571" t="n">
        <v>0</v>
      </c>
      <c r="E571" t="n">
        <v>0</v>
      </c>
      <c r="F571" t="n">
        <v>0</v>
      </c>
      <c r="H571" t="n">
        <v>0</v>
      </c>
      <c r="I571" t="n">
        <v>0</v>
      </c>
      <c r="J571" t="n">
        <v>0</v>
      </c>
      <c r="K571" t="n">
        <v>0</v>
      </c>
      <c r="L571" t="n">
        <v>0</v>
      </c>
      <c r="M571" t="n">
        <v>0</v>
      </c>
      <c r="N571" t="n">
        <v>0</v>
      </c>
    </row>
    <row r="572">
      <c r="A572" t="inlineStr">
        <is>
          <t>stock</t>
        </is>
      </c>
      <c r="B572" t="inlineStr">
        <is>
          <t>none remain.</t>
        </is>
      </c>
      <c r="C572" t="n">
        <v>0</v>
      </c>
      <c r="D572" t="n">
        <v>0</v>
      </c>
      <c r="E572" t="n">
        <v>0</v>
      </c>
      <c r="F572" t="n">
        <v>0</v>
      </c>
      <c r="H572" t="n">
        <v>0</v>
      </c>
      <c r="I572" t="n">
        <v>0</v>
      </c>
      <c r="J572" t="n">
        <v>0</v>
      </c>
      <c r="K572" t="n">
        <v>0</v>
      </c>
      <c r="L572" t="n">
        <v>0</v>
      </c>
      <c r="M572" t="n">
        <v>0</v>
      </c>
      <c r="N572" t="n">
        <v>0</v>
      </c>
    </row>
    <row r="573">
      <c r="A573" t="inlineStr">
        <is>
          <t>stock</t>
        </is>
      </c>
      <c r="B573" t="inlineStr">
        <is>
          <t>bullocks: 4 remain from the yearlings.</t>
        </is>
      </c>
      <c r="C573" t="n">
        <v>0</v>
      </c>
      <c r="D573" t="n">
        <v>0</v>
      </c>
      <c r="E573" t="n">
        <v>0</v>
      </c>
      <c r="F573" t="n">
        <v>0</v>
      </c>
      <c r="H573" t="n">
        <v>0</v>
      </c>
      <c r="I573" t="n">
        <v>0</v>
      </c>
      <c r="J573" t="n">
        <v>0</v>
      </c>
      <c r="K573" t="n">
        <v>0</v>
      </c>
      <c r="L573" t="n">
        <v>0</v>
      </c>
      <c r="M573" t="n">
        <v>0</v>
      </c>
      <c r="N573" t="n">
        <v>0</v>
      </c>
    </row>
    <row r="574">
      <c r="A574" t="inlineStr">
        <is>
          <t>stock</t>
        </is>
      </c>
      <c r="B574" t="inlineStr">
        <is>
          <t>1 from strays over a year old.</t>
        </is>
      </c>
      <c r="C574" t="n">
        <v>0</v>
      </c>
      <c r="D574" t="n">
        <v>0</v>
      </c>
      <c r="E574" t="n">
        <v>0</v>
      </c>
      <c r="F574" t="n">
        <v>0</v>
      </c>
      <c r="H574" t="n">
        <v>0</v>
      </c>
      <c r="I574" t="n">
        <v>0</v>
      </c>
      <c r="J574" t="n">
        <v>0</v>
      </c>
      <c r="K574" t="n">
        <v>0</v>
      </c>
      <c r="L574" t="n">
        <v>0</v>
      </c>
      <c r="M574" t="n">
        <v>0</v>
      </c>
      <c r="N574" t="n">
        <v>0</v>
      </c>
    </row>
    <row r="575">
      <c r="A575" t="inlineStr">
        <is>
          <t>stock</t>
        </is>
      </c>
      <c r="B575" t="inlineStr">
        <is>
          <t>total, 5. 5 remain.</t>
        </is>
      </c>
      <c r="C575" t="n">
        <v>0</v>
      </c>
      <c r="D575" t="n">
        <v>0</v>
      </c>
      <c r="E575" t="n">
        <v>0</v>
      </c>
      <c r="F575" t="n">
        <v>0</v>
      </c>
      <c r="H575" t="n">
        <v>0</v>
      </c>
      <c r="I575" t="n">
        <v>0</v>
      </c>
      <c r="J575" t="n">
        <v>0</v>
      </c>
      <c r="K575" t="n">
        <v>0</v>
      </c>
      <c r="L575" t="n">
        <v>0</v>
      </c>
      <c r="M575" t="n">
        <v>0</v>
      </c>
      <c r="N575" t="n">
        <v>0</v>
      </c>
    </row>
    <row r="576">
      <c r="A576" t="inlineStr">
        <is>
          <t>stock</t>
        </is>
      </c>
      <c r="B576" t="inlineStr">
        <is>
          <t>yearlings: 4 remain from the calves.</t>
        </is>
      </c>
      <c r="C576" t="n">
        <v>0</v>
      </c>
      <c r="D576" t="n">
        <v>0</v>
      </c>
      <c r="E576" t="n">
        <v>0</v>
      </c>
      <c r="F576" t="n">
        <v>0</v>
      </c>
      <c r="H576" t="n">
        <v>0</v>
      </c>
      <c r="I576" t="n">
        <v>0</v>
      </c>
      <c r="J576" t="n">
        <v>0</v>
      </c>
      <c r="K576" t="n">
        <v>0</v>
      </c>
      <c r="L576" t="n">
        <v>0</v>
      </c>
      <c r="M576" t="n">
        <v>0</v>
      </c>
      <c r="N576" t="n">
        <v>0</v>
      </c>
    </row>
    <row r="577">
      <c r="A577" t="inlineStr">
        <is>
          <t>stock</t>
        </is>
      </c>
      <c r="B577" t="inlineStr">
        <is>
          <t>total, 4. 4 remain.</t>
        </is>
      </c>
      <c r="C577" t="n">
        <v>0</v>
      </c>
      <c r="D577" t="n">
        <v>0</v>
      </c>
      <c r="E577" t="n">
        <v>0</v>
      </c>
      <c r="F577" t="n">
        <v>0</v>
      </c>
      <c r="H577" t="n">
        <v>0</v>
      </c>
      <c r="I577" t="n">
        <v>0</v>
      </c>
      <c r="J577" t="n">
        <v>0</v>
      </c>
      <c r="K577" t="n">
        <v>0</v>
      </c>
      <c r="L577" t="n">
        <v>0</v>
      </c>
      <c r="M577" t="n">
        <v>0</v>
      </c>
      <c r="N577" t="n">
        <v>0</v>
      </c>
    </row>
    <row r="578">
      <c r="A578" t="inlineStr">
        <is>
          <t>stock</t>
        </is>
      </c>
      <c r="B578" t="inlineStr">
        <is>
          <t>calves: 5 from the offspring of the said cows and not more because the 2 additions did not calve and 1 was sterile.</t>
        </is>
      </c>
      <c r="C578" t="n">
        <v>0</v>
      </c>
      <c r="D578" t="n">
        <v>0</v>
      </c>
      <c r="E578" t="n">
        <v>0</v>
      </c>
      <c r="F578" t="n">
        <v>0</v>
      </c>
      <c r="H578" t="n">
        <v>0</v>
      </c>
      <c r="I578" t="n">
        <v>0</v>
      </c>
      <c r="J578" t="n">
        <v>0</v>
      </c>
      <c r="K578" t="n">
        <v>0</v>
      </c>
      <c r="L578" t="n">
        <v>0</v>
      </c>
      <c r="M578" t="n">
        <v>0</v>
      </c>
      <c r="N578" t="n">
        <v>0</v>
      </c>
    </row>
    <row r="579">
      <c r="A579" t="inlineStr">
        <is>
          <t>stock</t>
        </is>
      </c>
      <c r="B579" t="inlineStr">
        <is>
          <t>total, 5. 5 remain.</t>
        </is>
      </c>
      <c r="C579" t="n">
        <v>0</v>
      </c>
      <c r="D579" t="n">
        <v>0</v>
      </c>
      <c r="E579" t="n">
        <v>0</v>
      </c>
      <c r="F579" t="n">
        <v>0</v>
      </c>
      <c r="H579" t="n">
        <v>0</v>
      </c>
      <c r="I579" t="n">
        <v>0</v>
      </c>
      <c r="J579" t="n">
        <v>0</v>
      </c>
      <c r="K579" t="n">
        <v>0</v>
      </c>
      <c r="L579" t="n">
        <v>0</v>
      </c>
      <c r="M579" t="n">
        <v>0</v>
      </c>
      <c r="N579" t="n">
        <v>0</v>
      </c>
    </row>
    <row r="580">
      <c r="A580" t="inlineStr">
        <is>
          <t>stock</t>
        </is>
      </c>
      <c r="B580" t="inlineStr">
        <is>
          <t>wethers: 416 remain.</t>
        </is>
      </c>
      <c r="C580" t="n">
        <v>0</v>
      </c>
      <c r="D580" t="n">
        <v>0</v>
      </c>
      <c r="E580" t="n">
        <v>0</v>
      </c>
      <c r="F580" t="n">
        <v>0</v>
      </c>
      <c r="H580" t="n">
        <v>0</v>
      </c>
      <c r="I580" t="n">
        <v>0</v>
      </c>
      <c r="J580" t="n">
        <v>0</v>
      </c>
      <c r="K580" t="n">
        <v>0</v>
      </c>
      <c r="L580" t="n">
        <v>0</v>
      </c>
      <c r="M580" t="n">
        <v>0</v>
      </c>
      <c r="N580" t="n">
        <v>0</v>
      </c>
    </row>
    <row r="581">
      <c r="A581" t="inlineStr">
        <is>
          <t>stock</t>
        </is>
      </c>
      <c r="B581" t="inlineStr">
        <is>
          <t>122 added from hoggs below after shearing.</t>
        </is>
      </c>
      <c r="C581" t="n">
        <v>0</v>
      </c>
      <c r="D581" t="n">
        <v>0</v>
      </c>
      <c r="E581" t="n">
        <v>0</v>
      </c>
      <c r="F581" t="n">
        <v>0</v>
      </c>
      <c r="H581" t="n">
        <v>0</v>
      </c>
      <c r="I581" t="n">
        <v>0</v>
      </c>
      <c r="J581" t="n">
        <v>0</v>
      </c>
      <c r="K581" t="n">
        <v>0</v>
      </c>
      <c r="L581" t="n">
        <v>0</v>
      </c>
      <c r="M581" t="n">
        <v>0</v>
      </c>
      <c r="N581" t="n">
        <v>0</v>
      </c>
    </row>
    <row r="582">
      <c r="A582" t="inlineStr">
        <is>
          <t>stock</t>
        </is>
      </c>
      <c r="B582" t="inlineStr">
        <is>
          <t>23 from the herbage of wick and charlton at hockday.</t>
        </is>
      </c>
      <c r="C582" t="n">
        <v>0</v>
      </c>
      <c r="D582" t="n">
        <v>0</v>
      </c>
      <c r="E582" t="n">
        <v>0</v>
      </c>
      <c r="F582" t="n">
        <v>0</v>
      </c>
      <c r="H582" t="n">
        <v>0</v>
      </c>
      <c r="I582" t="n">
        <v>0</v>
      </c>
      <c r="J582" t="n">
        <v>0</v>
      </c>
      <c r="K582" t="n">
        <v>0</v>
      </c>
      <c r="L582" t="n">
        <v>0</v>
      </c>
      <c r="M582" t="n">
        <v>0</v>
      </c>
      <c r="N582" t="n">
        <v>0</v>
      </c>
    </row>
    <row r="583">
      <c r="A583" t="inlineStr">
        <is>
          <t>stock</t>
        </is>
      </c>
      <c r="B583" t="inlineStr">
        <is>
          <t>total, 561. 30 in murrain before shearing, 19 after shearing.</t>
        </is>
      </c>
      <c r="C583" t="n">
        <v>0</v>
      </c>
      <c r="D583" t="n">
        <v>0</v>
      </c>
      <c r="E583" t="n">
        <v>0</v>
      </c>
      <c r="F583" t="n">
        <v>0</v>
      </c>
      <c r="H583" t="n">
        <v>0</v>
      </c>
      <c r="I583" t="n">
        <v>0</v>
      </c>
      <c r="J583" t="n">
        <v>0</v>
      </c>
      <c r="K583" t="n">
        <v>0</v>
      </c>
      <c r="L583" t="n">
        <v>0</v>
      </c>
      <c r="M583" t="n">
        <v>0</v>
      </c>
      <c r="N583" t="n">
        <v>0</v>
      </c>
    </row>
    <row r="584">
      <c r="A584" t="inlineStr">
        <is>
          <t>stock</t>
        </is>
      </c>
      <c r="B584" t="inlineStr">
        <is>
          <t>1 in customary payment for the mowing of the lord's meadow of radmede after shearing.</t>
        </is>
      </c>
      <c r="C584" t="n">
        <v>0</v>
      </c>
      <c r="D584" t="n">
        <v>0</v>
      </c>
      <c r="E584" t="n">
        <v>0</v>
      </c>
      <c r="F584" t="n">
        <v>0</v>
      </c>
      <c r="H584" t="n">
        <v>0</v>
      </c>
      <c r="I584" t="n">
        <v>0</v>
      </c>
      <c r="J584" t="n">
        <v>0</v>
      </c>
      <c r="K584" t="n">
        <v>0</v>
      </c>
      <c r="L584" t="n">
        <v>0</v>
      </c>
      <c r="M584" t="n">
        <v>0</v>
      </c>
      <c r="N584" t="n">
        <v>0</v>
      </c>
    </row>
    <row r="585">
      <c r="A585" t="inlineStr">
        <is>
          <t>stock</t>
        </is>
      </c>
      <c r="B585" t="inlineStr">
        <is>
          <t>65 sold within before shearing.</t>
        </is>
      </c>
      <c r="C585" t="n">
        <v>0</v>
      </c>
      <c r="D585" t="n">
        <v>0</v>
      </c>
      <c r="E585" t="n">
        <v>0</v>
      </c>
      <c r="F585" t="n">
        <v>0</v>
      </c>
      <c r="H585" t="n">
        <v>0</v>
      </c>
      <c r="I585" t="n">
        <v>0</v>
      </c>
      <c r="J585" t="n">
        <v>0</v>
      </c>
      <c r="K585" t="n">
        <v>0</v>
      </c>
      <c r="L585" t="n">
        <v>0</v>
      </c>
      <c r="M585" t="n">
        <v>0</v>
      </c>
      <c r="N585" t="n">
        <v>0</v>
      </c>
    </row>
    <row r="586">
      <c r="A586" t="inlineStr">
        <is>
          <t>stock</t>
        </is>
      </c>
      <c r="B586" t="inlineStr">
        <is>
          <t>2 ewes counted as wethers delivered to the shepherd of ewes below before shearing.</t>
        </is>
      </c>
      <c r="C586" t="n">
        <v>0</v>
      </c>
      <c r="D586" t="n">
        <v>0</v>
      </c>
      <c r="E586" t="n">
        <v>0</v>
      </c>
      <c r="F586" t="n">
        <v>0</v>
      </c>
      <c r="H586" t="n">
        <v>0</v>
      </c>
      <c r="I586" t="n">
        <v>0</v>
      </c>
      <c r="J586" t="n">
        <v>0</v>
      </c>
      <c r="K586" t="n">
        <v>0</v>
      </c>
      <c r="L586" t="n">
        <v>0</v>
      </c>
      <c r="M586" t="n">
        <v>0</v>
      </c>
      <c r="N586" t="n">
        <v>0</v>
      </c>
    </row>
    <row r="587">
      <c r="A587" t="inlineStr">
        <is>
          <t>stock</t>
        </is>
      </c>
      <c r="B587" t="inlineStr">
        <is>
          <t>total, 117. 444 remain.</t>
        </is>
      </c>
      <c r="C587" t="n">
        <v>0</v>
      </c>
      <c r="D587" t="n">
        <v>0</v>
      </c>
      <c r="E587" t="n">
        <v>0</v>
      </c>
      <c r="F587" t="n">
        <v>0</v>
      </c>
      <c r="H587" t="n">
        <v>0</v>
      </c>
      <c r="I587" t="n">
        <v>0</v>
      </c>
      <c r="J587" t="n">
        <v>0</v>
      </c>
      <c r="K587" t="n">
        <v>0</v>
      </c>
      <c r="L587" t="n">
        <v>0</v>
      </c>
      <c r="M587" t="n">
        <v>0</v>
      </c>
      <c r="N587" t="n">
        <v>0</v>
      </c>
    </row>
    <row r="588">
      <c r="A588" t="inlineStr">
        <is>
          <t>stock</t>
        </is>
      </c>
      <c r="B588" t="inlineStr">
        <is>
          <t>rams: 8 remain.</t>
        </is>
      </c>
      <c r="C588" t="n">
        <v>0</v>
      </c>
      <c r="D588" t="n">
        <v>0</v>
      </c>
      <c r="E588" t="n">
        <v>0</v>
      </c>
      <c r="F588" t="n">
        <v>0</v>
      </c>
      <c r="H588" t="n">
        <v>0</v>
      </c>
      <c r="I588" t="n">
        <v>0</v>
      </c>
      <c r="J588" t="n">
        <v>0</v>
      </c>
      <c r="K588" t="n">
        <v>0</v>
      </c>
      <c r="L588" t="n">
        <v>0</v>
      </c>
      <c r="M588" t="n">
        <v>0</v>
      </c>
      <c r="N588" t="n">
        <v>0</v>
      </c>
    </row>
    <row r="589">
      <c r="A589" t="inlineStr">
        <is>
          <t>stock</t>
        </is>
      </c>
      <c r="B589" t="inlineStr">
        <is>
          <t>2 added from hogs below after shearing.</t>
        </is>
      </c>
      <c r="C589" t="n">
        <v>0</v>
      </c>
      <c r="D589" t="n">
        <v>0</v>
      </c>
      <c r="E589" t="n">
        <v>0</v>
      </c>
      <c r="F589" t="n">
        <v>0</v>
      </c>
      <c r="H589" t="n">
        <v>0</v>
      </c>
      <c r="I589" t="n">
        <v>0</v>
      </c>
      <c r="J589" t="n">
        <v>0</v>
      </c>
      <c r="K589" t="n">
        <v>0</v>
      </c>
      <c r="L589" t="n">
        <v>0</v>
      </c>
      <c r="M589" t="n">
        <v>0</v>
      </c>
      <c r="N589" t="n">
        <v>0</v>
      </c>
    </row>
    <row r="590">
      <c r="A590" t="inlineStr">
        <is>
          <t>stock</t>
        </is>
      </c>
      <c r="B590" t="inlineStr">
        <is>
          <t>total, 10. 3 in murrain before shearing.</t>
        </is>
      </c>
      <c r="C590" t="n">
        <v>0</v>
      </c>
      <c r="D590" t="n">
        <v>0</v>
      </c>
      <c r="E590" t="n">
        <v>0</v>
      </c>
      <c r="F590" t="n">
        <v>0</v>
      </c>
      <c r="H590" t="n">
        <v>0</v>
      </c>
      <c r="I590" t="n">
        <v>0</v>
      </c>
      <c r="J590" t="n">
        <v>0</v>
      </c>
      <c r="K590" t="n">
        <v>0</v>
      </c>
      <c r="L590" t="n">
        <v>0</v>
      </c>
      <c r="M590" t="n">
        <v>0</v>
      </c>
      <c r="N590" t="n">
        <v>0</v>
      </c>
    </row>
    <row r="591">
      <c r="A591" t="inlineStr">
        <is>
          <t>stock</t>
        </is>
      </c>
      <c r="B591" t="inlineStr">
        <is>
          <t>total, 3. 7 remain.</t>
        </is>
      </c>
      <c r="C591" t="n">
        <v>0</v>
      </c>
      <c r="D591" t="n">
        <v>0</v>
      </c>
      <c r="E591" t="n">
        <v>0</v>
      </c>
      <c r="F591" t="n">
        <v>0</v>
      </c>
      <c r="H591" t="n">
        <v>0</v>
      </c>
      <c r="I591" t="n">
        <v>0</v>
      </c>
      <c r="J591" t="n">
        <v>0</v>
      </c>
      <c r="K591" t="n">
        <v>0</v>
      </c>
      <c r="L591" t="n">
        <v>0</v>
      </c>
      <c r="M591" t="n">
        <v>0</v>
      </c>
      <c r="N591" t="n">
        <v>0</v>
      </c>
    </row>
    <row r="592">
      <c r="A592" t="inlineStr">
        <is>
          <t>stock</t>
        </is>
      </c>
      <c r="B592" t="inlineStr">
        <is>
          <t>ewes: 511 remain.</t>
        </is>
      </c>
      <c r="C592" t="n">
        <v>0</v>
      </c>
      <c r="D592" t="n">
        <v>0</v>
      </c>
      <c r="E592" t="n">
        <v>0</v>
      </c>
      <c r="F592" t="n">
        <v>0</v>
      </c>
      <c r="H592" t="n">
        <v>0</v>
      </c>
      <c r="I592" t="n">
        <v>0</v>
      </c>
      <c r="J592" t="n">
        <v>0</v>
      </c>
      <c r="K592" t="n">
        <v>0</v>
      </c>
      <c r="L592" t="n">
        <v>0</v>
      </c>
      <c r="M592" t="n">
        <v>0</v>
      </c>
      <c r="N592" t="n">
        <v>0</v>
      </c>
    </row>
    <row r="593">
      <c r="A593" t="inlineStr">
        <is>
          <t>stock</t>
        </is>
      </c>
      <c r="B593" t="inlineStr">
        <is>
          <t>128 added from hoggs below after shearing.</t>
        </is>
      </c>
      <c r="C593" t="n">
        <v>0</v>
      </c>
      <c r="D593" t="n">
        <v>0</v>
      </c>
      <c r="E593" t="n">
        <v>0</v>
      </c>
      <c r="F593" t="n">
        <v>0</v>
      </c>
      <c r="H593" t="n">
        <v>0</v>
      </c>
      <c r="I593" t="n">
        <v>0</v>
      </c>
      <c r="J593" t="n">
        <v>0</v>
      </c>
      <c r="K593" t="n">
        <v>0</v>
      </c>
      <c r="L593" t="n">
        <v>0</v>
      </c>
      <c r="M593" t="n">
        <v>0</v>
      </c>
      <c r="N593" t="n">
        <v>0</v>
      </c>
    </row>
    <row r="594">
      <c r="A594" t="inlineStr">
        <is>
          <t>stock</t>
        </is>
      </c>
      <c r="B594" t="inlineStr">
        <is>
          <t>2 received above from wethers before shearing.</t>
        </is>
      </c>
      <c r="C594" t="n">
        <v>0</v>
      </c>
      <c r="D594" t="n">
        <v>0</v>
      </c>
      <c r="E594" t="n">
        <v>0</v>
      </c>
      <c r="F594" t="n">
        <v>0</v>
      </c>
      <c r="H594" t="n">
        <v>0</v>
      </c>
      <c r="I594" t="n">
        <v>0</v>
      </c>
      <c r="J594" t="n">
        <v>0</v>
      </c>
      <c r="K594" t="n">
        <v>0</v>
      </c>
      <c r="L594" t="n">
        <v>0</v>
      </c>
      <c r="M594" t="n">
        <v>0</v>
      </c>
      <c r="N594" t="n">
        <v>0</v>
      </c>
    </row>
    <row r="595">
      <c r="A595" t="inlineStr">
        <is>
          <t>stock</t>
        </is>
      </c>
      <c r="B595" t="inlineStr">
        <is>
          <t>total, 641. 37 in murrain before shearing, 30 of them before lambing.</t>
        </is>
      </c>
      <c r="C595" t="n">
        <v>0</v>
      </c>
      <c r="D595" t="n">
        <v>0</v>
      </c>
      <c r="E595" t="n">
        <v>0</v>
      </c>
      <c r="F595" t="n">
        <v>0</v>
      </c>
      <c r="H595" t="n">
        <v>0</v>
      </c>
      <c r="I595" t="n">
        <v>0</v>
      </c>
      <c r="J595" t="n">
        <v>0</v>
      </c>
      <c r="K595" t="n">
        <v>0</v>
      </c>
      <c r="L595" t="n">
        <v>0</v>
      </c>
      <c r="M595" t="n">
        <v>0</v>
      </c>
      <c r="N595" t="n">
        <v>0</v>
      </c>
    </row>
    <row r="596">
      <c r="A596" t="inlineStr">
        <is>
          <t>stock</t>
        </is>
      </c>
      <c r="B596" t="inlineStr">
        <is>
          <t>12 in murrain after shearing.</t>
        </is>
      </c>
      <c r="C596" t="n">
        <v>0</v>
      </c>
      <c r="D596" t="n">
        <v>0</v>
      </c>
      <c r="E596" t="n">
        <v>0</v>
      </c>
      <c r="F596" t="n">
        <v>0</v>
      </c>
      <c r="H596" t="n">
        <v>0</v>
      </c>
      <c r="I596" t="n">
        <v>0</v>
      </c>
      <c r="J596" t="n">
        <v>0</v>
      </c>
      <c r="K596" t="n">
        <v>0</v>
      </c>
      <c r="L596" t="n">
        <v>0</v>
      </c>
      <c r="M596" t="n">
        <v>0</v>
      </c>
      <c r="N596" t="n">
        <v>0</v>
      </c>
    </row>
    <row r="597">
      <c r="A597" t="inlineStr">
        <is>
          <t>stock</t>
        </is>
      </c>
      <c r="B597" t="inlineStr">
        <is>
          <t>76 kebbs sold within before shearing.</t>
        </is>
      </c>
      <c r="C597" t="n">
        <v>0</v>
      </c>
      <c r="D597" t="n">
        <v>0</v>
      </c>
      <c r="E597" t="n">
        <v>0</v>
      </c>
      <c r="F597" t="n">
        <v>0</v>
      </c>
      <c r="H597" t="n">
        <v>0</v>
      </c>
      <c r="I597" t="n">
        <v>0</v>
      </c>
      <c r="J597" t="n">
        <v>0</v>
      </c>
      <c r="K597" t="n">
        <v>0</v>
      </c>
      <c r="L597" t="n">
        <v>0</v>
      </c>
      <c r="M597" t="n">
        <v>0</v>
      </c>
      <c r="N597" t="n">
        <v>0</v>
      </c>
    </row>
    <row r="598">
      <c r="A598" t="inlineStr">
        <is>
          <t>stock</t>
        </is>
      </c>
      <c r="B598" t="inlineStr">
        <is>
          <t>total, 125. 516 remain.</t>
        </is>
      </c>
      <c r="C598" t="n">
        <v>0</v>
      </c>
      <c r="D598" t="n">
        <v>0</v>
      </c>
      <c r="E598" t="n">
        <v>0</v>
      </c>
      <c r="F598" t="n">
        <v>0</v>
      </c>
      <c r="H598" t="n">
        <v>0</v>
      </c>
      <c r="I598" t="n">
        <v>0</v>
      </c>
      <c r="J598" t="n">
        <v>0</v>
      </c>
      <c r="K598" t="n">
        <v>0</v>
      </c>
      <c r="L598" t="n">
        <v>0</v>
      </c>
      <c r="M598" t="n">
        <v>0</v>
      </c>
      <c r="N598" t="n">
        <v>0</v>
      </c>
    </row>
    <row r="599">
      <c r="A599" t="inlineStr">
        <is>
          <t>stock</t>
        </is>
      </c>
      <c r="B599" t="inlineStr">
        <is>
          <t>hoggs: 304 remain from the lambs.</t>
        </is>
      </c>
      <c r="C599" t="n">
        <v>0</v>
      </c>
      <c r="D599" t="n">
        <v>0</v>
      </c>
      <c r="E599" t="n">
        <v>0</v>
      </c>
      <c r="F599" t="n">
        <v>0</v>
      </c>
      <c r="H599" t="n">
        <v>0</v>
      </c>
      <c r="I599" t="n">
        <v>0</v>
      </c>
      <c r="J599" t="n">
        <v>0</v>
      </c>
      <c r="K599" t="n">
        <v>0</v>
      </c>
      <c r="L599" t="n">
        <v>0</v>
      </c>
      <c r="M599" t="n">
        <v>0</v>
      </c>
      <c r="N599" t="n">
        <v>0</v>
      </c>
    </row>
    <row r="600">
      <c r="A600" t="inlineStr">
        <is>
          <t>stock</t>
        </is>
      </c>
      <c r="B600" t="inlineStr">
        <is>
          <t>total, 304. 30 in murrain before shearing.</t>
        </is>
      </c>
      <c r="C600" t="n">
        <v>0</v>
      </c>
      <c r="D600" t="n">
        <v>0</v>
      </c>
      <c r="E600" t="n">
        <v>0</v>
      </c>
      <c r="F600" t="n">
        <v>0</v>
      </c>
      <c r="H600" t="n">
        <v>0</v>
      </c>
      <c r="I600" t="n">
        <v>0</v>
      </c>
      <c r="J600" t="n">
        <v>0</v>
      </c>
      <c r="K600" t="n">
        <v>0</v>
      </c>
      <c r="L600" t="n">
        <v>0</v>
      </c>
      <c r="M600" t="n">
        <v>0</v>
      </c>
      <c r="N600" t="n">
        <v>0</v>
      </c>
    </row>
    <row r="601">
      <c r="A601" t="inlineStr">
        <is>
          <t>stock</t>
        </is>
      </c>
      <c r="B601" t="inlineStr">
        <is>
          <t>122 added above to wethers after shearing, 2 added to rams and 128 to ewes.</t>
        </is>
      </c>
      <c r="C601" t="n">
        <v>0</v>
      </c>
      <c r="D601" t="n">
        <v>0</v>
      </c>
      <c r="E601" t="n">
        <v>0</v>
      </c>
      <c r="F601" t="n">
        <v>0</v>
      </c>
      <c r="H601" t="n">
        <v>0</v>
      </c>
      <c r="I601" t="n">
        <v>0</v>
      </c>
      <c r="J601" t="n">
        <v>0</v>
      </c>
      <c r="K601" t="n">
        <v>0</v>
      </c>
      <c r="L601" t="n">
        <v>0</v>
      </c>
      <c r="M601" t="n">
        <v>0</v>
      </c>
      <c r="N601" t="n">
        <v>0</v>
      </c>
    </row>
    <row r="602">
      <c r="A602" t="inlineStr">
        <is>
          <t>stock</t>
        </is>
      </c>
      <c r="B602" t="inlineStr">
        <is>
          <t>22 removed from stock and sold within before shearing.</t>
        </is>
      </c>
      <c r="C602" t="n">
        <v>0</v>
      </c>
      <c r="D602" t="n">
        <v>0</v>
      </c>
      <c r="E602" t="n">
        <v>0</v>
      </c>
      <c r="F602" t="n">
        <v>0</v>
      </c>
      <c r="H602" t="n">
        <v>0</v>
      </c>
      <c r="I602" t="n">
        <v>0</v>
      </c>
      <c r="J602" t="n">
        <v>0</v>
      </c>
      <c r="K602" t="n">
        <v>0</v>
      </c>
      <c r="L602" t="n">
        <v>0</v>
      </c>
      <c r="M602" t="n">
        <v>0</v>
      </c>
      <c r="N602" t="n">
        <v>0</v>
      </c>
    </row>
    <row r="603">
      <c r="A603" t="inlineStr">
        <is>
          <t>stock</t>
        </is>
      </c>
      <c r="B603" t="inlineStr">
        <is>
          <t>total as before.</t>
        </is>
      </c>
      <c r="C603" t="n">
        <v>0</v>
      </c>
      <c r="D603" t="n">
        <v>0</v>
      </c>
      <c r="E603" t="n">
        <v>0</v>
      </c>
      <c r="F603" t="n">
        <v>0</v>
      </c>
      <c r="H603" t="n">
        <v>0</v>
      </c>
      <c r="I603" t="n">
        <v>0</v>
      </c>
      <c r="J603" t="n">
        <v>0</v>
      </c>
      <c r="K603" t="n">
        <v>0</v>
      </c>
      <c r="L603" t="n">
        <v>0</v>
      </c>
      <c r="M603" t="n">
        <v>0</v>
      </c>
      <c r="N603" t="n">
        <v>0</v>
      </c>
    </row>
    <row r="604">
      <c r="A604" t="inlineStr">
        <is>
          <t>stock</t>
        </is>
      </c>
      <c r="B604" t="inlineStr">
        <is>
          <t>none remain..</t>
        </is>
      </c>
      <c r="C604" t="n">
        <v>0</v>
      </c>
      <c r="D604" t="n">
        <v>0</v>
      </c>
      <c r="E604" t="n">
        <v>0</v>
      </c>
      <c r="F604" t="n">
        <v>0</v>
      </c>
      <c r="H604" t="n">
        <v>0</v>
      </c>
      <c r="I604" t="n">
        <v>0</v>
      </c>
      <c r="J604" t="n">
        <v>0</v>
      </c>
      <c r="K604" t="n">
        <v>0</v>
      </c>
      <c r="L604" t="n">
        <v>0</v>
      </c>
      <c r="M604" t="n">
        <v>0</v>
      </c>
      <c r="N604" t="n">
        <v>0</v>
      </c>
    </row>
    <row r="605">
      <c r="A605" t="inlineStr">
        <is>
          <t>stock</t>
        </is>
      </c>
      <c r="B605" t="inlineStr">
        <is>
          <t>lambs: 322 from the offspring of the said ewes and not more because 30 died before lanibina and 159 were sterile this year.</t>
        </is>
      </c>
      <c r="C605" t="n">
        <v>0</v>
      </c>
      <c r="D605" t="n">
        <v>0</v>
      </c>
      <c r="E605" t="n">
        <v>0</v>
      </c>
      <c r="F605" t="n">
        <v>0</v>
      </c>
      <c r="H605" t="n">
        <v>0</v>
      </c>
      <c r="I605" t="n">
        <v>0</v>
      </c>
      <c r="J605" t="n">
        <v>0</v>
      </c>
      <c r="K605" t="n">
        <v>0</v>
      </c>
      <c r="L605" t="n">
        <v>0</v>
      </c>
      <c r="M605" t="n">
        <v>0</v>
      </c>
      <c r="N605" t="n">
        <v>0</v>
      </c>
    </row>
    <row r="606">
      <c r="A606" t="inlineStr">
        <is>
          <t>stock</t>
        </is>
      </c>
      <c r="B606" t="inlineStr">
        <is>
          <t>120 bought within before shearing.</t>
        </is>
      </c>
      <c r="C606" t="n">
        <v>0</v>
      </c>
      <c r="D606" t="n">
        <v>0</v>
      </c>
      <c r="E606" t="n">
        <v>0</v>
      </c>
      <c r="F606" t="n">
        <v>0</v>
      </c>
      <c r="H606" t="n">
        <v>0</v>
      </c>
      <c r="I606" t="n">
        <v>0</v>
      </c>
      <c r="J606" t="n">
        <v>0</v>
      </c>
      <c r="K606" t="n">
        <v>0</v>
      </c>
      <c r="L606" t="n">
        <v>0</v>
      </c>
      <c r="M606" t="n">
        <v>0</v>
      </c>
      <c r="N606" t="n">
        <v>0</v>
      </c>
    </row>
    <row r="607">
      <c r="A607" t="inlineStr">
        <is>
          <t>stock</t>
        </is>
      </c>
      <c r="B607" t="inlineStr">
        <is>
          <t>total, 442. 62 in murrain before shearing.</t>
        </is>
      </c>
      <c r="C607" t="n">
        <v>0</v>
      </c>
      <c r="D607" t="n">
        <v>0</v>
      </c>
      <c r="E607" t="n">
        <v>0</v>
      </c>
      <c r="F607" t="n">
        <v>0</v>
      </c>
      <c r="H607" t="n">
        <v>0</v>
      </c>
      <c r="I607" t="n">
        <v>0</v>
      </c>
      <c r="J607" t="n">
        <v>0</v>
      </c>
      <c r="K607" t="n">
        <v>0</v>
      </c>
      <c r="L607" t="n">
        <v>0</v>
      </c>
      <c r="M607" t="n">
        <v>0</v>
      </c>
      <c r="N607" t="n">
        <v>0</v>
      </c>
    </row>
    <row r="608">
      <c r="A608" t="inlineStr">
        <is>
          <t>stock</t>
        </is>
      </c>
      <c r="B608" t="inlineStr">
        <is>
          <t>26 in tithe.</t>
        </is>
      </c>
      <c r="C608" t="n">
        <v>0</v>
      </c>
      <c r="D608" t="n">
        <v>0</v>
      </c>
      <c r="E608" t="n">
        <v>0</v>
      </c>
      <c r="F608" t="n">
        <v>0</v>
      </c>
      <c r="H608" t="n">
        <v>0</v>
      </c>
      <c r="I608" t="n">
        <v>0</v>
      </c>
      <c r="J608" t="n">
        <v>0</v>
      </c>
      <c r="K608" t="n">
        <v>0</v>
      </c>
      <c r="L608" t="n">
        <v>0</v>
      </c>
      <c r="M608" t="n">
        <v>0</v>
      </c>
      <c r="N608" t="n">
        <v>0</v>
      </c>
    </row>
    <row r="609">
      <c r="A609" t="inlineStr">
        <is>
          <t>stock</t>
        </is>
      </c>
      <c r="B609" t="inlineStr">
        <is>
          <t>3 in customary payment to the reeve, forester and shepherd of ewes.</t>
        </is>
      </c>
      <c r="C609" t="n">
        <v>0</v>
      </c>
      <c r="D609" t="n">
        <v>0</v>
      </c>
      <c r="E609" t="n">
        <v>0</v>
      </c>
      <c r="F609" t="n">
        <v>0</v>
      </c>
      <c r="H609" t="n">
        <v>0</v>
      </c>
      <c r="I609" t="n">
        <v>0</v>
      </c>
      <c r="J609" t="n">
        <v>0</v>
      </c>
      <c r="K609" t="n">
        <v>0</v>
      </c>
      <c r="L609" t="n">
        <v>0</v>
      </c>
      <c r="M609" t="n">
        <v>0</v>
      </c>
      <c r="N609" t="n">
        <v>0</v>
      </c>
    </row>
    <row r="610">
      <c r="A610" t="inlineStr">
        <is>
          <t>stock</t>
        </is>
      </c>
      <c r="B610" t="inlineStr">
        <is>
          <t>7 in murrain after weaning and before shearing.</t>
        </is>
      </c>
      <c r="C610" t="n">
        <v>0</v>
      </c>
      <c r="D610" t="n">
        <v>0</v>
      </c>
      <c r="E610" t="n">
        <v>0</v>
      </c>
      <c r="F610" t="n">
        <v>0</v>
      </c>
      <c r="H610" t="n">
        <v>0</v>
      </c>
      <c r="I610" t="n">
        <v>0</v>
      </c>
      <c r="J610" t="n">
        <v>0</v>
      </c>
      <c r="K610" t="n">
        <v>0</v>
      </c>
      <c r="L610" t="n">
        <v>0</v>
      </c>
      <c r="M610" t="n">
        <v>0</v>
      </c>
      <c r="N610" t="n">
        <v>0</v>
      </c>
    </row>
    <row r="611">
      <c r="A611" t="inlineStr">
        <is>
          <t>stock</t>
        </is>
      </c>
      <c r="B611" t="inlineStr">
        <is>
          <t>12 in murrain after shearing.</t>
        </is>
      </c>
      <c r="C611" t="n">
        <v>0</v>
      </c>
      <c r="D611" t="n">
        <v>0</v>
      </c>
      <c r="E611" t="n">
        <v>0</v>
      </c>
      <c r="F611" t="n">
        <v>0</v>
      </c>
      <c r="H611" t="n">
        <v>0</v>
      </c>
      <c r="I611" t="n">
        <v>0</v>
      </c>
      <c r="J611" t="n">
        <v>0</v>
      </c>
      <c r="K611" t="n">
        <v>0</v>
      </c>
      <c r="L611" t="n">
        <v>0</v>
      </c>
      <c r="M611" t="n">
        <v>0</v>
      </c>
      <c r="N611" t="n">
        <v>0</v>
      </c>
    </row>
    <row r="612">
      <c r="A612" t="inlineStr">
        <is>
          <t>stock</t>
        </is>
      </c>
      <c r="B612" t="inlineStr">
        <is>
          <t>30 removed from stock and sold within before shearing.</t>
        </is>
      </c>
      <c r="C612" t="n">
        <v>0</v>
      </c>
      <c r="D612" t="n">
        <v>0</v>
      </c>
      <c r="E612" t="n">
        <v>0</v>
      </c>
      <c r="F612" t="n">
        <v>0</v>
      </c>
      <c r="H612" t="n">
        <v>0</v>
      </c>
      <c r="I612" t="n">
        <v>0</v>
      </c>
      <c r="J612" t="n">
        <v>0</v>
      </c>
      <c r="K612" t="n">
        <v>0</v>
      </c>
      <c r="L612" t="n">
        <v>0</v>
      </c>
      <c r="M612" t="n">
        <v>0</v>
      </c>
      <c r="N612" t="n">
        <v>0</v>
      </c>
    </row>
    <row r="613">
      <c r="A613" t="inlineStr">
        <is>
          <t>stock</t>
        </is>
      </c>
      <c r="B613" t="inlineStr">
        <is>
          <t>total, 140. 302 remain.</t>
        </is>
      </c>
      <c r="C613" t="n">
        <v>0</v>
      </c>
      <c r="D613" t="n">
        <v>0</v>
      </c>
      <c r="E613" t="n">
        <v>0</v>
      </c>
      <c r="F613" t="n">
        <v>0</v>
      </c>
      <c r="H613" t="n">
        <v>0</v>
      </c>
      <c r="I613" t="n">
        <v>0</v>
      </c>
      <c r="J613" t="n">
        <v>0</v>
      </c>
      <c r="K613" t="n">
        <v>0</v>
      </c>
      <c r="L613" t="n">
        <v>0</v>
      </c>
      <c r="M613" t="n">
        <v>0</v>
      </c>
      <c r="N613" t="n">
        <v>0</v>
      </c>
    </row>
    <row r="614">
      <c r="A614" t="inlineStr">
        <is>
          <t>stock</t>
        </is>
      </c>
      <c r="B614" t="inlineStr">
        <is>
          <t>boars: 1 remains.</t>
        </is>
      </c>
      <c r="C614" t="n">
        <v>0</v>
      </c>
      <c r="D614" t="n">
        <v>0</v>
      </c>
      <c r="E614" t="n">
        <v>0</v>
      </c>
      <c r="F614" t="n">
        <v>0</v>
      </c>
      <c r="H614" t="n">
        <v>0</v>
      </c>
      <c r="I614" t="n">
        <v>0</v>
      </c>
      <c r="J614" t="n">
        <v>0</v>
      </c>
      <c r="K614" t="n">
        <v>0</v>
      </c>
      <c r="L614" t="n">
        <v>0</v>
      </c>
      <c r="M614" t="n">
        <v>0</v>
      </c>
      <c r="N614" t="n">
        <v>0</v>
      </c>
    </row>
    <row r="615">
      <c r="A615" t="inlineStr">
        <is>
          <t>stock</t>
        </is>
      </c>
      <c r="B615" t="inlineStr">
        <is>
          <t>sows: 3 remain.</t>
        </is>
      </c>
      <c r="C615" t="n">
        <v>0</v>
      </c>
      <c r="D615" t="n">
        <v>0</v>
      </c>
      <c r="E615" t="n">
        <v>0</v>
      </c>
      <c r="F615" t="n">
        <v>0</v>
      </c>
      <c r="H615" t="n">
        <v>0</v>
      </c>
      <c r="I615" t="n">
        <v>0</v>
      </c>
      <c r="J615" t="n">
        <v>0</v>
      </c>
      <c r="K615" t="n">
        <v>0</v>
      </c>
      <c r="L615" t="n">
        <v>0</v>
      </c>
      <c r="M615" t="n">
        <v>0</v>
      </c>
      <c r="N615" t="n">
        <v>0</v>
      </c>
    </row>
    <row r="616">
      <c r="A616" t="inlineStr">
        <is>
          <t>stock</t>
        </is>
      </c>
      <c r="B616" t="inlineStr">
        <is>
          <t>pigs: 35 remain.</t>
        </is>
      </c>
      <c r="C616" t="n">
        <v>0</v>
      </c>
      <c r="D616" t="n">
        <v>0</v>
      </c>
      <c r="E616" t="n">
        <v>0</v>
      </c>
      <c r="F616" t="n">
        <v>0</v>
      </c>
      <c r="H616" t="n">
        <v>0</v>
      </c>
      <c r="I616" t="n">
        <v>0</v>
      </c>
      <c r="J616" t="n">
        <v>0</v>
      </c>
      <c r="K616" t="n">
        <v>0</v>
      </c>
      <c r="L616" t="n">
        <v>0</v>
      </c>
      <c r="M616" t="n">
        <v>0</v>
      </c>
      <c r="N616" t="n">
        <v>0</v>
      </c>
    </row>
    <row r="617">
      <c r="A617" t="inlineStr">
        <is>
          <t>stock</t>
        </is>
      </c>
      <c r="B617" t="inlineStr">
        <is>
          <t>32 added from hoggets below.</t>
        </is>
      </c>
      <c r="C617" t="n">
        <v>0</v>
      </c>
      <c r="D617" t="n">
        <v>0</v>
      </c>
      <c r="E617" t="n">
        <v>0</v>
      </c>
      <c r="F617" t="n">
        <v>0</v>
      </c>
      <c r="H617" t="n">
        <v>0</v>
      </c>
      <c r="I617" t="n">
        <v>0</v>
      </c>
      <c r="J617" t="n">
        <v>0</v>
      </c>
      <c r="K617" t="n">
        <v>0</v>
      </c>
      <c r="L617" t="n">
        <v>0</v>
      </c>
      <c r="M617" t="n">
        <v>0</v>
      </c>
      <c r="N617" t="n">
        <v>0</v>
      </c>
    </row>
    <row r="618">
      <c r="A618" t="inlineStr">
        <is>
          <t>stock</t>
        </is>
      </c>
      <c r="B618" t="inlineStr">
        <is>
          <t>total, 67. 8 in murrain.</t>
        </is>
      </c>
      <c r="C618" t="n">
        <v>0</v>
      </c>
      <c r="D618" t="n">
        <v>0</v>
      </c>
      <c r="E618" t="n">
        <v>0</v>
      </c>
      <c r="F618" t="n">
        <v>0</v>
      </c>
      <c r="H618" t="n">
        <v>0</v>
      </c>
      <c r="I618" t="n">
        <v>0</v>
      </c>
      <c r="J618" t="n">
        <v>0</v>
      </c>
      <c r="K618" t="n">
        <v>0</v>
      </c>
      <c r="L618" t="n">
        <v>0</v>
      </c>
      <c r="M618" t="n">
        <v>0</v>
      </c>
      <c r="N618" t="n">
        <v>0</v>
      </c>
    </row>
    <row r="619">
      <c r="A619" t="inlineStr">
        <is>
          <t>stock</t>
        </is>
      </c>
      <c r="B619" t="inlineStr">
        <is>
          <t>20 sold within.</t>
        </is>
      </c>
      <c r="C619" t="n">
        <v>0</v>
      </c>
      <c r="D619" t="n">
        <v>0</v>
      </c>
      <c r="E619" t="n">
        <v>0</v>
      </c>
      <c r="F619" t="n">
        <v>0</v>
      </c>
      <c r="H619" t="n">
        <v>0</v>
      </c>
      <c r="I619" t="n">
        <v>0</v>
      </c>
      <c r="J619" t="n">
        <v>0</v>
      </c>
      <c r="K619" t="n">
        <v>0</v>
      </c>
      <c r="L619" t="n">
        <v>0</v>
      </c>
      <c r="M619" t="n">
        <v>0</v>
      </c>
      <c r="N619" t="n">
        <v>0</v>
      </c>
    </row>
    <row r="620">
      <c r="A620" t="inlineStr">
        <is>
          <t>stock</t>
        </is>
      </c>
      <c r="B620" t="inlineStr">
        <is>
          <t>total, 28. 39 remain.</t>
        </is>
      </c>
      <c r="C620" t="n">
        <v>0</v>
      </c>
      <c r="D620" t="n">
        <v>0</v>
      </c>
      <c r="E620" t="n">
        <v>0</v>
      </c>
      <c r="F620" t="n">
        <v>0</v>
      </c>
      <c r="H620" t="n">
        <v>0</v>
      </c>
      <c r="I620" t="n">
        <v>0</v>
      </c>
      <c r="J620" t="n">
        <v>0</v>
      </c>
      <c r="K620" t="n">
        <v>0</v>
      </c>
      <c r="L620" t="n">
        <v>0</v>
      </c>
      <c r="M620" t="n">
        <v>0</v>
      </c>
      <c r="N620" t="n">
        <v>0</v>
      </c>
    </row>
    <row r="621">
      <c r="A621" t="inlineStr">
        <is>
          <t>stock</t>
        </is>
      </c>
      <c r="B621" t="inlineStr">
        <is>
          <t>hoggets: 39 remain from the piglets.</t>
        </is>
      </c>
      <c r="C621" t="n">
        <v>0</v>
      </c>
      <c r="D621" t="n">
        <v>0</v>
      </c>
      <c r="E621" t="n">
        <v>0</v>
      </c>
      <c r="F621" t="n">
        <v>0</v>
      </c>
      <c r="H621" t="n">
        <v>0</v>
      </c>
      <c r="I621" t="n">
        <v>0</v>
      </c>
      <c r="J621" t="n">
        <v>0</v>
      </c>
      <c r="K621" t="n">
        <v>0</v>
      </c>
      <c r="L621" t="n">
        <v>0</v>
      </c>
      <c r="M621" t="n">
        <v>0</v>
      </c>
      <c r="N621" t="n">
        <v>0</v>
      </c>
    </row>
    <row r="622">
      <c r="A622" t="inlineStr">
        <is>
          <t>stock</t>
        </is>
      </c>
      <c r="B622" t="inlineStr">
        <is>
          <t>total, 39. 7 in murrain.</t>
        </is>
      </c>
      <c r="C622" t="n">
        <v>0</v>
      </c>
      <c r="D622" t="n">
        <v>0</v>
      </c>
      <c r="E622" t="n">
        <v>0</v>
      </c>
      <c r="F622" t="n">
        <v>0</v>
      </c>
      <c r="H622" t="n">
        <v>0</v>
      </c>
      <c r="I622" t="n">
        <v>0</v>
      </c>
      <c r="J622" t="n">
        <v>0</v>
      </c>
      <c r="K622" t="n">
        <v>0</v>
      </c>
      <c r="L622" t="n">
        <v>0</v>
      </c>
      <c r="M622" t="n">
        <v>0</v>
      </c>
      <c r="N622" t="n">
        <v>0</v>
      </c>
    </row>
    <row r="623">
      <c r="A623" t="inlineStr">
        <is>
          <t>stock</t>
        </is>
      </c>
      <c r="B623" t="inlineStr">
        <is>
          <t>32 added above to pigs.</t>
        </is>
      </c>
      <c r="C623" t="n">
        <v>0</v>
      </c>
      <c r="D623" t="n">
        <v>0</v>
      </c>
      <c r="E623" t="n">
        <v>0</v>
      </c>
      <c r="F623" t="n">
        <v>0</v>
      </c>
      <c r="H623" t="n">
        <v>0</v>
      </c>
      <c r="I623" t="n">
        <v>0</v>
      </c>
      <c r="J623" t="n">
        <v>0</v>
      </c>
      <c r="K623" t="n">
        <v>0</v>
      </c>
      <c r="L623" t="n">
        <v>0</v>
      </c>
      <c r="M623" t="n">
        <v>0</v>
      </c>
      <c r="N623" t="n">
        <v>0</v>
      </c>
    </row>
    <row r="624">
      <c r="A624" t="inlineStr">
        <is>
          <t>stock</t>
        </is>
      </c>
      <c r="B624" t="inlineStr">
        <is>
          <t>total as before.</t>
        </is>
      </c>
      <c r="C624" t="n">
        <v>0</v>
      </c>
      <c r="D624" t="n">
        <v>0</v>
      </c>
      <c r="E624" t="n">
        <v>0</v>
      </c>
      <c r="F624" t="n">
        <v>0</v>
      </c>
      <c r="H624" t="n">
        <v>0</v>
      </c>
      <c r="I624" t="n">
        <v>0</v>
      </c>
      <c r="J624" t="n">
        <v>0</v>
      </c>
      <c r="K624" t="n">
        <v>0</v>
      </c>
      <c r="L624" t="n">
        <v>0</v>
      </c>
      <c r="M624" t="n">
        <v>0</v>
      </c>
      <c r="N624" t="n">
        <v>0</v>
      </c>
    </row>
    <row r="625">
      <c r="A625" t="inlineStr">
        <is>
          <t>stock</t>
        </is>
      </c>
      <c r="B625" t="inlineStr">
        <is>
          <t>it balances.</t>
        </is>
      </c>
      <c r="C625" t="n">
        <v>0</v>
      </c>
      <c r="D625" t="n">
        <v>0</v>
      </c>
      <c r="E625" t="n">
        <v>0</v>
      </c>
      <c r="F625" t="n">
        <v>0</v>
      </c>
      <c r="H625" t="n">
        <v>0</v>
      </c>
      <c r="I625" t="n">
        <v>0</v>
      </c>
      <c r="J625" t="n">
        <v>0</v>
      </c>
      <c r="K625" t="n">
        <v>0</v>
      </c>
      <c r="L625" t="n">
        <v>0</v>
      </c>
      <c r="M625" t="n">
        <v>0</v>
      </c>
      <c r="N625" t="n">
        <v>0</v>
      </c>
    </row>
    <row r="626">
      <c r="A626" t="inlineStr">
        <is>
          <t>stock</t>
        </is>
      </c>
      <c r="B626" t="inlineStr">
        <is>
          <t>piglets: 45 from the offspring of the said sows.</t>
        </is>
      </c>
      <c r="C626" t="n">
        <v>0</v>
      </c>
      <c r="D626" t="n">
        <v>0</v>
      </c>
      <c r="E626" t="n">
        <v>0</v>
      </c>
      <c r="F626" t="n">
        <v>0</v>
      </c>
      <c r="H626" t="n">
        <v>0</v>
      </c>
      <c r="I626" t="n">
        <v>0</v>
      </c>
      <c r="J626" t="n">
        <v>0</v>
      </c>
      <c r="K626" t="n">
        <v>0</v>
      </c>
      <c r="L626" t="n">
        <v>0</v>
      </c>
      <c r="M626" t="n">
        <v>0</v>
      </c>
      <c r="N626" t="n">
        <v>0</v>
      </c>
    </row>
    <row r="627">
      <c r="A627" t="inlineStr">
        <is>
          <t>stock</t>
        </is>
      </c>
      <c r="B627" t="inlineStr">
        <is>
          <t>total, 45. 4 in tithe.</t>
        </is>
      </c>
      <c r="C627" t="n">
        <v>0</v>
      </c>
      <c r="D627" t="n">
        <v>0</v>
      </c>
      <c r="E627" t="n">
        <v>0</v>
      </c>
      <c r="F627" t="n">
        <v>0</v>
      </c>
      <c r="H627" t="n">
        <v>0</v>
      </c>
      <c r="I627" t="n">
        <v>0</v>
      </c>
      <c r="J627" t="n">
        <v>0</v>
      </c>
      <c r="K627" t="n">
        <v>0</v>
      </c>
      <c r="L627" t="n">
        <v>0</v>
      </c>
      <c r="M627" t="n">
        <v>0</v>
      </c>
      <c r="N627" t="n">
        <v>0</v>
      </c>
    </row>
    <row r="628">
      <c r="A628" t="inlineStr">
        <is>
          <t>stock</t>
        </is>
      </c>
      <c r="B628" t="inlineStr">
        <is>
          <t>2 in customary payment to the reeve and forester.</t>
        </is>
      </c>
      <c r="C628" t="n">
        <v>0</v>
      </c>
      <c r="D628" t="n">
        <v>0</v>
      </c>
      <c r="E628" t="n">
        <v>0</v>
      </c>
      <c r="F628" t="n">
        <v>0</v>
      </c>
      <c r="H628" t="n">
        <v>0</v>
      </c>
      <c r="I628" t="n">
        <v>0</v>
      </c>
      <c r="J628" t="n">
        <v>0</v>
      </c>
      <c r="K628" t="n">
        <v>0</v>
      </c>
      <c r="L628" t="n">
        <v>0</v>
      </c>
      <c r="M628" t="n">
        <v>0</v>
      </c>
      <c r="N628" t="n">
        <v>0</v>
      </c>
    </row>
    <row r="629">
      <c r="A629" t="inlineStr">
        <is>
          <t>stock</t>
        </is>
      </c>
      <c r="B629" t="inlineStr">
        <is>
          <t>total, 6. 39 remain.</t>
        </is>
      </c>
      <c r="C629" t="n">
        <v>0</v>
      </c>
      <c r="D629" t="n">
        <v>0</v>
      </c>
      <c r="E629" t="n">
        <v>0</v>
      </c>
      <c r="F629" t="n">
        <v>0</v>
      </c>
      <c r="H629" t="n">
        <v>0</v>
      </c>
      <c r="I629" t="n">
        <v>0</v>
      </c>
      <c r="J629" t="n">
        <v>0</v>
      </c>
      <c r="K629" t="n">
        <v>0</v>
      </c>
      <c r="L629" t="n">
        <v>0</v>
      </c>
      <c r="M629" t="n">
        <v>0</v>
      </c>
      <c r="N629" t="n">
        <v>0</v>
      </c>
    </row>
    <row r="630">
      <c r="A630" t="inlineStr">
        <is>
          <t>stock</t>
        </is>
      </c>
      <c r="B630" t="inlineStr">
        <is>
          <t>swans: 13 remain.</t>
        </is>
      </c>
      <c r="C630" t="n">
        <v>0</v>
      </c>
      <c r="D630" t="n">
        <v>0</v>
      </c>
      <c r="E630" t="n">
        <v>0</v>
      </c>
      <c r="F630" t="n">
        <v>0</v>
      </c>
      <c r="H630" t="n">
        <v>0</v>
      </c>
      <c r="I630" t="n">
        <v>0</v>
      </c>
      <c r="J630" t="n">
        <v>0</v>
      </c>
      <c r="K630" t="n">
        <v>0</v>
      </c>
      <c r="L630" t="n">
        <v>0</v>
      </c>
      <c r="M630" t="n">
        <v>0</v>
      </c>
      <c r="N630" t="n">
        <v>0</v>
      </c>
    </row>
    <row r="631">
      <c r="A631" t="inlineStr">
        <is>
          <t>stock</t>
        </is>
      </c>
      <c r="B631" t="inlineStr">
        <is>
          <t>3 offspring this year.</t>
        </is>
      </c>
      <c r="C631" t="n">
        <v>0</v>
      </c>
      <c r="D631" t="n">
        <v>0</v>
      </c>
      <c r="E631" t="n">
        <v>0</v>
      </c>
      <c r="F631" t="n">
        <v>0</v>
      </c>
      <c r="H631" t="n">
        <v>0</v>
      </c>
      <c r="I631" t="n">
        <v>0</v>
      </c>
      <c r="J631" t="n">
        <v>0</v>
      </c>
      <c r="K631" t="n">
        <v>0</v>
      </c>
      <c r="L631" t="n">
        <v>0</v>
      </c>
      <c r="M631" t="n">
        <v>0</v>
      </c>
      <c r="N631" t="n">
        <v>0</v>
      </c>
    </row>
    <row r="632">
      <c r="A632" t="inlineStr">
        <is>
          <t>stock</t>
        </is>
      </c>
      <c r="B632" t="inlineStr">
        <is>
          <t>total, 16. 2 in murrain.</t>
        </is>
      </c>
      <c r="C632" t="n">
        <v>0</v>
      </c>
      <c r="D632" t="n">
        <v>0</v>
      </c>
      <c r="E632" t="n">
        <v>0</v>
      </c>
      <c r="F632" t="n">
        <v>0</v>
      </c>
      <c r="H632" t="n">
        <v>0</v>
      </c>
      <c r="I632" t="n">
        <v>0</v>
      </c>
      <c r="J632" t="n">
        <v>0</v>
      </c>
      <c r="K632" t="n">
        <v>0</v>
      </c>
      <c r="L632" t="n">
        <v>0</v>
      </c>
      <c r="M632" t="n">
        <v>0</v>
      </c>
      <c r="N632" t="n">
        <v>0</v>
      </c>
    </row>
    <row r="633">
      <c r="A633" t="inlineStr">
        <is>
          <t>stock</t>
        </is>
      </c>
      <c r="B633" t="inlineStr">
        <is>
          <t>total, 2. 14 remain..</t>
        </is>
      </c>
      <c r="C633" t="n">
        <v>0</v>
      </c>
      <c r="D633" t="n">
        <v>0</v>
      </c>
      <c r="E633" t="n">
        <v>0</v>
      </c>
      <c r="F633" t="n">
        <v>0</v>
      </c>
      <c r="H633" t="n">
        <v>0</v>
      </c>
      <c r="I633" t="n">
        <v>0</v>
      </c>
      <c r="J633" t="n">
        <v>0</v>
      </c>
      <c r="K633" t="n">
        <v>0</v>
      </c>
      <c r="L633" t="n">
        <v>0</v>
      </c>
      <c r="M633" t="n">
        <v>0</v>
      </c>
      <c r="N633" t="n">
        <v>0</v>
      </c>
    </row>
    <row r="634">
      <c r="A634" t="inlineStr">
        <is>
          <t>stock</t>
        </is>
      </c>
      <c r="B634" t="inlineStr">
        <is>
          <t>coarse wool: 342 fleeces from wethers, 5 from rams, 400 from ewes and 252 from hoggs produced at the shearing this year, answering for an average of 1'a lb a fleece, plus 1 clove 4.5 lb in all.</t>
        </is>
      </c>
      <c r="C634" t="n">
        <v>0</v>
      </c>
      <c r="D634" t="n">
        <v>0</v>
      </c>
      <c r="E634" t="n">
        <v>0</v>
      </c>
      <c r="F634" t="n">
        <v>0</v>
      </c>
      <c r="H634" t="n">
        <v>0</v>
      </c>
      <c r="I634" t="n">
        <v>0</v>
      </c>
      <c r="J634" t="n">
        <v>0</v>
      </c>
      <c r="K634" t="n">
        <v>0</v>
      </c>
      <c r="L634" t="n">
        <v>0</v>
      </c>
      <c r="M634" t="n">
        <v>0</v>
      </c>
      <c r="N634" t="n">
        <v>0</v>
      </c>
    </row>
    <row r="635">
      <c r="A635" t="inlineStr">
        <is>
          <t>stock</t>
        </is>
      </c>
      <c r="B635" t="inlineStr">
        <is>
          <t>total, 999 fleeces. 100 in tithe.</t>
        </is>
      </c>
      <c r="C635" t="n">
        <v>0</v>
      </c>
      <c r="D635" t="n">
        <v>0</v>
      </c>
      <c r="E635" t="n">
        <v>0</v>
      </c>
      <c r="F635" t="n">
        <v>0</v>
      </c>
      <c r="H635" t="n">
        <v>0</v>
      </c>
      <c r="I635" t="n">
        <v>0</v>
      </c>
      <c r="J635" t="n">
        <v>0</v>
      </c>
      <c r="K635" t="n">
        <v>0</v>
      </c>
      <c r="L635" t="n">
        <v>0</v>
      </c>
      <c r="M635" t="n">
        <v>0</v>
      </c>
      <c r="N635" t="n">
        <v>0</v>
      </c>
    </row>
    <row r="636">
      <c r="A636" t="inlineStr">
        <is>
          <t>stock</t>
        </is>
      </c>
      <c r="B636" t="inlineStr">
        <is>
          <t>2 in customary payment to 2 shepherds.</t>
        </is>
      </c>
      <c r="C636" t="n">
        <v>0</v>
      </c>
      <c r="D636" t="n">
        <v>0</v>
      </c>
      <c r="E636" t="n">
        <v>0</v>
      </c>
      <c r="F636" t="n">
        <v>0</v>
      </c>
      <c r="H636" t="n">
        <v>0</v>
      </c>
      <c r="I636" t="n">
        <v>0</v>
      </c>
      <c r="J636" t="n">
        <v>0</v>
      </c>
      <c r="K636" t="n">
        <v>0</v>
      </c>
      <c r="L636" t="n">
        <v>0</v>
      </c>
      <c r="M636" t="n">
        <v>0</v>
      </c>
      <c r="N636" t="n">
        <v>0</v>
      </c>
    </row>
    <row r="637">
      <c r="A637" t="inlineStr">
        <is>
          <t>stock</t>
        </is>
      </c>
      <c r="B637" t="inlineStr">
        <is>
          <t>682 delivered to john arnald', receiver of wolvesey, weighing 2 sacks 33 cloves.</t>
        </is>
      </c>
      <c r="C637" t="n">
        <v>0</v>
      </c>
      <c r="D637" t="n">
        <v>0</v>
      </c>
      <c r="E637" t="n">
        <v>0</v>
      </c>
      <c r="F637" t="n">
        <v>0</v>
      </c>
      <c r="H637" t="n">
        <v>0</v>
      </c>
      <c r="I637" t="n">
        <v>0</v>
      </c>
      <c r="J637" t="n">
        <v>0</v>
      </c>
      <c r="K637" t="n">
        <v>0</v>
      </c>
      <c r="L637" t="n">
        <v>0</v>
      </c>
      <c r="M637" t="n">
        <v>0</v>
      </c>
      <c r="N637" t="n">
        <v>0</v>
      </c>
    </row>
    <row r="638">
      <c r="A638" t="inlineStr">
        <is>
          <t>stock</t>
        </is>
      </c>
      <c r="B638" t="inlineStr">
        <is>
          <t>215 sold within, weighing 25 cloves 3.5 lb.'.</t>
        </is>
      </c>
      <c r="C638" t="n">
        <v>0</v>
      </c>
      <c r="D638" t="n">
        <v>0</v>
      </c>
      <c r="E638" t="n">
        <v>0</v>
      </c>
      <c r="F638" t="n">
        <v>0</v>
      </c>
      <c r="H638" t="n">
        <v>0</v>
      </c>
      <c r="I638" t="n">
        <v>0</v>
      </c>
      <c r="J638" t="n">
        <v>0</v>
      </c>
      <c r="K638" t="n">
        <v>0</v>
      </c>
      <c r="L638" t="n">
        <v>0</v>
      </c>
      <c r="M638" t="n">
        <v>0</v>
      </c>
      <c r="N638" t="n">
        <v>0</v>
      </c>
    </row>
    <row r="639">
      <c r="A639" t="inlineStr">
        <is>
          <t>stock</t>
        </is>
      </c>
      <c r="B639" t="inlineStr">
        <is>
          <t>total as before.</t>
        </is>
      </c>
      <c r="C639" t="n">
        <v>0</v>
      </c>
      <c r="D639" t="n">
        <v>0</v>
      </c>
      <c r="E639" t="n">
        <v>0</v>
      </c>
      <c r="F639" t="n">
        <v>0</v>
      </c>
      <c r="H639" t="n">
        <v>0</v>
      </c>
      <c r="I639" t="n">
        <v>0</v>
      </c>
      <c r="J639" t="n">
        <v>0</v>
      </c>
      <c r="K639" t="n">
        <v>0</v>
      </c>
      <c r="L639" t="n">
        <v>0</v>
      </c>
      <c r="M639" t="n">
        <v>0</v>
      </c>
      <c r="N639" t="n">
        <v>0</v>
      </c>
    </row>
    <row r="640">
      <c r="A640" t="inlineStr">
        <is>
          <t>stock</t>
        </is>
      </c>
      <c r="B640" t="inlineStr">
        <is>
          <t>none remains..</t>
        </is>
      </c>
      <c r="C640" t="n">
        <v>0</v>
      </c>
      <c r="D640" t="n">
        <v>0</v>
      </c>
      <c r="E640" t="n">
        <v>0</v>
      </c>
      <c r="F640" t="n">
        <v>0</v>
      </c>
      <c r="H640" t="n">
        <v>0</v>
      </c>
      <c r="I640" t="n">
        <v>0</v>
      </c>
      <c r="J640" t="n">
        <v>0</v>
      </c>
      <c r="K640" t="n">
        <v>0</v>
      </c>
      <c r="L640" t="n">
        <v>0</v>
      </c>
      <c r="M640" t="n">
        <v>0</v>
      </c>
      <c r="N640" t="n">
        <v>0</v>
      </c>
    </row>
    <row r="641">
      <c r="A641" t="inlineStr">
        <is>
          <t>stock</t>
        </is>
      </c>
      <c r="B641" t="inlineStr">
        <is>
          <t>lamb's-wool: 314 fleeces from lambs produced at the shearing this year.</t>
        </is>
      </c>
      <c r="C641" t="n">
        <v>0</v>
      </c>
      <c r="D641" t="n">
        <v>0</v>
      </c>
      <c r="E641" t="n">
        <v>0</v>
      </c>
      <c r="F641" t="n">
        <v>0</v>
      </c>
      <c r="H641" t="n">
        <v>0</v>
      </c>
      <c r="I641" t="n">
        <v>0</v>
      </c>
      <c r="J641" t="n">
        <v>0</v>
      </c>
      <c r="K641" t="n">
        <v>0</v>
      </c>
      <c r="L641" t="n">
        <v>0</v>
      </c>
      <c r="M641" t="n">
        <v>0</v>
      </c>
      <c r="N641" t="n">
        <v>0</v>
      </c>
    </row>
    <row r="642">
      <c r="A642" t="inlineStr">
        <is>
          <t>stock</t>
        </is>
      </c>
      <c r="B642" t="inlineStr">
        <is>
          <t>all sold within, weighing 13 cloves.</t>
        </is>
      </c>
      <c r="C642" t="n">
        <v>0</v>
      </c>
      <c r="D642" t="n">
        <v>0</v>
      </c>
      <c r="E642" t="n">
        <v>0</v>
      </c>
      <c r="F642" t="n">
        <v>0</v>
      </c>
      <c r="H642" t="n">
        <v>0</v>
      </c>
      <c r="I642" t="n">
        <v>0</v>
      </c>
      <c r="J642" t="n">
        <v>0</v>
      </c>
      <c r="K642" t="n">
        <v>0</v>
      </c>
      <c r="L642" t="n">
        <v>0</v>
      </c>
      <c r="M642" t="n">
        <v>0</v>
      </c>
      <c r="N642" t="n">
        <v>0</v>
      </c>
    </row>
    <row r="643">
      <c r="A643" t="inlineStr">
        <is>
          <t>stock</t>
        </is>
      </c>
      <c r="B643" t="inlineStr">
        <is>
          <t>none remains.</t>
        </is>
      </c>
      <c r="C643" t="n">
        <v>0</v>
      </c>
      <c r="D643" t="n">
        <v>0</v>
      </c>
      <c r="E643" t="n">
        <v>0</v>
      </c>
      <c r="F643" t="n">
        <v>0</v>
      </c>
      <c r="H643" t="n">
        <v>0</v>
      </c>
      <c r="I643" t="n">
        <v>0</v>
      </c>
      <c r="J643" t="n">
        <v>0</v>
      </c>
      <c r="K643" t="n">
        <v>0</v>
      </c>
      <c r="L643" t="n">
        <v>0</v>
      </c>
      <c r="M643" t="n">
        <v>0</v>
      </c>
      <c r="N643" t="n">
        <v>0</v>
      </c>
    </row>
    <row r="644">
      <c r="A644" t="inlineStr">
        <is>
          <t>stock</t>
        </is>
      </c>
      <c r="B644" t="inlineStr">
        <is>
          <t>wool locks: 6 lb imposed on the shepherds at the shearing this year.</t>
        </is>
      </c>
      <c r="C644" t="n">
        <v>0</v>
      </c>
      <c r="D644" t="n">
        <v>0</v>
      </c>
      <c r="E644" t="n">
        <v>0</v>
      </c>
      <c r="F644" t="n">
        <v>0</v>
      </c>
      <c r="H644" t="n">
        <v>0</v>
      </c>
      <c r="I644" t="n">
        <v>0</v>
      </c>
      <c r="J644" t="n">
        <v>0</v>
      </c>
      <c r="K644" t="n">
        <v>0</v>
      </c>
      <c r="L644" t="n">
        <v>0</v>
      </c>
      <c r="M644" t="n">
        <v>0</v>
      </c>
      <c r="N644" t="n">
        <v>0</v>
      </c>
    </row>
    <row r="645">
      <c r="A645" t="inlineStr">
        <is>
          <t>stock</t>
        </is>
      </c>
      <c r="B645" t="inlineStr">
        <is>
          <t>sold within.</t>
        </is>
      </c>
      <c r="C645" t="n">
        <v>0</v>
      </c>
      <c r="D645" t="n">
        <v>0</v>
      </c>
      <c r="E645" t="n">
        <v>0</v>
      </c>
      <c r="F645" t="n">
        <v>0</v>
      </c>
      <c r="H645" t="n">
        <v>0</v>
      </c>
      <c r="I645" t="n">
        <v>0</v>
      </c>
      <c r="J645" t="n">
        <v>0</v>
      </c>
      <c r="K645" t="n">
        <v>0</v>
      </c>
      <c r="L645" t="n">
        <v>0</v>
      </c>
      <c r="M645" t="n">
        <v>0</v>
      </c>
      <c r="N645" t="n">
        <v>0</v>
      </c>
    </row>
    <row r="646">
      <c r="A646" t="inlineStr">
        <is>
          <t>stock</t>
        </is>
      </c>
      <c r="B646" t="inlineStr">
        <is>
          <t>none remain.</t>
        </is>
      </c>
      <c r="C646" t="n">
        <v>0</v>
      </c>
      <c r="D646" t="n">
        <v>0</v>
      </c>
      <c r="E646" t="n">
        <v>0</v>
      </c>
      <c r="F646" t="n">
        <v>0</v>
      </c>
      <c r="H646" t="n">
        <v>0</v>
      </c>
      <c r="I646" t="n">
        <v>0</v>
      </c>
      <c r="J646" t="n">
        <v>0</v>
      </c>
      <c r="K646" t="n">
        <v>0</v>
      </c>
      <c r="L646" t="n">
        <v>0</v>
      </c>
      <c r="M646" t="n">
        <v>0</v>
      </c>
      <c r="N646" t="n">
        <v>0</v>
      </c>
    </row>
    <row r="647">
      <c r="A647" t="inlineStr">
        <is>
          <t>stock</t>
        </is>
      </c>
      <c r="B647" t="inlineStr">
        <is>
          <t>hides: 1 from an ox in murrain as made clear above.</t>
        </is>
      </c>
      <c r="C647" t="n">
        <v>0</v>
      </c>
      <c r="D647" t="n">
        <v>0</v>
      </c>
      <c r="E647" t="n">
        <v>0</v>
      </c>
      <c r="F647" t="n">
        <v>0</v>
      </c>
      <c r="H647" t="n">
        <v>0</v>
      </c>
      <c r="I647" t="n">
        <v>0</v>
      </c>
      <c r="J647" t="n">
        <v>0</v>
      </c>
      <c r="K647" t="n">
        <v>0</v>
      </c>
      <c r="L647" t="n">
        <v>0</v>
      </c>
      <c r="M647" t="n">
        <v>0</v>
      </c>
      <c r="N647" t="n">
        <v>0</v>
      </c>
    </row>
    <row r="648">
      <c r="A648" t="inlineStr">
        <is>
          <t>stock</t>
        </is>
      </c>
      <c r="B648" t="inlineStr">
        <is>
          <t>sold within.</t>
        </is>
      </c>
      <c r="C648" t="n">
        <v>0</v>
      </c>
      <c r="D648" t="n">
        <v>0</v>
      </c>
      <c r="E648" t="n">
        <v>0</v>
      </c>
      <c r="F648" t="n">
        <v>0</v>
      </c>
      <c r="H648" t="n">
        <v>0</v>
      </c>
      <c r="I648" t="n">
        <v>0</v>
      </c>
      <c r="J648" t="n">
        <v>0</v>
      </c>
      <c r="K648" t="n">
        <v>0</v>
      </c>
      <c r="L648" t="n">
        <v>0</v>
      </c>
      <c r="M648" t="n">
        <v>0</v>
      </c>
      <c r="N648" t="n">
        <v>0</v>
      </c>
    </row>
    <row r="649">
      <c r="A649" t="inlineStr">
        <is>
          <t>stock</t>
        </is>
      </c>
      <c r="B649" t="inlineStr">
        <is>
          <t>none remain..</t>
        </is>
      </c>
      <c r="C649" t="n">
        <v>0</v>
      </c>
      <c r="D649" t="n">
        <v>0</v>
      </c>
      <c r="E649" t="n">
        <v>0</v>
      </c>
      <c r="F649" t="n">
        <v>0</v>
      </c>
      <c r="H649" t="n">
        <v>0</v>
      </c>
      <c r="I649" t="n">
        <v>0</v>
      </c>
      <c r="J649" t="n">
        <v>0</v>
      </c>
      <c r="K649" t="n">
        <v>0</v>
      </c>
      <c r="L649" t="n">
        <v>0</v>
      </c>
      <c r="M649" t="n">
        <v>0</v>
      </c>
      <c r="N649" t="n">
        <v>0</v>
      </c>
    </row>
    <row r="650">
      <c r="A650" t="inlineStr">
        <is>
          <t>stock</t>
        </is>
      </c>
      <c r="B650" t="inlineStr">
        <is>
          <t>woolskins: 30 from wethers, 3 from rams, 37 from ewes and 30 from hoggs in murrain before shearing as made clear above.</t>
        </is>
      </c>
      <c r="C650" t="n">
        <v>0</v>
      </c>
      <c r="D650" t="n">
        <v>0</v>
      </c>
      <c r="E650" t="n">
        <v>0</v>
      </c>
      <c r="F650" t="n">
        <v>0</v>
      </c>
      <c r="H650" t="n">
        <v>0</v>
      </c>
      <c r="I650" t="n">
        <v>0</v>
      </c>
      <c r="J650" t="n">
        <v>0</v>
      </c>
      <c r="K650" t="n">
        <v>0</v>
      </c>
      <c r="L650" t="n">
        <v>0</v>
      </c>
      <c r="M650" t="n">
        <v>0</v>
      </c>
      <c r="N650" t="n">
        <v>0</v>
      </c>
    </row>
    <row r="651">
      <c r="A651" t="inlineStr">
        <is>
          <t>stock</t>
        </is>
      </c>
      <c r="B651" t="inlineStr">
        <is>
          <t>total, 100. 10 in tithe.</t>
        </is>
      </c>
      <c r="C651" t="n">
        <v>0</v>
      </c>
      <c r="D651" t="n">
        <v>0</v>
      </c>
      <c r="E651" t="n">
        <v>0</v>
      </c>
      <c r="F651" t="n">
        <v>0</v>
      </c>
      <c r="H651" t="n">
        <v>0</v>
      </c>
      <c r="I651" t="n">
        <v>0</v>
      </c>
      <c r="J651" t="n">
        <v>0</v>
      </c>
      <c r="K651" t="n">
        <v>0</v>
      </c>
      <c r="L651" t="n">
        <v>0</v>
      </c>
      <c r="M651" t="n">
        <v>0</v>
      </c>
      <c r="N651" t="n">
        <v>0</v>
      </c>
    </row>
    <row r="652">
      <c r="A652" t="inlineStr">
        <is>
          <t>stock</t>
        </is>
      </c>
      <c r="B652" t="inlineStr">
        <is>
          <t>80 sold.</t>
        </is>
      </c>
      <c r="C652" t="n">
        <v>0</v>
      </c>
      <c r="D652" t="n">
        <v>0</v>
      </c>
      <c r="E652" t="n">
        <v>0</v>
      </c>
      <c r="F652" t="n">
        <v>0</v>
      </c>
      <c r="H652" t="n">
        <v>0</v>
      </c>
      <c r="I652" t="n">
        <v>0</v>
      </c>
      <c r="J652" t="n">
        <v>0</v>
      </c>
      <c r="K652" t="n">
        <v>0</v>
      </c>
      <c r="L652" t="n">
        <v>0</v>
      </c>
      <c r="M652" t="n">
        <v>0</v>
      </c>
      <c r="N652" t="n">
        <v>0</v>
      </c>
    </row>
    <row r="653">
      <c r="A653" t="inlineStr">
        <is>
          <t>stock</t>
        </is>
      </c>
      <c r="B653" t="inlineStr">
        <is>
          <t>10 sold at the audit for 1 shilling 8pence.</t>
        </is>
      </c>
      <c r="C653" t="n">
        <v>0.08</v>
      </c>
      <c r="D653" t="n">
        <v>0</v>
      </c>
      <c r="E653" t="n">
        <v>1</v>
      </c>
      <c r="F653" t="n">
        <v>8</v>
      </c>
      <c r="H653" t="n">
        <v>0</v>
      </c>
      <c r="I653" t="n">
        <v>0</v>
      </c>
      <c r="J653" t="n">
        <v>0</v>
      </c>
      <c r="K653" t="n">
        <v>0</v>
      </c>
      <c r="L653" t="n">
        <v>0</v>
      </c>
      <c r="M653" t="n">
        <v>0</v>
      </c>
      <c r="N653" t="n">
        <v>0</v>
      </c>
    </row>
    <row r="654">
      <c r="A654" t="inlineStr">
        <is>
          <t>stock</t>
        </is>
      </c>
      <c r="B654" t="inlineStr">
        <is>
          <t>total as before.</t>
        </is>
      </c>
      <c r="C654" t="n">
        <v>0</v>
      </c>
      <c r="D654" t="n">
        <v>0</v>
      </c>
      <c r="E654" t="n">
        <v>0</v>
      </c>
      <c r="F654" t="n">
        <v>0</v>
      </c>
      <c r="H654" t="n">
        <v>0</v>
      </c>
      <c r="I654" t="n">
        <v>0</v>
      </c>
      <c r="J654" t="n">
        <v>0</v>
      </c>
      <c r="K654" t="n">
        <v>0</v>
      </c>
      <c r="L654" t="n">
        <v>0</v>
      </c>
      <c r="M654" t="n">
        <v>0</v>
      </c>
      <c r="N654" t="n">
        <v>0</v>
      </c>
    </row>
    <row r="655">
      <c r="A655" t="inlineStr">
        <is>
          <t>stock</t>
        </is>
      </c>
      <c r="B655" t="inlineStr">
        <is>
          <t>none remain.</t>
        </is>
      </c>
      <c r="C655" t="n">
        <v>0</v>
      </c>
      <c r="D655" t="n">
        <v>0</v>
      </c>
      <c r="E655" t="n">
        <v>0</v>
      </c>
      <c r="F655" t="n">
        <v>0</v>
      </c>
      <c r="H655" t="n">
        <v>0</v>
      </c>
      <c r="I655" t="n">
        <v>0</v>
      </c>
      <c r="J655" t="n">
        <v>0</v>
      </c>
      <c r="K655" t="n">
        <v>0</v>
      </c>
      <c r="L655" t="n">
        <v>0</v>
      </c>
      <c r="M655" t="n">
        <v>0</v>
      </c>
      <c r="N655" t="n">
        <v>0</v>
      </c>
    </row>
    <row r="656">
      <c r="A656" t="inlineStr">
        <is>
          <t>stock</t>
        </is>
      </c>
      <c r="B656" t="inlineStr">
        <is>
          <t>bare skins: 19 from wethers and 12 from ewes in murrain after shearing as made clear above.</t>
        </is>
      </c>
      <c r="C656" t="n">
        <v>0</v>
      </c>
      <c r="D656" t="n">
        <v>0</v>
      </c>
      <c r="E656" t="n">
        <v>0</v>
      </c>
      <c r="F656" t="n">
        <v>0</v>
      </c>
      <c r="H656" t="n">
        <v>0</v>
      </c>
      <c r="I656" t="n">
        <v>0</v>
      </c>
      <c r="J656" t="n">
        <v>0</v>
      </c>
      <c r="K656" t="n">
        <v>0</v>
      </c>
      <c r="L656" t="n">
        <v>0</v>
      </c>
      <c r="M656" t="n">
        <v>0</v>
      </c>
      <c r="N656" t="n">
        <v>0</v>
      </c>
    </row>
    <row r="657">
      <c r="A657" t="inlineStr">
        <is>
          <t>stock</t>
        </is>
      </c>
      <c r="B657" t="inlineStr">
        <is>
          <t>total, 31. sold within.</t>
        </is>
      </c>
      <c r="C657" t="n">
        <v>0</v>
      </c>
      <c r="D657" t="n">
        <v>0</v>
      </c>
      <c r="E657" t="n">
        <v>0</v>
      </c>
      <c r="F657" t="n">
        <v>0</v>
      </c>
      <c r="H657" t="n">
        <v>0</v>
      </c>
      <c r="I657" t="n">
        <v>0</v>
      </c>
      <c r="J657" t="n">
        <v>0</v>
      </c>
      <c r="K657" t="n">
        <v>0</v>
      </c>
      <c r="L657" t="n">
        <v>0</v>
      </c>
      <c r="M657" t="n">
        <v>0</v>
      </c>
      <c r="N657" t="n">
        <v>0</v>
      </c>
    </row>
    <row r="658">
      <c r="A658" t="inlineStr">
        <is>
          <t>stock</t>
        </is>
      </c>
      <c r="B658" t="inlineStr">
        <is>
          <t>none remain.</t>
        </is>
      </c>
      <c r="C658" t="n">
        <v>0</v>
      </c>
      <c r="D658" t="n">
        <v>0</v>
      </c>
      <c r="E658" t="n">
        <v>0</v>
      </c>
      <c r="F658" t="n">
        <v>0</v>
      </c>
      <c r="H658" t="n">
        <v>0</v>
      </c>
      <c r="I658" t="n">
        <v>0</v>
      </c>
      <c r="J658" t="n">
        <v>0</v>
      </c>
      <c r="K658" t="n">
        <v>0</v>
      </c>
      <c r="L658" t="n">
        <v>0</v>
      </c>
      <c r="M658" t="n">
        <v>0</v>
      </c>
      <c r="N658" t="n">
        <v>0</v>
      </c>
    </row>
    <row r="659">
      <c r="A659" t="inlineStr">
        <is>
          <t>stock</t>
        </is>
      </c>
      <c r="B659" t="inlineStr">
        <is>
          <t>lambskins: 62 from lambs in murrain before weaning as made clear above.</t>
        </is>
      </c>
      <c r="C659" t="n">
        <v>0</v>
      </c>
      <c r="D659" t="n">
        <v>0</v>
      </c>
      <c r="E659" t="n">
        <v>0</v>
      </c>
      <c r="F659" t="n">
        <v>0</v>
      </c>
      <c r="H659" t="n">
        <v>0</v>
      </c>
      <c r="I659" t="n">
        <v>0</v>
      </c>
      <c r="J659" t="n">
        <v>0</v>
      </c>
      <c r="K659" t="n">
        <v>0</v>
      </c>
      <c r="L659" t="n">
        <v>0</v>
      </c>
      <c r="M659" t="n">
        <v>0</v>
      </c>
      <c r="N659" t="n">
        <v>0</v>
      </c>
    </row>
    <row r="660">
      <c r="A660" t="inlineStr">
        <is>
          <t>stock</t>
        </is>
      </c>
      <c r="B660" t="inlineStr">
        <is>
          <t>total, 62. 6 in tithe.</t>
        </is>
      </c>
      <c r="C660" t="n">
        <v>0</v>
      </c>
      <c r="D660" t="n">
        <v>0</v>
      </c>
      <c r="E660" t="n">
        <v>0</v>
      </c>
      <c r="F660" t="n">
        <v>0</v>
      </c>
      <c r="H660" t="n">
        <v>0</v>
      </c>
      <c r="I660" t="n">
        <v>0</v>
      </c>
      <c r="J660" t="n">
        <v>0</v>
      </c>
      <c r="K660" t="n">
        <v>0</v>
      </c>
      <c r="L660" t="n">
        <v>0</v>
      </c>
      <c r="M660" t="n">
        <v>0</v>
      </c>
      <c r="N660" t="n">
        <v>0</v>
      </c>
    </row>
    <row r="661">
      <c r="A661" t="inlineStr">
        <is>
          <t>stock</t>
        </is>
      </c>
      <c r="B661" t="inlineStr">
        <is>
          <t>56 sold within.</t>
        </is>
      </c>
      <c r="C661" t="n">
        <v>0</v>
      </c>
      <c r="D661" t="n">
        <v>0</v>
      </c>
      <c r="E661" t="n">
        <v>0</v>
      </c>
      <c r="F661" t="n">
        <v>0</v>
      </c>
      <c r="H661" t="n">
        <v>0</v>
      </c>
      <c r="I661" t="n">
        <v>0</v>
      </c>
      <c r="J661" t="n">
        <v>0</v>
      </c>
      <c r="K661" t="n">
        <v>0</v>
      </c>
      <c r="L661" t="n">
        <v>0</v>
      </c>
      <c r="M661" t="n">
        <v>0</v>
      </c>
      <c r="N661" t="n">
        <v>0</v>
      </c>
    </row>
    <row r="662">
      <c r="A662" t="inlineStr">
        <is>
          <t>stock</t>
        </is>
      </c>
      <c r="B662" t="inlineStr">
        <is>
          <t>total as before.</t>
        </is>
      </c>
      <c r="C662" t="n">
        <v>0</v>
      </c>
      <c r="D662" t="n">
        <v>0</v>
      </c>
      <c r="E662" t="n">
        <v>0</v>
      </c>
      <c r="F662" t="n">
        <v>0</v>
      </c>
      <c r="H662" t="n">
        <v>0</v>
      </c>
      <c r="I662" t="n">
        <v>0</v>
      </c>
      <c r="J662" t="n">
        <v>0</v>
      </c>
      <c r="K662" t="n">
        <v>0</v>
      </c>
      <c r="L662" t="n">
        <v>0</v>
      </c>
      <c r="M662" t="n">
        <v>0</v>
      </c>
      <c r="N662" t="n">
        <v>0</v>
      </c>
    </row>
    <row r="663">
      <c r="A663" t="inlineStr">
        <is>
          <t>stock</t>
        </is>
      </c>
      <c r="B663" t="inlineStr">
        <is>
          <t>none remain.</t>
        </is>
      </c>
      <c r="C663" t="n">
        <v>0</v>
      </c>
      <c r="D663" t="n">
        <v>0</v>
      </c>
      <c r="E663" t="n">
        <v>0</v>
      </c>
      <c r="F663" t="n">
        <v>0</v>
      </c>
      <c r="H663" t="n">
        <v>0</v>
      </c>
      <c r="I663" t="n">
        <v>0</v>
      </c>
      <c r="J663" t="n">
        <v>0</v>
      </c>
      <c r="K663" t="n">
        <v>0</v>
      </c>
      <c r="L663" t="n">
        <v>0</v>
      </c>
      <c r="M663" t="n">
        <v>0</v>
      </c>
      <c r="N663" t="n">
        <v>0</v>
      </c>
    </row>
    <row r="664">
      <c r="A664" t="inlineStr">
        <is>
          <t>stock</t>
        </is>
      </c>
      <c r="B664" t="inlineStr">
        <is>
          <t>rotted skins: 7 from lambs in murrain after weaning and before shearing as made clear above.</t>
        </is>
      </c>
      <c r="C664" t="n">
        <v>0</v>
      </c>
      <c r="D664" t="n">
        <v>0</v>
      </c>
      <c r="E664" t="n">
        <v>0</v>
      </c>
      <c r="F664" t="n">
        <v>0</v>
      </c>
      <c r="H664" t="n">
        <v>0</v>
      </c>
      <c r="I664" t="n">
        <v>0</v>
      </c>
      <c r="J664" t="n">
        <v>0</v>
      </c>
      <c r="K664" t="n">
        <v>0</v>
      </c>
      <c r="L664" t="n">
        <v>0</v>
      </c>
      <c r="M664" t="n">
        <v>0</v>
      </c>
      <c r="N664" t="n">
        <v>0</v>
      </c>
    </row>
    <row r="665">
      <c r="A665" t="inlineStr">
        <is>
          <t>stock</t>
        </is>
      </c>
      <c r="B665" t="inlineStr">
        <is>
          <t>sold within.</t>
        </is>
      </c>
      <c r="C665" t="n">
        <v>0</v>
      </c>
      <c r="D665" t="n">
        <v>0</v>
      </c>
      <c r="E665" t="n">
        <v>0</v>
      </c>
      <c r="F665" t="n">
        <v>0</v>
      </c>
      <c r="H665" t="n">
        <v>0</v>
      </c>
      <c r="I665" t="n">
        <v>0</v>
      </c>
      <c r="J665" t="n">
        <v>0</v>
      </c>
      <c r="K665" t="n">
        <v>0</v>
      </c>
      <c r="L665" t="n">
        <v>0</v>
      </c>
      <c r="M665" t="n">
        <v>0</v>
      </c>
      <c r="N665" t="n">
        <v>0</v>
      </c>
    </row>
    <row r="666">
      <c r="A666" t="inlineStr">
        <is>
          <t>stock</t>
        </is>
      </c>
      <c r="B666" t="inlineStr">
        <is>
          <t>none remain.</t>
        </is>
      </c>
      <c r="C666" t="n">
        <v>0</v>
      </c>
      <c r="D666" t="n">
        <v>0</v>
      </c>
      <c r="E666" t="n">
        <v>0</v>
      </c>
      <c r="F666" t="n">
        <v>0</v>
      </c>
      <c r="H666" t="n">
        <v>0</v>
      </c>
      <c r="I666" t="n">
        <v>0</v>
      </c>
      <c r="J666" t="n">
        <v>0</v>
      </c>
      <c r="K666" t="n">
        <v>0</v>
      </c>
      <c r="L666" t="n">
        <v>0</v>
      </c>
      <c r="M666" t="n">
        <v>0</v>
      </c>
      <c r="N666" t="n">
        <v>0</v>
      </c>
    </row>
    <row r="667">
      <c r="A667" t="inlineStr">
        <is>
          <t>stock</t>
        </is>
      </c>
      <c r="B667" t="inlineStr">
        <is>
          <t>shorn skins: 12 from lambs in murrain after shearing as made clear above.</t>
        </is>
      </c>
      <c r="C667" t="n">
        <v>0</v>
      </c>
      <c r="D667" t="n">
        <v>0</v>
      </c>
      <c r="E667" t="n">
        <v>0</v>
      </c>
      <c r="F667" t="n">
        <v>0</v>
      </c>
      <c r="H667" t="n">
        <v>0</v>
      </c>
      <c r="I667" t="n">
        <v>0</v>
      </c>
      <c r="J667" t="n">
        <v>0</v>
      </c>
      <c r="K667" t="n">
        <v>0</v>
      </c>
      <c r="L667" t="n">
        <v>0</v>
      </c>
      <c r="M667" t="n">
        <v>0</v>
      </c>
      <c r="N667" t="n">
        <v>0</v>
      </c>
    </row>
    <row r="668">
      <c r="A668" t="inlineStr">
        <is>
          <t>stock</t>
        </is>
      </c>
      <c r="B668" t="inlineStr">
        <is>
          <t>sold within.</t>
        </is>
      </c>
      <c r="C668" t="n">
        <v>0</v>
      </c>
      <c r="D668" t="n">
        <v>0</v>
      </c>
      <c r="E668" t="n">
        <v>0</v>
      </c>
      <c r="F668" t="n">
        <v>0</v>
      </c>
      <c r="H668" t="n">
        <v>0</v>
      </c>
      <c r="I668" t="n">
        <v>0</v>
      </c>
      <c r="J668" t="n">
        <v>0</v>
      </c>
      <c r="K668" t="n">
        <v>0</v>
      </c>
      <c r="L668" t="n">
        <v>0</v>
      </c>
      <c r="M668" t="n">
        <v>0</v>
      </c>
      <c r="N668" t="n">
        <v>0</v>
      </c>
    </row>
    <row r="669">
      <c r="A669" t="inlineStr">
        <is>
          <t>stock</t>
        </is>
      </c>
      <c r="B669" t="inlineStr">
        <is>
          <t>none remain.</t>
        </is>
      </c>
      <c r="C669" t="n">
        <v>0</v>
      </c>
      <c r="D669" t="n">
        <v>0</v>
      </c>
      <c r="E669" t="n">
        <v>0</v>
      </c>
      <c r="F669" t="n">
        <v>0</v>
      </c>
      <c r="H669" t="n">
        <v>0</v>
      </c>
      <c r="I669" t="n">
        <v>0</v>
      </c>
      <c r="J669" t="n">
        <v>0</v>
      </c>
      <c r="K669" t="n">
        <v>0</v>
      </c>
      <c r="L669" t="n">
        <v>0</v>
      </c>
      <c r="M669" t="n">
        <v>0</v>
      </c>
      <c r="N669" t="n">
        <v>0</v>
      </c>
    </row>
    <row r="670">
      <c r="A670" t="inlineStr">
        <is>
          <t>stock</t>
        </is>
      </c>
      <c r="B670" t="inlineStr">
        <is>
          <t>geese: 1 gander and 4 breeding geese remain.</t>
        </is>
      </c>
      <c r="C670" t="n">
        <v>0</v>
      </c>
      <c r="D670" t="n">
        <v>0</v>
      </c>
      <c r="E670" t="n">
        <v>0</v>
      </c>
      <c r="F670" t="n">
        <v>0</v>
      </c>
      <c r="H670" t="n">
        <v>0</v>
      </c>
      <c r="I670" t="n">
        <v>0</v>
      </c>
      <c r="J670" t="n">
        <v>0</v>
      </c>
      <c r="K670" t="n">
        <v>0</v>
      </c>
      <c r="L670" t="n">
        <v>0</v>
      </c>
      <c r="M670" t="n">
        <v>0</v>
      </c>
      <c r="N670" t="n">
        <v>0</v>
      </c>
    </row>
    <row r="671">
      <c r="A671" t="inlineStr">
        <is>
          <t>stock</t>
        </is>
      </c>
      <c r="B671" t="inlineStr">
        <is>
          <t>24 offspring.</t>
        </is>
      </c>
      <c r="C671" t="n">
        <v>0</v>
      </c>
      <c r="D671" t="n">
        <v>0</v>
      </c>
      <c r="E671" t="n">
        <v>0</v>
      </c>
      <c r="F671" t="n">
        <v>0</v>
      </c>
      <c r="H671" t="n">
        <v>0</v>
      </c>
      <c r="I671" t="n">
        <v>0</v>
      </c>
      <c r="J671" t="n">
        <v>0</v>
      </c>
      <c r="K671" t="n">
        <v>0</v>
      </c>
      <c r="L671" t="n">
        <v>0</v>
      </c>
      <c r="M671" t="n">
        <v>0</v>
      </c>
      <c r="N671" t="n">
        <v>0</v>
      </c>
    </row>
    <row r="672">
      <c r="A672" t="inlineStr">
        <is>
          <t>stock</t>
        </is>
      </c>
      <c r="B672" t="inlineStr">
        <is>
          <t>total, 29. 2 in tithe.</t>
        </is>
      </c>
      <c r="C672" t="n">
        <v>0</v>
      </c>
      <c r="D672" t="n">
        <v>0</v>
      </c>
      <c r="E672" t="n">
        <v>0</v>
      </c>
      <c r="F672" t="n">
        <v>0</v>
      </c>
      <c r="H672" t="n">
        <v>0</v>
      </c>
      <c r="I672" t="n">
        <v>0</v>
      </c>
      <c r="J672" t="n">
        <v>0</v>
      </c>
      <c r="K672" t="n">
        <v>0</v>
      </c>
      <c r="L672" t="n">
        <v>0</v>
      </c>
      <c r="M672" t="n">
        <v>0</v>
      </c>
      <c r="N672" t="n">
        <v>0</v>
      </c>
    </row>
    <row r="673">
      <c r="A673" t="inlineStr">
        <is>
          <t>stock</t>
        </is>
      </c>
      <c r="B673" t="inlineStr">
        <is>
          <t>22 sold within.</t>
        </is>
      </c>
      <c r="C673" t="n">
        <v>0</v>
      </c>
      <c r="D673" t="n">
        <v>0</v>
      </c>
      <c r="E673" t="n">
        <v>0</v>
      </c>
      <c r="F673" t="n">
        <v>0</v>
      </c>
      <c r="H673" t="n">
        <v>0</v>
      </c>
      <c r="I673" t="n">
        <v>0</v>
      </c>
      <c r="J673" t="n">
        <v>0</v>
      </c>
      <c r="K673" t="n">
        <v>0</v>
      </c>
      <c r="L673" t="n">
        <v>0</v>
      </c>
      <c r="M673" t="n">
        <v>0</v>
      </c>
      <c r="N673" t="n">
        <v>0</v>
      </c>
    </row>
    <row r="674">
      <c r="A674" t="inlineStr">
        <is>
          <t>stock</t>
        </is>
      </c>
      <c r="B674" t="inlineStr">
        <is>
          <t>total, 24. 1 gander and 4 breeding geese remain.</t>
        </is>
      </c>
      <c r="C674" t="n">
        <v>0</v>
      </c>
      <c r="D674" t="n">
        <v>0</v>
      </c>
      <c r="E674" t="n">
        <v>0</v>
      </c>
      <c r="F674" t="n">
        <v>0</v>
      </c>
      <c r="H674" t="n">
        <v>0</v>
      </c>
      <c r="I674" t="n">
        <v>0</v>
      </c>
      <c r="J674" t="n">
        <v>0</v>
      </c>
      <c r="K674" t="n">
        <v>0</v>
      </c>
      <c r="L674" t="n">
        <v>0</v>
      </c>
      <c r="M674" t="n">
        <v>0</v>
      </c>
      <c r="N674" t="n">
        <v>0</v>
      </c>
    </row>
    <row r="675">
      <c r="A675" t="inlineStr">
        <is>
          <t>stock</t>
        </is>
      </c>
      <c r="B675" t="inlineStr">
        <is>
          <t>capons: 24 remain.</t>
        </is>
      </c>
      <c r="C675" t="n">
        <v>0</v>
      </c>
      <c r="D675" t="n">
        <v>0</v>
      </c>
      <c r="E675" t="n">
        <v>0</v>
      </c>
      <c r="F675" t="n">
        <v>0</v>
      </c>
      <c r="H675" t="n">
        <v>0</v>
      </c>
      <c r="I675" t="n">
        <v>0</v>
      </c>
      <c r="J675" t="n">
        <v>0</v>
      </c>
      <c r="K675" t="n">
        <v>0</v>
      </c>
      <c r="L675" t="n">
        <v>0</v>
      </c>
      <c r="M675" t="n">
        <v>0</v>
      </c>
      <c r="N675" t="n">
        <v>0</v>
      </c>
    </row>
    <row r="676">
      <c r="A676" t="inlineStr">
        <is>
          <t>stock</t>
        </is>
      </c>
      <c r="B676" t="inlineStr">
        <is>
          <t>24 made from the chickens below.</t>
        </is>
      </c>
      <c r="C676" t="n">
        <v>0</v>
      </c>
      <c r="D676" t="n">
        <v>0</v>
      </c>
      <c r="E676" t="n">
        <v>0</v>
      </c>
      <c r="F676" t="n">
        <v>0</v>
      </c>
      <c r="H676" t="n">
        <v>0</v>
      </c>
      <c r="I676" t="n">
        <v>0</v>
      </c>
      <c r="J676" t="n">
        <v>0</v>
      </c>
      <c r="K676" t="n">
        <v>0</v>
      </c>
      <c r="L676" t="n">
        <v>0</v>
      </c>
      <c r="M676" t="n">
        <v>0</v>
      </c>
      <c r="N676" t="n">
        <v>0</v>
      </c>
    </row>
    <row r="677">
      <c r="A677" t="inlineStr">
        <is>
          <t>stock</t>
        </is>
      </c>
      <c r="B677" t="inlineStr">
        <is>
          <t>total, 48. 24 sold within.</t>
        </is>
      </c>
      <c r="C677" t="n">
        <v>0</v>
      </c>
      <c r="D677" t="n">
        <v>0</v>
      </c>
      <c r="E677" t="n">
        <v>0</v>
      </c>
      <c r="F677" t="n">
        <v>0</v>
      </c>
      <c r="H677" t="n">
        <v>0</v>
      </c>
      <c r="I677" t="n">
        <v>0</v>
      </c>
      <c r="J677" t="n">
        <v>0</v>
      </c>
      <c r="K677" t="n">
        <v>0</v>
      </c>
      <c r="L677" t="n">
        <v>0</v>
      </c>
      <c r="M677" t="n">
        <v>0</v>
      </c>
      <c r="N677" t="n">
        <v>0</v>
      </c>
    </row>
    <row r="678">
      <c r="A678" t="inlineStr">
        <is>
          <t>stock</t>
        </is>
      </c>
      <c r="B678" t="inlineStr">
        <is>
          <t>total, 24. 24 remain.</t>
        </is>
      </c>
      <c r="C678" t="n">
        <v>0</v>
      </c>
      <c r="D678" t="n">
        <v>0</v>
      </c>
      <c r="E678" t="n">
        <v>0</v>
      </c>
      <c r="F678" t="n">
        <v>0</v>
      </c>
      <c r="H678" t="n">
        <v>0</v>
      </c>
      <c r="I678" t="n">
        <v>0</v>
      </c>
      <c r="J678" t="n">
        <v>0</v>
      </c>
      <c r="K678" t="n">
        <v>0</v>
      </c>
      <c r="L678" t="n">
        <v>0</v>
      </c>
      <c r="M678" t="n">
        <v>0</v>
      </c>
      <c r="N678" t="n">
        <v>0</v>
      </c>
    </row>
    <row r="679">
      <c r="A679" t="inlineStr">
        <is>
          <t>stock</t>
        </is>
      </c>
      <c r="B679" t="inlineStr">
        <is>
          <t>cocks and hens: 1 cock and 5 hens remain.</t>
        </is>
      </c>
      <c r="C679" t="n">
        <v>0</v>
      </c>
      <c r="D679" t="n">
        <v>0</v>
      </c>
      <c r="E679" t="n">
        <v>0</v>
      </c>
      <c r="F679" t="n">
        <v>0</v>
      </c>
      <c r="H679" t="n">
        <v>0</v>
      </c>
      <c r="I679" t="n">
        <v>0</v>
      </c>
      <c r="J679" t="n">
        <v>0</v>
      </c>
      <c r="K679" t="n">
        <v>0</v>
      </c>
      <c r="L679" t="n">
        <v>0</v>
      </c>
      <c r="M679" t="n">
        <v>0</v>
      </c>
      <c r="N679" t="n">
        <v>0</v>
      </c>
    </row>
    <row r="680">
      <c r="A680" t="inlineStr">
        <is>
          <t>stock</t>
        </is>
      </c>
      <c r="B680" t="inlineStr">
        <is>
          <t>chickens: 24 from the offspring of the hens.</t>
        </is>
      </c>
      <c r="C680" t="n">
        <v>0</v>
      </c>
      <c r="D680" t="n">
        <v>0</v>
      </c>
      <c r="E680" t="n">
        <v>0</v>
      </c>
      <c r="F680" t="n">
        <v>0</v>
      </c>
      <c r="H680" t="n">
        <v>0</v>
      </c>
      <c r="I680" t="n">
        <v>0</v>
      </c>
      <c r="J680" t="n">
        <v>0</v>
      </c>
      <c r="K680" t="n">
        <v>0</v>
      </c>
      <c r="L680" t="n">
        <v>0</v>
      </c>
      <c r="M680" t="n">
        <v>0</v>
      </c>
      <c r="N680" t="n">
        <v>0</v>
      </c>
    </row>
    <row r="681">
      <c r="A681" t="inlineStr">
        <is>
          <t>stock</t>
        </is>
      </c>
      <c r="B681" t="inlineStr">
        <is>
          <t>all turned into capons above.</t>
        </is>
      </c>
      <c r="C681" t="n">
        <v>0</v>
      </c>
      <c r="D681" t="n">
        <v>0</v>
      </c>
      <c r="E681" t="n">
        <v>0</v>
      </c>
      <c r="F681" t="n">
        <v>0</v>
      </c>
      <c r="H681" t="n">
        <v>0</v>
      </c>
      <c r="I681" t="n">
        <v>0</v>
      </c>
      <c r="J681" t="n">
        <v>0</v>
      </c>
      <c r="K681" t="n">
        <v>0</v>
      </c>
      <c r="L681" t="n">
        <v>0</v>
      </c>
      <c r="M681" t="n">
        <v>0</v>
      </c>
      <c r="N681" t="n">
        <v>0</v>
      </c>
    </row>
    <row r="682">
      <c r="A682" t="inlineStr">
        <is>
          <t>stock</t>
        </is>
      </c>
      <c r="B682" t="inlineStr">
        <is>
          <t>none remain.</t>
        </is>
      </c>
      <c r="C682" t="n">
        <v>0</v>
      </c>
      <c r="D682" t="n">
        <v>0</v>
      </c>
      <c r="E682" t="n">
        <v>0</v>
      </c>
      <c r="F682" t="n">
        <v>0</v>
      </c>
      <c r="H682" t="n">
        <v>0</v>
      </c>
      <c r="I682" t="n">
        <v>0</v>
      </c>
      <c r="J682" t="n">
        <v>0</v>
      </c>
      <c r="K682" t="n">
        <v>0</v>
      </c>
      <c r="L682" t="n">
        <v>0</v>
      </c>
      <c r="M682" t="n">
        <v>0</v>
      </c>
      <c r="N682" t="n">
        <v>0</v>
      </c>
    </row>
    <row r="683">
      <c r="A683" t="inlineStr">
        <is>
          <t>stock</t>
        </is>
      </c>
      <c r="B683" t="inlineStr">
        <is>
          <t>eggs: 200 produced by the hens.</t>
        </is>
      </c>
      <c r="C683" t="n">
        <v>0</v>
      </c>
      <c r="D683" t="n">
        <v>0</v>
      </c>
      <c r="E683" t="n">
        <v>0</v>
      </c>
      <c r="F683" t="n">
        <v>0</v>
      </c>
      <c r="H683" t="n">
        <v>0</v>
      </c>
      <c r="I683" t="n">
        <v>0</v>
      </c>
      <c r="J683" t="n">
        <v>0</v>
      </c>
      <c r="K683" t="n">
        <v>0</v>
      </c>
      <c r="L683" t="n">
        <v>0</v>
      </c>
      <c r="M683" t="n">
        <v>0</v>
      </c>
      <c r="N683" t="n">
        <v>0</v>
      </c>
    </row>
    <row r="684">
      <c r="A684" t="inlineStr">
        <is>
          <t>stock</t>
        </is>
      </c>
      <c r="B684" t="inlineStr">
        <is>
          <t>sold within.</t>
        </is>
      </c>
      <c r="C684" t="n">
        <v>0</v>
      </c>
      <c r="D684" t="n">
        <v>0</v>
      </c>
      <c r="E684" t="n">
        <v>0</v>
      </c>
      <c r="F684" t="n">
        <v>0</v>
      </c>
      <c r="H684" t="n">
        <v>0</v>
      </c>
      <c r="I684" t="n">
        <v>0</v>
      </c>
      <c r="J684" t="n">
        <v>0</v>
      </c>
      <c r="K684" t="n">
        <v>0</v>
      </c>
      <c r="L684" t="n">
        <v>0</v>
      </c>
      <c r="M684" t="n">
        <v>0</v>
      </c>
      <c r="N684" t="n">
        <v>0</v>
      </c>
    </row>
    <row r="685">
      <c r="A685" t="inlineStr">
        <is>
          <t>stock</t>
        </is>
      </c>
      <c r="B685" t="inlineStr">
        <is>
          <t>none remain.</t>
        </is>
      </c>
      <c r="C685" t="n">
        <v>0</v>
      </c>
      <c r="D685" t="n">
        <v>0</v>
      </c>
      <c r="E685" t="n">
        <v>0</v>
      </c>
      <c r="F685" t="n">
        <v>0</v>
      </c>
      <c r="H685" t="n">
        <v>0</v>
      </c>
      <c r="I685" t="n">
        <v>0</v>
      </c>
      <c r="J685" t="n">
        <v>0</v>
      </c>
      <c r="K685" t="n">
        <v>0</v>
      </c>
      <c r="L685" t="n">
        <v>0</v>
      </c>
      <c r="M685" t="n">
        <v>0</v>
      </c>
      <c r="N685" t="n">
        <v>0</v>
      </c>
    </row>
    <row r="686">
      <c r="A686" t="inlineStr">
        <is>
          <t>stock</t>
        </is>
      </c>
      <c r="B686" t="inlineStr">
        <is>
          <t>churchscot: 368 cocks and hens from the churchscot of the customary tenants martinmas.</t>
        </is>
      </c>
      <c r="C686" t="n">
        <v>0</v>
      </c>
      <c r="D686" t="n">
        <v>0</v>
      </c>
      <c r="E686" t="n">
        <v>0</v>
      </c>
      <c r="F686" t="n">
        <v>0</v>
      </c>
      <c r="H686" t="n">
        <v>0</v>
      </c>
      <c r="I686" t="n">
        <v>0</v>
      </c>
      <c r="J686" t="n">
        <v>0</v>
      </c>
      <c r="K686" t="n">
        <v>0</v>
      </c>
      <c r="L686" t="n">
        <v>0</v>
      </c>
      <c r="M686" t="n">
        <v>0</v>
      </c>
      <c r="N686" t="n">
        <v>0</v>
      </c>
    </row>
    <row r="687">
      <c r="A687" t="inlineStr">
        <is>
          <t>stock</t>
        </is>
      </c>
      <c r="B687" t="inlineStr">
        <is>
          <t>total, 368. 16 in default of 3 burgages and 1 ferling of fulk de walton'.</t>
        </is>
      </c>
      <c r="C687" t="n">
        <v>0</v>
      </c>
      <c r="D687" t="n">
        <v>0</v>
      </c>
      <c r="E687" t="n">
        <v>0</v>
      </c>
      <c r="F687" t="n">
        <v>0</v>
      </c>
      <c r="H687" t="n">
        <v>0</v>
      </c>
      <c r="I687" t="n">
        <v>0</v>
      </c>
      <c r="J687" t="n">
        <v>0</v>
      </c>
      <c r="K687" t="n">
        <v>0</v>
      </c>
      <c r="L687" t="n">
        <v>0</v>
      </c>
      <c r="M687" t="n">
        <v>0</v>
      </c>
      <c r="N687" t="n">
        <v>0</v>
      </c>
    </row>
    <row r="688">
      <c r="A688" t="inlineStr">
        <is>
          <t>stock</t>
        </is>
      </c>
      <c r="B688" t="inlineStr">
        <is>
          <t>4 in default of the mill of standlynch.</t>
        </is>
      </c>
      <c r="C688" t="n">
        <v>0</v>
      </c>
      <c r="D688" t="n">
        <v>0</v>
      </c>
      <c r="E688" t="n">
        <v>0</v>
      </c>
      <c r="F688" t="n">
        <v>0</v>
      </c>
      <c r="H688" t="n">
        <v>0</v>
      </c>
      <c r="I688" t="n">
        <v>0</v>
      </c>
      <c r="J688" t="n">
        <v>0</v>
      </c>
      <c r="K688" t="n">
        <v>0</v>
      </c>
      <c r="L688" t="n">
        <v>0</v>
      </c>
      <c r="M688" t="n">
        <v>0</v>
      </c>
      <c r="N688" t="n">
        <v>0</v>
      </c>
    </row>
    <row r="689">
      <c r="A689" t="inlineStr">
        <is>
          <t>stock</t>
        </is>
      </c>
      <c r="B689"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689" t="n">
        <v>0</v>
      </c>
      <c r="D689" t="n">
        <v>0</v>
      </c>
      <c r="E689" t="n">
        <v>0</v>
      </c>
      <c r="F689" t="n">
        <v>0</v>
      </c>
      <c r="H689" t="n">
        <v>0</v>
      </c>
      <c r="I689" t="n">
        <v>0</v>
      </c>
      <c r="J689" t="n">
        <v>0</v>
      </c>
      <c r="K689" t="n">
        <v>0</v>
      </c>
      <c r="L689" t="n">
        <v>0</v>
      </c>
      <c r="M689" t="n">
        <v>0</v>
      </c>
      <c r="N689" t="n">
        <v>0</v>
      </c>
    </row>
    <row r="690">
      <c r="A690" t="inlineStr">
        <is>
          <t>stock</t>
        </is>
      </c>
      <c r="B690" t="inlineStr">
        <is>
          <t>16 in default of the churchscot of thomas, son of john fysshere, john willis of witherington for 2 tenements, william thomas, john styleman, william wrythelok', william styleman in nunton and thomas fysshere of witherington because widowers.</t>
        </is>
      </c>
      <c r="C690" t="n">
        <v>0</v>
      </c>
      <c r="D690" t="n">
        <v>0</v>
      </c>
      <c r="E690" t="n">
        <v>0</v>
      </c>
      <c r="F690" t="n">
        <v>0</v>
      </c>
      <c r="H690" t="n">
        <v>0</v>
      </c>
      <c r="I690" t="n">
        <v>0</v>
      </c>
      <c r="J690" t="n">
        <v>0</v>
      </c>
      <c r="K690" t="n">
        <v>0</v>
      </c>
      <c r="L690" t="n">
        <v>0</v>
      </c>
      <c r="M690" t="n">
        <v>0</v>
      </c>
      <c r="N690" t="n">
        <v>0</v>
      </c>
    </row>
    <row r="691">
      <c r="A691" t="inlineStr">
        <is>
          <t>stock</t>
        </is>
      </c>
      <c r="B691" t="inlineStr">
        <is>
          <t>4 in default of the churchscot of john coupere in witherington because in the lord's hands.</t>
        </is>
      </c>
      <c r="C691" t="n">
        <v>0</v>
      </c>
      <c r="D691" t="n">
        <v>0</v>
      </c>
      <c r="E691" t="n">
        <v>0</v>
      </c>
      <c r="F691" t="n">
        <v>0</v>
      </c>
      <c r="H691" t="n">
        <v>0</v>
      </c>
      <c r="I691" t="n">
        <v>0</v>
      </c>
      <c r="J691" t="n">
        <v>0</v>
      </c>
      <c r="K691" t="n">
        <v>0</v>
      </c>
      <c r="L691" t="n">
        <v>0</v>
      </c>
      <c r="M691" t="n">
        <v>0</v>
      </c>
      <c r="N691" t="n">
        <v>0</v>
      </c>
    </row>
    <row r="692">
      <c r="A692" t="inlineStr">
        <is>
          <t>stock</t>
        </is>
      </c>
      <c r="B692" t="inlineStr">
        <is>
          <t>8 in default of the churchscot of margery brewe and william hulle in nunton because in the lord's hands.</t>
        </is>
      </c>
      <c r="C692" t="n">
        <v>0</v>
      </c>
      <c r="D692" t="n">
        <v>0</v>
      </c>
      <c r="E692" t="n">
        <v>0</v>
      </c>
      <c r="F692" t="n">
        <v>0</v>
      </c>
      <c r="H692" t="n">
        <v>0</v>
      </c>
      <c r="I692" t="n">
        <v>0</v>
      </c>
      <c r="J692" t="n">
        <v>0</v>
      </c>
      <c r="K692" t="n">
        <v>0</v>
      </c>
      <c r="L692" t="n">
        <v>0</v>
      </c>
      <c r="M692" t="n">
        <v>0</v>
      </c>
      <c r="N692" t="n">
        <v>0</v>
      </c>
    </row>
    <row r="693">
      <c r="A693" t="inlineStr">
        <is>
          <t>stock</t>
        </is>
      </c>
      <c r="B693" t="inlineStr">
        <is>
          <t>8 in default of the churchscot of peter brytfull' in witherington and thomas papull' in barford because in the lord's hands.</t>
        </is>
      </c>
      <c r="C693" t="n">
        <v>0</v>
      </c>
      <c r="D693" t="n">
        <v>0</v>
      </c>
      <c r="E693" t="n">
        <v>0</v>
      </c>
      <c r="F693" t="n">
        <v>0</v>
      </c>
      <c r="H693" t="n">
        <v>0</v>
      </c>
      <c r="I693" t="n">
        <v>0</v>
      </c>
      <c r="J693" t="n">
        <v>0</v>
      </c>
      <c r="K693" t="n">
        <v>0</v>
      </c>
      <c r="L693" t="n">
        <v>0</v>
      </c>
      <c r="M693" t="n">
        <v>0</v>
      </c>
      <c r="N693" t="n">
        <v>0</v>
      </c>
    </row>
    <row r="694">
      <c r="A694" t="inlineStr">
        <is>
          <t>stock</t>
        </is>
      </c>
      <c r="B694" t="inlineStr">
        <is>
          <t>4 in default of the churchscot of william piperwyte because in the lord's hands.</t>
        </is>
      </c>
      <c r="C694" t="n">
        <v>0</v>
      </c>
      <c r="D694" t="n">
        <v>0</v>
      </c>
      <c r="E694" t="n">
        <v>0</v>
      </c>
      <c r="F694" t="n">
        <v>0</v>
      </c>
      <c r="H694" t="n">
        <v>0</v>
      </c>
      <c r="I694" t="n">
        <v>0</v>
      </c>
      <c r="J694" t="n">
        <v>0</v>
      </c>
      <c r="K694" t="n">
        <v>0</v>
      </c>
      <c r="L694" t="n">
        <v>0</v>
      </c>
      <c r="M694" t="n">
        <v>0</v>
      </c>
      <c r="N694" t="n">
        <v>0</v>
      </c>
    </row>
    <row r="695">
      <c r="A695" t="inlineStr">
        <is>
          <t>stock</t>
        </is>
      </c>
      <c r="B695" t="inlineStr">
        <is>
          <t>8 in default of the churchscot of william trapull' and john waltr' in witherington who relinquished their tenements.</t>
        </is>
      </c>
      <c r="C695" t="n">
        <v>0</v>
      </c>
      <c r="D695" t="n">
        <v>0</v>
      </c>
      <c r="E695" t="n">
        <v>0</v>
      </c>
      <c r="F695" t="n">
        <v>0</v>
      </c>
      <c r="H695" t="n">
        <v>0</v>
      </c>
      <c r="I695" t="n">
        <v>0</v>
      </c>
      <c r="J695" t="n">
        <v>0</v>
      </c>
      <c r="K695" t="n">
        <v>0</v>
      </c>
      <c r="L695" t="n">
        <v>0</v>
      </c>
      <c r="M695" t="n">
        <v>0</v>
      </c>
      <c r="N695" t="n">
        <v>0</v>
      </c>
    </row>
    <row r="696">
      <c r="A696" t="inlineStr">
        <is>
          <t>stock</t>
        </is>
      </c>
      <c r="B696" t="inlineStr">
        <is>
          <t>8 in default of the churchscot of john mulward' and roger alewyne because in the lord's hands.</t>
        </is>
      </c>
      <c r="C696" t="n">
        <v>0</v>
      </c>
      <c r="D696" t="n">
        <v>0</v>
      </c>
      <c r="E696" t="n">
        <v>0</v>
      </c>
      <c r="F696" t="n">
        <v>0</v>
      </c>
      <c r="H696" t="n">
        <v>0</v>
      </c>
      <c r="I696" t="n">
        <v>0</v>
      </c>
      <c r="J696" t="n">
        <v>0</v>
      </c>
      <c r="K696" t="n">
        <v>0</v>
      </c>
      <c r="L696" t="n">
        <v>0</v>
      </c>
      <c r="M696" t="n">
        <v>0</v>
      </c>
      <c r="N696" t="n">
        <v>0</v>
      </c>
    </row>
    <row r="697">
      <c r="A697" t="inlineStr">
        <is>
          <t>stock</t>
        </is>
      </c>
      <c r="B697" t="inlineStr">
        <is>
          <t>4 in default of the churchscot of robert moudy in charlton because in the lord's hands..</t>
        </is>
      </c>
      <c r="C697" t="n">
        <v>0</v>
      </c>
      <c r="D697" t="n">
        <v>0</v>
      </c>
      <c r="E697" t="n">
        <v>0</v>
      </c>
      <c r="F697" t="n">
        <v>0</v>
      </c>
      <c r="H697" t="n">
        <v>0</v>
      </c>
      <c r="I697" t="n">
        <v>0</v>
      </c>
      <c r="J697" t="n">
        <v>0</v>
      </c>
      <c r="K697" t="n">
        <v>0</v>
      </c>
      <c r="L697" t="n">
        <v>0</v>
      </c>
      <c r="M697" t="n">
        <v>0</v>
      </c>
      <c r="N697" t="n">
        <v>0</v>
      </c>
    </row>
    <row r="698">
      <c r="A698" t="inlineStr">
        <is>
          <t>stock</t>
        </is>
      </c>
      <c r="B698" t="inlineStr">
        <is>
          <t>8 in default of the churchscot of stephen scoundy in nunton and john bruton' in walton because in the lord's hands.</t>
        </is>
      </c>
      <c r="C698" t="n">
        <v>0</v>
      </c>
      <c r="D698" t="n">
        <v>0</v>
      </c>
      <c r="E698" t="n">
        <v>0</v>
      </c>
      <c r="F698" t="n">
        <v>0</v>
      </c>
      <c r="H698" t="n">
        <v>0</v>
      </c>
      <c r="I698" t="n">
        <v>0</v>
      </c>
      <c r="J698" t="n">
        <v>0</v>
      </c>
      <c r="K698" t="n">
        <v>0</v>
      </c>
      <c r="L698" t="n">
        <v>0</v>
      </c>
      <c r="M698" t="n">
        <v>0</v>
      </c>
      <c r="N698" t="n">
        <v>0</v>
      </c>
    </row>
    <row r="699">
      <c r="A699" t="inlineStr">
        <is>
          <t>stock</t>
        </is>
      </c>
      <c r="B699" t="inlineStr">
        <is>
          <t>4 in default of the churchscot of john scoundy in witherington because in the lord's hands.</t>
        </is>
      </c>
      <c r="C699" t="n">
        <v>0</v>
      </c>
      <c r="D699" t="n">
        <v>0</v>
      </c>
      <c r="E699" t="n">
        <v>0</v>
      </c>
      <c r="F699" t="n">
        <v>0</v>
      </c>
      <c r="H699" t="n">
        <v>0</v>
      </c>
      <c r="I699" t="n">
        <v>0</v>
      </c>
      <c r="J699" t="n">
        <v>0</v>
      </c>
      <c r="K699" t="n">
        <v>0</v>
      </c>
      <c r="L699" t="n">
        <v>0</v>
      </c>
      <c r="M699" t="n">
        <v>0</v>
      </c>
      <c r="N699" t="n">
        <v>0</v>
      </c>
    </row>
    <row r="700">
      <c r="A700" t="inlineStr">
        <is>
          <t>stock</t>
        </is>
      </c>
      <c r="B700" t="inlineStr">
        <is>
          <t>20 in default of the churchscot of john dodde in barford, nicholas monke in east downton, john coupere for 2 tenements and john willis in witherington because in the lord's hands.</t>
        </is>
      </c>
      <c r="C700" t="n">
        <v>0</v>
      </c>
      <c r="D700" t="n">
        <v>0</v>
      </c>
      <c r="E700" t="n">
        <v>0</v>
      </c>
      <c r="F700" t="n">
        <v>0</v>
      </c>
      <c r="H700" t="n">
        <v>0</v>
      </c>
      <c r="I700" t="n">
        <v>0</v>
      </c>
      <c r="J700" t="n">
        <v>0</v>
      </c>
      <c r="K700" t="n">
        <v>0</v>
      </c>
      <c r="L700" t="n">
        <v>0</v>
      </c>
      <c r="M700" t="n">
        <v>0</v>
      </c>
      <c r="N700" t="n">
        <v>0</v>
      </c>
    </row>
    <row r="701">
      <c r="A701" t="inlineStr">
        <is>
          <t>stock</t>
        </is>
      </c>
      <c r="B701" t="inlineStr">
        <is>
          <t>4 in default of the churchscot of william tut because in the lord's hands.</t>
        </is>
      </c>
      <c r="C701" t="n">
        <v>0</v>
      </c>
      <c r="D701" t="n">
        <v>0</v>
      </c>
      <c r="E701" t="n">
        <v>0</v>
      </c>
      <c r="F701" t="n">
        <v>0</v>
      </c>
      <c r="H701" t="n">
        <v>0</v>
      </c>
      <c r="I701" t="n">
        <v>0</v>
      </c>
      <c r="J701" t="n">
        <v>0</v>
      </c>
      <c r="K701" t="n">
        <v>0</v>
      </c>
      <c r="L701" t="n">
        <v>0</v>
      </c>
      <c r="M701" t="n">
        <v>0</v>
      </c>
      <c r="N701" t="n">
        <v>0</v>
      </c>
    </row>
    <row r="702">
      <c r="A702" t="inlineStr">
        <is>
          <t>stock</t>
        </is>
      </c>
      <c r="B702" t="inlineStr">
        <is>
          <t>4 in default of the churchscot of william atte wythie because in the lord's hands.</t>
        </is>
      </c>
      <c r="C702" t="n">
        <v>0</v>
      </c>
      <c r="D702" t="n">
        <v>0</v>
      </c>
      <c r="E702" t="n">
        <v>0</v>
      </c>
      <c r="F702" t="n">
        <v>0</v>
      </c>
      <c r="H702" t="n">
        <v>0</v>
      </c>
      <c r="I702" t="n">
        <v>0</v>
      </c>
      <c r="J702" t="n">
        <v>0</v>
      </c>
      <c r="K702" t="n">
        <v>0</v>
      </c>
      <c r="L702" t="n">
        <v>0</v>
      </c>
      <c r="M702" t="n">
        <v>0</v>
      </c>
      <c r="N702" t="n">
        <v>0</v>
      </c>
    </row>
    <row r="703">
      <c r="A703" t="inlineStr">
        <is>
          <t>stock</t>
        </is>
      </c>
      <c r="B703" t="inlineStr">
        <is>
          <t>8 in default of the churchscot of john hakehoud' the younger and the tenement of simon triperose in wick because in the lord's hands.</t>
        </is>
      </c>
      <c r="C703" t="n">
        <v>0</v>
      </c>
      <c r="D703" t="n">
        <v>0</v>
      </c>
      <c r="E703" t="n">
        <v>0</v>
      </c>
      <c r="F703" t="n">
        <v>0</v>
      </c>
      <c r="H703" t="n">
        <v>0</v>
      </c>
      <c r="I703" t="n">
        <v>0</v>
      </c>
      <c r="J703" t="n">
        <v>0</v>
      </c>
      <c r="K703" t="n">
        <v>0</v>
      </c>
      <c r="L703" t="n">
        <v>0</v>
      </c>
      <c r="M703" t="n">
        <v>0</v>
      </c>
      <c r="N703" t="n">
        <v>0</v>
      </c>
    </row>
    <row r="704">
      <c r="A704" t="inlineStr">
        <is>
          <t>stock</t>
        </is>
      </c>
      <c r="B704" t="inlineStr">
        <is>
          <t>4 in default of the tenement of richard man' in east downton because in the lord's hands.</t>
        </is>
      </c>
      <c r="C704" t="n">
        <v>0</v>
      </c>
      <c r="D704" t="n">
        <v>0</v>
      </c>
      <c r="E704" t="n">
        <v>0</v>
      </c>
      <c r="F704" t="n">
        <v>0</v>
      </c>
      <c r="H704" t="n">
        <v>0</v>
      </c>
      <c r="I704" t="n">
        <v>0</v>
      </c>
      <c r="J704" t="n">
        <v>0</v>
      </c>
      <c r="K704" t="n">
        <v>0</v>
      </c>
      <c r="L704" t="n">
        <v>0</v>
      </c>
      <c r="M704" t="n">
        <v>0</v>
      </c>
      <c r="N704" t="n">
        <v>0</v>
      </c>
    </row>
    <row r="705">
      <c r="A705" t="inlineStr">
        <is>
          <t>stock</t>
        </is>
      </c>
      <c r="B705" t="inlineStr">
        <is>
          <t>8 in default of the tenements of john grave and thomas adekyns in witherington because in the lord's hands.</t>
        </is>
      </c>
      <c r="C705" t="n">
        <v>0</v>
      </c>
      <c r="D705" t="n">
        <v>0</v>
      </c>
      <c r="E705" t="n">
        <v>0</v>
      </c>
      <c r="F705" t="n">
        <v>0</v>
      </c>
      <c r="H705" t="n">
        <v>0</v>
      </c>
      <c r="I705" t="n">
        <v>0</v>
      </c>
      <c r="J705" t="n">
        <v>0</v>
      </c>
      <c r="K705" t="n">
        <v>0</v>
      </c>
      <c r="L705" t="n">
        <v>0</v>
      </c>
      <c r="M705" t="n">
        <v>0</v>
      </c>
      <c r="N705" t="n">
        <v>0</v>
      </c>
    </row>
    <row r="706">
      <c r="A706" t="inlineStr">
        <is>
          <t>stock</t>
        </is>
      </c>
      <c r="B706" t="inlineStr">
        <is>
          <t>4 in default of the churchscot of john wythewell' in barford because in the lord's hands.</t>
        </is>
      </c>
      <c r="C706" t="n">
        <v>0</v>
      </c>
      <c r="D706" t="n">
        <v>0</v>
      </c>
      <c r="E706" t="n">
        <v>0</v>
      </c>
      <c r="F706" t="n">
        <v>0</v>
      </c>
      <c r="H706" t="n">
        <v>0</v>
      </c>
      <c r="I706" t="n">
        <v>0</v>
      </c>
      <c r="J706" t="n">
        <v>0</v>
      </c>
      <c r="K706" t="n">
        <v>0</v>
      </c>
      <c r="L706" t="n">
        <v>0</v>
      </c>
      <c r="M706" t="n">
        <v>0</v>
      </c>
      <c r="N706" t="n">
        <v>0</v>
      </c>
    </row>
    <row r="707">
      <c r="A707" t="inlineStr">
        <is>
          <t>stock</t>
        </is>
      </c>
      <c r="B707" t="inlineStr">
        <is>
          <t>8 in default of 2 tenements of richard shepherde in wick because in the lord's hands.</t>
        </is>
      </c>
      <c r="C707" t="n">
        <v>0</v>
      </c>
      <c r="D707" t="n">
        <v>0</v>
      </c>
      <c r="E707" t="n">
        <v>0</v>
      </c>
      <c r="F707" t="n">
        <v>0</v>
      </c>
      <c r="H707" t="n">
        <v>0</v>
      </c>
      <c r="I707" t="n">
        <v>0</v>
      </c>
      <c r="J707" t="n">
        <v>0</v>
      </c>
      <c r="K707" t="n">
        <v>0</v>
      </c>
      <c r="L707" t="n">
        <v>0</v>
      </c>
      <c r="M707" t="n">
        <v>0</v>
      </c>
      <c r="N707" t="n">
        <v>0</v>
      </c>
    </row>
    <row r="708">
      <c r="A708" t="inlineStr">
        <is>
          <t>stock</t>
        </is>
      </c>
      <c r="B708" t="inlineStr">
        <is>
          <t>132 sold within.</t>
        </is>
      </c>
      <c r="C708" t="n">
        <v>0</v>
      </c>
      <c r="D708" t="n">
        <v>0</v>
      </c>
      <c r="E708" t="n">
        <v>0</v>
      </c>
      <c r="F708" t="n">
        <v>0</v>
      </c>
      <c r="H708" t="n">
        <v>0</v>
      </c>
      <c r="I708" t="n">
        <v>0</v>
      </c>
      <c r="J708" t="n">
        <v>0</v>
      </c>
      <c r="K708" t="n">
        <v>0</v>
      </c>
      <c r="L708" t="n">
        <v>0</v>
      </c>
      <c r="M708" t="n">
        <v>0</v>
      </c>
      <c r="N708" t="n">
        <v>0</v>
      </c>
    </row>
    <row r="709">
      <c r="A709" t="inlineStr">
        <is>
          <t>stock</t>
        </is>
      </c>
      <c r="B709" t="inlineStr">
        <is>
          <t>total as before.</t>
        </is>
      </c>
      <c r="C709" t="n">
        <v>0</v>
      </c>
      <c r="D709" t="n">
        <v>0</v>
      </c>
      <c r="E709" t="n">
        <v>0</v>
      </c>
      <c r="F709" t="n">
        <v>0</v>
      </c>
      <c r="H709" t="n">
        <v>0</v>
      </c>
      <c r="I709" t="n">
        <v>0</v>
      </c>
      <c r="J709" t="n">
        <v>0</v>
      </c>
      <c r="K709" t="n">
        <v>0</v>
      </c>
      <c r="L709" t="n">
        <v>0</v>
      </c>
      <c r="M709" t="n">
        <v>0</v>
      </c>
      <c r="N709" t="n">
        <v>0</v>
      </c>
    </row>
    <row r="710">
      <c r="A710" t="inlineStr">
        <is>
          <t>stock</t>
        </is>
      </c>
      <c r="B710" t="inlineStr">
        <is>
          <t>it balances.</t>
        </is>
      </c>
      <c r="C710" t="n">
        <v>0</v>
      </c>
      <c r="D710" t="n">
        <v>0</v>
      </c>
      <c r="E710" t="n">
        <v>0</v>
      </c>
      <c r="F710" t="n">
        <v>0</v>
      </c>
      <c r="H710" t="n">
        <v>0</v>
      </c>
      <c r="I710" t="n">
        <v>0</v>
      </c>
      <c r="J710" t="n">
        <v>0</v>
      </c>
      <c r="K710" t="n">
        <v>0</v>
      </c>
      <c r="L710" t="n">
        <v>0</v>
      </c>
      <c r="M710" t="n">
        <v>0</v>
      </c>
      <c r="N710" t="n">
        <v>0</v>
      </c>
    </row>
    <row r="711">
      <c r="A711" t="inlineStr">
        <is>
          <t>stock</t>
        </is>
      </c>
      <c r="B711" t="inlineStr">
        <is>
          <t>labour services: the labour services of the customary tenants are to be found in the first pipe roll of the translation of henry beaufort', bishop of winchester.</t>
        </is>
      </c>
      <c r="C711" t="n">
        <v>0</v>
      </c>
      <c r="D711" t="n">
        <v>0</v>
      </c>
      <c r="E711" t="n">
        <v>0</v>
      </c>
      <c r="F711" t="n">
        <v>0</v>
      </c>
      <c r="H711" t="n">
        <v>0</v>
      </c>
      <c r="I711" t="n">
        <v>0</v>
      </c>
      <c r="J711" t="n">
        <v>0</v>
      </c>
      <c r="K711" t="n">
        <v>0</v>
      </c>
      <c r="L711" t="n">
        <v>0</v>
      </c>
      <c r="M711" t="n">
        <v>0</v>
      </c>
      <c r="N71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4"/>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Vetches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Total, 4. 4 remain.</t>
        </is>
      </c>
      <c r="C4" t="n">
        <v>0</v>
      </c>
      <c r="D4" t="n">
        <v>0</v>
      </c>
    </row>
    <row r="5">
      <c r="A5" t="inlineStr">
        <is>
          <t>Stock</t>
        </is>
      </c>
      <c r="B5" t="inlineStr">
        <is>
          <t>Plough-horses: 1 from the heriot of John Wilkyn'.</t>
        </is>
      </c>
      <c r="C5" t="n">
        <v>0</v>
      </c>
      <c r="D5" t="n">
        <v>0</v>
      </c>
      <c r="E5" t="inlineStr">
        <is>
          <t>Plough-horses</t>
        </is>
      </c>
    </row>
    <row r="6">
      <c r="A6" t="inlineStr">
        <is>
          <t>Stock</t>
        </is>
      </c>
      <c r="B6" t="inlineStr">
        <is>
          <t>1 from the heriot of John Wegge.</t>
        </is>
      </c>
      <c r="C6" t="n">
        <v>0</v>
      </c>
      <c r="D6" t="n">
        <v>0</v>
      </c>
      <c r="E6" t="inlineStr">
        <is>
          <t>Plough-horses</t>
        </is>
      </c>
    </row>
    <row r="7">
      <c r="A7" t="inlineStr">
        <is>
          <t>Stock</t>
        </is>
      </c>
      <c r="B7" t="inlineStr">
        <is>
          <t>sold within.</t>
        </is>
      </c>
      <c r="C7" t="n">
        <v>0</v>
      </c>
      <c r="D7" t="n">
        <v>0</v>
      </c>
      <c r="E7" t="inlineStr">
        <is>
          <t>Plough-horses</t>
        </is>
      </c>
    </row>
    <row r="8">
      <c r="A8" t="inlineStr">
        <is>
          <t>Stock</t>
        </is>
      </c>
      <c r="B8" t="inlineStr">
        <is>
          <t>none remain.</t>
        </is>
      </c>
      <c r="C8" t="n">
        <v>0</v>
      </c>
      <c r="D8" t="n">
        <v>0</v>
      </c>
      <c r="E8" t="inlineStr">
        <is>
          <t>Plough-horses</t>
        </is>
      </c>
    </row>
    <row r="9">
      <c r="A9" t="inlineStr">
        <is>
          <t>Stock</t>
        </is>
      </c>
      <c r="B9" t="inlineStr">
        <is>
          <t>Oxen: 38 remain.</t>
        </is>
      </c>
      <c r="C9" t="n">
        <v>0</v>
      </c>
      <c r="D9" t="n">
        <v>0</v>
      </c>
      <c r="E9" t="inlineStr">
        <is>
          <t>Oxen</t>
        </is>
      </c>
      <c r="F9" t="inlineStr">
        <is>
          <t>38</t>
        </is>
      </c>
    </row>
    <row r="10">
      <c r="A10" t="inlineStr">
        <is>
          <t>Stock</t>
        </is>
      </c>
      <c r="B10" t="inlineStr">
        <is>
          <t>3 added from steers below.</t>
        </is>
      </c>
      <c r="C10" t="n">
        <v>0</v>
      </c>
      <c r="D10" t="n">
        <v>0</v>
      </c>
      <c r="E10" t="inlineStr">
        <is>
          <t>Oxen</t>
        </is>
      </c>
    </row>
    <row r="11">
      <c r="A11" t="inlineStr">
        <is>
          <t>Stock</t>
        </is>
      </c>
      <c r="B11" t="inlineStr">
        <is>
          <t>Total, 41. 1 in murrain.</t>
        </is>
      </c>
      <c r="C11" t="n">
        <v>0</v>
      </c>
      <c r="D11" t="n">
        <v>0</v>
      </c>
      <c r="E11" t="inlineStr">
        <is>
          <t>Oxen</t>
        </is>
      </c>
      <c r="H11" t="inlineStr">
        <is>
          <t>1</t>
        </is>
      </c>
    </row>
    <row r="12">
      <c r="A12" t="inlineStr">
        <is>
          <t>Stock</t>
        </is>
      </c>
      <c r="B12" t="inlineStr">
        <is>
          <t>40 remain, 2 of them kebbs.</t>
        </is>
      </c>
      <c r="C12" t="n">
        <v>0</v>
      </c>
      <c r="D12" t="n">
        <v>0</v>
      </c>
      <c r="E12" t="inlineStr">
        <is>
          <t>Oxen</t>
        </is>
      </c>
    </row>
    <row r="13">
      <c r="A13" t="inlineStr">
        <is>
          <t>Stock</t>
        </is>
      </c>
      <c r="B13" t="inlineStr">
        <is>
          <t>Bulls: 1 remains.</t>
        </is>
      </c>
      <c r="C13" t="n">
        <v>0</v>
      </c>
      <c r="D13" t="n">
        <v>0</v>
      </c>
      <c r="E13" t="inlineStr">
        <is>
          <t>Bulls</t>
        </is>
      </c>
    </row>
    <row r="14">
      <c r="A14" t="inlineStr">
        <is>
          <t>Stock</t>
        </is>
      </c>
      <c r="B14" t="inlineStr">
        <is>
          <t>1 added from steers below.</t>
        </is>
      </c>
      <c r="C14" t="n">
        <v>0</v>
      </c>
      <c r="D14" t="n">
        <v>0</v>
      </c>
      <c r="E14" t="inlineStr">
        <is>
          <t>Bulls</t>
        </is>
      </c>
    </row>
    <row r="15">
      <c r="A15" t="inlineStr">
        <is>
          <t>Stock</t>
        </is>
      </c>
      <c r="B15" t="inlineStr">
        <is>
          <t>2 remain.</t>
        </is>
      </c>
      <c r="C15" t="n">
        <v>0</v>
      </c>
      <c r="D15" t="n">
        <v>0</v>
      </c>
      <c r="E15" t="inlineStr">
        <is>
          <t>Bulls</t>
        </is>
      </c>
      <c r="F15" t="inlineStr">
        <is>
          <t>2</t>
        </is>
      </c>
    </row>
    <row r="16">
      <c r="A16" t="inlineStr">
        <is>
          <t>Stock</t>
        </is>
      </c>
      <c r="B16" t="inlineStr">
        <is>
          <t>Cows: 6 remain.</t>
        </is>
      </c>
      <c r="C16" t="n">
        <v>0</v>
      </c>
      <c r="D16" t="n">
        <v>0</v>
      </c>
      <c r="E16" t="inlineStr">
        <is>
          <t>Cows</t>
        </is>
      </c>
      <c r="F16" t="inlineStr">
        <is>
          <t>6</t>
        </is>
      </c>
    </row>
    <row r="17">
      <c r="A17" t="inlineStr">
        <is>
          <t>Stock</t>
        </is>
      </c>
      <c r="B17" t="inlineStr">
        <is>
          <t>2 added from steers below.</t>
        </is>
      </c>
      <c r="C17" t="n">
        <v>0</v>
      </c>
      <c r="D17" t="n">
        <v>0</v>
      </c>
      <c r="E17" t="inlineStr">
        <is>
          <t>Cows</t>
        </is>
      </c>
    </row>
    <row r="18">
      <c r="A18" t="inlineStr">
        <is>
          <t>Stock</t>
        </is>
      </c>
      <c r="B18" t="inlineStr">
        <is>
          <t>Total, 8. 8 remain.</t>
        </is>
      </c>
      <c r="C18" t="n">
        <v>0</v>
      </c>
      <c r="D18" t="n">
        <v>0</v>
      </c>
      <c r="E18" t="inlineStr">
        <is>
          <t>Cows</t>
        </is>
      </c>
    </row>
    <row r="19">
      <c r="A19" t="inlineStr">
        <is>
          <t>Stock</t>
        </is>
      </c>
      <c r="B19" t="inlineStr">
        <is>
          <t>Steers: 7 remain from the bullocks.</t>
        </is>
      </c>
      <c r="C19" t="n">
        <v>0</v>
      </c>
      <c r="D19" t="n">
        <v>0</v>
      </c>
      <c r="E19" t="inlineStr">
        <is>
          <t>Steers</t>
        </is>
      </c>
      <c r="F19" t="inlineStr">
        <is>
          <t>7</t>
        </is>
      </c>
    </row>
    <row r="20">
      <c r="A20" t="inlineStr">
        <is>
          <t>Stock</t>
        </is>
      </c>
      <c r="B20" t="inlineStr">
        <is>
          <t>1 from the heriot of William Ailmere.</t>
        </is>
      </c>
      <c r="C20" t="n">
        <v>0</v>
      </c>
      <c r="D20" t="n">
        <v>0</v>
      </c>
      <c r="E20" t="inlineStr">
        <is>
          <t>Steers</t>
        </is>
      </c>
    </row>
    <row r="21">
      <c r="A21" t="inlineStr">
        <is>
          <t>Stock</t>
        </is>
      </c>
      <c r="B21" t="inlineStr">
        <is>
          <t>Total, 8. 33 added above to oxen, 1 to bulls and 2 to cows.</t>
        </is>
      </c>
      <c r="C21" t="n">
        <v>0</v>
      </c>
      <c r="D21" t="n">
        <v>0</v>
      </c>
      <c r="E21" t="inlineStr">
        <is>
          <t>Steers</t>
        </is>
      </c>
    </row>
    <row r="22">
      <c r="A22" t="inlineStr">
        <is>
          <t>Stock</t>
        </is>
      </c>
      <c r="B22" t="inlineStr">
        <is>
          <t>2 sold within because useless, for the lord's stock.</t>
        </is>
      </c>
      <c r="C22" t="n">
        <v>0</v>
      </c>
      <c r="D22" t="n">
        <v>0</v>
      </c>
      <c r="E22" t="inlineStr">
        <is>
          <t>Steers</t>
        </is>
      </c>
      <c r="I22" t="inlineStr">
        <is>
          <t>2</t>
        </is>
      </c>
    </row>
    <row r="23">
      <c r="A23" t="inlineStr">
        <is>
          <t>Stock</t>
        </is>
      </c>
      <c r="B23" t="inlineStr">
        <is>
          <t>Total as before.</t>
        </is>
      </c>
      <c r="C23" t="n">
        <v>0</v>
      </c>
      <c r="D23" t="n">
        <v>0</v>
      </c>
      <c r="E23" t="inlineStr">
        <is>
          <t>Steers</t>
        </is>
      </c>
    </row>
    <row r="24">
      <c r="A24" t="inlineStr">
        <is>
          <t>Stock</t>
        </is>
      </c>
      <c r="B24" t="inlineStr">
        <is>
          <t>None remain.</t>
        </is>
      </c>
      <c r="C24" t="n">
        <v>0</v>
      </c>
      <c r="D24" t="n">
        <v>0</v>
      </c>
      <c r="E24" t="inlineStr">
        <is>
          <t>Steers</t>
        </is>
      </c>
    </row>
    <row r="25">
      <c r="A25" t="inlineStr">
        <is>
          <t>Stock</t>
        </is>
      </c>
      <c r="B25" t="inlineStr">
        <is>
          <t>Bullocks: 4 remain from the yearlings.</t>
        </is>
      </c>
      <c r="C25" t="n">
        <v>0</v>
      </c>
      <c r="D25" t="n">
        <v>0</v>
      </c>
      <c r="E25" t="inlineStr">
        <is>
          <t>Bullocks</t>
        </is>
      </c>
      <c r="F25" t="inlineStr">
        <is>
          <t>4</t>
        </is>
      </c>
    </row>
    <row r="26">
      <c r="A26" t="inlineStr">
        <is>
          <t>Stock</t>
        </is>
      </c>
      <c r="B26" t="inlineStr">
        <is>
          <t>1 from strays over a year old.</t>
        </is>
      </c>
      <c r="C26" t="n">
        <v>0</v>
      </c>
      <c r="D26" t="n">
        <v>0</v>
      </c>
      <c r="E26" t="inlineStr">
        <is>
          <t>Bullocks</t>
        </is>
      </c>
    </row>
    <row r="27">
      <c r="A27" t="inlineStr">
        <is>
          <t>Stock</t>
        </is>
      </c>
      <c r="B27" t="inlineStr">
        <is>
          <t>Total, 5. 5 remain.</t>
        </is>
      </c>
      <c r="C27" t="n">
        <v>0</v>
      </c>
      <c r="D27" t="n">
        <v>0</v>
      </c>
      <c r="E27" t="inlineStr">
        <is>
          <t>Bullocks</t>
        </is>
      </c>
    </row>
    <row r="28">
      <c r="A28" t="inlineStr">
        <is>
          <t>Stock</t>
        </is>
      </c>
      <c r="B28" t="inlineStr">
        <is>
          <t>Yearlings: 4 remain from the calves.</t>
        </is>
      </c>
      <c r="C28" t="n">
        <v>0</v>
      </c>
      <c r="D28" t="n">
        <v>0</v>
      </c>
      <c r="E28" t="inlineStr">
        <is>
          <t>Yearlings</t>
        </is>
      </c>
      <c r="F28" t="inlineStr">
        <is>
          <t>4</t>
        </is>
      </c>
    </row>
    <row r="29">
      <c r="A29" t="inlineStr">
        <is>
          <t>Stock</t>
        </is>
      </c>
      <c r="B29" t="inlineStr">
        <is>
          <t>Total, 4. 4 remain.</t>
        </is>
      </c>
      <c r="C29" t="n">
        <v>0</v>
      </c>
      <c r="D29" t="n">
        <v>0</v>
      </c>
      <c r="E29" t="inlineStr">
        <is>
          <t>Yearlings</t>
        </is>
      </c>
    </row>
    <row r="30">
      <c r="A30" t="inlineStr">
        <is>
          <t>Stock</t>
        </is>
      </c>
      <c r="B30" t="inlineStr">
        <is>
          <t>Calves: 5 from the offspring of the said cows and not more because the 2 additions did not calve and 1 was sterile.</t>
        </is>
      </c>
      <c r="C30" t="n">
        <v>0</v>
      </c>
      <c r="D30" t="n">
        <v>0</v>
      </c>
      <c r="E30" t="inlineStr">
        <is>
          <t>Calves</t>
        </is>
      </c>
      <c r="G30" t="inlineStr">
        <is>
          <t>5</t>
        </is>
      </c>
    </row>
    <row r="31">
      <c r="A31" t="inlineStr">
        <is>
          <t>Stock</t>
        </is>
      </c>
      <c r="B31" t="inlineStr">
        <is>
          <t>Total, 5. 5 remain.</t>
        </is>
      </c>
      <c r="C31" t="n">
        <v>0</v>
      </c>
      <c r="D31" t="n">
        <v>0</v>
      </c>
      <c r="E31" t="inlineStr">
        <is>
          <t>Calves</t>
        </is>
      </c>
      <c r="F31" t="inlineStr">
        <is>
          <t>5</t>
        </is>
      </c>
    </row>
    <row r="32">
      <c r="A32" t="inlineStr">
        <is>
          <t>Stock</t>
        </is>
      </c>
      <c r="B32" t="inlineStr">
        <is>
          <t>Wethers: 416 remain.</t>
        </is>
      </c>
      <c r="C32" t="n">
        <v>0</v>
      </c>
      <c r="D32" t="n">
        <v>0</v>
      </c>
      <c r="E32" t="inlineStr">
        <is>
          <t>Wethers</t>
        </is>
      </c>
      <c r="F32" t="inlineStr">
        <is>
          <t>416</t>
        </is>
      </c>
    </row>
    <row r="33">
      <c r="A33" t="inlineStr">
        <is>
          <t>Stock</t>
        </is>
      </c>
      <c r="B33" t="inlineStr">
        <is>
          <t>122 added from hoggs below after shearing.</t>
        </is>
      </c>
      <c r="C33" t="n">
        <v>0</v>
      </c>
      <c r="D33" t="n">
        <v>0</v>
      </c>
      <c r="E33" t="inlineStr">
        <is>
          <t>Wethers</t>
        </is>
      </c>
    </row>
    <row r="34">
      <c r="A34" t="inlineStr">
        <is>
          <t>Stock</t>
        </is>
      </c>
      <c r="B34" t="inlineStr">
        <is>
          <t>23 from the herbage of Wick and Charlton at Hockday.</t>
        </is>
      </c>
      <c r="C34" t="n">
        <v>0</v>
      </c>
      <c r="D34" t="n">
        <v>0</v>
      </c>
      <c r="E34" t="inlineStr">
        <is>
          <t>Wethers</t>
        </is>
      </c>
    </row>
    <row r="35">
      <c r="A35" t="inlineStr">
        <is>
          <t>Stock</t>
        </is>
      </c>
      <c r="B35" t="inlineStr">
        <is>
          <t>Total, 561. 30 in murrain before shearing, 19 after shearing.</t>
        </is>
      </c>
      <c r="C35" t="n">
        <v>0</v>
      </c>
      <c r="D35" t="n">
        <v>0</v>
      </c>
      <c r="E35" t="inlineStr">
        <is>
          <t>Wethers</t>
        </is>
      </c>
      <c r="H35" t="inlineStr">
        <is>
          <t>30</t>
        </is>
      </c>
    </row>
    <row r="36">
      <c r="A36" t="inlineStr">
        <is>
          <t>Stock</t>
        </is>
      </c>
      <c r="B36" t="inlineStr">
        <is>
          <t>1 in customary payment for the mowing of the lord's meadow of Radmede after shearing.</t>
        </is>
      </c>
      <c r="C36" t="n">
        <v>0</v>
      </c>
      <c r="D36" t="n">
        <v>0</v>
      </c>
      <c r="E36" t="inlineStr">
        <is>
          <t>Wethers</t>
        </is>
      </c>
    </row>
    <row r="37">
      <c r="A37" t="inlineStr">
        <is>
          <t>Stock</t>
        </is>
      </c>
      <c r="B37" t="inlineStr">
        <is>
          <t>65 sold within before shearing.</t>
        </is>
      </c>
      <c r="C37" t="n">
        <v>0</v>
      </c>
      <c r="D37" t="n">
        <v>0</v>
      </c>
      <c r="E37" t="inlineStr">
        <is>
          <t>Wethers</t>
        </is>
      </c>
      <c r="I37" t="inlineStr">
        <is>
          <t>65</t>
        </is>
      </c>
    </row>
    <row r="38">
      <c r="A38" t="inlineStr">
        <is>
          <t>Stock</t>
        </is>
      </c>
      <c r="B38" t="inlineStr">
        <is>
          <t>2 ewes counted as wethers delivered to the shepherd of ewes below before shearing.</t>
        </is>
      </c>
      <c r="C38" t="n">
        <v>0</v>
      </c>
      <c r="D38" t="n">
        <v>0</v>
      </c>
      <c r="E38" t="inlineStr">
        <is>
          <t>Wethers</t>
        </is>
      </c>
    </row>
    <row r="39">
      <c r="A39" t="inlineStr">
        <is>
          <t>Stock</t>
        </is>
      </c>
      <c r="B39" t="inlineStr">
        <is>
          <t>Total, 117. 444 remain.</t>
        </is>
      </c>
      <c r="C39" t="n">
        <v>0</v>
      </c>
      <c r="D39" t="n">
        <v>0</v>
      </c>
      <c r="E39" t="inlineStr">
        <is>
          <t>Wethers</t>
        </is>
      </c>
    </row>
    <row r="40">
      <c r="A40" t="inlineStr">
        <is>
          <t>Stock</t>
        </is>
      </c>
      <c r="B40" t="inlineStr">
        <is>
          <t>Rams: 8 remain.</t>
        </is>
      </c>
      <c r="C40" t="n">
        <v>0</v>
      </c>
      <c r="D40" t="n">
        <v>0</v>
      </c>
      <c r="E40" t="inlineStr">
        <is>
          <t>Rams</t>
        </is>
      </c>
      <c r="F40" t="inlineStr">
        <is>
          <t>8</t>
        </is>
      </c>
    </row>
    <row r="41">
      <c r="A41" t="inlineStr">
        <is>
          <t>Stock</t>
        </is>
      </c>
      <c r="B41" t="inlineStr">
        <is>
          <t>2 added from hogs below after shearing.</t>
        </is>
      </c>
      <c r="C41" t="n">
        <v>0</v>
      </c>
      <c r="D41" t="n">
        <v>0</v>
      </c>
      <c r="E41" t="inlineStr">
        <is>
          <t>Rams</t>
        </is>
      </c>
    </row>
    <row r="42">
      <c r="A42" t="inlineStr">
        <is>
          <t>Stock</t>
        </is>
      </c>
      <c r="B42" t="inlineStr">
        <is>
          <t>Total, 10. 3 in murrain before shearing.</t>
        </is>
      </c>
      <c r="C42" t="n">
        <v>0</v>
      </c>
      <c r="D42" t="n">
        <v>0</v>
      </c>
      <c r="E42" t="inlineStr">
        <is>
          <t>Rams</t>
        </is>
      </c>
      <c r="H42" t="inlineStr">
        <is>
          <t>3</t>
        </is>
      </c>
    </row>
    <row r="43">
      <c r="A43" t="inlineStr">
        <is>
          <t>Stock</t>
        </is>
      </c>
      <c r="B43" t="inlineStr">
        <is>
          <t>Total, 3. 7 remain.</t>
        </is>
      </c>
      <c r="C43" t="n">
        <v>0</v>
      </c>
      <c r="D43" t="n">
        <v>0</v>
      </c>
      <c r="E43" t="inlineStr">
        <is>
          <t>Rams</t>
        </is>
      </c>
    </row>
    <row r="44">
      <c r="A44" t="inlineStr">
        <is>
          <t>Stock</t>
        </is>
      </c>
      <c r="B44" t="inlineStr">
        <is>
          <t>Ewes: 511 remain.</t>
        </is>
      </c>
      <c r="C44" t="n">
        <v>0</v>
      </c>
      <c r="D44" t="n">
        <v>0</v>
      </c>
      <c r="E44" t="inlineStr">
        <is>
          <t>Ewes</t>
        </is>
      </c>
      <c r="F44" t="inlineStr">
        <is>
          <t>511</t>
        </is>
      </c>
    </row>
    <row r="45">
      <c r="A45" t="inlineStr">
        <is>
          <t>Stock</t>
        </is>
      </c>
      <c r="B45" t="inlineStr">
        <is>
          <t>128 added from hoggs below after shearing.</t>
        </is>
      </c>
      <c r="C45" t="n">
        <v>0</v>
      </c>
      <c r="D45" t="n">
        <v>0</v>
      </c>
      <c r="E45" t="inlineStr">
        <is>
          <t>Ewes</t>
        </is>
      </c>
    </row>
    <row r="46">
      <c r="A46" t="inlineStr">
        <is>
          <t>Stock</t>
        </is>
      </c>
      <c r="B46" t="inlineStr">
        <is>
          <t>2 received above from wethers before shearing.</t>
        </is>
      </c>
      <c r="C46" t="n">
        <v>0</v>
      </c>
      <c r="D46" t="n">
        <v>0</v>
      </c>
      <c r="E46" t="inlineStr">
        <is>
          <t>Ewes</t>
        </is>
      </c>
    </row>
    <row r="47">
      <c r="A47" t="inlineStr">
        <is>
          <t>Stock</t>
        </is>
      </c>
      <c r="B47" t="inlineStr">
        <is>
          <t>Total, 641. 37 in murrain before shearing, 30 of them before lambing.</t>
        </is>
      </c>
      <c r="C47" t="n">
        <v>0</v>
      </c>
      <c r="D47" t="n">
        <v>0</v>
      </c>
      <c r="E47" t="inlineStr">
        <is>
          <t>Ewes</t>
        </is>
      </c>
      <c r="H47" t="inlineStr">
        <is>
          <t>37</t>
        </is>
      </c>
    </row>
    <row r="48">
      <c r="A48" t="inlineStr">
        <is>
          <t>Stock</t>
        </is>
      </c>
      <c r="B48" t="inlineStr">
        <is>
          <t>12 in murrain after shearing.</t>
        </is>
      </c>
      <c r="C48" t="n">
        <v>0</v>
      </c>
      <c r="D48" t="n">
        <v>0</v>
      </c>
      <c r="E48" t="inlineStr">
        <is>
          <t>Ewes</t>
        </is>
      </c>
      <c r="H48" t="inlineStr">
        <is>
          <t>12</t>
        </is>
      </c>
    </row>
    <row r="49">
      <c r="A49" t="inlineStr">
        <is>
          <t>Stock</t>
        </is>
      </c>
      <c r="B49" t="inlineStr">
        <is>
          <t>76 kebbs sold within before shearing.</t>
        </is>
      </c>
      <c r="C49" t="n">
        <v>0</v>
      </c>
      <c r="D49" t="n">
        <v>0</v>
      </c>
      <c r="E49" t="inlineStr">
        <is>
          <t>Ewes</t>
        </is>
      </c>
      <c r="I49" t="inlineStr">
        <is>
          <t>76</t>
        </is>
      </c>
    </row>
    <row r="50">
      <c r="A50" t="inlineStr">
        <is>
          <t>Stock</t>
        </is>
      </c>
      <c r="B50" t="inlineStr">
        <is>
          <t>Total, 125. 516 remain.</t>
        </is>
      </c>
      <c r="C50" t="n">
        <v>0</v>
      </c>
      <c r="D50" t="n">
        <v>0</v>
      </c>
      <c r="E50" t="inlineStr">
        <is>
          <t>Ewes</t>
        </is>
      </c>
    </row>
    <row r="51">
      <c r="A51" t="inlineStr">
        <is>
          <t>Stock</t>
        </is>
      </c>
      <c r="B51" t="inlineStr">
        <is>
          <t>Hoggs: 304 remain from the lambs.</t>
        </is>
      </c>
      <c r="C51" t="n">
        <v>0</v>
      </c>
      <c r="D51" t="n">
        <v>0</v>
      </c>
      <c r="E51" t="inlineStr">
        <is>
          <t>Hoggs</t>
        </is>
      </c>
      <c r="F51" t="inlineStr">
        <is>
          <t>304</t>
        </is>
      </c>
    </row>
    <row r="52">
      <c r="A52" t="inlineStr">
        <is>
          <t>Stock</t>
        </is>
      </c>
      <c r="B52" t="inlineStr">
        <is>
          <t>Total, 304. 30 in murrain before shearing.</t>
        </is>
      </c>
      <c r="C52" t="n">
        <v>0</v>
      </c>
      <c r="D52" t="n">
        <v>0</v>
      </c>
      <c r="E52" t="inlineStr">
        <is>
          <t>Hoggs</t>
        </is>
      </c>
      <c r="H52" t="inlineStr">
        <is>
          <t>30</t>
        </is>
      </c>
    </row>
    <row r="53">
      <c r="A53" t="inlineStr">
        <is>
          <t>Stock</t>
        </is>
      </c>
      <c r="B53" t="inlineStr">
        <is>
          <t>122 added above to wethers after shearing, 2 added to rams and 128 to ewes.</t>
        </is>
      </c>
      <c r="C53" t="n">
        <v>0</v>
      </c>
      <c r="D53" t="n">
        <v>0</v>
      </c>
      <c r="E53" t="inlineStr">
        <is>
          <t>Hoggs</t>
        </is>
      </c>
    </row>
    <row r="54">
      <c r="A54" t="inlineStr">
        <is>
          <t>Stock</t>
        </is>
      </c>
      <c r="B54" t="inlineStr">
        <is>
          <t>22 removed from stock and sold within before shearing.</t>
        </is>
      </c>
      <c r="C54" t="n">
        <v>0</v>
      </c>
      <c r="D54" t="n">
        <v>0</v>
      </c>
      <c r="E54" t="inlineStr">
        <is>
          <t>Hoggs</t>
        </is>
      </c>
      <c r="I54" t="inlineStr">
        <is>
          <t>22</t>
        </is>
      </c>
    </row>
    <row r="55">
      <c r="A55" t="inlineStr">
        <is>
          <t>Stock</t>
        </is>
      </c>
      <c r="B55" t="inlineStr">
        <is>
          <t>Total as before.</t>
        </is>
      </c>
      <c r="C55" t="n">
        <v>0</v>
      </c>
      <c r="D55" t="n">
        <v>0</v>
      </c>
      <c r="E55" t="inlineStr">
        <is>
          <t>Hoggs</t>
        </is>
      </c>
    </row>
    <row r="56">
      <c r="A56" t="inlineStr">
        <is>
          <t>Stock</t>
        </is>
      </c>
      <c r="B56" t="inlineStr">
        <is>
          <t>None remain..</t>
        </is>
      </c>
      <c r="C56" t="n">
        <v>0</v>
      </c>
      <c r="D56" t="n">
        <v>0</v>
      </c>
      <c r="E56" t="inlineStr">
        <is>
          <t>Hoggs</t>
        </is>
      </c>
    </row>
    <row r="57">
      <c r="A57" t="inlineStr">
        <is>
          <t>Stock</t>
        </is>
      </c>
      <c r="B57" t="inlineStr">
        <is>
          <t>Lambs: 322 from the offspring of the said ewes and not more because 30 died before lanibina and 159 were sterile this year.</t>
        </is>
      </c>
      <c r="C57" t="n">
        <v>0</v>
      </c>
      <c r="D57" t="n">
        <v>0</v>
      </c>
      <c r="E57" t="inlineStr">
        <is>
          <t>Lambs</t>
        </is>
      </c>
      <c r="G57" t="inlineStr">
        <is>
          <t>322</t>
        </is>
      </c>
    </row>
    <row r="58">
      <c r="A58" t="inlineStr">
        <is>
          <t>Stock</t>
        </is>
      </c>
      <c r="B58" t="inlineStr">
        <is>
          <t>120 bought within before shearing.</t>
        </is>
      </c>
      <c r="C58" t="n">
        <v>0</v>
      </c>
      <c r="D58" t="n">
        <v>0</v>
      </c>
      <c r="E58" t="inlineStr">
        <is>
          <t>Lambs</t>
        </is>
      </c>
      <c r="G58" t="inlineStr">
        <is>
          <t>120</t>
        </is>
      </c>
    </row>
    <row r="59">
      <c r="A59" t="inlineStr">
        <is>
          <t>Stock</t>
        </is>
      </c>
      <c r="B59" t="inlineStr">
        <is>
          <t>Total, 442. 62 in murrain before shearing.</t>
        </is>
      </c>
      <c r="C59" t="n">
        <v>0</v>
      </c>
      <c r="D59" t="n">
        <v>0</v>
      </c>
      <c r="E59" t="inlineStr">
        <is>
          <t>Lambs</t>
        </is>
      </c>
      <c r="H59" t="inlineStr">
        <is>
          <t>62</t>
        </is>
      </c>
    </row>
    <row r="60">
      <c r="A60" t="inlineStr">
        <is>
          <t>Stock</t>
        </is>
      </c>
      <c r="B60" t="inlineStr">
        <is>
          <t>26 in tithe.</t>
        </is>
      </c>
      <c r="C60" t="n">
        <v>0</v>
      </c>
      <c r="D60" t="n">
        <v>0</v>
      </c>
      <c r="E60" t="inlineStr">
        <is>
          <t>Lambs</t>
        </is>
      </c>
    </row>
    <row r="61">
      <c r="A61" t="inlineStr">
        <is>
          <t>Stock</t>
        </is>
      </c>
      <c r="B61" t="inlineStr">
        <is>
          <t>3 in customary payment to the reeve, forester and shepherd of ewes.</t>
        </is>
      </c>
      <c r="C61" t="n">
        <v>0</v>
      </c>
      <c r="D61" t="n">
        <v>0</v>
      </c>
      <c r="E61" t="inlineStr">
        <is>
          <t>Lambs</t>
        </is>
      </c>
    </row>
    <row r="62">
      <c r="A62" t="inlineStr">
        <is>
          <t>Stock</t>
        </is>
      </c>
      <c r="B62" t="inlineStr">
        <is>
          <t>7 in murrain after weaning and before shearing.</t>
        </is>
      </c>
      <c r="C62" t="n">
        <v>0</v>
      </c>
      <c r="D62" t="n">
        <v>0</v>
      </c>
      <c r="E62" t="inlineStr">
        <is>
          <t>Lambs</t>
        </is>
      </c>
      <c r="H62" t="inlineStr">
        <is>
          <t>7</t>
        </is>
      </c>
    </row>
    <row r="63">
      <c r="A63" t="inlineStr">
        <is>
          <t>Stock</t>
        </is>
      </c>
      <c r="B63" t="inlineStr">
        <is>
          <t>12 in murrain after shearing.</t>
        </is>
      </c>
      <c r="C63" t="n">
        <v>0</v>
      </c>
      <c r="D63" t="n">
        <v>0</v>
      </c>
      <c r="E63" t="inlineStr">
        <is>
          <t>Lambs</t>
        </is>
      </c>
      <c r="H63" t="inlineStr">
        <is>
          <t>12</t>
        </is>
      </c>
    </row>
    <row r="64">
      <c r="A64" t="inlineStr">
        <is>
          <t>Stock</t>
        </is>
      </c>
      <c r="B64" t="inlineStr">
        <is>
          <t>30 removed from stock and sold within before shearing.</t>
        </is>
      </c>
      <c r="C64" t="n">
        <v>0</v>
      </c>
      <c r="D64" t="n">
        <v>0</v>
      </c>
      <c r="E64" t="inlineStr">
        <is>
          <t>Lambs</t>
        </is>
      </c>
      <c r="I64" t="inlineStr">
        <is>
          <t>30</t>
        </is>
      </c>
    </row>
    <row r="65">
      <c r="A65" t="inlineStr">
        <is>
          <t>Stock</t>
        </is>
      </c>
      <c r="B65" t="inlineStr">
        <is>
          <t>Total, 140. 302 remain.</t>
        </is>
      </c>
      <c r="C65" t="n">
        <v>0</v>
      </c>
      <c r="D65" t="n">
        <v>0</v>
      </c>
      <c r="E65" t="inlineStr">
        <is>
          <t>Lambs</t>
        </is>
      </c>
      <c r="F65" t="inlineStr">
        <is>
          <t>302</t>
        </is>
      </c>
    </row>
    <row r="66">
      <c r="A66" t="inlineStr">
        <is>
          <t>Stock</t>
        </is>
      </c>
      <c r="B66" t="inlineStr">
        <is>
          <t>Boars: 1 remains.</t>
        </is>
      </c>
      <c r="C66" t="n">
        <v>0</v>
      </c>
      <c r="D66" t="n">
        <v>0</v>
      </c>
      <c r="E66" t="inlineStr">
        <is>
          <t>Boars</t>
        </is>
      </c>
    </row>
    <row r="67">
      <c r="A67" t="inlineStr">
        <is>
          <t>Stock</t>
        </is>
      </c>
      <c r="B67" t="inlineStr">
        <is>
          <t>Sows: 3 remain.</t>
        </is>
      </c>
      <c r="C67" t="n">
        <v>0</v>
      </c>
      <c r="D67" t="n">
        <v>0</v>
      </c>
      <c r="E67" t="inlineStr">
        <is>
          <t>Sows</t>
        </is>
      </c>
      <c r="F67" t="inlineStr">
        <is>
          <t>3</t>
        </is>
      </c>
    </row>
    <row r="68">
      <c r="A68" t="inlineStr">
        <is>
          <t>Stock</t>
        </is>
      </c>
      <c r="B68" t="inlineStr">
        <is>
          <t>Pigs: 35 remain.</t>
        </is>
      </c>
      <c r="C68" t="n">
        <v>0</v>
      </c>
      <c r="D68" t="n">
        <v>0</v>
      </c>
      <c r="E68" t="inlineStr">
        <is>
          <t>Pigs</t>
        </is>
      </c>
      <c r="F68" t="inlineStr">
        <is>
          <t>35</t>
        </is>
      </c>
    </row>
    <row r="69">
      <c r="A69" t="inlineStr">
        <is>
          <t>Stock</t>
        </is>
      </c>
      <c r="B69" t="inlineStr">
        <is>
          <t>32 added from hoggets below.</t>
        </is>
      </c>
      <c r="C69" t="n">
        <v>0</v>
      </c>
      <c r="D69" t="n">
        <v>0</v>
      </c>
      <c r="E69" t="inlineStr">
        <is>
          <t>Pigs</t>
        </is>
      </c>
    </row>
    <row r="70">
      <c r="A70" t="inlineStr">
        <is>
          <t>Stock</t>
        </is>
      </c>
      <c r="B70" t="inlineStr">
        <is>
          <t>Total, 67. 8 in murrain.</t>
        </is>
      </c>
      <c r="C70" t="n">
        <v>0</v>
      </c>
      <c r="D70" t="n">
        <v>0</v>
      </c>
      <c r="E70" t="inlineStr">
        <is>
          <t>Pigs</t>
        </is>
      </c>
      <c r="H70" t="inlineStr">
        <is>
          <t>8</t>
        </is>
      </c>
    </row>
    <row r="71">
      <c r="A71" t="inlineStr">
        <is>
          <t>Stock</t>
        </is>
      </c>
      <c r="B71" t="inlineStr">
        <is>
          <t>20 sold within.</t>
        </is>
      </c>
      <c r="C71" t="n">
        <v>0</v>
      </c>
      <c r="D71" t="n">
        <v>0</v>
      </c>
      <c r="E71" t="inlineStr">
        <is>
          <t>Pigs</t>
        </is>
      </c>
      <c r="I71" t="inlineStr">
        <is>
          <t>20</t>
        </is>
      </c>
    </row>
    <row r="72">
      <c r="A72" t="inlineStr">
        <is>
          <t>Stock</t>
        </is>
      </c>
      <c r="B72" t="inlineStr">
        <is>
          <t>Total, 28. 39 remain.</t>
        </is>
      </c>
      <c r="C72" t="n">
        <v>0</v>
      </c>
      <c r="D72" t="n">
        <v>0</v>
      </c>
      <c r="E72" t="inlineStr">
        <is>
          <t>Pigs</t>
        </is>
      </c>
    </row>
    <row r="73">
      <c r="A73" t="inlineStr">
        <is>
          <t>Stock</t>
        </is>
      </c>
      <c r="B73" t="inlineStr">
        <is>
          <t>Hoggets: 39 remain from the piglets.</t>
        </is>
      </c>
      <c r="C73" t="n">
        <v>0</v>
      </c>
      <c r="D73" t="n">
        <v>0</v>
      </c>
      <c r="E73" t="inlineStr">
        <is>
          <t>Hoggets</t>
        </is>
      </c>
      <c r="F73" t="inlineStr">
        <is>
          <t>39</t>
        </is>
      </c>
    </row>
    <row r="74">
      <c r="A74" t="inlineStr">
        <is>
          <t>Stock</t>
        </is>
      </c>
      <c r="B74" t="inlineStr">
        <is>
          <t>Total, 39. 7 in murrain.</t>
        </is>
      </c>
      <c r="C74" t="n">
        <v>0</v>
      </c>
      <c r="D74" t="n">
        <v>0</v>
      </c>
      <c r="E74" t="inlineStr">
        <is>
          <t>Hoggets</t>
        </is>
      </c>
      <c r="H74" t="inlineStr">
        <is>
          <t>7</t>
        </is>
      </c>
    </row>
    <row r="75">
      <c r="A75" t="inlineStr">
        <is>
          <t>Stock</t>
        </is>
      </c>
      <c r="B75" t="inlineStr">
        <is>
          <t>32 added above to pigs.</t>
        </is>
      </c>
      <c r="C75" t="n">
        <v>0</v>
      </c>
      <c r="D75" t="n">
        <v>0</v>
      </c>
      <c r="E75" t="inlineStr">
        <is>
          <t>Hoggets</t>
        </is>
      </c>
    </row>
    <row r="76">
      <c r="A76" t="inlineStr">
        <is>
          <t>Stock</t>
        </is>
      </c>
      <c r="B76" t="inlineStr">
        <is>
          <t>Total as before.</t>
        </is>
      </c>
      <c r="C76" t="n">
        <v>0</v>
      </c>
      <c r="D76" t="n">
        <v>0</v>
      </c>
      <c r="E76" t="inlineStr">
        <is>
          <t>Hoggets</t>
        </is>
      </c>
    </row>
    <row r="77">
      <c r="A77" t="inlineStr">
        <is>
          <t>Stock</t>
        </is>
      </c>
      <c r="B77" t="inlineStr">
        <is>
          <t>It balances.</t>
        </is>
      </c>
      <c r="C77" t="n">
        <v>0</v>
      </c>
      <c r="D77" t="n">
        <v>0</v>
      </c>
      <c r="E77" t="inlineStr">
        <is>
          <t>Hoggets</t>
        </is>
      </c>
    </row>
    <row r="78">
      <c r="A78" t="inlineStr">
        <is>
          <t>Stock</t>
        </is>
      </c>
      <c r="B78" t="inlineStr">
        <is>
          <t>Piglets: 45 from the offspring of the said sows.</t>
        </is>
      </c>
      <c r="C78" t="n">
        <v>0</v>
      </c>
      <c r="D78" t="n">
        <v>0</v>
      </c>
      <c r="E78" t="inlineStr">
        <is>
          <t>Piglets</t>
        </is>
      </c>
      <c r="G78" t="inlineStr">
        <is>
          <t>45</t>
        </is>
      </c>
    </row>
    <row r="79">
      <c r="A79" t="inlineStr">
        <is>
          <t>Stock</t>
        </is>
      </c>
      <c r="B79" t="inlineStr">
        <is>
          <t>Total, 45. 4 in tithe.</t>
        </is>
      </c>
      <c r="C79" t="n">
        <v>0</v>
      </c>
      <c r="D79" t="n">
        <v>0</v>
      </c>
      <c r="E79" t="inlineStr">
        <is>
          <t>Piglets</t>
        </is>
      </c>
    </row>
    <row r="80">
      <c r="A80" t="inlineStr">
        <is>
          <t>Stock</t>
        </is>
      </c>
      <c r="B80" t="inlineStr">
        <is>
          <t>2 in customary payment to the reeve and forester.</t>
        </is>
      </c>
      <c r="C80" t="n">
        <v>0</v>
      </c>
      <c r="D80" t="n">
        <v>0</v>
      </c>
      <c r="E80" t="inlineStr">
        <is>
          <t>Piglets</t>
        </is>
      </c>
    </row>
    <row r="81">
      <c r="A81" t="inlineStr">
        <is>
          <t>Stock</t>
        </is>
      </c>
      <c r="B81" t="inlineStr">
        <is>
          <t>Total, 6. 39 remain.</t>
        </is>
      </c>
      <c r="C81" t="n">
        <v>0</v>
      </c>
      <c r="D81" t="n">
        <v>0</v>
      </c>
      <c r="E81" t="inlineStr">
        <is>
          <t>Piglets</t>
        </is>
      </c>
      <c r="F81" t="inlineStr">
        <is>
          <t>39</t>
        </is>
      </c>
    </row>
    <row r="82">
      <c r="A82" t="inlineStr">
        <is>
          <t>Stock</t>
        </is>
      </c>
      <c r="B82" t="inlineStr">
        <is>
          <t>Swans: 13 remain.</t>
        </is>
      </c>
      <c r="C82" t="n">
        <v>0</v>
      </c>
      <c r="D82" t="n">
        <v>0</v>
      </c>
      <c r="E82" t="inlineStr">
        <is>
          <t>Swans</t>
        </is>
      </c>
      <c r="F82" t="inlineStr">
        <is>
          <t>13</t>
        </is>
      </c>
    </row>
    <row r="83">
      <c r="A83" t="inlineStr">
        <is>
          <t>Stock</t>
        </is>
      </c>
      <c r="B83" t="inlineStr">
        <is>
          <t>3 offspring this year.</t>
        </is>
      </c>
      <c r="C83" t="n">
        <v>0</v>
      </c>
      <c r="D83" t="n">
        <v>0</v>
      </c>
      <c r="E83" t="inlineStr">
        <is>
          <t>Swans</t>
        </is>
      </c>
      <c r="G83" t="inlineStr">
        <is>
          <t>3</t>
        </is>
      </c>
    </row>
    <row r="84">
      <c r="A84" t="inlineStr">
        <is>
          <t>Stock</t>
        </is>
      </c>
      <c r="B84" t="inlineStr">
        <is>
          <t>Total, 16. 2 in murrain.</t>
        </is>
      </c>
      <c r="C84" t="n">
        <v>0</v>
      </c>
      <c r="D84" t="n">
        <v>0</v>
      </c>
      <c r="E84" t="inlineStr">
        <is>
          <t>Swans</t>
        </is>
      </c>
      <c r="H84" t="inlineStr">
        <is>
          <t>2</t>
        </is>
      </c>
    </row>
    <row r="85">
      <c r="A85" t="inlineStr">
        <is>
          <t>Stock</t>
        </is>
      </c>
      <c r="B85" t="inlineStr">
        <is>
          <t>Total, 2. 14 remain..</t>
        </is>
      </c>
      <c r="C85" t="n">
        <v>0</v>
      </c>
      <c r="D85" t="n">
        <v>0</v>
      </c>
      <c r="E85" t="inlineStr">
        <is>
          <t>Swans</t>
        </is>
      </c>
    </row>
    <row r="86">
      <c r="A86" t="inlineStr">
        <is>
          <t>Stock</t>
        </is>
      </c>
      <c r="B86" t="inlineStr">
        <is>
          <t>Coarse wool: 342 fleeces from wethers, 5 from rams, 400 from ewes and 252 from hoggs produced at the shearing this year, answering for an average of 1'A lb a fleece, plus 1 clove 4.5 lb in all.</t>
        </is>
      </c>
      <c r="C86" t="n">
        <v>0</v>
      </c>
      <c r="D86" t="n">
        <v>0</v>
      </c>
      <c r="E86" t="inlineStr">
        <is>
          <t>Coarse wool</t>
        </is>
      </c>
    </row>
    <row r="87">
      <c r="A87" t="inlineStr">
        <is>
          <t>Stock</t>
        </is>
      </c>
      <c r="B87" t="inlineStr">
        <is>
          <t>Total, 999 fleeces. 100 in tithe.</t>
        </is>
      </c>
      <c r="C87" t="n">
        <v>0</v>
      </c>
      <c r="D87" t="n">
        <v>0</v>
      </c>
      <c r="E87" t="inlineStr">
        <is>
          <t>Coarse wool</t>
        </is>
      </c>
    </row>
    <row r="88">
      <c r="A88" t="inlineStr">
        <is>
          <t>Stock</t>
        </is>
      </c>
      <c r="B88" t="inlineStr">
        <is>
          <t>2 in customary payment to 2 shepherds.</t>
        </is>
      </c>
      <c r="C88" t="n">
        <v>0</v>
      </c>
      <c r="D88" t="n">
        <v>0</v>
      </c>
      <c r="E88" t="inlineStr">
        <is>
          <t>Coarse wool</t>
        </is>
      </c>
    </row>
    <row r="89">
      <c r="A89" t="inlineStr">
        <is>
          <t>Stock</t>
        </is>
      </c>
      <c r="B89" t="inlineStr">
        <is>
          <t>682 delivered to John Arnald', receiver of Wolvesey, weighing 2 sacks 33 cloves.</t>
        </is>
      </c>
      <c r="C89" t="n">
        <v>0</v>
      </c>
      <c r="D89" t="n">
        <v>0</v>
      </c>
      <c r="E89" t="inlineStr">
        <is>
          <t>Coarse wool</t>
        </is>
      </c>
    </row>
    <row r="90">
      <c r="A90" t="inlineStr">
        <is>
          <t>Stock</t>
        </is>
      </c>
      <c r="B90" t="inlineStr">
        <is>
          <t>215 sold within, weighing 25 cloves 3.5 lb.'.</t>
        </is>
      </c>
      <c r="C90" t="n">
        <v>0</v>
      </c>
      <c r="D90" t="n">
        <v>0</v>
      </c>
      <c r="E90" t="inlineStr">
        <is>
          <t>Coarse wool</t>
        </is>
      </c>
      <c r="I90" t="inlineStr">
        <is>
          <t>215</t>
        </is>
      </c>
    </row>
    <row r="91">
      <c r="A91" t="inlineStr">
        <is>
          <t>Stock</t>
        </is>
      </c>
      <c r="B91" t="inlineStr">
        <is>
          <t>Total as before.</t>
        </is>
      </c>
      <c r="C91" t="n">
        <v>0</v>
      </c>
      <c r="D91" t="n">
        <v>0</v>
      </c>
      <c r="E91" t="inlineStr">
        <is>
          <t>Coarse wool</t>
        </is>
      </c>
    </row>
    <row r="92">
      <c r="A92" t="inlineStr">
        <is>
          <t>Stock</t>
        </is>
      </c>
      <c r="B92" t="inlineStr">
        <is>
          <t>None remains..</t>
        </is>
      </c>
      <c r="C92" t="n">
        <v>0</v>
      </c>
      <c r="D92" t="n">
        <v>0</v>
      </c>
      <c r="E92" t="inlineStr">
        <is>
          <t>Coarse wool</t>
        </is>
      </c>
    </row>
    <row r="93">
      <c r="A93" t="inlineStr">
        <is>
          <t>Stock</t>
        </is>
      </c>
      <c r="B93" t="inlineStr">
        <is>
          <t>Lamb's-wool: 314 fleeces from lambs produced at the shearing this year.</t>
        </is>
      </c>
      <c r="C93" t="n">
        <v>0</v>
      </c>
      <c r="D93" t="n">
        <v>0</v>
      </c>
      <c r="E93" t="inlineStr">
        <is>
          <t>Coarse wool</t>
        </is>
      </c>
    </row>
    <row r="94">
      <c r="A94" t="inlineStr">
        <is>
          <t>Stock</t>
        </is>
      </c>
      <c r="B94" t="inlineStr">
        <is>
          <t>all sold within, weighing 13 cloves.</t>
        </is>
      </c>
      <c r="C94" t="n">
        <v>0</v>
      </c>
      <c r="D94" t="n">
        <v>0</v>
      </c>
      <c r="E94" t="inlineStr">
        <is>
          <t>Coarse wool</t>
        </is>
      </c>
    </row>
    <row r="95">
      <c r="A95" t="inlineStr">
        <is>
          <t>Stock</t>
        </is>
      </c>
      <c r="B95" t="inlineStr">
        <is>
          <t>none remains.</t>
        </is>
      </c>
      <c r="C95" t="n">
        <v>0</v>
      </c>
      <c r="D95" t="n">
        <v>0</v>
      </c>
      <c r="E95" t="inlineStr">
        <is>
          <t>Coarse wool</t>
        </is>
      </c>
    </row>
    <row r="96">
      <c r="A96" t="inlineStr">
        <is>
          <t>Stock</t>
        </is>
      </c>
      <c r="B96" t="inlineStr">
        <is>
          <t>Wool locks: 6 lb imposed on the shepherds at the shearing this year.</t>
        </is>
      </c>
      <c r="C96" t="n">
        <v>0</v>
      </c>
      <c r="D96" t="n">
        <v>0</v>
      </c>
      <c r="E96" t="inlineStr">
        <is>
          <t>Wool locks</t>
        </is>
      </c>
    </row>
    <row r="97">
      <c r="A97" t="inlineStr">
        <is>
          <t>Stock</t>
        </is>
      </c>
      <c r="B97" t="inlineStr">
        <is>
          <t>sold within.</t>
        </is>
      </c>
      <c r="C97" t="n">
        <v>0</v>
      </c>
      <c r="D97" t="n">
        <v>0</v>
      </c>
      <c r="E97" t="inlineStr">
        <is>
          <t>Wool locks</t>
        </is>
      </c>
    </row>
    <row r="98">
      <c r="A98" t="inlineStr">
        <is>
          <t>Stock</t>
        </is>
      </c>
      <c r="B98" t="inlineStr">
        <is>
          <t>none remain.</t>
        </is>
      </c>
      <c r="C98" t="n">
        <v>0</v>
      </c>
      <c r="D98" t="n">
        <v>0</v>
      </c>
      <c r="E98" t="inlineStr">
        <is>
          <t>Wool locks</t>
        </is>
      </c>
    </row>
    <row r="99">
      <c r="A99" t="inlineStr">
        <is>
          <t>Stock</t>
        </is>
      </c>
      <c r="B99" t="inlineStr">
        <is>
          <t>Hides: 1 from an ox in murrain as made clear above.</t>
        </is>
      </c>
      <c r="C99" t="n">
        <v>0</v>
      </c>
      <c r="D99" t="n">
        <v>0</v>
      </c>
      <c r="E99" t="inlineStr">
        <is>
          <t>Wool locks</t>
        </is>
      </c>
      <c r="H99" t="inlineStr">
        <is>
          <t>1</t>
        </is>
      </c>
    </row>
    <row r="100">
      <c r="A100" t="inlineStr">
        <is>
          <t>Stock</t>
        </is>
      </c>
      <c r="B100" t="inlineStr">
        <is>
          <t>sold within.</t>
        </is>
      </c>
      <c r="C100" t="n">
        <v>0</v>
      </c>
      <c r="D100" t="n">
        <v>0</v>
      </c>
      <c r="E100" t="inlineStr">
        <is>
          <t>Wool locks</t>
        </is>
      </c>
    </row>
    <row r="101">
      <c r="A101" t="inlineStr">
        <is>
          <t>Stock</t>
        </is>
      </c>
      <c r="B101" t="inlineStr">
        <is>
          <t>none remain..</t>
        </is>
      </c>
      <c r="C101" t="n">
        <v>0</v>
      </c>
      <c r="D101" t="n">
        <v>0</v>
      </c>
      <c r="E101" t="inlineStr">
        <is>
          <t>Wool locks</t>
        </is>
      </c>
    </row>
    <row r="102">
      <c r="A102" t="inlineStr">
        <is>
          <t>Stock</t>
        </is>
      </c>
      <c r="B102" t="inlineStr">
        <is>
          <t>Woolskins: 30 from wethers, 3 from rams, 37 from ewes and 30 from hoggs in murrain before shearing as made clear above.</t>
        </is>
      </c>
      <c r="C102" t="n">
        <v>0</v>
      </c>
      <c r="D102" t="n">
        <v>0</v>
      </c>
      <c r="E102" t="inlineStr">
        <is>
          <t>Woolskins</t>
        </is>
      </c>
      <c r="H102" t="inlineStr">
        <is>
          <t>37</t>
        </is>
      </c>
    </row>
    <row r="103">
      <c r="A103" t="inlineStr">
        <is>
          <t>Stock</t>
        </is>
      </c>
      <c r="B103" t="inlineStr">
        <is>
          <t>Total, 100. 10 in tithe.</t>
        </is>
      </c>
      <c r="C103" t="n">
        <v>0</v>
      </c>
      <c r="D103" t="n">
        <v>0</v>
      </c>
      <c r="E103" t="inlineStr">
        <is>
          <t>Woolskins</t>
        </is>
      </c>
    </row>
    <row r="104">
      <c r="A104" t="inlineStr">
        <is>
          <t>Stock</t>
        </is>
      </c>
      <c r="B104" t="inlineStr">
        <is>
          <t>80 sold.</t>
        </is>
      </c>
      <c r="C104" t="n">
        <v>0</v>
      </c>
      <c r="D104" t="n">
        <v>0</v>
      </c>
      <c r="E104" t="inlineStr">
        <is>
          <t>Woolskins</t>
        </is>
      </c>
      <c r="I104" t="inlineStr">
        <is>
          <t>80</t>
        </is>
      </c>
    </row>
    <row r="105">
      <c r="A105" t="inlineStr">
        <is>
          <t>Stock</t>
        </is>
      </c>
      <c r="B105" t="inlineStr">
        <is>
          <t>10 sold at the audit for 1 shilling 8pence.</t>
        </is>
      </c>
      <c r="C105" t="n">
        <v>0</v>
      </c>
      <c r="D105" t="n">
        <v>0</v>
      </c>
      <c r="E105" t="inlineStr">
        <is>
          <t>Woolskins</t>
        </is>
      </c>
      <c r="I105" t="inlineStr">
        <is>
          <t>10</t>
        </is>
      </c>
    </row>
    <row r="106">
      <c r="A106" t="inlineStr">
        <is>
          <t>Stock</t>
        </is>
      </c>
      <c r="B106" t="inlineStr">
        <is>
          <t>Total as before.</t>
        </is>
      </c>
      <c r="C106" t="n">
        <v>0</v>
      </c>
      <c r="D106" t="n">
        <v>0</v>
      </c>
      <c r="E106" t="inlineStr">
        <is>
          <t>Woolskins</t>
        </is>
      </c>
    </row>
    <row r="107">
      <c r="A107" t="inlineStr">
        <is>
          <t>Stock</t>
        </is>
      </c>
      <c r="B107" t="inlineStr">
        <is>
          <t>None remain.</t>
        </is>
      </c>
      <c r="C107" t="n">
        <v>0</v>
      </c>
      <c r="D107" t="n">
        <v>0</v>
      </c>
      <c r="E107" t="inlineStr">
        <is>
          <t>Woolskins</t>
        </is>
      </c>
    </row>
    <row r="108">
      <c r="A108" t="inlineStr">
        <is>
          <t>Stock</t>
        </is>
      </c>
      <c r="B108" t="inlineStr">
        <is>
          <t>Bare skins: 19 from wethers and 12 from ewes in murrain after shearing as made clear above.</t>
        </is>
      </c>
      <c r="C108" t="n">
        <v>0</v>
      </c>
      <c r="D108" t="n">
        <v>0</v>
      </c>
      <c r="E108" t="inlineStr">
        <is>
          <t>Bareskins</t>
        </is>
      </c>
      <c r="H108" t="inlineStr">
        <is>
          <t>19</t>
        </is>
      </c>
    </row>
    <row r="109">
      <c r="A109" t="inlineStr">
        <is>
          <t>Stock</t>
        </is>
      </c>
      <c r="B109" t="inlineStr">
        <is>
          <t>Total, 31. Sold within.</t>
        </is>
      </c>
      <c r="C109" t="n">
        <v>0</v>
      </c>
      <c r="D109" t="n">
        <v>0</v>
      </c>
      <c r="E109" t="inlineStr">
        <is>
          <t>Bareskins</t>
        </is>
      </c>
    </row>
    <row r="110">
      <c r="A110" t="inlineStr">
        <is>
          <t>Stock</t>
        </is>
      </c>
      <c r="B110" t="inlineStr">
        <is>
          <t>none remain.</t>
        </is>
      </c>
      <c r="C110" t="n">
        <v>0</v>
      </c>
      <c r="D110" t="n">
        <v>0</v>
      </c>
      <c r="E110" t="inlineStr">
        <is>
          <t>Bareskins</t>
        </is>
      </c>
    </row>
    <row r="111">
      <c r="A111" t="inlineStr">
        <is>
          <t>Stock</t>
        </is>
      </c>
      <c r="B111" t="inlineStr">
        <is>
          <t>Lambskins: 62 from lambs in murrain before weaning as made clear above.</t>
        </is>
      </c>
      <c r="C111" t="n">
        <v>0</v>
      </c>
      <c r="D111" t="n">
        <v>0</v>
      </c>
      <c r="E111" t="inlineStr">
        <is>
          <t>Lambskins</t>
        </is>
      </c>
      <c r="H111" t="inlineStr">
        <is>
          <t>62</t>
        </is>
      </c>
    </row>
    <row r="112">
      <c r="A112" t="inlineStr">
        <is>
          <t>Stock</t>
        </is>
      </c>
      <c r="B112" t="inlineStr">
        <is>
          <t>Total, 62. 6 in tithe.</t>
        </is>
      </c>
      <c r="C112" t="n">
        <v>0</v>
      </c>
      <c r="D112" t="n">
        <v>0</v>
      </c>
      <c r="E112" t="inlineStr">
        <is>
          <t>Lambskins</t>
        </is>
      </c>
    </row>
    <row r="113">
      <c r="A113" t="inlineStr">
        <is>
          <t>Stock</t>
        </is>
      </c>
      <c r="B113" t="inlineStr">
        <is>
          <t>56 sold within.</t>
        </is>
      </c>
      <c r="C113" t="n">
        <v>0</v>
      </c>
      <c r="D113" t="n">
        <v>0</v>
      </c>
      <c r="E113" t="inlineStr">
        <is>
          <t>Lambskins</t>
        </is>
      </c>
      <c r="I113" t="inlineStr">
        <is>
          <t>56</t>
        </is>
      </c>
    </row>
    <row r="114">
      <c r="A114" t="inlineStr">
        <is>
          <t>Stock</t>
        </is>
      </c>
      <c r="B114" t="inlineStr">
        <is>
          <t>Total as before.</t>
        </is>
      </c>
      <c r="C114" t="n">
        <v>0</v>
      </c>
      <c r="D114" t="n">
        <v>0</v>
      </c>
      <c r="E114" t="inlineStr">
        <is>
          <t>Lambskins</t>
        </is>
      </c>
    </row>
    <row r="115">
      <c r="A115" t="inlineStr">
        <is>
          <t>Stock</t>
        </is>
      </c>
      <c r="B115" t="inlineStr">
        <is>
          <t>None remain.</t>
        </is>
      </c>
      <c r="C115" t="n">
        <v>0</v>
      </c>
      <c r="D115" t="n">
        <v>0</v>
      </c>
      <c r="E115" t="inlineStr">
        <is>
          <t>Lambskins</t>
        </is>
      </c>
    </row>
    <row r="116">
      <c r="A116" t="inlineStr">
        <is>
          <t>Stock</t>
        </is>
      </c>
      <c r="B116" t="inlineStr">
        <is>
          <t>Rotted skins: 7 from lambs in murrain after weaning and before shearing as made clear above.</t>
        </is>
      </c>
      <c r="C116" t="n">
        <v>0</v>
      </c>
      <c r="D116" t="n">
        <v>0</v>
      </c>
      <c r="E116" t="inlineStr">
        <is>
          <t>Rotted skins</t>
        </is>
      </c>
      <c r="H116" t="inlineStr">
        <is>
          <t>7</t>
        </is>
      </c>
    </row>
    <row r="117">
      <c r="A117" t="inlineStr">
        <is>
          <t>Stock</t>
        </is>
      </c>
      <c r="B117" t="inlineStr">
        <is>
          <t>sold within.</t>
        </is>
      </c>
      <c r="C117" t="n">
        <v>0</v>
      </c>
      <c r="D117" t="n">
        <v>0</v>
      </c>
      <c r="E117" t="inlineStr">
        <is>
          <t>Rotted skins</t>
        </is>
      </c>
    </row>
    <row r="118">
      <c r="A118" t="inlineStr">
        <is>
          <t>Stock</t>
        </is>
      </c>
      <c r="B118" t="inlineStr">
        <is>
          <t>none remain.</t>
        </is>
      </c>
      <c r="C118" t="n">
        <v>0</v>
      </c>
      <c r="D118" t="n">
        <v>0</v>
      </c>
      <c r="E118" t="inlineStr">
        <is>
          <t>Rotted skins</t>
        </is>
      </c>
    </row>
    <row r="119">
      <c r="A119" t="inlineStr">
        <is>
          <t>Stock</t>
        </is>
      </c>
      <c r="B119" t="inlineStr">
        <is>
          <t>Shorn skins: 12 from lambs in murrain after shearing as made clear above.</t>
        </is>
      </c>
      <c r="C119" t="n">
        <v>0</v>
      </c>
      <c r="D119" t="n">
        <v>0</v>
      </c>
      <c r="E119" t="inlineStr">
        <is>
          <t>Shorn skins</t>
        </is>
      </c>
      <c r="H119" t="inlineStr">
        <is>
          <t>12</t>
        </is>
      </c>
    </row>
    <row r="120">
      <c r="A120" t="inlineStr">
        <is>
          <t>Stock</t>
        </is>
      </c>
      <c r="B120" t="inlineStr">
        <is>
          <t>sold within.</t>
        </is>
      </c>
      <c r="C120" t="n">
        <v>0</v>
      </c>
      <c r="D120" t="n">
        <v>0</v>
      </c>
      <c r="E120" t="inlineStr">
        <is>
          <t>Shorn skins</t>
        </is>
      </c>
    </row>
    <row r="121">
      <c r="A121" t="inlineStr">
        <is>
          <t>Stock</t>
        </is>
      </c>
      <c r="B121" t="inlineStr">
        <is>
          <t>none remain.</t>
        </is>
      </c>
      <c r="C121" t="n">
        <v>0</v>
      </c>
      <c r="D121" t="n">
        <v>0</v>
      </c>
      <c r="E121" t="inlineStr">
        <is>
          <t>Shorn skins</t>
        </is>
      </c>
    </row>
    <row r="122">
      <c r="A122" t="inlineStr">
        <is>
          <t>Stock</t>
        </is>
      </c>
      <c r="B122" t="inlineStr">
        <is>
          <t>Geese: 1 gander and 4 breeding geese remain.</t>
        </is>
      </c>
      <c r="C122" t="n">
        <v>0</v>
      </c>
      <c r="D122" t="n">
        <v>0</v>
      </c>
      <c r="E122" t="inlineStr">
        <is>
          <t>Poultry stock</t>
        </is>
      </c>
      <c r="F122" t="inlineStr">
        <is>
          <t>1</t>
        </is>
      </c>
    </row>
    <row r="123">
      <c r="A123" t="inlineStr">
        <is>
          <t>Stock</t>
        </is>
      </c>
      <c r="B123" t="inlineStr">
        <is>
          <t>24 offspring.</t>
        </is>
      </c>
      <c r="C123" t="n">
        <v>0</v>
      </c>
      <c r="D123" t="n">
        <v>0</v>
      </c>
      <c r="E123" t="inlineStr">
        <is>
          <t>Poultry stock</t>
        </is>
      </c>
      <c r="G123" t="inlineStr">
        <is>
          <t>24</t>
        </is>
      </c>
    </row>
    <row r="124">
      <c r="A124" t="inlineStr">
        <is>
          <t>Stock</t>
        </is>
      </c>
      <c r="B124" t="inlineStr">
        <is>
          <t>Total, 29. 2 in tithe.</t>
        </is>
      </c>
      <c r="C124" t="n">
        <v>0</v>
      </c>
      <c r="D124" t="n">
        <v>0</v>
      </c>
      <c r="E124" t="inlineStr">
        <is>
          <t>Poultry stock</t>
        </is>
      </c>
    </row>
    <row r="125">
      <c r="A125" t="inlineStr">
        <is>
          <t>Stock</t>
        </is>
      </c>
      <c r="B125" t="inlineStr">
        <is>
          <t>22 sold within.</t>
        </is>
      </c>
      <c r="C125" t="n">
        <v>0</v>
      </c>
      <c r="D125" t="n">
        <v>0</v>
      </c>
      <c r="E125" t="inlineStr">
        <is>
          <t>Poultry stock</t>
        </is>
      </c>
      <c r="I125" t="inlineStr">
        <is>
          <t>22</t>
        </is>
      </c>
    </row>
    <row r="126">
      <c r="A126" t="inlineStr">
        <is>
          <t>Stock</t>
        </is>
      </c>
      <c r="B126" t="inlineStr">
        <is>
          <t>Total, 24. 1 gander and 4 breeding geese remain.</t>
        </is>
      </c>
      <c r="C126" t="n">
        <v>0</v>
      </c>
      <c r="D126" t="n">
        <v>0</v>
      </c>
      <c r="E126" t="inlineStr">
        <is>
          <t>Poultry stock</t>
        </is>
      </c>
    </row>
    <row r="127">
      <c r="A127" t="inlineStr">
        <is>
          <t>Stock</t>
        </is>
      </c>
      <c r="B127" t="inlineStr">
        <is>
          <t>Capons: 24 remain.</t>
        </is>
      </c>
      <c r="C127" t="n">
        <v>0</v>
      </c>
      <c r="D127" t="n">
        <v>0</v>
      </c>
      <c r="E127" t="inlineStr">
        <is>
          <t>Poultry stock</t>
        </is>
      </c>
    </row>
    <row r="128">
      <c r="A128" t="inlineStr">
        <is>
          <t>Stock</t>
        </is>
      </c>
      <c r="B128" t="inlineStr">
        <is>
          <t>24 made from the chickens below.</t>
        </is>
      </c>
      <c r="C128" t="n">
        <v>0</v>
      </c>
      <c r="D128" t="n">
        <v>0</v>
      </c>
      <c r="E128" t="inlineStr">
        <is>
          <t>Poultry stock</t>
        </is>
      </c>
    </row>
    <row r="129">
      <c r="A129" t="inlineStr">
        <is>
          <t>Stock</t>
        </is>
      </c>
      <c r="B129" t="inlineStr">
        <is>
          <t>Total, 48. 24 sold within.</t>
        </is>
      </c>
      <c r="C129" t="n">
        <v>0</v>
      </c>
      <c r="D129" t="n">
        <v>0</v>
      </c>
      <c r="E129" t="inlineStr">
        <is>
          <t>Poultry stock</t>
        </is>
      </c>
      <c r="I129" t="inlineStr">
        <is>
          <t>24</t>
        </is>
      </c>
    </row>
    <row r="130">
      <c r="A130" t="inlineStr">
        <is>
          <t>Stock</t>
        </is>
      </c>
      <c r="B130" t="inlineStr">
        <is>
          <t>Total, 24. 24 remain.</t>
        </is>
      </c>
      <c r="C130" t="n">
        <v>0</v>
      </c>
      <c r="D130" t="n">
        <v>0</v>
      </c>
      <c r="E130" t="inlineStr">
        <is>
          <t>Poultry stock</t>
        </is>
      </c>
    </row>
    <row r="131">
      <c r="A131" t="inlineStr">
        <is>
          <t>Stock</t>
        </is>
      </c>
      <c r="B131" t="inlineStr">
        <is>
          <t>Cocks and hens: 1 cock and 5 hens remain.</t>
        </is>
      </c>
      <c r="C131" t="n">
        <v>0</v>
      </c>
      <c r="D131" t="n">
        <v>0</v>
      </c>
      <c r="E131" t="inlineStr">
        <is>
          <t>Poultry stock</t>
        </is>
      </c>
    </row>
    <row r="132">
      <c r="A132" t="inlineStr">
        <is>
          <t>Stock</t>
        </is>
      </c>
      <c r="B132" t="inlineStr">
        <is>
          <t>Chickens: 24 from the offspring of the hens.</t>
        </is>
      </c>
      <c r="C132" t="n">
        <v>0</v>
      </c>
      <c r="D132" t="n">
        <v>0</v>
      </c>
      <c r="E132" t="inlineStr">
        <is>
          <t>Poultry stock</t>
        </is>
      </c>
      <c r="G132" t="inlineStr">
        <is>
          <t>24</t>
        </is>
      </c>
    </row>
    <row r="133">
      <c r="A133" t="inlineStr">
        <is>
          <t>Stock</t>
        </is>
      </c>
      <c r="B133" t="inlineStr">
        <is>
          <t>all turned into capons above.</t>
        </is>
      </c>
      <c r="C133" t="n">
        <v>0</v>
      </c>
      <c r="D133" t="n">
        <v>0</v>
      </c>
      <c r="E133" t="inlineStr">
        <is>
          <t>Poultry stock</t>
        </is>
      </c>
    </row>
    <row r="134">
      <c r="A134" t="inlineStr">
        <is>
          <t>Stock</t>
        </is>
      </c>
      <c r="B134" t="inlineStr">
        <is>
          <t>none remain.</t>
        </is>
      </c>
      <c r="C134" t="n">
        <v>0</v>
      </c>
      <c r="D134" t="n">
        <v>0</v>
      </c>
      <c r="E134" t="inlineStr">
        <is>
          <t>Poultry stock</t>
        </is>
      </c>
    </row>
    <row r="135">
      <c r="A135" t="inlineStr">
        <is>
          <t>Stock</t>
        </is>
      </c>
      <c r="B135" t="inlineStr">
        <is>
          <t>Eggs: 200 produced by the hens.</t>
        </is>
      </c>
      <c r="C135" t="n">
        <v>0</v>
      </c>
      <c r="D135" t="n">
        <v>0</v>
      </c>
      <c r="E135" t="inlineStr">
        <is>
          <t>Poultry production</t>
        </is>
      </c>
    </row>
    <row r="136">
      <c r="A136" t="inlineStr">
        <is>
          <t>Stock</t>
        </is>
      </c>
      <c r="B136" t="inlineStr">
        <is>
          <t>sold within.</t>
        </is>
      </c>
      <c r="C136" t="n">
        <v>0</v>
      </c>
      <c r="D136" t="n">
        <v>0</v>
      </c>
      <c r="E136" t="inlineStr">
        <is>
          <t>Poultry production</t>
        </is>
      </c>
    </row>
    <row r="137">
      <c r="A137" t="inlineStr">
        <is>
          <t>Stock</t>
        </is>
      </c>
      <c r="B137" t="inlineStr">
        <is>
          <t>none remain.</t>
        </is>
      </c>
      <c r="C137" t="n">
        <v>0</v>
      </c>
      <c r="D137" t="n">
        <v>0</v>
      </c>
      <c r="E137" t="inlineStr">
        <is>
          <t>Poultry production</t>
        </is>
      </c>
    </row>
    <row r="138">
      <c r="A138" t="inlineStr">
        <is>
          <t>Stock</t>
        </is>
      </c>
      <c r="B138" t="inlineStr">
        <is>
          <t>Churchscot: 368 cocks and hens from the churchscot of the customary tenants Martinmas.</t>
        </is>
      </c>
      <c r="C138" t="n">
        <v>0</v>
      </c>
      <c r="D138" t="n">
        <v>0</v>
      </c>
      <c r="E138" t="inlineStr">
        <is>
          <t>Poultry production</t>
        </is>
      </c>
    </row>
    <row r="139">
      <c r="A139" t="inlineStr">
        <is>
          <t>Stock</t>
        </is>
      </c>
      <c r="B139" t="inlineStr">
        <is>
          <t>Total, 368. 16 in default of 3 burgages and 1 ferling of Fulk de Walton'.</t>
        </is>
      </c>
      <c r="C139" t="n">
        <v>0</v>
      </c>
      <c r="D139" t="n">
        <v>0</v>
      </c>
      <c r="E139" t="inlineStr">
        <is>
          <t>Poultry production</t>
        </is>
      </c>
    </row>
    <row r="140">
      <c r="A140" t="inlineStr">
        <is>
          <t>Stock</t>
        </is>
      </c>
      <c r="B140" t="inlineStr">
        <is>
          <t>4 in default of the mill of Standlynch.</t>
        </is>
      </c>
      <c r="C140" t="n">
        <v>0</v>
      </c>
      <c r="D140" t="n">
        <v>0</v>
      </c>
      <c r="E140" t="inlineStr">
        <is>
          <t>Poultry production</t>
        </is>
      </c>
    </row>
    <row r="141">
      <c r="A141" t="inlineStr">
        <is>
          <t>Stock</t>
        </is>
      </c>
      <c r="B141"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141" t="n">
        <v>0</v>
      </c>
      <c r="D141" t="n">
        <v>0</v>
      </c>
      <c r="E141" t="inlineStr">
        <is>
          <t>Poultry production</t>
        </is>
      </c>
    </row>
    <row r="142">
      <c r="A142" t="inlineStr">
        <is>
          <t>Stock</t>
        </is>
      </c>
      <c r="B142" t="inlineStr">
        <is>
          <t>16 in default of the churchscot of Thomas, son of John Fysshere, John Willis of Witherington for 2 tenements, William Thomas, John Styleman, William Wrythelok', William Styleman in Nunton and Thomas Fysshere of Witherington because widowers.</t>
        </is>
      </c>
      <c r="C142" t="n">
        <v>0</v>
      </c>
      <c r="D142" t="n">
        <v>0</v>
      </c>
      <c r="E142" t="inlineStr">
        <is>
          <t>Poultry production</t>
        </is>
      </c>
    </row>
    <row r="143">
      <c r="A143" t="inlineStr">
        <is>
          <t>Stock</t>
        </is>
      </c>
      <c r="B143" t="inlineStr">
        <is>
          <t>4 in default of the churchscot of John Coupere in Witherington because in the lord's hands.</t>
        </is>
      </c>
      <c r="C143" t="n">
        <v>0</v>
      </c>
      <c r="D143" t="n">
        <v>0</v>
      </c>
      <c r="E143" t="inlineStr">
        <is>
          <t>Poultry production</t>
        </is>
      </c>
    </row>
    <row r="144">
      <c r="A144" t="inlineStr">
        <is>
          <t>Stock</t>
        </is>
      </c>
      <c r="B144" t="inlineStr">
        <is>
          <t>8 in default of the churchscot of Margery Brewe and William Hulle in Nunton because in the lord's hands.</t>
        </is>
      </c>
      <c r="C144" t="n">
        <v>0</v>
      </c>
      <c r="D144" t="n">
        <v>0</v>
      </c>
      <c r="E144" t="inlineStr">
        <is>
          <t>Poultry production</t>
        </is>
      </c>
    </row>
    <row r="145">
      <c r="A145" t="inlineStr">
        <is>
          <t>Stock</t>
        </is>
      </c>
      <c r="B145" t="inlineStr">
        <is>
          <t>8 in default of the churchscot of Peter Brytfull' in Witherington and Thomas Papull' in Barford because in the lord's hands.</t>
        </is>
      </c>
      <c r="C145" t="n">
        <v>0</v>
      </c>
      <c r="D145" t="n">
        <v>0</v>
      </c>
      <c r="E145" t="inlineStr">
        <is>
          <t>Poultry production</t>
        </is>
      </c>
    </row>
    <row r="146">
      <c r="A146" t="inlineStr">
        <is>
          <t>Stock</t>
        </is>
      </c>
      <c r="B146" t="inlineStr">
        <is>
          <t>4 in default of the churchscot of William Piperwyte because in the lord's hands.</t>
        </is>
      </c>
      <c r="C146" t="n">
        <v>0</v>
      </c>
      <c r="D146" t="n">
        <v>0</v>
      </c>
      <c r="E146" t="inlineStr">
        <is>
          <t>Poultry production</t>
        </is>
      </c>
    </row>
    <row r="147">
      <c r="A147" t="inlineStr">
        <is>
          <t>Stock</t>
        </is>
      </c>
      <c r="B147" t="inlineStr">
        <is>
          <t>8 in default of the churchscot of William Trapull' and John Waltr' in Witherington who relinquished their tenements.</t>
        </is>
      </c>
      <c r="C147" t="n">
        <v>0</v>
      </c>
      <c r="D147" t="n">
        <v>0</v>
      </c>
      <c r="E147" t="inlineStr">
        <is>
          <t>Poultry production</t>
        </is>
      </c>
    </row>
    <row r="148">
      <c r="A148" t="inlineStr">
        <is>
          <t>Stock</t>
        </is>
      </c>
      <c r="B148" t="inlineStr">
        <is>
          <t>8 in default of the churchscot of John Mulward' and Roger Alewyne because in the lord's hands.</t>
        </is>
      </c>
      <c r="C148" t="n">
        <v>0</v>
      </c>
      <c r="D148" t="n">
        <v>0</v>
      </c>
      <c r="E148" t="inlineStr">
        <is>
          <t>Poultry production</t>
        </is>
      </c>
    </row>
    <row r="149">
      <c r="A149" t="inlineStr">
        <is>
          <t>Stock</t>
        </is>
      </c>
      <c r="B149" t="inlineStr">
        <is>
          <t>4 in default of the churchscot of Robert Moudy in Charlton because in the lord's hands..</t>
        </is>
      </c>
      <c r="C149" t="n">
        <v>0</v>
      </c>
      <c r="D149" t="n">
        <v>0</v>
      </c>
      <c r="E149" t="inlineStr">
        <is>
          <t>Poultry production</t>
        </is>
      </c>
    </row>
    <row r="150">
      <c r="A150" t="inlineStr">
        <is>
          <t>Stock</t>
        </is>
      </c>
      <c r="B150" t="inlineStr">
        <is>
          <t>8 in default of the churchscot of Stephen Scoundy in Nunton and John Bruton' in Walton because in the lord's hands.</t>
        </is>
      </c>
      <c r="C150" t="n">
        <v>0</v>
      </c>
      <c r="D150" t="n">
        <v>0</v>
      </c>
      <c r="E150" t="inlineStr">
        <is>
          <t>Poultry production</t>
        </is>
      </c>
    </row>
    <row r="151">
      <c r="A151" t="inlineStr">
        <is>
          <t>Stock</t>
        </is>
      </c>
      <c r="B151" t="inlineStr">
        <is>
          <t>4 in default of the churchscot of John Scoundy in Witherington because in the lord's hands.</t>
        </is>
      </c>
      <c r="C151" t="n">
        <v>0</v>
      </c>
      <c r="D151" t="n">
        <v>0</v>
      </c>
      <c r="E151" t="inlineStr">
        <is>
          <t>Poultry production</t>
        </is>
      </c>
    </row>
    <row r="152">
      <c r="A152" t="inlineStr">
        <is>
          <t>Stock</t>
        </is>
      </c>
      <c r="B152" t="inlineStr">
        <is>
          <t>20 in default of the churchscot of John Dodde in Barford, Nicholas Monke in East Downton, John Coupere for 2 tenements and John Willis in Witherington because in the lord's hands.</t>
        </is>
      </c>
      <c r="C152" t="n">
        <v>0</v>
      </c>
      <c r="D152" t="n">
        <v>0</v>
      </c>
      <c r="E152" t="inlineStr">
        <is>
          <t>Poultry production</t>
        </is>
      </c>
    </row>
    <row r="153">
      <c r="A153" t="inlineStr">
        <is>
          <t>Stock</t>
        </is>
      </c>
      <c r="B153" t="inlineStr">
        <is>
          <t>4 in default of the churchscot of William Tut because in the lord's hands.</t>
        </is>
      </c>
      <c r="C153" t="n">
        <v>0</v>
      </c>
      <c r="D153" t="n">
        <v>0</v>
      </c>
      <c r="E153" t="inlineStr">
        <is>
          <t>Poultry production</t>
        </is>
      </c>
    </row>
    <row r="154">
      <c r="A154" t="inlineStr">
        <is>
          <t>Stock</t>
        </is>
      </c>
      <c r="B154" t="inlineStr">
        <is>
          <t>4 in default of the churchscot of William atte Wythie because in the lord's hands.</t>
        </is>
      </c>
      <c r="C154" t="n">
        <v>0</v>
      </c>
      <c r="D154" t="n">
        <v>0</v>
      </c>
      <c r="E154" t="inlineStr">
        <is>
          <t>Poultry production</t>
        </is>
      </c>
    </row>
    <row r="155">
      <c r="A155" t="inlineStr">
        <is>
          <t>Stock</t>
        </is>
      </c>
      <c r="B155" t="inlineStr">
        <is>
          <t>8 in default of the churchscot of John Hakehoud' the younger and the tenement of Simon Triperose in Wick because in the lord's hands.</t>
        </is>
      </c>
      <c r="C155" t="n">
        <v>0</v>
      </c>
      <c r="D155" t="n">
        <v>0</v>
      </c>
      <c r="E155" t="inlineStr">
        <is>
          <t>Poultry production</t>
        </is>
      </c>
    </row>
    <row r="156">
      <c r="A156" t="inlineStr">
        <is>
          <t>Stock</t>
        </is>
      </c>
      <c r="B156" t="inlineStr">
        <is>
          <t>4 in default of the tenement of Richard Man' in East Downton because in the lord's hands.</t>
        </is>
      </c>
      <c r="C156" t="n">
        <v>0</v>
      </c>
      <c r="D156" t="n">
        <v>0</v>
      </c>
      <c r="E156" t="inlineStr">
        <is>
          <t>Poultry production</t>
        </is>
      </c>
    </row>
    <row r="157">
      <c r="A157" t="inlineStr">
        <is>
          <t>Stock</t>
        </is>
      </c>
      <c r="B157" t="inlineStr">
        <is>
          <t>8 in default of the tenements of John Grave and Thomas Adekyns in Witherington because in the lord's hands.</t>
        </is>
      </c>
      <c r="C157" t="n">
        <v>0</v>
      </c>
      <c r="D157" t="n">
        <v>0</v>
      </c>
      <c r="E157" t="inlineStr">
        <is>
          <t>Poultry production</t>
        </is>
      </c>
    </row>
    <row r="158">
      <c r="A158" t="inlineStr">
        <is>
          <t>Stock</t>
        </is>
      </c>
      <c r="B158" t="inlineStr">
        <is>
          <t>4 in default of the churchscot of John Wythewell' in Barford because in the lord's hands.</t>
        </is>
      </c>
      <c r="C158" t="n">
        <v>0</v>
      </c>
      <c r="D158" t="n">
        <v>0</v>
      </c>
      <c r="E158" t="inlineStr">
        <is>
          <t>Poultry production</t>
        </is>
      </c>
    </row>
    <row r="159">
      <c r="A159" t="inlineStr">
        <is>
          <t>Stock</t>
        </is>
      </c>
      <c r="B159" t="inlineStr">
        <is>
          <t>8 in default of 2 tenements of Richard Shepherde in Wick because in the lord's hands.</t>
        </is>
      </c>
      <c r="C159" t="n">
        <v>0</v>
      </c>
      <c r="D159" t="n">
        <v>0</v>
      </c>
      <c r="E159" t="inlineStr">
        <is>
          <t>Poultry production</t>
        </is>
      </c>
    </row>
    <row r="160">
      <c r="A160" t="inlineStr">
        <is>
          <t>Stock</t>
        </is>
      </c>
      <c r="B160" t="inlineStr">
        <is>
          <t>132 sold within.</t>
        </is>
      </c>
      <c r="C160" t="n">
        <v>0</v>
      </c>
      <c r="D160" t="n">
        <v>0</v>
      </c>
      <c r="E160" t="inlineStr">
        <is>
          <t>Poultry production</t>
        </is>
      </c>
      <c r="I160" t="inlineStr">
        <is>
          <t>132</t>
        </is>
      </c>
    </row>
    <row r="161">
      <c r="A161" t="inlineStr">
        <is>
          <t>Stock</t>
        </is>
      </c>
      <c r="B161" t="inlineStr">
        <is>
          <t>Total as before.</t>
        </is>
      </c>
      <c r="C161" t="n">
        <v>0</v>
      </c>
      <c r="D161" t="n">
        <v>0</v>
      </c>
      <c r="E161" t="inlineStr">
        <is>
          <t>Poultry production</t>
        </is>
      </c>
    </row>
    <row r="162">
      <c r="A162" t="inlineStr">
        <is>
          <t>Stock</t>
        </is>
      </c>
      <c r="B162" t="inlineStr">
        <is>
          <t>It balances.</t>
        </is>
      </c>
      <c r="C162" t="n">
        <v>0</v>
      </c>
      <c r="D162" t="n">
        <v>0</v>
      </c>
      <c r="E162" t="inlineStr">
        <is>
          <t>Poultry production</t>
        </is>
      </c>
    </row>
    <row r="163">
      <c r="A163" t="inlineStr">
        <is>
          <t>Stock</t>
        </is>
      </c>
      <c r="B163" t="inlineStr">
        <is>
          <t>Labour services: The labour services of the customary tenants are to be found in the first pipe roll of the translation of Henry Beaufort', bishop of Winchester.</t>
        </is>
      </c>
      <c r="C163" t="n">
        <v>0</v>
      </c>
      <c r="D163" t="n">
        <v>0</v>
      </c>
      <c r="E163" t="inlineStr">
        <is>
          <t>Poultry production</t>
        </is>
      </c>
    </row>
    <row r="164">
      <c r="A164" t="inlineStr">
        <is>
          <t>Stock</t>
        </is>
      </c>
      <c r="B164" t="inlineStr">
        <is>
          <t>Total</t>
        </is>
      </c>
      <c r="C164" t="n">
        <v>0</v>
      </c>
      <c r="D164" t="n">
        <v>0</v>
      </c>
      <c r="E164" t="inlineStr">
        <is>
          <t>Poultry production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52"/>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curall</t>
        </is>
      </c>
      <c r="B3" t="inlineStr">
        <is>
          <t>and for 4 quarters of curall from the issue of the said wheat,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v>
      </c>
      <c r="Y3" t="n">
        <v>0</v>
      </c>
      <c r="Z3" t="n">
        <v>4</v>
      </c>
      <c r="AA3" t="n">
        <v>4</v>
      </c>
      <c r="AB3" t="n">
        <v>0</v>
      </c>
      <c r="AC3" t="n">
        <v>4</v>
      </c>
      <c r="AD3" t="n">
        <v>0</v>
      </c>
      <c r="AK3" t="n">
        <v>0</v>
      </c>
    </row>
    <row r="4">
      <c r="A4" t="inlineStr">
        <is>
          <t>curall</t>
        </is>
      </c>
      <c r="B4" t="inlineStr">
        <is>
          <t>sold within..</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K4" t="n">
        <v>0</v>
      </c>
    </row>
    <row r="5">
      <c r="A5" t="inlineStr">
        <is>
          <t>curall</t>
        </is>
      </c>
      <c r="B5" t="inlineStr">
        <is>
          <t>it balances.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K5" t="n">
        <v>0</v>
      </c>
    </row>
    <row r="6">
      <c r="A6" t="inlineStr">
        <is>
          <t>curall</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K6" t="n">
        <v>0</v>
      </c>
    </row>
    <row r="7">
      <c r="A7" t="inlineStr">
        <is>
          <t>barley</t>
        </is>
      </c>
      <c r="B7" t="inlineStr">
        <is>
          <t>and for 115 quarters 6 bushels of barley from the issue of the grange, threshed by piece-work.</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115</v>
      </c>
      <c r="Y7" t="n">
        <v>6</v>
      </c>
      <c r="Z7" t="n">
        <v>115.75</v>
      </c>
      <c r="AA7" t="n">
        <v>115.75</v>
      </c>
      <c r="AB7" t="n">
        <v>0</v>
      </c>
      <c r="AC7" t="n">
        <v>115</v>
      </c>
      <c r="AD7" t="n">
        <v>6</v>
      </c>
      <c r="AK7" t="n">
        <v>0</v>
      </c>
    </row>
    <row r="8">
      <c r="A8" t="inlineStr">
        <is>
          <t>barley</t>
        </is>
      </c>
      <c r="B8" t="inlineStr">
        <is>
          <t>4 quarters 2 bushels surcharged so that he answers for a 4-fold yield..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4</v>
      </c>
      <c r="Y8" t="n">
        <v>2</v>
      </c>
      <c r="Z8" t="n">
        <v>4.25</v>
      </c>
      <c r="AA8" t="n">
        <v>4.25</v>
      </c>
      <c r="AB8" t="n">
        <v>0</v>
      </c>
      <c r="AC8" t="n">
        <v>4</v>
      </c>
      <c r="AD8" t="n">
        <v>2</v>
      </c>
      <c r="AK8" t="n">
        <v>0</v>
      </c>
    </row>
    <row r="9">
      <c r="A9" t="inlineStr">
        <is>
          <t>barley</t>
        </is>
      </c>
      <c r="B9" t="inlineStr">
        <is>
          <t>total, 120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120</v>
      </c>
      <c r="Y9" t="n">
        <v>0</v>
      </c>
      <c r="Z9" t="n">
        <v>120</v>
      </c>
      <c r="AA9" t="n">
        <v>120</v>
      </c>
      <c r="AB9" t="n">
        <v>0</v>
      </c>
      <c r="AC9" t="n">
        <v>120</v>
      </c>
      <c r="AD9" t="n">
        <v>0</v>
      </c>
      <c r="AK9" t="n">
        <v>0</v>
      </c>
    </row>
    <row r="10">
      <c r="A10" t="inlineStr">
        <is>
          <t>barley</t>
        </is>
      </c>
      <c r="B10" t="inlineStr">
        <is>
          <t>sown over 68 acres, 34 quarters.</t>
        </is>
      </c>
      <c r="C10" t="n">
        <v>0</v>
      </c>
      <c r="D10" t="n">
        <v>0</v>
      </c>
      <c r="E10" t="n">
        <v>34</v>
      </c>
      <c r="F10" t="n">
        <v>0</v>
      </c>
      <c r="G10" t="n">
        <v>34</v>
      </c>
      <c r="H10" t="n">
        <v>0</v>
      </c>
      <c r="I10" t="n">
        <v>0</v>
      </c>
      <c r="J10" t="n">
        <v>0</v>
      </c>
      <c r="K10" t="n">
        <v>0</v>
      </c>
      <c r="L10" t="n">
        <v>0</v>
      </c>
      <c r="M10" t="n">
        <v>0</v>
      </c>
      <c r="N10" t="n">
        <v>0</v>
      </c>
      <c r="O10" t="n">
        <v>0</v>
      </c>
      <c r="P10" t="n">
        <v>0</v>
      </c>
      <c r="Q10" t="n">
        <v>0</v>
      </c>
      <c r="R10" t="n">
        <v>0</v>
      </c>
      <c r="S10" t="n">
        <v>0</v>
      </c>
      <c r="T10" t="n">
        <v>0</v>
      </c>
      <c r="U10" t="n">
        <v>0</v>
      </c>
      <c r="V10" t="n">
        <v>0</v>
      </c>
      <c r="W10" t="n">
        <v>0</v>
      </c>
      <c r="X10" t="n">
        <v>34</v>
      </c>
      <c r="Y10" t="n">
        <v>0</v>
      </c>
      <c r="Z10" t="n">
        <v>34</v>
      </c>
      <c r="AA10" t="n">
        <v>34</v>
      </c>
      <c r="AB10" t="n">
        <v>0</v>
      </c>
      <c r="AC10" t="n">
        <v>34</v>
      </c>
      <c r="AD10" t="n">
        <v>0</v>
      </c>
      <c r="AK10" t="n">
        <v>0</v>
      </c>
    </row>
    <row r="11">
      <c r="A11" t="inlineStr">
        <is>
          <t>barley</t>
        </is>
      </c>
      <c r="B11" t="inlineStr">
        <is>
          <t>that is, 4 bushels an acre.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4</v>
      </c>
      <c r="Z11" t="n">
        <v>0.5</v>
      </c>
      <c r="AA11" t="n">
        <v>0.5</v>
      </c>
      <c r="AB11" t="n">
        <v>0</v>
      </c>
      <c r="AC11" t="n">
        <v>0</v>
      </c>
      <c r="AD11" t="n">
        <v>4</v>
      </c>
      <c r="AK11" t="n">
        <v>0</v>
      </c>
    </row>
    <row r="12">
      <c r="A12" t="inlineStr">
        <is>
          <t>barley</t>
        </is>
      </c>
      <c r="B12" t="inlineStr">
        <is>
          <t>liveries of the manorial servants below, 64 quarters 6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64</v>
      </c>
      <c r="Y12" t="n">
        <v>6</v>
      </c>
      <c r="Z12" t="n">
        <v>64.75</v>
      </c>
      <c r="AA12" t="n">
        <v>64.75</v>
      </c>
      <c r="AB12" t="n">
        <v>0</v>
      </c>
      <c r="AC12" t="n">
        <v>64</v>
      </c>
      <c r="AD12" t="n">
        <v>6</v>
      </c>
      <c r="AK12" t="n">
        <v>0</v>
      </c>
    </row>
    <row r="13">
      <c r="A13" t="inlineStr">
        <is>
          <t>barley</t>
        </is>
      </c>
      <c r="B13" t="inlineStr">
        <is>
          <t>clearing the lord's dung, 2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2</v>
      </c>
      <c r="Y13" t="n">
        <v>0</v>
      </c>
      <c r="Z13" t="n">
        <v>2</v>
      </c>
      <c r="AA13" t="n">
        <v>2</v>
      </c>
      <c r="AB13" t="n">
        <v>0</v>
      </c>
      <c r="AC13" t="n">
        <v>2</v>
      </c>
      <c r="AD13" t="n">
        <v>0</v>
      </c>
      <c r="AK13" t="n">
        <v>0</v>
      </c>
    </row>
    <row r="14">
      <c r="A14" t="inlineStr">
        <is>
          <t>barley</t>
        </is>
      </c>
      <c r="B14" t="inlineStr">
        <is>
          <t>nothing of the 1 qr which was accustomed to be given for the boon-work of cowyke because the field was not sown this year.</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K14" t="n">
        <v>0</v>
      </c>
    </row>
    <row r="15">
      <c r="A15" t="inlineStr">
        <is>
          <t>barley</t>
        </is>
      </c>
      <c r="B15" t="inlineStr">
        <is>
          <t>supporting the pigs and sows in winter and in weaning the piglets, 2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2</v>
      </c>
      <c r="Y15" t="n">
        <v>0</v>
      </c>
      <c r="Z15" t="n">
        <v>2</v>
      </c>
      <c r="AA15" t="n">
        <v>2</v>
      </c>
      <c r="AB15" t="n">
        <v>0</v>
      </c>
      <c r="AC15" t="n">
        <v>2</v>
      </c>
      <c r="AD15" t="n">
        <v>0</v>
      </c>
      <c r="AK15" t="n">
        <v>0</v>
      </c>
    </row>
    <row r="16">
      <c r="A16" t="inlineStr">
        <is>
          <t>barley</t>
        </is>
      </c>
      <c r="B16" t="inlineStr">
        <is>
          <t>sold within, 13 quarters..</t>
        </is>
      </c>
      <c r="C16" t="n">
        <v>0</v>
      </c>
      <c r="D16" t="n">
        <v>0</v>
      </c>
      <c r="E16" t="n">
        <v>0</v>
      </c>
      <c r="F16" t="n">
        <v>0</v>
      </c>
      <c r="G16" t="n">
        <v>0</v>
      </c>
      <c r="H16" t="n">
        <v>0</v>
      </c>
      <c r="I16" t="n">
        <v>0</v>
      </c>
      <c r="J16" t="n">
        <v>0</v>
      </c>
      <c r="K16" t="n">
        <v>0</v>
      </c>
      <c r="L16" t="n">
        <v>0</v>
      </c>
      <c r="M16" t="n">
        <v>0</v>
      </c>
      <c r="N16" t="n">
        <v>0</v>
      </c>
      <c r="O16" t="n">
        <v>0</v>
      </c>
      <c r="P16" t="n">
        <v>0</v>
      </c>
      <c r="Q16" t="n">
        <v>13</v>
      </c>
      <c r="R16" t="n">
        <v>0</v>
      </c>
      <c r="S16" t="n">
        <v>13</v>
      </c>
      <c r="T16" t="n">
        <v>0</v>
      </c>
      <c r="U16" t="n">
        <v>0</v>
      </c>
      <c r="V16" t="n">
        <v>0</v>
      </c>
      <c r="W16" t="n">
        <v>0</v>
      </c>
      <c r="X16" t="n">
        <v>13</v>
      </c>
      <c r="Y16" t="n">
        <v>0</v>
      </c>
      <c r="Z16" t="n">
        <v>13</v>
      </c>
      <c r="AA16" t="n">
        <v>13</v>
      </c>
      <c r="AB16" t="n">
        <v>0</v>
      </c>
      <c r="AC16" t="n">
        <v>13</v>
      </c>
      <c r="AD16" t="n">
        <v>0</v>
      </c>
      <c r="AK16" t="n">
        <v>0</v>
      </c>
    </row>
    <row r="17">
      <c r="A17" t="inlineStr">
        <is>
          <t>barley</t>
        </is>
      </c>
      <c r="B17" t="inlineStr">
        <is>
          <t>sold at the audit, 4 quarters 2 bushels for £1 5 shilling 6pence.</t>
        </is>
      </c>
      <c r="C17" t="n">
        <v>0</v>
      </c>
      <c r="D17" t="n">
        <v>0</v>
      </c>
      <c r="E17" t="n">
        <v>0</v>
      </c>
      <c r="F17" t="n">
        <v>0</v>
      </c>
      <c r="G17" t="n">
        <v>0</v>
      </c>
      <c r="H17" t="n">
        <v>0</v>
      </c>
      <c r="I17" t="n">
        <v>0</v>
      </c>
      <c r="J17" t="n">
        <v>0</v>
      </c>
      <c r="K17" t="n">
        <v>0</v>
      </c>
      <c r="L17" t="n">
        <v>0</v>
      </c>
      <c r="M17" t="n">
        <v>0</v>
      </c>
      <c r="N17" t="n">
        <v>0</v>
      </c>
      <c r="O17" t="n">
        <v>0</v>
      </c>
      <c r="P17" t="n">
        <v>0</v>
      </c>
      <c r="Q17" t="n">
        <v>4</v>
      </c>
      <c r="R17" t="n">
        <v>2</v>
      </c>
      <c r="S17" t="n">
        <v>4.25</v>
      </c>
      <c r="T17" t="n">
        <v>0</v>
      </c>
      <c r="U17" t="n">
        <v>0</v>
      </c>
      <c r="V17" t="n">
        <v>0</v>
      </c>
      <c r="W17" t="n">
        <v>0</v>
      </c>
      <c r="X17" t="n">
        <v>4</v>
      </c>
      <c r="Y17" t="n">
        <v>2</v>
      </c>
      <c r="Z17" t="n">
        <v>4.25</v>
      </c>
      <c r="AA17" t="n">
        <v>4.25</v>
      </c>
      <c r="AB17" t="n">
        <v>0</v>
      </c>
      <c r="AC17" t="n">
        <v>4</v>
      </c>
      <c r="AD17" t="n">
        <v>2</v>
      </c>
      <c r="AK17" t="n">
        <v>0</v>
      </c>
    </row>
    <row r="18">
      <c r="A18" t="inlineStr">
        <is>
          <t>barley</t>
        </is>
      </c>
      <c r="B18" t="inlineStr">
        <is>
          <t>total as before.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K18" t="n">
        <v>0</v>
      </c>
    </row>
    <row r="19">
      <c r="A19" t="inlineStr">
        <is>
          <t>barley</t>
        </is>
      </c>
      <c r="B19" t="inlineStr">
        <is>
          <t>it balances.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K19" t="n">
        <v>0</v>
      </c>
    </row>
    <row r="20">
      <c r="A20" t="inlineStr">
        <is>
          <t>barley</t>
        </is>
      </c>
      <c r="B20" t="inlineStr">
        <is>
          <t>total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AK20" t="n">
        <v>0</v>
      </c>
    </row>
    <row r="21">
      <c r="A21" t="inlineStr">
        <is>
          <t>oats</t>
        </is>
      </c>
      <c r="B21" t="inlineStr">
        <is>
          <t>and for 21 quarters 6 bushels of oats from the whole issue of the grange, threshed by piece-work.</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21</v>
      </c>
      <c r="U21" t="n">
        <v>6</v>
      </c>
      <c r="V21" t="n">
        <v>21.75</v>
      </c>
      <c r="W21" t="n">
        <v>0</v>
      </c>
      <c r="X21" t="n">
        <v>21</v>
      </c>
      <c r="Y21" t="n">
        <v>6</v>
      </c>
      <c r="Z21" t="n">
        <v>21.75</v>
      </c>
      <c r="AA21" t="n">
        <v>21.75</v>
      </c>
      <c r="AB21" t="n">
        <v>0</v>
      </c>
      <c r="AC21" t="n">
        <v>21</v>
      </c>
      <c r="AD21" t="n">
        <v>6</v>
      </c>
      <c r="AK21" t="n">
        <v>0</v>
      </c>
    </row>
    <row r="22">
      <c r="A22" t="inlineStr">
        <is>
          <t>oats</t>
        </is>
      </c>
      <c r="B22" t="inlineStr">
        <is>
          <t>14 quarters 2 bushels surcharged so that he answers for a 3-fold yield.</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14</v>
      </c>
      <c r="Y22" t="n">
        <v>2</v>
      </c>
      <c r="Z22" t="n">
        <v>14.25</v>
      </c>
      <c r="AA22" t="n">
        <v>14.25</v>
      </c>
      <c r="AB22" t="n">
        <v>0</v>
      </c>
      <c r="AC22" t="n">
        <v>14</v>
      </c>
      <c r="AD22" t="n">
        <v>2</v>
      </c>
      <c r="AK22" t="n">
        <v>0</v>
      </c>
    </row>
    <row r="23">
      <c r="A23" t="inlineStr">
        <is>
          <t>oats</t>
        </is>
      </c>
      <c r="B23" t="inlineStr">
        <is>
          <t>total, 36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36</v>
      </c>
      <c r="Y23" t="n">
        <v>0</v>
      </c>
      <c r="Z23" t="n">
        <v>36</v>
      </c>
      <c r="AA23" t="n">
        <v>36</v>
      </c>
      <c r="AB23" t="n">
        <v>0</v>
      </c>
      <c r="AC23" t="n">
        <v>36</v>
      </c>
      <c r="AD23" t="n">
        <v>0</v>
      </c>
      <c r="AK23" t="n">
        <v>0</v>
      </c>
    </row>
    <row r="24">
      <c r="A24" t="inlineStr">
        <is>
          <t>oats</t>
        </is>
      </c>
      <c r="B24" t="inlineStr">
        <is>
          <t>sown over 16 acres, 8 quarters.</t>
        </is>
      </c>
      <c r="C24" t="n">
        <v>0</v>
      </c>
      <c r="D24" t="n">
        <v>0</v>
      </c>
      <c r="E24" t="n">
        <v>8</v>
      </c>
      <c r="F24" t="n">
        <v>0</v>
      </c>
      <c r="G24" t="n">
        <v>8</v>
      </c>
      <c r="H24" t="n">
        <v>0</v>
      </c>
      <c r="I24" t="n">
        <v>0</v>
      </c>
      <c r="J24" t="n">
        <v>0</v>
      </c>
      <c r="K24" t="n">
        <v>0</v>
      </c>
      <c r="L24" t="n">
        <v>0</v>
      </c>
      <c r="M24" t="n">
        <v>0</v>
      </c>
      <c r="N24" t="n">
        <v>0</v>
      </c>
      <c r="O24" t="n">
        <v>0</v>
      </c>
      <c r="P24" t="n">
        <v>0</v>
      </c>
      <c r="Q24" t="n">
        <v>0</v>
      </c>
      <c r="R24" t="n">
        <v>0</v>
      </c>
      <c r="S24" t="n">
        <v>0</v>
      </c>
      <c r="T24" t="n">
        <v>0</v>
      </c>
      <c r="U24" t="n">
        <v>0</v>
      </c>
      <c r="V24" t="n">
        <v>0</v>
      </c>
      <c r="W24" t="n">
        <v>0</v>
      </c>
      <c r="X24" t="n">
        <v>8</v>
      </c>
      <c r="Y24" t="n">
        <v>0</v>
      </c>
      <c r="Z24" t="n">
        <v>8</v>
      </c>
      <c r="AA24" t="n">
        <v>8</v>
      </c>
      <c r="AB24" t="n">
        <v>0</v>
      </c>
      <c r="AC24" t="n">
        <v>8</v>
      </c>
      <c r="AD24" t="n">
        <v>0</v>
      </c>
      <c r="AK24" t="n">
        <v>0</v>
      </c>
    </row>
    <row r="25">
      <c r="A25" t="inlineStr">
        <is>
          <t>oats</t>
        </is>
      </c>
      <c r="B25" t="inlineStr">
        <is>
          <t>that is, 4 bushels an acre.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4</v>
      </c>
      <c r="Z25" t="n">
        <v>0.5</v>
      </c>
      <c r="AA25" t="n">
        <v>0.5</v>
      </c>
      <c r="AB25" t="n">
        <v>0</v>
      </c>
      <c r="AC25" t="n">
        <v>0</v>
      </c>
      <c r="AD25" t="n">
        <v>4</v>
      </c>
      <c r="AK25" t="n">
        <v>0</v>
      </c>
    </row>
    <row r="26">
      <c r="A26" t="inlineStr">
        <is>
          <t>oats</t>
        </is>
      </c>
      <c r="B26" t="inlineStr">
        <is>
          <t>fodder of the horses at sowing-time, 2 quarters 4 bushels.</t>
        </is>
      </c>
      <c r="C26" t="n">
        <v>0</v>
      </c>
      <c r="D26" t="n">
        <v>0</v>
      </c>
      <c r="E26" t="n">
        <v>0</v>
      </c>
      <c r="F26" t="n">
        <v>0</v>
      </c>
      <c r="G26" t="n">
        <v>0</v>
      </c>
      <c r="H26" t="n">
        <v>0</v>
      </c>
      <c r="I26" t="n">
        <v>0</v>
      </c>
      <c r="J26" t="n">
        <v>0</v>
      </c>
      <c r="K26" t="n">
        <v>0</v>
      </c>
      <c r="L26" t="n">
        <v>0</v>
      </c>
      <c r="M26" t="n">
        <v>0</v>
      </c>
      <c r="N26" t="n">
        <v>2</v>
      </c>
      <c r="O26" t="n">
        <v>4</v>
      </c>
      <c r="P26" t="n">
        <v>2.5</v>
      </c>
      <c r="Q26" t="n">
        <v>0</v>
      </c>
      <c r="R26" t="n">
        <v>0</v>
      </c>
      <c r="S26" t="n">
        <v>0</v>
      </c>
      <c r="T26" t="n">
        <v>0</v>
      </c>
      <c r="U26" t="n">
        <v>0</v>
      </c>
      <c r="V26" t="n">
        <v>0</v>
      </c>
      <c r="W26" t="n">
        <v>0</v>
      </c>
      <c r="X26" t="n">
        <v>2</v>
      </c>
      <c r="Y26" t="n">
        <v>4</v>
      </c>
      <c r="Z26" t="n">
        <v>2.5</v>
      </c>
      <c r="AA26" t="n">
        <v>2.5</v>
      </c>
      <c r="AB26" t="n">
        <v>0</v>
      </c>
      <c r="AC26" t="n">
        <v>2</v>
      </c>
      <c r="AD26" t="n">
        <v>4</v>
      </c>
      <c r="AK26" t="n">
        <v>0</v>
      </c>
    </row>
    <row r="27">
      <c r="A27" t="inlineStr">
        <is>
          <t>oats</t>
        </is>
      </c>
      <c r="B27" t="inlineStr">
        <is>
          <t>meal for the pottage of the manorial servants for the year, 6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6</v>
      </c>
      <c r="Y27" t="n">
        <v>0</v>
      </c>
      <c r="Z27" t="n">
        <v>6</v>
      </c>
      <c r="AA27" t="n">
        <v>6</v>
      </c>
      <c r="AB27" t="n">
        <v>0</v>
      </c>
      <c r="AC27" t="n">
        <v>6</v>
      </c>
      <c r="AD27" t="n">
        <v>0</v>
      </c>
      <c r="AK27" t="n">
        <v>0</v>
      </c>
    </row>
    <row r="28">
      <c r="A28" t="inlineStr">
        <is>
          <t>oats</t>
        </is>
      </c>
      <c r="B28" t="inlineStr">
        <is>
          <t>fodder of the horses at the tourns of martinmas and hockday, by 2 sealed bills, 4 quarters 4 bushels.</t>
        </is>
      </c>
      <c r="C28" t="n">
        <v>0</v>
      </c>
      <c r="D28" t="n">
        <v>0</v>
      </c>
      <c r="E28" t="n">
        <v>0</v>
      </c>
      <c r="F28" t="n">
        <v>0</v>
      </c>
      <c r="G28" t="n">
        <v>0</v>
      </c>
      <c r="H28" t="n">
        <v>0</v>
      </c>
      <c r="I28" t="n">
        <v>0</v>
      </c>
      <c r="J28" t="n">
        <v>0</v>
      </c>
      <c r="K28" t="n">
        <v>0</v>
      </c>
      <c r="L28" t="n">
        <v>0</v>
      </c>
      <c r="M28" t="n">
        <v>0</v>
      </c>
      <c r="N28" t="n">
        <v>4</v>
      </c>
      <c r="O28" t="n">
        <v>4</v>
      </c>
      <c r="P28" t="n">
        <v>4.5</v>
      </c>
      <c r="Q28" t="n">
        <v>0</v>
      </c>
      <c r="R28" t="n">
        <v>0</v>
      </c>
      <c r="S28" t="n">
        <v>0</v>
      </c>
      <c r="T28" t="n">
        <v>0</v>
      </c>
      <c r="U28" t="n">
        <v>0</v>
      </c>
      <c r="V28" t="n">
        <v>0</v>
      </c>
      <c r="W28" t="n">
        <v>0</v>
      </c>
      <c r="X28" t="n">
        <v>4</v>
      </c>
      <c r="Y28" t="n">
        <v>4</v>
      </c>
      <c r="Z28" t="n">
        <v>4.5</v>
      </c>
      <c r="AA28" t="n">
        <v>4.5</v>
      </c>
      <c r="AB28" t="n">
        <v>0</v>
      </c>
      <c r="AC28" t="n">
        <v>4</v>
      </c>
      <c r="AD28" t="n">
        <v>4</v>
      </c>
      <c r="AK28" t="n">
        <v>0</v>
      </c>
    </row>
    <row r="29">
      <c r="A29" t="inlineStr">
        <is>
          <t>oats</t>
        </is>
      </c>
      <c r="B29" t="inlineStr">
        <is>
          <t>sold within, 6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6</v>
      </c>
      <c r="Z29" t="n">
        <v>0.75</v>
      </c>
      <c r="AA29" t="n">
        <v>0.75</v>
      </c>
      <c r="AB29" t="n">
        <v>0</v>
      </c>
      <c r="AC29" t="n">
        <v>0</v>
      </c>
      <c r="AD29" t="n">
        <v>6</v>
      </c>
      <c r="AK29" t="n">
        <v>0</v>
      </c>
    </row>
    <row r="30">
      <c r="A30" t="inlineStr">
        <is>
          <t>oats</t>
        </is>
      </c>
      <c r="B30" t="inlineStr">
        <is>
          <t>sold at the audit, 14 quarters 2 bushels for £1 15 shilling 7.5pence.</t>
        </is>
      </c>
      <c r="C30" t="n">
        <v>0</v>
      </c>
      <c r="D30" t="n">
        <v>0</v>
      </c>
      <c r="E30" t="n">
        <v>0</v>
      </c>
      <c r="F30" t="n">
        <v>0</v>
      </c>
      <c r="G30" t="n">
        <v>0</v>
      </c>
      <c r="H30" t="n">
        <v>0</v>
      </c>
      <c r="I30" t="n">
        <v>0</v>
      </c>
      <c r="J30" t="n">
        <v>0</v>
      </c>
      <c r="K30" t="n">
        <v>0</v>
      </c>
      <c r="L30" t="n">
        <v>0</v>
      </c>
      <c r="M30" t="n">
        <v>0</v>
      </c>
      <c r="N30" t="n">
        <v>0</v>
      </c>
      <c r="O30" t="n">
        <v>0</v>
      </c>
      <c r="P30" t="n">
        <v>0</v>
      </c>
      <c r="Q30" t="n">
        <v>14</v>
      </c>
      <c r="R30" t="n">
        <v>2</v>
      </c>
      <c r="S30" t="n">
        <v>14.25</v>
      </c>
      <c r="T30" t="n">
        <v>0</v>
      </c>
      <c r="U30" t="n">
        <v>0</v>
      </c>
      <c r="V30" t="n">
        <v>0</v>
      </c>
      <c r="W30" t="n">
        <v>0</v>
      </c>
      <c r="X30" t="n">
        <v>14</v>
      </c>
      <c r="Y30" t="n">
        <v>2</v>
      </c>
      <c r="Z30" t="n">
        <v>14.25</v>
      </c>
      <c r="AA30" t="n">
        <v>14.25</v>
      </c>
      <c r="AB30" t="n">
        <v>0</v>
      </c>
      <c r="AC30" t="n">
        <v>14</v>
      </c>
      <c r="AD30" t="n">
        <v>2</v>
      </c>
      <c r="AK30" t="n">
        <v>0</v>
      </c>
    </row>
    <row r="31">
      <c r="A31" t="inlineStr">
        <is>
          <t>oats</t>
        </is>
      </c>
      <c r="B31" t="inlineStr">
        <is>
          <t>total as before.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K31" t="n">
        <v>0</v>
      </c>
    </row>
    <row r="32">
      <c r="A32" t="inlineStr">
        <is>
          <t>oats</t>
        </is>
      </c>
      <c r="B32" t="inlineStr">
        <is>
          <t>it balances.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K32" t="n">
        <v>0</v>
      </c>
    </row>
    <row r="33">
      <c r="A33" t="inlineStr">
        <is>
          <t>oats</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AK33" t="n">
        <v>0</v>
      </c>
    </row>
    <row r="34">
      <c r="A34" t="inlineStr">
        <is>
          <t>peas</t>
        </is>
      </c>
      <c r="B34" t="inlineStr">
        <is>
          <t>and for 2 quarters of peas from the issue of the grange, threshed by piece-work.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0</v>
      </c>
      <c r="Z34" t="n">
        <v>2</v>
      </c>
      <c r="AA34" t="n">
        <v>2</v>
      </c>
      <c r="AB34" t="n">
        <v>0</v>
      </c>
      <c r="AC34" t="n">
        <v>2</v>
      </c>
      <c r="AD34" t="n">
        <v>0</v>
      </c>
      <c r="AK34" t="n">
        <v>0</v>
      </c>
    </row>
    <row r="35">
      <c r="A35" t="inlineStr">
        <is>
          <t>peas</t>
        </is>
      </c>
      <c r="B35" t="inlineStr">
        <is>
          <t>3 quarters from the same issue by estimation in husks..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K35" t="n">
        <v>0</v>
      </c>
    </row>
    <row r="36">
      <c r="A36" t="inlineStr">
        <is>
          <t>peas</t>
        </is>
      </c>
      <c r="B36" t="inlineStr">
        <is>
          <t>total, 5 quarters.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5</v>
      </c>
      <c r="Y36" t="n">
        <v>0</v>
      </c>
      <c r="Z36" t="n">
        <v>5</v>
      </c>
      <c r="AA36" t="n">
        <v>5</v>
      </c>
      <c r="AB36" t="n">
        <v>0</v>
      </c>
      <c r="AC36" t="n">
        <v>5</v>
      </c>
      <c r="AD36" t="n">
        <v>0</v>
      </c>
      <c r="AK36" t="n">
        <v>0</v>
      </c>
    </row>
    <row r="37">
      <c r="A37" t="inlineStr">
        <is>
          <t>peas</t>
        </is>
      </c>
      <c r="B37" t="inlineStr">
        <is>
          <t>sown over 8 acres, 2 quarters.</t>
        </is>
      </c>
      <c r="C37" t="n">
        <v>0</v>
      </c>
      <c r="D37" t="n">
        <v>0</v>
      </c>
      <c r="E37" t="n">
        <v>2</v>
      </c>
      <c r="F37" t="n">
        <v>0</v>
      </c>
      <c r="G37" t="n">
        <v>2</v>
      </c>
      <c r="H37" t="n">
        <v>0</v>
      </c>
      <c r="I37" t="n">
        <v>0</v>
      </c>
      <c r="J37" t="n">
        <v>0</v>
      </c>
      <c r="K37" t="n">
        <v>0</v>
      </c>
      <c r="L37" t="n">
        <v>0</v>
      </c>
      <c r="M37" t="n">
        <v>0</v>
      </c>
      <c r="N37" t="n">
        <v>0</v>
      </c>
      <c r="O37" t="n">
        <v>0</v>
      </c>
      <c r="P37" t="n">
        <v>0</v>
      </c>
      <c r="Q37" t="n">
        <v>0</v>
      </c>
      <c r="R37" t="n">
        <v>0</v>
      </c>
      <c r="S37" t="n">
        <v>0</v>
      </c>
      <c r="T37" t="n">
        <v>0</v>
      </c>
      <c r="U37" t="n">
        <v>0</v>
      </c>
      <c r="V37" t="n">
        <v>0</v>
      </c>
      <c r="W37" t="n">
        <v>0</v>
      </c>
      <c r="X37" t="n">
        <v>2</v>
      </c>
      <c r="Y37" t="n">
        <v>0</v>
      </c>
      <c r="Z37" t="n">
        <v>2</v>
      </c>
      <c r="AA37" t="n">
        <v>2</v>
      </c>
      <c r="AB37" t="n">
        <v>0</v>
      </c>
      <c r="AC37" t="n">
        <v>2</v>
      </c>
      <c r="AD37" t="n">
        <v>0</v>
      </c>
      <c r="AK37" t="n">
        <v>0</v>
      </c>
    </row>
    <row r="38">
      <c r="A38" t="inlineStr">
        <is>
          <t>peas</t>
        </is>
      </c>
      <c r="B38" t="inlineStr">
        <is>
          <t>that is, 2 bushels an acre.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2</v>
      </c>
      <c r="Z38" t="n">
        <v>0.25</v>
      </c>
      <c r="AA38" t="n">
        <v>0.25</v>
      </c>
      <c r="AB38" t="n">
        <v>0</v>
      </c>
      <c r="AC38" t="n">
        <v>0</v>
      </c>
      <c r="AD38" t="n">
        <v>2</v>
      </c>
      <c r="AK38" t="n">
        <v>0</v>
      </c>
    </row>
    <row r="39">
      <c r="A39" t="inlineStr">
        <is>
          <t>peas</t>
        </is>
      </c>
      <c r="B39" t="inlineStr">
        <is>
          <t>supporting the lord's ewes in winter, 3 quarters by estimation in husks..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3</v>
      </c>
      <c r="Y39" t="n">
        <v>0</v>
      </c>
      <c r="Z39" t="n">
        <v>3</v>
      </c>
      <c r="AA39" t="n">
        <v>3</v>
      </c>
      <c r="AB39" t="n">
        <v>0</v>
      </c>
      <c r="AC39" t="n">
        <v>3</v>
      </c>
      <c r="AD39" t="n">
        <v>0</v>
      </c>
      <c r="AK39" t="n">
        <v>0</v>
      </c>
    </row>
    <row r="40">
      <c r="A40" t="inlineStr">
        <is>
          <t>peas</t>
        </is>
      </c>
      <c r="B40" t="inlineStr">
        <is>
          <t>total as before.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K40" t="n">
        <v>0</v>
      </c>
    </row>
    <row r="41">
      <c r="A41" t="inlineStr">
        <is>
          <t>peas</t>
        </is>
      </c>
      <c r="B41" t="inlineStr">
        <is>
          <t>it balances.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K41" t="n">
        <v>0</v>
      </c>
    </row>
    <row r="42">
      <c r="A42" t="inlineStr">
        <is>
          <t>peas</t>
        </is>
      </c>
      <c r="B42" t="inlineStr">
        <is>
          <t>total</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AK42" t="n">
        <v>0</v>
      </c>
    </row>
    <row r="43">
      <c r="A43" t="inlineStr">
        <is>
          <t>vetches</t>
        </is>
      </c>
      <c r="B43" t="inlineStr">
        <is>
          <t>and for 3 quarters 6 bushels of vetches from the issue of the grange, threshed by piece-work.</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6</v>
      </c>
      <c r="Z43" t="n">
        <v>3.75</v>
      </c>
      <c r="AA43" t="n">
        <v>3.75</v>
      </c>
      <c r="AB43" t="n">
        <v>0</v>
      </c>
      <c r="AC43" t="n">
        <v>3</v>
      </c>
      <c r="AD43" t="n">
        <v>6</v>
      </c>
      <c r="AK43" t="n">
        <v>0</v>
      </c>
    </row>
    <row r="44">
      <c r="A44" t="inlineStr">
        <is>
          <t>vetches</t>
        </is>
      </c>
      <c r="B44" t="inlineStr">
        <is>
          <t>3 quarters from the same issue by estimation in husks..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K44" t="n">
        <v>0</v>
      </c>
    </row>
    <row r="45">
      <c r="A45" t="inlineStr">
        <is>
          <t>vetches</t>
        </is>
      </c>
      <c r="B45" t="inlineStr">
        <is>
          <t>total, 6 quarters 6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6</v>
      </c>
      <c r="Y45" t="n">
        <v>6</v>
      </c>
      <c r="Z45" t="n">
        <v>6.75</v>
      </c>
      <c r="AA45" t="n">
        <v>6.75</v>
      </c>
      <c r="AB45" t="n">
        <v>0</v>
      </c>
      <c r="AC45" t="n">
        <v>6</v>
      </c>
      <c r="AD45" t="n">
        <v>6</v>
      </c>
      <c r="AK45" t="n">
        <v>0</v>
      </c>
    </row>
    <row r="46">
      <c r="A46" t="inlineStr">
        <is>
          <t>vetches</t>
        </is>
      </c>
      <c r="B46" t="inlineStr">
        <is>
          <t>sown over 12 acres, 3 quarters.</t>
        </is>
      </c>
      <c r="C46" t="n">
        <v>0</v>
      </c>
      <c r="D46" t="n">
        <v>0</v>
      </c>
      <c r="E46" t="n">
        <v>3</v>
      </c>
      <c r="F46" t="n">
        <v>0</v>
      </c>
      <c r="G46" t="n">
        <v>3</v>
      </c>
      <c r="H46" t="n">
        <v>0</v>
      </c>
      <c r="I46" t="n">
        <v>0</v>
      </c>
      <c r="J46" t="n">
        <v>0</v>
      </c>
      <c r="K46" t="n">
        <v>0</v>
      </c>
      <c r="L46" t="n">
        <v>0</v>
      </c>
      <c r="M46" t="n">
        <v>0</v>
      </c>
      <c r="N46" t="n">
        <v>0</v>
      </c>
      <c r="O46" t="n">
        <v>0</v>
      </c>
      <c r="P46" t="n">
        <v>0</v>
      </c>
      <c r="Q46" t="n">
        <v>0</v>
      </c>
      <c r="R46" t="n">
        <v>0</v>
      </c>
      <c r="S46" t="n">
        <v>0</v>
      </c>
      <c r="T46" t="n">
        <v>0</v>
      </c>
      <c r="U46" t="n">
        <v>0</v>
      </c>
      <c r="V46" t="n">
        <v>0</v>
      </c>
      <c r="W46" t="n">
        <v>0</v>
      </c>
      <c r="X46" t="n">
        <v>3</v>
      </c>
      <c r="Y46" t="n">
        <v>0</v>
      </c>
      <c r="Z46" t="n">
        <v>3</v>
      </c>
      <c r="AA46" t="n">
        <v>3</v>
      </c>
      <c r="AB46" t="n">
        <v>0</v>
      </c>
      <c r="AC46" t="n">
        <v>3</v>
      </c>
      <c r="AD46" t="n">
        <v>0</v>
      </c>
      <c r="AK46" t="n">
        <v>0</v>
      </c>
    </row>
    <row r="47">
      <c r="A47" t="inlineStr">
        <is>
          <t>vetches</t>
        </is>
      </c>
      <c r="B47" t="inlineStr">
        <is>
          <t>that is, 2 bushels an acre.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2</v>
      </c>
      <c r="Z47" t="n">
        <v>0.25</v>
      </c>
      <c r="AA47" t="n">
        <v>0.25</v>
      </c>
      <c r="AB47" t="n">
        <v>0</v>
      </c>
      <c r="AC47" t="n">
        <v>0</v>
      </c>
      <c r="AD47" t="n">
        <v>2</v>
      </c>
      <c r="AK47" t="n">
        <v>0</v>
      </c>
    </row>
    <row r="48">
      <c r="A48" t="inlineStr">
        <is>
          <t>vetches</t>
        </is>
      </c>
      <c r="B48" t="inlineStr">
        <is>
          <t>given to support the lord’s horses and.</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K48" t="n">
        <v>0</v>
      </c>
    </row>
    <row r="49">
      <c r="A49" t="inlineStr">
        <is>
          <t>vetches</t>
        </is>
      </c>
      <c r="B49" t="inlineStr">
        <is>
          <t>sheep in winter, 3 quarters by estimation in husks..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3</v>
      </c>
      <c r="Y49" t="n">
        <v>0</v>
      </c>
      <c r="Z49" t="n">
        <v>3</v>
      </c>
      <c r="AA49" t="n">
        <v>3</v>
      </c>
      <c r="AB49" t="n">
        <v>0</v>
      </c>
      <c r="AC49" t="n">
        <v>3</v>
      </c>
      <c r="AD49" t="n">
        <v>0</v>
      </c>
      <c r="AK49" t="n">
        <v>0</v>
      </c>
    </row>
    <row r="50">
      <c r="A50" t="inlineStr">
        <is>
          <t>vetches</t>
        </is>
      </c>
      <c r="B50" t="inlineStr">
        <is>
          <t>sold within, 6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6</v>
      </c>
      <c r="Z50" t="n">
        <v>0.75</v>
      </c>
      <c r="AA50" t="n">
        <v>0.75</v>
      </c>
      <c r="AB50" t="n">
        <v>0</v>
      </c>
      <c r="AC50" t="n">
        <v>0</v>
      </c>
      <c r="AD50" t="n">
        <v>6</v>
      </c>
      <c r="AK50" t="n">
        <v>0</v>
      </c>
    </row>
    <row r="51">
      <c r="A51" t="inlineStr">
        <is>
          <t>vetches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K51" t="n">
        <v>0</v>
      </c>
    </row>
    <row r="52">
      <c r="A52" t="inlineStr">
        <is>
          <t>vetches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K5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curall</t>
        </is>
      </c>
      <c r="B3" t="n">
        <v>0</v>
      </c>
      <c r="C3" t="n">
        <v>0</v>
      </c>
      <c r="D3" t="n">
        <v>0</v>
      </c>
      <c r="E3" t="n">
        <v>0</v>
      </c>
      <c r="F3" t="n">
        <v>0</v>
      </c>
      <c r="G3" t="n">
        <v>0</v>
      </c>
      <c r="H3" t="n">
        <v>0</v>
      </c>
      <c r="I3" t="n">
        <v>0</v>
      </c>
      <c r="J3" t="n">
        <v>0</v>
      </c>
      <c r="K3" t="n">
        <v>0</v>
      </c>
      <c r="L3" t="n">
        <v>0</v>
      </c>
      <c r="M3" t="n">
        <v>0</v>
      </c>
      <c r="N3" t="n">
        <v>0.3</v>
      </c>
      <c r="O3" t="n">
        <v>0.3</v>
      </c>
      <c r="P3" t="n">
        <v>0</v>
      </c>
      <c r="Q3" t="n">
        <v>0</v>
      </c>
    </row>
    <row r="4">
      <c r="A4" t="inlineStr">
        <is>
          <t>barley</t>
        </is>
      </c>
      <c r="B4" t="n">
        <v>0</v>
      </c>
      <c r="C4" t="n">
        <v>0</v>
      </c>
      <c r="D4" t="n">
        <v>0</v>
      </c>
      <c r="E4" t="n">
        <v>0</v>
      </c>
      <c r="F4" t="n">
        <v>0</v>
      </c>
      <c r="G4" t="n">
        <v>0</v>
      </c>
      <c r="H4" t="n">
        <v>0</v>
      </c>
      <c r="I4" t="n">
        <v>13</v>
      </c>
      <c r="J4" t="n">
        <v>2</v>
      </c>
      <c r="K4" t="n">
        <v>13</v>
      </c>
      <c r="L4" t="n">
        <v>0</v>
      </c>
      <c r="M4" t="n">
        <v>-13</v>
      </c>
      <c r="N4" t="n">
        <v>0.3</v>
      </c>
      <c r="O4" t="n">
        <v>0.3</v>
      </c>
      <c r="P4" t="n">
        <v>0</v>
      </c>
      <c r="Q4" t="n">
        <v>0</v>
      </c>
    </row>
    <row r="5">
      <c r="A5" t="inlineStr">
        <is>
          <t>oats</t>
        </is>
      </c>
      <c r="B5" t="n">
        <v>0</v>
      </c>
      <c r="C5" t="n">
        <v>21</v>
      </c>
      <c r="D5" t="n">
        <v>6</v>
      </c>
      <c r="E5" t="n">
        <v>21.75</v>
      </c>
      <c r="F5" t="n">
        <v>0</v>
      </c>
      <c r="G5" t="n">
        <v>0</v>
      </c>
      <c r="H5" t="n">
        <v>0</v>
      </c>
      <c r="I5" t="n">
        <v>14</v>
      </c>
      <c r="J5" t="n">
        <v>2</v>
      </c>
      <c r="K5" t="n">
        <v>14.25</v>
      </c>
      <c r="L5" t="n">
        <v>21.75</v>
      </c>
      <c r="M5" t="n">
        <v>7.5</v>
      </c>
      <c r="N5" t="n">
        <v>0.16</v>
      </c>
      <c r="O5" t="n">
        <v>0.16</v>
      </c>
      <c r="P5" t="n">
        <v>3.48</v>
      </c>
      <c r="Q5" t="n">
        <v>3.48</v>
      </c>
    </row>
    <row r="6">
      <c r="A6" t="inlineStr">
        <is>
          <t>peas</t>
        </is>
      </c>
      <c r="B6" t="n">
        <v>0</v>
      </c>
      <c r="C6" t="n">
        <v>0</v>
      </c>
      <c r="D6" t="n">
        <v>0</v>
      </c>
      <c r="E6" t="n">
        <v>0</v>
      </c>
      <c r="F6" t="n">
        <v>0</v>
      </c>
      <c r="G6" t="n">
        <v>0</v>
      </c>
      <c r="H6" t="n">
        <v>0</v>
      </c>
      <c r="I6" t="n">
        <v>0</v>
      </c>
      <c r="J6" t="n">
        <v>0</v>
      </c>
      <c r="K6" t="n">
        <v>0</v>
      </c>
      <c r="L6" t="n">
        <v>0</v>
      </c>
      <c r="M6" t="n">
        <v>0</v>
      </c>
    </row>
    <row r="7">
      <c r="A7" t="inlineStr">
        <is>
          <t>vetches</t>
        </is>
      </c>
      <c r="B7" t="n">
        <v>0</v>
      </c>
      <c r="C7" t="n">
        <v>0</v>
      </c>
      <c r="D7" t="n">
        <v>0</v>
      </c>
      <c r="E7" t="n">
        <v>0</v>
      </c>
      <c r="F7" t="n">
        <v>0</v>
      </c>
      <c r="G7" t="n">
        <v>0</v>
      </c>
      <c r="H7" t="n">
        <v>0</v>
      </c>
      <c r="I7" t="n">
        <v>0</v>
      </c>
      <c r="J7" t="n">
        <v>0</v>
      </c>
      <c r="K7" t="n">
        <v>0</v>
      </c>
      <c r="L7" t="n">
        <v>0</v>
      </c>
      <c r="M7" t="n">
        <v>0</v>
      </c>
      <c r="N7" t="n">
        <v>0.2</v>
      </c>
      <c r="O7" t="n">
        <v>0.2</v>
      </c>
      <c r="P7" t="n">
        <v>0</v>
      </c>
      <c r="Q7" t="n">
        <v>0</v>
      </c>
    </row>
    <row r="8">
      <c r="A8" t="inlineStr">
        <is>
          <t>Wheat</t>
        </is>
      </c>
      <c r="B8" t="n">
        <v>0</v>
      </c>
      <c r="C8" t="n">
        <v>0</v>
      </c>
      <c r="D8" t="n">
        <v>0</v>
      </c>
      <c r="E8" t="n">
        <v>0</v>
      </c>
      <c r="F8" t="n">
        <v>0</v>
      </c>
      <c r="G8" t="n">
        <v>0</v>
      </c>
      <c r="H8" t="n">
        <v>0</v>
      </c>
      <c r="I8" t="n">
        <v>0</v>
      </c>
      <c r="J8" t="n">
        <v>0</v>
      </c>
      <c r="K8" t="n">
        <v>0</v>
      </c>
      <c r="L8" t="n">
        <v>0</v>
      </c>
      <c r="M8" t="n">
        <v>0</v>
      </c>
      <c r="N8" t="n">
        <v>0.5</v>
      </c>
      <c r="O8" t="n">
        <v>0.5</v>
      </c>
      <c r="P8" t="n">
        <v>0</v>
      </c>
      <c r="Q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£4 18 shilling 9pence from 9 quarters 7 bushels of wheat sold per mutuum, at 10 shilling a quarters.</t>
        </is>
      </c>
      <c r="C2" t="n">
        <v>4.94</v>
      </c>
      <c r="D2" t="n">
        <v>4</v>
      </c>
      <c r="E2" t="n">
        <v>18</v>
      </c>
      <c r="F2" t="n">
        <v>9</v>
      </c>
      <c r="G2" t="inlineStr">
        <is>
          <t>wheat</t>
        </is>
      </c>
      <c r="H2" t="n">
        <v>9</v>
      </c>
      <c r="I2" t="n">
        <v>7</v>
      </c>
      <c r="J2" t="n">
        <v>9.880000000000001</v>
      </c>
      <c r="K2" t="n">
        <v>9.880000000000001</v>
      </c>
      <c r="L2" t="n">
        <v>0</v>
      </c>
      <c r="M2" t="n">
        <v>9</v>
      </c>
      <c r="N2" t="n">
        <v>7</v>
      </c>
      <c r="O2" t="n">
        <v>10</v>
      </c>
      <c r="P2" t="n">
        <v>0</v>
      </c>
      <c r="AC2" t="n">
        <v>0.5</v>
      </c>
      <c r="AG2" t="n">
        <v>9.880000000000001</v>
      </c>
      <c r="AH2" t="n">
        <v>0.5</v>
      </c>
      <c r="AI2" t="n">
        <v>0.5</v>
      </c>
      <c r="AJ2" t="inlineStr">
        <is>
          <t>wheat</t>
        </is>
      </c>
    </row>
    <row r="3">
      <c r="A3" t="inlineStr">
        <is>
          <t>sale of corn</t>
        </is>
      </c>
      <c r="B3" t="inlineStr">
        <is>
          <t>£1 4 shilling from 4 quarters of curall sold.</t>
        </is>
      </c>
      <c r="C3" t="n">
        <v>1.2</v>
      </c>
      <c r="D3" t="n">
        <v>1</v>
      </c>
      <c r="E3" t="n">
        <v>4</v>
      </c>
      <c r="F3" t="n">
        <v>0</v>
      </c>
      <c r="G3" t="inlineStr">
        <is>
          <t>curall</t>
        </is>
      </c>
      <c r="H3" t="n">
        <v>4</v>
      </c>
      <c r="I3" t="n">
        <v>0</v>
      </c>
      <c r="J3" t="n">
        <v>4</v>
      </c>
      <c r="K3" t="n">
        <v>4</v>
      </c>
      <c r="L3" t="n">
        <v>0</v>
      </c>
      <c r="M3" t="n">
        <v>4</v>
      </c>
      <c r="N3" t="n">
        <v>0</v>
      </c>
      <c r="AC3" t="n">
        <v>0.3</v>
      </c>
      <c r="AG3" t="n">
        <v>4</v>
      </c>
      <c r="AH3" t="n">
        <v>0.3</v>
      </c>
      <c r="AI3" t="n">
        <v>0.3</v>
      </c>
      <c r="AJ3" t="inlineStr">
        <is>
          <t>curall</t>
        </is>
      </c>
    </row>
    <row r="4">
      <c r="A4" t="inlineStr">
        <is>
          <t>sale of corn</t>
        </is>
      </c>
      <c r="B4" t="inlineStr">
        <is>
          <t>£3 18 shilling from 13 quarters of barley sold per mutuum, at 6 shilling a quarters.</t>
        </is>
      </c>
      <c r="C4" t="n">
        <v>3.9</v>
      </c>
      <c r="D4" t="n">
        <v>3</v>
      </c>
      <c r="E4" t="n">
        <v>18</v>
      </c>
      <c r="F4" t="n">
        <v>0</v>
      </c>
      <c r="G4" t="inlineStr">
        <is>
          <t>barley</t>
        </is>
      </c>
      <c r="H4" t="n">
        <v>13</v>
      </c>
      <c r="I4" t="n">
        <v>0</v>
      </c>
      <c r="J4" t="n">
        <v>13</v>
      </c>
      <c r="K4" t="n">
        <v>13</v>
      </c>
      <c r="L4" t="n">
        <v>0</v>
      </c>
      <c r="M4" t="n">
        <v>13</v>
      </c>
      <c r="N4" t="n">
        <v>0</v>
      </c>
      <c r="O4" t="n">
        <v>6</v>
      </c>
      <c r="P4" t="n">
        <v>0</v>
      </c>
      <c r="AC4" t="n">
        <v>0.3</v>
      </c>
      <c r="AG4" t="n">
        <v>13</v>
      </c>
      <c r="AH4" t="n">
        <v>0.3</v>
      </c>
      <c r="AI4" t="n">
        <v>0.3</v>
      </c>
      <c r="AJ4" t="inlineStr">
        <is>
          <t>barley</t>
        </is>
      </c>
    </row>
    <row r="5">
      <c r="A5" t="inlineStr">
        <is>
          <t>sale of corn</t>
        </is>
      </c>
      <c r="B5" t="inlineStr">
        <is>
          <t>2 shilling 6pence from 6 bushels of oats sold.</t>
        </is>
      </c>
      <c r="C5" t="n">
        <v>0.12</v>
      </c>
      <c r="D5" t="n">
        <v>0</v>
      </c>
      <c r="E5" t="n">
        <v>2</v>
      </c>
      <c r="F5" t="n">
        <v>6</v>
      </c>
      <c r="G5" t="inlineStr">
        <is>
          <t>oats</t>
        </is>
      </c>
      <c r="H5" t="n">
        <v>0</v>
      </c>
      <c r="I5" t="n">
        <v>6</v>
      </c>
      <c r="J5" t="n">
        <v>0.75</v>
      </c>
      <c r="K5" t="n">
        <v>0.75</v>
      </c>
      <c r="L5" t="n">
        <v>0</v>
      </c>
      <c r="M5" t="n">
        <v>0</v>
      </c>
      <c r="N5" t="n">
        <v>6</v>
      </c>
      <c r="AC5" t="n">
        <v>0.16</v>
      </c>
      <c r="AG5" t="n">
        <v>0.75</v>
      </c>
      <c r="AH5" t="n">
        <v>0.16</v>
      </c>
      <c r="AI5" t="n">
        <v>0.16</v>
      </c>
      <c r="AJ5" t="inlineStr">
        <is>
          <t>oats</t>
        </is>
      </c>
    </row>
    <row r="6">
      <c r="A6" t="inlineStr">
        <is>
          <t>sale of corn</t>
        </is>
      </c>
      <c r="B6" t="inlineStr">
        <is>
          <t>3 shilling from 6 bushels of vetches sold.</t>
        </is>
      </c>
      <c r="C6" t="n">
        <v>0.15</v>
      </c>
      <c r="D6" t="n">
        <v>0</v>
      </c>
      <c r="E6" t="n">
        <v>3</v>
      </c>
      <c r="F6" t="n">
        <v>0</v>
      </c>
      <c r="G6" t="inlineStr">
        <is>
          <t>vetches</t>
        </is>
      </c>
      <c r="H6" t="n">
        <v>0</v>
      </c>
      <c r="I6" t="n">
        <v>6</v>
      </c>
      <c r="J6" t="n">
        <v>0.75</v>
      </c>
      <c r="K6" t="n">
        <v>0.75</v>
      </c>
      <c r="L6" t="n">
        <v>0</v>
      </c>
      <c r="M6" t="n">
        <v>0</v>
      </c>
      <c r="N6" t="n">
        <v>6</v>
      </c>
      <c r="AC6" t="n">
        <v>0.2</v>
      </c>
      <c r="AG6" t="n">
        <v>0.75</v>
      </c>
      <c r="AH6" t="n">
        <v>0.2</v>
      </c>
      <c r="AI6" t="n">
        <v>0.2</v>
      </c>
      <c r="AJ6" t="inlineStr">
        <is>
          <t>vetches</t>
        </is>
      </c>
    </row>
    <row r="7">
      <c r="A7" t="inlineStr">
        <is>
          <t>sale of corn</t>
        </is>
      </c>
      <c r="B7" t="inlineStr">
        <is>
          <t>total, £10 6 shilling 3pence.</t>
        </is>
      </c>
      <c r="C7" t="n">
        <v>10.31</v>
      </c>
      <c r="D7" t="n">
        <v>10</v>
      </c>
      <c r="E7" t="n">
        <v>6</v>
      </c>
      <c r="F7" t="n">
        <v>3</v>
      </c>
      <c r="H7" t="n">
        <v>0</v>
      </c>
      <c r="I7" t="n">
        <v>0</v>
      </c>
      <c r="J7" t="n">
        <v>0</v>
      </c>
      <c r="K7" t="n">
        <v>0</v>
      </c>
      <c r="L7" t="n">
        <v>0</v>
      </c>
      <c r="M7" t="n">
        <v>0</v>
      </c>
      <c r="N7" t="n">
        <v>0</v>
      </c>
      <c r="AC7" t="inlineStr">
        <is>
          <t>inf</t>
        </is>
      </c>
      <c r="AG7" t="n">
        <v>0</v>
      </c>
      <c r="AH7" t="inlineStr">
        <is>
          <t>inf</t>
        </is>
      </c>
      <c r="AI7"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2026-01-17T10:57:46Z</dcterms:modified>
  <cp:lastModifiedBy>Kowalski, Kuba</cp:lastModifiedBy>
</cp:coreProperties>
</file>
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NEWTOWN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0.12</v>
      </c>
      <c r="D4" s="13" t="n"/>
      <c r="E4" s="13" t="n"/>
    </row>
    <row r="5">
      <c r="A5" s="15" t="inlineStr">
        <is>
          <t>Rents of assize total</t>
        </is>
      </c>
      <c r="B5" s="76" t="n">
        <v>7.55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7.44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0.58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'Receipts'!F18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'Receipts'!F19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0.12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8.02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NEWTOWN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2</v>
      </c>
      <c r="D3" s="128" t="n">
        <v>5</v>
      </c>
      <c r="E3" s="128" t="n"/>
      <c r="F3" s="128" t="n">
        <v>0.12</v>
      </c>
      <c r="G3" s="128" t="n"/>
      <c r="H3" s="128" t="inlineStr">
        <is>
          <t>The same answers for 2 shilling 5pence of arrears from the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2</v>
      </c>
      <c r="D4" s="128" t="n">
        <v>5</v>
      </c>
      <c r="E4" s="128" t="n"/>
      <c r="F4" s="128" t="n">
        <v>0.12</v>
      </c>
      <c r="G4" s="128" t="n"/>
      <c r="H4" s="128" t="inlineStr">
        <is>
          <t>Total, 2 shilling 5pence.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 of assize</t>
        </is>
      </c>
      <c r="B7" s="128" t="n">
        <v>7</v>
      </c>
      <c r="C7" s="128" t="n">
        <v>11</v>
      </c>
      <c r="D7" s="128" t="n">
        <v>0</v>
      </c>
      <c r="E7" s="128" t="n"/>
      <c r="F7" s="128" t="n">
        <v>7.55</v>
      </c>
      <c r="G7" s="128" t="n"/>
      <c r="H7" s="128" t="inlineStr">
        <is>
          <t>And for £7 11 shilling for all the rents of assize there for the year and all paid at Michaelmas (29 September).</t>
        </is>
      </c>
      <c r="I7" s="128" t="n"/>
    </row>
    <row r="8">
      <c r="A8" s="137" t="inlineStr">
        <is>
          <t>Rents of assize</t>
        </is>
      </c>
      <c r="B8" s="128" t="n">
        <v>7</v>
      </c>
      <c r="C8" s="128" t="n">
        <v>11</v>
      </c>
      <c r="D8" s="128" t="n">
        <v>0</v>
      </c>
      <c r="E8" s="128" t="n"/>
      <c r="F8" s="128" t="n">
        <v>7.55</v>
      </c>
      <c r="G8" s="128" t="n"/>
      <c r="H8" s="128" t="inlineStr">
        <is>
          <t>Total, £7 11 shilling.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7.55</v>
      </c>
      <c r="G9" s="139" t="n">
        <v>0</v>
      </c>
      <c r="H9" s="139" t="inlineStr">
        <is>
          <t>Total</t>
        </is>
      </c>
      <c r="I9" s="139" t="n"/>
    </row>
    <row r="10">
      <c r="A10" s="137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6" t="inlineStr">
        <is>
          <t>Total of rents remaining clear</t>
        </is>
      </c>
      <c r="B11" s="128" t="n">
        <v>7</v>
      </c>
      <c r="C11" s="128" t="n">
        <v>8</v>
      </c>
      <c r="D11" s="128" t="n">
        <v>10</v>
      </c>
      <c r="E11" s="128" t="n"/>
      <c r="F11" s="128" t="n">
        <v>7.44</v>
      </c>
      <c r="G11" s="128" t="n"/>
      <c r="H11" s="128" t="inlineStr">
        <is>
          <t>Total of rents remaining clear, £7 8 shilling 10pence.</t>
        </is>
      </c>
      <c r="I11" s="128" t="n"/>
    </row>
    <row r="12">
      <c r="A12" s="138" t="inlineStr">
        <is>
          <t>Total of rents remaining clear total</t>
        </is>
      </c>
      <c r="B12" s="139" t="n"/>
      <c r="C12" s="139" t="n"/>
      <c r="D12" s="139" t="n"/>
      <c r="E12" s="139" t="n"/>
      <c r="F12" s="139" t="n">
        <v>7.44</v>
      </c>
      <c r="G12" s="139" t="n">
        <v>0</v>
      </c>
      <c r="H12" s="139" t="inlineStr">
        <is>
          <t>Total</t>
        </is>
      </c>
      <c r="I12" s="139" t="n"/>
    </row>
    <row r="13">
      <c r="A13" s="137" t="n"/>
      <c r="B13" s="128" t="n"/>
      <c r="C13" s="128" t="n"/>
      <c r="D13" s="128" t="n"/>
      <c r="E13" s="128" t="n"/>
      <c r="F13" s="128" t="n"/>
      <c r="G13" s="128" t="n"/>
      <c r="H13" s="128" t="n"/>
      <c r="I13" s="128" t="n"/>
    </row>
    <row r="14">
      <c r="A14" s="136" t="inlineStr">
        <is>
          <t>Perquisites of court</t>
        </is>
      </c>
      <c r="B14" s="128" t="n">
        <v>0</v>
      </c>
      <c r="C14" s="128" t="n">
        <v>2</v>
      </c>
      <c r="D14" s="128" t="n">
        <v>0</v>
      </c>
      <c r="E14" s="128" t="n"/>
      <c r="F14" s="128" t="n">
        <v>0.1</v>
      </c>
      <c r="G14" s="128" t="n"/>
      <c r="H14" s="128" t="inlineStr">
        <is>
          <t>And for 2 shilling from tithingpenny at the tourns of Martinmas and Hockday.</t>
        </is>
      </c>
      <c r="I14" s="128" t="n"/>
    </row>
    <row r="15">
      <c r="A15" s="137" t="inlineStr">
        <is>
          <t>Perquisites of court</t>
        </is>
      </c>
      <c r="B15" s="128" t="n">
        <v>0</v>
      </c>
      <c r="C15" s="128" t="n">
        <v>6</v>
      </c>
      <c r="D15" s="128" t="n">
        <v>0</v>
      </c>
      <c r="E15" s="128" t="n"/>
      <c r="F15" s="128" t="n">
        <v>0.3</v>
      </c>
      <c r="G15" s="128" t="n"/>
      <c r="H15" s="128" t="inlineStr">
        <is>
          <t>6 shilling from the perquisites of the said toums.</t>
        </is>
      </c>
      <c r="I15" s="128" t="n"/>
    </row>
    <row r="16">
      <c r="A16" s="137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chattels of a fugitive felon.</t>
        </is>
      </c>
      <c r="I16" s="128" t="n"/>
    </row>
    <row r="17">
      <c r="A17" s="138" t="inlineStr">
        <is>
          <t>Perquisites of court total</t>
        </is>
      </c>
      <c r="B17" s="139" t="n">
        <v>0</v>
      </c>
      <c r="C17" s="139" t="n">
        <v>11</v>
      </c>
      <c r="D17" s="139" t="n">
        <v>6</v>
      </c>
      <c r="E17" s="139" t="n"/>
      <c r="F17" s="139" t="n">
        <v>0.58</v>
      </c>
      <c r="G17" s="139" t="n">
        <v>0.41</v>
      </c>
      <c r="H17" s="139" t="inlineStr">
        <is>
          <t>Total, 11 shilling 6pence.</t>
        </is>
      </c>
      <c r="I17" s="139" t="n"/>
    </row>
    <row r="18">
      <c r="A18" s="38" t="inlineStr">
        <is>
          <t>Total of all receipts recorded in accounts (calculated here)</t>
        </is>
      </c>
      <c r="F18">
        <f>SUMIF(A1:A17,"* total",F1:F17)-SUMIF(A1:A17,"Arrears total",F1:F17)</f>
        <v/>
      </c>
    </row>
    <row r="19">
      <c r="A19" s="38" t="inlineStr">
        <is>
          <t>Total of all receipts (calculated here) incl arrears</t>
        </is>
      </c>
      <c r="F19">
        <f>F18+SUMIF(A1:A17,"Arrears total",F1:F17)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NEWTOWN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0</v>
      </c>
      <c r="D4" s="128" t="n">
        <v>4</v>
      </c>
      <c r="E4" s="128" t="n"/>
      <c r="F4" s="128" t="n">
        <v>8.02</v>
      </c>
      <c r="G4" s="128" t="n"/>
      <c r="H4" s="128" t="n"/>
    </row>
    <row r="5">
      <c r="A5" s="137" t="inlineStr">
        <is>
          <t>Cash deliveries</t>
        </is>
      </c>
      <c r="B5" s="128" t="n">
        <v>8</v>
      </c>
      <c r="C5" s="128" t="n">
        <v>0</v>
      </c>
      <c r="D5" s="128" t="n">
        <v>4</v>
      </c>
      <c r="E5" s="128" t="n"/>
      <c r="F5" s="128" t="n">
        <v>8.02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8.02</v>
      </c>
      <c r="G6" s="139" t="n">
        <v>0</v>
      </c>
      <c r="H6" s="139" t="n"/>
    </row>
    <row r="7">
      <c r="A7" s="137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And he owes</t>
        </is>
      </c>
      <c r="B8" s="128" t="n">
        <v>0</v>
      </c>
      <c r="C8" s="128" t="n">
        <v>2</v>
      </c>
      <c r="D8" s="128" t="n">
        <v>5</v>
      </c>
      <c r="E8" s="128" t="n"/>
      <c r="F8" s="128" t="n">
        <v>0.12</v>
      </c>
      <c r="G8" s="128" t="n"/>
      <c r="H8" s="128" t="n"/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0.12</v>
      </c>
      <c r="G9" s="139" t="n">
        <v>0</v>
      </c>
      <c r="H9" s="13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NEWTOWN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2026-01-17T10:58:03Z</dcterms:modified>
  <cp:lastModifiedBy>Kowalski, Kuba</cp:lastModifiedBy>
</cp:coreProperties>
</file>
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BERELEIGH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1.58</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'Receipts'!F14</f>
        <v/>
      </c>
      <c r="C25" s="10">
        <f>B23-B25</f>
        <v/>
      </c>
    </row>
    <row r="26">
      <c r="A26" s="83" t="inlineStr">
        <is>
          <t>Total recorded in the accounts incl. arrears</t>
        </is>
      </c>
      <c r="B26">
        <f>'Receipts'!F15</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10.94</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BERELEIGH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0</v>
      </c>
      <c r="C3" s="128" t="n">
        <v>15</v>
      </c>
      <c r="D3" s="128" t="n">
        <v>9.25</v>
      </c>
      <c r="E3" s="128" t="n"/>
      <c r="F3" s="128" t="n">
        <v>0.79</v>
      </c>
      <c r="G3" s="128" t="n"/>
      <c r="H3" s="128" t="inlineStr">
        <is>
          <t>The same answers for 15 shilling 9.25pence for all rents of assize of the tenants of Bereleigh at the.</t>
        </is>
      </c>
      <c r="I3" s="128" t="n"/>
    </row>
    <row r="4">
      <c r="A4" s="137" t="inlineStr">
        <is>
          <t>Rents of assize</t>
        </is>
      </c>
      <c r="B4" s="128" t="n">
        <v>0</v>
      </c>
      <c r="C4" s="128" t="n">
        <v>0</v>
      </c>
      <c r="D4" s="128" t="n">
        <v>0</v>
      </c>
      <c r="E4" s="128" t="n"/>
      <c r="F4" s="128" t="n">
        <v>0</v>
      </c>
      <c r="G4" s="128" t="n"/>
      <c r="H4" s="128" t="inlineStr">
        <is>
          <t>Annunciation (25 March).</t>
        </is>
      </c>
      <c r="I4" s="128" t="n"/>
    </row>
    <row r="5">
      <c r="A5" s="137" t="inlineStr">
        <is>
          <t>Rents of assize</t>
        </is>
      </c>
      <c r="B5" s="128" t="n">
        <v>0</v>
      </c>
      <c r="C5" s="128" t="n">
        <v>15</v>
      </c>
      <c r="D5" s="128" t="n">
        <v>9.25</v>
      </c>
      <c r="E5" s="128" t="n"/>
      <c r="F5" s="128" t="n">
        <v>0.79</v>
      </c>
      <c r="G5" s="128" t="n"/>
      <c r="H5" s="128" t="inlineStr">
        <is>
          <t>15 shilling 9.25pence at Michaelmas (29 September).</t>
        </is>
      </c>
      <c r="I5" s="128" t="n"/>
    </row>
    <row r="6">
      <c r="A6" s="137" t="inlineStr">
        <is>
          <t>Rents of assize</t>
        </is>
      </c>
      <c r="B6" s="128" t="n">
        <v>1</v>
      </c>
      <c r="C6" s="128" t="n">
        <v>11</v>
      </c>
      <c r="D6" s="128" t="n">
        <v>6.5</v>
      </c>
      <c r="E6" s="128" t="n"/>
      <c r="F6" s="128" t="n">
        <v>1.58</v>
      </c>
      <c r="G6" s="128" t="n"/>
      <c r="H6" s="128" t="inlineStr">
        <is>
          <t>Total, £1 11 shilling 6.5pence.</t>
        </is>
      </c>
      <c r="I6" s="128" t="n"/>
    </row>
    <row r="7">
      <c r="A7" s="138" t="inlineStr">
        <is>
          <t>Rents of assize total</t>
        </is>
      </c>
      <c r="B7" s="139" t="n"/>
      <c r="C7" s="139" t="n"/>
      <c r="D7" s="139" t="n"/>
      <c r="E7" s="139" t="n"/>
      <c r="F7" s="139" t="n">
        <v>1.58</v>
      </c>
      <c r="G7" s="139" t="n">
        <v>0</v>
      </c>
      <c r="H7" s="139" t="inlineStr">
        <is>
          <t>Total</t>
        </is>
      </c>
      <c r="I7" s="139" t="n"/>
    </row>
    <row r="8">
      <c r="A8" s="137" t="n"/>
      <c r="B8" s="128" t="n"/>
      <c r="C8" s="128" t="n"/>
      <c r="D8" s="128" t="n"/>
      <c r="E8" s="128" t="n"/>
      <c r="F8" s="128" t="n"/>
      <c r="G8" s="128" t="n"/>
      <c r="H8" s="128" t="n"/>
      <c r="I8" s="128" t="n"/>
    </row>
    <row r="9">
      <c r="A9" s="136" t="inlineStr">
        <is>
          <t>Farm of the mill</t>
        </is>
      </c>
      <c r="B9" s="128" t="n">
        <v>1</v>
      </c>
      <c r="C9" s="128" t="n">
        <v>6</v>
      </c>
      <c r="D9" s="128" t="n">
        <v>8</v>
      </c>
      <c r="E9" s="128" t="n"/>
      <c r="F9" s="128" t="n">
        <v>1.33</v>
      </c>
      <c r="G9" s="128" t="n"/>
      <c r="H9" s="128"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I9" s="128" t="n"/>
    </row>
    <row r="10">
      <c r="A10" s="137" t="inlineStr">
        <is>
          <t>Farm of the mill</t>
        </is>
      </c>
      <c r="B10" s="128" t="n">
        <v>1</v>
      </c>
      <c r="C10" s="128" t="n">
        <v>6</v>
      </c>
      <c r="D10" s="128" t="n">
        <v>8</v>
      </c>
      <c r="E10" s="128" t="n"/>
      <c r="F10" s="128" t="n">
        <v>1.33</v>
      </c>
      <c r="G10" s="128" t="n"/>
      <c r="H10" s="128" t="inlineStr">
        <is>
          <t>Total, £1 6 shilling 8pence.</t>
        </is>
      </c>
      <c r="I10" s="128" t="n"/>
    </row>
    <row r="11">
      <c r="A11" s="138" t="inlineStr">
        <is>
          <t>Farm of the mill total</t>
        </is>
      </c>
      <c r="B11" s="139" t="n"/>
      <c r="C11" s="139" t="n"/>
      <c r="D11" s="139" t="n"/>
      <c r="E11" s="139" t="n"/>
      <c r="F11" s="139" t="n">
        <v>1.33</v>
      </c>
      <c r="G11" s="139" t="n">
        <v>0</v>
      </c>
      <c r="H11" s="139" t="inlineStr">
        <is>
          <t>Total</t>
        </is>
      </c>
      <c r="I11" s="139" t="n"/>
    </row>
    <row r="12">
      <c r="A12" s="137" t="n"/>
      <c r="B12" s="128" t="n"/>
      <c r="C12" s="128" t="n"/>
      <c r="D12" s="128" t="n"/>
      <c r="E12" s="128" t="n"/>
      <c r="F12" s="128" t="n"/>
      <c r="G12" s="128" t="n"/>
      <c r="H12" s="128" t="n"/>
      <c r="I12" s="128" t="n"/>
    </row>
    <row r="13">
      <c r="A13" s="137" t="inlineStr">
        <is>
          <t>Total of all receipts</t>
        </is>
      </c>
      <c r="B13" s="128" t="n">
        <v>12</v>
      </c>
      <c r="C13" s="128" t="n">
        <v>3</v>
      </c>
      <c r="D13" s="128" t="n">
        <v>2.5</v>
      </c>
      <c r="E13" s="128" t="n"/>
      <c r="F13" s="128" t="n">
        <v>12.16</v>
      </c>
      <c r="G13" s="128" t="n"/>
      <c r="H13" s="128" t="inlineStr">
        <is>
          <t>Total of all receipts, £12 3 shilling 2.5pence.</t>
        </is>
      </c>
      <c r="I13" s="128" t="n"/>
    </row>
    <row r="14">
      <c r="A14" s="38" t="inlineStr">
        <is>
          <t>Total of all receipts recorded in accounts (calculated here)</t>
        </is>
      </c>
      <c r="F14">
        <f>SUMIF(A1:A13,"* total",F1:F13)-SUMIF(A1:A13,"Arrears total",F1:F13)</f>
        <v/>
      </c>
    </row>
    <row r="15">
      <c r="A15" s="38" t="inlineStr">
        <is>
          <t>Total of all receipts (calculated here) incl arrears</t>
        </is>
      </c>
      <c r="F15">
        <f>F14+SUMIF(A1:A13,"Arrears total",F1:F13)</f>
        <v/>
      </c>
      <c r="G15">
        <f>F13-F15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BERELEIGH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Cash deliveries</t>
        </is>
      </c>
      <c r="B4" s="128" t="n">
        <v>10</v>
      </c>
      <c r="C4" s="128" t="n">
        <v>18</v>
      </c>
      <c r="D4" s="128" t="n">
        <v>10.5</v>
      </c>
      <c r="E4" s="128" t="n"/>
      <c r="F4" s="128" t="n">
        <v>10.94</v>
      </c>
      <c r="G4" s="128" t="n"/>
      <c r="H4" s="128" t="n"/>
    </row>
    <row r="5">
      <c r="A5" s="137" t="inlineStr">
        <is>
          <t>Cash deliveries</t>
        </is>
      </c>
      <c r="B5" s="128" t="n">
        <v>10</v>
      </c>
      <c r="C5" s="128" t="n">
        <v>18</v>
      </c>
      <c r="D5" s="128" t="n">
        <v>10.5</v>
      </c>
      <c r="E5" s="128" t="n"/>
      <c r="F5" s="128" t="n">
        <v>10.94</v>
      </c>
      <c r="G5" s="128" t="n"/>
      <c r="H5" s="128" t="n"/>
    </row>
    <row r="6">
      <c r="A6" s="138" t="inlineStr">
        <is>
          <t>Cash deliveries total</t>
        </is>
      </c>
      <c r="B6" s="139" t="n"/>
      <c r="C6" s="139" t="n"/>
      <c r="D6" s="139" t="n"/>
      <c r="E6" s="139" t="n"/>
      <c r="F6" s="139" t="n">
        <v>10.94</v>
      </c>
      <c r="G6" s="139" t="n">
        <v>0</v>
      </c>
      <c r="H6" s="13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BERELEIGH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2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Bereleigh</t>
        </is>
      </c>
      <c r="B2" t="inlineStr">
        <is>
          <t>The account of William Ousmond', sergeant there, from Michaelmas of the tenth year of the reign of King Henry the Fourth until Michaelmas of the eleventh year, for one whole year, and the sixth year of the translation of Henry Beaufort', lord bishop of Winchester.</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The same answers for 15 shilling 9.25pence for all rents of assize of the tenants of Bereleigh at the.</t>
        </is>
      </c>
      <c r="C4" t="n">
        <v>0.79</v>
      </c>
      <c r="D4" t="n">
        <v>0</v>
      </c>
      <c r="E4" t="n">
        <v>15</v>
      </c>
      <c r="F4" t="n">
        <v>9.25</v>
      </c>
      <c r="H4" t="n">
        <v>0</v>
      </c>
      <c r="I4" t="n">
        <v>0</v>
      </c>
      <c r="J4" t="n">
        <v>0</v>
      </c>
      <c r="K4" t="n">
        <v>0</v>
      </c>
      <c r="L4" t="n">
        <v>0</v>
      </c>
      <c r="M4" t="n">
        <v>0</v>
      </c>
      <c r="N4" t="n">
        <v>0</v>
      </c>
    </row>
    <row r="5">
      <c r="A5" t="inlineStr">
        <is>
          <t>Rents of assize</t>
        </is>
      </c>
      <c r="B5" t="inlineStr">
        <is>
          <t>Annunciation (25 March).</t>
        </is>
      </c>
      <c r="C5" t="n">
        <v>0</v>
      </c>
      <c r="D5" t="n">
        <v>0</v>
      </c>
      <c r="E5" t="n">
        <v>0</v>
      </c>
      <c r="F5" t="n">
        <v>0</v>
      </c>
      <c r="H5" t="n">
        <v>0</v>
      </c>
      <c r="I5" t="n">
        <v>0</v>
      </c>
      <c r="J5" t="n">
        <v>0</v>
      </c>
      <c r="K5" t="n">
        <v>0</v>
      </c>
      <c r="L5" t="n">
        <v>0</v>
      </c>
      <c r="M5" t="n">
        <v>0</v>
      </c>
      <c r="N5" t="n">
        <v>0</v>
      </c>
    </row>
    <row r="6">
      <c r="A6" t="inlineStr">
        <is>
          <t>Rents of assize</t>
        </is>
      </c>
      <c r="B6" t="inlineStr">
        <is>
          <t>15 shilling 9.25pence at Michaelmas (29 September).</t>
        </is>
      </c>
      <c r="C6" t="n">
        <v>0.79</v>
      </c>
      <c r="D6" t="n">
        <v>0</v>
      </c>
      <c r="E6" t="n">
        <v>15</v>
      </c>
      <c r="F6" t="n">
        <v>9.25</v>
      </c>
      <c r="H6" t="n">
        <v>0</v>
      </c>
      <c r="I6" t="n">
        <v>0</v>
      </c>
      <c r="J6" t="n">
        <v>0</v>
      </c>
      <c r="K6" t="n">
        <v>0</v>
      </c>
      <c r="L6" t="n">
        <v>0</v>
      </c>
      <c r="M6" t="n">
        <v>0</v>
      </c>
      <c r="N6" t="n">
        <v>0</v>
      </c>
    </row>
    <row r="7">
      <c r="A7" t="inlineStr">
        <is>
          <t>Rents of assize</t>
        </is>
      </c>
      <c r="B7" t="inlineStr">
        <is>
          <t>Total, £1 11 shilling 6.5pence.</t>
        </is>
      </c>
      <c r="C7" t="n">
        <v>1.58</v>
      </c>
      <c r="D7" t="n">
        <v>1</v>
      </c>
      <c r="E7" t="n">
        <v>11</v>
      </c>
      <c r="F7" t="n">
        <v>6.5</v>
      </c>
      <c r="H7" t="n">
        <v>0</v>
      </c>
      <c r="I7" t="n">
        <v>0</v>
      </c>
      <c r="J7" t="n">
        <v>0</v>
      </c>
      <c r="K7" t="n">
        <v>0</v>
      </c>
      <c r="L7" t="n">
        <v>0</v>
      </c>
      <c r="M7" t="n">
        <v>0</v>
      </c>
      <c r="N7" t="n">
        <v>0</v>
      </c>
    </row>
    <row r="8">
      <c r="A8" t="inlineStr">
        <is>
          <t xml:space="preserve">Cumin </t>
        </is>
      </c>
      <c r="B8" t="inlineStr">
        <is>
          <t>And for 1lb of cumin for the rent of Matilda Tygenore at Michaelmas.</t>
        </is>
      </c>
      <c r="C8" t="n">
        <v>0</v>
      </c>
      <c r="D8" t="n">
        <v>0</v>
      </c>
      <c r="E8" t="n">
        <v>0</v>
      </c>
      <c r="F8" t="n">
        <v>0</v>
      </c>
      <c r="H8" t="n">
        <v>0</v>
      </c>
      <c r="I8" t="n">
        <v>0</v>
      </c>
      <c r="J8" t="n">
        <v>0</v>
      </c>
      <c r="K8" t="n">
        <v>0</v>
      </c>
      <c r="L8" t="n">
        <v>0</v>
      </c>
      <c r="M8" t="n">
        <v>0</v>
      </c>
      <c r="N8" t="n">
        <v>0</v>
      </c>
    </row>
    <row r="9">
      <c r="A9" t="inlineStr">
        <is>
          <t xml:space="preserve">Cumin </t>
        </is>
      </c>
      <c r="B9" t="inlineStr">
        <is>
          <t>Delivered to the exchequer.</t>
        </is>
      </c>
      <c r="C9" t="n">
        <v>0</v>
      </c>
      <c r="D9" t="n">
        <v>0</v>
      </c>
      <c r="E9" t="n">
        <v>0</v>
      </c>
      <c r="F9" t="n">
        <v>0</v>
      </c>
      <c r="H9" t="n">
        <v>0</v>
      </c>
      <c r="I9" t="n">
        <v>0</v>
      </c>
      <c r="J9" t="n">
        <v>0</v>
      </c>
      <c r="K9" t="n">
        <v>0</v>
      </c>
      <c r="L9" t="n">
        <v>0</v>
      </c>
      <c r="M9" t="n">
        <v>0</v>
      </c>
      <c r="N9" t="n">
        <v>0</v>
      </c>
    </row>
    <row r="10">
      <c r="A10" t="inlineStr">
        <is>
          <t xml:space="preserve">Cumin </t>
        </is>
      </c>
      <c r="B10" t="inlineStr">
        <is>
          <t>It balances.</t>
        </is>
      </c>
      <c r="C10" t="n">
        <v>0</v>
      </c>
      <c r="D10" t="n">
        <v>0</v>
      </c>
      <c r="E10" t="n">
        <v>0</v>
      </c>
      <c r="F10" t="n">
        <v>0</v>
      </c>
      <c r="H10" t="n">
        <v>0</v>
      </c>
      <c r="I10" t="n">
        <v>0</v>
      </c>
      <c r="J10" t="n">
        <v>0</v>
      </c>
      <c r="K10" t="n">
        <v>0</v>
      </c>
      <c r="L10" t="n">
        <v>0</v>
      </c>
      <c r="M10" t="n">
        <v>0</v>
      </c>
      <c r="N10" t="n">
        <v>0</v>
      </c>
    </row>
    <row r="11">
      <c r="A11" t="inlineStr">
        <is>
          <t>Issues of the Manor</t>
        </is>
      </c>
      <c r="B11" t="inlineStr">
        <is>
          <t>A for £2 8 shilling 8pence from John Tygehale for 1 meadow in the enclosure, 1 garden containing 1 acre, 2 crofts called Hickyscroftis, 1 meadow called Draytonemede, and 4 crofts called Roysecroft' and Eldelond', leased to the aforesaid John for 12 years, this the fifth, to be paid at the 4 principal terms of the year.</t>
        </is>
      </c>
      <c r="C11" t="n">
        <v>2.43</v>
      </c>
      <c r="D11" t="n">
        <v>2</v>
      </c>
      <c r="E11" t="n">
        <v>8</v>
      </c>
      <c r="F11" t="n">
        <v>8</v>
      </c>
      <c r="H11" t="n">
        <v>0</v>
      </c>
      <c r="I11" t="n">
        <v>0</v>
      </c>
      <c r="J11" t="n">
        <v>0</v>
      </c>
      <c r="K11" t="n">
        <v>0</v>
      </c>
      <c r="L11" t="n">
        <v>0</v>
      </c>
      <c r="M11" t="n">
        <v>0</v>
      </c>
      <c r="N11" t="n">
        <v>0</v>
      </c>
    </row>
    <row r="12">
      <c r="A12" t="inlineStr">
        <is>
          <t>Issues of the Manor</t>
        </is>
      </c>
      <c r="B12" t="inlineStr">
        <is>
          <t>15 shilling from 1 croft called le Stubbyng', leased for the lord's lambs this year.</t>
        </is>
      </c>
      <c r="C12" t="n">
        <v>0.75</v>
      </c>
      <c r="D12" t="n">
        <v>0</v>
      </c>
      <c r="E12" t="n">
        <v>15</v>
      </c>
      <c r="F12" t="n">
        <v>0</v>
      </c>
      <c r="H12" t="n">
        <v>0</v>
      </c>
      <c r="I12" t="n">
        <v>0</v>
      </c>
      <c r="J12" t="n">
        <v>0</v>
      </c>
      <c r="K12" t="n">
        <v>0</v>
      </c>
      <c r="L12" t="n">
        <v>0</v>
      </c>
      <c r="M12" t="n">
        <v>0</v>
      </c>
      <c r="N12" t="n">
        <v>0</v>
      </c>
    </row>
    <row r="13">
      <c r="A13" t="inlineStr">
        <is>
          <t>Issues of the Manor</t>
        </is>
      </c>
      <c r="B13" t="inlineStr">
        <is>
          <t>10 shilling from Richard Hether' for 1 croft called Mulleland' and 1 acre of land called Mariottyslond', leased to the same Richard for 7 years, this year being the fifth, to be paid at the 4 terms of the year as  before.</t>
        </is>
      </c>
      <c r="C13" t="n">
        <v>0.5</v>
      </c>
      <c r="D13" t="n">
        <v>0</v>
      </c>
      <c r="E13" t="n">
        <v>10</v>
      </c>
      <c r="F13" t="n">
        <v>0</v>
      </c>
      <c r="H13" t="n">
        <v>0</v>
      </c>
      <c r="I13" t="n">
        <v>0</v>
      </c>
      <c r="J13" t="n">
        <v>0</v>
      </c>
      <c r="K13" t="n">
        <v>0</v>
      </c>
      <c r="L13" t="n">
        <v>0</v>
      </c>
      <c r="M13" t="n">
        <v>0</v>
      </c>
      <c r="N13" t="n">
        <v>0</v>
      </c>
    </row>
    <row r="14">
      <c r="A14" t="inlineStr">
        <is>
          <t>Issues of the Manor</t>
        </is>
      </c>
      <c r="B14" t="inlineStr">
        <is>
          <t>£1 10 shilling from Richard Kynow for 28 acres of land of the lord's demesne in East Meon, leased to the same Richard for 5 years, this year being the fifth, to be paid as before.</t>
        </is>
      </c>
      <c r="C14" t="n">
        <v>1.5</v>
      </c>
      <c r="D14" t="n">
        <v>1</v>
      </c>
      <c r="E14" t="n">
        <v>10</v>
      </c>
      <c r="F14" t="n">
        <v>0</v>
      </c>
      <c r="H14" t="n">
        <v>0</v>
      </c>
      <c r="I14" t="n">
        <v>0</v>
      </c>
      <c r="J14" t="n">
        <v>0</v>
      </c>
      <c r="K14" t="n">
        <v>0</v>
      </c>
      <c r="L14" t="n">
        <v>0</v>
      </c>
      <c r="M14" t="n">
        <v>0</v>
      </c>
      <c r="N14" t="n">
        <v>0</v>
      </c>
    </row>
    <row r="15">
      <c r="A15" t="inlineStr">
        <is>
          <t>Issues of the Manor</t>
        </is>
      </c>
      <c r="B15" t="inlineStr">
        <is>
          <t>13 shilling 4pence from William Borden' for 2 crofts called Haselfelde, leased to the same William for 7 years, this year being the fifth, to be paid at the 4 terms of the year as before.</t>
        </is>
      </c>
      <c r="C15" t="n">
        <v>0.67</v>
      </c>
      <c r="D15" t="n">
        <v>0</v>
      </c>
      <c r="E15" t="n">
        <v>13</v>
      </c>
      <c r="F15" t="n">
        <v>4</v>
      </c>
      <c r="H15" t="n">
        <v>0</v>
      </c>
      <c r="I15" t="n">
        <v>0</v>
      </c>
      <c r="J15" t="n">
        <v>0</v>
      </c>
      <c r="K15" t="n">
        <v>0</v>
      </c>
      <c r="L15" t="n">
        <v>0</v>
      </c>
      <c r="M15" t="n">
        <v>0</v>
      </c>
      <c r="N15" t="n">
        <v>0</v>
      </c>
    </row>
    <row r="16">
      <c r="A16" t="inlineStr">
        <is>
          <t>Issues of the Manor</t>
        </is>
      </c>
      <c r="B16" t="inlineStr">
        <is>
          <t>£1 8 shilling from Thomas Herberd' for 1 garden and 3 crofts of land called Leyefeld',1eased to the same Thomas for 20 years, this year being the fifth, to be paid at the 4 terms of the year as before.</t>
        </is>
      </c>
      <c r="C16" t="n">
        <v>1.4</v>
      </c>
      <c r="D16" t="n">
        <v>1</v>
      </c>
      <c r="E16" t="n">
        <v>8</v>
      </c>
      <c r="F16" t="n">
        <v>0</v>
      </c>
      <c r="H16" t="n">
        <v>0</v>
      </c>
      <c r="I16" t="n">
        <v>0</v>
      </c>
      <c r="J16" t="n">
        <v>0</v>
      </c>
      <c r="K16" t="n">
        <v>0</v>
      </c>
      <c r="L16" t="n">
        <v>0</v>
      </c>
      <c r="M16" t="n">
        <v>0</v>
      </c>
      <c r="N16" t="n">
        <v>0</v>
      </c>
    </row>
    <row r="17">
      <c r="A17" t="inlineStr">
        <is>
          <t>Issues of the Manor</t>
        </is>
      </c>
      <c r="B17" t="inlineStr">
        <is>
          <t>£1 2 shilling from the same Thomas for 60 acres of land lying in the common field and for the pasturage of Canonesfeld', leased to the same Thomas for 12 years, this year being the fifth, to be paid at the 4 terms of the year as before.</t>
        </is>
      </c>
      <c r="C17" t="n">
        <v>1.1</v>
      </c>
      <c r="D17" t="n">
        <v>1</v>
      </c>
      <c r="E17" t="n">
        <v>2</v>
      </c>
      <c r="F17" t="n">
        <v>0</v>
      </c>
      <c r="H17" t="n">
        <v>0</v>
      </c>
      <c r="I17" t="n">
        <v>0</v>
      </c>
      <c r="J17" t="n">
        <v>0</v>
      </c>
      <c r="K17" t="n">
        <v>0</v>
      </c>
      <c r="L17" t="n">
        <v>0</v>
      </c>
      <c r="M17" t="n">
        <v>0</v>
      </c>
      <c r="N17" t="n">
        <v>0</v>
      </c>
    </row>
    <row r="18">
      <c r="A18" t="inlineStr">
        <is>
          <t>Issues of the Manor</t>
        </is>
      </c>
      <c r="B18" t="inlineStr">
        <is>
          <t>18 shilling from Matilda atte Burgh' and Robert her son for 3 crofts of land called Northefeld', Benecroft' and Hundeshersgardyn, leased to the same Matilda and Robert for 20 years, this year being the fifth, to be paid for the year as before.</t>
        </is>
      </c>
      <c r="C18" t="n">
        <v>0.9</v>
      </c>
      <c r="D18" t="n">
        <v>0</v>
      </c>
      <c r="E18" t="n">
        <v>18</v>
      </c>
      <c r="F18" t="n">
        <v>0</v>
      </c>
      <c r="H18" t="n">
        <v>0</v>
      </c>
      <c r="I18" t="n">
        <v>0</v>
      </c>
      <c r="J18" t="n">
        <v>0</v>
      </c>
      <c r="K18" t="n">
        <v>0</v>
      </c>
      <c r="L18" t="n">
        <v>0</v>
      </c>
      <c r="M18" t="n">
        <v>0</v>
      </c>
      <c r="N18" t="n">
        <v>0</v>
      </c>
    </row>
    <row r="19">
      <c r="A19" t="inlineStr">
        <is>
          <t>Issues of the Manor</t>
        </is>
      </c>
      <c r="B19" t="inlineStr">
        <is>
          <t>Total, £9 5 shilling.</t>
        </is>
      </c>
      <c r="C19" t="n">
        <v>9.25</v>
      </c>
      <c r="D19" t="n">
        <v>9</v>
      </c>
      <c r="E19" t="n">
        <v>5</v>
      </c>
      <c r="F19" t="n">
        <v>0</v>
      </c>
      <c r="H19" t="n">
        <v>0</v>
      </c>
      <c r="I19" t="n">
        <v>0</v>
      </c>
      <c r="J19" t="n">
        <v>0</v>
      </c>
      <c r="K19" t="n">
        <v>0</v>
      </c>
      <c r="L19" t="n">
        <v>0</v>
      </c>
      <c r="M19" t="n">
        <v>0</v>
      </c>
      <c r="N19" t="n">
        <v>0</v>
      </c>
    </row>
    <row r="20">
      <c r="A20" t="inlineStr">
        <is>
          <t>Farm of the mill</t>
        </is>
      </c>
      <c r="B20"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20" t="n">
        <v>1.33</v>
      </c>
      <c r="D20" t="n">
        <v>1</v>
      </c>
      <c r="E20" t="n">
        <v>6</v>
      </c>
      <c r="F20" t="n">
        <v>8</v>
      </c>
      <c r="H20" t="n">
        <v>0</v>
      </c>
      <c r="I20" t="n">
        <v>0</v>
      </c>
      <c r="J20" t="n">
        <v>0</v>
      </c>
      <c r="K20" t="n">
        <v>0</v>
      </c>
      <c r="L20" t="n">
        <v>0</v>
      </c>
      <c r="M20" t="n">
        <v>0</v>
      </c>
      <c r="N20" t="n">
        <v>0</v>
      </c>
    </row>
    <row r="21">
      <c r="A21" t="inlineStr">
        <is>
          <t>Farm of the mill</t>
        </is>
      </c>
      <c r="B21" t="inlineStr">
        <is>
          <t>Total, £1 6 shilling 8pence.</t>
        </is>
      </c>
      <c r="C21" t="n">
        <v>1.33</v>
      </c>
      <c r="D21" t="n">
        <v>1</v>
      </c>
      <c r="E21" t="n">
        <v>6</v>
      </c>
      <c r="F21" t="n">
        <v>8</v>
      </c>
      <c r="H21" t="n">
        <v>0</v>
      </c>
      <c r="I21" t="n">
        <v>0</v>
      </c>
      <c r="J21" t="n">
        <v>0</v>
      </c>
      <c r="K21" t="n">
        <v>0</v>
      </c>
      <c r="L21" t="n">
        <v>0</v>
      </c>
      <c r="M21" t="n">
        <v>0</v>
      </c>
      <c r="N21" t="n">
        <v>0</v>
      </c>
    </row>
    <row r="22">
      <c r="A22" t="inlineStr">
        <is>
          <t>Total of all receipts</t>
        </is>
      </c>
      <c r="B22" t="inlineStr">
        <is>
          <t>Total of all receipts, £12 3 shilling 2.5pence.</t>
        </is>
      </c>
      <c r="C22" t="n">
        <v>12.16</v>
      </c>
      <c r="D22" t="n">
        <v>12</v>
      </c>
      <c r="E22" t="n">
        <v>3</v>
      </c>
      <c r="F22" t="n">
        <v>2.5</v>
      </c>
      <c r="H22" t="n">
        <v>0</v>
      </c>
      <c r="I22" t="n">
        <v>0</v>
      </c>
      <c r="J22" t="n">
        <v>0</v>
      </c>
      <c r="K22" t="n">
        <v>0</v>
      </c>
      <c r="L22" t="n">
        <v>0</v>
      </c>
      <c r="M22" t="n">
        <v>0</v>
      </c>
      <c r="N22" t="n">
        <v>0</v>
      </c>
    </row>
    <row r="23">
      <c r="A23" t="inlineStr">
        <is>
          <t>Cash received</t>
        </is>
      </c>
      <c r="B23" t="inlineStr">
        <is>
          <t>In rents received at the court of the lord bishop at East Meon at the 4 principal terms of the year, £1 1 shilling, of which 1 shilling was for the rent (gabul') of the pasture.</t>
        </is>
      </c>
      <c r="C23" t="n">
        <v>1.05</v>
      </c>
      <c r="D23" t="n">
        <v>1</v>
      </c>
      <c r="E23" t="n">
        <v>1</v>
      </c>
      <c r="F23" t="n">
        <v>0</v>
      </c>
      <c r="H23" t="n">
        <v>0</v>
      </c>
      <c r="I23" t="n">
        <v>0</v>
      </c>
      <c r="J23" t="n">
        <v>0</v>
      </c>
      <c r="K23" t="n">
        <v>0</v>
      </c>
      <c r="L23" t="n">
        <v>0</v>
      </c>
      <c r="M23" t="n">
        <v>0</v>
      </c>
      <c r="N23" t="n">
        <v>0</v>
      </c>
    </row>
    <row r="24">
      <c r="A24" t="inlineStr">
        <is>
          <t>Cash received</t>
        </is>
      </c>
      <c r="B24" t="inlineStr">
        <is>
          <t>Total, £1 1 shilling Nothing from foreign issues.</t>
        </is>
      </c>
      <c r="C24" t="n">
        <v>1.05</v>
      </c>
      <c r="D24" t="n">
        <v>1</v>
      </c>
      <c r="E24" t="n">
        <v>1</v>
      </c>
      <c r="F24" t="n">
        <v>0</v>
      </c>
      <c r="H24" t="n">
        <v>0</v>
      </c>
      <c r="I24" t="n">
        <v>0</v>
      </c>
      <c r="J24" t="n">
        <v>0</v>
      </c>
      <c r="K24" t="n">
        <v>0</v>
      </c>
      <c r="L24" t="n">
        <v>0</v>
      </c>
      <c r="M24" t="n">
        <v>0</v>
      </c>
      <c r="N24" t="n">
        <v>0</v>
      </c>
    </row>
    <row r="25">
      <c r="A25" t="inlineStr">
        <is>
          <t>Allowances without writ</t>
        </is>
      </c>
      <c r="B25" t="inlineStr">
        <is>
          <t>In allowance to the same for 3 shilling 4pence for his travelling around to raise the aforesaid cash.</t>
        </is>
      </c>
      <c r="C25" t="n">
        <v>0.17</v>
      </c>
      <c r="D25" t="n">
        <v>0</v>
      </c>
      <c r="E25" t="n">
        <v>3</v>
      </c>
      <c r="F25" t="n">
        <v>4</v>
      </c>
      <c r="H25" t="n">
        <v>0</v>
      </c>
      <c r="I25" t="n">
        <v>0</v>
      </c>
      <c r="J25" t="n">
        <v>0</v>
      </c>
      <c r="K25" t="n">
        <v>0</v>
      </c>
      <c r="L25" t="n">
        <v>0</v>
      </c>
      <c r="M25" t="n">
        <v>0</v>
      </c>
      <c r="N25" t="n">
        <v>0</v>
      </c>
    </row>
    <row r="26">
      <c r="A26" t="inlineStr">
        <is>
          <t>Allowances without writ</t>
        </is>
      </c>
      <c r="B26" t="inlineStr">
        <is>
          <t>Total, 3 shilling 4pence.</t>
        </is>
      </c>
      <c r="C26" t="n">
        <v>0.17</v>
      </c>
      <c r="D26" t="n">
        <v>0</v>
      </c>
      <c r="E26" t="n">
        <v>3</v>
      </c>
      <c r="F26" t="n">
        <v>4</v>
      </c>
      <c r="H26" t="n">
        <v>0</v>
      </c>
      <c r="I26" t="n">
        <v>0</v>
      </c>
      <c r="J26" t="n">
        <v>0</v>
      </c>
      <c r="K26" t="n">
        <v>0</v>
      </c>
      <c r="L26" t="n">
        <v>0</v>
      </c>
      <c r="M26" t="n">
        <v>0</v>
      </c>
      <c r="N26" t="n">
        <v>0</v>
      </c>
    </row>
    <row r="27">
      <c r="A27" t="inlineStr">
        <is>
          <t>Cash deliveries</t>
        </is>
      </c>
      <c r="B27" t="inlineStr">
        <is>
          <t>Delivered to John Arnold', receiver of Wolvesey, by 1 tally, £10 18 shilling 10.5pence.</t>
        </is>
      </c>
      <c r="C27" t="n">
        <v>10.94</v>
      </c>
      <c r="D27" t="n">
        <v>10</v>
      </c>
      <c r="E27" t="n">
        <v>18</v>
      </c>
      <c r="F27" t="n">
        <v>10.5</v>
      </c>
      <c r="H27" t="n">
        <v>0</v>
      </c>
      <c r="I27" t="n">
        <v>0</v>
      </c>
      <c r="J27" t="n">
        <v>0</v>
      </c>
      <c r="K27" t="n">
        <v>0</v>
      </c>
      <c r="L27" t="n">
        <v>0</v>
      </c>
      <c r="M27" t="n">
        <v>0</v>
      </c>
      <c r="N27" t="n">
        <v>0</v>
      </c>
    </row>
    <row r="28">
      <c r="A28" t="inlineStr">
        <is>
          <t>Cash deliveries</t>
        </is>
      </c>
      <c r="B28" t="inlineStr">
        <is>
          <t>Total, £10 18 shilling 10.5pence He is quit.</t>
        </is>
      </c>
      <c r="C28" t="n">
        <v>10.94</v>
      </c>
      <c r="D28" t="n">
        <v>10</v>
      </c>
      <c r="E28" t="n">
        <v>18</v>
      </c>
      <c r="F28" t="n">
        <v>10.5</v>
      </c>
      <c r="H28" t="n">
        <v>0</v>
      </c>
      <c r="I28" t="n">
        <v>0</v>
      </c>
      <c r="J28" t="n">
        <v>0</v>
      </c>
      <c r="K28" t="n">
        <v>0</v>
      </c>
      <c r="L28" t="n">
        <v>0</v>
      </c>
      <c r="M28" t="n">
        <v>0</v>
      </c>
      <c r="N2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2026-01-17T10:57:33Z</dcterms:modified>
  <cp:lastModifiedBy>Kowalski, Kuba</cp:lastModifiedBy>
</cp:coreProperties>
</file>
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38520" yWindow="5790" windowWidth="38640" windowHeight="21120" tabRatio="600" firstSheet="0" activeTab="0" autoFilterDateGrouping="1"/>
  </bookViews>
  <sheets>
    <sheet xmlns:r="http://schemas.openxmlformats.org/officeDocument/2006/relationships" name="Adderbury Overview" sheetId="1" state="visible" r:id="rId1"/>
    <sheet xmlns:r="http://schemas.openxmlformats.org/officeDocument/2006/relationships" name="EastKnoyle Stock" sheetId="2" state="visible" r:id="rId2"/>
    <sheet xmlns:r="http://schemas.openxmlformats.org/officeDocument/2006/relationships" name="raw data" sheetId="3" state="visible" r:id="rId3"/>
    <sheet xmlns:r="http://schemas.openxmlformats.org/officeDocument/2006/relationships" name="Receipts"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 xmlns:r="http://schemas.openxmlformats.org/officeDocument/2006/relationships" name="Issues of the Grange raw" sheetId="11" state="visible" r:id="rId11"/>
    <sheet xmlns:r="http://schemas.openxmlformats.org/officeDocument/2006/relationships" name="Issues of the Grange" sheetId="12" state="visible" r:id="rId12"/>
    <sheet xmlns:r="http://schemas.openxmlformats.org/officeDocument/2006/relationships" name="Sale of Corn Prices" sheetId="13" state="visible" r:id="rId13"/>
    <sheet xmlns:r="http://schemas.openxmlformats.org/officeDocument/2006/relationships" name="Expenses" sheetId="14" state="visible" r:id="rId14"/>
  </sheets>
  <definedNames/>
  <calcPr calcId="191029" fullCalcOnLoad="1"/>
</workbook>
</file>

<file path=xl/styles.xml><?xml version="1.0" encoding="utf-8"?>
<styleSheet xmlns="http://schemas.openxmlformats.org/spreadsheetml/2006/main">
  <numFmts count="2">
    <numFmt numFmtId="164" formatCode="0.000000"/>
    <numFmt numFmtId="165" formatCode="#,##0.000000"/>
  </numFmts>
  <fonts count="28">
    <font>
      <name val="Calibri"/>
      <family val="2"/>
      <color theme="1"/>
      <sz val="11"/>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color theme="1"/>
      <sz val="12"/>
      <scheme val="minor"/>
    </font>
    <font>
      <name val="Calibri"/>
      <family val="2"/>
      <b val="1"/>
      <sz val="11"/>
    </font>
    <font>
      <name val="Calibri"/>
      <family val="2"/>
      <color rgb="FFFF0000"/>
      <sz val="12"/>
      <scheme val="minor"/>
    </font>
    <font>
      <name val="Calibri"/>
      <family val="2"/>
      <b val="1"/>
      <color theme="1"/>
      <sz val="12"/>
      <scheme val="minor"/>
    </font>
    <font>
      <name val="Calibri (Body)"/>
      <b val="1"/>
      <color theme="1"/>
      <sz val="12"/>
    </font>
    <font>
      <name val="Calibri (Body)"/>
      <b val="1"/>
      <color rgb="FFFF0000"/>
      <sz val="12"/>
    </font>
    <font>
      <name val="Calibri"/>
      <family val="2"/>
      <b val="1"/>
      <sz val="12"/>
    </font>
    <font>
      <name val="Calibri"/>
      <family val="2"/>
      <b val="1"/>
      <color rgb="FF000000"/>
      <sz val="12"/>
      <scheme val="minor"/>
    </font>
    <font>
      <name val="Calibri"/>
      <family val="2"/>
      <i val="1"/>
      <color theme="1"/>
      <sz val="12"/>
      <scheme val="minor"/>
    </font>
    <font>
      <name val="Calibri"/>
      <family val="2"/>
      <b val="1"/>
      <i val="1"/>
      <color theme="1"/>
      <sz val="12"/>
      <scheme val="minor"/>
    </font>
    <font>
      <name val="Calibri"/>
      <family val="2"/>
      <color rgb="FF000000"/>
      <sz val="12"/>
      <scheme val="minor"/>
    </font>
    <font>
      <name val="Calibri"/>
      <family val="2"/>
      <i val="1"/>
      <color rgb="FF000000"/>
      <sz val="12"/>
      <scheme val="minor"/>
    </font>
    <font>
      <name val="Calibri"/>
      <family val="2"/>
      <b val="1"/>
      <i val="1"/>
      <color rgb="FF000000"/>
      <sz val="12"/>
      <scheme val="minor"/>
    </font>
    <font>
      <name val="Calibri (Body)"/>
      <color rgb="FFFF0000"/>
      <sz val="12"/>
    </font>
    <font>
      <name val="Calibri"/>
      <family val="2"/>
      <b val="1"/>
      <color theme="1"/>
      <sz val="11"/>
      <scheme val="minor"/>
    </font>
    <font>
      <name val="Calibri"/>
      <family val="2"/>
      <i val="1"/>
      <color rgb="FFFF0000"/>
      <sz val="12"/>
      <scheme val="minor"/>
    </font>
    <font>
      <name val="Tahoma"/>
      <family val="2"/>
      <b val="1"/>
      <color rgb="FF000000"/>
      <sz val="10"/>
    </font>
    <font>
      <name val="Tahoma"/>
      <family val="2"/>
      <color rgb="FF000000"/>
      <sz val="10"/>
    </font>
    <font>
      <name val="Calibri"/>
      <family val="2"/>
      <i val="1"/>
      <color theme="1"/>
      <sz val="11"/>
      <scheme val="minor"/>
    </font>
    <font>
      <name val="Calibri"/>
      <family val="2"/>
      <i val="1"/>
      <color rgb="FFFF0000"/>
      <sz val="11"/>
      <scheme val="minor"/>
    </font>
    <font>
      <name val="Calibri"/>
      <family val="2"/>
      <sz val="12"/>
      <scheme val="minor"/>
    </font>
    <font>
      <name val="Calibri"/>
      <family val="2"/>
      <b val="1"/>
      <color rgb="FFFF0000"/>
      <sz val="12"/>
      <scheme val="minor"/>
    </font>
  </fonts>
  <fills count="12">
    <fill>
      <patternFill/>
    </fill>
    <fill>
      <patternFill patternType="gray125"/>
    </fill>
    <fill>
      <patternFill patternType="solid">
        <fgColor rgb="FFF2F2F2"/>
        <bgColor rgb="FF000000"/>
      </patternFill>
    </fill>
    <fill>
      <patternFill patternType="solid">
        <fgColor theme="7" tint="0.7999816888943144"/>
        <bgColor indexed="64"/>
      </patternFill>
    </fill>
    <fill>
      <patternFill patternType="solid">
        <fgColor theme="7" tint="0.7999816888943144"/>
        <bgColor rgb="FF000000"/>
      </patternFill>
    </fill>
    <fill>
      <patternFill patternType="solid">
        <fgColor theme="0" tint="-0.0499893185216834"/>
        <bgColor indexed="64"/>
      </patternFill>
    </fill>
    <fill>
      <patternFill patternType="solid">
        <fgColor theme="6" tint="0.7999816888943144"/>
        <bgColor indexed="64"/>
      </patternFill>
    </fill>
    <fill>
      <patternFill patternType="solid">
        <fgColor theme="5" tint="0.7999816888943144"/>
        <bgColor indexed="64"/>
      </patternFill>
    </fill>
    <fill>
      <patternFill patternType="solid">
        <fgColor theme="9" tint="0.7999816888943144"/>
        <bgColor indexed="64"/>
      </patternFill>
    </fill>
    <fill>
      <patternFill patternType="solid">
        <fgColor rgb="FFFFFF00"/>
        <bgColor indexed="64"/>
      </patternFill>
    </fill>
    <fill>
      <patternFill patternType="solid">
        <fgColor theme="0" tint="-0.0499893185216834"/>
        <bgColor rgb="FF000000"/>
      </patternFill>
    </fill>
    <fill>
      <patternFill patternType="solid">
        <fgColor rgb="00F2F2F2"/>
        <bgColor rgb="00F2F2F2"/>
      </patternFill>
    </fill>
  </fills>
  <borders count="21">
    <border>
      <left/>
      <right/>
      <top/>
      <bottom/>
      <diagonal/>
    </border>
    <border>
      <left style="thin">
        <color auto="1"/>
      </left>
      <right style="thin">
        <color auto="1"/>
      </right>
      <top style="thin">
        <color auto="1"/>
      </top>
      <bottom style="thin">
        <color auto="1"/>
      </bottom>
      <diagonal/>
    </border>
    <border>
      <left/>
      <right/>
      <top/>
      <bottom style="thin">
        <color rgb="FFA6A6A6"/>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right/>
      <top/>
      <bottom style="thin">
        <color theme="0" tint="-0.3499862666707358"/>
      </bottom>
      <diagonal/>
    </border>
    <border>
      <left style="thin">
        <color indexed="64"/>
      </left>
      <right/>
      <top/>
      <bottom/>
      <diagonal/>
    </border>
    <border>
      <left/>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border>
      <right style="thin">
        <color rgb="00000000"/>
      </right>
    </border>
    <border>
      <right style="thin">
        <color rgb="00000000"/>
      </right>
      <bottom style="thin">
        <color rgb="00000000"/>
      </bottom>
    </border>
    <border>
      <bottom style="thin">
        <color rgb="00000000"/>
      </bottom>
    </border>
  </borders>
  <cellStyleXfs count="1">
    <xf numFmtId="0" fontId="0" fillId="0" borderId="0"/>
  </cellStyleXfs>
  <cellXfs count="147">
    <xf numFmtId="0" fontId="0" fillId="0" borderId="0" pivotButton="0" quotePrefix="0" xfId="0"/>
    <xf numFmtId="0" fontId="7" fillId="0" borderId="1" applyAlignment="1" pivotButton="0" quotePrefix="0" xfId="0">
      <alignment horizontal="center" vertical="top"/>
    </xf>
    <xf numFmtId="0" fontId="10" fillId="0" borderId="0" pivotButton="0" quotePrefix="0" xfId="0"/>
    <xf numFmtId="4" fontId="10" fillId="0" borderId="0" applyAlignment="1" pivotButton="0" quotePrefix="0" xfId="0">
      <alignment horizontal="right"/>
    </xf>
    <xf numFmtId="0" fontId="10" fillId="0" borderId="0" applyAlignment="1" pivotButton="0" quotePrefix="0" xfId="0">
      <alignment horizontal="right"/>
    </xf>
    <xf numFmtId="4" fontId="9" fillId="0" borderId="0" applyAlignment="1" pivotButton="0" quotePrefix="0" xfId="0">
      <alignment horizontal="center"/>
    </xf>
    <xf numFmtId="0" fontId="11" fillId="0" borderId="0" applyAlignment="1" pivotButton="0" quotePrefix="0" xfId="0">
      <alignment horizontal="center" vertical="top"/>
    </xf>
    <xf numFmtId="0" fontId="12" fillId="0" borderId="0" applyAlignment="1" pivotButton="0" quotePrefix="0" xfId="0">
      <alignment horizontal="left" vertical="top"/>
    </xf>
    <xf numFmtId="0" fontId="13" fillId="0" borderId="0" pivotButton="0" quotePrefix="0" xfId="0"/>
    <xf numFmtId="0" fontId="6" fillId="0" borderId="0" pivotButton="0" quotePrefix="0" xfId="0"/>
    <xf numFmtId="0" fontId="8" fillId="0" borderId="0" pivotButton="0" quotePrefix="0" xfId="0"/>
    <xf numFmtId="0" fontId="12" fillId="0" borderId="0" applyAlignment="1" pivotButton="0" quotePrefix="0" xfId="0">
      <alignment horizontal="center" vertical="top"/>
    </xf>
    <xf numFmtId="0" fontId="9" fillId="0" borderId="0" pivotButton="0" quotePrefix="0" xfId="0"/>
    <xf numFmtId="0" fontId="14" fillId="0" borderId="0" pivotButton="0" quotePrefix="0" xfId="0"/>
    <xf numFmtId="0" fontId="15" fillId="0" borderId="0" pivotButton="0" quotePrefix="0" xfId="0"/>
    <xf numFmtId="0" fontId="16" fillId="0" borderId="0" pivotButton="0" quotePrefix="0" xfId="0"/>
    <xf numFmtId="0" fontId="13" fillId="2" borderId="0" pivotButton="0" quotePrefix="0" xfId="0"/>
    <xf numFmtId="0" fontId="17" fillId="2" borderId="0" pivotButton="0" quotePrefix="0" xfId="0"/>
    <xf numFmtId="0" fontId="16" fillId="3" borderId="0" pivotButton="0" quotePrefix="0" xfId="0"/>
    <xf numFmtId="0" fontId="17" fillId="3" borderId="0" pivotButton="0" quotePrefix="0" xfId="0"/>
    <xf numFmtId="0" fontId="17" fillId="4" borderId="0" pivotButton="0" quotePrefix="0" xfId="0"/>
    <xf numFmtId="0" fontId="13" fillId="5" borderId="0" pivotButton="0" quotePrefix="0" xfId="0"/>
    <xf numFmtId="0" fontId="16" fillId="0" borderId="0" applyAlignment="1" pivotButton="0" quotePrefix="0" xfId="0">
      <alignment wrapText="1"/>
    </xf>
    <xf numFmtId="0" fontId="16" fillId="0" borderId="2" pivotButton="0" quotePrefix="0" xfId="0"/>
    <xf numFmtId="0" fontId="16" fillId="0" borderId="0" applyAlignment="1" pivotButton="0" quotePrefix="0" xfId="0">
      <alignment horizontal="right"/>
    </xf>
    <xf numFmtId="0" fontId="16" fillId="0" borderId="2" applyAlignment="1" pivotButton="0" quotePrefix="0" xfId="0">
      <alignment horizontal="left"/>
    </xf>
    <xf numFmtId="2" fontId="6" fillId="0" borderId="0" pivotButton="0" quotePrefix="0" xfId="0"/>
    <xf numFmtId="0" fontId="0" fillId="0" borderId="0" applyAlignment="1" pivotButton="0" quotePrefix="0" xfId="0">
      <alignment horizontal="right" wrapText="1"/>
    </xf>
    <xf numFmtId="0" fontId="0" fillId="0" borderId="0" applyAlignment="1" pivotButton="0" quotePrefix="0" xfId="0">
      <alignment horizontal="right"/>
    </xf>
    <xf numFmtId="0" fontId="9" fillId="0" borderId="0" applyAlignment="1" pivotButton="0" quotePrefix="0" xfId="0">
      <alignment horizontal="right" wrapText="1"/>
    </xf>
    <xf numFmtId="0" fontId="12" fillId="0" borderId="0" applyAlignment="1" pivotButton="0" quotePrefix="0" xfId="0">
      <alignment horizontal="center" vertical="center"/>
    </xf>
    <xf numFmtId="0" fontId="15" fillId="0" borderId="0" applyAlignment="1" pivotButton="0" quotePrefix="0" xfId="0">
      <alignment horizontal="center" vertical="center"/>
    </xf>
    <xf numFmtId="0" fontId="6" fillId="0" borderId="0" applyAlignment="1" pivotButton="0" quotePrefix="0" xfId="0">
      <alignment horizontal="center" vertical="center"/>
    </xf>
    <xf numFmtId="4" fontId="10" fillId="0" borderId="0" applyAlignment="1" pivotButton="0" quotePrefix="0" xfId="0">
      <alignment horizontal="center" vertical="center"/>
    </xf>
    <xf numFmtId="0" fontId="10" fillId="0" borderId="0" applyAlignment="1" pivotButton="0" quotePrefix="0" xfId="0">
      <alignment horizontal="center" vertical="center"/>
    </xf>
    <xf numFmtId="2" fontId="9" fillId="0" borderId="0" applyAlignment="1" pivotButton="0" quotePrefix="0" xfId="0">
      <alignment horizontal="center" vertical="center"/>
    </xf>
    <xf numFmtId="0" fontId="5" fillId="0" borderId="0" pivotButton="0" quotePrefix="0" xfId="0"/>
    <xf numFmtId="0" fontId="7" fillId="0" borderId="0" applyAlignment="1" pivotButton="0" quotePrefix="0" xfId="0">
      <alignment horizontal="center" vertical="top"/>
    </xf>
    <xf numFmtId="0" fontId="20" fillId="0" borderId="0" pivotButton="0" quotePrefix="0" xfId="0"/>
    <xf numFmtId="0" fontId="0" fillId="6" borderId="0" pivotButton="0" quotePrefix="0" xfId="0"/>
    <xf numFmtId="0" fontId="21" fillId="0" borderId="0" pivotButton="0" quotePrefix="0" xfId="0"/>
    <xf numFmtId="0" fontId="0" fillId="0" borderId="0" applyAlignment="1" pivotButton="0" quotePrefix="0" xfId="0">
      <alignment horizontal="center"/>
    </xf>
    <xf numFmtId="0" fontId="0" fillId="8" borderId="0" pivotButton="0" quotePrefix="0" xfId="0"/>
    <xf numFmtId="0" fontId="0" fillId="0" borderId="0" applyAlignment="1" pivotButton="0" quotePrefix="0" xfId="0">
      <alignment horizontal="left"/>
    </xf>
    <xf numFmtId="0" fontId="0" fillId="0" borderId="0" applyAlignment="1" pivotButton="0" quotePrefix="0" xfId="0">
      <alignment wrapText="1"/>
    </xf>
    <xf numFmtId="4" fontId="0" fillId="0" borderId="0" applyAlignment="1" pivotButton="0" quotePrefix="0" xfId="0">
      <alignment horizontal="right" wrapText="1"/>
    </xf>
    <xf numFmtId="0" fontId="0" fillId="0" borderId="3" applyAlignment="1" pivotButton="0" quotePrefix="0" xfId="0">
      <alignment horizontal="right"/>
    </xf>
    <xf numFmtId="0" fontId="0" fillId="0" borderId="4" applyAlignment="1" pivotButton="0" quotePrefix="0" xfId="0">
      <alignment horizontal="right"/>
    </xf>
    <xf numFmtId="0" fontId="0" fillId="0" borderId="5" applyAlignment="1" pivotButton="0" quotePrefix="0" xfId="0">
      <alignment horizontal="right"/>
    </xf>
    <xf numFmtId="0" fontId="0" fillId="0" borderId="4" applyAlignment="1" pivotButton="0" quotePrefix="0" xfId="0">
      <alignment horizontal="center"/>
    </xf>
    <xf numFmtId="2" fontId="19" fillId="0" borderId="0" pivotButton="0" quotePrefix="0" xfId="0"/>
    <xf numFmtId="2" fontId="11" fillId="0" borderId="0" applyAlignment="1" pivotButton="0" quotePrefix="0" xfId="0">
      <alignment horizontal="center" vertical="center"/>
    </xf>
    <xf numFmtId="2" fontId="9" fillId="0" borderId="0" applyAlignment="1" pivotButton="0" quotePrefix="0" xfId="0">
      <alignment horizontal="center" vertical="center" wrapText="1"/>
    </xf>
    <xf numFmtId="0" fontId="9" fillId="5" borderId="0" pivotButton="0" quotePrefix="0" xfId="0"/>
    <xf numFmtId="0" fontId="6" fillId="5" borderId="0" pivotButton="0" quotePrefix="0" xfId="0"/>
    <xf numFmtId="2" fontId="6" fillId="5" borderId="0" pivotButton="0" quotePrefix="0" xfId="0"/>
    <xf numFmtId="2" fontId="19" fillId="5" borderId="0" pivotButton="0" quotePrefix="0" xfId="0"/>
    <xf numFmtId="0" fontId="14" fillId="5" borderId="0" pivotButton="0" quotePrefix="0" xfId="0"/>
    <xf numFmtId="0" fontId="21" fillId="5" borderId="0" pivotButton="0" quotePrefix="0" xfId="0"/>
    <xf numFmtId="0" fontId="24" fillId="0" borderId="0" pivotButton="0" quotePrefix="0" xfId="0"/>
    <xf numFmtId="0" fontId="0" fillId="0" borderId="4" pivotButton="0" quotePrefix="0" xfId="0"/>
    <xf numFmtId="0" fontId="25" fillId="0" borderId="0" pivotButton="0" quotePrefix="0" xfId="0"/>
    <xf numFmtId="164" fontId="26" fillId="0" borderId="0" applyAlignment="1" pivotButton="0" quotePrefix="0" xfId="0">
      <alignment horizontal="right"/>
    </xf>
    <xf numFmtId="164" fontId="0" fillId="0" borderId="0" applyAlignment="1" pivotButton="0" quotePrefix="0" xfId="0">
      <alignment horizontal="right"/>
    </xf>
    <xf numFmtId="165" fontId="0" fillId="0" borderId="0" pivotButton="0" quotePrefix="0" xfId="0"/>
    <xf numFmtId="164" fontId="0" fillId="0" borderId="0" pivotButton="0" quotePrefix="0" xfId="0"/>
    <xf numFmtId="0" fontId="9" fillId="0" borderId="0" applyAlignment="1" pivotButton="0" quotePrefix="0" xfId="0">
      <alignment wrapText="1"/>
    </xf>
    <xf numFmtId="0" fontId="14" fillId="6" borderId="0" pivotButton="0" quotePrefix="0" xfId="0"/>
    <xf numFmtId="0" fontId="0" fillId="0" borderId="6" pivotButton="0" quotePrefix="0" xfId="0"/>
    <xf numFmtId="0" fontId="0" fillId="0" borderId="6" applyAlignment="1" pivotButton="0" quotePrefix="0" xfId="0">
      <alignment horizontal="left"/>
    </xf>
    <xf numFmtId="0" fontId="0" fillId="5" borderId="0" pivotButton="0" quotePrefix="0" xfId="0"/>
    <xf numFmtId="0" fontId="0" fillId="9" borderId="0" pivotButton="0" quotePrefix="0" xfId="0"/>
    <xf numFmtId="2" fontId="0" fillId="0" borderId="0" pivotButton="0" quotePrefix="0" xfId="0"/>
    <xf numFmtId="2" fontId="0" fillId="0" borderId="0" applyAlignment="1" pivotButton="0" quotePrefix="0" xfId="0">
      <alignment wrapText="1"/>
    </xf>
    <xf numFmtId="2" fontId="9" fillId="0" borderId="0" applyAlignment="1" pivotButton="0" quotePrefix="0" xfId="0">
      <alignment wrapText="1"/>
    </xf>
    <xf numFmtId="4" fontId="0" fillId="0" borderId="0" applyAlignment="1" pivotButton="0" quotePrefix="0" xfId="0">
      <alignment horizontal="right"/>
    </xf>
    <xf numFmtId="0" fontId="4" fillId="0" borderId="0" pivotButton="0" quotePrefix="0" xfId="0"/>
    <xf numFmtId="2" fontId="13" fillId="0" borderId="0" applyAlignment="1" pivotButton="0" quotePrefix="0" xfId="0">
      <alignment horizontal="right"/>
    </xf>
    <xf numFmtId="2" fontId="27" fillId="0" borderId="0" applyAlignment="1" pivotButton="0" quotePrefix="0" xfId="0">
      <alignment horizontal="right"/>
    </xf>
    <xf numFmtId="0" fontId="4" fillId="0" borderId="8" pivotButton="0" quotePrefix="0" xfId="0"/>
    <xf numFmtId="0" fontId="8" fillId="0" borderId="8" pivotButton="0" quotePrefix="0" xfId="0"/>
    <xf numFmtId="0" fontId="15" fillId="5" borderId="8" pivotButton="0" quotePrefix="0" xfId="0"/>
    <xf numFmtId="0" fontId="15" fillId="5" borderId="0" pivotButton="0" quotePrefix="0" xfId="0"/>
    <xf numFmtId="0" fontId="18" fillId="2" borderId="0" pivotButton="0" quotePrefix="0" xfId="0"/>
    <xf numFmtId="2" fontId="4" fillId="0" borderId="0" pivotButton="0" quotePrefix="0" xfId="0"/>
    <xf numFmtId="0" fontId="16" fillId="0" borderId="4" pivotButton="0" quotePrefix="0" xfId="0"/>
    <xf numFmtId="2" fontId="4" fillId="0" borderId="4" pivotButton="0" quotePrefix="0" xfId="0"/>
    <xf numFmtId="0" fontId="8" fillId="0" borderId="4" pivotButton="0" quotePrefix="0" xfId="0"/>
    <xf numFmtId="0" fontId="4" fillId="0" borderId="4" pivotButton="0" quotePrefix="0" xfId="0"/>
    <xf numFmtId="4" fontId="9" fillId="0" borderId="0" applyAlignment="1" pivotButton="0" quotePrefix="0" xfId="0">
      <alignment horizontal="right"/>
    </xf>
    <xf numFmtId="0" fontId="9" fillId="0" borderId="0" applyAlignment="1" pivotButton="0" quotePrefix="0" xfId="0">
      <alignment horizontal="right"/>
    </xf>
    <xf numFmtId="2" fontId="13" fillId="5" borderId="0" applyAlignment="1" pivotButton="0" quotePrefix="0" xfId="0">
      <alignment horizontal="right"/>
    </xf>
    <xf numFmtId="0" fontId="13" fillId="10" borderId="0" pivotButton="0" quotePrefix="0" xfId="0"/>
    <xf numFmtId="0" fontId="4" fillId="5" borderId="0" pivotButton="0" quotePrefix="0" xfId="0"/>
    <xf numFmtId="0" fontId="8" fillId="5" borderId="0" pivotButton="0" quotePrefix="0" xfId="0"/>
    <xf numFmtId="0" fontId="9" fillId="5" borderId="0" applyAlignment="1" pivotButton="0" quotePrefix="0" xfId="0">
      <alignment horizontal="right"/>
    </xf>
    <xf numFmtId="0" fontId="3" fillId="0" borderId="0" pivotButton="0" quotePrefix="0" xfId="0"/>
    <xf numFmtId="0" fontId="17" fillId="2" borderId="9" pivotButton="0" quotePrefix="0" xfId="0"/>
    <xf numFmtId="0" fontId="17" fillId="4" borderId="9" pivotButton="0" quotePrefix="0" xfId="0"/>
    <xf numFmtId="0" fontId="16" fillId="0" borderId="9" pivotButton="0" quotePrefix="0" xfId="0"/>
    <xf numFmtId="10" fontId="17" fillId="2" borderId="9" pivotButton="0" quotePrefix="0" xfId="0"/>
    <xf numFmtId="10" fontId="17" fillId="4" borderId="11" pivotButton="0" quotePrefix="0" xfId="0"/>
    <xf numFmtId="0" fontId="8" fillId="0" borderId="12" pivotButton="0" quotePrefix="0" xfId="0"/>
    <xf numFmtId="0" fontId="16" fillId="5" borderId="14" pivotButton="0" quotePrefix="0" xfId="0"/>
    <xf numFmtId="2" fontId="13" fillId="5" borderId="15" applyAlignment="1" pivotButton="0" quotePrefix="0" xfId="0">
      <alignment horizontal="right"/>
    </xf>
    <xf numFmtId="0" fontId="8" fillId="5" borderId="15" pivotButton="0" quotePrefix="0" xfId="0"/>
    <xf numFmtId="0" fontId="3" fillId="0" borderId="12" pivotButton="0" quotePrefix="0" xfId="0"/>
    <xf numFmtId="2" fontId="4" fillId="5" borderId="0" pivotButton="0" quotePrefix="0" xfId="0"/>
    <xf numFmtId="0" fontId="2" fillId="5" borderId="15" pivotButton="0" quotePrefix="0" xfId="0"/>
    <xf numFmtId="0" fontId="2" fillId="5" borderId="16" pivotButton="0" quotePrefix="0" xfId="0"/>
    <xf numFmtId="2" fontId="2" fillId="0" borderId="0" pivotButton="0" quotePrefix="0" xfId="0"/>
    <xf numFmtId="0" fontId="2" fillId="0" borderId="0" pivotButton="0" quotePrefix="0" xfId="0"/>
    <xf numFmtId="0" fontId="2" fillId="0" borderId="10" pivotButton="0" quotePrefix="0" xfId="0"/>
    <xf numFmtId="10" fontId="2" fillId="0" borderId="0" pivotButton="0" quotePrefix="0" xfId="0"/>
    <xf numFmtId="0" fontId="2" fillId="0" borderId="12" pivotButton="0" quotePrefix="0" xfId="0"/>
    <xf numFmtId="0" fontId="2" fillId="0" borderId="13" pivotButton="0" quotePrefix="0" xfId="0"/>
    <xf numFmtId="0" fontId="1" fillId="0" borderId="0" pivotButton="0" quotePrefix="0" xfId="0"/>
    <xf numFmtId="2" fontId="9" fillId="5" borderId="0" pivotButton="0" quotePrefix="0" xfId="0"/>
    <xf numFmtId="2" fontId="13" fillId="0" borderId="0" applyAlignment="1" pivotButton="0" quotePrefix="0" xfId="0">
      <alignment horizontal="left" vertical="center" wrapText="1"/>
    </xf>
    <xf numFmtId="0" fontId="17" fillId="10" borderId="0" pivotButton="0" quotePrefix="0" xfId="0"/>
    <xf numFmtId="0" fontId="9" fillId="5" borderId="0" applyAlignment="1" pivotButton="0" quotePrefix="0" xfId="0">
      <alignment horizontal="center"/>
    </xf>
    <xf numFmtId="0" fontId="0" fillId="7" borderId="0" applyAlignment="1" pivotButton="0" quotePrefix="0" xfId="0">
      <alignment horizontal="center"/>
    </xf>
    <xf numFmtId="0" fontId="0" fillId="3" borderId="0" applyAlignment="1" pivotButton="0" quotePrefix="0" xfId="0">
      <alignment horizontal="center"/>
    </xf>
    <xf numFmtId="0" fontId="0" fillId="3" borderId="3" applyAlignment="1" pivotButton="0" quotePrefix="0" xfId="0">
      <alignment horizontal="center"/>
    </xf>
    <xf numFmtId="0" fontId="0" fillId="0" borderId="0" applyAlignment="1" pivotButton="0" quotePrefix="0" xfId="0">
      <alignment horizontal="center"/>
    </xf>
    <xf numFmtId="0" fontId="0" fillId="0" borderId="0" applyAlignment="1" pivotButton="0" quotePrefix="0" xfId="0">
      <alignment horizontal="center" wrapText="1"/>
    </xf>
    <xf numFmtId="0" fontId="0" fillId="0" borderId="7" applyAlignment="1" pivotButton="0" quotePrefix="0" xfId="0">
      <alignment horizontal="center" wrapText="1"/>
    </xf>
    <xf numFmtId="0" fontId="10" fillId="0" borderId="18" pivotButton="0" quotePrefix="0" xfId="0"/>
    <xf numFmtId="0" fontId="0" fillId="0" borderId="17" pivotButton="0" quotePrefix="0" xfId="0"/>
    <xf numFmtId="0" fontId="12" fillId="0" borderId="19" applyAlignment="1" pivotButton="0" quotePrefix="0" xfId="0">
      <alignment horizontal="center" vertical="center"/>
    </xf>
    <xf numFmtId="4" fontId="10" fillId="0" borderId="20" applyAlignment="1" pivotButton="0" quotePrefix="0" xfId="0">
      <alignment horizontal="center" vertical="center"/>
    </xf>
    <xf numFmtId="0" fontId="10" fillId="0" borderId="20" applyAlignment="1" pivotButton="0" quotePrefix="0" xfId="0">
      <alignment horizontal="center" vertical="center"/>
    </xf>
    <xf numFmtId="0" fontId="0" fillId="0" borderId="20" pivotButton="0" quotePrefix="0" xfId="0"/>
    <xf numFmtId="2" fontId="9" fillId="0" borderId="20" applyAlignment="1" pivotButton="0" quotePrefix="0" xfId="0">
      <alignment horizontal="center" vertical="center"/>
    </xf>
    <xf numFmtId="2" fontId="11" fillId="0" borderId="20" applyAlignment="1" pivotButton="0" quotePrefix="0" xfId="0">
      <alignment horizontal="center" vertical="center"/>
    </xf>
    <xf numFmtId="0" fontId="12" fillId="0" borderId="20" applyAlignment="1" pivotButton="0" quotePrefix="0" xfId="0">
      <alignment horizontal="center" vertical="center"/>
    </xf>
    <xf numFmtId="0" fontId="0" fillId="0" borderId="18" pivotButton="0" quotePrefix="0" xfId="0"/>
    <xf numFmtId="0" fontId="20" fillId="0" borderId="18" pivotButton="0" quotePrefix="0" xfId="0"/>
    <xf numFmtId="0" fontId="20" fillId="11" borderId="18" pivotButton="0" quotePrefix="0" xfId="0"/>
    <xf numFmtId="0" fontId="20" fillId="11" borderId="17" pivotButton="0" quotePrefix="0" xfId="0"/>
    <xf numFmtId="0" fontId="12" fillId="0" borderId="19" applyAlignment="1" pivotButton="0" quotePrefix="0" xfId="0">
      <alignment horizontal="center" vertical="top"/>
    </xf>
    <xf numFmtId="4" fontId="10" fillId="0" borderId="20" applyAlignment="1" pivotButton="0" quotePrefix="0" xfId="0">
      <alignment horizontal="right"/>
    </xf>
    <xf numFmtId="0" fontId="10" fillId="0" borderId="20" applyAlignment="1" pivotButton="0" quotePrefix="0" xfId="0">
      <alignment horizontal="right"/>
    </xf>
    <xf numFmtId="4" fontId="9" fillId="0" borderId="20" applyAlignment="1" pivotButton="0" quotePrefix="0" xfId="0">
      <alignment horizontal="center"/>
    </xf>
    <xf numFmtId="0" fontId="11" fillId="0" borderId="20" applyAlignment="1" pivotButton="0" quotePrefix="0" xfId="0">
      <alignment horizontal="center" vertical="top"/>
    </xf>
    <xf numFmtId="0" fontId="12" fillId="0" borderId="20" applyAlignment="1" pivotButton="0" quotePrefix="0" xfId="0">
      <alignment horizontal="left" vertical="top"/>
    </xf>
    <xf numFmtId="0" fontId="15" fillId="0"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omments/comment1.xml><?xml version="1.0" encoding="utf-8"?>
<comments xmlns="http://schemas.openxmlformats.org/spreadsheetml/2006/main">
  <authors>
    <author>Victoria Gierok</author>
  </authors>
  <commentList>
    <comment ref="F86" authorId="0" shapeId="0">
      <text>
        <t>Victoria Gierok:
valued at sales prices where available</t>
      </text>
    </comment>
    <comment ref="F117" authorId="0" shapeId="0">
      <text>
        <t>Victoria Gierok:
valued at sales prices where available</t>
      </text>
    </comment>
    <comment ref="F126" authorId="0" shapeId="0">
      <text>
        <t>Victoria Gierok:
valued at sales prices where available</t>
      </text>
    </comment>
    <comment ref="F150" authorId="0" shapeId="0">
      <text>
        <t>Victoria Gierok:
valued at sales prices where available</t>
      </text>
    </comment>
    <comment ref="F158" authorId="0" shapeId="0">
      <text>
        <t>Victoria Gierok:
valued at sales prices where available</t>
      </text>
    </comment>
    <comment ref="F165" authorId="0" shapeId="0">
      <text>
        <t>Victoria Gierok:
valued at sales prices where available</t>
      </text>
    </comment>
  </commentList>
</comments>
</file>

<file path=xl/comments/comment2.xml><?xml version="1.0" encoding="utf-8"?>
<comments xmlns="http://schemas.openxmlformats.org/spreadsheetml/2006/main">
  <authors>
    <author>Victoria Gierok</author>
  </authors>
  <commentList>
    <comment ref="D4" authorId="0" shapeId="0">
      <text>
        <t>Victoria Gierok:
strays that the seem to have added to their own stock?</t>
      </text>
    </comment>
    <comment ref="E4" authorId="0" shapeId="0">
      <text>
        <t>Victoria Gierok:
herbage = a type of customary payment to the lord; hence an addition to the stock</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G183"/>
  <sheetViews>
    <sheetView tabSelected="1" workbookViewId="0">
      <pane xSplit="1" ySplit="2" topLeftCell="B126" activePane="bottomRight" state="frozen"/>
      <selection pane="topRight" activeCell="B1" sqref="B1"/>
      <selection pane="bottomLeft" activeCell="A3" sqref="A3"/>
      <selection pane="bottomRight" activeCell="A138" sqref="A138"/>
    </sheetView>
  </sheetViews>
  <sheetFormatPr baseColWidth="8" defaultColWidth="10.81640625" defaultRowHeight="15.5"/>
  <cols>
    <col width="80" bestFit="1" customWidth="1" style="76" min="1" max="1"/>
    <col width="10.81640625" customWidth="1" style="76" min="2" max="2"/>
    <col width="10.81640625" customWidth="1" style="10" min="3" max="3"/>
    <col width="30.81640625" bestFit="1" customWidth="1" style="76" min="4" max="4"/>
    <col width="29.36328125" bestFit="1" customWidth="1" style="76" min="5" max="5"/>
    <col width="35.453125" bestFit="1" customWidth="1" style="76" min="6" max="6"/>
    <col width="21.1796875" customWidth="1" style="76" min="7" max="7"/>
    <col width="10.81640625" customWidth="1" style="76" min="8" max="16384"/>
  </cols>
  <sheetData>
    <row r="1">
      <c r="A1" s="8" t="inlineStr">
        <is>
          <t>ADDERBURY</t>
        </is>
      </c>
      <c r="B1" s="77" t="inlineStr">
        <is>
          <t>Total in £</t>
        </is>
      </c>
      <c r="C1" s="78" t="inlineStr">
        <is>
          <t>Error</t>
        </is>
      </c>
      <c r="D1" s="12" t="inlineStr">
        <is>
          <t>Note</t>
        </is>
      </c>
      <c r="E1" s="12" t="n"/>
    </row>
    <row r="2">
      <c r="A2" s="8" t="inlineStr">
        <is>
          <t>CASH ACCOUNT</t>
        </is>
      </c>
    </row>
    <row r="3">
      <c r="A3" s="16" t="inlineStr">
        <is>
          <t>RECEIPTS</t>
        </is>
      </c>
    </row>
    <row r="4">
      <c r="A4" s="15" t="inlineStr">
        <is>
          <t>Arrears total</t>
        </is>
      </c>
      <c r="B4" s="76" t="inlineStr">
        <is>
          <t xml:space="preserve"> </t>
        </is>
      </c>
      <c r="D4" s="13" t="n"/>
      <c r="E4" s="13" t="n"/>
    </row>
    <row r="5">
      <c r="A5" s="15" t="inlineStr">
        <is>
          <t>Rents of assize total</t>
        </is>
      </c>
      <c r="B5" s="76">
        <f>'Adderbury Receipts'!F9</f>
        <v/>
      </c>
    </row>
    <row r="6">
      <c r="A6" s="15" t="inlineStr">
        <is>
          <t>Quittances total</t>
        </is>
      </c>
      <c r="B6" s="76">
        <f>'Adderbury Receipts'!F22</f>
        <v/>
      </c>
    </row>
    <row r="7">
      <c r="A7" s="15" t="inlineStr">
        <is>
          <t>Defaults of rent total</t>
        </is>
      </c>
      <c r="B7" s="76">
        <f>'Adderbury Receipts'!F27</f>
        <v/>
      </c>
    </row>
    <row r="8">
      <c r="A8" s="76" t="inlineStr">
        <is>
          <t>Defaults of rent through the pestilence total</t>
        </is>
      </c>
      <c r="B8" s="76">
        <f>'Adderbury Receipts'!F36</f>
        <v/>
      </c>
    </row>
    <row r="9">
      <c r="A9" s="76" t="inlineStr">
        <is>
          <t>Cotlands defaults total</t>
        </is>
      </c>
      <c r="B9" s="76">
        <f>'Adderbury Receipts'!F45</f>
        <v/>
      </c>
    </row>
    <row r="10">
      <c r="A10" s="76" t="inlineStr">
        <is>
          <t>Cotlands total</t>
        </is>
      </c>
      <c r="B10" s="76">
        <f>'Adderbury Receipts'!F54</f>
        <v/>
      </c>
    </row>
    <row r="11">
      <c r="A11" s="76" t="inlineStr">
        <is>
          <t>Total of quittances and defaults of rent total</t>
        </is>
      </c>
      <c r="B11" s="76">
        <f>'Adderbury Receipts'!F56</f>
        <v/>
      </c>
    </row>
    <row r="12">
      <c r="A12" s="76" t="inlineStr">
        <is>
          <t>Total of rents remaining clear total</t>
        </is>
      </c>
      <c r="B12" s="76">
        <f>'Adderbury Receipts'!F58</f>
        <v/>
      </c>
    </row>
    <row r="13">
      <c r="A13" s="76" t="inlineStr">
        <is>
          <t>Farms total</t>
        </is>
      </c>
      <c r="B13" s="76">
        <f>'Adderbury Receipts'!F70</f>
        <v/>
      </c>
    </row>
    <row r="14">
      <c r="A14" s="15" t="inlineStr">
        <is>
          <t>Annual recognizances total</t>
        </is>
      </c>
      <c r="B14" s="76">
        <f>'Adderbury Receipts'!F90</f>
        <v/>
      </c>
    </row>
    <row r="15">
      <c r="A15" s="15" t="inlineStr">
        <is>
          <t>Issues of the Manor total</t>
        </is>
      </c>
      <c r="B15" s="76">
        <f>'Adderbury Receipts'!F117</f>
        <v/>
      </c>
    </row>
    <row r="16">
      <c r="A16" s="76" t="inlineStr">
        <is>
          <t>Issues of the tenements in the lord's hands total</t>
        </is>
      </c>
      <c r="B16" s="76">
        <f>'Adderbury Receipts'!F126</f>
        <v/>
      </c>
    </row>
    <row r="17">
      <c r="A17" s="76" t="inlineStr">
        <is>
          <t>Sale of labour services total</t>
        </is>
      </c>
      <c r="B17" s="76">
        <f>'Adderbury Receipts'!F135</f>
        <v/>
      </c>
    </row>
    <row r="18">
      <c r="A18" s="15" t="inlineStr">
        <is>
          <t>Sale of corn total</t>
        </is>
      </c>
      <c r="B18" s="76">
        <f>'Adderbury Receipts'!F138</f>
        <v/>
      </c>
    </row>
    <row r="19">
      <c r="A19" s="15" t="inlineStr">
        <is>
          <t>Entry and marriage fines total</t>
        </is>
      </c>
      <c r="B19" s="76">
        <f>'Adderbury Receipts'!F166</f>
        <v/>
      </c>
    </row>
    <row r="20">
      <c r="A20" s="15" t="inlineStr">
        <is>
          <t>Pleas &amp; perquisites total</t>
        </is>
      </c>
      <c r="B20" s="76">
        <f>'Adderbury Receipts'!F173</f>
        <v/>
      </c>
    </row>
    <row r="21">
      <c r="A21" s="76" t="inlineStr">
        <is>
          <t>Forfeited chattels total</t>
        </is>
      </c>
      <c r="B21" s="76">
        <f>'Adderbury Receipts'!F177</f>
        <v/>
      </c>
    </row>
    <row r="22">
      <c r="A22" s="76" t="inlineStr">
        <is>
          <t>Farm of the demesne land total</t>
        </is>
      </c>
      <c r="B22" s="76">
        <f>'Adderbury Receipts'!F181</f>
        <v/>
      </c>
      <c r="D22" s="88" t="n"/>
    </row>
    <row r="23">
      <c r="A23" s="81" t="inlineStr">
        <is>
          <t>Total of all receipts (calculated here)</t>
        </is>
      </c>
      <c r="B23" s="79">
        <f>'Adderbury Receipts'!F185</f>
        <v/>
      </c>
      <c r="C23" s="80" t="n"/>
    </row>
    <row r="24">
      <c r="A24" s="82" t="inlineStr">
        <is>
          <t>Total of all receipts (calculated here) incl arrears</t>
        </is>
      </c>
      <c r="D24" s="13" t="n"/>
      <c r="E24" s="13" t="n"/>
    </row>
    <row r="25">
      <c r="A25" s="83" t="inlineStr">
        <is>
          <t>Total recorded in the accounts excl. arrears</t>
        </is>
      </c>
      <c r="B25" s="76">
        <f>'Adderbury Receipts'!F184</f>
        <v/>
      </c>
      <c r="C25" s="10">
        <f>B23-B25</f>
        <v/>
      </c>
    </row>
    <row r="26">
      <c r="A26" s="83" t="inlineStr">
        <is>
          <t>Total recorded in the accounts incl. arrears</t>
        </is>
      </c>
      <c r="D26" s="13" t="n"/>
      <c r="E26" s="13" t="n"/>
    </row>
    <row r="27">
      <c r="A27" s="15" t="n"/>
    </row>
    <row r="28">
      <c r="A28" s="15" t="n"/>
    </row>
    <row r="29">
      <c r="A29" s="16" t="inlineStr">
        <is>
          <t>EXPENSES</t>
        </is>
      </c>
    </row>
    <row r="30">
      <c r="A30" s="15" t="inlineStr">
        <is>
          <t>Cost of ploughs total</t>
        </is>
      </c>
    </row>
    <row r="31">
      <c r="A31" s="15" t="inlineStr">
        <is>
          <t>Purchase of corn total</t>
        </is>
      </c>
    </row>
    <row r="32">
      <c r="A32" s="15" t="inlineStr">
        <is>
          <t>Cost of carts and wagons total</t>
        </is>
      </c>
    </row>
    <row r="33">
      <c r="A33" s="15" t="inlineStr">
        <is>
          <t>Cost of dairy total</t>
        </is>
      </c>
    </row>
    <row r="34">
      <c r="A34" s="15" t="inlineStr">
        <is>
          <t>Purchase of stock total</t>
        </is>
      </c>
    </row>
    <row r="35">
      <c r="A35" s="15" t="inlineStr">
        <is>
          <t>Sheepcote total</t>
        </is>
      </c>
    </row>
    <row r="36">
      <c r="A36" s="15" t="inlineStr">
        <is>
          <t>Cost of buildings total</t>
        </is>
      </c>
      <c r="B36" s="84">
        <f>'Adderbury Expenses'!F26</f>
        <v/>
      </c>
    </row>
    <row r="37">
      <c r="A37" s="15" t="inlineStr">
        <is>
          <t>Threshing total</t>
        </is>
      </c>
    </row>
    <row r="38">
      <c r="A38" s="15" t="inlineStr">
        <is>
          <t>Barley expenses</t>
        </is>
      </c>
    </row>
    <row r="39">
      <c r="A39" s="15" t="inlineStr">
        <is>
          <t>Expenses of the harvest total</t>
        </is>
      </c>
    </row>
    <row r="40">
      <c r="A40" s="15" t="inlineStr">
        <is>
          <t>Necessary expenses</t>
        </is>
      </c>
    </row>
    <row r="41">
      <c r="A41" s="15" t="inlineStr">
        <is>
          <t>Wages of the bailiff</t>
        </is>
      </c>
      <c r="B41" s="84">
        <f>'Adderbury Expenses'!F30</f>
        <v/>
      </c>
    </row>
    <row r="42">
      <c r="A42" s="15" t="inlineStr">
        <is>
          <t>Steward's expenses total</t>
        </is>
      </c>
      <c r="B42" s="84">
        <f>'Adderbury Expenses'!F33</f>
        <v/>
      </c>
    </row>
    <row r="43">
      <c r="A43" s="85" t="inlineStr">
        <is>
          <t>Annual fees</t>
        </is>
      </c>
      <c r="B43" s="86">
        <f>'Adderbury Expenses'!F37</f>
        <v/>
      </c>
      <c r="C43" s="87" t="n"/>
      <c r="D43" s="88" t="n"/>
    </row>
    <row r="44">
      <c r="A44" s="82" t="inlineStr">
        <is>
          <t>Total of all expenses per account</t>
        </is>
      </c>
      <c r="B44" s="84" t="n"/>
    </row>
    <row r="45">
      <c r="A45" s="82" t="inlineStr">
        <is>
          <t>Total of all expenses (calculated here)</t>
        </is>
      </c>
      <c r="B45" s="84" t="n"/>
    </row>
    <row r="46">
      <c r="A46" s="82" t="inlineStr">
        <is>
          <t>Total fixed investment</t>
        </is>
      </c>
      <c r="B46" s="84" t="n"/>
    </row>
    <row r="47">
      <c r="A47" s="82" t="inlineStr">
        <is>
          <t>Total Demesne fixed investment</t>
        </is>
      </c>
      <c r="B47" s="84" t="n"/>
    </row>
    <row r="48">
      <c r="A48" s="12" t="n"/>
    </row>
    <row r="49">
      <c r="A49" s="18" t="inlineStr">
        <is>
          <t>Owed by the reeve</t>
        </is>
      </c>
      <c r="B49" s="84">
        <f>B23-B45</f>
        <v/>
      </c>
    </row>
    <row r="50">
      <c r="A50" s="18" t="inlineStr">
        <is>
          <t>From accounts</t>
        </is>
      </c>
      <c r="B50" s="84">
        <f>'Adderbury Expenses'!F41</f>
        <v/>
      </c>
    </row>
    <row r="51">
      <c r="A51" s="15" t="n"/>
    </row>
    <row r="52">
      <c r="A52" s="18" t="inlineStr">
        <is>
          <t>Allowances</t>
        </is>
      </c>
      <c r="B52" s="84">
        <f>'Adderbury Expenses'!F45</f>
        <v/>
      </c>
    </row>
    <row r="53">
      <c r="A53" s="18" t="inlineStr">
        <is>
          <t>Cash deliveries</t>
        </is>
      </c>
      <c r="B53" s="84">
        <f>'Adderbury Expenses'!F48</f>
        <v/>
      </c>
    </row>
    <row r="54">
      <c r="A54" s="19" t="inlineStr">
        <is>
          <t>Sum of the above</t>
        </is>
      </c>
      <c r="B54" s="84">
        <f>SUM(B52:B53)</f>
        <v/>
      </c>
    </row>
    <row r="55">
      <c r="A55" s="20" t="inlineStr">
        <is>
          <t>Total of all allowances and cash deliveries in accounts</t>
        </is>
      </c>
    </row>
    <row r="56">
      <c r="A56" s="15" t="n"/>
    </row>
    <row r="57">
      <c r="A57" s="18" t="inlineStr">
        <is>
          <t>Net amount owed</t>
        </is>
      </c>
      <c r="B57" s="84">
        <f>B50-B54</f>
        <v/>
      </c>
    </row>
    <row r="58">
      <c r="A58" s="18" t="inlineStr">
        <is>
          <t>Net amount owed in accounts</t>
        </is>
      </c>
    </row>
    <row r="59">
      <c r="A59" s="15" t="n"/>
    </row>
    <row r="60">
      <c r="A60" s="16" t="inlineStr">
        <is>
          <t xml:space="preserve">GRANGE ACCOUNT </t>
        </is>
      </c>
      <c r="B60" s="120" t="inlineStr">
        <is>
          <t>Total Production</t>
        </is>
      </c>
      <c r="D60" s="117" t="inlineStr">
        <is>
          <t>Value of total gross production in £</t>
        </is>
      </c>
      <c r="E60" s="117" t="inlineStr">
        <is>
          <t>Value of total net production in £</t>
        </is>
      </c>
    </row>
    <row r="61">
      <c r="A61" s="8" t="inlineStr">
        <is>
          <t>Grange</t>
        </is>
      </c>
      <c r="B61" s="89" t="inlineStr">
        <is>
          <t>qrs</t>
        </is>
      </c>
      <c r="C61" s="90" t="inlineStr">
        <is>
          <t>bus</t>
        </is>
      </c>
    </row>
    <row r="62">
      <c r="A62" s="76" t="inlineStr">
        <is>
          <t>Wheat</t>
        </is>
      </c>
      <c r="F62" s="13" t="n"/>
    </row>
    <row r="63">
      <c r="A63" s="76" t="inlineStr">
        <is>
          <t>Rye</t>
        </is>
      </c>
      <c r="F63" s="13" t="n"/>
    </row>
    <row r="64">
      <c r="A64" s="76" t="inlineStr">
        <is>
          <t>Dredge</t>
        </is>
      </c>
      <c r="F64" s="13" t="n"/>
    </row>
    <row r="65">
      <c r="A65" s="76" t="inlineStr">
        <is>
          <t>Curall</t>
        </is>
      </c>
      <c r="F65" s="13" t="n"/>
    </row>
    <row r="66">
      <c r="A66" s="76" t="inlineStr">
        <is>
          <t>Barley</t>
        </is>
      </c>
      <c r="F66" s="13" t="n"/>
    </row>
    <row r="67">
      <c r="A67" s="76" t="inlineStr">
        <is>
          <t>Oats</t>
        </is>
      </c>
      <c r="F67" s="13" t="n"/>
    </row>
    <row r="68">
      <c r="A68" s="76" t="inlineStr">
        <is>
          <t>Beans</t>
        </is>
      </c>
      <c r="F68" s="13" t="n"/>
    </row>
    <row r="69">
      <c r="A69" s="76" t="inlineStr">
        <is>
          <t>Peas</t>
        </is>
      </c>
      <c r="F69" s="13" t="n"/>
    </row>
    <row r="70">
      <c r="A70" s="76" t="inlineStr">
        <is>
          <t>Vetches</t>
        </is>
      </c>
    </row>
    <row r="71">
      <c r="A71" s="17" t="inlineStr">
        <is>
          <t>Total value of gross production (sum of the above)</t>
        </is>
      </c>
      <c r="B71" s="93">
        <f>SUM(D62:D70)</f>
        <v/>
      </c>
      <c r="C71" s="94" t="n"/>
      <c r="D71" s="93" t="n"/>
      <c r="E71" s="93" t="n"/>
    </row>
    <row r="72">
      <c r="A72" s="17" t="inlineStr">
        <is>
          <t>Total value of net production</t>
        </is>
      </c>
      <c r="B72" s="93">
        <f>SUM(E62:E70)</f>
        <v/>
      </c>
      <c r="C72" s="94" t="n"/>
      <c r="D72" s="93" t="n"/>
      <c r="E72" s="93" t="n"/>
    </row>
    <row r="73">
      <c r="A73" s="17" t="inlineStr">
        <is>
          <t>Value of sales</t>
        </is>
      </c>
      <c r="B73" s="93" t="n"/>
      <c r="C73" s="94" t="n"/>
      <c r="D73" s="93" t="n"/>
      <c r="E73" s="93" t="n"/>
    </row>
    <row r="74">
      <c r="A74" s="15" t="n"/>
    </row>
    <row r="75">
      <c r="A75" s="16" t="inlineStr">
        <is>
          <t>MILL ACCOUNT</t>
        </is>
      </c>
      <c r="B75" s="120" t="inlineStr">
        <is>
          <t>Total Production</t>
        </is>
      </c>
      <c r="D75" s="91" t="inlineStr">
        <is>
          <t>Total in £</t>
        </is>
      </c>
      <c r="E75" s="91" t="n"/>
      <c r="F75" s="13" t="inlineStr">
        <is>
          <t>Not yet implemented</t>
        </is>
      </c>
    </row>
    <row r="76">
      <c r="A76" s="8" t="inlineStr">
        <is>
          <t>Issues of the mill</t>
        </is>
      </c>
      <c r="B76" s="89" t="inlineStr">
        <is>
          <t>qrs</t>
        </is>
      </c>
      <c r="C76" s="90" t="inlineStr">
        <is>
          <t>bus</t>
        </is>
      </c>
    </row>
    <row r="77">
      <c r="A77" s="15" t="inlineStr">
        <is>
          <t>Wheat</t>
        </is>
      </c>
      <c r="F77" s="13" t="n"/>
    </row>
    <row r="78">
      <c r="A78" s="15" t="inlineStr">
        <is>
          <t>Oatmeal</t>
        </is>
      </c>
    </row>
    <row r="79">
      <c r="A79" s="15" t="inlineStr">
        <is>
          <t>1st grade malt</t>
        </is>
      </c>
    </row>
    <row r="80">
      <c r="A80" s="15" t="inlineStr">
        <is>
          <t>2nd grade malt</t>
        </is>
      </c>
    </row>
    <row r="81">
      <c r="A81" s="15" t="inlineStr">
        <is>
          <t>Maslin</t>
        </is>
      </c>
    </row>
    <row r="82">
      <c r="A82" s="17" t="inlineStr">
        <is>
          <t>Total value of production (sum of the above)</t>
        </is>
      </c>
      <c r="B82" s="93" t="n"/>
      <c r="C82" s="94" t="n"/>
      <c r="D82" s="93" t="n"/>
      <c r="E82" s="93" t="n"/>
    </row>
    <row r="83">
      <c r="A83" s="17" t="inlineStr">
        <is>
          <t>Value of sales</t>
        </is>
      </c>
      <c r="B83" s="93" t="n"/>
      <c r="C83" s="94" t="n"/>
      <c r="D83" s="93" t="n"/>
      <c r="E83" s="93" t="n"/>
    </row>
    <row r="84">
      <c r="A84" s="15" t="n"/>
    </row>
    <row r="85">
      <c r="A85" s="92" t="inlineStr">
        <is>
          <t>STOCK ACCOUNT</t>
        </is>
      </c>
      <c r="B85" s="93" t="n"/>
      <c r="C85" s="94" t="n"/>
      <c r="D85" s="93" t="n"/>
      <c r="E85" s="93" t="n"/>
      <c r="F85" s="93" t="n"/>
      <c r="G85" s="93" t="n"/>
    </row>
    <row r="86">
      <c r="A86" s="21" t="inlineStr">
        <is>
          <t>Livestock</t>
        </is>
      </c>
      <c r="B86" s="95" t="inlineStr">
        <is>
          <t>Begin stock</t>
        </is>
      </c>
      <c r="C86" s="95" t="inlineStr">
        <is>
          <t>End stock</t>
        </is>
      </c>
      <c r="D86" s="95" t="inlineStr">
        <is>
          <t>Stockbuilding</t>
        </is>
      </c>
      <c r="E86" s="95" t="n"/>
      <c r="F86" s="95" t="inlineStr">
        <is>
          <t>Value of stock in £</t>
        </is>
      </c>
      <c r="G86" s="53" t="inlineStr">
        <is>
          <t>Value of stockbuilding</t>
        </is>
      </c>
    </row>
    <row r="87">
      <c r="A87" s="22" t="inlineStr">
        <is>
          <t>Cart-horses</t>
        </is>
      </c>
      <c r="B87" s="76">
        <f>'Adderbury Stock'!B5</f>
        <v/>
      </c>
      <c r="C87" s="76">
        <f>'Adderbury Stock'!K5</f>
        <v/>
      </c>
      <c r="D87" s="76">
        <f>'Adderbury Overview'!C87-'Adderbury Overview'!B87</f>
        <v/>
      </c>
      <c r="F87" s="84">
        <f>'Adderbury Stock'!P5</f>
        <v/>
      </c>
      <c r="G87" s="84">
        <f>'Adderbury Stock'!S5</f>
        <v/>
      </c>
    </row>
    <row r="88">
      <c r="A88" s="22" t="inlineStr">
        <is>
          <t>Mares</t>
        </is>
      </c>
      <c r="B88" s="76">
        <f>'Adderbury Stock'!B6</f>
        <v/>
      </c>
      <c r="C88" s="76">
        <f>'Adderbury Stock'!K6</f>
        <v/>
      </c>
      <c r="D88" s="76">
        <f>'Adderbury Overview'!C88-'Adderbury Overview'!B88</f>
        <v/>
      </c>
      <c r="F88" s="84">
        <f>'Adderbury Stock'!P6</f>
        <v/>
      </c>
      <c r="G88" s="84">
        <f>'Adderbury Stock'!S6</f>
        <v/>
      </c>
    </row>
    <row r="89">
      <c r="A89" s="15" t="inlineStr">
        <is>
          <t>Plough horses</t>
        </is>
      </c>
      <c r="B89" s="76">
        <f>'Adderbury Stock'!B7</f>
        <v/>
      </c>
      <c r="C89" s="76">
        <f>'Adderbury Stock'!K7</f>
        <v/>
      </c>
      <c r="D89" s="76">
        <f>'Adderbury Overview'!C89-'Adderbury Overview'!B89</f>
        <v/>
      </c>
      <c r="F89" s="84">
        <f>'Adderbury Stock'!P7</f>
        <v/>
      </c>
      <c r="G89" s="84">
        <f>'Adderbury Stock'!S7</f>
        <v/>
      </c>
    </row>
    <row r="90">
      <c r="A90" s="15" t="inlineStr">
        <is>
          <t>Colts (2 years)</t>
        </is>
      </c>
      <c r="B90" s="76">
        <f>'Adderbury Stock'!B8</f>
        <v/>
      </c>
      <c r="C90" s="76">
        <f>'Adderbury Stock'!K8</f>
        <v/>
      </c>
      <c r="D90" s="76">
        <f>'Adderbury Overview'!C90-'Adderbury Overview'!B90</f>
        <v/>
      </c>
      <c r="F90" s="84">
        <f>'Adderbury Stock'!P8</f>
        <v/>
      </c>
      <c r="G90" s="84">
        <f>'Adderbury Stock'!S8</f>
        <v/>
      </c>
    </row>
    <row r="91">
      <c r="A91" s="15" t="inlineStr">
        <is>
          <t>Colts (2 years)</t>
        </is>
      </c>
      <c r="B91" s="76">
        <f>'Adderbury Stock'!B9</f>
        <v/>
      </c>
      <c r="C91" s="76">
        <f>'Adderbury Stock'!K9</f>
        <v/>
      </c>
      <c r="D91" s="76">
        <f>'Adderbury Overview'!C91-'Adderbury Overview'!B91</f>
        <v/>
      </c>
      <c r="F91" s="84">
        <f>'Adderbury Stock'!P9</f>
        <v/>
      </c>
      <c r="G91" s="84">
        <f>'Adderbury Stock'!S9</f>
        <v/>
      </c>
    </row>
    <row r="92">
      <c r="A92" s="15" t="inlineStr">
        <is>
          <t>Colts (1 year)</t>
        </is>
      </c>
      <c r="B92" s="76">
        <f>'Adderbury Stock'!B10</f>
        <v/>
      </c>
      <c r="C92" s="76">
        <f>'Adderbury Stock'!K10</f>
        <v/>
      </c>
      <c r="D92" s="76">
        <f>'Adderbury Overview'!C92-'Adderbury Overview'!B92</f>
        <v/>
      </c>
      <c r="F92" s="84">
        <f>'Adderbury Stock'!P10</f>
        <v/>
      </c>
      <c r="G92" s="84">
        <f>'Adderbury Stock'!S10</f>
        <v/>
      </c>
    </row>
    <row r="93">
      <c r="A93" s="15" t="inlineStr">
        <is>
          <t>Foals</t>
        </is>
      </c>
      <c r="B93" s="76">
        <f>'Adderbury Stock'!B11</f>
        <v/>
      </c>
      <c r="C93" s="76">
        <f>'Adderbury Stock'!K11</f>
        <v/>
      </c>
      <c r="D93" s="76">
        <f>'Adderbury Overview'!C93-'Adderbury Overview'!B93</f>
        <v/>
      </c>
      <c r="F93" s="84">
        <f>'Adderbury Stock'!P11</f>
        <v/>
      </c>
      <c r="G93" s="84">
        <f>'Adderbury Stock'!S11</f>
        <v/>
      </c>
    </row>
    <row r="94">
      <c r="A94" s="15" t="inlineStr">
        <is>
          <t>Oxen</t>
        </is>
      </c>
      <c r="B94" s="76">
        <f>'Adderbury Stock'!B12</f>
        <v/>
      </c>
      <c r="C94" s="76">
        <f>'Adderbury Stock'!K12</f>
        <v/>
      </c>
      <c r="D94" s="76">
        <f>'Adderbury Overview'!C94-'Adderbury Overview'!B94</f>
        <v/>
      </c>
      <c r="F94" s="84">
        <f>'Adderbury Stock'!P12</f>
        <v/>
      </c>
      <c r="G94" s="84">
        <f>'Adderbury Stock'!S12</f>
        <v/>
      </c>
    </row>
    <row r="95">
      <c r="A95" s="15" t="inlineStr">
        <is>
          <t>Bulls</t>
        </is>
      </c>
      <c r="B95" s="76">
        <f>'Adderbury Stock'!B13</f>
        <v/>
      </c>
      <c r="C95" s="76">
        <f>'Adderbury Stock'!K13</f>
        <v/>
      </c>
      <c r="D95" s="76">
        <f>'Adderbury Overview'!C95-'Adderbury Overview'!B95</f>
        <v/>
      </c>
      <c r="F95" s="84">
        <f>'Adderbury Stock'!P13</f>
        <v/>
      </c>
      <c r="G95" s="84">
        <f>'Adderbury Stock'!S13</f>
        <v/>
      </c>
    </row>
    <row r="96">
      <c r="A96" s="15" t="inlineStr">
        <is>
          <t>Cows</t>
        </is>
      </c>
      <c r="B96" s="76">
        <f>'Adderbury Stock'!B14</f>
        <v/>
      </c>
      <c r="C96" s="76">
        <f>'Adderbury Stock'!K14</f>
        <v/>
      </c>
      <c r="D96" s="76">
        <f>'Adderbury Overview'!C96-'Adderbury Overview'!B96</f>
        <v/>
      </c>
      <c r="F96" s="84">
        <f>'Adderbury Stock'!P14</f>
        <v/>
      </c>
      <c r="G96" s="84">
        <f>'Adderbury Stock'!S14</f>
        <v/>
      </c>
    </row>
    <row r="97">
      <c r="A97" s="15" t="inlineStr">
        <is>
          <t>Steers</t>
        </is>
      </c>
      <c r="B97" s="76">
        <f>'Adderbury Stock'!B15</f>
        <v/>
      </c>
      <c r="C97" s="76">
        <f>'Adderbury Stock'!K15</f>
        <v/>
      </c>
      <c r="D97" s="76">
        <f>'Adderbury Overview'!C97-'Adderbury Overview'!B97</f>
        <v/>
      </c>
      <c r="F97" s="84">
        <f>'Adderbury Stock'!P15</f>
        <v/>
      </c>
      <c r="G97" s="84">
        <f>'Adderbury Stock'!S15</f>
        <v/>
      </c>
    </row>
    <row r="98">
      <c r="A98" s="15" t="inlineStr">
        <is>
          <t>Bullocks</t>
        </is>
      </c>
      <c r="B98" s="76">
        <f>'Adderbury Stock'!B16</f>
        <v/>
      </c>
      <c r="C98" s="76">
        <f>'Adderbury Stock'!K16</f>
        <v/>
      </c>
      <c r="D98" s="76">
        <f>'Adderbury Overview'!C98-'Adderbury Overview'!B98</f>
        <v/>
      </c>
      <c r="F98" s="84">
        <f>'Adderbury Stock'!P16</f>
        <v/>
      </c>
      <c r="G98" s="84">
        <f>'Adderbury Stock'!S16</f>
        <v/>
      </c>
    </row>
    <row r="99">
      <c r="A99" s="15" t="inlineStr">
        <is>
          <t>Yearlings</t>
        </is>
      </c>
      <c r="B99" s="76">
        <f>'Adderbury Stock'!B17</f>
        <v/>
      </c>
      <c r="C99" s="76">
        <f>'Adderbury Stock'!K17</f>
        <v/>
      </c>
      <c r="D99" s="76">
        <f>'Adderbury Overview'!C99-'Adderbury Overview'!B99</f>
        <v/>
      </c>
      <c r="F99" s="84">
        <f>'Adderbury Stock'!P17</f>
        <v/>
      </c>
      <c r="G99" s="84">
        <f>'Adderbury Stock'!S17</f>
        <v/>
      </c>
    </row>
    <row r="100">
      <c r="A100" s="15" t="inlineStr">
        <is>
          <t>Calves</t>
        </is>
      </c>
      <c r="B100" s="76">
        <f>'Adderbury Stock'!B18</f>
        <v/>
      </c>
      <c r="C100" s="76">
        <f>'Adderbury Stock'!K18</f>
        <v/>
      </c>
      <c r="D100" s="76">
        <f>'Adderbury Overview'!C100-'Adderbury Overview'!B100</f>
        <v/>
      </c>
      <c r="F100" s="84">
        <f>'Adderbury Stock'!P18</f>
        <v/>
      </c>
      <c r="G100" s="84">
        <f>'Adderbury Stock'!S18</f>
        <v/>
      </c>
    </row>
    <row r="101">
      <c r="A101" s="15" t="inlineStr">
        <is>
          <t>Wethers</t>
        </is>
      </c>
      <c r="B101" s="76">
        <f>'Adderbury Stock'!B19</f>
        <v/>
      </c>
      <c r="C101" s="76">
        <f>'Adderbury Stock'!K19</f>
        <v/>
      </c>
      <c r="D101" s="76">
        <f>'Adderbury Overview'!C101-'Adderbury Overview'!B101</f>
        <v/>
      </c>
      <c r="F101" s="84">
        <f>'Adderbury Stock'!P19</f>
        <v/>
      </c>
      <c r="G101" s="84">
        <f>'Adderbury Stock'!S19</f>
        <v/>
      </c>
    </row>
    <row r="102">
      <c r="A102" s="15" t="inlineStr">
        <is>
          <t>Rams</t>
        </is>
      </c>
      <c r="B102" s="76">
        <f>'Adderbury Stock'!B20</f>
        <v/>
      </c>
      <c r="C102" s="76">
        <f>'Adderbury Stock'!K20</f>
        <v/>
      </c>
      <c r="D102" s="76">
        <f>'Adderbury Overview'!C102-'Adderbury Overview'!B102</f>
        <v/>
      </c>
      <c r="F102" s="84">
        <f>'Adderbury Stock'!P20</f>
        <v/>
      </c>
      <c r="G102" s="84">
        <f>'Adderbury Stock'!S20</f>
        <v/>
      </c>
    </row>
    <row r="103">
      <c r="A103" s="15" t="inlineStr">
        <is>
          <t>Ewes</t>
        </is>
      </c>
      <c r="B103" s="76">
        <f>'Adderbury Stock'!B21</f>
        <v/>
      </c>
      <c r="C103" s="76">
        <f>'Adderbury Stock'!K21</f>
        <v/>
      </c>
      <c r="D103" s="76">
        <f>'Adderbury Overview'!C103-'Adderbury Overview'!B103</f>
        <v/>
      </c>
      <c r="F103" s="84">
        <f>'Adderbury Stock'!P21</f>
        <v/>
      </c>
      <c r="G103" s="84">
        <f>'Adderbury Stock'!S21</f>
        <v/>
      </c>
    </row>
    <row r="104">
      <c r="A104" s="15" t="inlineStr">
        <is>
          <t>Hoggs</t>
        </is>
      </c>
      <c r="B104" s="76">
        <f>'Adderbury Stock'!B22</f>
        <v/>
      </c>
      <c r="C104" s="76">
        <f>'Adderbury Stock'!K22</f>
        <v/>
      </c>
      <c r="D104" s="76">
        <f>'Adderbury Overview'!C104-'Adderbury Overview'!B104</f>
        <v/>
      </c>
      <c r="F104" s="84">
        <f>'Adderbury Stock'!P22</f>
        <v/>
      </c>
      <c r="G104" s="84">
        <f>'Adderbury Stock'!S22</f>
        <v/>
      </c>
    </row>
    <row r="105">
      <c r="A105" s="15" t="inlineStr">
        <is>
          <t>Lambs</t>
        </is>
      </c>
      <c r="B105" s="76">
        <f>'Adderbury Stock'!B23</f>
        <v/>
      </c>
      <c r="C105" s="76">
        <f>'Adderbury Stock'!K23</f>
        <v/>
      </c>
      <c r="D105" s="76">
        <f>'Adderbury Overview'!C105-'Adderbury Overview'!B105</f>
        <v/>
      </c>
      <c r="F105" s="84">
        <f>'Adderbury Stock'!P23</f>
        <v/>
      </c>
      <c r="G105" s="84">
        <f>'Adderbury Stock'!S23</f>
        <v/>
      </c>
    </row>
    <row r="106">
      <c r="A106" s="15" t="inlineStr">
        <is>
          <t>Boars</t>
        </is>
      </c>
      <c r="B106" s="76">
        <f>'Adderbury Stock'!B24</f>
        <v/>
      </c>
      <c r="C106" s="76">
        <f>'Adderbury Stock'!K24</f>
        <v/>
      </c>
      <c r="D106" s="76">
        <f>'Adderbury Overview'!C106-'Adderbury Overview'!B106</f>
        <v/>
      </c>
      <c r="F106" s="84">
        <f>'Adderbury Stock'!P24</f>
        <v/>
      </c>
      <c r="G106" s="84">
        <f>'Adderbury Stock'!S24</f>
        <v/>
      </c>
    </row>
    <row r="107">
      <c r="A107" s="15" t="inlineStr">
        <is>
          <t>Sows</t>
        </is>
      </c>
      <c r="B107" s="76">
        <f>'Adderbury Stock'!B25</f>
        <v/>
      </c>
      <c r="C107" s="76">
        <f>'Adderbury Stock'!K25</f>
        <v/>
      </c>
      <c r="D107" s="76">
        <f>'Adderbury Overview'!C107-'Adderbury Overview'!B107</f>
        <v/>
      </c>
      <c r="F107" s="84">
        <f>'Adderbury Stock'!P25</f>
        <v/>
      </c>
      <c r="G107" s="84">
        <f>'Adderbury Stock'!S25</f>
        <v/>
      </c>
    </row>
    <row r="108">
      <c r="A108" s="15" t="inlineStr">
        <is>
          <t>Pigs</t>
        </is>
      </c>
      <c r="B108" s="76">
        <f>'Adderbury Stock'!B26</f>
        <v/>
      </c>
      <c r="C108" s="76">
        <f>'Adderbury Stock'!K26</f>
        <v/>
      </c>
      <c r="D108" s="76">
        <f>'Adderbury Overview'!C108-'Adderbury Overview'!B108</f>
        <v/>
      </c>
      <c r="F108" s="84">
        <f>'Adderbury Stock'!P26</f>
        <v/>
      </c>
      <c r="G108" s="84">
        <f>'Adderbury Stock'!S26</f>
        <v/>
      </c>
    </row>
    <row r="109">
      <c r="A109" s="15" t="inlineStr">
        <is>
          <t>Hoggets</t>
        </is>
      </c>
      <c r="B109" s="76">
        <f>'Adderbury Stock'!B27</f>
        <v/>
      </c>
      <c r="C109" s="76">
        <f>'Adderbury Stock'!K27</f>
        <v/>
      </c>
      <c r="D109" s="76">
        <f>'Adderbury Overview'!C109-'Adderbury Overview'!B109</f>
        <v/>
      </c>
      <c r="F109" s="84">
        <f>'Adderbury Stock'!P27</f>
        <v/>
      </c>
      <c r="G109" s="84">
        <f>'Adderbury Stock'!S27</f>
        <v/>
      </c>
    </row>
    <row r="110">
      <c r="A110" s="15" t="inlineStr">
        <is>
          <t>Piglets</t>
        </is>
      </c>
      <c r="B110" s="76">
        <f>'Adderbury Stock'!B28</f>
        <v/>
      </c>
      <c r="C110" s="76">
        <f>'Adderbury Stock'!K28</f>
        <v/>
      </c>
      <c r="D110" s="76">
        <f>'Adderbury Overview'!C110-'Adderbury Overview'!B110</f>
        <v/>
      </c>
      <c r="F110" s="84">
        <f>'Adderbury Stock'!P28</f>
        <v/>
      </c>
      <c r="G110" s="84">
        <f>'Adderbury Stock'!S28</f>
        <v/>
      </c>
    </row>
    <row r="111">
      <c r="A111" s="15" t="inlineStr">
        <is>
          <t>Swans</t>
        </is>
      </c>
      <c r="B111" s="76">
        <f>'Adderbury Stock'!B29</f>
        <v/>
      </c>
      <c r="C111" s="76">
        <f>'Adderbury Stock'!K29</f>
        <v/>
      </c>
      <c r="D111" s="76">
        <f>'Adderbury Overview'!C111-'Adderbury Overview'!B111</f>
        <v/>
      </c>
      <c r="F111" s="84">
        <f>'Adderbury Stock'!P29</f>
        <v/>
      </c>
      <c r="G111" s="84">
        <f>'Adderbury Stock'!S29</f>
        <v/>
      </c>
    </row>
    <row r="112">
      <c r="A112" s="15" t="inlineStr">
        <is>
          <t>Peacocks</t>
        </is>
      </c>
      <c r="B112" s="76">
        <f>'Adderbury Stock'!B30</f>
        <v/>
      </c>
      <c r="C112" s="76">
        <f>'Adderbury Stock'!K30</f>
        <v/>
      </c>
      <c r="D112" s="76">
        <f>'Adderbury Overview'!C112-'Adderbury Overview'!B112</f>
        <v/>
      </c>
      <c r="F112" s="84">
        <f>'Adderbury Stock'!P30</f>
        <v/>
      </c>
      <c r="G112" s="84">
        <f>'Adderbury Stock'!S30</f>
        <v/>
      </c>
    </row>
    <row r="113">
      <c r="A113" s="17" t="inlineStr">
        <is>
          <t>Total value of stock (sum of the above)</t>
        </is>
      </c>
      <c r="B113" s="93" t="n"/>
      <c r="C113" s="94" t="n"/>
      <c r="D113" s="93" t="n"/>
      <c r="E113" s="93" t="n"/>
      <c r="F113" s="107">
        <f>SUM(F87:F112)</f>
        <v/>
      </c>
      <c r="G113" s="107">
        <f>'Adderbury Stock'!S31</f>
        <v/>
      </c>
    </row>
    <row r="114">
      <c r="A114" s="17" t="inlineStr">
        <is>
          <t>Total value of production</t>
        </is>
      </c>
      <c r="B114" s="93" t="n"/>
      <c r="C114" s="94" t="n"/>
      <c r="D114" s="93" t="n"/>
      <c r="E114" s="93" t="n"/>
      <c r="F114" s="107">
        <f>SUM('Adderbury Stock'!T5:T29)</f>
        <v/>
      </c>
      <c r="G114" s="107" t="n"/>
    </row>
    <row r="115">
      <c r="A115" s="17" t="inlineStr">
        <is>
          <t>Value of sales</t>
        </is>
      </c>
      <c r="B115" s="93" t="n"/>
      <c r="C115" s="94" t="n"/>
      <c r="D115" s="93" t="n"/>
      <c r="E115" s="93" t="n"/>
      <c r="F115" s="107">
        <f>SUM('Adderbury Stock'!R5:R23)</f>
        <v/>
      </c>
      <c r="G115" s="107" t="n"/>
    </row>
    <row r="116">
      <c r="A116" s="15" t="n"/>
    </row>
    <row r="117">
      <c r="A117" s="16" t="inlineStr">
        <is>
          <t>Wool</t>
        </is>
      </c>
      <c r="B117" s="95" t="inlineStr">
        <is>
          <t>Begin stock</t>
        </is>
      </c>
      <c r="C117" s="95" t="inlineStr">
        <is>
          <t>End stock</t>
        </is>
      </c>
      <c r="D117" s="95" t="inlineStr">
        <is>
          <t>Stockbuilding</t>
        </is>
      </c>
      <c r="E117" s="95" t="n"/>
      <c r="F117" s="95" t="inlineStr">
        <is>
          <t>Value of stock in £</t>
        </is>
      </c>
    </row>
    <row r="118">
      <c r="A118" s="22" t="inlineStr">
        <is>
          <t>Fleeces</t>
        </is>
      </c>
      <c r="G118" s="96" t="n"/>
    </row>
    <row r="119">
      <c r="A119" s="15" t="inlineStr">
        <is>
          <t>Coarse wool</t>
        </is>
      </c>
    </row>
    <row r="120">
      <c r="A120" s="15" t="inlineStr">
        <is>
          <t>Lamb's wool</t>
        </is>
      </c>
    </row>
    <row r="121">
      <c r="A121" s="15" t="inlineStr">
        <is>
          <t>Wool locks</t>
        </is>
      </c>
    </row>
    <row r="122">
      <c r="A122" s="15" t="inlineStr">
        <is>
          <t>Wool sold at shearing</t>
        </is>
      </c>
    </row>
    <row r="123">
      <c r="A123" s="119" t="inlineStr">
        <is>
          <t>Total value of production (sum of the above)</t>
        </is>
      </c>
      <c r="B123" s="93" t="n"/>
      <c r="C123" s="94" t="n"/>
      <c r="D123" s="93" t="n"/>
      <c r="E123" s="93" t="n"/>
      <c r="F123" s="93" t="n"/>
    </row>
    <row r="124">
      <c r="A124" s="119" t="inlineStr">
        <is>
          <t>Value of sales</t>
        </is>
      </c>
      <c r="B124" s="93" t="n"/>
      <c r="C124" s="94" t="n"/>
      <c r="D124" s="93" t="n"/>
      <c r="E124" s="93" t="n"/>
      <c r="F124" s="93" t="n"/>
    </row>
    <row r="125">
      <c r="A125" s="8" t="n"/>
    </row>
    <row r="126">
      <c r="A126" s="16" t="inlineStr">
        <is>
          <t>Hides</t>
        </is>
      </c>
      <c r="B126" s="95" t="inlineStr">
        <is>
          <t>Begin stock</t>
        </is>
      </c>
      <c r="C126" s="95" t="inlineStr">
        <is>
          <t>End stock</t>
        </is>
      </c>
      <c r="D126" s="95" t="inlineStr">
        <is>
          <t>Stockbuilding</t>
        </is>
      </c>
      <c r="E126" s="95" t="n"/>
      <c r="F126" s="95" t="inlineStr">
        <is>
          <t>Value of stock in £</t>
        </is>
      </c>
    </row>
    <row r="127">
      <c r="A127" s="15" t="inlineStr">
        <is>
          <t>Ox hides</t>
        </is>
      </c>
      <c r="G127" s="96" t="n"/>
    </row>
    <row r="128">
      <c r="A128" s="15" t="inlineStr">
        <is>
          <t>Cow hides</t>
        </is>
      </c>
      <c r="F128" s="76" t="n">
        <v>1</v>
      </c>
    </row>
    <row r="129">
      <c r="A129" s="15" t="inlineStr">
        <is>
          <t>Mare hides</t>
        </is>
      </c>
    </row>
    <row r="130">
      <c r="A130" s="15" t="inlineStr">
        <is>
          <t>Steer hides</t>
        </is>
      </c>
    </row>
    <row r="131">
      <c r="A131" s="15" t="inlineStr">
        <is>
          <t>Yearling Calf hides</t>
        </is>
      </c>
    </row>
    <row r="132">
      <c r="A132" s="15" t="inlineStr">
        <is>
          <t>Calf hides</t>
        </is>
      </c>
    </row>
    <row r="133">
      <c r="A133" s="23" t="inlineStr">
        <is>
          <t>Pig hides</t>
        </is>
      </c>
    </row>
    <row r="134">
      <c r="A134" s="24" t="inlineStr">
        <is>
          <t>Wether woolskins</t>
        </is>
      </c>
    </row>
    <row r="135">
      <c r="A135" s="24" t="inlineStr">
        <is>
          <t>Ram woolskins</t>
        </is>
      </c>
    </row>
    <row r="136">
      <c r="A136" s="24" t="inlineStr">
        <is>
          <t>Ewe woolskins</t>
        </is>
      </c>
    </row>
    <row r="137">
      <c r="A137" s="24" t="inlineStr">
        <is>
          <t>Hogg woolskins</t>
        </is>
      </c>
    </row>
    <row r="138">
      <c r="A138" s="25" t="inlineStr">
        <is>
          <t>Woolskins total</t>
        </is>
      </c>
    </row>
    <row r="139">
      <c r="A139" s="24" t="inlineStr">
        <is>
          <t>Wether bareskins</t>
        </is>
      </c>
    </row>
    <row r="140">
      <c r="A140" s="24" t="inlineStr">
        <is>
          <t>Ram bareskins</t>
        </is>
      </c>
    </row>
    <row r="141">
      <c r="A141" s="24" t="inlineStr">
        <is>
          <t>Ewe bareskins</t>
        </is>
      </c>
    </row>
    <row r="142">
      <c r="A142" s="24" t="inlineStr">
        <is>
          <t>Hogg bareskins</t>
        </is>
      </c>
    </row>
    <row r="143">
      <c r="A143" s="25" t="inlineStr">
        <is>
          <t>Bareskins total</t>
        </is>
      </c>
    </row>
    <row r="144">
      <c r="A144" s="15" t="inlineStr">
        <is>
          <t>Lambskins</t>
        </is>
      </c>
    </row>
    <row r="145">
      <c r="A145" s="15" t="inlineStr">
        <is>
          <t>Rotted skins</t>
        </is>
      </c>
    </row>
    <row r="146">
      <c r="A146" s="15" t="inlineStr">
        <is>
          <t>Shorn skins</t>
        </is>
      </c>
    </row>
    <row r="147">
      <c r="A147" s="17" t="inlineStr">
        <is>
          <t>Total value of production (sum of the above)</t>
        </is>
      </c>
      <c r="B147" s="93" t="n"/>
      <c r="C147" s="94" t="n"/>
      <c r="D147" s="93" t="n"/>
      <c r="E147" s="93" t="n"/>
      <c r="F147" s="93">
        <f t="array" ref="F147">SUM(F127:F133+F138+F143+F144:F146)</f>
        <v/>
      </c>
    </row>
    <row r="148">
      <c r="A148" s="17" t="inlineStr">
        <is>
          <t>Value of sales</t>
        </is>
      </c>
      <c r="B148" s="93" t="n"/>
      <c r="C148" s="94" t="n"/>
      <c r="D148" s="93" t="n"/>
      <c r="E148" s="93" t="n"/>
      <c r="F148" s="93" t="n"/>
    </row>
    <row r="149">
      <c r="A149" s="15" t="n"/>
    </row>
    <row r="150">
      <c r="A150" s="16" t="inlineStr">
        <is>
          <t>Poultry stock</t>
        </is>
      </c>
      <c r="B150" s="95" t="inlineStr">
        <is>
          <t>Begin stock</t>
        </is>
      </c>
      <c r="C150" s="95" t="inlineStr">
        <is>
          <t>End stock</t>
        </is>
      </c>
      <c r="D150" s="95" t="inlineStr">
        <is>
          <t>Stockbuilding</t>
        </is>
      </c>
      <c r="E150" s="95" t="n"/>
      <c r="F150" s="95" t="inlineStr">
        <is>
          <t>Value of stock in £</t>
        </is>
      </c>
    </row>
    <row r="151">
      <c r="A151" s="22" t="inlineStr">
        <is>
          <t>Hens</t>
        </is>
      </c>
      <c r="B151" s="76">
        <f>'Adderbury Stock'!B67</f>
        <v/>
      </c>
      <c r="C151" s="76">
        <f>'Adderbury Stock'!K67</f>
        <v/>
      </c>
      <c r="D151" s="76">
        <f>C151-B151</f>
        <v/>
      </c>
      <c r="F151" s="76">
        <f>'Adderbury Stock'!Q67</f>
        <v/>
      </c>
      <c r="G151" s="96" t="n"/>
    </row>
    <row r="152">
      <c r="A152" s="15" t="inlineStr">
        <is>
          <t>Geese</t>
        </is>
      </c>
      <c r="B152" s="76">
        <f>'Adderbury Stock'!B68</f>
        <v/>
      </c>
      <c r="C152" s="76">
        <f>'Adderbury Stock'!K68</f>
        <v/>
      </c>
      <c r="D152" s="76">
        <f>C152-B152</f>
        <v/>
      </c>
      <c r="F152" s="76">
        <f>'Adderbury Stock'!Q68</f>
        <v/>
      </c>
    </row>
    <row r="153">
      <c r="A153" s="15" t="inlineStr">
        <is>
          <t>Capons (from chickens)</t>
        </is>
      </c>
      <c r="B153" s="76">
        <f>'Adderbury Stock'!B69</f>
        <v/>
      </c>
      <c r="C153" s="76">
        <f>'Adderbury Stock'!K69</f>
        <v/>
      </c>
      <c r="D153" s="76">
        <f>C153-B153</f>
        <v/>
      </c>
      <c r="F153" s="76">
        <f>'Adderbury Stock'!Q69</f>
        <v/>
      </c>
    </row>
    <row r="154">
      <c r="A154" s="15" t="inlineStr">
        <is>
          <t>Cocks &amp; hens</t>
        </is>
      </c>
      <c r="B154" s="76">
        <f>'Adderbury Stock'!B70</f>
        <v/>
      </c>
      <c r="C154" s="76">
        <f>'Adderbury Stock'!K70</f>
        <v/>
      </c>
      <c r="D154" s="76">
        <f>C154-B154</f>
        <v/>
      </c>
      <c r="F154" s="76">
        <f>'Adderbury Stock'!Q70</f>
        <v/>
      </c>
    </row>
    <row r="155">
      <c r="A155" s="119" t="inlineStr">
        <is>
          <t>Total value of production (sum of the above)</t>
        </is>
      </c>
      <c r="B155" s="93" t="n"/>
      <c r="C155" s="93" t="n"/>
      <c r="D155" s="93" t="n"/>
      <c r="E155" s="93" t="n"/>
      <c r="F155" s="93">
        <f>SUM(F151:F154)</f>
        <v/>
      </c>
    </row>
    <row r="156">
      <c r="A156" s="119" t="inlineStr">
        <is>
          <t>Value of sales</t>
        </is>
      </c>
      <c r="B156" s="93" t="n"/>
      <c r="C156" s="94" t="n"/>
      <c r="D156" s="93" t="n"/>
      <c r="E156" s="93" t="n"/>
      <c r="F156" s="93">
        <f>SUM('Adderbury Stock'!R69:R70)</f>
        <v/>
      </c>
    </row>
    <row r="157">
      <c r="A157" s="15" t="n"/>
    </row>
    <row r="158">
      <c r="A158" s="16" t="inlineStr">
        <is>
          <t>Poultry production</t>
        </is>
      </c>
      <c r="B158" s="95" t="inlineStr">
        <is>
          <t>Begin stock</t>
        </is>
      </c>
      <c r="C158" s="95" t="inlineStr">
        <is>
          <t>End stock</t>
        </is>
      </c>
      <c r="D158" s="95" t="inlineStr">
        <is>
          <t>Stockbuilding</t>
        </is>
      </c>
      <c r="E158" s="95" t="n"/>
      <c r="F158" s="95" t="inlineStr">
        <is>
          <t>Value of stock in £</t>
        </is>
      </c>
    </row>
    <row r="159">
      <c r="A159" s="15" t="inlineStr">
        <is>
          <t>Eggs</t>
        </is>
      </c>
      <c r="G159" s="116" t="n"/>
    </row>
    <row r="160">
      <c r="A160" s="15" t="inlineStr">
        <is>
          <t>Cocks &amp; hens from churchscot of customary tenants</t>
        </is>
      </c>
    </row>
    <row r="161">
      <c r="A161" s="15" t="inlineStr">
        <is>
          <t>Sum of above</t>
        </is>
      </c>
    </row>
    <row r="162">
      <c r="A162" s="17" t="inlineStr">
        <is>
          <t>Total value of stock</t>
        </is>
      </c>
      <c r="B162" s="93" t="n"/>
      <c r="C162" s="94" t="n"/>
      <c r="D162" s="93" t="n"/>
      <c r="E162" s="93" t="n"/>
      <c r="F162" s="93">
        <f>SUM(F159:F160)</f>
        <v/>
      </c>
    </row>
    <row r="163">
      <c r="A163" s="17" t="inlineStr">
        <is>
          <t>Value of sales</t>
        </is>
      </c>
      <c r="B163" s="93" t="n"/>
      <c r="C163" s="94" t="n"/>
      <c r="D163" s="93" t="n"/>
      <c r="E163" s="93" t="n"/>
      <c r="F163" s="93" t="n"/>
    </row>
    <row r="164">
      <c r="A164" s="15" t="n"/>
    </row>
    <row r="165">
      <c r="A165" s="16" t="inlineStr">
        <is>
          <t>Dairy Production</t>
        </is>
      </c>
      <c r="B165" s="95" t="inlineStr">
        <is>
          <t>Begin stock</t>
        </is>
      </c>
      <c r="C165" s="95" t="inlineStr">
        <is>
          <t>End stock</t>
        </is>
      </c>
      <c r="D165" s="95" t="inlineStr">
        <is>
          <t>Stockbuilding</t>
        </is>
      </c>
      <c r="E165" s="95" t="n"/>
      <c r="F165" s="95" t="inlineStr">
        <is>
          <t>Value of stock in £</t>
        </is>
      </c>
    </row>
    <row r="166">
      <c r="A166" s="15" t="inlineStr">
        <is>
          <t>Butter</t>
        </is>
      </c>
      <c r="G166" s="116" t="n"/>
    </row>
    <row r="167">
      <c r="A167" s="15" t="inlineStr">
        <is>
          <t>Winter Cheese</t>
        </is>
      </c>
    </row>
    <row r="168">
      <c r="A168" s="15" t="inlineStr">
        <is>
          <t>Summer Cheese</t>
        </is>
      </c>
    </row>
    <row r="169">
      <c r="A169" s="17" t="inlineStr">
        <is>
          <t>Total value of production (sum of the above)</t>
        </is>
      </c>
      <c r="B169" s="93" t="n"/>
      <c r="C169" s="94" t="n"/>
      <c r="D169" s="93" t="n"/>
      <c r="E169" s="93" t="n"/>
      <c r="F169" s="93">
        <f>SUM(F166:F168)</f>
        <v/>
      </c>
    </row>
    <row r="170">
      <c r="A170" s="17" t="inlineStr">
        <is>
          <t>Value of sales</t>
        </is>
      </c>
      <c r="B170" s="93" t="n"/>
      <c r="C170" s="94" t="n"/>
      <c r="D170" s="93" t="n"/>
      <c r="E170" s="93" t="n"/>
      <c r="F170" s="93" t="n"/>
    </row>
    <row r="171">
      <c r="A171" s="15" t="n"/>
    </row>
    <row r="172">
      <c r="A172" s="15" t="n"/>
    </row>
    <row r="173" ht="16" customHeight="1" thickBot="1"/>
    <row r="174" ht="16" customHeight="1" thickBot="1">
      <c r="A174" s="103" t="n"/>
      <c r="B174" s="104" t="inlineStr">
        <is>
          <t>Total in £</t>
        </is>
      </c>
      <c r="C174" s="105" t="n"/>
      <c r="D174" s="108" t="n"/>
      <c r="E174" s="108" t="n"/>
      <c r="F174" s="109" t="n"/>
    </row>
    <row r="175">
      <c r="A175" s="97" t="inlineStr">
        <is>
          <t>Total Production Value of all Output (Grange, Dairy, Livestock Sales, Wools, Skins - NO Mill)</t>
        </is>
      </c>
      <c r="B175" s="110">
        <f>F169+F162+F155+F147+F123+F115+E72</f>
        <v/>
      </c>
      <c r="D175" s="111" t="n"/>
      <c r="E175" s="111" t="n"/>
      <c r="F175" s="112" t="n"/>
    </row>
    <row r="176">
      <c r="A176" s="98" t="inlineStr">
        <is>
          <t>Total Sales Value of all Output as defined above</t>
        </is>
      </c>
      <c r="B176" s="110">
        <f>F170+F163+F156+F148+F124+F115+E73</f>
        <v/>
      </c>
      <c r="D176" s="111" t="n"/>
      <c r="E176" s="111" t="n"/>
      <c r="F176" s="112" t="n"/>
    </row>
    <row r="177">
      <c r="A177" s="98" t="inlineStr">
        <is>
          <t>Total Sales of Corn + Issues of the Manor as recorded in account</t>
        </is>
      </c>
      <c r="B177" s="110">
        <f>B15+B18</f>
        <v/>
      </c>
      <c r="D177" s="111" t="n"/>
      <c r="E177" s="111" t="n"/>
      <c r="F177" s="112" t="n"/>
    </row>
    <row r="178">
      <c r="A178" s="98" t="inlineStr">
        <is>
          <t>Production Value + Cash Receipts (excl. Arrears, Issues, Corn and Mill)</t>
        </is>
      </c>
      <c r="B178" s="110">
        <f>B175+B12+B13+B14+B16+B17+B19+B20+B21+B22</f>
        <v/>
      </c>
      <c r="D178" s="111" t="n"/>
      <c r="E178" s="111" t="n"/>
      <c r="F178" s="112" t="n"/>
    </row>
    <row r="179">
      <c r="A179" s="99" t="n"/>
      <c r="B179" s="111" t="n"/>
      <c r="D179" s="111" t="n"/>
      <c r="E179" s="111" t="n"/>
      <c r="F179" s="112" t="n"/>
    </row>
    <row r="180">
      <c r="A180" s="100" t="inlineStr">
        <is>
          <t>% of capital expenses in terms of total production</t>
        </is>
      </c>
      <c r="B180" s="113">
        <f>B47/B175</f>
        <v/>
      </c>
      <c r="C180" s="13" t="n"/>
      <c r="F180" s="112" t="n"/>
    </row>
    <row r="181">
      <c r="A181" s="98" t="inlineStr">
        <is>
          <t>% of capital expenses in terms of total production + cash receipts</t>
        </is>
      </c>
      <c r="B181" s="113">
        <f>B47/B178</f>
        <v/>
      </c>
      <c r="D181" s="111" t="n"/>
      <c r="E181" s="111" t="n"/>
      <c r="F181" s="112" t="n"/>
    </row>
    <row r="182">
      <c r="A182" s="99" t="n"/>
      <c r="D182" s="111" t="n"/>
      <c r="E182" s="111" t="n"/>
      <c r="F182" s="112" t="n"/>
    </row>
    <row r="183" ht="16" customHeight="1" thickBot="1">
      <c r="A183" s="101" t="inlineStr">
        <is>
          <t>% of capital expenses as calculated previously</t>
        </is>
      </c>
      <c r="B183" s="106" t="inlineStr">
        <is>
          <t>n/a</t>
        </is>
      </c>
      <c r="C183" s="102" t="n"/>
      <c r="D183" s="114" t="n"/>
      <c r="E183" s="114" t="n"/>
      <c r="F183" s="115" t="n"/>
    </row>
  </sheetData>
  <mergeCells count="2">
    <mergeCell ref="B60:C60"/>
    <mergeCell ref="B75:C75"/>
  </mergeCell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U128"/>
  <sheetViews>
    <sheetView workbookViewId="0">
      <pane xSplit="1" ySplit="4" topLeftCell="B44" activePane="bottomRight" state="frozen"/>
      <selection pane="topRight" activeCell="B1" sqref="B1"/>
      <selection pane="bottomLeft" activeCell="A5" sqref="A5"/>
      <selection pane="bottomRight" activeCell="A59" sqref="A59"/>
    </sheetView>
  </sheetViews>
  <sheetFormatPr baseColWidth="8" defaultColWidth="8.81640625" defaultRowHeight="14.5"/>
  <cols>
    <col width="44.36328125" bestFit="1" customWidth="1" min="1" max="1"/>
    <col width="14.36328125" customWidth="1" min="2" max="2"/>
    <col width="9.81640625" bestFit="1" customWidth="1" min="6" max="6"/>
    <col width="16.6328125" bestFit="1" customWidth="1" min="7" max="7"/>
    <col width="16.1796875" customWidth="1" min="10" max="10"/>
    <col width="11.453125" customWidth="1" min="11" max="11"/>
    <col width="8.453125" bestFit="1" customWidth="1" min="13" max="13"/>
    <col width="10.6328125" customWidth="1" min="14" max="14"/>
    <col width="16.6328125" customWidth="1" style="72" min="16" max="16"/>
    <col width="17.36328125" customWidth="1" min="17" max="17"/>
    <col width="16.1796875" customWidth="1" min="19" max="20"/>
    <col width="13.1796875" customWidth="1" min="21" max="21"/>
  </cols>
  <sheetData>
    <row r="1" ht="15.5" customHeight="1">
      <c r="A1" s="12" t="inlineStr">
        <is>
          <t>EASTKNOYLE STOCK ACCOUNT</t>
        </is>
      </c>
    </row>
    <row r="2" ht="15.5" customHeight="1">
      <c r="A2" s="12" t="n"/>
    </row>
    <row r="3" ht="17" customHeight="1">
      <c r="A3" s="44" t="n"/>
      <c r="B3" s="44" t="n"/>
      <c r="C3" s="125" t="inlineStr">
        <is>
          <t>added</t>
        </is>
      </c>
      <c r="G3" s="126" t="inlineStr">
        <is>
          <t>subtracted</t>
        </is>
      </c>
      <c r="K3" s="44" t="n"/>
      <c r="L3" s="44" t="n"/>
      <c r="M3" s="44" t="n"/>
      <c r="N3" s="44" t="n"/>
      <c r="O3" s="44" t="n"/>
      <c r="P3" s="73" t="n"/>
      <c r="Q3" s="44" t="n"/>
      <c r="R3" s="44" t="n"/>
      <c r="S3" s="44" t="n"/>
      <c r="T3" s="44" t="n"/>
    </row>
    <row r="4" ht="46.5" customHeight="1">
      <c r="A4" s="66" t="inlineStr">
        <is>
          <t>Livestock</t>
        </is>
      </c>
      <c r="B4" s="29" t="inlineStr">
        <is>
          <t>Inherited stock</t>
        </is>
      </c>
      <c r="C4" s="29" t="inlineStr">
        <is>
          <t>added</t>
        </is>
      </c>
      <c r="D4" s="12" t="inlineStr">
        <is>
          <t>strays</t>
        </is>
      </c>
      <c r="E4" s="12" t="inlineStr">
        <is>
          <t>herbage</t>
        </is>
      </c>
      <c r="F4" s="12" t="inlineStr">
        <is>
          <t>churchscot</t>
        </is>
      </c>
      <c r="G4" s="12" t="inlineStr">
        <is>
          <t>of which in default</t>
        </is>
      </c>
      <c r="H4" s="29" t="inlineStr">
        <is>
          <t>sold</t>
        </is>
      </c>
      <c r="I4" s="29" t="inlineStr">
        <is>
          <t>in murrain</t>
        </is>
      </c>
      <c r="J4" s="29" t="inlineStr">
        <is>
          <t>accounted for elsewhere</t>
        </is>
      </c>
      <c r="K4" s="29" t="inlineStr">
        <is>
          <t>End-period  stock</t>
        </is>
      </c>
      <c r="L4" s="29" t="inlineStr">
        <is>
          <t>cross-check</t>
        </is>
      </c>
      <c r="M4" s="29" t="inlineStr">
        <is>
          <t>stock building</t>
        </is>
      </c>
      <c r="N4" s="29" t="inlineStr">
        <is>
          <t>raw production</t>
        </is>
      </c>
      <c r="O4" s="29" t="inlineStr">
        <is>
          <t>Unit price (£)</t>
        </is>
      </c>
      <c r="P4" s="74" t="inlineStr">
        <is>
          <t>Value of stock  (£) at given value</t>
        </is>
      </c>
      <c r="Q4" s="66" t="inlineStr">
        <is>
          <t>Value of stock  (£) at sales prices</t>
        </is>
      </c>
      <c r="R4" s="66" t="inlineStr">
        <is>
          <t>Sales in (£)</t>
        </is>
      </c>
      <c r="S4" s="66" t="inlineStr">
        <is>
          <t>Value of stock building (£)</t>
        </is>
      </c>
      <c r="T4" s="118" t="inlineStr">
        <is>
          <t>Value of production (£) at sales prices</t>
        </is>
      </c>
      <c r="U4" s="29" t="inlineStr">
        <is>
          <t>Details</t>
        </is>
      </c>
    </row>
    <row r="5">
      <c r="A5" s="44" t="inlineStr">
        <is>
          <t>Cart-horses</t>
        </is>
      </c>
      <c r="B5" t="n">
        <v>0</v>
      </c>
      <c r="C5" t="n">
        <v>0</v>
      </c>
      <c r="H5" t="n">
        <v>0</v>
      </c>
      <c r="I5" t="n">
        <v>0</v>
      </c>
      <c r="L5">
        <f>B5+C5-H5</f>
        <v/>
      </c>
      <c r="M5">
        <f>L5-B5</f>
        <v/>
      </c>
      <c r="N5">
        <f>C5</f>
        <v/>
      </c>
      <c r="O5" t="n">
        <v>0</v>
      </c>
      <c r="P5" s="72">
        <f>O5*K5</f>
        <v/>
      </c>
      <c r="R5" t="n">
        <v>0</v>
      </c>
      <c r="S5">
        <f>O5*M5</f>
        <v/>
      </c>
      <c r="T5">
        <f>O5*N5</f>
        <v/>
      </c>
    </row>
    <row r="6">
      <c r="A6" s="44" t="inlineStr">
        <is>
          <t>Mares</t>
        </is>
      </c>
      <c r="B6" t="n">
        <v>0</v>
      </c>
      <c r="C6" t="n">
        <v>0</v>
      </c>
      <c r="H6" t="n">
        <v>0</v>
      </c>
      <c r="I6" t="n">
        <v>0</v>
      </c>
      <c r="L6">
        <f>B6+C6-H6</f>
        <v/>
      </c>
      <c r="M6">
        <f>L6-B6</f>
        <v/>
      </c>
      <c r="N6">
        <f>C6</f>
        <v/>
      </c>
      <c r="O6" t="n">
        <v>0</v>
      </c>
      <c r="P6" s="72">
        <f>O6*K6</f>
        <v/>
      </c>
      <c r="R6" t="n">
        <v>0</v>
      </c>
      <c r="S6">
        <f>O6*M6</f>
        <v/>
      </c>
      <c r="T6">
        <f>O6*N6</f>
        <v/>
      </c>
    </row>
    <row r="7">
      <c r="A7" t="inlineStr">
        <is>
          <t>Plough horses</t>
        </is>
      </c>
      <c r="B7" t="n">
        <v>0</v>
      </c>
      <c r="C7" t="n">
        <v>0</v>
      </c>
      <c r="H7" t="n">
        <v>0</v>
      </c>
      <c r="I7" t="n">
        <v>0</v>
      </c>
      <c r="L7">
        <f>B7+C7-H7</f>
        <v/>
      </c>
      <c r="M7">
        <f>L7-B7</f>
        <v/>
      </c>
      <c r="N7">
        <f>C7</f>
        <v/>
      </c>
      <c r="O7" t="n">
        <v>0</v>
      </c>
      <c r="P7" s="72">
        <f>O7*K7</f>
        <v/>
      </c>
      <c r="R7" t="n">
        <v>0</v>
      </c>
      <c r="S7">
        <f>O7*M7</f>
        <v/>
      </c>
      <c r="T7">
        <f>O7*N7</f>
        <v/>
      </c>
    </row>
    <row r="8">
      <c r="A8" t="inlineStr">
        <is>
          <t>Colts (unspecified years)</t>
        </is>
      </c>
      <c r="B8" t="n">
        <v>0</v>
      </c>
      <c r="C8" t="n">
        <v>0</v>
      </c>
      <c r="H8" t="n">
        <v>0</v>
      </c>
      <c r="I8" t="n">
        <v>0</v>
      </c>
      <c r="L8">
        <f>B8+C8-H8</f>
        <v/>
      </c>
      <c r="M8">
        <f>L8-B8</f>
        <v/>
      </c>
      <c r="N8">
        <f>C8</f>
        <v/>
      </c>
      <c r="O8" t="n">
        <v>0</v>
      </c>
      <c r="P8" s="72">
        <f>O8*K8</f>
        <v/>
      </c>
      <c r="R8" t="n">
        <v>0</v>
      </c>
      <c r="S8">
        <f>O8*M8</f>
        <v/>
      </c>
      <c r="T8">
        <f>O8*N8</f>
        <v/>
      </c>
    </row>
    <row r="9">
      <c r="A9" t="inlineStr">
        <is>
          <t>Colts (2 years)</t>
        </is>
      </c>
      <c r="B9" t="n">
        <v>0</v>
      </c>
      <c r="C9" t="n">
        <v>0</v>
      </c>
      <c r="H9" t="n">
        <v>0</v>
      </c>
      <c r="I9" t="n">
        <v>0</v>
      </c>
      <c r="L9">
        <f>B9+C9-H9</f>
        <v/>
      </c>
      <c r="M9">
        <f>L9-B9</f>
        <v/>
      </c>
      <c r="N9">
        <f>C9</f>
        <v/>
      </c>
      <c r="O9" t="n">
        <v>0</v>
      </c>
      <c r="P9" s="72">
        <f>O9*K9</f>
        <v/>
      </c>
      <c r="R9" t="n">
        <v>0</v>
      </c>
      <c r="S9">
        <f>O9*M9</f>
        <v/>
      </c>
      <c r="T9">
        <f>O9*N9</f>
        <v/>
      </c>
    </row>
    <row r="10">
      <c r="A10" t="inlineStr">
        <is>
          <t>Colts (1 year)</t>
        </is>
      </c>
      <c r="B10" t="n">
        <v>0</v>
      </c>
      <c r="C10" t="n">
        <v>0</v>
      </c>
      <c r="H10" t="n">
        <v>0</v>
      </c>
      <c r="I10" t="n">
        <v>0</v>
      </c>
      <c r="L10">
        <f>B10+C10-H10</f>
        <v/>
      </c>
      <c r="M10">
        <f>L10-B10</f>
        <v/>
      </c>
      <c r="N10">
        <f>C10</f>
        <v/>
      </c>
      <c r="O10" t="n">
        <v>0</v>
      </c>
      <c r="P10" s="72">
        <f>O10*K10</f>
        <v/>
      </c>
      <c r="R10" t="n">
        <v>0</v>
      </c>
      <c r="S10">
        <f>O10*M10</f>
        <v/>
      </c>
      <c r="T10">
        <f>O10*N10</f>
        <v/>
      </c>
    </row>
    <row r="11">
      <c r="A11" t="inlineStr">
        <is>
          <t>Foals</t>
        </is>
      </c>
      <c r="B11" t="n">
        <v>0</v>
      </c>
      <c r="C11" t="n">
        <v>0</v>
      </c>
      <c r="H11" t="n">
        <v>0</v>
      </c>
      <c r="I11" t="n">
        <v>0</v>
      </c>
      <c r="L11">
        <f>B11+C11-H11</f>
        <v/>
      </c>
      <c r="M11">
        <f>L11-B11</f>
        <v/>
      </c>
      <c r="N11">
        <f>C11</f>
        <v/>
      </c>
      <c r="O11" t="n">
        <v>0</v>
      </c>
      <c r="P11" s="72">
        <f>O11*K11</f>
        <v/>
      </c>
      <c r="R11" t="n">
        <v>0</v>
      </c>
      <c r="S11">
        <f>O11*M11</f>
        <v/>
      </c>
      <c r="T11">
        <f>O11*N11</f>
        <v/>
      </c>
    </row>
    <row r="12">
      <c r="A12" t="inlineStr">
        <is>
          <t>Oxen</t>
        </is>
      </c>
      <c r="B12" t="n">
        <v>26</v>
      </c>
      <c r="C12" t="n">
        <v>0</v>
      </c>
      <c r="H12" t="n">
        <v>0</v>
      </c>
      <c r="I12" t="n">
        <v>0</v>
      </c>
      <c r="L12">
        <f>B12+C12-H12</f>
        <v/>
      </c>
      <c r="M12">
        <f>L12-B12</f>
        <v/>
      </c>
      <c r="N12">
        <f>C12</f>
        <v/>
      </c>
      <c r="O12" t="n">
        <v>0</v>
      </c>
      <c r="P12" s="72">
        <f>O12*K12</f>
        <v/>
      </c>
      <c r="R12" t="n">
        <v>0</v>
      </c>
      <c r="S12">
        <f>O12*M12</f>
        <v/>
      </c>
      <c r="T12">
        <f>O12*N12</f>
        <v/>
      </c>
    </row>
    <row r="13">
      <c r="A13" t="inlineStr">
        <is>
          <t>Bulls</t>
        </is>
      </c>
      <c r="B13" t="n">
        <v>0</v>
      </c>
      <c r="C13" t="n">
        <v>0</v>
      </c>
      <c r="H13" t="n">
        <v>0</v>
      </c>
      <c r="I13" t="n">
        <v>0</v>
      </c>
      <c r="L13">
        <f>B13+C13-H13</f>
        <v/>
      </c>
      <c r="M13">
        <f>L13-B13</f>
        <v/>
      </c>
      <c r="N13">
        <f>C13</f>
        <v/>
      </c>
      <c r="O13" t="n">
        <v>0</v>
      </c>
      <c r="P13" s="72">
        <f>O13*K13</f>
        <v/>
      </c>
      <c r="R13" t="n">
        <v>0</v>
      </c>
      <c r="S13">
        <f>O13*M13</f>
        <v/>
      </c>
      <c r="T13">
        <f>O13*N13</f>
        <v/>
      </c>
    </row>
    <row r="14">
      <c r="A14" t="inlineStr">
        <is>
          <t>Cows</t>
        </is>
      </c>
      <c r="B14" t="n">
        <v>0</v>
      </c>
      <c r="C14" t="n">
        <v>0</v>
      </c>
      <c r="H14" t="n">
        <v>0</v>
      </c>
      <c r="I14" t="n">
        <v>0</v>
      </c>
      <c r="L14">
        <f>B14+C14-H14</f>
        <v/>
      </c>
      <c r="M14">
        <f>L14-B14</f>
        <v/>
      </c>
      <c r="N14">
        <f>C14</f>
        <v/>
      </c>
      <c r="O14" t="n">
        <v>0</v>
      </c>
      <c r="P14" s="72">
        <f>O14*K14</f>
        <v/>
      </c>
      <c r="R14" t="n">
        <v>0</v>
      </c>
      <c r="S14">
        <f>O14*M14</f>
        <v/>
      </c>
      <c r="T14">
        <f>O14*N14</f>
        <v/>
      </c>
    </row>
    <row r="15">
      <c r="A15" t="inlineStr">
        <is>
          <t>Steers</t>
        </is>
      </c>
      <c r="B15" t="n">
        <v>0</v>
      </c>
      <c r="C15" t="n">
        <v>0</v>
      </c>
      <c r="H15" t="n">
        <v>0</v>
      </c>
      <c r="I15" t="n">
        <v>0</v>
      </c>
      <c r="L15">
        <f>B15+C15-H15</f>
        <v/>
      </c>
      <c r="M15">
        <f>L15-B15</f>
        <v/>
      </c>
      <c r="N15">
        <f>C15</f>
        <v/>
      </c>
      <c r="O15" t="n">
        <v>0</v>
      </c>
      <c r="P15" s="72">
        <f>O15*K15</f>
        <v/>
      </c>
      <c r="R15" t="n">
        <v>0</v>
      </c>
      <c r="S15">
        <f>O15*M15</f>
        <v/>
      </c>
      <c r="T15">
        <f>O15*N15</f>
        <v/>
      </c>
    </row>
    <row r="16">
      <c r="A16" t="inlineStr">
        <is>
          <t>Bullocks</t>
        </is>
      </c>
      <c r="B16" t="n">
        <v>0</v>
      </c>
      <c r="C16" t="n">
        <v>0</v>
      </c>
      <c r="H16" t="n">
        <v>0</v>
      </c>
      <c r="I16" t="n">
        <v>0</v>
      </c>
      <c r="L16">
        <f>B16+C16-H16</f>
        <v/>
      </c>
      <c r="M16">
        <f>L16-B16</f>
        <v/>
      </c>
      <c r="N16">
        <f>C16</f>
        <v/>
      </c>
      <c r="O16" t="n">
        <v>0</v>
      </c>
      <c r="P16" s="72">
        <f>O16*K16</f>
        <v/>
      </c>
      <c r="R16" t="n">
        <v>0</v>
      </c>
      <c r="S16">
        <f>O16*M16</f>
        <v/>
      </c>
      <c r="T16">
        <f>O16*N16</f>
        <v/>
      </c>
    </row>
    <row r="17">
      <c r="A17" t="inlineStr">
        <is>
          <t>Yearlings</t>
        </is>
      </c>
      <c r="B17" t="n">
        <v>0</v>
      </c>
      <c r="C17" t="n">
        <v>0</v>
      </c>
      <c r="H17" t="n">
        <v>0</v>
      </c>
      <c r="I17" t="n">
        <v>0</v>
      </c>
      <c r="L17">
        <f>B17+C17-H17</f>
        <v/>
      </c>
      <c r="M17">
        <f>L17-B17</f>
        <v/>
      </c>
      <c r="N17">
        <f>C17</f>
        <v/>
      </c>
      <c r="O17" t="n">
        <v>0</v>
      </c>
      <c r="P17" s="72">
        <f>O17*K17</f>
        <v/>
      </c>
      <c r="R17" t="n">
        <v>0</v>
      </c>
      <c r="S17">
        <f>O17*M17</f>
        <v/>
      </c>
      <c r="T17">
        <f>O17*N17</f>
        <v/>
      </c>
    </row>
    <row r="18">
      <c r="A18" t="inlineStr">
        <is>
          <t>Calves</t>
        </is>
      </c>
      <c r="B18" t="n">
        <v>0</v>
      </c>
      <c r="C18" t="n">
        <v>0</v>
      </c>
      <c r="H18" t="n">
        <v>0</v>
      </c>
      <c r="I18" t="n">
        <v>0</v>
      </c>
      <c r="L18">
        <f>B18+C18-H18</f>
        <v/>
      </c>
      <c r="M18">
        <f>L18-B18</f>
        <v/>
      </c>
      <c r="N18">
        <f>C18</f>
        <v/>
      </c>
      <c r="O18" t="n">
        <v>0</v>
      </c>
      <c r="P18" s="72">
        <f>O18*K18</f>
        <v/>
      </c>
      <c r="R18" t="n">
        <v>0</v>
      </c>
      <c r="S18">
        <f>O18*M18</f>
        <v/>
      </c>
      <c r="T18">
        <f>O18*N18</f>
        <v/>
      </c>
    </row>
    <row r="19">
      <c r="A19" t="inlineStr">
        <is>
          <t>Wethers</t>
        </is>
      </c>
      <c r="B19" t="n">
        <v>464</v>
      </c>
      <c r="C19" t="n">
        <v>0</v>
      </c>
      <c r="H19" t="n">
        <v>0</v>
      </c>
      <c r="I19" t="n">
        <v>0</v>
      </c>
      <c r="L19">
        <f>B19+C19-H19</f>
        <v/>
      </c>
      <c r="M19">
        <f>L19-B19</f>
        <v/>
      </c>
      <c r="N19">
        <f>C19</f>
        <v/>
      </c>
      <c r="O19" t="n">
        <v>0</v>
      </c>
      <c r="P19" s="72">
        <f>O19*K19</f>
        <v/>
      </c>
      <c r="R19" t="n">
        <v>0</v>
      </c>
      <c r="S19">
        <f>O19*M19</f>
        <v/>
      </c>
      <c r="T19">
        <f>O19*N19</f>
        <v/>
      </c>
    </row>
    <row r="20">
      <c r="A20" t="inlineStr">
        <is>
          <t>Rams</t>
        </is>
      </c>
      <c r="B20" t="n">
        <v>24</v>
      </c>
      <c r="C20" t="n">
        <v>0</v>
      </c>
      <c r="H20" t="n">
        <v>0</v>
      </c>
      <c r="I20" t="n">
        <v>0</v>
      </c>
      <c r="L20">
        <f>B20+C20-H20</f>
        <v/>
      </c>
      <c r="M20">
        <f>L20-B20</f>
        <v/>
      </c>
      <c r="N20">
        <f>C20</f>
        <v/>
      </c>
      <c r="O20" t="n">
        <v>0</v>
      </c>
      <c r="P20" s="72">
        <f>O20*K20</f>
        <v/>
      </c>
      <c r="R20" t="n">
        <v>0</v>
      </c>
      <c r="S20">
        <f>O20*M20</f>
        <v/>
      </c>
      <c r="T20">
        <f>O20*N20</f>
        <v/>
      </c>
    </row>
    <row r="21">
      <c r="A21" t="inlineStr">
        <is>
          <t>Ewes</t>
        </is>
      </c>
      <c r="B21" t="n">
        <v>434</v>
      </c>
      <c r="C21" t="n">
        <v>0</v>
      </c>
      <c r="H21" t="n">
        <v>0</v>
      </c>
      <c r="I21" t="n">
        <v>0</v>
      </c>
      <c r="L21">
        <f>B21+C21-H21</f>
        <v/>
      </c>
      <c r="M21">
        <f>L21-B21</f>
        <v/>
      </c>
      <c r="N21">
        <f>C21</f>
        <v/>
      </c>
      <c r="O21" t="n">
        <v>0</v>
      </c>
      <c r="P21" s="72">
        <f>O21*K21</f>
        <v/>
      </c>
      <c r="Q21" t="n">
        <v>0</v>
      </c>
      <c r="R21" t="n">
        <v>0</v>
      </c>
      <c r="S21">
        <f>O21*M21</f>
        <v/>
      </c>
      <c r="T21">
        <f>O21*N21</f>
        <v/>
      </c>
    </row>
    <row r="22">
      <c r="A22" t="inlineStr">
        <is>
          <t>Hoggs</t>
        </is>
      </c>
      <c r="B22" t="n">
        <v>0</v>
      </c>
      <c r="C22" t="n">
        <v>0</v>
      </c>
      <c r="H22" t="n">
        <v>0</v>
      </c>
      <c r="I22" t="n">
        <v>0</v>
      </c>
      <c r="L22">
        <f>B22+C22-H22</f>
        <v/>
      </c>
      <c r="M22">
        <f>L22-B22</f>
        <v/>
      </c>
      <c r="N22">
        <f>C22</f>
        <v/>
      </c>
      <c r="O22" t="n">
        <v>0</v>
      </c>
      <c r="P22" s="72">
        <f>O22*K22</f>
        <v/>
      </c>
      <c r="R22" t="n">
        <v>0</v>
      </c>
      <c r="S22">
        <f>O22*M22</f>
        <v/>
      </c>
      <c r="T22">
        <f>O22*N22</f>
        <v/>
      </c>
    </row>
    <row r="23">
      <c r="A23" t="inlineStr">
        <is>
          <t>Lambs</t>
        </is>
      </c>
      <c r="B23" t="n">
        <v>334</v>
      </c>
      <c r="C23" t="n">
        <v>0</v>
      </c>
      <c r="H23" t="n">
        <v>0</v>
      </c>
      <c r="I23" t="n">
        <v>0</v>
      </c>
      <c r="L23">
        <f>B23+C23-H23</f>
        <v/>
      </c>
      <c r="M23">
        <f>L23-B23</f>
        <v/>
      </c>
      <c r="N23">
        <f>C23</f>
        <v/>
      </c>
      <c r="O23" t="n">
        <v>0</v>
      </c>
      <c r="P23" s="72">
        <f>O23*K23</f>
        <v/>
      </c>
      <c r="R23" t="n">
        <v>0</v>
      </c>
      <c r="S23">
        <f>O23*M23</f>
        <v/>
      </c>
      <c r="T23">
        <f>O23*N23</f>
        <v/>
      </c>
    </row>
    <row r="24">
      <c r="A24" t="inlineStr">
        <is>
          <t>Boars</t>
        </is>
      </c>
      <c r="B24" t="n">
        <v>0</v>
      </c>
      <c r="C24" t="n">
        <v>0</v>
      </c>
      <c r="H24" t="n">
        <v>0</v>
      </c>
      <c r="I24" t="n">
        <v>0</v>
      </c>
      <c r="L24">
        <f>B24+C24-H24</f>
        <v/>
      </c>
      <c r="M24">
        <f>L24-B24</f>
        <v/>
      </c>
      <c r="N24">
        <f>C24</f>
        <v/>
      </c>
      <c r="O24" t="n">
        <v>0</v>
      </c>
      <c r="P24" s="72">
        <f>O24*K24</f>
        <v/>
      </c>
      <c r="R24" t="n">
        <v>0</v>
      </c>
      <c r="S24">
        <f>O24*M24</f>
        <v/>
      </c>
      <c r="T24">
        <f>O24*N24</f>
        <v/>
      </c>
    </row>
    <row r="25">
      <c r="A25" t="inlineStr">
        <is>
          <t>Sows</t>
        </is>
      </c>
      <c r="B25" t="n">
        <v>3</v>
      </c>
      <c r="C25" t="n">
        <v>0</v>
      </c>
      <c r="H25" t="n">
        <v>0</v>
      </c>
      <c r="I25" t="n">
        <v>0</v>
      </c>
      <c r="L25">
        <f>B25+C25-H25</f>
        <v/>
      </c>
      <c r="M25">
        <f>L25-B25</f>
        <v/>
      </c>
      <c r="N25">
        <f>C25</f>
        <v/>
      </c>
      <c r="O25" t="n">
        <v>0</v>
      </c>
      <c r="P25" s="72">
        <f>O25*K25</f>
        <v/>
      </c>
      <c r="R25" t="n">
        <v>0</v>
      </c>
      <c r="S25">
        <f>O25*M25</f>
        <v/>
      </c>
      <c r="T25">
        <f>O25*N25</f>
        <v/>
      </c>
    </row>
    <row r="26">
      <c r="A26" t="inlineStr">
        <is>
          <t>Pigs</t>
        </is>
      </c>
      <c r="B26" t="n">
        <v>0</v>
      </c>
      <c r="C26" t="n">
        <v>0</v>
      </c>
      <c r="H26" t="n">
        <v>0</v>
      </c>
      <c r="I26" t="n">
        <v>0</v>
      </c>
      <c r="L26">
        <f>B26+C26-H26</f>
        <v/>
      </c>
      <c r="M26">
        <f>L26-B26</f>
        <v/>
      </c>
      <c r="N26">
        <f>C26</f>
        <v/>
      </c>
      <c r="O26" t="n">
        <v>0</v>
      </c>
      <c r="P26" s="72">
        <f>O26*K26</f>
        <v/>
      </c>
      <c r="R26" t="n">
        <v>0</v>
      </c>
      <c r="S26">
        <f>O26*M26</f>
        <v/>
      </c>
      <c r="T26">
        <f>O26*N26</f>
        <v/>
      </c>
    </row>
    <row r="27">
      <c r="A27" t="inlineStr">
        <is>
          <t>Hoggets</t>
        </is>
      </c>
      <c r="B27" t="n">
        <v>0</v>
      </c>
      <c r="C27" t="n">
        <v>0</v>
      </c>
      <c r="H27" t="n">
        <v>0</v>
      </c>
      <c r="I27" t="n">
        <v>0</v>
      </c>
      <c r="L27">
        <f>B27+C27-H27</f>
        <v/>
      </c>
      <c r="M27">
        <f>L27-B27</f>
        <v/>
      </c>
      <c r="N27">
        <f>C27</f>
        <v/>
      </c>
      <c r="O27" t="n">
        <v>0</v>
      </c>
      <c r="P27" s="72">
        <f>O27*K27</f>
        <v/>
      </c>
      <c r="R27" t="n">
        <v>0</v>
      </c>
      <c r="S27">
        <f>O27*M27</f>
        <v/>
      </c>
      <c r="T27">
        <f>O27*N27</f>
        <v/>
      </c>
    </row>
    <row r="28">
      <c r="A28" t="inlineStr">
        <is>
          <t>Piglets</t>
        </is>
      </c>
      <c r="B28" t="n">
        <v>0</v>
      </c>
      <c r="C28" t="n">
        <v>0</v>
      </c>
      <c r="H28" t="n">
        <v>0</v>
      </c>
      <c r="I28" t="n">
        <v>0</v>
      </c>
      <c r="L28">
        <f>B28+C28-H28</f>
        <v/>
      </c>
      <c r="M28">
        <f>L28-B28</f>
        <v/>
      </c>
      <c r="N28">
        <f>C28</f>
        <v/>
      </c>
      <c r="O28" t="n">
        <v>0</v>
      </c>
      <c r="P28" s="72">
        <f>O28*K28</f>
        <v/>
      </c>
      <c r="R28" t="n">
        <v>0</v>
      </c>
      <c r="S28">
        <f>O28*M28</f>
        <v/>
      </c>
      <c r="T28">
        <f>O28*N28</f>
        <v/>
      </c>
    </row>
    <row r="29">
      <c r="A29" t="inlineStr">
        <is>
          <t>Swans</t>
        </is>
      </c>
      <c r="B29" t="n">
        <v>0</v>
      </c>
      <c r="C29" t="n">
        <v>0</v>
      </c>
      <c r="H29" t="n">
        <v>0</v>
      </c>
      <c r="I29" t="n">
        <v>0</v>
      </c>
      <c r="L29">
        <f>B29+C29-H29</f>
        <v/>
      </c>
      <c r="M29">
        <f>L29-B29</f>
        <v/>
      </c>
      <c r="N29">
        <f>C29</f>
        <v/>
      </c>
      <c r="O29" t="n">
        <v>0</v>
      </c>
      <c r="P29" s="72">
        <f>O29*K29</f>
        <v/>
      </c>
      <c r="R29" t="n">
        <v>0</v>
      </c>
      <c r="S29">
        <f>O29*M29</f>
        <v/>
      </c>
      <c r="T29">
        <f>O29*N29</f>
        <v/>
      </c>
    </row>
    <row r="30">
      <c r="A30" t="inlineStr">
        <is>
          <t>Peacocks</t>
        </is>
      </c>
      <c r="B30" t="n">
        <v>0</v>
      </c>
      <c r="C30" t="n">
        <v>0</v>
      </c>
      <c r="H30" t="n">
        <v>0</v>
      </c>
      <c r="I30" t="n">
        <v>0</v>
      </c>
      <c r="L30">
        <f>B30+C30-H30</f>
        <v/>
      </c>
      <c r="M30">
        <f>L30-B30</f>
        <v/>
      </c>
      <c r="N30">
        <f>C30</f>
        <v/>
      </c>
      <c r="O30" t="n">
        <v>0</v>
      </c>
      <c r="P30" s="72">
        <f>O30*K30</f>
        <v/>
      </c>
      <c r="R30" t="n">
        <v>0</v>
      </c>
      <c r="S30">
        <f>O30*M30</f>
        <v/>
      </c>
      <c r="T30">
        <f>O30*N30</f>
        <v/>
      </c>
    </row>
    <row r="31" ht="15.5" customHeight="1">
      <c r="A31" s="67" t="inlineStr">
        <is>
          <t>Total Value</t>
        </is>
      </c>
    </row>
    <row r="34" ht="15.5" customHeight="1">
      <c r="A34" s="66" t="inlineStr">
        <is>
          <t>Wool</t>
        </is>
      </c>
      <c r="B34" t="n">
        <v>0</v>
      </c>
      <c r="C34" t="n">
        <v>0</v>
      </c>
      <c r="H34" t="n">
        <v>0</v>
      </c>
      <c r="I34" t="n">
        <v>0</v>
      </c>
    </row>
    <row r="35">
      <c r="A35" t="inlineStr">
        <is>
          <t>Coarse wool</t>
        </is>
      </c>
      <c r="B35" t="n">
        <v>0</v>
      </c>
      <c r="C35" t="n">
        <v>0</v>
      </c>
      <c r="H35" t="n">
        <v>0</v>
      </c>
      <c r="I35" t="n">
        <v>0</v>
      </c>
    </row>
    <row r="36">
      <c r="A36" t="inlineStr">
        <is>
          <t>Lamb's wool</t>
        </is>
      </c>
      <c r="B36" t="n">
        <v>0</v>
      </c>
      <c r="C36" t="n">
        <v>0</v>
      </c>
      <c r="H36" t="n">
        <v>0</v>
      </c>
      <c r="I36" t="n">
        <v>0</v>
      </c>
    </row>
    <row r="37">
      <c r="A37" t="inlineStr">
        <is>
          <t>Wool locks</t>
        </is>
      </c>
      <c r="B37" t="n">
        <v>0</v>
      </c>
      <c r="C37" t="n">
        <v>0</v>
      </c>
      <c r="H37" t="n">
        <v>0</v>
      </c>
      <c r="I37" t="n">
        <v>0</v>
      </c>
    </row>
    <row r="38">
      <c r="A38" t="inlineStr">
        <is>
          <t>Wool sold at shearing</t>
        </is>
      </c>
      <c r="B38" t="n">
        <v>0</v>
      </c>
      <c r="C38" t="n">
        <v>0</v>
      </c>
      <c r="H38" t="n">
        <v>0</v>
      </c>
      <c r="I38" t="n">
        <v>0</v>
      </c>
    </row>
    <row r="39" ht="15.5" customHeight="1">
      <c r="A39" s="67" t="inlineStr">
        <is>
          <t>Total wool</t>
        </is>
      </c>
      <c r="B39" t="n">
        <v>0</v>
      </c>
      <c r="C39" t="n">
        <v>0</v>
      </c>
      <c r="H39" t="n">
        <v>0</v>
      </c>
      <c r="I39" t="n">
        <v>0</v>
      </c>
    </row>
    <row r="40">
      <c r="B40" t="n">
        <v>0</v>
      </c>
      <c r="C40" t="n">
        <v>0</v>
      </c>
      <c r="H40" t="n">
        <v>0</v>
      </c>
      <c r="I40" t="n">
        <v>0</v>
      </c>
    </row>
    <row r="41">
      <c r="B41" t="n">
        <v>0</v>
      </c>
      <c r="C41" t="n">
        <v>0</v>
      </c>
      <c r="H41" t="n">
        <v>0</v>
      </c>
      <c r="I41" t="n">
        <v>0</v>
      </c>
    </row>
    <row r="42" ht="15.5" customHeight="1">
      <c r="A42" s="66" t="inlineStr">
        <is>
          <t>Hides</t>
        </is>
      </c>
      <c r="B42" t="n">
        <v>0</v>
      </c>
      <c r="C42" t="n">
        <v>0</v>
      </c>
      <c r="H42" t="n">
        <v>0</v>
      </c>
      <c r="I42" t="n">
        <v>0</v>
      </c>
    </row>
    <row r="43">
      <c r="A43" t="inlineStr">
        <is>
          <t>Ox hides</t>
        </is>
      </c>
      <c r="B43" t="n">
        <v>0</v>
      </c>
      <c r="C43" t="n">
        <v>0</v>
      </c>
      <c r="H43" t="n">
        <v>0</v>
      </c>
      <c r="I43" t="n">
        <v>0</v>
      </c>
    </row>
    <row r="44">
      <c r="A44" t="inlineStr">
        <is>
          <t>Mare</t>
        </is>
      </c>
      <c r="B44" t="n">
        <v>0</v>
      </c>
      <c r="C44" t="n">
        <v>0</v>
      </c>
      <c r="H44" t="n">
        <v>0</v>
      </c>
      <c r="I44" t="n">
        <v>0</v>
      </c>
    </row>
    <row r="45">
      <c r="A45" t="inlineStr">
        <is>
          <t>Steer</t>
        </is>
      </c>
      <c r="B45" t="n">
        <v>0</v>
      </c>
      <c r="C45" t="n">
        <v>0</v>
      </c>
      <c r="H45" t="n">
        <v>0</v>
      </c>
      <c r="I45" t="n">
        <v>0</v>
      </c>
    </row>
    <row r="46">
      <c r="A46" t="inlineStr">
        <is>
          <t>calves</t>
        </is>
      </c>
      <c r="B46" t="n">
        <v>0</v>
      </c>
      <c r="C46" t="n">
        <v>0</v>
      </c>
      <c r="H46" t="n">
        <v>0</v>
      </c>
      <c r="I46" t="n">
        <v>0</v>
      </c>
    </row>
    <row r="47">
      <c r="A47" s="68" t="inlineStr">
        <is>
          <t>pigs</t>
        </is>
      </c>
      <c r="B47" t="n">
        <v>0</v>
      </c>
      <c r="C47" t="n">
        <v>0</v>
      </c>
      <c r="H47" t="n">
        <v>0</v>
      </c>
      <c r="I47" t="n">
        <v>0</v>
      </c>
    </row>
    <row r="48">
      <c r="A48" t="inlineStr">
        <is>
          <t xml:space="preserve">Woolskins </t>
        </is>
      </c>
    </row>
    <row r="49">
      <c r="A49" s="28" t="inlineStr">
        <is>
          <t>wethers</t>
        </is>
      </c>
    </row>
    <row r="50">
      <c r="A50" s="28" t="inlineStr">
        <is>
          <t>rams</t>
        </is>
      </c>
    </row>
    <row r="51">
      <c r="A51" s="28" t="inlineStr">
        <is>
          <t>ewes</t>
        </is>
      </c>
    </row>
    <row r="52">
      <c r="A52" s="28" t="inlineStr">
        <is>
          <t>hoggs</t>
        </is>
      </c>
    </row>
    <row r="53">
      <c r="A53" s="69" t="inlineStr">
        <is>
          <t>Woolskins total</t>
        </is>
      </c>
      <c r="B53" t="n">
        <v>0</v>
      </c>
      <c r="C53" t="n">
        <v>0</v>
      </c>
      <c r="H53" t="n">
        <v>0</v>
      </c>
      <c r="I53" t="n">
        <v>0</v>
      </c>
    </row>
    <row r="54">
      <c r="A54" s="43" t="inlineStr">
        <is>
          <t>Bareskins</t>
        </is>
      </c>
    </row>
    <row r="55">
      <c r="A55" s="28" t="inlineStr">
        <is>
          <t>wethers</t>
        </is>
      </c>
    </row>
    <row r="56">
      <c r="A56" s="28" t="inlineStr">
        <is>
          <t>rams</t>
        </is>
      </c>
    </row>
    <row r="57">
      <c r="A57" s="28" t="inlineStr">
        <is>
          <t>ewes</t>
        </is>
      </c>
    </row>
    <row r="58">
      <c r="A58" s="28" t="inlineStr">
        <is>
          <t>hoggs</t>
        </is>
      </c>
    </row>
    <row r="59">
      <c r="A59" s="69" t="inlineStr">
        <is>
          <t>Bareskins total</t>
        </is>
      </c>
      <c r="B59" t="n">
        <v>0</v>
      </c>
      <c r="C59" t="n">
        <v>0</v>
      </c>
      <c r="H59" t="n">
        <v>0</v>
      </c>
      <c r="I59" t="n">
        <v>0</v>
      </c>
    </row>
    <row r="60">
      <c r="A60" t="inlineStr">
        <is>
          <t>Lambskins</t>
        </is>
      </c>
      <c r="B60" t="n">
        <v>0</v>
      </c>
      <c r="C60" t="n">
        <v>0</v>
      </c>
      <c r="H60" t="n">
        <v>0</v>
      </c>
      <c r="I60" t="n">
        <v>0</v>
      </c>
    </row>
    <row r="61">
      <c r="A61" t="inlineStr">
        <is>
          <t>Rotted skins</t>
        </is>
      </c>
      <c r="B61" t="n">
        <v>0</v>
      </c>
      <c r="C61" t="n">
        <v>0</v>
      </c>
      <c r="H61" t="n">
        <v>0</v>
      </c>
      <c r="I61" t="n">
        <v>0</v>
      </c>
    </row>
    <row r="62">
      <c r="A62" t="inlineStr">
        <is>
          <t>Shorn skins</t>
        </is>
      </c>
      <c r="B62" t="n">
        <v>0</v>
      </c>
      <c r="C62" t="n">
        <v>0</v>
      </c>
      <c r="H62" t="n">
        <v>0</v>
      </c>
      <c r="I62" t="n">
        <v>0</v>
      </c>
    </row>
    <row r="63">
      <c r="A63" s="70" t="inlineStr">
        <is>
          <t xml:space="preserve">Total </t>
        </is>
      </c>
    </row>
    <row r="66" ht="15.5" customHeight="1">
      <c r="A66" s="66" t="inlineStr">
        <is>
          <t>Poultry stock</t>
        </is>
      </c>
    </row>
    <row r="67">
      <c r="A67" s="44" t="inlineStr">
        <is>
          <t>Hens</t>
        </is>
      </c>
      <c r="L67">
        <f>B67+C67-H67</f>
        <v/>
      </c>
      <c r="M67">
        <f>L67-B67</f>
        <v/>
      </c>
      <c r="N67">
        <f>C67</f>
        <v/>
      </c>
      <c r="O67" t="n">
        <v>0</v>
      </c>
      <c r="Q67">
        <f>R67*K67</f>
        <v/>
      </c>
      <c r="R67" t="n">
        <v>0</v>
      </c>
      <c r="S67">
        <f>O67*M67</f>
        <v/>
      </c>
      <c r="T67">
        <f>O67*N67</f>
        <v/>
      </c>
    </row>
    <row r="68">
      <c r="A68" t="inlineStr">
        <is>
          <t>Geese</t>
        </is>
      </c>
      <c r="L68">
        <f>B68+C68-H68</f>
        <v/>
      </c>
      <c r="M68">
        <f>L68-B68</f>
        <v/>
      </c>
      <c r="N68">
        <f>C68</f>
        <v/>
      </c>
      <c r="O68" t="n">
        <v>0</v>
      </c>
      <c r="Q68">
        <f>R68*K68</f>
        <v/>
      </c>
      <c r="R68" t="n">
        <v>0</v>
      </c>
      <c r="S68">
        <f>O68*M68</f>
        <v/>
      </c>
      <c r="T68">
        <f>O68*N68</f>
        <v/>
      </c>
    </row>
    <row r="69">
      <c r="A69" t="inlineStr">
        <is>
          <t>Capons (from chickens)</t>
        </is>
      </c>
      <c r="B69" t="n">
        <v>0</v>
      </c>
      <c r="C69" t="n">
        <v>6</v>
      </c>
      <c r="H69" t="n">
        <v>6</v>
      </c>
      <c r="K69" t="n">
        <v>0</v>
      </c>
      <c r="L69">
        <f>B69+C69-H69</f>
        <v/>
      </c>
      <c r="M69">
        <f>L69-B69</f>
        <v/>
      </c>
      <c r="N69">
        <f>C69</f>
        <v/>
      </c>
      <c r="O69" t="n">
        <v>0</v>
      </c>
      <c r="Q69">
        <f>R69*K69</f>
        <v/>
      </c>
      <c r="R69" t="n">
        <v>0</v>
      </c>
      <c r="S69">
        <f>O69*M69</f>
        <v/>
      </c>
      <c r="T69">
        <f>O69*N69</f>
        <v/>
      </c>
    </row>
    <row r="70">
      <c r="A70" t="inlineStr">
        <is>
          <t>Cocks &amp; hens</t>
        </is>
      </c>
      <c r="B70" t="n">
        <v>0</v>
      </c>
      <c r="F70" t="n">
        <v>28</v>
      </c>
      <c r="G70" t="n">
        <v>18</v>
      </c>
      <c r="H70" t="n">
        <v>10</v>
      </c>
      <c r="K70" t="n">
        <v>0</v>
      </c>
      <c r="L70">
        <f>B70+C70-H70</f>
        <v/>
      </c>
      <c r="M70">
        <f>L70-B70</f>
        <v/>
      </c>
      <c r="N70">
        <f>C70</f>
        <v/>
      </c>
      <c r="O70" t="n">
        <v>0</v>
      </c>
      <c r="Q70">
        <f>R70*K70</f>
        <v/>
      </c>
      <c r="R70" t="n">
        <v>0</v>
      </c>
      <c r="S70">
        <f>O70*M70</f>
        <v/>
      </c>
      <c r="T70">
        <f>O70*N70</f>
        <v/>
      </c>
    </row>
    <row r="71">
      <c r="A71" s="70" t="inlineStr">
        <is>
          <t>Total poultry stock</t>
        </is>
      </c>
    </row>
    <row r="72">
      <c r="A72" s="71" t="inlineStr">
        <is>
          <t>Total poultry excluding churchscot</t>
        </is>
      </c>
    </row>
    <row r="74" ht="15.5" customHeight="1">
      <c r="A74" s="12" t="inlineStr">
        <is>
          <t>Poultry production</t>
        </is>
      </c>
    </row>
    <row r="75">
      <c r="A75" t="inlineStr">
        <is>
          <t>Eggs</t>
        </is>
      </c>
      <c r="B75" t="n">
        <v>0</v>
      </c>
      <c r="C75" t="n">
        <v>0</v>
      </c>
      <c r="H75" t="n">
        <v>0</v>
      </c>
      <c r="I75" t="n">
        <v>0</v>
      </c>
      <c r="S75">
        <f>O75*M75</f>
        <v/>
      </c>
      <c r="T75">
        <f>O75*N75</f>
        <v/>
      </c>
    </row>
    <row r="76">
      <c r="A76" t="inlineStr">
        <is>
          <t>Cocks &amp; hens from churchscot of customary tenants</t>
        </is>
      </c>
      <c r="B76" t="n">
        <v>0</v>
      </c>
      <c r="C76" t="n">
        <v>0</v>
      </c>
      <c r="H76" t="n">
        <v>0</v>
      </c>
      <c r="I76" t="n">
        <v>0</v>
      </c>
      <c r="S76">
        <f>O76*M76</f>
        <v/>
      </c>
      <c r="T76">
        <f>O76*N76</f>
        <v/>
      </c>
    </row>
    <row r="77">
      <c r="A77" t="inlineStr">
        <is>
          <t>Sum of above</t>
        </is>
      </c>
      <c r="S77">
        <f>SUM(S75:S76)</f>
        <v/>
      </c>
      <c r="T77">
        <f>SUM(T75:T76)</f>
        <v/>
      </c>
    </row>
    <row r="78">
      <c r="A78" s="70" t="inlineStr">
        <is>
          <t>Total</t>
        </is>
      </c>
    </row>
    <row r="81" ht="15.5" customHeight="1">
      <c r="A81" s="12" t="inlineStr">
        <is>
          <t>Meat</t>
        </is>
      </c>
    </row>
    <row r="82">
      <c r="A82" t="inlineStr">
        <is>
          <t>Beef</t>
        </is>
      </c>
      <c r="B82" t="n">
        <v>0</v>
      </c>
      <c r="C82" t="n">
        <v>0</v>
      </c>
      <c r="H82" t="n">
        <v>0</v>
      </c>
      <c r="I82" t="n">
        <v>0</v>
      </c>
      <c r="S82">
        <f>O82*M82</f>
        <v/>
      </c>
      <c r="T82">
        <f>O82*N82</f>
        <v/>
      </c>
    </row>
    <row r="83">
      <c r="A83" t="inlineStr">
        <is>
          <t>Mutton</t>
        </is>
      </c>
      <c r="B83" t="n">
        <v>0</v>
      </c>
      <c r="C83" t="n">
        <v>0</v>
      </c>
      <c r="H83" t="n">
        <v>0</v>
      </c>
      <c r="I83" t="n">
        <v>0</v>
      </c>
      <c r="S83">
        <f>O83*M83</f>
        <v/>
      </c>
      <c r="T83">
        <f>O83*N83</f>
        <v/>
      </c>
    </row>
    <row r="84">
      <c r="A84" t="inlineStr">
        <is>
          <t>Pork</t>
        </is>
      </c>
      <c r="B84" t="n">
        <v>0</v>
      </c>
      <c r="C84" t="n">
        <v>0</v>
      </c>
      <c r="H84" t="n">
        <v>0</v>
      </c>
      <c r="I84" t="n">
        <v>0</v>
      </c>
      <c r="S84">
        <f>O84*M84</f>
        <v/>
      </c>
      <c r="T84">
        <f>O84*N84</f>
        <v/>
      </c>
    </row>
    <row r="85" ht="15.5" customHeight="1">
      <c r="A85" s="57" t="inlineStr">
        <is>
          <t xml:space="preserve">Total </t>
        </is>
      </c>
    </row>
    <row r="87" ht="15.5" customHeight="1">
      <c r="A87" s="12" t="inlineStr">
        <is>
          <t>Cheese</t>
        </is>
      </c>
    </row>
    <row r="88">
      <c r="A88" t="inlineStr">
        <is>
          <t>Winter cheese</t>
        </is>
      </c>
      <c r="B88" t="n">
        <v>0</v>
      </c>
      <c r="C88" t="n">
        <v>0</v>
      </c>
      <c r="H88" t="n">
        <v>0</v>
      </c>
      <c r="I88" t="n">
        <v>0</v>
      </c>
      <c r="S88">
        <f>O88*M88</f>
        <v/>
      </c>
      <c r="T88">
        <f>O88*N88</f>
        <v/>
      </c>
    </row>
    <row r="89">
      <c r="A89" t="inlineStr">
        <is>
          <t>Summer cheese</t>
        </is>
      </c>
      <c r="B89" t="n">
        <v>0</v>
      </c>
      <c r="C89" t="n">
        <v>0</v>
      </c>
      <c r="H89" t="n">
        <v>0</v>
      </c>
      <c r="I89" t="n">
        <v>0</v>
      </c>
      <c r="S89">
        <f>O89*M89</f>
        <v/>
      </c>
      <c r="T89">
        <f>O89*N89</f>
        <v/>
      </c>
    </row>
    <row r="90" ht="15.5" customHeight="1">
      <c r="A90" s="57" t="inlineStr">
        <is>
          <t>Total</t>
        </is>
      </c>
    </row>
    <row r="92" ht="15.5" customHeight="1">
      <c r="A92" s="12" t="inlineStr">
        <is>
          <t>Butter</t>
        </is>
      </c>
    </row>
    <row r="93">
      <c r="A93" t="inlineStr">
        <is>
          <t>Butter</t>
        </is>
      </c>
      <c r="B93" t="n">
        <v>0</v>
      </c>
      <c r="C93" t="n">
        <v>0</v>
      </c>
      <c r="H93" t="n">
        <v>0</v>
      </c>
      <c r="I93" t="n">
        <v>0</v>
      </c>
      <c r="S93">
        <f>O93*M93</f>
        <v/>
      </c>
      <c r="T93">
        <f>O93*N93</f>
        <v/>
      </c>
    </row>
    <row r="94" ht="15.5" customHeight="1">
      <c r="A94" s="57" t="inlineStr">
        <is>
          <t>Total</t>
        </is>
      </c>
    </row>
    <row r="95" ht="15.5" customHeight="1">
      <c r="A95" s="13" t="n"/>
    </row>
    <row r="96" ht="15.5" customHeight="1">
      <c r="A96" s="57" t="inlineStr">
        <is>
          <t>Total Dairy Sales</t>
        </is>
      </c>
    </row>
    <row r="99" ht="15.5" customHeight="1">
      <c r="A99" s="12" t="inlineStr">
        <is>
          <t>Cider</t>
        </is>
      </c>
      <c r="B99" t="n">
        <v>0</v>
      </c>
      <c r="C99" t="n">
        <v>0</v>
      </c>
      <c r="H99" t="n">
        <v>0</v>
      </c>
      <c r="I99" t="n">
        <v>0</v>
      </c>
    </row>
    <row r="102" ht="15.5" customHeight="1">
      <c r="A102" s="13" t="inlineStr">
        <is>
          <t>Additional Information (not necessarily useful)</t>
        </is>
      </c>
    </row>
    <row r="103" ht="15.5" customHeight="1">
      <c r="A103" s="12" t="inlineStr">
        <is>
          <t>Utensils</t>
        </is>
      </c>
    </row>
    <row r="104">
      <c r="A104" t="inlineStr">
        <is>
          <t>ploughs</t>
        </is>
      </c>
    </row>
    <row r="105">
      <c r="A105" t="inlineStr">
        <is>
          <t>carts</t>
        </is>
      </c>
    </row>
    <row r="106">
      <c r="A106" t="inlineStr">
        <is>
          <t>cart-ropes</t>
        </is>
      </c>
    </row>
    <row r="107">
      <c r="A107" t="inlineStr">
        <is>
          <t>corn baskets</t>
        </is>
      </c>
    </row>
    <row r="108">
      <c r="A108" t="inlineStr">
        <is>
          <t>seed-sacks</t>
        </is>
      </c>
    </row>
    <row r="109">
      <c r="A109" t="inlineStr">
        <is>
          <t>seed basket</t>
        </is>
      </c>
    </row>
    <row r="110">
      <c r="A110" t="inlineStr">
        <is>
          <t>locks for the doors</t>
        </is>
      </c>
    </row>
    <row r="111">
      <c r="A111" t="inlineStr">
        <is>
          <t>lead vessel</t>
        </is>
      </c>
    </row>
    <row r="112">
      <c r="A112" t="inlineStr">
        <is>
          <t>brass pots</t>
        </is>
      </c>
    </row>
    <row r="113">
      <c r="A113" t="inlineStr">
        <is>
          <t>pans</t>
        </is>
      </c>
    </row>
    <row r="114">
      <c r="A114" t="inlineStr">
        <is>
          <t>tripods</t>
        </is>
      </c>
    </row>
    <row r="115">
      <c r="A115" t="inlineStr">
        <is>
          <t>mortar</t>
        </is>
      </c>
    </row>
    <row r="116">
      <c r="A116" t="inlineStr">
        <is>
          <t>axe</t>
        </is>
      </c>
    </row>
    <row r="117">
      <c r="A117" t="inlineStr">
        <is>
          <t>casks</t>
        </is>
      </c>
    </row>
    <row r="118">
      <c r="A118" t="inlineStr">
        <is>
          <t>tubs</t>
        </is>
      </c>
    </row>
    <row r="119">
      <c r="A119" t="inlineStr">
        <is>
          <t>troughs</t>
        </is>
      </c>
    </row>
    <row r="120">
      <c r="A120" t="inlineStr">
        <is>
          <t>bucket</t>
        </is>
      </c>
    </row>
    <row r="121">
      <c r="A121" t="inlineStr">
        <is>
          <t>cheese basket</t>
        </is>
      </c>
    </row>
    <row r="122">
      <c r="A122" t="inlineStr">
        <is>
          <t>tables</t>
        </is>
      </c>
    </row>
    <row r="123">
      <c r="A123" t="inlineStr">
        <is>
          <t>table with trestles</t>
        </is>
      </c>
    </row>
    <row r="124">
      <c r="A124" t="inlineStr">
        <is>
          <t>benches</t>
        </is>
      </c>
    </row>
    <row r="125">
      <c r="A125" t="inlineStr">
        <is>
          <t>ewer with a basin</t>
        </is>
      </c>
    </row>
    <row r="126">
      <c r="A126" t="inlineStr">
        <is>
          <t>ladders</t>
        </is>
      </c>
    </row>
    <row r="127">
      <c r="A127" t="inlineStr">
        <is>
          <t>cloth</t>
        </is>
      </c>
    </row>
    <row r="128">
      <c r="A128" t="inlineStr">
        <is>
          <t>brass posnets</t>
        </is>
      </c>
    </row>
  </sheetData>
  <mergeCells count="2">
    <mergeCell ref="C3:F3"/>
    <mergeCell ref="G3:J3"/>
  </mergeCell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AD64"/>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1</t>
        </is>
      </c>
      <c r="N1" t="inlineStr">
        <is>
          <t>Bushels 1</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shilling a bushel 1</t>
        </is>
      </c>
      <c r="X1" t="inlineStr">
        <is>
          <t>pence a bushel 1</t>
        </is>
      </c>
      <c r="Y1" t="inlineStr">
        <is>
          <t>shilling a bushel 2</t>
        </is>
      </c>
      <c r="Z1" t="inlineStr">
        <is>
          <t>pence a bushel 2</t>
        </is>
      </c>
      <c r="AA1" t="inlineStr">
        <is>
          <t>shilling a bushel 3</t>
        </is>
      </c>
      <c r="AB1" t="inlineStr">
        <is>
          <t>pence a bushel 3</t>
        </is>
      </c>
      <c r="AC1" t="inlineStr">
        <is>
          <t>shilling a bushel 4</t>
        </is>
      </c>
      <c r="AD1" t="inlineStr">
        <is>
          <t>pence a bushel 4</t>
        </is>
      </c>
    </row>
    <row r="2">
      <c r="A2" t="inlineStr">
        <is>
          <t>east knoyle</t>
        </is>
      </c>
      <c r="B2" t="inlineStr">
        <is>
          <t>the account of the same from michaelmas of the fifth year of the translation of henry.</t>
        </is>
      </c>
      <c r="C2" t="n">
        <v>0</v>
      </c>
      <c r="D2" t="n">
        <v>0</v>
      </c>
      <c r="E2" t="n">
        <v>0</v>
      </c>
      <c r="F2" t="n">
        <v>0</v>
      </c>
      <c r="H2" t="n">
        <v>0</v>
      </c>
      <c r="I2" t="n">
        <v>0</v>
      </c>
      <c r="J2" t="n">
        <v>0</v>
      </c>
      <c r="K2" t="n">
        <v>0</v>
      </c>
      <c r="L2" t="n">
        <v>0</v>
      </c>
      <c r="M2" t="n">
        <v>0</v>
      </c>
      <c r="N2" t="n">
        <v>0</v>
      </c>
    </row>
    <row r="3">
      <c r="A3" t="inlineStr">
        <is>
          <t>east knoyle</t>
        </is>
      </c>
      <c r="B3" t="inlineStr">
        <is>
          <t>beaufort', lord bishop of winchester, until michaelmas of the sixth year, for one whole.</t>
        </is>
      </c>
      <c r="C3" t="n">
        <v>0</v>
      </c>
      <c r="D3" t="n">
        <v>0</v>
      </c>
      <c r="E3" t="n">
        <v>0</v>
      </c>
      <c r="F3" t="n">
        <v>0</v>
      </c>
      <c r="H3" t="n">
        <v>0</v>
      </c>
      <c r="I3" t="n">
        <v>0</v>
      </c>
      <c r="J3" t="n">
        <v>0</v>
      </c>
      <c r="K3" t="n">
        <v>0</v>
      </c>
      <c r="L3" t="n">
        <v>0</v>
      </c>
      <c r="M3" t="n">
        <v>0</v>
      </c>
      <c r="N3" t="n">
        <v>0</v>
      </c>
    </row>
    <row r="4">
      <c r="A4" t="inlineStr">
        <is>
          <t>east knoyle</t>
        </is>
      </c>
      <c r="B4" t="inlineStr">
        <is>
          <t>year, and the eleventh year of the reign of king henry the fourth.</t>
        </is>
      </c>
      <c r="C4" t="n">
        <v>0</v>
      </c>
      <c r="D4" t="n">
        <v>0</v>
      </c>
      <c r="E4" t="n">
        <v>0</v>
      </c>
      <c r="F4" t="n">
        <v>0</v>
      </c>
      <c r="H4" t="n">
        <v>0</v>
      </c>
      <c r="I4" t="n">
        <v>0</v>
      </c>
      <c r="J4" t="n">
        <v>0</v>
      </c>
      <c r="K4" t="n">
        <v>0</v>
      </c>
      <c r="L4" t="n">
        <v>0</v>
      </c>
      <c r="M4" t="n">
        <v>0</v>
      </c>
      <c r="N4" t="n">
        <v>0</v>
      </c>
    </row>
    <row r="5">
      <c r="A5" t="inlineStr">
        <is>
          <t>arrears</t>
        </is>
      </c>
      <c r="B5" t="inlineStr">
        <is>
          <t>john bryt', farmer there, answers for £9 19 shilling 5.5pence of arrears from his last account of the preceding year.</t>
        </is>
      </c>
      <c r="C5" t="n">
        <v>9.970000000000001</v>
      </c>
      <c r="D5" t="n">
        <v>9</v>
      </c>
      <c r="E5" t="n">
        <v>19</v>
      </c>
      <c r="F5" t="n">
        <v>5.5</v>
      </c>
      <c r="H5" t="n">
        <v>0</v>
      </c>
      <c r="I5" t="n">
        <v>0</v>
      </c>
      <c r="J5" t="n">
        <v>0</v>
      </c>
      <c r="K5" t="n">
        <v>0</v>
      </c>
      <c r="L5" t="n">
        <v>0</v>
      </c>
      <c r="M5" t="n">
        <v>0</v>
      </c>
      <c r="N5" t="n">
        <v>0</v>
      </c>
    </row>
    <row r="6">
      <c r="A6" t="inlineStr">
        <is>
          <t>arrears</t>
        </is>
      </c>
      <c r="B6" t="inlineStr">
        <is>
          <t>total, £9 19 shilling 5.5pence.</t>
        </is>
      </c>
      <c r="C6" t="n">
        <v>9.970000000000001</v>
      </c>
      <c r="D6" t="n">
        <v>9</v>
      </c>
      <c r="E6" t="n">
        <v>19</v>
      </c>
      <c r="F6" t="n">
        <v>5.5</v>
      </c>
      <c r="H6" t="n">
        <v>0</v>
      </c>
      <c r="I6" t="n">
        <v>0</v>
      </c>
      <c r="J6" t="n">
        <v>0</v>
      </c>
      <c r="K6" t="n">
        <v>0</v>
      </c>
      <c r="L6" t="n">
        <v>0</v>
      </c>
      <c r="M6" t="n">
        <v>0</v>
      </c>
      <c r="N6" t="n">
        <v>0</v>
      </c>
    </row>
    <row r="7">
      <c r="A7" t="inlineStr">
        <is>
          <t>rents</t>
        </is>
      </c>
      <c r="B7" t="inlineStr">
        <is>
          <t>nothing for rents or from the issues of the land here because they pertain to the farmer, the full total of which is made clear in the first year of the translation of the lord and in the preceding pipe rolls..</t>
        </is>
      </c>
      <c r="C7" t="n">
        <v>0</v>
      </c>
      <c r="D7" t="n">
        <v>0</v>
      </c>
      <c r="E7" t="n">
        <v>0</v>
      </c>
      <c r="F7" t="n">
        <v>0</v>
      </c>
      <c r="H7" t="n">
        <v>0</v>
      </c>
      <c r="I7" t="n">
        <v>0</v>
      </c>
      <c r="J7" t="n">
        <v>0</v>
      </c>
      <c r="K7" t="n">
        <v>0</v>
      </c>
      <c r="L7" t="n">
        <v>0</v>
      </c>
      <c r="M7" t="n">
        <v>0</v>
      </c>
      <c r="N7" t="n">
        <v>0</v>
      </c>
    </row>
    <row r="8">
      <c r="A8" t="inlineStr">
        <is>
          <t>issues of the manor</t>
        </is>
      </c>
      <c r="B8" t="inlineStr">
        <is>
          <t>nothing from the sale of thorns this year.</t>
        </is>
      </c>
      <c r="C8" t="n">
        <v>0</v>
      </c>
      <c r="D8" t="n">
        <v>0</v>
      </c>
      <c r="E8" t="n">
        <v>0</v>
      </c>
      <c r="F8" t="n">
        <v>0</v>
      </c>
      <c r="H8" t="n">
        <v>0</v>
      </c>
      <c r="I8" t="n">
        <v>0</v>
      </c>
      <c r="J8" t="n">
        <v>0</v>
      </c>
      <c r="K8" t="n">
        <v>0</v>
      </c>
      <c r="L8" t="n">
        <v>0</v>
      </c>
      <c r="M8" t="n">
        <v>0</v>
      </c>
      <c r="N8" t="n">
        <v>0</v>
      </c>
    </row>
    <row r="9">
      <c r="A9" t="inlineStr">
        <is>
          <t>farms</t>
        </is>
      </c>
      <c r="B9" t="inlineStr">
        <is>
          <t>and for £80 for the farm of the manor for the year, with the lands, meadows, rents, services, both of the free tenants and of the villeins, underwood on the east side, and all profits and their appurtenances, apart from wards, reliefs, marriages, escheats, heriots, strays, entry fines, advowsons and everything pertaining in whatever way to the tourn, for a term of 12 years, this year being the fifth, and paying £10 at easter (23 march), £30 at lammas (1 august) and £40 at michaelmas (29 september).</t>
        </is>
      </c>
      <c r="C9" t="n">
        <v>80</v>
      </c>
      <c r="D9" t="n">
        <v>80</v>
      </c>
      <c r="E9" t="n">
        <v>0</v>
      </c>
      <c r="F9" t="n">
        <v>0</v>
      </c>
      <c r="H9" t="n">
        <v>0</v>
      </c>
      <c r="I9" t="n">
        <v>0</v>
      </c>
      <c r="J9" t="n">
        <v>0</v>
      </c>
      <c r="K9" t="n">
        <v>0</v>
      </c>
      <c r="L9" t="n">
        <v>0</v>
      </c>
      <c r="M9" t="n">
        <v>0</v>
      </c>
      <c r="N9" t="n">
        <v>0</v>
      </c>
    </row>
    <row r="10">
      <c r="A10" t="inlineStr">
        <is>
          <t>farms</t>
        </is>
      </c>
      <c r="B10" t="inlineStr">
        <is>
          <t>total, £80..</t>
        </is>
      </c>
      <c r="C10" t="n">
        <v>80</v>
      </c>
      <c r="D10" t="n">
        <v>80</v>
      </c>
      <c r="E10" t="n">
        <v>0</v>
      </c>
      <c r="F10" t="n">
        <v>0</v>
      </c>
      <c r="H10" t="n">
        <v>0</v>
      </c>
      <c r="I10" t="n">
        <v>0</v>
      </c>
      <c r="J10" t="n">
        <v>0</v>
      </c>
      <c r="K10" t="n">
        <v>0</v>
      </c>
      <c r="L10" t="n">
        <v>0</v>
      </c>
      <c r="M10" t="n">
        <v>0</v>
      </c>
      <c r="N10" t="n">
        <v>0</v>
      </c>
    </row>
    <row r="11">
      <c r="A11" t="inlineStr">
        <is>
          <t>sale of corn</t>
        </is>
      </c>
      <c r="B11" t="inlineStr">
        <is>
          <t>and for 1 shilling 10.5pence from 4 bushels' of oats sold, at 5pence a bushels.</t>
        </is>
      </c>
      <c r="C11" t="n">
        <v>0.09</v>
      </c>
      <c r="D11" t="n">
        <v>0</v>
      </c>
      <c r="E11" t="n">
        <v>1</v>
      </c>
      <c r="F11" t="n">
        <v>10.5</v>
      </c>
      <c r="G11" t="inlineStr">
        <is>
          <t>oats</t>
        </is>
      </c>
      <c r="H11" t="n">
        <v>0</v>
      </c>
      <c r="I11" t="n">
        <v>4</v>
      </c>
      <c r="J11" t="n">
        <v>0.5</v>
      </c>
      <c r="K11" t="n">
        <v>0.5</v>
      </c>
      <c r="L11" t="n">
        <v>0</v>
      </c>
      <c r="M11" t="n">
        <v>0</v>
      </c>
      <c r="N11" t="n">
        <v>4</v>
      </c>
      <c r="W11" t="n">
        <v>0</v>
      </c>
      <c r="X11" t="n">
        <v>5</v>
      </c>
    </row>
    <row r="12">
      <c r="A12" t="inlineStr">
        <is>
          <t>sale of corn</t>
        </is>
      </c>
      <c r="B12" t="inlineStr">
        <is>
          <t>total, 1 shilling 10.5pence.</t>
        </is>
      </c>
      <c r="C12" t="n">
        <v>0.09</v>
      </c>
      <c r="D12" t="n">
        <v>0</v>
      </c>
      <c r="E12" t="n">
        <v>1</v>
      </c>
      <c r="F12" t="n">
        <v>10.5</v>
      </c>
      <c r="H12" t="n">
        <v>0</v>
      </c>
      <c r="I12" t="n">
        <v>0</v>
      </c>
      <c r="J12" t="n">
        <v>0</v>
      </c>
      <c r="K12" t="n">
        <v>0</v>
      </c>
      <c r="L12" t="n">
        <v>0</v>
      </c>
      <c r="M12" t="n">
        <v>0</v>
      </c>
      <c r="N12" t="n">
        <v>0</v>
      </c>
    </row>
    <row r="13">
      <c r="A13" t="inlineStr">
        <is>
          <t>strays sold</t>
        </is>
      </c>
      <c r="B13" t="inlineStr">
        <is>
          <t>and for 12 shilling 6pence from 6 colts sold.</t>
        </is>
      </c>
      <c r="C13" t="n">
        <v>0.62</v>
      </c>
      <c r="D13" t="n">
        <v>0</v>
      </c>
      <c r="E13" t="n">
        <v>12</v>
      </c>
      <c r="F13" t="n">
        <v>6</v>
      </c>
      <c r="H13" t="n">
        <v>0</v>
      </c>
      <c r="I13" t="n">
        <v>0</v>
      </c>
      <c r="J13" t="n">
        <v>0</v>
      </c>
      <c r="K13" t="n">
        <v>0</v>
      </c>
      <c r="L13" t="n">
        <v>0</v>
      </c>
      <c r="M13" t="n">
        <v>0</v>
      </c>
      <c r="N13" t="n">
        <v>0</v>
      </c>
    </row>
    <row r="14">
      <c r="A14" t="inlineStr">
        <is>
          <t>strays sold</t>
        </is>
      </c>
      <c r="B14" t="inlineStr">
        <is>
          <t>4 shilling from 1 ewe and 2 hoggs from strays sold.</t>
        </is>
      </c>
      <c r="C14" t="n">
        <v>0.2</v>
      </c>
      <c r="D14" t="n">
        <v>0</v>
      </c>
      <c r="E14" t="n">
        <v>4</v>
      </c>
      <c r="F14" t="n">
        <v>0</v>
      </c>
      <c r="H14" t="n">
        <v>0</v>
      </c>
      <c r="I14" t="n">
        <v>0</v>
      </c>
      <c r="J14" t="n">
        <v>0</v>
      </c>
      <c r="K14" t="n">
        <v>0</v>
      </c>
      <c r="L14" t="n">
        <v>0</v>
      </c>
      <c r="M14" t="n">
        <v>0</v>
      </c>
      <c r="N14" t="n">
        <v>0</v>
      </c>
    </row>
    <row r="15">
      <c r="A15" t="inlineStr">
        <is>
          <t>strays sold</t>
        </is>
      </c>
      <c r="B15" t="inlineStr">
        <is>
          <t>total, 16 shilling 6pence.</t>
        </is>
      </c>
      <c r="C15" t="n">
        <v>0.83</v>
      </c>
      <c r="D15" t="n">
        <v>0</v>
      </c>
      <c r="E15" t="n">
        <v>16</v>
      </c>
      <c r="F15" t="n">
        <v>6</v>
      </c>
      <c r="H15" t="n">
        <v>0</v>
      </c>
      <c r="I15" t="n">
        <v>0</v>
      </c>
      <c r="J15" t="n">
        <v>0</v>
      </c>
      <c r="K15" t="n">
        <v>0</v>
      </c>
      <c r="L15" t="n">
        <v>0</v>
      </c>
      <c r="M15" t="n">
        <v>0</v>
      </c>
      <c r="N15" t="n">
        <v>0</v>
      </c>
    </row>
    <row r="16">
      <c r="A16" t="inlineStr">
        <is>
          <t>entry fines</t>
        </is>
      </c>
      <c r="B16" t="inlineStr">
        <is>
          <t>and for 6 shilling 8pence from tithingpenny at the tourn of martinmas.</t>
        </is>
      </c>
      <c r="C16" t="n">
        <v>0.33</v>
      </c>
      <c r="D16" t="n">
        <v>0</v>
      </c>
      <c r="E16" t="n">
        <v>6</v>
      </c>
      <c r="F16" t="n">
        <v>8</v>
      </c>
      <c r="H16" t="n">
        <v>0</v>
      </c>
      <c r="I16" t="n">
        <v>0</v>
      </c>
      <c r="J16" t="n">
        <v>0</v>
      </c>
      <c r="K16" t="n">
        <v>0</v>
      </c>
      <c r="L16" t="n">
        <v>0</v>
      </c>
      <c r="M16" t="n">
        <v>0</v>
      </c>
      <c r="N16" t="n">
        <v>0</v>
      </c>
    </row>
    <row r="17">
      <c r="A17" t="inlineStr">
        <is>
          <t>entry fines</t>
        </is>
      </c>
      <c r="B17" t="inlineStr">
        <is>
          <t>6 shilling 8pence from tithingpenny at the tourn of hockday.</t>
        </is>
      </c>
      <c r="C17" t="n">
        <v>0.33</v>
      </c>
      <c r="D17" t="n">
        <v>0</v>
      </c>
      <c r="E17" t="n">
        <v>6</v>
      </c>
      <c r="F17" t="n">
        <v>8</v>
      </c>
      <c r="H17" t="n">
        <v>0</v>
      </c>
      <c r="I17" t="n">
        <v>0</v>
      </c>
      <c r="J17" t="n">
        <v>0</v>
      </c>
      <c r="K17" t="n">
        <v>0</v>
      </c>
      <c r="L17" t="n">
        <v>0</v>
      </c>
      <c r="M17" t="n">
        <v>0</v>
      </c>
      <c r="N17" t="n">
        <v>0</v>
      </c>
    </row>
    <row r="18">
      <c r="A18" t="inlineStr">
        <is>
          <t>entry fines</t>
        </is>
      </c>
      <c r="B18" t="inlineStr">
        <is>
          <t>£2 from john, son of john golley the elder, to have 1 messuage and 0.5 virgate of villein land in la lyghe in the tithing of east knoyle by surrender of peter golley his brother.</t>
        </is>
      </c>
      <c r="C18" t="n">
        <v>2</v>
      </c>
      <c r="D18" t="n">
        <v>2</v>
      </c>
      <c r="E18" t="n">
        <v>0</v>
      </c>
      <c r="F18" t="n">
        <v>0</v>
      </c>
      <c r="H18" t="n">
        <v>0</v>
      </c>
      <c r="I18" t="n">
        <v>0</v>
      </c>
      <c r="J18" t="n">
        <v>0</v>
      </c>
      <c r="K18" t="n">
        <v>0</v>
      </c>
      <c r="L18" t="n">
        <v>0</v>
      </c>
      <c r="M18" t="n">
        <v>0</v>
      </c>
      <c r="N18" t="n">
        <v>0</v>
      </c>
    </row>
    <row r="19">
      <c r="A19" t="inlineStr">
        <is>
          <t>entry fines</t>
        </is>
      </c>
      <c r="B19" t="inlineStr">
        <is>
          <t>3 shilling 4pence from walter irisshe to have 1 toft and' virgate of villein land in the tithing of milton which belonged to john joumyn' and which came into the lord's hands through the death of the same john in the great pestilence.</t>
        </is>
      </c>
      <c r="C19" t="n">
        <v>0.17</v>
      </c>
      <c r="D19" t="n">
        <v>0</v>
      </c>
      <c r="E19" t="n">
        <v>3</v>
      </c>
      <c r="F19" t="n">
        <v>4</v>
      </c>
      <c r="H19" t="n">
        <v>0</v>
      </c>
      <c r="I19" t="n">
        <v>0</v>
      </c>
      <c r="J19" t="n">
        <v>0</v>
      </c>
      <c r="K19" t="n">
        <v>0</v>
      </c>
      <c r="L19" t="n">
        <v>0</v>
      </c>
      <c r="M19" t="n">
        <v>0</v>
      </c>
      <c r="N19" t="n">
        <v>0</v>
      </c>
    </row>
    <row r="20">
      <c r="A20" t="inlineStr">
        <is>
          <t>entry fines</t>
        </is>
      </c>
      <c r="B20" t="inlineStr">
        <is>
          <t>total, £2 16 shilling 8pence.</t>
        </is>
      </c>
      <c r="C20" t="n">
        <v>2.83</v>
      </c>
      <c r="D20" t="n">
        <v>2</v>
      </c>
      <c r="E20" t="n">
        <v>16</v>
      </c>
      <c r="F20" t="n">
        <v>8</v>
      </c>
      <c r="H20" t="n">
        <v>0</v>
      </c>
      <c r="I20" t="n">
        <v>0</v>
      </c>
      <c r="J20" t="n">
        <v>0</v>
      </c>
      <c r="K20" t="n">
        <v>0</v>
      </c>
      <c r="L20" t="n">
        <v>0</v>
      </c>
      <c r="M20" t="n">
        <v>0</v>
      </c>
      <c r="N20" t="n">
        <v>0</v>
      </c>
    </row>
    <row r="21">
      <c r="A21" t="inlineStr">
        <is>
          <t>perquisites of court</t>
        </is>
      </c>
      <c r="B21" t="inlineStr">
        <is>
          <t>and for 4 shilling 10pence from the perquisites of the tourn of martinmas.</t>
        </is>
      </c>
      <c r="C21" t="n">
        <v>0.24</v>
      </c>
      <c r="D21" t="n">
        <v>0</v>
      </c>
      <c r="E21" t="n">
        <v>4</v>
      </c>
      <c r="F21" t="n">
        <v>10</v>
      </c>
      <c r="H21" t="n">
        <v>0</v>
      </c>
      <c r="I21" t="n">
        <v>0</v>
      </c>
      <c r="J21" t="n">
        <v>0</v>
      </c>
      <c r="K21" t="n">
        <v>0</v>
      </c>
      <c r="L21" t="n">
        <v>0</v>
      </c>
      <c r="M21" t="n">
        <v>0</v>
      </c>
      <c r="N21" t="n">
        <v>0</v>
      </c>
    </row>
    <row r="22">
      <c r="A22" t="inlineStr">
        <is>
          <t>perquisites of court</t>
        </is>
      </c>
      <c r="B22" t="inlineStr">
        <is>
          <t>6 shilling 1pence from the perquisites of the courts held before the tourn of hockday, from the amercements pertaining to the tourn.</t>
        </is>
      </c>
      <c r="C22" t="n">
        <v>0.3</v>
      </c>
      <c r="D22" t="n">
        <v>0</v>
      </c>
      <c r="E22" t="n">
        <v>6</v>
      </c>
      <c r="F22" t="n">
        <v>1</v>
      </c>
      <c r="H22" t="n">
        <v>0</v>
      </c>
      <c r="I22" t="n">
        <v>0</v>
      </c>
      <c r="J22" t="n">
        <v>0</v>
      </c>
      <c r="K22" t="n">
        <v>0</v>
      </c>
      <c r="L22" t="n">
        <v>0</v>
      </c>
      <c r="M22" t="n">
        <v>0</v>
      </c>
      <c r="N22" t="n">
        <v>0</v>
      </c>
    </row>
    <row r="23">
      <c r="A23" t="inlineStr">
        <is>
          <t>perquisites of court</t>
        </is>
      </c>
      <c r="B23" t="inlineStr">
        <is>
          <t>2 shilling 11pence from the perquisites of the tourn of hockday.</t>
        </is>
      </c>
      <c r="C23" t="n">
        <v>0.15</v>
      </c>
      <c r="D23" t="n">
        <v>0</v>
      </c>
      <c r="E23" t="n">
        <v>2</v>
      </c>
      <c r="F23" t="n">
        <v>11</v>
      </c>
      <c r="H23" t="n">
        <v>0</v>
      </c>
      <c r="I23" t="n">
        <v>0</v>
      </c>
      <c r="J23" t="n">
        <v>0</v>
      </c>
      <c r="K23" t="n">
        <v>0</v>
      </c>
      <c r="L23" t="n">
        <v>0</v>
      </c>
      <c r="M23" t="n">
        <v>0</v>
      </c>
      <c r="N23" t="n">
        <v>0</v>
      </c>
    </row>
    <row r="24">
      <c r="A24" t="inlineStr">
        <is>
          <t>perquisites of court</t>
        </is>
      </c>
      <c r="B24" t="inlineStr">
        <is>
          <t>3 shilling 9pence from the perquisites of the courts held after the tourn of hockday.</t>
        </is>
      </c>
      <c r="C24" t="n">
        <v>0.19</v>
      </c>
      <c r="D24" t="n">
        <v>0</v>
      </c>
      <c r="E24" t="n">
        <v>3</v>
      </c>
      <c r="F24" t="n">
        <v>9</v>
      </c>
      <c r="H24" t="n">
        <v>0</v>
      </c>
      <c r="I24" t="n">
        <v>0</v>
      </c>
      <c r="J24" t="n">
        <v>0</v>
      </c>
      <c r="K24" t="n">
        <v>0</v>
      </c>
      <c r="L24" t="n">
        <v>0</v>
      </c>
      <c r="M24" t="n">
        <v>0</v>
      </c>
      <c r="N24" t="n">
        <v>0</v>
      </c>
    </row>
    <row r="25">
      <c r="A25" t="inlineStr">
        <is>
          <t>perquisites of court</t>
        </is>
      </c>
      <c r="B25" t="inlineStr">
        <is>
          <t>total, 17 shilling 7pence.</t>
        </is>
      </c>
      <c r="C25" t="n">
        <v>0.88</v>
      </c>
      <c r="D25" t="n">
        <v>0</v>
      </c>
      <c r="E25" t="n">
        <v>17</v>
      </c>
      <c r="F25" t="n">
        <v>7</v>
      </c>
      <c r="H25" t="n">
        <v>0</v>
      </c>
      <c r="I25" t="n">
        <v>0</v>
      </c>
      <c r="J25" t="n">
        <v>0</v>
      </c>
      <c r="K25" t="n">
        <v>0</v>
      </c>
      <c r="L25" t="n">
        <v>0</v>
      </c>
      <c r="M25" t="n">
        <v>0</v>
      </c>
      <c r="N25" t="n">
        <v>0</v>
      </c>
    </row>
    <row r="26">
      <c r="A26" t="inlineStr">
        <is>
          <t>total of all receipts with arrears</t>
        </is>
      </c>
      <c r="B26" t="inlineStr">
        <is>
          <t>total of all receipts with arrears, £94 12 shilling 1pence.</t>
        </is>
      </c>
      <c r="C26" t="n">
        <v>94.59999999999999</v>
      </c>
      <c r="D26" t="n">
        <v>94</v>
      </c>
      <c r="E26" t="n">
        <v>12</v>
      </c>
      <c r="F26" t="n">
        <v>1</v>
      </c>
      <c r="H26" t="n">
        <v>0</v>
      </c>
      <c r="I26" t="n">
        <v>0</v>
      </c>
      <c r="J26" t="n">
        <v>0</v>
      </c>
      <c r="K26" t="n">
        <v>0</v>
      </c>
      <c r="L26" t="n">
        <v>0</v>
      </c>
      <c r="M26" t="n">
        <v>0</v>
      </c>
      <c r="N26" t="n">
        <v>0</v>
      </c>
    </row>
    <row r="27">
      <c r="A27" t="inlineStr">
        <is>
          <t>expenses of the steward</t>
        </is>
      </c>
      <c r="B27" t="inlineStr">
        <is>
          <t>in expenses of richard wyot', steward, at the tourns of martinmas and hockday, by 2 bills, 15 shilling 4.5pence.</t>
        </is>
      </c>
      <c r="C27" t="n">
        <v>0.77</v>
      </c>
      <c r="D27" t="n">
        <v>0</v>
      </c>
      <c r="E27" t="n">
        <v>15</v>
      </c>
      <c r="F27" t="n">
        <v>4.5</v>
      </c>
      <c r="H27" t="n">
        <v>0</v>
      </c>
      <c r="I27" t="n">
        <v>0</v>
      </c>
      <c r="J27" t="n">
        <v>0</v>
      </c>
      <c r="K27" t="n">
        <v>0</v>
      </c>
      <c r="L27" t="n">
        <v>0</v>
      </c>
      <c r="M27" t="n">
        <v>0</v>
      </c>
      <c r="N27" t="n">
        <v>0</v>
      </c>
    </row>
    <row r="28">
      <c r="A28" t="inlineStr">
        <is>
          <t>expenses of the steward</t>
        </is>
      </c>
      <c r="B28" t="inlineStr">
        <is>
          <t>total, 15 shilling 4.5pence.</t>
        </is>
      </c>
      <c r="C28" t="n">
        <v>0.77</v>
      </c>
      <c r="D28" t="n">
        <v>0</v>
      </c>
      <c r="E28" t="n">
        <v>15</v>
      </c>
      <c r="F28" t="n">
        <v>4.5</v>
      </c>
      <c r="H28" t="n">
        <v>0</v>
      </c>
      <c r="I28" t="n">
        <v>0</v>
      </c>
      <c r="J28" t="n">
        <v>0</v>
      </c>
      <c r="K28" t="n">
        <v>0</v>
      </c>
      <c r="L28" t="n">
        <v>0</v>
      </c>
      <c r="M28" t="n">
        <v>0</v>
      </c>
      <c r="N28" t="n">
        <v>0</v>
      </c>
    </row>
    <row r="29">
      <c r="A29" t="inlineStr">
        <is>
          <t>wages of the bailiff</t>
        </is>
      </c>
      <c r="B29" t="inlineStr">
        <is>
          <t>in wages of the bailiff for the year £2 10 shilling.</t>
        </is>
      </c>
      <c r="C29" t="n">
        <v>2.5</v>
      </c>
      <c r="D29" t="n">
        <v>2</v>
      </c>
      <c r="E29" t="n">
        <v>10</v>
      </c>
      <c r="F29" t="n">
        <v>0</v>
      </c>
      <c r="H29" t="n">
        <v>0</v>
      </c>
      <c r="I29" t="n">
        <v>0</v>
      </c>
      <c r="J29" t="n">
        <v>0</v>
      </c>
      <c r="K29" t="n">
        <v>0</v>
      </c>
      <c r="L29" t="n">
        <v>0</v>
      </c>
      <c r="M29" t="n">
        <v>0</v>
      </c>
      <c r="N29" t="n">
        <v>0</v>
      </c>
    </row>
    <row r="30">
      <c r="A30" t="inlineStr">
        <is>
          <t>wages of the bailiff</t>
        </is>
      </c>
      <c r="B30" t="inlineStr">
        <is>
          <t>stipend of 1 warrener levying the lord's money and officiating at the courts for the year because the rents and labour services pertain to the farmer 5 shilling.</t>
        </is>
      </c>
      <c r="C30" t="n">
        <v>0.25</v>
      </c>
      <c r="D30" t="n">
        <v>0</v>
      </c>
      <c r="E30" t="n">
        <v>5</v>
      </c>
      <c r="F30" t="n">
        <v>0</v>
      </c>
      <c r="H30" t="n">
        <v>0</v>
      </c>
      <c r="I30" t="n">
        <v>0</v>
      </c>
      <c r="J30" t="n">
        <v>0</v>
      </c>
      <c r="K30" t="n">
        <v>0</v>
      </c>
      <c r="L30" t="n">
        <v>0</v>
      </c>
      <c r="M30" t="n">
        <v>0</v>
      </c>
      <c r="N30" t="n">
        <v>0</v>
      </c>
    </row>
    <row r="31">
      <c r="A31" t="inlineStr">
        <is>
          <t>wages of the bailiff</t>
        </is>
      </c>
      <c r="B31" t="inlineStr">
        <is>
          <t>total, £2 15 shilling.</t>
        </is>
      </c>
      <c r="C31" t="n">
        <v>2.75</v>
      </c>
      <c r="D31" t="n">
        <v>2</v>
      </c>
      <c r="E31" t="n">
        <v>15</v>
      </c>
      <c r="F31" t="n">
        <v>0</v>
      </c>
      <c r="H31" t="n">
        <v>0</v>
      </c>
      <c r="I31" t="n">
        <v>0</v>
      </c>
      <c r="J31" t="n">
        <v>0</v>
      </c>
      <c r="K31" t="n">
        <v>0</v>
      </c>
      <c r="L31" t="n">
        <v>0</v>
      </c>
      <c r="M31" t="n">
        <v>0</v>
      </c>
      <c r="N31" t="n">
        <v>0</v>
      </c>
    </row>
    <row r="32">
      <c r="A32" t="inlineStr">
        <is>
          <t>total of all expenses</t>
        </is>
      </c>
      <c r="B32" t="inlineStr">
        <is>
          <t>total of all expenses, £3 10 shilling 4.5pence.</t>
        </is>
      </c>
      <c r="C32" t="n">
        <v>3.52</v>
      </c>
      <c r="D32" t="n">
        <v>3</v>
      </c>
      <c r="E32" t="n">
        <v>10</v>
      </c>
      <c r="F32" t="n">
        <v>4.5</v>
      </c>
      <c r="H32" t="n">
        <v>0</v>
      </c>
      <c r="I32" t="n">
        <v>0</v>
      </c>
      <c r="J32" t="n">
        <v>0</v>
      </c>
      <c r="K32" t="n">
        <v>0</v>
      </c>
      <c r="L32" t="n">
        <v>0</v>
      </c>
      <c r="M32" t="n">
        <v>0</v>
      </c>
      <c r="N32" t="n">
        <v>0</v>
      </c>
    </row>
    <row r="33">
      <c r="A33" t="inlineStr">
        <is>
          <t>and he owes</t>
        </is>
      </c>
      <c r="B33" t="inlineStr">
        <is>
          <t>and he owes, £91 1 shilling 8.5pence.</t>
        </is>
      </c>
      <c r="C33" t="n">
        <v>91.09</v>
      </c>
      <c r="D33" t="n">
        <v>91</v>
      </c>
      <c r="E33" t="n">
        <v>1</v>
      </c>
      <c r="F33" t="n">
        <v>8.5</v>
      </c>
      <c r="H33" t="n">
        <v>0</v>
      </c>
      <c r="I33" t="n">
        <v>0</v>
      </c>
      <c r="J33" t="n">
        <v>0</v>
      </c>
      <c r="K33" t="n">
        <v>0</v>
      </c>
      <c r="L33" t="n">
        <v>0</v>
      </c>
      <c r="M33" t="n">
        <v>0</v>
      </c>
      <c r="N33" t="n">
        <v>0</v>
      </c>
    </row>
    <row r="34">
      <c r="A34" t="inlineStr">
        <is>
          <t>cash deliveries</t>
        </is>
      </c>
      <c r="B34" t="inlineStr">
        <is>
          <t>delivered to john arnald', receiver of wolvesey, by 1 tally, £90 11 shilling 0.5pence.</t>
        </is>
      </c>
      <c r="C34" t="n">
        <v>90.55</v>
      </c>
      <c r="D34" t="n">
        <v>90</v>
      </c>
      <c r="E34" t="n">
        <v>11</v>
      </c>
      <c r="F34" t="n">
        <v>0.5</v>
      </c>
      <c r="H34" t="n">
        <v>0</v>
      </c>
      <c r="I34" t="n">
        <v>0</v>
      </c>
      <c r="J34" t="n">
        <v>0</v>
      </c>
      <c r="K34" t="n">
        <v>0</v>
      </c>
      <c r="L34" t="n">
        <v>0</v>
      </c>
      <c r="M34" t="n">
        <v>0</v>
      </c>
      <c r="N34" t="n">
        <v>0</v>
      </c>
    </row>
    <row r="35">
      <c r="A35" t="inlineStr">
        <is>
          <t>cash deliveries</t>
        </is>
      </c>
      <c r="B35" t="inlineStr">
        <is>
          <t>total, £90 11 shilling 0.5pence.</t>
        </is>
      </c>
      <c r="C35" t="n">
        <v>90.55</v>
      </c>
      <c r="D35" t="n">
        <v>90</v>
      </c>
      <c r="E35" t="n">
        <v>11</v>
      </c>
      <c r="F35" t="n">
        <v>0.5</v>
      </c>
      <c r="H35" t="n">
        <v>0</v>
      </c>
      <c r="I35" t="n">
        <v>0</v>
      </c>
      <c r="J35" t="n">
        <v>0</v>
      </c>
      <c r="K35" t="n">
        <v>0</v>
      </c>
      <c r="L35" t="n">
        <v>0</v>
      </c>
      <c r="M35" t="n">
        <v>0</v>
      </c>
      <c r="N35" t="n">
        <v>0</v>
      </c>
    </row>
    <row r="36">
      <c r="A36" t="inlineStr">
        <is>
          <t>and he owes clear</t>
        </is>
      </c>
      <c r="B36" t="inlineStr">
        <is>
          <t>and he owes, 10 shilling 8pence, in the hands of the escheator, for which he is following year's account..</t>
        </is>
      </c>
      <c r="C36" t="n">
        <v>0.53</v>
      </c>
      <c r="D36" t="n">
        <v>0</v>
      </c>
      <c r="E36" t="n">
        <v>10</v>
      </c>
      <c r="F36" t="n">
        <v>8</v>
      </c>
      <c r="H36" t="n">
        <v>0</v>
      </c>
      <c r="I36" t="n">
        <v>0</v>
      </c>
      <c r="J36" t="n">
        <v>0</v>
      </c>
      <c r="K36" t="n">
        <v>0</v>
      </c>
      <c r="L36" t="n">
        <v>0</v>
      </c>
      <c r="M36" t="n">
        <v>0</v>
      </c>
      <c r="N36" t="n">
        <v>0</v>
      </c>
    </row>
    <row r="37">
      <c r="A37" t="inlineStr">
        <is>
          <t>wheat</t>
        </is>
      </c>
      <c r="B37" t="inlineStr">
        <is>
          <t>john bryt, farmer there, answers for 20 quarters of wheat.</t>
        </is>
      </c>
      <c r="C37" t="n">
        <v>0</v>
      </c>
      <c r="D37" t="n">
        <v>0</v>
      </c>
      <c r="E37" t="n">
        <v>0</v>
      </c>
      <c r="F37" t="n">
        <v>0</v>
      </c>
      <c r="G37" t="inlineStr">
        <is>
          <t>wheat</t>
        </is>
      </c>
      <c r="H37" t="n">
        <v>20</v>
      </c>
      <c r="I37" t="n">
        <v>0</v>
      </c>
      <c r="J37" t="n">
        <v>20</v>
      </c>
      <c r="K37" t="n">
        <v>20</v>
      </c>
      <c r="L37" t="n">
        <v>0</v>
      </c>
      <c r="M37" t="n">
        <v>20</v>
      </c>
      <c r="N37" t="n">
        <v>0</v>
      </c>
    </row>
    <row r="38">
      <c r="A38" t="inlineStr">
        <is>
          <t>wheat</t>
        </is>
      </c>
      <c r="B38" t="inlineStr">
        <is>
          <t>20 quarters remain in the hands of the  fanner, to be restored at the end of his term.</t>
        </is>
      </c>
      <c r="C38" t="n">
        <v>0</v>
      </c>
      <c r="D38" t="n">
        <v>0</v>
      </c>
      <c r="E38" t="n">
        <v>0</v>
      </c>
      <c r="F38" t="n">
        <v>0</v>
      </c>
      <c r="H38" t="n">
        <v>20</v>
      </c>
      <c r="I38" t="n">
        <v>0</v>
      </c>
      <c r="J38" t="n">
        <v>20</v>
      </c>
      <c r="K38" t="n">
        <v>20</v>
      </c>
      <c r="L38" t="n">
        <v>0</v>
      </c>
      <c r="M38" t="n">
        <v>20</v>
      </c>
      <c r="N38" t="n">
        <v>0</v>
      </c>
    </row>
    <row r="39">
      <c r="A39" t="inlineStr">
        <is>
          <t>barley</t>
        </is>
      </c>
      <c r="B39" t="inlineStr">
        <is>
          <t>and for 20 quarters of barley remaining in the hands of the farmer, to be restored at the end of his term.</t>
        </is>
      </c>
      <c r="C39" t="n">
        <v>0</v>
      </c>
      <c r="D39" t="n">
        <v>0</v>
      </c>
      <c r="E39" t="n">
        <v>0</v>
      </c>
      <c r="F39" t="n">
        <v>0</v>
      </c>
      <c r="G39" t="inlineStr">
        <is>
          <t>barley</t>
        </is>
      </c>
      <c r="H39" t="n">
        <v>20</v>
      </c>
      <c r="I39" t="n">
        <v>0</v>
      </c>
      <c r="J39" t="n">
        <v>20</v>
      </c>
      <c r="K39" t="n">
        <v>20</v>
      </c>
      <c r="L39" t="n">
        <v>0</v>
      </c>
      <c r="M39" t="n">
        <v>20</v>
      </c>
      <c r="N39" t="n">
        <v>0</v>
      </c>
    </row>
    <row r="40">
      <c r="A40" t="inlineStr">
        <is>
          <t>oats</t>
        </is>
      </c>
      <c r="B40" t="inlineStr">
        <is>
          <t>and for 1 quarters of oats from the farm for the year.</t>
        </is>
      </c>
      <c r="C40" t="n">
        <v>0</v>
      </c>
      <c r="D40" t="n">
        <v>0</v>
      </c>
      <c r="E40" t="n">
        <v>0</v>
      </c>
      <c r="F40" t="n">
        <v>0</v>
      </c>
      <c r="G40" t="inlineStr">
        <is>
          <t>oats</t>
        </is>
      </c>
      <c r="H40" t="n">
        <v>1</v>
      </c>
      <c r="I40" t="n">
        <v>0</v>
      </c>
      <c r="J40" t="n">
        <v>1</v>
      </c>
      <c r="K40" t="n">
        <v>1</v>
      </c>
      <c r="L40" t="n">
        <v>0</v>
      </c>
      <c r="M40" t="n">
        <v>1</v>
      </c>
      <c r="N40" t="n">
        <v>0</v>
      </c>
    </row>
    <row r="41">
      <c r="A41" t="inlineStr">
        <is>
          <t>oats</t>
        </is>
      </c>
      <c r="B41" t="inlineStr">
        <is>
          <t>4 bushels from the farmer of upton.</t>
        </is>
      </c>
      <c r="C41" t="n">
        <v>0</v>
      </c>
      <c r="D41" t="n">
        <v>0</v>
      </c>
      <c r="E41" t="n">
        <v>0</v>
      </c>
      <c r="F41" t="n">
        <v>0</v>
      </c>
      <c r="H41" t="n">
        <v>0</v>
      </c>
      <c r="I41" t="n">
        <v>4</v>
      </c>
      <c r="J41" t="n">
        <v>0.5</v>
      </c>
      <c r="K41" t="n">
        <v>0.5</v>
      </c>
      <c r="L41" t="n">
        <v>0</v>
      </c>
      <c r="M41" t="n">
        <v>0</v>
      </c>
      <c r="N41" t="n">
        <v>4</v>
      </c>
    </row>
    <row r="42">
      <c r="A42" t="inlineStr">
        <is>
          <t>oats</t>
        </is>
      </c>
      <c r="B42" t="inlineStr">
        <is>
          <t>4 bushels from the fanner of bishops fonthill..</t>
        </is>
      </c>
      <c r="C42" t="n">
        <v>0</v>
      </c>
      <c r="D42" t="n">
        <v>0</v>
      </c>
      <c r="E42" t="n">
        <v>0</v>
      </c>
      <c r="F42" t="n">
        <v>0</v>
      </c>
      <c r="H42" t="n">
        <v>0</v>
      </c>
      <c r="I42" t="n">
        <v>4</v>
      </c>
      <c r="J42" t="n">
        <v>0.5</v>
      </c>
      <c r="K42" t="n">
        <v>0.5</v>
      </c>
      <c r="L42" t="n">
        <v>0</v>
      </c>
      <c r="M42" t="n">
        <v>0</v>
      </c>
      <c r="N42" t="n">
        <v>4</v>
      </c>
    </row>
    <row r="43">
      <c r="A43" t="inlineStr">
        <is>
          <t>oats</t>
        </is>
      </c>
      <c r="B43" t="inlineStr">
        <is>
          <t>total, 2 quarters.</t>
        </is>
      </c>
      <c r="C43" t="n">
        <v>0</v>
      </c>
      <c r="D43" t="n">
        <v>0</v>
      </c>
      <c r="E43" t="n">
        <v>0</v>
      </c>
      <c r="F43" t="n">
        <v>0</v>
      </c>
      <c r="H43" t="n">
        <v>2</v>
      </c>
      <c r="I43" t="n">
        <v>0</v>
      </c>
      <c r="J43" t="n">
        <v>2</v>
      </c>
      <c r="K43" t="n">
        <v>2</v>
      </c>
      <c r="L43" t="n">
        <v>0</v>
      </c>
      <c r="M43" t="n">
        <v>2</v>
      </c>
      <c r="N43" t="n">
        <v>0</v>
      </c>
    </row>
    <row r="44">
      <c r="A44" t="inlineStr">
        <is>
          <t>oats</t>
        </is>
      </c>
      <c r="B44" t="inlineStr">
        <is>
          <t>in fodder of the horses of the steward at the toums of martinmas and hockday, by 2 sealed bills, 1 quarters 3.5 bushels.</t>
        </is>
      </c>
      <c r="C44" t="n">
        <v>0</v>
      </c>
      <c r="D44" t="n">
        <v>0</v>
      </c>
      <c r="E44" t="n">
        <v>0</v>
      </c>
      <c r="F44" t="n">
        <v>0</v>
      </c>
      <c r="H44" t="n">
        <v>1</v>
      </c>
      <c r="I44" t="n">
        <v>3.5</v>
      </c>
      <c r="J44" t="n">
        <v>1.44</v>
      </c>
      <c r="K44" t="n">
        <v>1.44</v>
      </c>
      <c r="L44" t="n">
        <v>0</v>
      </c>
      <c r="M44" t="n">
        <v>1</v>
      </c>
      <c r="N44" t="n">
        <v>3.5</v>
      </c>
    </row>
    <row r="45">
      <c r="A45" t="inlineStr">
        <is>
          <t>oats</t>
        </is>
      </c>
      <c r="B45" t="inlineStr">
        <is>
          <t>sold within, 4.5 bushels.</t>
        </is>
      </c>
      <c r="C45" t="n">
        <v>0</v>
      </c>
      <c r="D45" t="n">
        <v>0</v>
      </c>
      <c r="E45" t="n">
        <v>0</v>
      </c>
      <c r="F45" t="n">
        <v>0</v>
      </c>
      <c r="H45" t="n">
        <v>0</v>
      </c>
      <c r="I45" t="n">
        <v>4.5</v>
      </c>
      <c r="J45" t="n">
        <v>0.5600000000000001</v>
      </c>
      <c r="K45" t="n">
        <v>0.5600000000000001</v>
      </c>
      <c r="L45" t="n">
        <v>0</v>
      </c>
      <c r="M45" t="n">
        <v>0</v>
      </c>
      <c r="N45" t="n">
        <v>4.5</v>
      </c>
    </row>
    <row r="46">
      <c r="A46" t="inlineStr">
        <is>
          <t>oats</t>
        </is>
      </c>
      <c r="B46" t="inlineStr">
        <is>
          <t>total as before.</t>
        </is>
      </c>
      <c r="C46" t="n">
        <v>0</v>
      </c>
      <c r="D46" t="n">
        <v>0</v>
      </c>
      <c r="E46" t="n">
        <v>0</v>
      </c>
      <c r="F46" t="n">
        <v>0</v>
      </c>
      <c r="H46" t="n">
        <v>0</v>
      </c>
      <c r="I46" t="n">
        <v>0</v>
      </c>
      <c r="J46" t="n">
        <v>0</v>
      </c>
      <c r="K46" t="n">
        <v>0</v>
      </c>
      <c r="L46" t="n">
        <v>0</v>
      </c>
      <c r="M46" t="n">
        <v>0</v>
      </c>
      <c r="N46" t="n">
        <v>0</v>
      </c>
    </row>
    <row r="47">
      <c r="A47" t="inlineStr">
        <is>
          <t>oats</t>
        </is>
      </c>
      <c r="B47" t="inlineStr">
        <is>
          <t>it balances.</t>
        </is>
      </c>
      <c r="C47" t="n">
        <v>0</v>
      </c>
      <c r="D47" t="n">
        <v>0</v>
      </c>
      <c r="E47" t="n">
        <v>0</v>
      </c>
      <c r="F47" t="n">
        <v>0</v>
      </c>
      <c r="H47" t="n">
        <v>0</v>
      </c>
      <c r="I47" t="n">
        <v>0</v>
      </c>
      <c r="J47" t="n">
        <v>0</v>
      </c>
      <c r="K47" t="n">
        <v>0</v>
      </c>
      <c r="L47" t="n">
        <v>0</v>
      </c>
      <c r="M47" t="n">
        <v>0</v>
      </c>
      <c r="N47" t="n">
        <v>0</v>
      </c>
    </row>
    <row r="48">
      <c r="A48" t="inlineStr">
        <is>
          <t>stock</t>
        </is>
      </c>
      <c r="B48" t="inlineStr">
        <is>
          <t>horses: 3 remain in hand, worth 10 shilling each, to be restored at the end of his term..</t>
        </is>
      </c>
      <c r="C48" t="n">
        <v>0.5</v>
      </c>
      <c r="D48" t="n">
        <v>0</v>
      </c>
      <c r="E48" t="n">
        <v>10</v>
      </c>
      <c r="F48" t="n">
        <v>0</v>
      </c>
      <c r="H48" t="n">
        <v>0</v>
      </c>
      <c r="I48" t="n">
        <v>0</v>
      </c>
      <c r="J48" t="n">
        <v>0</v>
      </c>
      <c r="K48" t="n">
        <v>0</v>
      </c>
      <c r="L48" t="n">
        <v>0</v>
      </c>
      <c r="M48" t="n">
        <v>0</v>
      </c>
      <c r="N48" t="n">
        <v>0</v>
      </c>
    </row>
    <row r="49">
      <c r="A49" t="inlineStr">
        <is>
          <t>stock</t>
        </is>
      </c>
      <c r="B49" t="inlineStr">
        <is>
          <t>yearling strays: 6 colts, 1 ewe and 2 hoggs over a year old from strays this year.</t>
        </is>
      </c>
      <c r="C49" t="n">
        <v>0</v>
      </c>
      <c r="D49" t="n">
        <v>0</v>
      </c>
      <c r="E49" t="n">
        <v>0</v>
      </c>
      <c r="F49" t="n">
        <v>0</v>
      </c>
      <c r="H49" t="n">
        <v>0</v>
      </c>
      <c r="I49" t="n">
        <v>0</v>
      </c>
      <c r="J49" t="n">
        <v>0</v>
      </c>
      <c r="K49" t="n">
        <v>0</v>
      </c>
      <c r="L49" t="n">
        <v>0</v>
      </c>
      <c r="M49" t="n">
        <v>0</v>
      </c>
      <c r="N49" t="n">
        <v>0</v>
      </c>
    </row>
    <row r="50">
      <c r="A50" t="inlineStr">
        <is>
          <t>stock</t>
        </is>
      </c>
      <c r="B50" t="inlineStr">
        <is>
          <t>all sold within.</t>
        </is>
      </c>
      <c r="C50" t="n">
        <v>0</v>
      </c>
      <c r="D50" t="n">
        <v>0</v>
      </c>
      <c r="E50" t="n">
        <v>0</v>
      </c>
      <c r="F50" t="n">
        <v>0</v>
      </c>
      <c r="H50" t="n">
        <v>0</v>
      </c>
      <c r="I50" t="n">
        <v>0</v>
      </c>
      <c r="J50" t="n">
        <v>0</v>
      </c>
      <c r="K50" t="n">
        <v>0</v>
      </c>
      <c r="L50" t="n">
        <v>0</v>
      </c>
      <c r="M50" t="n">
        <v>0</v>
      </c>
      <c r="N50" t="n">
        <v>0</v>
      </c>
    </row>
    <row r="51">
      <c r="A51" t="inlineStr">
        <is>
          <t>stock</t>
        </is>
      </c>
      <c r="B51" t="inlineStr">
        <is>
          <t>none remain.</t>
        </is>
      </c>
      <c r="C51" t="n">
        <v>0</v>
      </c>
      <c r="D51" t="n">
        <v>0</v>
      </c>
      <c r="E51" t="n">
        <v>0</v>
      </c>
      <c r="F51" t="n">
        <v>0</v>
      </c>
      <c r="H51" t="n">
        <v>0</v>
      </c>
      <c r="I51" t="n">
        <v>0</v>
      </c>
      <c r="J51" t="n">
        <v>0</v>
      </c>
      <c r="K51" t="n">
        <v>0</v>
      </c>
      <c r="L51" t="n">
        <v>0</v>
      </c>
      <c r="M51" t="n">
        <v>0</v>
      </c>
      <c r="N51" t="n">
        <v>0</v>
      </c>
    </row>
    <row r="52">
      <c r="A52" t="inlineStr">
        <is>
          <t>stock</t>
        </is>
      </c>
      <c r="B52" t="inlineStr">
        <is>
          <t>oxen: 26 remain in the hands of the farmer, worth 13 shilling 4pence each, to be restored at the end of his term.</t>
        </is>
      </c>
      <c r="C52" t="n">
        <v>0.67</v>
      </c>
      <c r="D52" t="n">
        <v>0</v>
      </c>
      <c r="E52" t="n">
        <v>13</v>
      </c>
      <c r="F52" t="n">
        <v>4</v>
      </c>
      <c r="H52" t="n">
        <v>0</v>
      </c>
      <c r="I52" t="n">
        <v>0</v>
      </c>
      <c r="J52" t="n">
        <v>0</v>
      </c>
      <c r="K52" t="n">
        <v>0</v>
      </c>
      <c r="L52" t="n">
        <v>0</v>
      </c>
      <c r="M52" t="n">
        <v>0</v>
      </c>
      <c r="N52" t="n">
        <v>0</v>
      </c>
    </row>
    <row r="53">
      <c r="A53" t="inlineStr">
        <is>
          <t>stock</t>
        </is>
      </c>
      <c r="B53" t="inlineStr">
        <is>
          <t>bullocks: 1 remains in the hands of the farmer, worth 6 shilling, to be restored at the end of his term.</t>
        </is>
      </c>
      <c r="C53" t="n">
        <v>0.3</v>
      </c>
      <c r="D53" t="n">
        <v>0</v>
      </c>
      <c r="E53" t="n">
        <v>6</v>
      </c>
      <c r="F53" t="n">
        <v>0</v>
      </c>
      <c r="H53" t="n">
        <v>0</v>
      </c>
      <c r="I53" t="n">
        <v>0</v>
      </c>
      <c r="J53" t="n">
        <v>0</v>
      </c>
      <c r="K53" t="n">
        <v>0</v>
      </c>
      <c r="L53" t="n">
        <v>0</v>
      </c>
      <c r="M53" t="n">
        <v>0</v>
      </c>
      <c r="N53" t="n">
        <v>0</v>
      </c>
    </row>
    <row r="54">
      <c r="A54" t="inlineStr">
        <is>
          <t>stock</t>
        </is>
      </c>
      <c r="B54" t="inlineStr">
        <is>
          <t>wethers: 464 remain.</t>
        </is>
      </c>
      <c r="C54" t="n">
        <v>0</v>
      </c>
      <c r="D54" t="n">
        <v>0</v>
      </c>
      <c r="E54" t="n">
        <v>0</v>
      </c>
      <c r="F54" t="n">
        <v>0</v>
      </c>
      <c r="H54" t="n">
        <v>0</v>
      </c>
      <c r="I54" t="n">
        <v>0</v>
      </c>
      <c r="J54" t="n">
        <v>0</v>
      </c>
      <c r="K54" t="n">
        <v>0</v>
      </c>
      <c r="L54" t="n">
        <v>0</v>
      </c>
      <c r="M54" t="n">
        <v>0</v>
      </c>
      <c r="N54" t="n">
        <v>0</v>
      </c>
    </row>
    <row r="55">
      <c r="A55" t="inlineStr">
        <is>
          <t>stock</t>
        </is>
      </c>
      <c r="B55" t="inlineStr">
        <is>
          <t>4541 remain in the hands of the farmer, worth 1 shilling 10pence each, to be restored at the end of his term.</t>
        </is>
      </c>
      <c r="C55" t="n">
        <v>0.09</v>
      </c>
      <c r="D55" t="n">
        <v>0</v>
      </c>
      <c r="E55" t="n">
        <v>1</v>
      </c>
      <c r="F55" t="n">
        <v>10</v>
      </c>
      <c r="H55" t="n">
        <v>0</v>
      </c>
      <c r="I55" t="n">
        <v>0</v>
      </c>
      <c r="J55" t="n">
        <v>0</v>
      </c>
      <c r="K55" t="n">
        <v>0</v>
      </c>
      <c r="L55" t="n">
        <v>0</v>
      </c>
      <c r="M55" t="n">
        <v>0</v>
      </c>
      <c r="N55" t="n">
        <v>0</v>
      </c>
    </row>
    <row r="56">
      <c r="A56" t="inlineStr">
        <is>
          <t>stock</t>
        </is>
      </c>
      <c r="B56" t="inlineStr">
        <is>
          <t>rams: 24 remain in the hands of the farmer, worth 1 shilling 6pence each, to be restored at the end of his term.</t>
        </is>
      </c>
      <c r="C56" t="n">
        <v>0.08</v>
      </c>
      <c r="D56" t="n">
        <v>0</v>
      </c>
      <c r="E56" t="n">
        <v>1</v>
      </c>
      <c r="F56" t="n">
        <v>6</v>
      </c>
      <c r="H56" t="n">
        <v>0</v>
      </c>
      <c r="I56" t="n">
        <v>0</v>
      </c>
      <c r="J56" t="n">
        <v>0</v>
      </c>
      <c r="K56" t="n">
        <v>0</v>
      </c>
      <c r="L56" t="n">
        <v>0</v>
      </c>
      <c r="M56" t="n">
        <v>0</v>
      </c>
      <c r="N56" t="n">
        <v>0</v>
      </c>
    </row>
    <row r="57">
      <c r="A57" t="inlineStr">
        <is>
          <t>stock</t>
        </is>
      </c>
      <c r="B57" t="inlineStr">
        <is>
          <t>ewes: 434 remain in the hands of the farmer, worth 1 shilling 6pence each, to be restored at the end of his term.</t>
        </is>
      </c>
      <c r="C57" t="n">
        <v>0.08</v>
      </c>
      <c r="D57" t="n">
        <v>0</v>
      </c>
      <c r="E57" t="n">
        <v>1</v>
      </c>
      <c r="F57" t="n">
        <v>6</v>
      </c>
      <c r="H57" t="n">
        <v>0</v>
      </c>
      <c r="I57" t="n">
        <v>0</v>
      </c>
      <c r="J57" t="n">
        <v>0</v>
      </c>
      <c r="K57" t="n">
        <v>0</v>
      </c>
      <c r="L57" t="n">
        <v>0</v>
      </c>
      <c r="M57" t="n">
        <v>0</v>
      </c>
      <c r="N57" t="n">
        <v>0</v>
      </c>
    </row>
    <row r="58">
      <c r="A58" t="inlineStr">
        <is>
          <t>stock</t>
        </is>
      </c>
      <c r="B58" t="inlineStr">
        <is>
          <t>lambs: 334 remain in the hands of the farmer, worth 1 shilling 2pence each, to be restored at the end of his term.</t>
        </is>
      </c>
      <c r="C58" t="n">
        <v>0.06</v>
      </c>
      <c r="D58" t="n">
        <v>0</v>
      </c>
      <c r="E58" t="n">
        <v>1</v>
      </c>
      <c r="F58" t="n">
        <v>2</v>
      </c>
      <c r="H58" t="n">
        <v>0</v>
      </c>
      <c r="I58" t="n">
        <v>0</v>
      </c>
      <c r="J58" t="n">
        <v>0</v>
      </c>
      <c r="K58" t="n">
        <v>0</v>
      </c>
      <c r="L58" t="n">
        <v>0</v>
      </c>
      <c r="M58" t="n">
        <v>0</v>
      </c>
      <c r="N58" t="n">
        <v>0</v>
      </c>
    </row>
    <row r="59">
      <c r="A59" t="inlineStr">
        <is>
          <t>stock</t>
        </is>
      </c>
      <c r="B59" t="inlineStr">
        <is>
          <t>boars: 1 remains in the hands of the farmer, worth 3 shilling 4pence, to be restored at the end of his term.</t>
        </is>
      </c>
      <c r="C59" t="n">
        <v>0.17</v>
      </c>
      <c r="D59" t="n">
        <v>0</v>
      </c>
      <c r="E59" t="n">
        <v>3</v>
      </c>
      <c r="F59" t="n">
        <v>4</v>
      </c>
      <c r="H59" t="n">
        <v>0</v>
      </c>
      <c r="I59" t="n">
        <v>0</v>
      </c>
      <c r="J59" t="n">
        <v>0</v>
      </c>
      <c r="K59" t="n">
        <v>0</v>
      </c>
      <c r="L59" t="n">
        <v>0</v>
      </c>
      <c r="M59" t="n">
        <v>0</v>
      </c>
      <c r="N59" t="n">
        <v>0</v>
      </c>
    </row>
    <row r="60">
      <c r="A60" t="inlineStr">
        <is>
          <t>stock</t>
        </is>
      </c>
      <c r="B60" t="inlineStr">
        <is>
          <t>sows: 3 remain in the hands of the farmer, worth 3 shilling each, to be restored at the end of his term.</t>
        </is>
      </c>
      <c r="C60" t="n">
        <v>0.15</v>
      </c>
      <c r="D60" t="n">
        <v>0</v>
      </c>
      <c r="E60" t="n">
        <v>3</v>
      </c>
      <c r="F60" t="n">
        <v>0</v>
      </c>
      <c r="H60" t="n">
        <v>0</v>
      </c>
      <c r="I60" t="n">
        <v>0</v>
      </c>
      <c r="J60" t="n">
        <v>0</v>
      </c>
      <c r="K60" t="n">
        <v>0</v>
      </c>
      <c r="L60" t="n">
        <v>0</v>
      </c>
      <c r="M60" t="n">
        <v>0</v>
      </c>
      <c r="N60" t="n">
        <v>0</v>
      </c>
    </row>
    <row r="61">
      <c r="A61" t="inlineStr">
        <is>
          <t>stock</t>
        </is>
      </c>
      <c r="B61" t="inlineStr">
        <is>
          <t>geese: 1 gander and 4 breeding geese remain in the hands of the farmer, to be restored at the end of his term.</t>
        </is>
      </c>
      <c r="C61" t="n">
        <v>0</v>
      </c>
      <c r="D61" t="n">
        <v>0</v>
      </c>
      <c r="E61" t="n">
        <v>0</v>
      </c>
      <c r="F61" t="n">
        <v>0</v>
      </c>
      <c r="H61" t="n">
        <v>0</v>
      </c>
      <c r="I61" t="n">
        <v>0</v>
      </c>
      <c r="J61" t="n">
        <v>0</v>
      </c>
      <c r="K61" t="n">
        <v>0</v>
      </c>
      <c r="L61" t="n">
        <v>0</v>
      </c>
      <c r="M61" t="n">
        <v>0</v>
      </c>
      <c r="N61" t="n">
        <v>0</v>
      </c>
    </row>
    <row r="62">
      <c r="A62" t="inlineStr">
        <is>
          <t>stock</t>
        </is>
      </c>
      <c r="B62" t="inlineStr">
        <is>
          <t>cocks and hens: 1 cock and 5 hens remain in the hands of the farmer, to be restored at the end of his term.</t>
        </is>
      </c>
      <c r="C62" t="n">
        <v>0</v>
      </c>
      <c r="D62" t="n">
        <v>0</v>
      </c>
      <c r="E62" t="n">
        <v>0</v>
      </c>
      <c r="F62" t="n">
        <v>0</v>
      </c>
      <c r="H62" t="n">
        <v>0</v>
      </c>
      <c r="I62" t="n">
        <v>0</v>
      </c>
      <c r="J62" t="n">
        <v>0</v>
      </c>
      <c r="K62" t="n">
        <v>0</v>
      </c>
      <c r="L62" t="n">
        <v>0</v>
      </c>
      <c r="M62" t="n">
        <v>0</v>
      </c>
      <c r="N62" t="n">
        <v>0</v>
      </c>
    </row>
    <row r="63">
      <c r="A63" t="inlineStr">
        <is>
          <t>stock</t>
        </is>
      </c>
      <c r="B63"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63" t="n">
        <v>1.7</v>
      </c>
      <c r="D63" t="n">
        <v>1</v>
      </c>
      <c r="E63" t="n">
        <v>14</v>
      </c>
      <c r="F63" t="n">
        <v>0</v>
      </c>
      <c r="H63" t="n">
        <v>0</v>
      </c>
      <c r="I63" t="n">
        <v>0</v>
      </c>
      <c r="J63" t="n">
        <v>0</v>
      </c>
      <c r="K63" t="n">
        <v>0</v>
      </c>
      <c r="L63" t="n">
        <v>0</v>
      </c>
      <c r="M63" t="n">
        <v>0</v>
      </c>
      <c r="N63" t="n">
        <v>0</v>
      </c>
    </row>
    <row r="64">
      <c r="A64" t="inlineStr">
        <is>
          <t>stock</t>
        </is>
      </c>
      <c r="B64" t="inlineStr">
        <is>
          <t>all this remains in the hands of the farmer, to be restored at the end of his term or the value of the same..</t>
        </is>
      </c>
      <c r="C64" t="n">
        <v>0</v>
      </c>
      <c r="D64" t="n">
        <v>0</v>
      </c>
      <c r="E64" t="n">
        <v>0</v>
      </c>
      <c r="F64" t="n">
        <v>0</v>
      </c>
      <c r="H64" t="n">
        <v>0</v>
      </c>
      <c r="I64" t="n">
        <v>0</v>
      </c>
      <c r="J64" t="n">
        <v>0</v>
      </c>
      <c r="K64" t="n">
        <v>0</v>
      </c>
      <c r="L64" t="n">
        <v>0</v>
      </c>
      <c r="M64" t="n">
        <v>0</v>
      </c>
      <c r="N64"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cols>
    <col width="41.453125" customWidth="1" min="1" max="1"/>
    <col width="8.81640625" customWidth="1" min="2" max="2"/>
    <col width="12.81640625" customWidth="1" min="6" max="6"/>
    <col width="8.81640625" customWidth="1" min="7" max="7"/>
    <col width="12.453125" customWidth="1" min="8" max="8"/>
    <col width="8.81640625" customWidth="1" min="9" max="9"/>
    <col width="8.81640625" customWidth="1" min="10" max="10"/>
  </cols>
  <sheetData>
    <row r="1">
      <c r="A1" s="127" t="inlineStr">
        <is>
          <t>EASTKNOYLE RECEIPTS</t>
        </is>
      </c>
      <c r="B1" s="128" t="n"/>
      <c r="C1" s="128" t="n"/>
      <c r="D1" s="128" t="n"/>
      <c r="E1" s="128" t="n"/>
      <c r="F1" s="128" t="n"/>
      <c r="G1" s="128" t="n"/>
      <c r="H1" s="128" t="n"/>
      <c r="I1" s="128" t="n"/>
    </row>
    <row r="2">
      <c r="A2" s="140" t="inlineStr">
        <is>
          <t>Heading</t>
        </is>
      </c>
      <c r="B2" s="141" t="inlineStr">
        <is>
          <t>£</t>
        </is>
      </c>
      <c r="C2" s="142" t="inlineStr">
        <is>
          <t>s</t>
        </is>
      </c>
      <c r="D2" s="142" t="inlineStr">
        <is>
          <t>d</t>
        </is>
      </c>
      <c r="E2" s="142" t="n"/>
      <c r="F2" s="143" t="inlineStr">
        <is>
          <t>Total in £</t>
        </is>
      </c>
      <c r="G2" s="144" t="inlineStr">
        <is>
          <t>Error</t>
        </is>
      </c>
      <c r="H2" s="145" t="inlineStr">
        <is>
          <t>Notes</t>
        </is>
      </c>
      <c r="I2" s="146" t="inlineStr">
        <is>
          <t>Own notes</t>
        </is>
      </c>
    </row>
    <row r="3">
      <c r="A3" s="137" t="inlineStr">
        <is>
          <t>Arrears</t>
        </is>
      </c>
      <c r="B3" s="128" t="n">
        <v>9</v>
      </c>
      <c r="C3" s="128" t="n">
        <v>19</v>
      </c>
      <c r="D3" s="128" t="n">
        <v>5.5</v>
      </c>
      <c r="E3" s="128" t="n"/>
      <c r="F3" s="128" t="n">
        <v>9.970000000000001</v>
      </c>
      <c r="G3" s="128" t="n"/>
      <c r="H3" s="128" t="inlineStr">
        <is>
          <t>John Bryt', farmer there, answers for £9 19 shilling 5.5pence of arrears from his last account of the preceding year.</t>
        </is>
      </c>
      <c r="I3" s="128" t="n"/>
    </row>
    <row r="4">
      <c r="A4" s="136" t="inlineStr">
        <is>
          <t>Arrears</t>
        </is>
      </c>
      <c r="B4" s="128" t="n">
        <v>9</v>
      </c>
      <c r="C4" s="128" t="n">
        <v>19</v>
      </c>
      <c r="D4" s="128" t="n">
        <v>5.5</v>
      </c>
      <c r="E4" s="128" t="n"/>
      <c r="F4" s="128" t="n">
        <v>9.970000000000001</v>
      </c>
      <c r="G4" s="128" t="n"/>
      <c r="H4" s="128" t="inlineStr">
        <is>
          <t>Total, £9 19 shilling 5.5pence.</t>
        </is>
      </c>
      <c r="I4" s="128" t="n"/>
    </row>
    <row r="5">
      <c r="A5" s="138" t="inlineStr">
        <is>
          <t>Arrears total</t>
        </is>
      </c>
      <c r="B5" s="139" t="n"/>
      <c r="C5" s="139" t="n"/>
      <c r="D5" s="139" t="n"/>
      <c r="E5" s="139" t="n"/>
      <c r="F5" s="139" t="n">
        <v>9.970000000000001</v>
      </c>
      <c r="G5" s="139" t="n">
        <v>0</v>
      </c>
      <c r="H5" s="139" t="inlineStr">
        <is>
          <t>Total</t>
        </is>
      </c>
      <c r="I5" s="139" t="n"/>
    </row>
    <row r="6">
      <c r="A6" s="136" t="n"/>
      <c r="B6" s="128" t="n"/>
      <c r="C6" s="128" t="n"/>
      <c r="D6" s="128" t="n"/>
      <c r="E6" s="128" t="n"/>
      <c r="F6" s="128" t="n"/>
      <c r="G6" s="128" t="n"/>
      <c r="H6" s="128" t="n"/>
      <c r="I6" s="128" t="n"/>
    </row>
    <row r="7">
      <c r="A7" s="137" t="inlineStr">
        <is>
          <t>Rents</t>
        </is>
      </c>
      <c r="B7" s="128" t="n">
        <v>0</v>
      </c>
      <c r="C7" s="128" t="n">
        <v>0</v>
      </c>
      <c r="D7" s="128" t="n">
        <v>0</v>
      </c>
      <c r="E7" s="128" t="n"/>
      <c r="F7" s="128" t="n">
        <v>0</v>
      </c>
      <c r="G7" s="128" t="n"/>
      <c r="H7" s="128" t="inlineStr">
        <is>
          <t>Nothing for rents or from the issues of the land here because they pertain to the farmer, the full total of which is made clear in the first year of the translation of the lord and in the preceding pipe rolls..</t>
        </is>
      </c>
      <c r="I7" s="128" t="n"/>
    </row>
    <row r="8">
      <c r="A8" s="138" t="inlineStr">
        <is>
          <t>Rents total</t>
        </is>
      </c>
      <c r="B8" s="139" t="n"/>
      <c r="C8" s="139" t="n"/>
      <c r="D8" s="139" t="n"/>
      <c r="E8" s="139" t="n"/>
      <c r="F8" s="139" t="n">
        <v>0</v>
      </c>
      <c r="G8" s="139" t="n">
        <v>0</v>
      </c>
      <c r="H8" s="139" t="inlineStr">
        <is>
          <t>Total</t>
        </is>
      </c>
      <c r="I8" s="139" t="n"/>
    </row>
    <row r="9">
      <c r="A9" s="136" t="n"/>
      <c r="B9" s="128" t="n"/>
      <c r="C9" s="128" t="n"/>
      <c r="D9" s="128" t="n"/>
      <c r="E9" s="128" t="n"/>
      <c r="F9" s="128" t="n"/>
      <c r="G9" s="128" t="n"/>
      <c r="H9" s="128" t="n"/>
      <c r="I9" s="128" t="n"/>
    </row>
    <row r="10">
      <c r="A10" s="137" t="inlineStr">
        <is>
          <t>Issues of the manor</t>
        </is>
      </c>
      <c r="B10" s="128" t="n">
        <v>0</v>
      </c>
      <c r="C10" s="128" t="n">
        <v>0</v>
      </c>
      <c r="D10" s="128" t="n">
        <v>0</v>
      </c>
      <c r="E10" s="128" t="n"/>
      <c r="F10" s="128" t="n">
        <v>0</v>
      </c>
      <c r="G10" s="128" t="n"/>
      <c r="H10" s="128" t="inlineStr">
        <is>
          <t>Nothing from the sale of thorns this year.</t>
        </is>
      </c>
      <c r="I10" s="128" t="n"/>
    </row>
    <row r="11">
      <c r="A11" s="138" t="inlineStr">
        <is>
          <t>Issues of the manor total</t>
        </is>
      </c>
      <c r="B11" s="139" t="n"/>
      <c r="C11" s="139" t="n"/>
      <c r="D11" s="139" t="n"/>
      <c r="E11" s="139" t="n"/>
      <c r="F11" s="139" t="n">
        <v>0</v>
      </c>
      <c r="G11" s="139" t="n">
        <v>0</v>
      </c>
      <c r="H11" s="139" t="inlineStr">
        <is>
          <t>Total</t>
        </is>
      </c>
      <c r="I11" s="139" t="n"/>
    </row>
    <row r="12">
      <c r="A12" s="136" t="n"/>
      <c r="B12" s="128" t="n"/>
      <c r="C12" s="128" t="n"/>
      <c r="D12" s="128" t="n"/>
      <c r="E12" s="128" t="n"/>
      <c r="F12" s="128" t="n"/>
      <c r="G12" s="128" t="n"/>
      <c r="H12" s="128" t="n"/>
      <c r="I12" s="128" t="n"/>
    </row>
    <row r="13">
      <c r="A13" s="137" t="inlineStr">
        <is>
          <t>Sale of corn</t>
        </is>
      </c>
      <c r="B13" s="128" t="n">
        <v>0</v>
      </c>
      <c r="C13" s="128" t="n">
        <v>1</v>
      </c>
      <c r="D13" s="128" t="n">
        <v>10.5</v>
      </c>
      <c r="E13" s="128" t="n"/>
      <c r="F13" s="128" t="n">
        <v>0.09</v>
      </c>
      <c r="G13" s="128" t="n"/>
      <c r="H13" s="128" t="inlineStr">
        <is>
          <t>And for 1 shilling 10.5pence from 4 bushels' of oats sold, at 5pence a bushels.</t>
        </is>
      </c>
      <c r="I13" s="128" t="n"/>
    </row>
    <row r="14">
      <c r="A14" s="136" t="inlineStr">
        <is>
          <t>Sale of corn</t>
        </is>
      </c>
      <c r="B14" s="128" t="n">
        <v>0</v>
      </c>
      <c r="C14" s="128" t="n">
        <v>1</v>
      </c>
      <c r="D14" s="128" t="n">
        <v>10.5</v>
      </c>
      <c r="E14" s="128" t="n"/>
      <c r="F14" s="128" t="n">
        <v>0.09</v>
      </c>
      <c r="G14" s="128" t="n"/>
      <c r="H14" s="128" t="inlineStr">
        <is>
          <t>Total, 1 shilling 10.5pence.</t>
        </is>
      </c>
      <c r="I14" s="128" t="n"/>
    </row>
    <row r="15">
      <c r="A15" s="138" t="inlineStr">
        <is>
          <t>Sale of corn total</t>
        </is>
      </c>
      <c r="B15" s="139" t="n"/>
      <c r="C15" s="139" t="n"/>
      <c r="D15" s="139" t="n"/>
      <c r="E15" s="139" t="n"/>
      <c r="F15" s="139" t="n">
        <v>0.09</v>
      </c>
      <c r="G15" s="139" t="n">
        <v>0</v>
      </c>
      <c r="H15" s="139" t="inlineStr">
        <is>
          <t>Total</t>
        </is>
      </c>
      <c r="I15" s="139" t="n"/>
    </row>
    <row r="16">
      <c r="A16" s="136" t="n"/>
      <c r="B16" s="128" t="n"/>
      <c r="C16" s="128" t="n"/>
      <c r="D16" s="128" t="n"/>
      <c r="E16" s="128" t="n"/>
      <c r="F16" s="128" t="n"/>
      <c r="G16" s="128" t="n"/>
      <c r="H16" s="128" t="n"/>
      <c r="I16" s="128" t="n"/>
    </row>
    <row r="17">
      <c r="A17" s="137" t="inlineStr">
        <is>
          <t>Perquisites of court</t>
        </is>
      </c>
      <c r="B17" s="128" t="n">
        <v>0</v>
      </c>
      <c r="C17" s="128" t="n">
        <v>4</v>
      </c>
      <c r="D17" s="128" t="n">
        <v>10</v>
      </c>
      <c r="E17" s="128" t="n"/>
      <c r="F17" s="128" t="n">
        <v>0.24</v>
      </c>
      <c r="G17" s="128" t="n"/>
      <c r="H17" s="128" t="inlineStr">
        <is>
          <t>And for 4 shilling 10pence from the perquisites of the tourn of Martinmas.</t>
        </is>
      </c>
      <c r="I17" s="128" t="n"/>
    </row>
    <row r="18">
      <c r="A18" s="136" t="inlineStr">
        <is>
          <t>Perquisites of court</t>
        </is>
      </c>
      <c r="B18" s="128" t="n">
        <v>0</v>
      </c>
      <c r="C18" s="128" t="n">
        <v>6</v>
      </c>
      <c r="D18" s="128" t="n">
        <v>1</v>
      </c>
      <c r="E18" s="128" t="n"/>
      <c r="F18" s="128" t="n">
        <v>0.3</v>
      </c>
      <c r="G18" s="128" t="n"/>
      <c r="H18" s="128" t="inlineStr">
        <is>
          <t>6 shilling 1pence from the perquisites of the courts held before the tourn of Hockday, from the amercements pertaining to the tourn.</t>
        </is>
      </c>
      <c r="I18" s="128" t="n"/>
    </row>
    <row r="19">
      <c r="A19" s="136" t="inlineStr">
        <is>
          <t>Perquisites of court</t>
        </is>
      </c>
      <c r="B19" s="128" t="n">
        <v>0</v>
      </c>
      <c r="C19" s="128" t="n">
        <v>2</v>
      </c>
      <c r="D19" s="128" t="n">
        <v>11</v>
      </c>
      <c r="E19" s="128" t="n"/>
      <c r="F19" s="128" t="n">
        <v>0.15</v>
      </c>
      <c r="G19" s="128" t="n"/>
      <c r="H19" s="128" t="inlineStr">
        <is>
          <t>2 shilling 11pence from the perquisites of the tourn of Hockday.</t>
        </is>
      </c>
      <c r="I19" s="128" t="n"/>
    </row>
    <row r="20">
      <c r="A20" s="136" t="inlineStr">
        <is>
          <t>Perquisites of court</t>
        </is>
      </c>
      <c r="B20" s="128" t="n">
        <v>0</v>
      </c>
      <c r="C20" s="128" t="n">
        <v>3</v>
      </c>
      <c r="D20" s="128" t="n">
        <v>9</v>
      </c>
      <c r="E20" s="128" t="n"/>
      <c r="F20" s="128" t="n">
        <v>0.19</v>
      </c>
      <c r="G20" s="128" t="n"/>
      <c r="H20" s="128" t="inlineStr">
        <is>
          <t>3 shilling 9pence from the perquisites of the courts held after the tourn of Hockday.</t>
        </is>
      </c>
      <c r="I20" s="128" t="n"/>
    </row>
    <row r="21">
      <c r="A21" s="138" t="inlineStr">
        <is>
          <t>Perquisites of court total</t>
        </is>
      </c>
      <c r="B21" s="139" t="n">
        <v>0</v>
      </c>
      <c r="C21" s="139" t="n">
        <v>17</v>
      </c>
      <c r="D21" s="139" t="n">
        <v>7</v>
      </c>
      <c r="E21" s="139" t="n"/>
      <c r="F21" s="139" t="n">
        <v>0.88</v>
      </c>
      <c r="G21" s="139" t="n">
        <v>0.6899999999999999</v>
      </c>
      <c r="H21" s="139" t="inlineStr">
        <is>
          <t>Total, 17 shilling 7pence.</t>
        </is>
      </c>
      <c r="I21" s="139" t="n"/>
    </row>
    <row r="22">
      <c r="A22" s="38" t="inlineStr">
        <is>
          <t>Total of all receipts recorded in accounts (calculated here)</t>
        </is>
      </c>
      <c r="F22">
        <f>SUMIF(A1:A21,"* total",F1:F21)-SUMIF(A1:A21,"Arrears total",F1:F21)</f>
        <v/>
      </c>
    </row>
    <row r="23">
      <c r="A23" s="38" t="inlineStr">
        <is>
          <t>Total of all receipts (calculated here) incl arrears</t>
        </is>
      </c>
      <c r="F23">
        <f>F22+SUMIF(A1:A21,"Arrears total",F1:F21)</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selection activeCell="A1" sqref="A1"/>
    </sheetView>
  </sheetViews>
  <sheetFormatPr baseColWidth="8" defaultRowHeight="15"/>
  <sheetData>
    <row r="1">
      <c r="A1" t="inlineStr">
        <is>
          <t>Heading</t>
        </is>
      </c>
      <c r="B1" t="inlineStr">
        <is>
          <t>Sentence</t>
        </is>
      </c>
      <c r="C1" t="inlineStr">
        <is>
          <t>Quarters 1</t>
        </is>
      </c>
      <c r="D1" t="inlineStr">
        <is>
          <t>Bushels 1</t>
        </is>
      </c>
      <c r="E1" t="inlineStr">
        <is>
          <t>stock</t>
        </is>
      </c>
      <c r="F1" t="inlineStr">
        <is>
          <t>inherited stock</t>
        </is>
      </c>
      <c r="G1" t="inlineStr">
        <is>
          <t>added</t>
        </is>
      </c>
      <c r="H1" t="inlineStr">
        <is>
          <t>murrain</t>
        </is>
      </c>
      <c r="I1" t="inlineStr">
        <is>
          <t>sold</t>
        </is>
      </c>
    </row>
    <row r="2">
      <c r="A2" t="inlineStr">
        <is>
          <t>Oats</t>
        </is>
      </c>
      <c r="B2" t="inlineStr">
        <is>
          <t>Total</t>
        </is>
      </c>
      <c r="C2" t="n">
        <v>0</v>
      </c>
      <c r="D2" t="n">
        <v>0</v>
      </c>
    </row>
    <row r="3">
      <c r="A3" t="inlineStr">
        <is>
          <t>Stock</t>
        </is>
      </c>
      <c r="B3" t="inlineStr">
        <is>
          <t>Horses: 3 remain in hand, worth 10 shilling each, to be restored at the end of his term..</t>
        </is>
      </c>
      <c r="C3" t="n">
        <v>0</v>
      </c>
      <c r="D3" t="n">
        <v>0</v>
      </c>
      <c r="F3" t="inlineStr">
        <is>
          <t>3</t>
        </is>
      </c>
    </row>
    <row r="4">
      <c r="A4" t="inlineStr">
        <is>
          <t>Stock</t>
        </is>
      </c>
      <c r="B4" t="inlineStr">
        <is>
          <t>Yearling strays: 6 colts, 1 ewe and 2 hoggs over a year old from strays this year.</t>
        </is>
      </c>
      <c r="C4" t="n">
        <v>0</v>
      </c>
      <c r="D4" t="n">
        <v>0</v>
      </c>
    </row>
    <row r="5">
      <c r="A5" t="inlineStr">
        <is>
          <t>Stock</t>
        </is>
      </c>
      <c r="B5" t="inlineStr">
        <is>
          <t>all sold within.</t>
        </is>
      </c>
      <c r="C5" t="n">
        <v>0</v>
      </c>
      <c r="D5" t="n">
        <v>0</v>
      </c>
    </row>
    <row r="6">
      <c r="A6" t="inlineStr">
        <is>
          <t>Stock</t>
        </is>
      </c>
      <c r="B6" t="inlineStr">
        <is>
          <t>none remain.</t>
        </is>
      </c>
      <c r="C6" t="n">
        <v>0</v>
      </c>
      <c r="D6" t="n">
        <v>0</v>
      </c>
    </row>
    <row r="7">
      <c r="A7" t="inlineStr">
        <is>
          <t>Stock</t>
        </is>
      </c>
      <c r="B7" t="inlineStr">
        <is>
          <t>Oxen: 26 remain in the hands of the farmer, worth 13 shilling 4pence each, to be restored at the end of his term.</t>
        </is>
      </c>
      <c r="C7" t="n">
        <v>0</v>
      </c>
      <c r="D7" t="n">
        <v>0</v>
      </c>
      <c r="E7" t="inlineStr">
        <is>
          <t>Oxen</t>
        </is>
      </c>
      <c r="F7" t="inlineStr">
        <is>
          <t>26</t>
        </is>
      </c>
    </row>
    <row r="8">
      <c r="A8" t="inlineStr">
        <is>
          <t>Stock</t>
        </is>
      </c>
      <c r="B8" t="inlineStr">
        <is>
          <t>Bullocks: 1 remains in the hands of the farmer, worth 6 shilling, to be restored at the end of his term.</t>
        </is>
      </c>
      <c r="C8" t="n">
        <v>0</v>
      </c>
      <c r="D8" t="n">
        <v>0</v>
      </c>
      <c r="E8" t="inlineStr">
        <is>
          <t>Bullocks</t>
        </is>
      </c>
    </row>
    <row r="9">
      <c r="A9" t="inlineStr">
        <is>
          <t>Stock</t>
        </is>
      </c>
      <c r="B9" t="inlineStr">
        <is>
          <t>Wethers: 464 remain.</t>
        </is>
      </c>
      <c r="C9" t="n">
        <v>0</v>
      </c>
      <c r="D9" t="n">
        <v>0</v>
      </c>
      <c r="E9" t="inlineStr">
        <is>
          <t>Wethers</t>
        </is>
      </c>
      <c r="F9" t="inlineStr">
        <is>
          <t>464</t>
        </is>
      </c>
    </row>
    <row r="10">
      <c r="A10" t="inlineStr">
        <is>
          <t>Stock</t>
        </is>
      </c>
      <c r="B10" t="inlineStr">
        <is>
          <t>4541 remain in the hands of the farmer, worth 1 shilling 10pence each, to be restored at the end of his term.</t>
        </is>
      </c>
      <c r="C10" t="n">
        <v>0</v>
      </c>
      <c r="D10" t="n">
        <v>0</v>
      </c>
      <c r="E10" t="inlineStr">
        <is>
          <t>Wethers</t>
        </is>
      </c>
    </row>
    <row r="11">
      <c r="A11" t="inlineStr">
        <is>
          <t>Stock</t>
        </is>
      </c>
      <c r="B11" t="inlineStr">
        <is>
          <t>Rams: 24 remain in the hands of the farmer, worth 1 shilling 6pence each, to be restored at the end of his term.</t>
        </is>
      </c>
      <c r="C11" t="n">
        <v>0</v>
      </c>
      <c r="D11" t="n">
        <v>0</v>
      </c>
      <c r="E11" t="inlineStr">
        <is>
          <t>Rams</t>
        </is>
      </c>
      <c r="F11" t="inlineStr">
        <is>
          <t>24</t>
        </is>
      </c>
    </row>
    <row r="12">
      <c r="A12" t="inlineStr">
        <is>
          <t>Stock</t>
        </is>
      </c>
      <c r="B12" t="inlineStr">
        <is>
          <t>Ewes: 434 remain in the hands of the farmer, worth 1 shilling 6pence each, to be restored at the end of his term.</t>
        </is>
      </c>
      <c r="C12" t="n">
        <v>0</v>
      </c>
      <c r="D12" t="n">
        <v>0</v>
      </c>
      <c r="E12" t="inlineStr">
        <is>
          <t>Ewes</t>
        </is>
      </c>
      <c r="F12" t="inlineStr">
        <is>
          <t>434</t>
        </is>
      </c>
    </row>
    <row r="13">
      <c r="A13" t="inlineStr">
        <is>
          <t>Stock</t>
        </is>
      </c>
      <c r="B13" t="inlineStr">
        <is>
          <t>Lambs: 334 remain in the hands of the farmer, worth 1 shilling 2pence each, to be restored at the end of his term.</t>
        </is>
      </c>
      <c r="C13" t="n">
        <v>0</v>
      </c>
      <c r="D13" t="n">
        <v>0</v>
      </c>
      <c r="E13" t="inlineStr">
        <is>
          <t>Lambs</t>
        </is>
      </c>
      <c r="F13" t="inlineStr">
        <is>
          <t>334</t>
        </is>
      </c>
    </row>
    <row r="14">
      <c r="A14" t="inlineStr">
        <is>
          <t>Stock</t>
        </is>
      </c>
      <c r="B14" t="inlineStr">
        <is>
          <t>Boars: 1 remains in the hands of the farmer, worth 3 shilling 4pence, to be restored at the end of his term.</t>
        </is>
      </c>
      <c r="C14" t="n">
        <v>0</v>
      </c>
      <c r="D14" t="n">
        <v>0</v>
      </c>
      <c r="E14" t="inlineStr">
        <is>
          <t>Boars</t>
        </is>
      </c>
    </row>
    <row r="15">
      <c r="A15" t="inlineStr">
        <is>
          <t>Stock</t>
        </is>
      </c>
      <c r="B15" t="inlineStr">
        <is>
          <t>Sows: 3 remain in the hands of the farmer, worth 3 shilling each, to be restored at the end of his term.</t>
        </is>
      </c>
      <c r="C15" t="n">
        <v>0</v>
      </c>
      <c r="D15" t="n">
        <v>0</v>
      </c>
      <c r="E15" t="inlineStr">
        <is>
          <t>Sows</t>
        </is>
      </c>
      <c r="F15" t="inlineStr">
        <is>
          <t>3</t>
        </is>
      </c>
    </row>
    <row r="16">
      <c r="A16" t="inlineStr">
        <is>
          <t>Stock</t>
        </is>
      </c>
      <c r="B16" t="inlineStr">
        <is>
          <t>Geese: 1 gander and 4 breeding geese remain in the hands of the farmer, to be restored at the end of his term.</t>
        </is>
      </c>
      <c r="C16" t="n">
        <v>0</v>
      </c>
      <c r="D16" t="n">
        <v>0</v>
      </c>
      <c r="E16" t="inlineStr">
        <is>
          <t>Poultry stock</t>
        </is>
      </c>
      <c r="F16" t="inlineStr">
        <is>
          <t>1</t>
        </is>
      </c>
    </row>
    <row r="17">
      <c r="A17" t="inlineStr">
        <is>
          <t>Stock</t>
        </is>
      </c>
      <c r="B17" t="inlineStr">
        <is>
          <t>Cocks and hens: 1 cock and 5 hens remain in the hands of the farmer, to be restored at the end of his term.</t>
        </is>
      </c>
      <c r="C17" t="n">
        <v>0</v>
      </c>
      <c r="D17" t="n">
        <v>0</v>
      </c>
      <c r="E17" t="inlineStr">
        <is>
          <t>Poultry stock</t>
        </is>
      </c>
    </row>
    <row r="18">
      <c r="A18" t="inlineStr">
        <is>
          <t>Stock</t>
        </is>
      </c>
      <c r="B18" t="inlineStr">
        <is>
          <t>Utensils: 4 ploughs, worth 2 shilling 8pence, 4 pairs of iron tyres wighing 68 lb, 12 chains, 12 crooks, 12 staples and 12 rings weighing 220 lb, 12 yokes, worth 1 shilling 4pence, 3 harrows with iron teeth, worth 6 shilling, 1 wain with iron tyres with a frame, 2 rungs (exrong’) and other iron harness for the frame, 1 dung-pot (dongpot) and 1 rope, worth in all £1 14 shilling, 1 cart with iron tyres with a frame and cart-rail, 2 iron rungs (rong’), 2 linch-pins and 2 hurters, 1 dung-pot, 1 cart-rope, 1 cart-saddle, 1 harness for the cart-shafts (thilarneis), 4 collars, 3 pairs of traces, worth in £1 8 shilling 8pence, 2 worn out (debil’) ladders, 1 brass pot of 3 gallons, worth 2 shilling 6pence, 1 brass pan of 10 gallons, worth 5 shilling, 1 tripod, worth 1 shilling, 1 bucket hooped with iron by 1 cottar (coterell’), worth 8pence, 1 bucket to put grease in, also 1 vat and 7 moulds for making cheese and 9 stoups not valued, 1 winnowing-fan, worth 8pence, 2 sacks, worth 1 shilling, 1 iron bushel measure, worth 8pence, 3 posts (ypperis), worth 2 shilling, 2 pails and 4 tables for putting the cheese on, 2 fixed tables in the hall, each of 3 pieces, 4 tables and 10 trestles and 10 benches in 2 chambers remain.</t>
        </is>
      </c>
      <c r="C18" t="n">
        <v>0</v>
      </c>
      <c r="D18" t="n">
        <v>0</v>
      </c>
      <c r="E18" t="inlineStr">
        <is>
          <t>Utensils</t>
        </is>
      </c>
      <c r="F18" t="inlineStr">
        <is>
          <t>4</t>
        </is>
      </c>
    </row>
    <row r="19">
      <c r="A19" t="inlineStr">
        <is>
          <t>Stock</t>
        </is>
      </c>
      <c r="B19" t="inlineStr">
        <is>
          <t>All this remains in the hands of the farmer, to be restored at the end of his term or the value of the same..</t>
        </is>
      </c>
      <c r="C19" t="n">
        <v>0</v>
      </c>
      <c r="D19" t="n">
        <v>0</v>
      </c>
      <c r="E19" t="inlineStr">
        <is>
          <t>Utensils</t>
        </is>
      </c>
    </row>
    <row r="20">
      <c r="A20" t="inlineStr">
        <is>
          <t>Stock</t>
        </is>
      </c>
      <c r="B20" t="inlineStr">
        <is>
          <t>Total</t>
        </is>
      </c>
      <c r="C20" t="n">
        <v>0</v>
      </c>
      <c r="D20" t="n">
        <v>0</v>
      </c>
      <c r="E20" t="inlineStr">
        <is>
          <t>Utensils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E15"/>
  <sheetViews>
    <sheetView workbookViewId="0">
      <selection activeCell="A1" sqref="A1"/>
    </sheetView>
  </sheetViews>
  <sheetFormatPr baseColWidth="8" defaultRowHeight="15"/>
  <sheetData>
    <row r="1">
      <c r="A1" t="inlineStr">
        <is>
          <t>Heading</t>
        </is>
      </c>
      <c r="B1" t="inlineStr">
        <is>
          <t>Sentence</t>
        </is>
      </c>
      <c r="C1" t="inlineStr">
        <is>
          <t>Quarters 1_x</t>
        </is>
      </c>
      <c r="D1" t="inlineStr">
        <is>
          <t>Bushels 1_x</t>
        </is>
      </c>
      <c r="E1" t="inlineStr">
        <is>
          <t>Sown Quarters</t>
        </is>
      </c>
      <c r="F1" t="inlineStr">
        <is>
          <t>Sown Bushels</t>
        </is>
      </c>
      <c r="G1" t="inlineStr">
        <is>
          <t>Sown Total Quarters</t>
        </is>
      </c>
      <c r="H1" t="inlineStr">
        <is>
          <t>Bought in Quarters</t>
        </is>
      </c>
      <c r="I1" t="inlineStr">
        <is>
          <t>Bought in Bushels</t>
        </is>
      </c>
      <c r="J1" t="inlineStr">
        <is>
          <t>Bought in Total Quarters</t>
        </is>
      </c>
      <c r="K1" t="inlineStr">
        <is>
          <t>Tithe Quarters</t>
        </is>
      </c>
      <c r="L1" t="inlineStr">
        <is>
          <t>Tithe Bushels</t>
        </is>
      </c>
      <c r="M1" t="inlineStr">
        <is>
          <t>Tithe Total Quarters</t>
        </is>
      </c>
      <c r="N1" t="inlineStr">
        <is>
          <t>Manorial servants &amp; livestock Quarters</t>
        </is>
      </c>
      <c r="O1" t="inlineStr">
        <is>
          <t>Manorial servants &amp; livestock Bushels</t>
        </is>
      </c>
      <c r="P1" t="inlineStr">
        <is>
          <t>Manorial servants &amp; livestock Total Quarters</t>
        </is>
      </c>
      <c r="Q1" t="inlineStr">
        <is>
          <t>Sold Quarters</t>
        </is>
      </c>
      <c r="R1" t="inlineStr">
        <is>
          <t>Sold Bushels</t>
        </is>
      </c>
      <c r="S1" t="inlineStr">
        <is>
          <t>Sold Total Quarters</t>
        </is>
      </c>
      <c r="T1" t="inlineStr">
        <is>
          <t>Account Quarters</t>
        </is>
      </c>
      <c r="U1" t="inlineStr">
        <is>
          <t>Account Bushels</t>
        </is>
      </c>
      <c r="V1" t="inlineStr">
        <is>
          <t>Account Total Quarters</t>
        </is>
      </c>
      <c r="W1" t="inlineStr">
        <is>
          <t>bought only</t>
        </is>
      </c>
      <c r="X1" t="inlineStr">
        <is>
          <t>Total Quarters Except 1</t>
        </is>
      </c>
      <c r="Y1" t="inlineStr">
        <is>
          <t>Total Bushels Except 1</t>
        </is>
      </c>
      <c r="Z1" t="inlineStr">
        <is>
          <t>Total Corn Cross-Check</t>
        </is>
      </c>
      <c r="AA1" t="inlineStr">
        <is>
          <t>Total Corn Manorial Account</t>
        </is>
      </c>
      <c r="AB1" t="inlineStr">
        <is>
          <t>Corn Quantity Error</t>
        </is>
      </c>
      <c r="AC1" t="inlineStr">
        <is>
          <t>Quarters 1_y</t>
        </is>
      </c>
      <c r="AD1" t="inlineStr">
        <is>
          <t>Bushels 1_y</t>
        </is>
      </c>
      <c r="AE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AE2" t="n">
        <v>0</v>
      </c>
    </row>
    <row r="3">
      <c r="A3" t="inlineStr">
        <is>
          <t>wheat</t>
        </is>
      </c>
      <c r="B3" t="inlineStr">
        <is>
          <t>john bryt, farmer there, answers for 20 quarters of wheat.</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20</v>
      </c>
      <c r="Y3" t="n">
        <v>0</v>
      </c>
      <c r="Z3" t="n">
        <v>20</v>
      </c>
      <c r="AA3" t="n">
        <v>20</v>
      </c>
      <c r="AB3" t="n">
        <v>0</v>
      </c>
      <c r="AC3" t="n">
        <v>20</v>
      </c>
      <c r="AD3" t="n">
        <v>0</v>
      </c>
      <c r="AE3" t="n">
        <v>0</v>
      </c>
    </row>
    <row r="4">
      <c r="A4" t="inlineStr">
        <is>
          <t>wheat</t>
        </is>
      </c>
      <c r="B4" t="inlineStr">
        <is>
          <t>20 quarters remain in the hands of the  fanner, to be restored at the end of his term.</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20</v>
      </c>
      <c r="Y4" t="n">
        <v>0</v>
      </c>
      <c r="Z4" t="n">
        <v>20</v>
      </c>
      <c r="AA4" t="n">
        <v>20</v>
      </c>
      <c r="AB4" t="n">
        <v>0</v>
      </c>
      <c r="AC4" t="n">
        <v>20</v>
      </c>
      <c r="AD4" t="n">
        <v>0</v>
      </c>
      <c r="AE4" t="n">
        <v>0</v>
      </c>
    </row>
    <row r="5">
      <c r="A5" t="inlineStr">
        <is>
          <t>wheat</t>
        </is>
      </c>
      <c r="B5" t="inlineStr">
        <is>
          <t>total</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AE5" t="n">
        <v>0</v>
      </c>
    </row>
    <row r="6">
      <c r="A6" t="inlineStr">
        <is>
          <t>barley</t>
        </is>
      </c>
      <c r="B6" t="inlineStr">
        <is>
          <t>and for 20 quarters of barley remaining in the hands of the farmer, to be restored at the end of his term.</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20</v>
      </c>
      <c r="Y6" t="n">
        <v>0</v>
      </c>
      <c r="Z6" t="n">
        <v>20</v>
      </c>
      <c r="AA6" t="n">
        <v>20</v>
      </c>
      <c r="AB6" t="n">
        <v>0</v>
      </c>
      <c r="AC6" t="n">
        <v>20</v>
      </c>
      <c r="AD6" t="n">
        <v>0</v>
      </c>
      <c r="AE6" t="n">
        <v>0</v>
      </c>
    </row>
    <row r="7">
      <c r="A7" t="inlineStr">
        <is>
          <t>barley</t>
        </is>
      </c>
      <c r="B7" t="inlineStr">
        <is>
          <t>total</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AE7" t="n">
        <v>0</v>
      </c>
    </row>
    <row r="8">
      <c r="A8" t="inlineStr">
        <is>
          <t>oats</t>
        </is>
      </c>
      <c r="B8" t="inlineStr">
        <is>
          <t>and for 1 qr of oats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AE8" t="n">
        <v>0</v>
      </c>
    </row>
    <row r="9">
      <c r="A9" t="inlineStr">
        <is>
          <t>oats</t>
        </is>
      </c>
      <c r="B9" t="inlineStr">
        <is>
          <t>4 bushels from the farmer of upton.</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4</v>
      </c>
      <c r="Z9" t="n">
        <v>0.5</v>
      </c>
      <c r="AA9" t="n">
        <v>0.5</v>
      </c>
      <c r="AB9" t="n">
        <v>0</v>
      </c>
      <c r="AC9" t="n">
        <v>0</v>
      </c>
      <c r="AD9" t="n">
        <v>4</v>
      </c>
      <c r="AE9" t="n">
        <v>0</v>
      </c>
    </row>
    <row r="10">
      <c r="A10" t="inlineStr">
        <is>
          <t>oats</t>
        </is>
      </c>
      <c r="B10" t="inlineStr">
        <is>
          <t>4 bushels from the fanner of bishops fonthill..</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n">
        <v>0</v>
      </c>
    </row>
    <row r="11">
      <c r="A11" t="inlineStr">
        <is>
          <t>oats</t>
        </is>
      </c>
      <c r="B11" t="inlineStr">
        <is>
          <t>total, 2 quarters.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2</v>
      </c>
      <c r="Y11" t="n">
        <v>0</v>
      </c>
      <c r="Z11" t="n">
        <v>2</v>
      </c>
      <c r="AA11" t="n">
        <v>2</v>
      </c>
      <c r="AB11" t="n">
        <v>0</v>
      </c>
      <c r="AC11" t="n">
        <v>2</v>
      </c>
      <c r="AD11" t="n">
        <v>0</v>
      </c>
      <c r="AE11" t="n">
        <v>0</v>
      </c>
    </row>
    <row r="12">
      <c r="A12" t="inlineStr">
        <is>
          <t>oats</t>
        </is>
      </c>
      <c r="B12" t="inlineStr">
        <is>
          <t>in fodder of the horses of the steward at the toums of martinmas and hockday, by 2 sealed bills, 1 qr 3.5 bushels.</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AE12" t="n">
        <v>0</v>
      </c>
    </row>
    <row r="13">
      <c r="A13" t="inlineStr">
        <is>
          <t>oats</t>
        </is>
      </c>
      <c r="B13" t="inlineStr">
        <is>
          <t>sold within, 4.5 bushels.</t>
        </is>
      </c>
      <c r="C13" t="n">
        <v>0</v>
      </c>
      <c r="D13" t="n">
        <v>0</v>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4.5</v>
      </c>
      <c r="Z13" t="n">
        <v>0.5600000000000001</v>
      </c>
      <c r="AA13" t="n">
        <v>0.5600000000000001</v>
      </c>
      <c r="AB13" t="n">
        <v>0</v>
      </c>
      <c r="AC13" t="n">
        <v>0</v>
      </c>
      <c r="AD13" t="n">
        <v>4.5</v>
      </c>
      <c r="AE13" t="n">
        <v>0</v>
      </c>
    </row>
    <row r="14">
      <c r="A14" t="inlineStr">
        <is>
          <t>oats</t>
        </is>
      </c>
      <c r="B14" t="inlineStr">
        <is>
          <t>total as before.</t>
        </is>
      </c>
      <c r="C14" t="n">
        <v>0</v>
      </c>
      <c r="D14" t="n">
        <v>0</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E14" t="n">
        <v>0</v>
      </c>
    </row>
    <row r="15">
      <c r="A15" t="inlineStr">
        <is>
          <t>oats</t>
        </is>
      </c>
      <c r="B15" t="inlineStr">
        <is>
          <t>it balances.</t>
        </is>
      </c>
      <c r="C15" t="n">
        <v>0</v>
      </c>
      <c r="D15" t="n">
        <v>0</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E15" t="n">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t="inlineStr">
        <is>
          <t>Gross Output</t>
        </is>
      </c>
      <c r="B1" t="inlineStr">
        <is>
          <t>Bought Only Aggregated</t>
        </is>
      </c>
      <c r="C1" t="inlineStr">
        <is>
          <t>Account Quarters</t>
        </is>
      </c>
      <c r="D1" t="inlineStr">
        <is>
          <t>Account Bushels</t>
        </is>
      </c>
      <c r="E1" t="inlineStr">
        <is>
          <t>Account Total Quarters</t>
        </is>
      </c>
      <c r="F1" t="inlineStr">
        <is>
          <t>Bought in Quarters</t>
        </is>
      </c>
      <c r="G1" t="inlineStr">
        <is>
          <t>Bought in Bushels</t>
        </is>
      </c>
      <c r="H1" t="inlineStr">
        <is>
          <t>Total Bought Quarters</t>
        </is>
      </c>
      <c r="I1" t="inlineStr">
        <is>
          <t>Sold Quarters</t>
        </is>
      </c>
      <c r="J1" t="inlineStr">
        <is>
          <t>Sold Bushels</t>
        </is>
      </c>
      <c r="K1" t="inlineStr">
        <is>
          <t>Sold Total Quarters</t>
        </is>
      </c>
      <c r="L1" t="inlineStr">
        <is>
          <t>Total Corn Quantity</t>
        </is>
      </c>
      <c r="M1" t="inlineStr">
        <is>
          <t>Difference Produced+Bought-Sold</t>
        </is>
      </c>
      <c r="N1" t="inlineStr">
        <is>
          <t>Weighted Average Price per Quarter</t>
        </is>
      </c>
      <c r="O1" t="inlineStr">
        <is>
          <t>Non-Weighted Average Price per Quarter</t>
        </is>
      </c>
      <c r="P1" t="inlineStr">
        <is>
          <t>Value of Total Production weighted</t>
        </is>
      </c>
      <c r="Q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row>
    <row r="3">
      <c r="A3" t="inlineStr">
        <is>
          <t>wheat</t>
        </is>
      </c>
      <c r="B3" t="n">
        <v>0</v>
      </c>
      <c r="C3" t="n">
        <v>0</v>
      </c>
      <c r="D3" t="n">
        <v>0</v>
      </c>
      <c r="E3" t="n">
        <v>0</v>
      </c>
      <c r="F3" t="n">
        <v>0</v>
      </c>
      <c r="G3" t="n">
        <v>0</v>
      </c>
      <c r="H3" t="n">
        <v>0</v>
      </c>
      <c r="I3" t="n">
        <v>0</v>
      </c>
      <c r="J3" t="n">
        <v>0</v>
      </c>
      <c r="K3" t="n">
        <v>0</v>
      </c>
      <c r="L3" t="n">
        <v>0</v>
      </c>
      <c r="M3" t="n">
        <v>0</v>
      </c>
    </row>
    <row r="4">
      <c r="A4" t="inlineStr">
        <is>
          <t>barley</t>
        </is>
      </c>
      <c r="B4" t="n">
        <v>0</v>
      </c>
      <c r="C4" t="n">
        <v>0</v>
      </c>
      <c r="D4" t="n">
        <v>0</v>
      </c>
      <c r="E4" t="n">
        <v>0</v>
      </c>
      <c r="F4" t="n">
        <v>0</v>
      </c>
      <c r="G4" t="n">
        <v>0</v>
      </c>
      <c r="H4" t="n">
        <v>0</v>
      </c>
      <c r="I4" t="n">
        <v>0</v>
      </c>
      <c r="J4" t="n">
        <v>0</v>
      </c>
      <c r="K4" t="n">
        <v>0</v>
      </c>
      <c r="L4" t="n">
        <v>0</v>
      </c>
      <c r="M4" t="n">
        <v>0</v>
      </c>
    </row>
    <row r="5">
      <c r="A5" t="inlineStr">
        <is>
          <t>oats</t>
        </is>
      </c>
      <c r="B5" t="n">
        <v>0</v>
      </c>
      <c r="C5" t="n">
        <v>0</v>
      </c>
      <c r="D5" t="n">
        <v>0</v>
      </c>
      <c r="E5" t="n">
        <v>0</v>
      </c>
      <c r="F5" t="n">
        <v>0</v>
      </c>
      <c r="G5" t="n">
        <v>0</v>
      </c>
      <c r="H5" t="n">
        <v>0</v>
      </c>
      <c r="I5" t="n">
        <v>0</v>
      </c>
      <c r="J5" t="n">
        <v>0</v>
      </c>
      <c r="K5" t="n">
        <v>0</v>
      </c>
      <c r="L5" t="n">
        <v>0</v>
      </c>
      <c r="M5" t="n">
        <v>0</v>
      </c>
      <c r="O5" t="n">
        <v>0.18</v>
      </c>
      <c r="Q5" t="n">
        <v>0</v>
      </c>
    </row>
    <row r="6">
      <c r="A6" t="inlineStr">
        <is>
          <t>Mancorn</t>
        </is>
      </c>
      <c r="B6" t="n">
        <v>0</v>
      </c>
      <c r="C6" t="n">
        <v>0</v>
      </c>
      <c r="D6" t="n">
        <v>0</v>
      </c>
      <c r="E6" t="n">
        <v>0</v>
      </c>
      <c r="F6" t="n">
        <v>0</v>
      </c>
      <c r="G6" t="n">
        <v>0</v>
      </c>
      <c r="H6" t="n">
        <v>0</v>
      </c>
      <c r="I6" t="n">
        <v>0</v>
      </c>
      <c r="J6" t="n">
        <v>0</v>
      </c>
      <c r="K6" t="n">
        <v>0</v>
      </c>
      <c r="L6" t="n">
        <v>0</v>
      </c>
      <c r="M6" t="n">
        <v>0</v>
      </c>
    </row>
    <row r="7">
      <c r="A7" t="inlineStr">
        <is>
          <t>Maslin</t>
        </is>
      </c>
      <c r="B7" t="n">
        <v>0</v>
      </c>
      <c r="C7" t="n">
        <v>0</v>
      </c>
      <c r="D7" t="n">
        <v>0</v>
      </c>
      <c r="E7" t="n">
        <v>0</v>
      </c>
      <c r="F7" t="n">
        <v>0</v>
      </c>
      <c r="G7" t="n">
        <v>0</v>
      </c>
      <c r="H7" t="n">
        <v>0</v>
      </c>
      <c r="I7" t="n">
        <v>0</v>
      </c>
      <c r="J7" t="n">
        <v>0</v>
      </c>
      <c r="K7" t="n">
        <v>0</v>
      </c>
      <c r="L7" t="n">
        <v>0</v>
      </c>
      <c r="M7" t="n">
        <v>0</v>
      </c>
    </row>
    <row r="8">
      <c r="A8" t="inlineStr">
        <is>
          <t>First-grade malt</t>
        </is>
      </c>
      <c r="B8" t="n">
        <v>0</v>
      </c>
      <c r="C8" t="n">
        <v>0</v>
      </c>
      <c r="D8" t="n">
        <v>0</v>
      </c>
      <c r="E8" t="n">
        <v>0</v>
      </c>
      <c r="F8" t="n">
        <v>0</v>
      </c>
      <c r="G8" t="n">
        <v>0</v>
      </c>
      <c r="H8" t="n">
        <v>0</v>
      </c>
      <c r="I8" t="n">
        <v>0</v>
      </c>
      <c r="J8" t="n">
        <v>0</v>
      </c>
      <c r="K8" t="n">
        <v>0</v>
      </c>
      <c r="L8" t="n">
        <v>0</v>
      </c>
      <c r="M8" t="n">
        <v>0</v>
      </c>
    </row>
    <row r="9">
      <c r="A9" t="inlineStr">
        <is>
          <t>Second-grade malt</t>
        </is>
      </c>
      <c r="B9" t="n">
        <v>0</v>
      </c>
      <c r="C9" t="n">
        <v>0</v>
      </c>
      <c r="D9" t="n">
        <v>0</v>
      </c>
      <c r="E9" t="n">
        <v>0</v>
      </c>
      <c r="F9" t="n">
        <v>0</v>
      </c>
      <c r="G9" t="n">
        <v>0</v>
      </c>
      <c r="H9" t="n">
        <v>0</v>
      </c>
      <c r="I9" t="n">
        <v>0</v>
      </c>
      <c r="J9" t="n">
        <v>0</v>
      </c>
      <c r="K9" t="n">
        <v>0</v>
      </c>
      <c r="L9" t="n">
        <v>0</v>
      </c>
      <c r="M9" t="n">
        <v>0</v>
      </c>
    </row>
    <row r="10">
      <c r="A10" t="inlineStr">
        <is>
          <t>Peas</t>
        </is>
      </c>
      <c r="B10" t="n">
        <v>0</v>
      </c>
      <c r="C10" t="n">
        <v>0</v>
      </c>
      <c r="D10" t="n">
        <v>0</v>
      </c>
      <c r="E10" t="n">
        <v>0</v>
      </c>
      <c r="F10" t="n">
        <v>0</v>
      </c>
      <c r="G10" t="n">
        <v>0</v>
      </c>
      <c r="H10" t="n">
        <v>0</v>
      </c>
      <c r="I10" t="n">
        <v>0</v>
      </c>
      <c r="J10" t="n">
        <v>0</v>
      </c>
      <c r="K10" t="n">
        <v>0</v>
      </c>
      <c r="L10" t="n">
        <v>0</v>
      </c>
      <c r="M10" t="n">
        <v>0</v>
      </c>
    </row>
    <row r="11">
      <c r="A11" t="inlineStr">
        <is>
          <t>Oatmeal</t>
        </is>
      </c>
      <c r="B11" t="n">
        <v>0</v>
      </c>
      <c r="C11" t="n">
        <v>0</v>
      </c>
      <c r="D11" t="n">
        <v>0</v>
      </c>
      <c r="E11" t="n">
        <v>0</v>
      </c>
      <c r="F11" t="n">
        <v>0</v>
      </c>
      <c r="G11" t="n">
        <v>0</v>
      </c>
      <c r="H11" t="n">
        <v>0</v>
      </c>
      <c r="I11" t="n">
        <v>0</v>
      </c>
      <c r="J11" t="n">
        <v>0</v>
      </c>
      <c r="K11" t="n">
        <v>0</v>
      </c>
      <c r="L11" t="n">
        <v>0</v>
      </c>
      <c r="M11" t="n">
        <v>0</v>
      </c>
    </row>
    <row r="12">
      <c r="A12" t="inlineStr">
        <is>
          <t>Vetches</t>
        </is>
      </c>
      <c r="B12" t="n">
        <v>0</v>
      </c>
      <c r="C12" t="n">
        <v>0</v>
      </c>
      <c r="D12" t="n">
        <v>0</v>
      </c>
      <c r="E12" t="n">
        <v>0</v>
      </c>
      <c r="F12" t="n">
        <v>0</v>
      </c>
      <c r="G12" t="n">
        <v>0</v>
      </c>
      <c r="H12" t="n">
        <v>0</v>
      </c>
      <c r="I12" t="n">
        <v>0</v>
      </c>
      <c r="J12" t="n">
        <v>0</v>
      </c>
      <c r="K12" t="n">
        <v>0</v>
      </c>
      <c r="L12" t="n">
        <v>0</v>
      </c>
      <c r="M12" t="n">
        <v>0</v>
      </c>
    </row>
    <row r="13">
      <c r="A13" t="inlineStr">
        <is>
          <t>Rye</t>
        </is>
      </c>
      <c r="B13" t="n">
        <v>0</v>
      </c>
      <c r="C13" t="n">
        <v>0</v>
      </c>
      <c r="D13" t="n">
        <v>0</v>
      </c>
      <c r="E13" t="n">
        <v>0</v>
      </c>
      <c r="F13" t="n">
        <v>0</v>
      </c>
      <c r="G13" t="n">
        <v>0</v>
      </c>
      <c r="H13" t="n">
        <v>0</v>
      </c>
      <c r="I13" t="n">
        <v>0</v>
      </c>
      <c r="J13" t="n">
        <v>0</v>
      </c>
      <c r="K13" t="n">
        <v>0</v>
      </c>
      <c r="L13" t="n">
        <v>0</v>
      </c>
      <c r="M13" t="n">
        <v>0</v>
      </c>
    </row>
    <row r="14">
      <c r="A14" t="inlineStr">
        <is>
          <t>Dredge</t>
        </is>
      </c>
      <c r="B14" t="n">
        <v>0</v>
      </c>
      <c r="C14" t="n">
        <v>0</v>
      </c>
      <c r="D14" t="n">
        <v>0</v>
      </c>
      <c r="E14" t="n">
        <v>0</v>
      </c>
      <c r="F14" t="n">
        <v>0</v>
      </c>
      <c r="G14" t="n">
        <v>0</v>
      </c>
      <c r="H14" t="n">
        <v>0</v>
      </c>
      <c r="I14" t="n">
        <v>0</v>
      </c>
      <c r="J14" t="n">
        <v>0</v>
      </c>
      <c r="K14" t="n">
        <v>0</v>
      </c>
      <c r="L14" t="n">
        <v>0</v>
      </c>
      <c r="M14" t="n">
        <v>0</v>
      </c>
    </row>
    <row r="15">
      <c r="A15" t="inlineStr">
        <is>
          <t>Malt</t>
        </is>
      </c>
      <c r="B15" t="n">
        <v>0</v>
      </c>
      <c r="C15" t="n">
        <v>0</v>
      </c>
      <c r="D15" t="n">
        <v>0</v>
      </c>
      <c r="E15" t="n">
        <v>0</v>
      </c>
      <c r="F15" t="n">
        <v>0</v>
      </c>
      <c r="G15" t="n">
        <v>0</v>
      </c>
      <c r="H15" t="n">
        <v>0</v>
      </c>
      <c r="I15" t="n">
        <v>0</v>
      </c>
      <c r="J15" t="n">
        <v>0</v>
      </c>
      <c r="K15" t="n">
        <v>0</v>
      </c>
      <c r="L15" t="n">
        <v>0</v>
      </c>
      <c r="M15" t="n">
        <v>0</v>
      </c>
    </row>
    <row r="16">
      <c r="A16" t="inlineStr">
        <is>
          <t>Meal</t>
        </is>
      </c>
      <c r="B16" t="n">
        <v>0</v>
      </c>
      <c r="C16" t="n">
        <v>0</v>
      </c>
      <c r="D16" t="n">
        <v>0</v>
      </c>
      <c r="E16" t="n">
        <v>0</v>
      </c>
      <c r="F16" t="n">
        <v>0</v>
      </c>
      <c r="G16" t="n">
        <v>0</v>
      </c>
      <c r="H16" t="n">
        <v>0</v>
      </c>
      <c r="I16" t="n">
        <v>0</v>
      </c>
      <c r="J16" t="n">
        <v>0</v>
      </c>
      <c r="K16" t="n">
        <v>0</v>
      </c>
      <c r="L16" t="n">
        <v>0</v>
      </c>
      <c r="M16" t="n">
        <v>0</v>
      </c>
    </row>
    <row r="17">
      <c r="A17" t="inlineStr">
        <is>
          <t>Curall</t>
        </is>
      </c>
      <c r="B17" t="n">
        <v>0</v>
      </c>
      <c r="C17" t="n">
        <v>0</v>
      </c>
      <c r="D17" t="n">
        <v>0</v>
      </c>
      <c r="E17" t="n">
        <v>0</v>
      </c>
      <c r="F17" t="n">
        <v>0</v>
      </c>
      <c r="G17" t="n">
        <v>0</v>
      </c>
      <c r="H17" t="n">
        <v>0</v>
      </c>
      <c r="I17" t="n">
        <v>0</v>
      </c>
      <c r="J17" t="n">
        <v>0</v>
      </c>
      <c r="K17" t="n">
        <v>0</v>
      </c>
      <c r="L17" t="n">
        <v>0</v>
      </c>
      <c r="M17"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D3"/>
  <sheetViews>
    <sheetView workbookViewId="0">
      <selection activeCell="A1" sqref="A1"/>
    </sheetView>
  </sheetViews>
  <sheetFormatPr baseColWidth="8" defaultRowHeight="15"/>
  <sheetData>
    <row r="1">
      <c r="A1" t="inlineStr">
        <is>
          <t>Heading</t>
        </is>
      </c>
      <c r="B1" t="inlineStr">
        <is>
          <t>Sentence</t>
        </is>
      </c>
      <c r="C1" t="inlineStr">
        <is>
          <t>Total in Pounds</t>
        </is>
      </c>
      <c r="D1" t="inlineStr">
        <is>
          <t>Pounds</t>
        </is>
      </c>
      <c r="E1" t="inlineStr">
        <is>
          <t>Shillings</t>
        </is>
      </c>
      <c r="F1" t="inlineStr">
        <is>
          <t>Pence</t>
        </is>
      </c>
      <c r="G1" t="inlineStr">
        <is>
          <t>Corn</t>
        </is>
      </c>
      <c r="H1" t="inlineStr">
        <is>
          <t>Total Quarters Except 1</t>
        </is>
      </c>
      <c r="I1" t="inlineStr">
        <is>
          <t>Total Bushels Except 1</t>
        </is>
      </c>
      <c r="J1" t="inlineStr">
        <is>
          <t>Total Corn Cross-Check</t>
        </is>
      </c>
      <c r="K1" t="inlineStr">
        <is>
          <t>Total Corn Manorial Account</t>
        </is>
      </c>
      <c r="L1" t="inlineStr">
        <is>
          <t>Corn Quantity Error</t>
        </is>
      </c>
      <c r="M1" t="inlineStr">
        <is>
          <t>Quarters 0</t>
        </is>
      </c>
      <c r="N1" t="inlineStr">
        <is>
          <t>Bushels 0</t>
        </is>
      </c>
      <c r="O1" t="inlineStr">
        <is>
          <t>shilling a quarter 1</t>
        </is>
      </c>
      <c r="P1" t="inlineStr">
        <is>
          <t>pence a quarter 1</t>
        </is>
      </c>
      <c r="Q1" t="inlineStr">
        <is>
          <t>shilling a quarter 2</t>
        </is>
      </c>
      <c r="R1" t="inlineStr">
        <is>
          <t>pence a quarter 2</t>
        </is>
      </c>
      <c r="S1" t="inlineStr">
        <is>
          <t>shilling a quarter 3</t>
        </is>
      </c>
      <c r="T1" t="inlineStr">
        <is>
          <t>pence a quarter 3</t>
        </is>
      </c>
      <c r="U1" t="inlineStr">
        <is>
          <t>shilling a quarter 4</t>
        </is>
      </c>
      <c r="V1" t="inlineStr">
        <is>
          <t>pence a quarter 4</t>
        </is>
      </c>
      <c r="W1" t="inlineStr">
        <is>
          <t>£ a quarter 1</t>
        </is>
      </c>
      <c r="X1" t="inlineStr">
        <is>
          <t>£ a quarter 2</t>
        </is>
      </c>
      <c r="Y1" t="inlineStr">
        <is>
          <t>£ a quarter 3</t>
        </is>
      </c>
      <c r="Z1" t="inlineStr">
        <is>
          <t>£ a quarter 4</t>
        </is>
      </c>
      <c r="AA1" t="inlineStr">
        <is>
          <t>Quarters Sold</t>
        </is>
      </c>
      <c r="AB1" t="inlineStr">
        <is>
          <t>Weighted Average Price per Quarter</t>
        </is>
      </c>
      <c r="AC1" t="inlineStr">
        <is>
          <t>Non-Weighted Average Price per Quarter</t>
        </is>
      </c>
      <c r="AD1" t="inlineStr">
        <is>
          <t>Corn lowercase</t>
        </is>
      </c>
    </row>
    <row r="2">
      <c r="A2" t="inlineStr">
        <is>
          <t>sale of corn</t>
        </is>
      </c>
      <c r="B2" t="inlineStr">
        <is>
          <t>and for 1 shilling 10.5pence from 4 bushels' of oats sold, at 5pence a bushels.</t>
        </is>
      </c>
      <c r="C2" t="n">
        <v>0.09</v>
      </c>
      <c r="D2" t="n">
        <v>0</v>
      </c>
      <c r="E2" t="n">
        <v>1</v>
      </c>
      <c r="F2" t="n">
        <v>10.5</v>
      </c>
      <c r="G2" t="inlineStr">
        <is>
          <t>oats</t>
        </is>
      </c>
      <c r="H2" t="n">
        <v>0</v>
      </c>
      <c r="I2" t="n">
        <v>4</v>
      </c>
      <c r="J2" t="n">
        <v>0.5</v>
      </c>
      <c r="K2" t="n">
        <v>0.5</v>
      </c>
      <c r="L2" t="n">
        <v>0</v>
      </c>
      <c r="M2" t="n">
        <v>0</v>
      </c>
      <c r="N2" t="n">
        <v>4</v>
      </c>
      <c r="W2" t="n">
        <v>0.18</v>
      </c>
      <c r="AA2" t="n">
        <v>0.5</v>
      </c>
      <c r="AC2" t="n">
        <v>0.18</v>
      </c>
      <c r="AD2" t="inlineStr">
        <is>
          <t>oats</t>
        </is>
      </c>
    </row>
    <row r="3">
      <c r="A3" t="inlineStr">
        <is>
          <t>sale of corn</t>
        </is>
      </c>
      <c r="B3" t="inlineStr">
        <is>
          <t>total, 1 shilling 10.5pence.</t>
        </is>
      </c>
      <c r="C3" t="n">
        <v>0.09</v>
      </c>
      <c r="D3" t="n">
        <v>0</v>
      </c>
      <c r="E3" t="n">
        <v>1</v>
      </c>
      <c r="F3" t="n">
        <v>10.5</v>
      </c>
      <c r="H3" t="n">
        <v>0</v>
      </c>
      <c r="I3" t="n">
        <v>0</v>
      </c>
      <c r="J3" t="n">
        <v>0</v>
      </c>
      <c r="K3" t="n">
        <v>0</v>
      </c>
      <c r="L3" t="n">
        <v>0</v>
      </c>
      <c r="M3" t="n">
        <v>0</v>
      </c>
      <c r="N3" t="n">
        <v>0</v>
      </c>
      <c r="W3" t="inlineStr">
        <is>
          <t>inf</t>
        </is>
      </c>
      <c r="AA3" t="n">
        <v>0</v>
      </c>
      <c r="AC3" t="inlineStr">
        <is>
          <t>inf</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8" defaultRowHeight="15"/>
  <cols>
    <col width="34.453125" customWidth="1" min="1" max="1"/>
    <col width="8.81640625" customWidth="1" min="2" max="2"/>
    <col width="8.81640625" customWidth="1" min="6" max="6"/>
    <col width="8.81640625" customWidth="1" min="7" max="7"/>
    <col width="43" customWidth="1" min="8" max="8"/>
  </cols>
  <sheetData>
    <row r="1">
      <c r="A1" s="127" t="inlineStr">
        <is>
          <t>EASTKNOYLE EXPENSES</t>
        </is>
      </c>
      <c r="B1" s="128" t="n"/>
      <c r="C1" s="128" t="n"/>
      <c r="D1" s="128" t="n"/>
      <c r="E1" s="128" t="n"/>
      <c r="F1" s="128" t="n"/>
      <c r="G1" s="128" t="n"/>
      <c r="H1" s="128" t="n"/>
    </row>
    <row r="2" ht="31" customHeight="1">
      <c r="A2" s="129" t="inlineStr">
        <is>
          <t>Heading</t>
        </is>
      </c>
      <c r="B2" s="130" t="inlineStr">
        <is>
          <t>£</t>
        </is>
      </c>
      <c r="C2" s="131" t="inlineStr">
        <is>
          <t>s</t>
        </is>
      </c>
      <c r="D2" s="131" t="inlineStr">
        <is>
          <t>d</t>
        </is>
      </c>
      <c r="E2" s="132" t="n"/>
      <c r="F2" s="133" t="inlineStr">
        <is>
          <t>Total in £</t>
        </is>
      </c>
      <c r="G2" s="134" t="inlineStr">
        <is>
          <t>Error</t>
        </is>
      </c>
      <c r="H2" s="135" t="inlineStr">
        <is>
          <t>Notes</t>
        </is>
      </c>
    </row>
    <row r="3">
      <c r="A3" s="136" t="n"/>
      <c r="B3" s="128" t="n"/>
      <c r="C3" s="128" t="n"/>
      <c r="D3" s="128" t="n"/>
      <c r="E3" s="128" t="n"/>
      <c r="F3" s="128" t="n"/>
      <c r="G3" s="128" t="n"/>
      <c r="H3" s="128" t="n"/>
    </row>
    <row r="4">
      <c r="A4" s="137" t="inlineStr">
        <is>
          <t>Expenses of the steward</t>
        </is>
      </c>
      <c r="B4" s="128" t="n">
        <v>0</v>
      </c>
      <c r="C4" s="128" t="n">
        <v>15</v>
      </c>
      <c r="D4" s="128" t="n">
        <v>4.5</v>
      </c>
      <c r="E4" s="128" t="n"/>
      <c r="F4" s="128" t="n">
        <v>0.77</v>
      </c>
      <c r="G4" s="128" t="n"/>
      <c r="H4" s="128" t="n"/>
    </row>
    <row r="5">
      <c r="A5" s="136" t="inlineStr">
        <is>
          <t>Expenses of the steward</t>
        </is>
      </c>
      <c r="B5" s="128" t="n">
        <v>0</v>
      </c>
      <c r="C5" s="128" t="n">
        <v>15</v>
      </c>
      <c r="D5" s="128" t="n">
        <v>4.5</v>
      </c>
      <c r="E5" s="128" t="n"/>
      <c r="F5" s="128" t="n">
        <v>0.77</v>
      </c>
      <c r="G5" s="128" t="n"/>
      <c r="H5" s="128" t="n"/>
    </row>
    <row r="6">
      <c r="A6" s="138" t="inlineStr">
        <is>
          <t>Expenses of the steward total</t>
        </is>
      </c>
      <c r="B6" s="139" t="n"/>
      <c r="C6" s="139" t="n"/>
      <c r="D6" s="139" t="n"/>
      <c r="E6" s="139" t="n"/>
      <c r="F6" s="139" t="n">
        <v>0.77</v>
      </c>
      <c r="G6" s="139" t="n">
        <v>0</v>
      </c>
      <c r="H6" s="139" t="n"/>
    </row>
    <row r="7">
      <c r="A7" s="136" t="n"/>
      <c r="B7" s="128" t="n"/>
      <c r="C7" s="128" t="n"/>
      <c r="D7" s="128" t="n"/>
      <c r="E7" s="128" t="n"/>
      <c r="F7" s="128" t="n"/>
      <c r="G7" s="128" t="n"/>
      <c r="H7" s="128" t="n"/>
    </row>
    <row r="8">
      <c r="A8" s="136" t="inlineStr">
        <is>
          <t>Total of all expenses</t>
        </is>
      </c>
      <c r="B8" s="128" t="n">
        <v>3</v>
      </c>
      <c r="C8" s="128" t="n">
        <v>10</v>
      </c>
      <c r="D8" s="128" t="n">
        <v>4.5</v>
      </c>
      <c r="E8" s="128" t="n"/>
      <c r="F8" s="128" t="n">
        <v>3.52</v>
      </c>
      <c r="G8" s="128" t="n"/>
      <c r="H8" s="128" t="n"/>
    </row>
    <row r="9">
      <c r="A9" s="136" t="inlineStr">
        <is>
          <t>Total of all expenses</t>
        </is>
      </c>
      <c r="B9" s="128" t="n"/>
      <c r="C9" s="128" t="n"/>
      <c r="D9" s="128" t="n"/>
      <c r="E9" s="128" t="n"/>
      <c r="F9" s="128" t="n">
        <v>0</v>
      </c>
      <c r="G9" s="128" t="n">
        <v>-3.52</v>
      </c>
      <c r="H9" s="128" t="n"/>
    </row>
    <row r="10">
      <c r="A10" s="136" t="n"/>
      <c r="B10" s="128" t="n"/>
      <c r="C10" s="128" t="n"/>
      <c r="D10" s="128" t="n"/>
      <c r="E10" s="128" t="n"/>
      <c r="F10" s="128" t="n"/>
      <c r="G10" s="128" t="n"/>
      <c r="H10" s="128" t="n"/>
    </row>
    <row r="11">
      <c r="A11" s="137" t="inlineStr">
        <is>
          <t>And he owes</t>
        </is>
      </c>
      <c r="B11" s="128" t="n">
        <v>91</v>
      </c>
      <c r="C11" s="128" t="n">
        <v>1</v>
      </c>
      <c r="D11" s="128" t="n">
        <v>8.5</v>
      </c>
      <c r="E11" s="128" t="n"/>
      <c r="F11" s="128" t="n">
        <v>91.09</v>
      </c>
      <c r="G11" s="128" t="n"/>
      <c r="H11" s="128" t="n"/>
    </row>
    <row r="12">
      <c r="A12" s="138" t="inlineStr">
        <is>
          <t>And he owes total</t>
        </is>
      </c>
      <c r="B12" s="139" t="n"/>
      <c r="C12" s="139" t="n"/>
      <c r="D12" s="139" t="n"/>
      <c r="E12" s="139" t="n"/>
      <c r="F12" s="139" t="n">
        <v>91.09</v>
      </c>
      <c r="G12" s="139" t="n">
        <v>0</v>
      </c>
      <c r="H12" s="139" t="n"/>
    </row>
    <row r="13">
      <c r="A13" s="136" t="n"/>
      <c r="B13" s="128" t="n"/>
      <c r="C13" s="128" t="n"/>
      <c r="D13" s="128" t="n"/>
      <c r="E13" s="128" t="n"/>
      <c r="F13" s="128" t="n"/>
      <c r="G13" s="128" t="n"/>
      <c r="H13" s="128" t="n"/>
    </row>
    <row r="14">
      <c r="A14" s="137" t="inlineStr">
        <is>
          <t>Cash deliveries</t>
        </is>
      </c>
      <c r="B14" s="128" t="n">
        <v>90</v>
      </c>
      <c r="C14" s="128" t="n">
        <v>11</v>
      </c>
      <c r="D14" s="128" t="n">
        <v>0.5</v>
      </c>
      <c r="E14" s="128" t="n"/>
      <c r="F14" s="128" t="n">
        <v>90.55</v>
      </c>
      <c r="G14" s="128" t="n"/>
      <c r="H14" s="128" t="n"/>
    </row>
    <row r="15">
      <c r="A15" s="138" t="inlineStr">
        <is>
          <t>Cash deliveries total</t>
        </is>
      </c>
      <c r="B15" s="139" t="n">
        <v>90</v>
      </c>
      <c r="C15" s="139" t="n">
        <v>11</v>
      </c>
      <c r="D15" s="139" t="n">
        <v>0.5</v>
      </c>
      <c r="E15" s="139" t="n"/>
      <c r="F15" s="139" t="n">
        <v>90.55</v>
      </c>
      <c r="G15" s="139" t="n">
        <v>0</v>
      </c>
      <c r="H15" s="139" t="n"/>
    </row>
    <row r="17">
      <c r="A17" s="38" t="inlineStr">
        <is>
          <t>Total of all expenses per account</t>
        </is>
      </c>
      <c r="B17" t="n">
        <v>3</v>
      </c>
      <c r="C17" t="n">
        <v>10</v>
      </c>
      <c r="D17" t="n">
        <v>4.5</v>
      </c>
      <c r="F17">
        <f>F8</f>
        <v/>
      </c>
    </row>
    <row r="18">
      <c r="A18" s="38" t="inlineStr">
        <is>
          <t>Total of all expenses (calculated here)</t>
        </is>
      </c>
      <c r="F18">
        <f>SUMIF(A1:A7,"* total",F1:F7)</f>
        <v/>
      </c>
    </row>
    <row r="19">
      <c r="A19" s="38" t="inlineStr">
        <is>
          <t>Total fixed investment</t>
        </is>
      </c>
    </row>
    <row r="20">
      <c r="A20" s="38" t="inlineStr">
        <is>
          <t>Total Demesne fixed investment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2024-09-06T15:22:17Z</dcterms:created>
  <dcterms:modified xmlns:dcterms="http://purl.org/dc/terms/" xmlns:xsi="http://www.w3.org/2001/XMLSchema-instance" xsi:type="dcterms:W3CDTF">2026-01-17T10:57:19Z</dcterms:modified>
  <cp:lastModifiedBy>Kowalski, Kuba</cp:lastModifiedBy>
</cp:coreProperties>
</file>
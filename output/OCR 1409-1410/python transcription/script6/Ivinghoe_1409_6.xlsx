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8520" yWindow="5790" windowWidth="38640" windowHeight="21120" tabRatio="600" firstSheet="0" activeTab="0" autoFilterDateGrouping="1"/>
  </bookViews>
  <sheets>
    <sheet xmlns:r="http://schemas.openxmlformats.org/officeDocument/2006/relationships" name="Adderbury Overview" sheetId="1" state="visible" r:id="rId1"/>
    <sheet xmlns:r="http://schemas.openxmlformats.org/officeDocument/2006/relationships" name="Ivinghoe Stock" sheetId="2" state="visible" r:id="rId2"/>
    <sheet xmlns:r="http://schemas.openxmlformats.org/officeDocument/2006/relationships" name="raw data" sheetId="3" state="visible" r:id="rId3"/>
    <sheet xmlns:r="http://schemas.openxmlformats.org/officeDocument/2006/relationships" name="Receipts" sheetId="4" state="visible" r:id="rId4"/>
    <sheet xmlns:r="http://schemas.openxmlformats.org/officeDocument/2006/relationships" name="Stock" sheetId="5" state="visible" r:id="rId5"/>
    <sheet xmlns:r="http://schemas.openxmlformats.org/officeDocument/2006/relationships" name="Overview" sheetId="6" state="visible" r:id="rId6"/>
    <sheet xmlns:r="http://schemas.openxmlformats.org/officeDocument/2006/relationships" name="Issues of the Mills"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 xmlns:r="http://schemas.openxmlformats.org/officeDocument/2006/relationships" name="Issues of the Grange raw" sheetId="11" state="visible" r:id="rId11"/>
    <sheet xmlns:r="http://schemas.openxmlformats.org/officeDocument/2006/relationships" name="Issues of the Grange" sheetId="12" state="visible" r:id="rId12"/>
    <sheet xmlns:r="http://schemas.openxmlformats.org/officeDocument/2006/relationships" name="Sale of Corn Prices" sheetId="13" state="visible" r:id="rId13"/>
    <sheet xmlns:r="http://schemas.openxmlformats.org/officeDocument/2006/relationships" name="Expenses" sheetId="14" state="visible" r:id="rId14"/>
  </sheets>
  <definedNames/>
  <calcPr calcId="191029" fullCalcOnLoad="1"/>
</workbook>
</file>

<file path=xl/styles.xml><?xml version="1.0" encoding="utf-8"?>
<styleSheet xmlns="http://schemas.openxmlformats.org/spreadsheetml/2006/main">
  <numFmts count="2">
    <numFmt numFmtId="164" formatCode="0.000000"/>
    <numFmt numFmtId="165" formatCode="#,##0.000000"/>
  </numFmts>
  <fonts count="28">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b val="1"/>
      <sz val="11"/>
    </font>
    <font>
      <name val="Calibri"/>
      <family val="2"/>
      <color rgb="FFFF0000"/>
      <sz val="12"/>
      <scheme val="minor"/>
    </font>
    <font>
      <name val="Calibri"/>
      <family val="2"/>
      <b val="1"/>
      <color theme="1"/>
      <sz val="12"/>
      <scheme val="minor"/>
    </font>
    <font>
      <name val="Calibri (Body)"/>
      <b val="1"/>
      <color theme="1"/>
      <sz val="12"/>
    </font>
    <font>
      <name val="Calibri (Body)"/>
      <b val="1"/>
      <color rgb="FFFF0000"/>
      <sz val="12"/>
    </font>
    <font>
      <name val="Calibri"/>
      <family val="2"/>
      <b val="1"/>
      <sz val="12"/>
    </font>
    <font>
      <name val="Calibri"/>
      <family val="2"/>
      <b val="1"/>
      <color rgb="FF000000"/>
      <sz val="12"/>
      <scheme val="minor"/>
    </font>
    <font>
      <name val="Calibri"/>
      <family val="2"/>
      <i val="1"/>
      <color theme="1"/>
      <sz val="12"/>
      <scheme val="minor"/>
    </font>
    <font>
      <name val="Calibri"/>
      <family val="2"/>
      <b val="1"/>
      <i val="1"/>
      <color theme="1"/>
      <sz val="12"/>
      <scheme val="minor"/>
    </font>
    <font>
      <name val="Calibri"/>
      <family val="2"/>
      <color rgb="FF000000"/>
      <sz val="12"/>
      <scheme val="minor"/>
    </font>
    <font>
      <name val="Calibri"/>
      <family val="2"/>
      <i val="1"/>
      <color rgb="FF000000"/>
      <sz val="12"/>
      <scheme val="minor"/>
    </font>
    <font>
      <name val="Calibri"/>
      <family val="2"/>
      <b val="1"/>
      <i val="1"/>
      <color rgb="FF000000"/>
      <sz val="12"/>
      <scheme val="minor"/>
    </font>
    <font>
      <name val="Calibri (Body)"/>
      <color rgb="FFFF0000"/>
      <sz val="12"/>
    </font>
    <font>
      <name val="Calibri"/>
      <family val="2"/>
      <b val="1"/>
      <color theme="1"/>
      <sz val="11"/>
      <scheme val="minor"/>
    </font>
    <font>
      <name val="Calibri"/>
      <family val="2"/>
      <i val="1"/>
      <color rgb="FFFF0000"/>
      <sz val="12"/>
      <scheme val="minor"/>
    </font>
    <font>
      <name val="Tahoma"/>
      <family val="2"/>
      <b val="1"/>
      <color rgb="FF000000"/>
      <sz val="10"/>
    </font>
    <font>
      <name val="Tahoma"/>
      <family val="2"/>
      <color rgb="FF000000"/>
      <sz val="10"/>
    </font>
    <font>
      <name val="Calibri"/>
      <family val="2"/>
      <i val="1"/>
      <color theme="1"/>
      <sz val="11"/>
      <scheme val="minor"/>
    </font>
    <font>
      <name val="Calibri"/>
      <family val="2"/>
      <i val="1"/>
      <color rgb="FFFF0000"/>
      <sz val="11"/>
      <scheme val="minor"/>
    </font>
    <font>
      <name val="Calibri"/>
      <family val="2"/>
      <sz val="12"/>
      <scheme val="minor"/>
    </font>
    <font>
      <name val="Calibri"/>
      <family val="2"/>
      <b val="1"/>
      <color rgb="FFFF0000"/>
      <sz val="12"/>
      <scheme val="minor"/>
    </font>
  </fonts>
  <fills count="12">
    <fill>
      <patternFill/>
    </fill>
    <fill>
      <patternFill patternType="gray125"/>
    </fill>
    <fill>
      <patternFill patternType="solid">
        <fgColor rgb="FFF2F2F2"/>
        <bgColor rgb="FF000000"/>
      </patternFill>
    </fill>
    <fill>
      <patternFill patternType="solid">
        <fgColor theme="7" tint="0.7999816888943144"/>
        <bgColor indexed="64"/>
      </patternFill>
    </fill>
    <fill>
      <patternFill patternType="solid">
        <fgColor theme="7" tint="0.7999816888943144"/>
        <bgColor rgb="FF000000"/>
      </patternFill>
    </fill>
    <fill>
      <patternFill patternType="solid">
        <fgColor theme="0" tint="-0.0499893185216834"/>
        <bgColor indexed="64"/>
      </patternFill>
    </fill>
    <fill>
      <patternFill patternType="solid">
        <fgColor theme="6" tint="0.7999816888943144"/>
        <bgColor indexed="64"/>
      </patternFill>
    </fill>
    <fill>
      <patternFill patternType="solid">
        <fgColor theme="5" tint="0.7999816888943144"/>
        <bgColor indexed="64"/>
      </patternFill>
    </fill>
    <fill>
      <patternFill patternType="solid">
        <fgColor theme="9" tint="0.7999816888943144"/>
        <bgColor indexed="64"/>
      </patternFill>
    </fill>
    <fill>
      <patternFill patternType="solid">
        <fgColor rgb="FFFFFF00"/>
        <bgColor indexed="64"/>
      </patternFill>
    </fill>
    <fill>
      <patternFill patternType="solid">
        <fgColor theme="0" tint="-0.0499893185216834"/>
        <bgColor rgb="FF000000"/>
      </patternFill>
    </fill>
    <fill>
      <patternFill patternType="solid">
        <fgColor rgb="00F2F2F2"/>
        <bgColor rgb="00F2F2F2"/>
      </patternFill>
    </fill>
  </fills>
  <borders count="21">
    <border>
      <left/>
      <right/>
      <top/>
      <bottom/>
      <diagonal/>
    </border>
    <border>
      <left style="thin">
        <color auto="1"/>
      </left>
      <right style="thin">
        <color auto="1"/>
      </right>
      <top style="thin">
        <color auto="1"/>
      </top>
      <bottom style="thin">
        <color auto="1"/>
      </bottom>
      <diagonal/>
    </border>
    <border>
      <left/>
      <right/>
      <top/>
      <bottom style="thin">
        <color rgb="FFA6A6A6"/>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bottom style="thin">
        <color theme="0" tint="-0.3499862666707358"/>
      </bottom>
      <diagonal/>
    </border>
    <border>
      <left style="thin">
        <color indexed="64"/>
      </left>
      <right/>
      <top/>
      <bottom/>
      <diagonal/>
    </border>
    <border>
      <left/>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border>
      <right style="thin">
        <color rgb="00000000"/>
      </right>
    </border>
    <border>
      <right style="thin">
        <color rgb="00000000"/>
      </right>
      <bottom style="thin">
        <color rgb="00000000"/>
      </bottom>
    </border>
    <border>
      <bottom style="thin">
        <color rgb="00000000"/>
      </bottom>
    </border>
  </borders>
  <cellStyleXfs count="1">
    <xf numFmtId="0" fontId="0" fillId="0" borderId="0"/>
  </cellStyleXfs>
  <cellXfs count="147">
    <xf numFmtId="0" fontId="0" fillId="0" borderId="0" pivotButton="0" quotePrefix="0" xfId="0"/>
    <xf numFmtId="0" fontId="7" fillId="0" borderId="1" applyAlignment="1" pivotButton="0" quotePrefix="0" xfId="0">
      <alignment horizontal="center" vertical="top"/>
    </xf>
    <xf numFmtId="0" fontId="10" fillId="0" borderId="0" pivotButton="0" quotePrefix="0" xfId="0"/>
    <xf numFmtId="4" fontId="10" fillId="0" borderId="0" applyAlignment="1" pivotButton="0" quotePrefix="0" xfId="0">
      <alignment horizontal="right"/>
    </xf>
    <xf numFmtId="0" fontId="10" fillId="0" borderId="0" applyAlignment="1" pivotButton="0" quotePrefix="0" xfId="0">
      <alignment horizontal="right"/>
    </xf>
    <xf numFmtId="4" fontId="9" fillId="0" borderId="0" applyAlignment="1" pivotButton="0" quotePrefix="0" xfId="0">
      <alignment horizontal="center"/>
    </xf>
    <xf numFmtId="0" fontId="11" fillId="0" borderId="0" applyAlignment="1" pivotButton="0" quotePrefix="0" xfId="0">
      <alignment horizontal="center" vertical="top"/>
    </xf>
    <xf numFmtId="0" fontId="12" fillId="0" borderId="0" applyAlignment="1" pivotButton="0" quotePrefix="0" xfId="0">
      <alignment horizontal="left" vertical="top"/>
    </xf>
    <xf numFmtId="0" fontId="13" fillId="0" borderId="0" pivotButton="0" quotePrefix="0" xfId="0"/>
    <xf numFmtId="0" fontId="6" fillId="0" borderId="0" pivotButton="0" quotePrefix="0" xfId="0"/>
    <xf numFmtId="0" fontId="8" fillId="0" borderId="0" pivotButton="0" quotePrefix="0" xfId="0"/>
    <xf numFmtId="0" fontId="12" fillId="0" borderId="0" applyAlignment="1" pivotButton="0" quotePrefix="0" xfId="0">
      <alignment horizontal="center" vertical="top"/>
    </xf>
    <xf numFmtId="0" fontId="9" fillId="0" borderId="0" pivotButton="0" quotePrefix="0" xfId="0"/>
    <xf numFmtId="0" fontId="14" fillId="0" borderId="0" pivotButton="0" quotePrefix="0" xfId="0"/>
    <xf numFmtId="0" fontId="15" fillId="0" borderId="0" pivotButton="0" quotePrefix="0" xfId="0"/>
    <xf numFmtId="0" fontId="16" fillId="0" borderId="0" pivotButton="0" quotePrefix="0" xfId="0"/>
    <xf numFmtId="0" fontId="13" fillId="2" borderId="0" pivotButton="0" quotePrefix="0" xfId="0"/>
    <xf numFmtId="0" fontId="17" fillId="2" borderId="0" pivotButton="0" quotePrefix="0" xfId="0"/>
    <xf numFmtId="0" fontId="16" fillId="3" borderId="0" pivotButton="0" quotePrefix="0" xfId="0"/>
    <xf numFmtId="0" fontId="17" fillId="3" borderId="0" pivotButton="0" quotePrefix="0" xfId="0"/>
    <xf numFmtId="0" fontId="17" fillId="4" borderId="0" pivotButton="0" quotePrefix="0" xfId="0"/>
    <xf numFmtId="0" fontId="13" fillId="5" borderId="0" pivotButton="0" quotePrefix="0" xfId="0"/>
    <xf numFmtId="0" fontId="16" fillId="0" borderId="0" applyAlignment="1" pivotButton="0" quotePrefix="0" xfId="0">
      <alignment wrapText="1"/>
    </xf>
    <xf numFmtId="0" fontId="16" fillId="0" borderId="2" pivotButton="0" quotePrefix="0" xfId="0"/>
    <xf numFmtId="0" fontId="16" fillId="0" borderId="0" applyAlignment="1" pivotButton="0" quotePrefix="0" xfId="0">
      <alignment horizontal="right"/>
    </xf>
    <xf numFmtId="0" fontId="16" fillId="0" borderId="2" applyAlignment="1" pivotButton="0" quotePrefix="0" xfId="0">
      <alignment horizontal="left"/>
    </xf>
    <xf numFmtId="2" fontId="6" fillId="0" borderId="0" pivotButton="0" quotePrefix="0" xfId="0"/>
    <xf numFmtId="0" fontId="0" fillId="0" borderId="0" applyAlignment="1" pivotButton="0" quotePrefix="0" xfId="0">
      <alignment horizontal="right" wrapText="1"/>
    </xf>
    <xf numFmtId="0" fontId="0" fillId="0" borderId="0" applyAlignment="1" pivotButton="0" quotePrefix="0" xfId="0">
      <alignment horizontal="right"/>
    </xf>
    <xf numFmtId="0" fontId="9" fillId="0" borderId="0" applyAlignment="1" pivotButton="0" quotePrefix="0" xfId="0">
      <alignment horizontal="right" wrapText="1"/>
    </xf>
    <xf numFmtId="0" fontId="12" fillId="0" borderId="0" applyAlignment="1" pivotButton="0" quotePrefix="0" xfId="0">
      <alignment horizontal="center" vertical="center"/>
    </xf>
    <xf numFmtId="0" fontId="15" fillId="0" borderId="0" applyAlignment="1" pivotButton="0" quotePrefix="0" xfId="0">
      <alignment horizontal="center" vertical="center"/>
    </xf>
    <xf numFmtId="0" fontId="6" fillId="0" borderId="0" applyAlignment="1" pivotButton="0" quotePrefix="0" xfId="0">
      <alignment horizontal="center" vertical="center"/>
    </xf>
    <xf numFmtId="4" fontId="10" fillId="0" borderId="0" applyAlignment="1" pivotButton="0" quotePrefix="0" xfId="0">
      <alignment horizontal="center" vertical="center"/>
    </xf>
    <xf numFmtId="0" fontId="10" fillId="0" borderId="0" applyAlignment="1" pivotButton="0" quotePrefix="0" xfId="0">
      <alignment horizontal="center" vertical="center"/>
    </xf>
    <xf numFmtId="2" fontId="9" fillId="0" borderId="0" applyAlignment="1" pivotButton="0" quotePrefix="0" xfId="0">
      <alignment horizontal="center" vertical="center"/>
    </xf>
    <xf numFmtId="0" fontId="5" fillId="0" borderId="0" pivotButton="0" quotePrefix="0" xfId="0"/>
    <xf numFmtId="0" fontId="7" fillId="0" borderId="0" applyAlignment="1" pivotButton="0" quotePrefix="0" xfId="0">
      <alignment horizontal="center" vertical="top"/>
    </xf>
    <xf numFmtId="0" fontId="20" fillId="0" borderId="0" pivotButton="0" quotePrefix="0" xfId="0"/>
    <xf numFmtId="0" fontId="0" fillId="6" borderId="0" pivotButton="0" quotePrefix="0" xfId="0"/>
    <xf numFmtId="0" fontId="21" fillId="0" borderId="0" pivotButton="0" quotePrefix="0" xfId="0"/>
    <xf numFmtId="0" fontId="0" fillId="0" borderId="0" applyAlignment="1" pivotButton="0" quotePrefix="0" xfId="0">
      <alignment horizontal="center"/>
    </xf>
    <xf numFmtId="0" fontId="0" fillId="8" borderId="0" pivotButton="0" quotePrefix="0" xfId="0"/>
    <xf numFmtId="0" fontId="0" fillId="0" borderId="0" applyAlignment="1" pivotButton="0" quotePrefix="0" xfId="0">
      <alignment horizontal="left"/>
    </xf>
    <xf numFmtId="0" fontId="0" fillId="0" borderId="0" applyAlignment="1" pivotButton="0" quotePrefix="0" xfId="0">
      <alignment wrapText="1"/>
    </xf>
    <xf numFmtId="4" fontId="0" fillId="0" borderId="0" applyAlignment="1" pivotButton="0" quotePrefix="0" xfId="0">
      <alignment horizontal="right" wrapText="1"/>
    </xf>
    <xf numFmtId="0" fontId="0" fillId="0" borderId="3" applyAlignment="1" pivotButton="0" quotePrefix="0" xfId="0">
      <alignment horizontal="right"/>
    </xf>
    <xf numFmtId="0" fontId="0" fillId="0" borderId="4" applyAlignment="1" pivotButton="0" quotePrefix="0" xfId="0">
      <alignment horizontal="right"/>
    </xf>
    <xf numFmtId="0" fontId="0" fillId="0" borderId="5" applyAlignment="1" pivotButton="0" quotePrefix="0" xfId="0">
      <alignment horizontal="right"/>
    </xf>
    <xf numFmtId="0" fontId="0" fillId="0" borderId="4" applyAlignment="1" pivotButton="0" quotePrefix="0" xfId="0">
      <alignment horizontal="center"/>
    </xf>
    <xf numFmtId="2" fontId="19" fillId="0" borderId="0" pivotButton="0" quotePrefix="0" xfId="0"/>
    <xf numFmtId="2" fontId="11" fillId="0" borderId="0" applyAlignment="1" pivotButton="0" quotePrefix="0" xfId="0">
      <alignment horizontal="center" vertical="center"/>
    </xf>
    <xf numFmtId="2" fontId="9" fillId="0" borderId="0" applyAlignment="1" pivotButton="0" quotePrefix="0" xfId="0">
      <alignment horizontal="center" vertical="center" wrapText="1"/>
    </xf>
    <xf numFmtId="0" fontId="9" fillId="5" borderId="0" pivotButton="0" quotePrefix="0" xfId="0"/>
    <xf numFmtId="0" fontId="6" fillId="5" borderId="0" pivotButton="0" quotePrefix="0" xfId="0"/>
    <xf numFmtId="2" fontId="6" fillId="5" borderId="0" pivotButton="0" quotePrefix="0" xfId="0"/>
    <xf numFmtId="2" fontId="19" fillId="5" borderId="0" pivotButton="0" quotePrefix="0" xfId="0"/>
    <xf numFmtId="0" fontId="14" fillId="5" borderId="0" pivotButton="0" quotePrefix="0" xfId="0"/>
    <xf numFmtId="0" fontId="21" fillId="5" borderId="0" pivotButton="0" quotePrefix="0" xfId="0"/>
    <xf numFmtId="0" fontId="24" fillId="0" borderId="0" pivotButton="0" quotePrefix="0" xfId="0"/>
    <xf numFmtId="0" fontId="0" fillId="0" borderId="4" pivotButton="0" quotePrefix="0" xfId="0"/>
    <xf numFmtId="0" fontId="25" fillId="0" borderId="0" pivotButton="0" quotePrefix="0" xfId="0"/>
    <xf numFmtId="164" fontId="26" fillId="0" borderId="0" applyAlignment="1" pivotButton="0" quotePrefix="0" xfId="0">
      <alignment horizontal="right"/>
    </xf>
    <xf numFmtId="164" fontId="0" fillId="0" borderId="0" applyAlignment="1" pivotButton="0" quotePrefix="0" xfId="0">
      <alignment horizontal="right"/>
    </xf>
    <xf numFmtId="165" fontId="0" fillId="0" borderId="0" pivotButton="0" quotePrefix="0" xfId="0"/>
    <xf numFmtId="164" fontId="0" fillId="0" borderId="0" pivotButton="0" quotePrefix="0" xfId="0"/>
    <xf numFmtId="0" fontId="9" fillId="0" borderId="0" applyAlignment="1" pivotButton="0" quotePrefix="0" xfId="0">
      <alignment wrapText="1"/>
    </xf>
    <xf numFmtId="0" fontId="14" fillId="6" borderId="0" pivotButton="0" quotePrefix="0" xfId="0"/>
    <xf numFmtId="0" fontId="0" fillId="0" borderId="6" pivotButton="0" quotePrefix="0" xfId="0"/>
    <xf numFmtId="0" fontId="0" fillId="0" borderId="6" applyAlignment="1" pivotButton="0" quotePrefix="0" xfId="0">
      <alignment horizontal="left"/>
    </xf>
    <xf numFmtId="0" fontId="0" fillId="5" borderId="0" pivotButton="0" quotePrefix="0" xfId="0"/>
    <xf numFmtId="0" fontId="0" fillId="9" borderId="0" pivotButton="0" quotePrefix="0" xfId="0"/>
    <xf numFmtId="2" fontId="0" fillId="0" borderId="0" pivotButton="0" quotePrefix="0" xfId="0"/>
    <xf numFmtId="2" fontId="0" fillId="0" borderId="0" applyAlignment="1" pivotButton="0" quotePrefix="0" xfId="0">
      <alignment wrapText="1"/>
    </xf>
    <xf numFmtId="2" fontId="9" fillId="0" borderId="0" applyAlignment="1" pivotButton="0" quotePrefix="0" xfId="0">
      <alignment wrapText="1"/>
    </xf>
    <xf numFmtId="4" fontId="0" fillId="0" borderId="0" applyAlignment="1" pivotButton="0" quotePrefix="0" xfId="0">
      <alignment horizontal="right"/>
    </xf>
    <xf numFmtId="0" fontId="4" fillId="0" borderId="0" pivotButton="0" quotePrefix="0" xfId="0"/>
    <xf numFmtId="2" fontId="13" fillId="0" borderId="0" applyAlignment="1" pivotButton="0" quotePrefix="0" xfId="0">
      <alignment horizontal="right"/>
    </xf>
    <xf numFmtId="2" fontId="27" fillId="0" borderId="0" applyAlignment="1" pivotButton="0" quotePrefix="0" xfId="0">
      <alignment horizontal="right"/>
    </xf>
    <xf numFmtId="0" fontId="4" fillId="0" borderId="8" pivotButton="0" quotePrefix="0" xfId="0"/>
    <xf numFmtId="0" fontId="8" fillId="0" borderId="8" pivotButton="0" quotePrefix="0" xfId="0"/>
    <xf numFmtId="0" fontId="15" fillId="5" borderId="8" pivotButton="0" quotePrefix="0" xfId="0"/>
    <xf numFmtId="0" fontId="15" fillId="5" borderId="0" pivotButton="0" quotePrefix="0" xfId="0"/>
    <xf numFmtId="0" fontId="18" fillId="2" borderId="0" pivotButton="0" quotePrefix="0" xfId="0"/>
    <xf numFmtId="2" fontId="4" fillId="0" borderId="0" pivotButton="0" quotePrefix="0" xfId="0"/>
    <xf numFmtId="0" fontId="16" fillId="0" borderId="4" pivotButton="0" quotePrefix="0" xfId="0"/>
    <xf numFmtId="2" fontId="4" fillId="0" borderId="4" pivotButton="0" quotePrefix="0" xfId="0"/>
    <xf numFmtId="0" fontId="8" fillId="0" borderId="4" pivotButton="0" quotePrefix="0" xfId="0"/>
    <xf numFmtId="0" fontId="4" fillId="0" borderId="4" pivotButton="0" quotePrefix="0" xfId="0"/>
    <xf numFmtId="4" fontId="9" fillId="0" borderId="0" applyAlignment="1" pivotButton="0" quotePrefix="0" xfId="0">
      <alignment horizontal="right"/>
    </xf>
    <xf numFmtId="0" fontId="9" fillId="0" borderId="0" applyAlignment="1" pivotButton="0" quotePrefix="0" xfId="0">
      <alignment horizontal="right"/>
    </xf>
    <xf numFmtId="2" fontId="13" fillId="5" borderId="0" applyAlignment="1" pivotButton="0" quotePrefix="0" xfId="0">
      <alignment horizontal="right"/>
    </xf>
    <xf numFmtId="0" fontId="13" fillId="10" borderId="0" pivotButton="0" quotePrefix="0" xfId="0"/>
    <xf numFmtId="0" fontId="4" fillId="5" borderId="0" pivotButton="0" quotePrefix="0" xfId="0"/>
    <xf numFmtId="0" fontId="8" fillId="5" borderId="0" pivotButton="0" quotePrefix="0" xfId="0"/>
    <xf numFmtId="0" fontId="9" fillId="5" borderId="0" applyAlignment="1" pivotButton="0" quotePrefix="0" xfId="0">
      <alignment horizontal="right"/>
    </xf>
    <xf numFmtId="0" fontId="3" fillId="0" borderId="0" pivotButton="0" quotePrefix="0" xfId="0"/>
    <xf numFmtId="0" fontId="17" fillId="2" borderId="9" pivotButton="0" quotePrefix="0" xfId="0"/>
    <xf numFmtId="0" fontId="17" fillId="4" borderId="9" pivotButton="0" quotePrefix="0" xfId="0"/>
    <xf numFmtId="0" fontId="16" fillId="0" borderId="9" pivotButton="0" quotePrefix="0" xfId="0"/>
    <xf numFmtId="10" fontId="17" fillId="2" borderId="9" pivotButton="0" quotePrefix="0" xfId="0"/>
    <xf numFmtId="10" fontId="17" fillId="4" borderId="11" pivotButton="0" quotePrefix="0" xfId="0"/>
    <xf numFmtId="0" fontId="8" fillId="0" borderId="12" pivotButton="0" quotePrefix="0" xfId="0"/>
    <xf numFmtId="0" fontId="16" fillId="5" borderId="14" pivotButton="0" quotePrefix="0" xfId="0"/>
    <xf numFmtId="2" fontId="13" fillId="5" borderId="15" applyAlignment="1" pivotButton="0" quotePrefix="0" xfId="0">
      <alignment horizontal="right"/>
    </xf>
    <xf numFmtId="0" fontId="8" fillId="5" borderId="15" pivotButton="0" quotePrefix="0" xfId="0"/>
    <xf numFmtId="0" fontId="3" fillId="0" borderId="12" pivotButton="0" quotePrefix="0" xfId="0"/>
    <xf numFmtId="2" fontId="4" fillId="5" borderId="0" pivotButton="0" quotePrefix="0" xfId="0"/>
    <xf numFmtId="0" fontId="2" fillId="5" borderId="15" pivotButton="0" quotePrefix="0" xfId="0"/>
    <xf numFmtId="0" fontId="2" fillId="5" borderId="16" pivotButton="0" quotePrefix="0" xfId="0"/>
    <xf numFmtId="2" fontId="2" fillId="0" borderId="0" pivotButton="0" quotePrefix="0" xfId="0"/>
    <xf numFmtId="0" fontId="2" fillId="0" borderId="0" pivotButton="0" quotePrefix="0" xfId="0"/>
    <xf numFmtId="0" fontId="2" fillId="0" borderId="10" pivotButton="0" quotePrefix="0" xfId="0"/>
    <xf numFmtId="10" fontId="2" fillId="0" borderId="0" pivotButton="0" quotePrefix="0" xfId="0"/>
    <xf numFmtId="0" fontId="2" fillId="0" borderId="12" pivotButton="0" quotePrefix="0" xfId="0"/>
    <xf numFmtId="0" fontId="2" fillId="0" borderId="13" pivotButton="0" quotePrefix="0" xfId="0"/>
    <xf numFmtId="0" fontId="1" fillId="0" borderId="0" pivotButton="0" quotePrefix="0" xfId="0"/>
    <xf numFmtId="2" fontId="9" fillId="5" borderId="0" pivotButton="0" quotePrefix="0" xfId="0"/>
    <xf numFmtId="2" fontId="13" fillId="0" borderId="0" applyAlignment="1" pivotButton="0" quotePrefix="0" xfId="0">
      <alignment horizontal="left" vertical="center" wrapText="1"/>
    </xf>
    <xf numFmtId="0" fontId="17" fillId="10" borderId="0" pivotButton="0" quotePrefix="0" xfId="0"/>
    <xf numFmtId="0" fontId="9" fillId="5" borderId="0" applyAlignment="1" pivotButton="0" quotePrefix="0" xfId="0">
      <alignment horizontal="center"/>
    </xf>
    <xf numFmtId="0" fontId="0" fillId="7" borderId="0" applyAlignment="1" pivotButton="0" quotePrefix="0" xfId="0">
      <alignment horizontal="center"/>
    </xf>
    <xf numFmtId="0" fontId="0" fillId="3" borderId="0" applyAlignment="1" pivotButton="0" quotePrefix="0" xfId="0">
      <alignment horizontal="center"/>
    </xf>
    <xf numFmtId="0" fontId="0" fillId="3" borderId="3" applyAlignment="1" pivotButton="0" quotePrefix="0" xfId="0">
      <alignment horizontal="center"/>
    </xf>
    <xf numFmtId="0" fontId="0" fillId="0" borderId="0" applyAlignment="1" pivotButton="0" quotePrefix="0" xfId="0">
      <alignment horizontal="center"/>
    </xf>
    <xf numFmtId="0" fontId="0" fillId="0" borderId="0" applyAlignment="1" pivotButton="0" quotePrefix="0" xfId="0">
      <alignment horizontal="center" wrapText="1"/>
    </xf>
    <xf numFmtId="0" fontId="0" fillId="0" borderId="7" applyAlignment="1" pivotButton="0" quotePrefix="0" xfId="0">
      <alignment horizontal="center" wrapText="1"/>
    </xf>
    <xf numFmtId="0" fontId="10" fillId="0" borderId="18" pivotButton="0" quotePrefix="0" xfId="0"/>
    <xf numFmtId="0" fontId="0" fillId="0" borderId="17" pivotButton="0" quotePrefix="0" xfId="0"/>
    <xf numFmtId="0" fontId="12" fillId="0" borderId="19" applyAlignment="1" pivotButton="0" quotePrefix="0" xfId="0">
      <alignment horizontal="center" vertical="center"/>
    </xf>
    <xf numFmtId="4" fontId="10" fillId="0" borderId="20" applyAlignment="1" pivotButton="0" quotePrefix="0" xfId="0">
      <alignment horizontal="center" vertical="center"/>
    </xf>
    <xf numFmtId="0" fontId="10" fillId="0" borderId="20" applyAlignment="1" pivotButton="0" quotePrefix="0" xfId="0">
      <alignment horizontal="center" vertical="center"/>
    </xf>
    <xf numFmtId="0" fontId="0" fillId="0" borderId="20" pivotButton="0" quotePrefix="0" xfId="0"/>
    <xf numFmtId="2" fontId="9" fillId="0" borderId="20" applyAlignment="1" pivotButton="0" quotePrefix="0" xfId="0">
      <alignment horizontal="center" vertical="center"/>
    </xf>
    <xf numFmtId="2" fontId="11" fillId="0" borderId="20" applyAlignment="1" pivotButton="0" quotePrefix="0" xfId="0">
      <alignment horizontal="center" vertical="center"/>
    </xf>
    <xf numFmtId="0" fontId="12" fillId="0" borderId="20" applyAlignment="1" pivotButton="0" quotePrefix="0" xfId="0">
      <alignment horizontal="center" vertical="center"/>
    </xf>
    <xf numFmtId="0" fontId="0" fillId="0" borderId="18" pivotButton="0" quotePrefix="0" xfId="0"/>
    <xf numFmtId="0" fontId="20" fillId="0" borderId="18" pivotButton="0" quotePrefix="0" xfId="0"/>
    <xf numFmtId="0" fontId="20" fillId="11" borderId="18" pivotButton="0" quotePrefix="0" xfId="0"/>
    <xf numFmtId="0" fontId="20" fillId="11" borderId="17" pivotButton="0" quotePrefix="0" xfId="0"/>
    <xf numFmtId="0" fontId="12" fillId="0" borderId="19" applyAlignment="1" pivotButton="0" quotePrefix="0" xfId="0">
      <alignment horizontal="center" vertical="top"/>
    </xf>
    <xf numFmtId="4" fontId="10" fillId="0" borderId="20" applyAlignment="1" pivotButton="0" quotePrefix="0" xfId="0">
      <alignment horizontal="right"/>
    </xf>
    <xf numFmtId="0" fontId="10" fillId="0" borderId="20" applyAlignment="1" pivotButton="0" quotePrefix="0" xfId="0">
      <alignment horizontal="right"/>
    </xf>
    <xf numFmtId="4" fontId="9" fillId="0" borderId="20" applyAlignment="1" pivotButton="0" quotePrefix="0" xfId="0">
      <alignment horizontal="center"/>
    </xf>
    <xf numFmtId="0" fontId="11" fillId="0" borderId="20" applyAlignment="1" pivotButton="0" quotePrefix="0" xfId="0">
      <alignment horizontal="center" vertical="top"/>
    </xf>
    <xf numFmtId="0" fontId="12" fillId="0" borderId="20" applyAlignment="1" pivotButton="0" quotePrefix="0" xfId="0">
      <alignment horizontal="left" vertical="top"/>
    </xf>
    <xf numFmtId="0" fontId="15" fillId="0" borderId="2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comments/comment1.xml><?xml version="1.0" encoding="utf-8"?>
<comments xmlns="http://schemas.openxmlformats.org/spreadsheetml/2006/main">
  <authors>
    <author>Victoria Gierok</author>
  </authors>
  <commentList>
    <comment ref="F86" authorId="0" shapeId="0">
      <text>
        <t>Victoria Gierok:
valued at sales prices where available</t>
      </text>
    </comment>
    <comment ref="F117" authorId="0" shapeId="0">
      <text>
        <t>Victoria Gierok:
valued at sales prices where available</t>
      </text>
    </comment>
    <comment ref="F126" authorId="0" shapeId="0">
      <text>
        <t>Victoria Gierok:
valued at sales prices where available</t>
      </text>
    </comment>
    <comment ref="F150" authorId="0" shapeId="0">
      <text>
        <t>Victoria Gierok:
valued at sales prices where available</t>
      </text>
    </comment>
    <comment ref="F158" authorId="0" shapeId="0">
      <text>
        <t>Victoria Gierok:
valued at sales prices where available</t>
      </text>
    </comment>
    <comment ref="F165" authorId="0" shapeId="0">
      <text>
        <t>Victoria Gierok:
valued at sales prices where available</t>
      </text>
    </comment>
  </commentList>
</comments>
</file>

<file path=xl/comments/comment2.xml><?xml version="1.0" encoding="utf-8"?>
<comments xmlns="http://schemas.openxmlformats.org/spreadsheetml/2006/main">
  <authors>
    <author>Victoria Gierok</author>
  </authors>
  <commentList>
    <comment ref="D4" authorId="0" shapeId="0">
      <text>
        <t>Victoria Gierok:
strays that the seem to have added to their own stock?</t>
      </text>
    </comment>
    <comment ref="E4" authorId="0" shapeId="0">
      <text>
        <t>Victoria Gierok:
herbage = a type of customary payment to the lord; hence an addition to the stock</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G183"/>
  <sheetViews>
    <sheetView tabSelected="1" workbookViewId="0">
      <pane xSplit="1" ySplit="2" topLeftCell="B126" activePane="bottomRight" state="frozen"/>
      <selection pane="topRight" activeCell="B1" sqref="B1"/>
      <selection pane="bottomLeft" activeCell="A3" sqref="A3"/>
      <selection pane="bottomRight" activeCell="A138" sqref="A138"/>
    </sheetView>
  </sheetViews>
  <sheetFormatPr baseColWidth="8" defaultColWidth="10.81640625" defaultRowHeight="15.5"/>
  <cols>
    <col width="80" bestFit="1" customWidth="1" style="76" min="1" max="1"/>
    <col width="10.81640625" customWidth="1" style="76" min="2" max="2"/>
    <col width="10.81640625" customWidth="1" style="10" min="3" max="3"/>
    <col width="30.81640625" bestFit="1" customWidth="1" style="76" min="4" max="4"/>
    <col width="29.36328125" bestFit="1" customWidth="1" style="76" min="5" max="5"/>
    <col width="35.453125" bestFit="1" customWidth="1" style="76" min="6" max="6"/>
    <col width="21.1796875" customWidth="1" style="76" min="7" max="7"/>
    <col width="10.81640625" customWidth="1" style="76" min="8" max="16384"/>
  </cols>
  <sheetData>
    <row r="1">
      <c r="A1" s="8" t="inlineStr">
        <is>
          <t>ADDERBURY</t>
        </is>
      </c>
      <c r="B1" s="77" t="inlineStr">
        <is>
          <t>Total in £</t>
        </is>
      </c>
      <c r="C1" s="78" t="inlineStr">
        <is>
          <t>Error</t>
        </is>
      </c>
      <c r="D1" s="12" t="inlineStr">
        <is>
          <t>Note</t>
        </is>
      </c>
      <c r="E1" s="12" t="n"/>
    </row>
    <row r="2">
      <c r="A2" s="8" t="inlineStr">
        <is>
          <t>CASH ACCOUNT</t>
        </is>
      </c>
    </row>
    <row r="3">
      <c r="A3" s="16" t="inlineStr">
        <is>
          <t>RECEIPTS</t>
        </is>
      </c>
    </row>
    <row r="4">
      <c r="A4" s="15" t="inlineStr">
        <is>
          <t>Arrears total</t>
        </is>
      </c>
      <c r="B4" s="76" t="inlineStr">
        <is>
          <t xml:space="preserve"> </t>
        </is>
      </c>
      <c r="D4" s="13" t="n"/>
      <c r="E4" s="13" t="n"/>
    </row>
    <row r="5">
      <c r="A5" s="15" t="inlineStr">
        <is>
          <t>Rents of assize total</t>
        </is>
      </c>
      <c r="B5" s="76">
        <f>'Adderbury Receipts'!F9</f>
        <v/>
      </c>
    </row>
    <row r="6">
      <c r="A6" s="15" t="inlineStr">
        <is>
          <t>Quittances total</t>
        </is>
      </c>
      <c r="B6" s="76">
        <f>'Adderbury Receipts'!F22</f>
        <v/>
      </c>
    </row>
    <row r="7">
      <c r="A7" s="15" t="inlineStr">
        <is>
          <t>Defaults of rent total</t>
        </is>
      </c>
      <c r="B7" s="76">
        <f>'Adderbury Receipts'!F27</f>
        <v/>
      </c>
    </row>
    <row r="8">
      <c r="A8" s="76" t="inlineStr">
        <is>
          <t>Defaults of rent through the pestilence total</t>
        </is>
      </c>
      <c r="B8" s="76">
        <f>'Adderbury Receipts'!F36</f>
        <v/>
      </c>
    </row>
    <row r="9">
      <c r="A9" s="76" t="inlineStr">
        <is>
          <t>Cotlands defaults total</t>
        </is>
      </c>
      <c r="B9" s="76">
        <f>'Adderbury Receipts'!F45</f>
        <v/>
      </c>
    </row>
    <row r="10">
      <c r="A10" s="76" t="inlineStr">
        <is>
          <t>Cotlands total</t>
        </is>
      </c>
      <c r="B10" s="76">
        <f>'Adderbury Receipts'!F54</f>
        <v/>
      </c>
    </row>
    <row r="11">
      <c r="A11" s="76" t="inlineStr">
        <is>
          <t>Total of quittances and defaults of rent total</t>
        </is>
      </c>
      <c r="B11" s="76">
        <f>'Adderbury Receipts'!F56</f>
        <v/>
      </c>
    </row>
    <row r="12">
      <c r="A12" s="76" t="inlineStr">
        <is>
          <t>Total of rents remaining clear total</t>
        </is>
      </c>
      <c r="B12" s="76">
        <f>'Adderbury Receipts'!F58</f>
        <v/>
      </c>
    </row>
    <row r="13">
      <c r="A13" s="76" t="inlineStr">
        <is>
          <t>Farms total</t>
        </is>
      </c>
      <c r="B13" s="76">
        <f>'Adderbury Receipts'!F70</f>
        <v/>
      </c>
    </row>
    <row r="14">
      <c r="A14" s="15" t="inlineStr">
        <is>
          <t>Annual recognizances total</t>
        </is>
      </c>
      <c r="B14" s="76">
        <f>'Adderbury Receipts'!F90</f>
        <v/>
      </c>
    </row>
    <row r="15">
      <c r="A15" s="15" t="inlineStr">
        <is>
          <t>Issues of the Manor total</t>
        </is>
      </c>
      <c r="B15" s="76">
        <f>'Adderbury Receipts'!F117</f>
        <v/>
      </c>
    </row>
    <row r="16">
      <c r="A16" s="76" t="inlineStr">
        <is>
          <t>Issues of the tenements in the lord's hands total</t>
        </is>
      </c>
      <c r="B16" s="76">
        <f>'Adderbury Receipts'!F126</f>
        <v/>
      </c>
    </row>
    <row r="17">
      <c r="A17" s="76" t="inlineStr">
        <is>
          <t>Sale of labour services total</t>
        </is>
      </c>
      <c r="B17" s="76">
        <f>'Adderbury Receipts'!F135</f>
        <v/>
      </c>
    </row>
    <row r="18">
      <c r="A18" s="15" t="inlineStr">
        <is>
          <t>Sale of corn total</t>
        </is>
      </c>
      <c r="B18" s="76">
        <f>'Adderbury Receipts'!F138</f>
        <v/>
      </c>
    </row>
    <row r="19">
      <c r="A19" s="15" t="inlineStr">
        <is>
          <t>Entry and marriage fines total</t>
        </is>
      </c>
      <c r="B19" s="76">
        <f>'Adderbury Receipts'!F166</f>
        <v/>
      </c>
    </row>
    <row r="20">
      <c r="A20" s="15" t="inlineStr">
        <is>
          <t>Pleas &amp; perquisites total</t>
        </is>
      </c>
      <c r="B20" s="76">
        <f>'Adderbury Receipts'!F173</f>
        <v/>
      </c>
    </row>
    <row r="21">
      <c r="A21" s="76" t="inlineStr">
        <is>
          <t>Forfeited chattels total</t>
        </is>
      </c>
      <c r="B21" s="76">
        <f>'Adderbury Receipts'!F177</f>
        <v/>
      </c>
    </row>
    <row r="22">
      <c r="A22" s="76" t="inlineStr">
        <is>
          <t>Farm of the demesne land total</t>
        </is>
      </c>
      <c r="B22" s="76">
        <f>'Adderbury Receipts'!F181</f>
        <v/>
      </c>
      <c r="D22" s="88" t="n"/>
    </row>
    <row r="23">
      <c r="A23" s="81" t="inlineStr">
        <is>
          <t>Total of all receipts (calculated here)</t>
        </is>
      </c>
      <c r="B23" s="79">
        <f>'Adderbury Receipts'!F185</f>
        <v/>
      </c>
      <c r="C23" s="80" t="n"/>
    </row>
    <row r="24">
      <c r="A24" s="82" t="inlineStr">
        <is>
          <t>Total of all receipts (calculated here) incl arrears</t>
        </is>
      </c>
      <c r="D24" s="13" t="n"/>
      <c r="E24" s="13" t="n"/>
    </row>
    <row r="25">
      <c r="A25" s="83" t="inlineStr">
        <is>
          <t>Total recorded in the accounts excl. arrears</t>
        </is>
      </c>
      <c r="B25" s="76">
        <f>'Adderbury Receipts'!F184</f>
        <v/>
      </c>
      <c r="C25" s="10">
        <f>B23-B25</f>
        <v/>
      </c>
    </row>
    <row r="26">
      <c r="A26" s="83" t="inlineStr">
        <is>
          <t>Total recorded in the accounts incl. arrears</t>
        </is>
      </c>
      <c r="D26" s="13" t="n"/>
      <c r="E26" s="13" t="n"/>
    </row>
    <row r="27">
      <c r="A27" s="15" t="n"/>
    </row>
    <row r="28">
      <c r="A28" s="15" t="n"/>
    </row>
    <row r="29">
      <c r="A29" s="16" t="inlineStr">
        <is>
          <t>EXPENSES</t>
        </is>
      </c>
    </row>
    <row r="30">
      <c r="A30" s="15" t="inlineStr">
        <is>
          <t>Cost of ploughs total</t>
        </is>
      </c>
    </row>
    <row r="31">
      <c r="A31" s="15" t="inlineStr">
        <is>
          <t>Purchase of corn total</t>
        </is>
      </c>
    </row>
    <row r="32">
      <c r="A32" s="15" t="inlineStr">
        <is>
          <t>Cost of carts and wagons total</t>
        </is>
      </c>
    </row>
    <row r="33">
      <c r="A33" s="15" t="inlineStr">
        <is>
          <t>Cost of dairy total</t>
        </is>
      </c>
    </row>
    <row r="34">
      <c r="A34" s="15" t="inlineStr">
        <is>
          <t>Purchase of stock total</t>
        </is>
      </c>
    </row>
    <row r="35">
      <c r="A35" s="15" t="inlineStr">
        <is>
          <t>Sheepcote total</t>
        </is>
      </c>
    </row>
    <row r="36">
      <c r="A36" s="15" t="inlineStr">
        <is>
          <t>Cost of buildings total</t>
        </is>
      </c>
      <c r="B36" s="84">
        <f>'Adderbury Expenses'!F26</f>
        <v/>
      </c>
    </row>
    <row r="37">
      <c r="A37" s="15" t="inlineStr">
        <is>
          <t>Threshing total</t>
        </is>
      </c>
    </row>
    <row r="38">
      <c r="A38" s="15" t="inlineStr">
        <is>
          <t>Barley expenses</t>
        </is>
      </c>
    </row>
    <row r="39">
      <c r="A39" s="15" t="inlineStr">
        <is>
          <t>Expenses of the harvest total</t>
        </is>
      </c>
    </row>
    <row r="40">
      <c r="A40" s="15" t="inlineStr">
        <is>
          <t>Necessary expenses</t>
        </is>
      </c>
    </row>
    <row r="41">
      <c r="A41" s="15" t="inlineStr">
        <is>
          <t>Wages of the bailiff</t>
        </is>
      </c>
      <c r="B41" s="84">
        <f>'Adderbury Expenses'!F30</f>
        <v/>
      </c>
    </row>
    <row r="42">
      <c r="A42" s="15" t="inlineStr">
        <is>
          <t>Steward's expenses total</t>
        </is>
      </c>
      <c r="B42" s="84">
        <f>'Adderbury Expenses'!F33</f>
        <v/>
      </c>
    </row>
    <row r="43">
      <c r="A43" s="85" t="inlineStr">
        <is>
          <t>Annual fees</t>
        </is>
      </c>
      <c r="B43" s="86">
        <f>'Adderbury Expenses'!F37</f>
        <v/>
      </c>
      <c r="C43" s="87" t="n"/>
      <c r="D43" s="88" t="n"/>
    </row>
    <row r="44">
      <c r="A44" s="82" t="inlineStr">
        <is>
          <t>Total of all expenses per account</t>
        </is>
      </c>
      <c r="B44" s="84" t="n"/>
    </row>
    <row r="45">
      <c r="A45" s="82" t="inlineStr">
        <is>
          <t>Total of all expenses (calculated here)</t>
        </is>
      </c>
      <c r="B45" s="84" t="n"/>
    </row>
    <row r="46">
      <c r="A46" s="82" t="inlineStr">
        <is>
          <t>Total fixed investment</t>
        </is>
      </c>
      <c r="B46" s="84" t="n"/>
    </row>
    <row r="47">
      <c r="A47" s="82" t="inlineStr">
        <is>
          <t>Total Demesne fixed investment</t>
        </is>
      </c>
      <c r="B47" s="84" t="n"/>
    </row>
    <row r="48">
      <c r="A48" s="12" t="n"/>
    </row>
    <row r="49">
      <c r="A49" s="18" t="inlineStr">
        <is>
          <t>Owed by the reeve</t>
        </is>
      </c>
      <c r="B49" s="84">
        <f>B23-B45</f>
        <v/>
      </c>
    </row>
    <row r="50">
      <c r="A50" s="18" t="inlineStr">
        <is>
          <t>From accounts</t>
        </is>
      </c>
      <c r="B50" s="84">
        <f>'Adderbury Expenses'!F41</f>
        <v/>
      </c>
    </row>
    <row r="51">
      <c r="A51" s="15" t="n"/>
    </row>
    <row r="52">
      <c r="A52" s="18" t="inlineStr">
        <is>
          <t>Allowances</t>
        </is>
      </c>
      <c r="B52" s="84">
        <f>'Adderbury Expenses'!F45</f>
        <v/>
      </c>
    </row>
    <row r="53">
      <c r="A53" s="18" t="inlineStr">
        <is>
          <t>Cash deliveries</t>
        </is>
      </c>
      <c r="B53" s="84">
        <f>'Adderbury Expenses'!F48</f>
        <v/>
      </c>
    </row>
    <row r="54">
      <c r="A54" s="19" t="inlineStr">
        <is>
          <t>Sum of the above</t>
        </is>
      </c>
      <c r="B54" s="84">
        <f>SUM(B52:B53)</f>
        <v/>
      </c>
    </row>
    <row r="55">
      <c r="A55" s="20" t="inlineStr">
        <is>
          <t>Total of all allowances and cash deliveries in accounts</t>
        </is>
      </c>
    </row>
    <row r="56">
      <c r="A56" s="15" t="n"/>
    </row>
    <row r="57">
      <c r="A57" s="18" t="inlineStr">
        <is>
          <t>Net amount owed</t>
        </is>
      </c>
      <c r="B57" s="84">
        <f>B50-B54</f>
        <v/>
      </c>
    </row>
    <row r="58">
      <c r="A58" s="18" t="inlineStr">
        <is>
          <t>Net amount owed in accounts</t>
        </is>
      </c>
    </row>
    <row r="59">
      <c r="A59" s="15" t="n"/>
    </row>
    <row r="60">
      <c r="A60" s="16" t="inlineStr">
        <is>
          <t xml:space="preserve">GRANGE ACCOUNT </t>
        </is>
      </c>
      <c r="B60" s="120" t="inlineStr">
        <is>
          <t>Total Production</t>
        </is>
      </c>
      <c r="D60" s="117" t="inlineStr">
        <is>
          <t>Value of total gross production in £</t>
        </is>
      </c>
      <c r="E60" s="117" t="inlineStr">
        <is>
          <t>Value of total net production in £</t>
        </is>
      </c>
    </row>
    <row r="61">
      <c r="A61" s="8" t="inlineStr">
        <is>
          <t>Grange</t>
        </is>
      </c>
      <c r="B61" s="89" t="inlineStr">
        <is>
          <t>qrs</t>
        </is>
      </c>
      <c r="C61" s="90" t="inlineStr">
        <is>
          <t>bus</t>
        </is>
      </c>
    </row>
    <row r="62">
      <c r="A62" s="76" t="inlineStr">
        <is>
          <t>Wheat</t>
        </is>
      </c>
      <c r="F62" s="13" t="n"/>
    </row>
    <row r="63">
      <c r="A63" s="76" t="inlineStr">
        <is>
          <t>Rye</t>
        </is>
      </c>
      <c r="F63" s="13" t="n"/>
    </row>
    <row r="64">
      <c r="A64" s="76" t="inlineStr">
        <is>
          <t>Dredge</t>
        </is>
      </c>
      <c r="F64" s="13" t="n"/>
    </row>
    <row r="65">
      <c r="A65" s="76" t="inlineStr">
        <is>
          <t>Curall</t>
        </is>
      </c>
      <c r="F65" s="13" t="n"/>
    </row>
    <row r="66">
      <c r="A66" s="76" t="inlineStr">
        <is>
          <t>Barley</t>
        </is>
      </c>
      <c r="F66" s="13" t="n"/>
    </row>
    <row r="67">
      <c r="A67" s="76" t="inlineStr">
        <is>
          <t>Oats</t>
        </is>
      </c>
      <c r="F67" s="13" t="n"/>
    </row>
    <row r="68">
      <c r="A68" s="76" t="inlineStr">
        <is>
          <t>Beans</t>
        </is>
      </c>
      <c r="F68" s="13" t="n"/>
    </row>
    <row r="69">
      <c r="A69" s="76" t="inlineStr">
        <is>
          <t>Peas</t>
        </is>
      </c>
      <c r="F69" s="13" t="n"/>
    </row>
    <row r="70">
      <c r="A70" s="76" t="inlineStr">
        <is>
          <t>Vetches</t>
        </is>
      </c>
    </row>
    <row r="71">
      <c r="A71" s="17" t="inlineStr">
        <is>
          <t>Total value of gross production (sum of the above)</t>
        </is>
      </c>
      <c r="B71" s="93">
        <f>SUM(D62:D70)</f>
        <v/>
      </c>
      <c r="C71" s="94" t="n"/>
      <c r="D71" s="93" t="n"/>
      <c r="E71" s="93" t="n"/>
    </row>
    <row r="72">
      <c r="A72" s="17" t="inlineStr">
        <is>
          <t>Total value of net production</t>
        </is>
      </c>
      <c r="B72" s="93">
        <f>SUM(E62:E70)</f>
        <v/>
      </c>
      <c r="C72" s="94" t="n"/>
      <c r="D72" s="93" t="n"/>
      <c r="E72" s="93" t="n"/>
    </row>
    <row r="73">
      <c r="A73" s="17" t="inlineStr">
        <is>
          <t>Value of sales</t>
        </is>
      </c>
      <c r="B73" s="93" t="n"/>
      <c r="C73" s="94" t="n"/>
      <c r="D73" s="93" t="n"/>
      <c r="E73" s="93" t="n"/>
    </row>
    <row r="74">
      <c r="A74" s="15" t="n"/>
    </row>
    <row r="75">
      <c r="A75" s="16" t="inlineStr">
        <is>
          <t>MILL ACCOUNT</t>
        </is>
      </c>
      <c r="B75" s="120" t="inlineStr">
        <is>
          <t>Total Production</t>
        </is>
      </c>
      <c r="D75" s="91" t="inlineStr">
        <is>
          <t>Total in £</t>
        </is>
      </c>
      <c r="E75" s="91" t="n"/>
      <c r="F75" s="13" t="inlineStr">
        <is>
          <t>Not yet implemented</t>
        </is>
      </c>
    </row>
    <row r="76">
      <c r="A76" s="8" t="inlineStr">
        <is>
          <t>Issues of the mill</t>
        </is>
      </c>
      <c r="B76" s="89" t="inlineStr">
        <is>
          <t>qrs</t>
        </is>
      </c>
      <c r="C76" s="90" t="inlineStr">
        <is>
          <t>bus</t>
        </is>
      </c>
    </row>
    <row r="77">
      <c r="A77" s="15" t="inlineStr">
        <is>
          <t>Wheat</t>
        </is>
      </c>
      <c r="F77" s="13" t="n"/>
    </row>
    <row r="78">
      <c r="A78" s="15" t="inlineStr">
        <is>
          <t>Oatmeal</t>
        </is>
      </c>
    </row>
    <row r="79">
      <c r="A79" s="15" t="inlineStr">
        <is>
          <t>1st grade malt</t>
        </is>
      </c>
    </row>
    <row r="80">
      <c r="A80" s="15" t="inlineStr">
        <is>
          <t>2nd grade malt</t>
        </is>
      </c>
    </row>
    <row r="81">
      <c r="A81" s="15" t="inlineStr">
        <is>
          <t>Maslin</t>
        </is>
      </c>
    </row>
    <row r="82">
      <c r="A82" s="17" t="inlineStr">
        <is>
          <t>Total value of production (sum of the above)</t>
        </is>
      </c>
      <c r="B82" s="93" t="n"/>
      <c r="C82" s="94" t="n"/>
      <c r="D82" s="93" t="n"/>
      <c r="E82" s="93" t="n"/>
    </row>
    <row r="83">
      <c r="A83" s="17" t="inlineStr">
        <is>
          <t>Value of sales</t>
        </is>
      </c>
      <c r="B83" s="93" t="n"/>
      <c r="C83" s="94" t="n"/>
      <c r="D83" s="93" t="n"/>
      <c r="E83" s="93" t="n"/>
    </row>
    <row r="84">
      <c r="A84" s="15" t="n"/>
    </row>
    <row r="85">
      <c r="A85" s="92" t="inlineStr">
        <is>
          <t>STOCK ACCOUNT</t>
        </is>
      </c>
      <c r="B85" s="93" t="n"/>
      <c r="C85" s="94" t="n"/>
      <c r="D85" s="93" t="n"/>
      <c r="E85" s="93" t="n"/>
      <c r="F85" s="93" t="n"/>
      <c r="G85" s="93" t="n"/>
    </row>
    <row r="86">
      <c r="A86" s="21" t="inlineStr">
        <is>
          <t>Livestock</t>
        </is>
      </c>
      <c r="B86" s="95" t="inlineStr">
        <is>
          <t>Begin stock</t>
        </is>
      </c>
      <c r="C86" s="95" t="inlineStr">
        <is>
          <t>End stock</t>
        </is>
      </c>
      <c r="D86" s="95" t="inlineStr">
        <is>
          <t>Stockbuilding</t>
        </is>
      </c>
      <c r="E86" s="95" t="n"/>
      <c r="F86" s="95" t="inlineStr">
        <is>
          <t>Value of stock in £</t>
        </is>
      </c>
      <c r="G86" s="53" t="inlineStr">
        <is>
          <t>Value of stockbuilding</t>
        </is>
      </c>
    </row>
    <row r="87">
      <c r="A87" s="22" t="inlineStr">
        <is>
          <t>Cart-horses</t>
        </is>
      </c>
      <c r="B87" s="76">
        <f>'Adderbury Stock'!B5</f>
        <v/>
      </c>
      <c r="C87" s="76">
        <f>'Adderbury Stock'!K5</f>
        <v/>
      </c>
      <c r="D87" s="76">
        <f>'Adderbury Overview'!C87-'Adderbury Overview'!B87</f>
        <v/>
      </c>
      <c r="F87" s="84">
        <f>'Adderbury Stock'!P5</f>
        <v/>
      </c>
      <c r="G87" s="84">
        <f>'Adderbury Stock'!S5</f>
        <v/>
      </c>
    </row>
    <row r="88">
      <c r="A88" s="22" t="inlineStr">
        <is>
          <t>Mares</t>
        </is>
      </c>
      <c r="B88" s="76">
        <f>'Adderbury Stock'!B6</f>
        <v/>
      </c>
      <c r="C88" s="76">
        <f>'Adderbury Stock'!K6</f>
        <v/>
      </c>
      <c r="D88" s="76">
        <f>'Adderbury Overview'!C88-'Adderbury Overview'!B88</f>
        <v/>
      </c>
      <c r="F88" s="84">
        <f>'Adderbury Stock'!P6</f>
        <v/>
      </c>
      <c r="G88" s="84">
        <f>'Adderbury Stock'!S6</f>
        <v/>
      </c>
    </row>
    <row r="89">
      <c r="A89" s="15" t="inlineStr">
        <is>
          <t>Plough horses</t>
        </is>
      </c>
      <c r="B89" s="76">
        <f>'Adderbury Stock'!B7</f>
        <v/>
      </c>
      <c r="C89" s="76">
        <f>'Adderbury Stock'!K7</f>
        <v/>
      </c>
      <c r="D89" s="76">
        <f>'Adderbury Overview'!C89-'Adderbury Overview'!B89</f>
        <v/>
      </c>
      <c r="F89" s="84">
        <f>'Adderbury Stock'!P7</f>
        <v/>
      </c>
      <c r="G89" s="84">
        <f>'Adderbury Stock'!S7</f>
        <v/>
      </c>
    </row>
    <row r="90">
      <c r="A90" s="15" t="inlineStr">
        <is>
          <t>Colts (2 years)</t>
        </is>
      </c>
      <c r="B90" s="76">
        <f>'Adderbury Stock'!B8</f>
        <v/>
      </c>
      <c r="C90" s="76">
        <f>'Adderbury Stock'!K8</f>
        <v/>
      </c>
      <c r="D90" s="76">
        <f>'Adderbury Overview'!C90-'Adderbury Overview'!B90</f>
        <v/>
      </c>
      <c r="F90" s="84">
        <f>'Adderbury Stock'!P8</f>
        <v/>
      </c>
      <c r="G90" s="84">
        <f>'Adderbury Stock'!S8</f>
        <v/>
      </c>
    </row>
    <row r="91">
      <c r="A91" s="15" t="inlineStr">
        <is>
          <t>Colts (2 years)</t>
        </is>
      </c>
      <c r="B91" s="76">
        <f>'Adderbury Stock'!B9</f>
        <v/>
      </c>
      <c r="C91" s="76">
        <f>'Adderbury Stock'!K9</f>
        <v/>
      </c>
      <c r="D91" s="76">
        <f>'Adderbury Overview'!C91-'Adderbury Overview'!B91</f>
        <v/>
      </c>
      <c r="F91" s="84">
        <f>'Adderbury Stock'!P9</f>
        <v/>
      </c>
      <c r="G91" s="84">
        <f>'Adderbury Stock'!S9</f>
        <v/>
      </c>
    </row>
    <row r="92">
      <c r="A92" s="15" t="inlineStr">
        <is>
          <t>Colts (1 year)</t>
        </is>
      </c>
      <c r="B92" s="76">
        <f>'Adderbury Stock'!B10</f>
        <v/>
      </c>
      <c r="C92" s="76">
        <f>'Adderbury Stock'!K10</f>
        <v/>
      </c>
      <c r="D92" s="76">
        <f>'Adderbury Overview'!C92-'Adderbury Overview'!B92</f>
        <v/>
      </c>
      <c r="F92" s="84">
        <f>'Adderbury Stock'!P10</f>
        <v/>
      </c>
      <c r="G92" s="84">
        <f>'Adderbury Stock'!S10</f>
        <v/>
      </c>
    </row>
    <row r="93">
      <c r="A93" s="15" t="inlineStr">
        <is>
          <t>Foals</t>
        </is>
      </c>
      <c r="B93" s="76">
        <f>'Adderbury Stock'!B11</f>
        <v/>
      </c>
      <c r="C93" s="76">
        <f>'Adderbury Stock'!K11</f>
        <v/>
      </c>
      <c r="D93" s="76">
        <f>'Adderbury Overview'!C93-'Adderbury Overview'!B93</f>
        <v/>
      </c>
      <c r="F93" s="84">
        <f>'Adderbury Stock'!P11</f>
        <v/>
      </c>
      <c r="G93" s="84">
        <f>'Adderbury Stock'!S11</f>
        <v/>
      </c>
    </row>
    <row r="94">
      <c r="A94" s="15" t="inlineStr">
        <is>
          <t>Oxen</t>
        </is>
      </c>
      <c r="B94" s="76">
        <f>'Adderbury Stock'!B12</f>
        <v/>
      </c>
      <c r="C94" s="76">
        <f>'Adderbury Stock'!K12</f>
        <v/>
      </c>
      <c r="D94" s="76">
        <f>'Adderbury Overview'!C94-'Adderbury Overview'!B94</f>
        <v/>
      </c>
      <c r="F94" s="84">
        <f>'Adderbury Stock'!P12</f>
        <v/>
      </c>
      <c r="G94" s="84">
        <f>'Adderbury Stock'!S12</f>
        <v/>
      </c>
    </row>
    <row r="95">
      <c r="A95" s="15" t="inlineStr">
        <is>
          <t>Bulls</t>
        </is>
      </c>
      <c r="B95" s="76">
        <f>'Adderbury Stock'!B13</f>
        <v/>
      </c>
      <c r="C95" s="76">
        <f>'Adderbury Stock'!K13</f>
        <v/>
      </c>
      <c r="D95" s="76">
        <f>'Adderbury Overview'!C95-'Adderbury Overview'!B95</f>
        <v/>
      </c>
      <c r="F95" s="84">
        <f>'Adderbury Stock'!P13</f>
        <v/>
      </c>
      <c r="G95" s="84">
        <f>'Adderbury Stock'!S13</f>
        <v/>
      </c>
    </row>
    <row r="96">
      <c r="A96" s="15" t="inlineStr">
        <is>
          <t>Cows</t>
        </is>
      </c>
      <c r="B96" s="76">
        <f>'Adderbury Stock'!B14</f>
        <v/>
      </c>
      <c r="C96" s="76">
        <f>'Adderbury Stock'!K14</f>
        <v/>
      </c>
      <c r="D96" s="76">
        <f>'Adderbury Overview'!C96-'Adderbury Overview'!B96</f>
        <v/>
      </c>
      <c r="F96" s="84">
        <f>'Adderbury Stock'!P14</f>
        <v/>
      </c>
      <c r="G96" s="84">
        <f>'Adderbury Stock'!S14</f>
        <v/>
      </c>
    </row>
    <row r="97">
      <c r="A97" s="15" t="inlineStr">
        <is>
          <t>Steers</t>
        </is>
      </c>
      <c r="B97" s="76">
        <f>'Adderbury Stock'!B15</f>
        <v/>
      </c>
      <c r="C97" s="76">
        <f>'Adderbury Stock'!K15</f>
        <v/>
      </c>
      <c r="D97" s="76">
        <f>'Adderbury Overview'!C97-'Adderbury Overview'!B97</f>
        <v/>
      </c>
      <c r="F97" s="84">
        <f>'Adderbury Stock'!P15</f>
        <v/>
      </c>
      <c r="G97" s="84">
        <f>'Adderbury Stock'!S15</f>
        <v/>
      </c>
    </row>
    <row r="98">
      <c r="A98" s="15" t="inlineStr">
        <is>
          <t>Bullocks</t>
        </is>
      </c>
      <c r="B98" s="76">
        <f>'Adderbury Stock'!B16</f>
        <v/>
      </c>
      <c r="C98" s="76">
        <f>'Adderbury Stock'!K16</f>
        <v/>
      </c>
      <c r="D98" s="76">
        <f>'Adderbury Overview'!C98-'Adderbury Overview'!B98</f>
        <v/>
      </c>
      <c r="F98" s="84">
        <f>'Adderbury Stock'!P16</f>
        <v/>
      </c>
      <c r="G98" s="84">
        <f>'Adderbury Stock'!S16</f>
        <v/>
      </c>
    </row>
    <row r="99">
      <c r="A99" s="15" t="inlineStr">
        <is>
          <t>Yearlings</t>
        </is>
      </c>
      <c r="B99" s="76">
        <f>'Adderbury Stock'!B17</f>
        <v/>
      </c>
      <c r="C99" s="76">
        <f>'Adderbury Stock'!K17</f>
        <v/>
      </c>
      <c r="D99" s="76">
        <f>'Adderbury Overview'!C99-'Adderbury Overview'!B99</f>
        <v/>
      </c>
      <c r="F99" s="84">
        <f>'Adderbury Stock'!P17</f>
        <v/>
      </c>
      <c r="G99" s="84">
        <f>'Adderbury Stock'!S17</f>
        <v/>
      </c>
    </row>
    <row r="100">
      <c r="A100" s="15" t="inlineStr">
        <is>
          <t>Calves</t>
        </is>
      </c>
      <c r="B100" s="76">
        <f>'Adderbury Stock'!B18</f>
        <v/>
      </c>
      <c r="C100" s="76">
        <f>'Adderbury Stock'!K18</f>
        <v/>
      </c>
      <c r="D100" s="76">
        <f>'Adderbury Overview'!C100-'Adderbury Overview'!B100</f>
        <v/>
      </c>
      <c r="F100" s="84">
        <f>'Adderbury Stock'!P18</f>
        <v/>
      </c>
      <c r="G100" s="84">
        <f>'Adderbury Stock'!S18</f>
        <v/>
      </c>
    </row>
    <row r="101">
      <c r="A101" s="15" t="inlineStr">
        <is>
          <t>Wethers</t>
        </is>
      </c>
      <c r="B101" s="76">
        <f>'Adderbury Stock'!B19</f>
        <v/>
      </c>
      <c r="C101" s="76">
        <f>'Adderbury Stock'!K19</f>
        <v/>
      </c>
      <c r="D101" s="76">
        <f>'Adderbury Overview'!C101-'Adderbury Overview'!B101</f>
        <v/>
      </c>
      <c r="F101" s="84">
        <f>'Adderbury Stock'!P19</f>
        <v/>
      </c>
      <c r="G101" s="84">
        <f>'Adderbury Stock'!S19</f>
        <v/>
      </c>
    </row>
    <row r="102">
      <c r="A102" s="15" t="inlineStr">
        <is>
          <t>Rams</t>
        </is>
      </c>
      <c r="B102" s="76">
        <f>'Adderbury Stock'!B20</f>
        <v/>
      </c>
      <c r="C102" s="76">
        <f>'Adderbury Stock'!K20</f>
        <v/>
      </c>
      <c r="D102" s="76">
        <f>'Adderbury Overview'!C102-'Adderbury Overview'!B102</f>
        <v/>
      </c>
      <c r="F102" s="84">
        <f>'Adderbury Stock'!P20</f>
        <v/>
      </c>
      <c r="G102" s="84">
        <f>'Adderbury Stock'!S20</f>
        <v/>
      </c>
    </row>
    <row r="103">
      <c r="A103" s="15" t="inlineStr">
        <is>
          <t>Ewes</t>
        </is>
      </c>
      <c r="B103" s="76">
        <f>'Adderbury Stock'!B21</f>
        <v/>
      </c>
      <c r="C103" s="76">
        <f>'Adderbury Stock'!K21</f>
        <v/>
      </c>
      <c r="D103" s="76">
        <f>'Adderbury Overview'!C103-'Adderbury Overview'!B103</f>
        <v/>
      </c>
      <c r="F103" s="84">
        <f>'Adderbury Stock'!P21</f>
        <v/>
      </c>
      <c r="G103" s="84">
        <f>'Adderbury Stock'!S21</f>
        <v/>
      </c>
    </row>
    <row r="104">
      <c r="A104" s="15" t="inlineStr">
        <is>
          <t>Hoggs</t>
        </is>
      </c>
      <c r="B104" s="76">
        <f>'Adderbury Stock'!B22</f>
        <v/>
      </c>
      <c r="C104" s="76">
        <f>'Adderbury Stock'!K22</f>
        <v/>
      </c>
      <c r="D104" s="76">
        <f>'Adderbury Overview'!C104-'Adderbury Overview'!B104</f>
        <v/>
      </c>
      <c r="F104" s="84">
        <f>'Adderbury Stock'!P22</f>
        <v/>
      </c>
      <c r="G104" s="84">
        <f>'Adderbury Stock'!S22</f>
        <v/>
      </c>
    </row>
    <row r="105">
      <c r="A105" s="15" t="inlineStr">
        <is>
          <t>Lambs</t>
        </is>
      </c>
      <c r="B105" s="76">
        <f>'Adderbury Stock'!B23</f>
        <v/>
      </c>
      <c r="C105" s="76">
        <f>'Adderbury Stock'!K23</f>
        <v/>
      </c>
      <c r="D105" s="76">
        <f>'Adderbury Overview'!C105-'Adderbury Overview'!B105</f>
        <v/>
      </c>
      <c r="F105" s="84">
        <f>'Adderbury Stock'!P23</f>
        <v/>
      </c>
      <c r="G105" s="84">
        <f>'Adderbury Stock'!S23</f>
        <v/>
      </c>
    </row>
    <row r="106">
      <c r="A106" s="15" t="inlineStr">
        <is>
          <t>Boars</t>
        </is>
      </c>
      <c r="B106" s="76">
        <f>'Adderbury Stock'!B24</f>
        <v/>
      </c>
      <c r="C106" s="76">
        <f>'Adderbury Stock'!K24</f>
        <v/>
      </c>
      <c r="D106" s="76">
        <f>'Adderbury Overview'!C106-'Adderbury Overview'!B106</f>
        <v/>
      </c>
      <c r="F106" s="84">
        <f>'Adderbury Stock'!P24</f>
        <v/>
      </c>
      <c r="G106" s="84">
        <f>'Adderbury Stock'!S24</f>
        <v/>
      </c>
    </row>
    <row r="107">
      <c r="A107" s="15" t="inlineStr">
        <is>
          <t>Sows</t>
        </is>
      </c>
      <c r="B107" s="76">
        <f>'Adderbury Stock'!B25</f>
        <v/>
      </c>
      <c r="C107" s="76">
        <f>'Adderbury Stock'!K25</f>
        <v/>
      </c>
      <c r="D107" s="76">
        <f>'Adderbury Overview'!C107-'Adderbury Overview'!B107</f>
        <v/>
      </c>
      <c r="F107" s="84">
        <f>'Adderbury Stock'!P25</f>
        <v/>
      </c>
      <c r="G107" s="84">
        <f>'Adderbury Stock'!S25</f>
        <v/>
      </c>
    </row>
    <row r="108">
      <c r="A108" s="15" t="inlineStr">
        <is>
          <t>Pigs</t>
        </is>
      </c>
      <c r="B108" s="76">
        <f>'Adderbury Stock'!B26</f>
        <v/>
      </c>
      <c r="C108" s="76">
        <f>'Adderbury Stock'!K26</f>
        <v/>
      </c>
      <c r="D108" s="76">
        <f>'Adderbury Overview'!C108-'Adderbury Overview'!B108</f>
        <v/>
      </c>
      <c r="F108" s="84">
        <f>'Adderbury Stock'!P26</f>
        <v/>
      </c>
      <c r="G108" s="84">
        <f>'Adderbury Stock'!S26</f>
        <v/>
      </c>
    </row>
    <row r="109">
      <c r="A109" s="15" t="inlineStr">
        <is>
          <t>Hoggets</t>
        </is>
      </c>
      <c r="B109" s="76">
        <f>'Adderbury Stock'!B27</f>
        <v/>
      </c>
      <c r="C109" s="76">
        <f>'Adderbury Stock'!K27</f>
        <v/>
      </c>
      <c r="D109" s="76">
        <f>'Adderbury Overview'!C109-'Adderbury Overview'!B109</f>
        <v/>
      </c>
      <c r="F109" s="84">
        <f>'Adderbury Stock'!P27</f>
        <v/>
      </c>
      <c r="G109" s="84">
        <f>'Adderbury Stock'!S27</f>
        <v/>
      </c>
    </row>
    <row r="110">
      <c r="A110" s="15" t="inlineStr">
        <is>
          <t>Piglets</t>
        </is>
      </c>
      <c r="B110" s="76">
        <f>'Adderbury Stock'!B28</f>
        <v/>
      </c>
      <c r="C110" s="76">
        <f>'Adderbury Stock'!K28</f>
        <v/>
      </c>
      <c r="D110" s="76">
        <f>'Adderbury Overview'!C110-'Adderbury Overview'!B110</f>
        <v/>
      </c>
      <c r="F110" s="84">
        <f>'Adderbury Stock'!P28</f>
        <v/>
      </c>
      <c r="G110" s="84">
        <f>'Adderbury Stock'!S28</f>
        <v/>
      </c>
    </row>
    <row r="111">
      <c r="A111" s="15" t="inlineStr">
        <is>
          <t>Swans</t>
        </is>
      </c>
      <c r="B111" s="76">
        <f>'Adderbury Stock'!B29</f>
        <v/>
      </c>
      <c r="C111" s="76">
        <f>'Adderbury Stock'!K29</f>
        <v/>
      </c>
      <c r="D111" s="76">
        <f>'Adderbury Overview'!C111-'Adderbury Overview'!B111</f>
        <v/>
      </c>
      <c r="F111" s="84">
        <f>'Adderbury Stock'!P29</f>
        <v/>
      </c>
      <c r="G111" s="84">
        <f>'Adderbury Stock'!S29</f>
        <v/>
      </c>
    </row>
    <row r="112">
      <c r="A112" s="15" t="inlineStr">
        <is>
          <t>Peacocks</t>
        </is>
      </c>
      <c r="B112" s="76">
        <f>'Adderbury Stock'!B30</f>
        <v/>
      </c>
      <c r="C112" s="76">
        <f>'Adderbury Stock'!K30</f>
        <v/>
      </c>
      <c r="D112" s="76">
        <f>'Adderbury Overview'!C112-'Adderbury Overview'!B112</f>
        <v/>
      </c>
      <c r="F112" s="84">
        <f>'Adderbury Stock'!P30</f>
        <v/>
      </c>
      <c r="G112" s="84">
        <f>'Adderbury Stock'!S30</f>
        <v/>
      </c>
    </row>
    <row r="113">
      <c r="A113" s="17" t="inlineStr">
        <is>
          <t>Total value of stock (sum of the above)</t>
        </is>
      </c>
      <c r="B113" s="93" t="n"/>
      <c r="C113" s="94" t="n"/>
      <c r="D113" s="93" t="n"/>
      <c r="E113" s="93" t="n"/>
      <c r="F113" s="107">
        <f>SUM(F87:F112)</f>
        <v/>
      </c>
      <c r="G113" s="107">
        <f>'Adderbury Stock'!S31</f>
        <v/>
      </c>
    </row>
    <row r="114">
      <c r="A114" s="17" t="inlineStr">
        <is>
          <t>Total value of production</t>
        </is>
      </c>
      <c r="B114" s="93" t="n"/>
      <c r="C114" s="94" t="n"/>
      <c r="D114" s="93" t="n"/>
      <c r="E114" s="93" t="n"/>
      <c r="F114" s="107">
        <f>SUM('Adderbury Stock'!T5:T29)</f>
        <v/>
      </c>
      <c r="G114" s="107" t="n"/>
    </row>
    <row r="115">
      <c r="A115" s="17" t="inlineStr">
        <is>
          <t>Value of sales</t>
        </is>
      </c>
      <c r="B115" s="93" t="n"/>
      <c r="C115" s="94" t="n"/>
      <c r="D115" s="93" t="n"/>
      <c r="E115" s="93" t="n"/>
      <c r="F115" s="107">
        <f>SUM('Adderbury Stock'!R5:R23)</f>
        <v/>
      </c>
      <c r="G115" s="107" t="n"/>
    </row>
    <row r="116">
      <c r="A116" s="15" t="n"/>
    </row>
    <row r="117">
      <c r="A117" s="16" t="inlineStr">
        <is>
          <t>Wool</t>
        </is>
      </c>
      <c r="B117" s="95" t="inlineStr">
        <is>
          <t>Begin stock</t>
        </is>
      </c>
      <c r="C117" s="95" t="inlineStr">
        <is>
          <t>End stock</t>
        </is>
      </c>
      <c r="D117" s="95" t="inlineStr">
        <is>
          <t>Stockbuilding</t>
        </is>
      </c>
      <c r="E117" s="95" t="n"/>
      <c r="F117" s="95" t="inlineStr">
        <is>
          <t>Value of stock in £</t>
        </is>
      </c>
    </row>
    <row r="118">
      <c r="A118" s="22" t="inlineStr">
        <is>
          <t>Fleeces</t>
        </is>
      </c>
      <c r="G118" s="96" t="n"/>
    </row>
    <row r="119">
      <c r="A119" s="15" t="inlineStr">
        <is>
          <t>Coarse wool</t>
        </is>
      </c>
    </row>
    <row r="120">
      <c r="A120" s="15" t="inlineStr">
        <is>
          <t>Lamb's wool</t>
        </is>
      </c>
    </row>
    <row r="121">
      <c r="A121" s="15" t="inlineStr">
        <is>
          <t>Wool locks</t>
        </is>
      </c>
    </row>
    <row r="122">
      <c r="A122" s="15" t="inlineStr">
        <is>
          <t>Wool sold at shearing</t>
        </is>
      </c>
    </row>
    <row r="123">
      <c r="A123" s="119" t="inlineStr">
        <is>
          <t>Total value of production (sum of the above)</t>
        </is>
      </c>
      <c r="B123" s="93" t="n"/>
      <c r="C123" s="94" t="n"/>
      <c r="D123" s="93" t="n"/>
      <c r="E123" s="93" t="n"/>
      <c r="F123" s="93" t="n"/>
    </row>
    <row r="124">
      <c r="A124" s="119" t="inlineStr">
        <is>
          <t>Value of sales</t>
        </is>
      </c>
      <c r="B124" s="93" t="n"/>
      <c r="C124" s="94" t="n"/>
      <c r="D124" s="93" t="n"/>
      <c r="E124" s="93" t="n"/>
      <c r="F124" s="93" t="n"/>
    </row>
    <row r="125">
      <c r="A125" s="8" t="n"/>
    </row>
    <row r="126">
      <c r="A126" s="16" t="inlineStr">
        <is>
          <t>Hides</t>
        </is>
      </c>
      <c r="B126" s="95" t="inlineStr">
        <is>
          <t>Begin stock</t>
        </is>
      </c>
      <c r="C126" s="95" t="inlineStr">
        <is>
          <t>End stock</t>
        </is>
      </c>
      <c r="D126" s="95" t="inlineStr">
        <is>
          <t>Stockbuilding</t>
        </is>
      </c>
      <c r="E126" s="95" t="n"/>
      <c r="F126" s="95" t="inlineStr">
        <is>
          <t>Value of stock in £</t>
        </is>
      </c>
    </row>
    <row r="127">
      <c r="A127" s="15" t="inlineStr">
        <is>
          <t>Ox hides</t>
        </is>
      </c>
      <c r="G127" s="96" t="n"/>
    </row>
    <row r="128">
      <c r="A128" s="15" t="inlineStr">
        <is>
          <t>Cow hides</t>
        </is>
      </c>
      <c r="F128" s="76" t="n">
        <v>1</v>
      </c>
    </row>
    <row r="129">
      <c r="A129" s="15" t="inlineStr">
        <is>
          <t>Mare hides</t>
        </is>
      </c>
    </row>
    <row r="130">
      <c r="A130" s="15" t="inlineStr">
        <is>
          <t>Steer hides</t>
        </is>
      </c>
    </row>
    <row r="131">
      <c r="A131" s="15" t="inlineStr">
        <is>
          <t>Yearling Calf hides</t>
        </is>
      </c>
    </row>
    <row r="132">
      <c r="A132" s="15" t="inlineStr">
        <is>
          <t>Calf hides</t>
        </is>
      </c>
    </row>
    <row r="133">
      <c r="A133" s="23" t="inlineStr">
        <is>
          <t>Pig hides</t>
        </is>
      </c>
    </row>
    <row r="134">
      <c r="A134" s="24" t="inlineStr">
        <is>
          <t>Wether woolskins</t>
        </is>
      </c>
    </row>
    <row r="135">
      <c r="A135" s="24" t="inlineStr">
        <is>
          <t>Ram woolskins</t>
        </is>
      </c>
    </row>
    <row r="136">
      <c r="A136" s="24" t="inlineStr">
        <is>
          <t>Ewe woolskins</t>
        </is>
      </c>
    </row>
    <row r="137">
      <c r="A137" s="24" t="inlineStr">
        <is>
          <t>Hogg woolskins</t>
        </is>
      </c>
    </row>
    <row r="138">
      <c r="A138" s="25" t="inlineStr">
        <is>
          <t>Woolskins total</t>
        </is>
      </c>
    </row>
    <row r="139">
      <c r="A139" s="24" t="inlineStr">
        <is>
          <t>Wether bareskins</t>
        </is>
      </c>
    </row>
    <row r="140">
      <c r="A140" s="24" t="inlineStr">
        <is>
          <t>Ram bareskins</t>
        </is>
      </c>
    </row>
    <row r="141">
      <c r="A141" s="24" t="inlineStr">
        <is>
          <t>Ewe bareskins</t>
        </is>
      </c>
    </row>
    <row r="142">
      <c r="A142" s="24" t="inlineStr">
        <is>
          <t>Hogg bareskins</t>
        </is>
      </c>
    </row>
    <row r="143">
      <c r="A143" s="25" t="inlineStr">
        <is>
          <t>Bareskins total</t>
        </is>
      </c>
    </row>
    <row r="144">
      <c r="A144" s="15" t="inlineStr">
        <is>
          <t>Lambskins</t>
        </is>
      </c>
    </row>
    <row r="145">
      <c r="A145" s="15" t="inlineStr">
        <is>
          <t>Rotted skins</t>
        </is>
      </c>
    </row>
    <row r="146">
      <c r="A146" s="15" t="inlineStr">
        <is>
          <t>Shorn skins</t>
        </is>
      </c>
    </row>
    <row r="147">
      <c r="A147" s="17" t="inlineStr">
        <is>
          <t>Total value of production (sum of the above)</t>
        </is>
      </c>
      <c r="B147" s="93" t="n"/>
      <c r="C147" s="94" t="n"/>
      <c r="D147" s="93" t="n"/>
      <c r="E147" s="93" t="n"/>
      <c r="F147" s="93">
        <f t="array" ref="F147">SUM(F127:F133+F138+F143+F144:F146)</f>
        <v/>
      </c>
    </row>
    <row r="148">
      <c r="A148" s="17" t="inlineStr">
        <is>
          <t>Value of sales</t>
        </is>
      </c>
      <c r="B148" s="93" t="n"/>
      <c r="C148" s="94" t="n"/>
      <c r="D148" s="93" t="n"/>
      <c r="E148" s="93" t="n"/>
      <c r="F148" s="93" t="n"/>
    </row>
    <row r="149">
      <c r="A149" s="15" t="n"/>
    </row>
    <row r="150">
      <c r="A150" s="16" t="inlineStr">
        <is>
          <t>Poultry stock</t>
        </is>
      </c>
      <c r="B150" s="95" t="inlineStr">
        <is>
          <t>Begin stock</t>
        </is>
      </c>
      <c r="C150" s="95" t="inlineStr">
        <is>
          <t>End stock</t>
        </is>
      </c>
      <c r="D150" s="95" t="inlineStr">
        <is>
          <t>Stockbuilding</t>
        </is>
      </c>
      <c r="E150" s="95" t="n"/>
      <c r="F150" s="95" t="inlineStr">
        <is>
          <t>Value of stock in £</t>
        </is>
      </c>
    </row>
    <row r="151">
      <c r="A151" s="22" t="inlineStr">
        <is>
          <t>Hens</t>
        </is>
      </c>
      <c r="B151" s="76">
        <f>'Adderbury Stock'!B67</f>
        <v/>
      </c>
      <c r="C151" s="76">
        <f>'Adderbury Stock'!K67</f>
        <v/>
      </c>
      <c r="D151" s="76">
        <f>C151-B151</f>
        <v/>
      </c>
      <c r="F151" s="76">
        <f>'Adderbury Stock'!Q67</f>
        <v/>
      </c>
      <c r="G151" s="96" t="n"/>
    </row>
    <row r="152">
      <c r="A152" s="15" t="inlineStr">
        <is>
          <t>Geese</t>
        </is>
      </c>
      <c r="B152" s="76">
        <f>'Adderbury Stock'!B68</f>
        <v/>
      </c>
      <c r="C152" s="76">
        <f>'Adderbury Stock'!K68</f>
        <v/>
      </c>
      <c r="D152" s="76">
        <f>C152-B152</f>
        <v/>
      </c>
      <c r="F152" s="76">
        <f>'Adderbury Stock'!Q68</f>
        <v/>
      </c>
    </row>
    <row r="153">
      <c r="A153" s="15" t="inlineStr">
        <is>
          <t>Capons (from chickens)</t>
        </is>
      </c>
      <c r="B153" s="76">
        <f>'Adderbury Stock'!B69</f>
        <v/>
      </c>
      <c r="C153" s="76">
        <f>'Adderbury Stock'!K69</f>
        <v/>
      </c>
      <c r="D153" s="76">
        <f>C153-B153</f>
        <v/>
      </c>
      <c r="F153" s="76">
        <f>'Adderbury Stock'!Q69</f>
        <v/>
      </c>
    </row>
    <row r="154">
      <c r="A154" s="15" t="inlineStr">
        <is>
          <t>Cocks &amp; hens</t>
        </is>
      </c>
      <c r="B154" s="76">
        <f>'Adderbury Stock'!B70</f>
        <v/>
      </c>
      <c r="C154" s="76">
        <f>'Adderbury Stock'!K70</f>
        <v/>
      </c>
      <c r="D154" s="76">
        <f>C154-B154</f>
        <v/>
      </c>
      <c r="F154" s="76">
        <f>'Adderbury Stock'!Q70</f>
        <v/>
      </c>
    </row>
    <row r="155">
      <c r="A155" s="119" t="inlineStr">
        <is>
          <t>Total value of production (sum of the above)</t>
        </is>
      </c>
      <c r="B155" s="93" t="n"/>
      <c r="C155" s="93" t="n"/>
      <c r="D155" s="93" t="n"/>
      <c r="E155" s="93" t="n"/>
      <c r="F155" s="93">
        <f>SUM(F151:F154)</f>
        <v/>
      </c>
    </row>
    <row r="156">
      <c r="A156" s="119" t="inlineStr">
        <is>
          <t>Value of sales</t>
        </is>
      </c>
      <c r="B156" s="93" t="n"/>
      <c r="C156" s="94" t="n"/>
      <c r="D156" s="93" t="n"/>
      <c r="E156" s="93" t="n"/>
      <c r="F156" s="93">
        <f>SUM('Adderbury Stock'!R69:R70)</f>
        <v/>
      </c>
    </row>
    <row r="157">
      <c r="A157" s="15" t="n"/>
    </row>
    <row r="158">
      <c r="A158" s="16" t="inlineStr">
        <is>
          <t>Poultry production</t>
        </is>
      </c>
      <c r="B158" s="95" t="inlineStr">
        <is>
          <t>Begin stock</t>
        </is>
      </c>
      <c r="C158" s="95" t="inlineStr">
        <is>
          <t>End stock</t>
        </is>
      </c>
      <c r="D158" s="95" t="inlineStr">
        <is>
          <t>Stockbuilding</t>
        </is>
      </c>
      <c r="E158" s="95" t="n"/>
      <c r="F158" s="95" t="inlineStr">
        <is>
          <t>Value of stock in £</t>
        </is>
      </c>
    </row>
    <row r="159">
      <c r="A159" s="15" t="inlineStr">
        <is>
          <t>Eggs</t>
        </is>
      </c>
      <c r="G159" s="116" t="n"/>
    </row>
    <row r="160">
      <c r="A160" s="15" t="inlineStr">
        <is>
          <t>Cocks &amp; hens from churchscot of customary tenants</t>
        </is>
      </c>
    </row>
    <row r="161">
      <c r="A161" s="15" t="inlineStr">
        <is>
          <t>Sum of above</t>
        </is>
      </c>
    </row>
    <row r="162">
      <c r="A162" s="17" t="inlineStr">
        <is>
          <t>Total value of stock</t>
        </is>
      </c>
      <c r="B162" s="93" t="n"/>
      <c r="C162" s="94" t="n"/>
      <c r="D162" s="93" t="n"/>
      <c r="E162" s="93" t="n"/>
      <c r="F162" s="93">
        <f>SUM(F159:F160)</f>
        <v/>
      </c>
    </row>
    <row r="163">
      <c r="A163" s="17" t="inlineStr">
        <is>
          <t>Value of sales</t>
        </is>
      </c>
      <c r="B163" s="93" t="n"/>
      <c r="C163" s="94" t="n"/>
      <c r="D163" s="93" t="n"/>
      <c r="E163" s="93" t="n"/>
      <c r="F163" s="93" t="n"/>
    </row>
    <row r="164">
      <c r="A164" s="15" t="n"/>
    </row>
    <row r="165">
      <c r="A165" s="16" t="inlineStr">
        <is>
          <t>Dairy Production</t>
        </is>
      </c>
      <c r="B165" s="95" t="inlineStr">
        <is>
          <t>Begin stock</t>
        </is>
      </c>
      <c r="C165" s="95" t="inlineStr">
        <is>
          <t>End stock</t>
        </is>
      </c>
      <c r="D165" s="95" t="inlineStr">
        <is>
          <t>Stockbuilding</t>
        </is>
      </c>
      <c r="E165" s="95" t="n"/>
      <c r="F165" s="95" t="inlineStr">
        <is>
          <t>Value of stock in £</t>
        </is>
      </c>
    </row>
    <row r="166">
      <c r="A166" s="15" t="inlineStr">
        <is>
          <t>Butter</t>
        </is>
      </c>
      <c r="G166" s="116" t="n"/>
    </row>
    <row r="167">
      <c r="A167" s="15" t="inlineStr">
        <is>
          <t>Winter Cheese</t>
        </is>
      </c>
    </row>
    <row r="168">
      <c r="A168" s="15" t="inlineStr">
        <is>
          <t>Summer Cheese</t>
        </is>
      </c>
    </row>
    <row r="169">
      <c r="A169" s="17" t="inlineStr">
        <is>
          <t>Total value of production (sum of the above)</t>
        </is>
      </c>
      <c r="B169" s="93" t="n"/>
      <c r="C169" s="94" t="n"/>
      <c r="D169" s="93" t="n"/>
      <c r="E169" s="93" t="n"/>
      <c r="F169" s="93">
        <f>SUM(F166:F168)</f>
        <v/>
      </c>
    </row>
    <row r="170">
      <c r="A170" s="17" t="inlineStr">
        <is>
          <t>Value of sales</t>
        </is>
      </c>
      <c r="B170" s="93" t="n"/>
      <c r="C170" s="94" t="n"/>
      <c r="D170" s="93" t="n"/>
      <c r="E170" s="93" t="n"/>
      <c r="F170" s="93" t="n"/>
    </row>
    <row r="171">
      <c r="A171" s="15" t="n"/>
    </row>
    <row r="172">
      <c r="A172" s="15" t="n"/>
    </row>
    <row r="173" ht="16" customHeight="1" thickBot="1"/>
    <row r="174" ht="16" customHeight="1" thickBot="1">
      <c r="A174" s="103" t="n"/>
      <c r="B174" s="104" t="inlineStr">
        <is>
          <t>Total in £</t>
        </is>
      </c>
      <c r="C174" s="105" t="n"/>
      <c r="D174" s="108" t="n"/>
      <c r="E174" s="108" t="n"/>
      <c r="F174" s="109" t="n"/>
    </row>
    <row r="175">
      <c r="A175" s="97" t="inlineStr">
        <is>
          <t>Total Production Value of all Output (Grange, Dairy, Livestock Sales, Wools, Skins - NO Mill)</t>
        </is>
      </c>
      <c r="B175" s="110">
        <f>F169+F162+F155+F147+F123+F115+E72</f>
        <v/>
      </c>
      <c r="D175" s="111" t="n"/>
      <c r="E175" s="111" t="n"/>
      <c r="F175" s="112" t="n"/>
    </row>
    <row r="176">
      <c r="A176" s="98" t="inlineStr">
        <is>
          <t>Total Sales Value of all Output as defined above</t>
        </is>
      </c>
      <c r="B176" s="110">
        <f>F170+F163+F156+F148+F124+F115+E73</f>
        <v/>
      </c>
      <c r="D176" s="111" t="n"/>
      <c r="E176" s="111" t="n"/>
      <c r="F176" s="112" t="n"/>
    </row>
    <row r="177">
      <c r="A177" s="98" t="inlineStr">
        <is>
          <t>Total Sales of Corn + Issues of the Manor as recorded in account</t>
        </is>
      </c>
      <c r="B177" s="110">
        <f>B15+B18</f>
        <v/>
      </c>
      <c r="D177" s="111" t="n"/>
      <c r="E177" s="111" t="n"/>
      <c r="F177" s="112" t="n"/>
    </row>
    <row r="178">
      <c r="A178" s="98" t="inlineStr">
        <is>
          <t>Production Value + Cash Receipts (excl. Arrears, Issues, Corn and Mill)</t>
        </is>
      </c>
      <c r="B178" s="110">
        <f>B175+B12+B13+B14+B16+B17+B19+B20+B21+B22</f>
        <v/>
      </c>
      <c r="D178" s="111" t="n"/>
      <c r="E178" s="111" t="n"/>
      <c r="F178" s="112" t="n"/>
    </row>
    <row r="179">
      <c r="A179" s="99" t="n"/>
      <c r="B179" s="111" t="n"/>
      <c r="D179" s="111" t="n"/>
      <c r="E179" s="111" t="n"/>
      <c r="F179" s="112" t="n"/>
    </row>
    <row r="180">
      <c r="A180" s="100" t="inlineStr">
        <is>
          <t>% of capital expenses in terms of total production</t>
        </is>
      </c>
      <c r="B180" s="113">
        <f>B47/B175</f>
        <v/>
      </c>
      <c r="C180" s="13" t="n"/>
      <c r="F180" s="112" t="n"/>
    </row>
    <row r="181">
      <c r="A181" s="98" t="inlineStr">
        <is>
          <t>% of capital expenses in terms of total production + cash receipts</t>
        </is>
      </c>
      <c r="B181" s="113">
        <f>B47/B178</f>
        <v/>
      </c>
      <c r="D181" s="111" t="n"/>
      <c r="E181" s="111" t="n"/>
      <c r="F181" s="112" t="n"/>
    </row>
    <row r="182">
      <c r="A182" s="99" t="n"/>
      <c r="D182" s="111" t="n"/>
      <c r="E182" s="111" t="n"/>
      <c r="F182" s="112" t="n"/>
    </row>
    <row r="183" ht="16" customHeight="1" thickBot="1">
      <c r="A183" s="101" t="inlineStr">
        <is>
          <t>% of capital expenses as calculated previously</t>
        </is>
      </c>
      <c r="B183" s="106" t="inlineStr">
        <is>
          <t>n/a</t>
        </is>
      </c>
      <c r="C183" s="102" t="n"/>
      <c r="D183" s="114" t="n"/>
      <c r="E183" s="114" t="n"/>
      <c r="F183" s="115" t="n"/>
    </row>
  </sheetData>
  <mergeCells count="2">
    <mergeCell ref="B60:C60"/>
    <mergeCell ref="B75:C75"/>
  </mergeCell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U128"/>
  <sheetViews>
    <sheetView workbookViewId="0">
      <pane xSplit="1" ySplit="4" topLeftCell="B44" activePane="bottomRight" state="frozen"/>
      <selection pane="topRight" activeCell="B1" sqref="B1"/>
      <selection pane="bottomLeft" activeCell="A5" sqref="A5"/>
      <selection pane="bottomRight" activeCell="A59" sqref="A59"/>
    </sheetView>
  </sheetViews>
  <sheetFormatPr baseColWidth="8" defaultColWidth="8.81640625" defaultRowHeight="14.5"/>
  <cols>
    <col width="44.36328125" bestFit="1" customWidth="1" min="1" max="1"/>
    <col width="14.36328125" customWidth="1" min="2" max="2"/>
    <col width="9.81640625" bestFit="1" customWidth="1" min="6" max="6"/>
    <col width="16.6328125" bestFit="1" customWidth="1" min="7" max="7"/>
    <col width="16.1796875" customWidth="1" min="10" max="10"/>
    <col width="11.453125" customWidth="1" min="11" max="11"/>
    <col width="8.453125" bestFit="1" customWidth="1" min="13" max="13"/>
    <col width="10.6328125" customWidth="1" min="14" max="14"/>
    <col width="16.6328125" customWidth="1" style="72" min="16" max="16"/>
    <col width="17.36328125" customWidth="1" min="17" max="17"/>
    <col width="16.1796875" customWidth="1" min="19" max="20"/>
    <col width="13.1796875" customWidth="1" min="21" max="21"/>
  </cols>
  <sheetData>
    <row r="1" ht="15.5" customHeight="1">
      <c r="A1" s="12" t="inlineStr">
        <is>
          <t>IVINGHOE STOCK ACCOUNT</t>
        </is>
      </c>
    </row>
    <row r="2" ht="15.5" customHeight="1">
      <c r="A2" s="12" t="n"/>
    </row>
    <row r="3" ht="17" customHeight="1">
      <c r="A3" s="44" t="n"/>
      <c r="B3" s="44" t="n"/>
      <c r="C3" s="125" t="inlineStr">
        <is>
          <t>added</t>
        </is>
      </c>
      <c r="G3" s="126" t="inlineStr">
        <is>
          <t>subtracted</t>
        </is>
      </c>
      <c r="K3" s="44" t="n"/>
      <c r="L3" s="44" t="n"/>
      <c r="M3" s="44" t="n"/>
      <c r="N3" s="44" t="n"/>
      <c r="O3" s="44" t="n"/>
      <c r="P3" s="73" t="n"/>
      <c r="Q3" s="44" t="n"/>
      <c r="R3" s="44" t="n"/>
      <c r="S3" s="44" t="n"/>
      <c r="T3" s="44" t="n"/>
    </row>
    <row r="4" ht="46.5" customHeight="1">
      <c r="A4" s="66" t="inlineStr">
        <is>
          <t>Livestock</t>
        </is>
      </c>
      <c r="B4" s="29" t="inlineStr">
        <is>
          <t>Inherited stock</t>
        </is>
      </c>
      <c r="C4" s="29" t="inlineStr">
        <is>
          <t>added</t>
        </is>
      </c>
      <c r="D4" s="12" t="inlineStr">
        <is>
          <t>strays</t>
        </is>
      </c>
      <c r="E4" s="12" t="inlineStr">
        <is>
          <t>herbage</t>
        </is>
      </c>
      <c r="F4" s="12" t="inlineStr">
        <is>
          <t>churchscot</t>
        </is>
      </c>
      <c r="G4" s="12" t="inlineStr">
        <is>
          <t>of which in default</t>
        </is>
      </c>
      <c r="H4" s="29" t="inlineStr">
        <is>
          <t>sold</t>
        </is>
      </c>
      <c r="I4" s="29" t="inlineStr">
        <is>
          <t>in murrain</t>
        </is>
      </c>
      <c r="J4" s="29" t="inlineStr">
        <is>
          <t>accounted for elsewhere</t>
        </is>
      </c>
      <c r="K4" s="29" t="inlineStr">
        <is>
          <t>End-period  stock</t>
        </is>
      </c>
      <c r="L4" s="29" t="inlineStr">
        <is>
          <t>cross-check</t>
        </is>
      </c>
      <c r="M4" s="29" t="inlineStr">
        <is>
          <t>stock building</t>
        </is>
      </c>
      <c r="N4" s="29" t="inlineStr">
        <is>
          <t>raw production</t>
        </is>
      </c>
      <c r="O4" s="29" t="inlineStr">
        <is>
          <t>Unit price (£)</t>
        </is>
      </c>
      <c r="P4" s="74" t="inlineStr">
        <is>
          <t>Value of stock  (£) at given value</t>
        </is>
      </c>
      <c r="Q4" s="66" t="inlineStr">
        <is>
          <t>Value of stock  (£) at sales prices</t>
        </is>
      </c>
      <c r="R4" s="66" t="inlineStr">
        <is>
          <t>Sales in (£)</t>
        </is>
      </c>
      <c r="S4" s="66" t="inlineStr">
        <is>
          <t>Value of stock building (£)</t>
        </is>
      </c>
      <c r="T4" s="118" t="inlineStr">
        <is>
          <t>Value of production (£) at sales prices</t>
        </is>
      </c>
      <c r="U4" s="29" t="inlineStr">
        <is>
          <t>Details</t>
        </is>
      </c>
    </row>
    <row r="5">
      <c r="A5" s="44" t="inlineStr">
        <is>
          <t>Cart-horses</t>
        </is>
      </c>
      <c r="B5" t="n">
        <v>0</v>
      </c>
      <c r="C5" t="n">
        <v>0</v>
      </c>
      <c r="H5" t="n">
        <v>0</v>
      </c>
      <c r="I5" t="n">
        <v>0</v>
      </c>
      <c r="L5">
        <f>B5+C5-H5</f>
        <v/>
      </c>
      <c r="M5">
        <f>L5-B5</f>
        <v/>
      </c>
      <c r="N5">
        <f>C5</f>
        <v/>
      </c>
      <c r="O5" t="n">
        <v>0</v>
      </c>
      <c r="P5" s="72">
        <f>O5*K5</f>
        <v/>
      </c>
      <c r="R5" t="n">
        <v>0</v>
      </c>
      <c r="S5">
        <f>O5*M5</f>
        <v/>
      </c>
      <c r="T5">
        <f>O5*N5</f>
        <v/>
      </c>
    </row>
    <row r="6">
      <c r="A6" s="44" t="inlineStr">
        <is>
          <t>Mares</t>
        </is>
      </c>
      <c r="B6" t="n">
        <v>0</v>
      </c>
      <c r="C6" t="n">
        <v>0</v>
      </c>
      <c r="H6" t="n">
        <v>0</v>
      </c>
      <c r="I6" t="n">
        <v>0</v>
      </c>
      <c r="L6">
        <f>B6+C6-H6</f>
        <v/>
      </c>
      <c r="M6">
        <f>L6-B6</f>
        <v/>
      </c>
      <c r="N6">
        <f>C6</f>
        <v/>
      </c>
      <c r="O6" t="n">
        <v>0</v>
      </c>
      <c r="P6" s="72">
        <f>O6*K6</f>
        <v/>
      </c>
      <c r="R6" t="n">
        <v>0</v>
      </c>
      <c r="S6">
        <f>O6*M6</f>
        <v/>
      </c>
      <c r="T6">
        <f>O6*N6</f>
        <v/>
      </c>
    </row>
    <row r="7">
      <c r="A7" t="inlineStr">
        <is>
          <t>Plough horses</t>
        </is>
      </c>
      <c r="B7" t="n">
        <v>0</v>
      </c>
      <c r="C7" t="n">
        <v>0</v>
      </c>
      <c r="H7" t="n">
        <v>0</v>
      </c>
      <c r="I7" t="n">
        <v>0</v>
      </c>
      <c r="L7">
        <f>B7+C7-H7</f>
        <v/>
      </c>
      <c r="M7">
        <f>L7-B7</f>
        <v/>
      </c>
      <c r="N7">
        <f>C7</f>
        <v/>
      </c>
      <c r="O7" t="n">
        <v>0</v>
      </c>
      <c r="P7" s="72">
        <f>O7*K7</f>
        <v/>
      </c>
      <c r="R7" t="n">
        <v>0.75</v>
      </c>
      <c r="S7">
        <f>O7*M7</f>
        <v/>
      </c>
      <c r="T7">
        <f>O7*N7</f>
        <v/>
      </c>
    </row>
    <row r="8">
      <c r="A8" t="inlineStr">
        <is>
          <t>Colts (unspecified years)</t>
        </is>
      </c>
      <c r="B8" t="n">
        <v>0</v>
      </c>
      <c r="C8" t="n">
        <v>0</v>
      </c>
      <c r="H8" t="n">
        <v>0</v>
      </c>
      <c r="I8" t="n">
        <v>0</v>
      </c>
      <c r="L8">
        <f>B8+C8-H8</f>
        <v/>
      </c>
      <c r="M8">
        <f>L8-B8</f>
        <v/>
      </c>
      <c r="N8">
        <f>C8</f>
        <v/>
      </c>
      <c r="O8" t="n">
        <v>0</v>
      </c>
      <c r="P8" s="72">
        <f>O8*K8</f>
        <v/>
      </c>
      <c r="R8" t="n">
        <v>0</v>
      </c>
      <c r="S8">
        <f>O8*M8</f>
        <v/>
      </c>
      <c r="T8">
        <f>O8*N8</f>
        <v/>
      </c>
    </row>
    <row r="9">
      <c r="A9" t="inlineStr">
        <is>
          <t>Colts (2 years)</t>
        </is>
      </c>
      <c r="B9" t="n">
        <v>0</v>
      </c>
      <c r="C9" t="n">
        <v>0</v>
      </c>
      <c r="H9" t="n">
        <v>0</v>
      </c>
      <c r="I9" t="n">
        <v>0</v>
      </c>
      <c r="L9">
        <f>B9+C9-H9</f>
        <v/>
      </c>
      <c r="M9">
        <f>L9-B9</f>
        <v/>
      </c>
      <c r="N9">
        <f>C9</f>
        <v/>
      </c>
      <c r="O9" t="n">
        <v>0</v>
      </c>
      <c r="P9" s="72">
        <f>O9*K9</f>
        <v/>
      </c>
      <c r="R9" t="n">
        <v>0</v>
      </c>
      <c r="S9">
        <f>O9*M9</f>
        <v/>
      </c>
      <c r="T9">
        <f>O9*N9</f>
        <v/>
      </c>
    </row>
    <row r="10">
      <c r="A10" t="inlineStr">
        <is>
          <t>Colts (1 year)</t>
        </is>
      </c>
      <c r="B10" t="n">
        <v>0</v>
      </c>
      <c r="C10" t="n">
        <v>0</v>
      </c>
      <c r="H10" t="n">
        <v>0</v>
      </c>
      <c r="I10" t="n">
        <v>0</v>
      </c>
      <c r="L10">
        <f>B10+C10-H10</f>
        <v/>
      </c>
      <c r="M10">
        <f>L10-B10</f>
        <v/>
      </c>
      <c r="N10">
        <f>C10</f>
        <v/>
      </c>
      <c r="O10" t="n">
        <v>0</v>
      </c>
      <c r="P10" s="72">
        <f>O10*K10</f>
        <v/>
      </c>
      <c r="R10" t="n">
        <v>0</v>
      </c>
      <c r="S10">
        <f>O10*M10</f>
        <v/>
      </c>
      <c r="T10">
        <f>O10*N10</f>
        <v/>
      </c>
    </row>
    <row r="11">
      <c r="A11" t="inlineStr">
        <is>
          <t>Foals</t>
        </is>
      </c>
      <c r="B11" t="n">
        <v>0</v>
      </c>
      <c r="C11" t="n">
        <v>0</v>
      </c>
      <c r="H11" t="n">
        <v>0</v>
      </c>
      <c r="I11" t="n">
        <v>0</v>
      </c>
      <c r="L11">
        <f>B11+C11-H11</f>
        <v/>
      </c>
      <c r="M11">
        <f>L11-B11</f>
        <v/>
      </c>
      <c r="N11">
        <f>C11</f>
        <v/>
      </c>
      <c r="O11" t="n">
        <v>0</v>
      </c>
      <c r="P11" s="72">
        <f>O11*K11</f>
        <v/>
      </c>
      <c r="R11" t="n">
        <v>0</v>
      </c>
      <c r="S11">
        <f>O11*M11</f>
        <v/>
      </c>
      <c r="T11">
        <f>O11*N11</f>
        <v/>
      </c>
    </row>
    <row r="12">
      <c r="A12" t="inlineStr">
        <is>
          <t>Oxen</t>
        </is>
      </c>
      <c r="B12" t="n">
        <v>45</v>
      </c>
      <c r="C12" t="n">
        <v>8</v>
      </c>
      <c r="H12" t="n">
        <v>7</v>
      </c>
      <c r="I12" t="n">
        <v>5</v>
      </c>
      <c r="L12">
        <f>B12+C12-H12</f>
        <v/>
      </c>
      <c r="M12">
        <f>L12-B12</f>
        <v/>
      </c>
      <c r="N12">
        <f>C12</f>
        <v/>
      </c>
      <c r="O12" t="n">
        <v>0.3785714285714286</v>
      </c>
      <c r="P12" s="72">
        <f>O12*K12</f>
        <v/>
      </c>
      <c r="R12" t="n">
        <v>2.65</v>
      </c>
      <c r="S12">
        <f>O12*M12</f>
        <v/>
      </c>
      <c r="T12">
        <f>O12*N12</f>
        <v/>
      </c>
    </row>
    <row r="13">
      <c r="A13" t="inlineStr">
        <is>
          <t>Bulls</t>
        </is>
      </c>
      <c r="B13" t="n">
        <v>2</v>
      </c>
      <c r="C13" t="n">
        <v>0</v>
      </c>
      <c r="H13" t="n">
        <v>0</v>
      </c>
      <c r="I13" t="n">
        <v>0</v>
      </c>
      <c r="L13">
        <f>B13+C13-H13</f>
        <v/>
      </c>
      <c r="M13">
        <f>L13-B13</f>
        <v/>
      </c>
      <c r="N13">
        <f>C13</f>
        <v/>
      </c>
      <c r="O13" t="n">
        <v>0</v>
      </c>
      <c r="P13" s="72">
        <f>O13*K13</f>
        <v/>
      </c>
      <c r="R13" t="n">
        <v>0</v>
      </c>
      <c r="S13">
        <f>O13*M13</f>
        <v/>
      </c>
      <c r="T13">
        <f>O13*N13</f>
        <v/>
      </c>
    </row>
    <row r="14">
      <c r="A14" t="inlineStr">
        <is>
          <t>Cows</t>
        </is>
      </c>
      <c r="B14" t="n">
        <v>30</v>
      </c>
      <c r="C14" t="n">
        <v>15</v>
      </c>
      <c r="H14" t="n">
        <v>10</v>
      </c>
      <c r="I14" t="n">
        <v>6</v>
      </c>
      <c r="L14">
        <f>B14+C14-H14</f>
        <v/>
      </c>
      <c r="M14">
        <f>L14-B14</f>
        <v/>
      </c>
      <c r="N14">
        <f>C14</f>
        <v/>
      </c>
      <c r="O14" t="n">
        <v>0.28</v>
      </c>
      <c r="P14" s="72">
        <f>O14*K14</f>
        <v/>
      </c>
      <c r="R14" t="n">
        <v>2.8</v>
      </c>
      <c r="S14">
        <f>O14*M14</f>
        <v/>
      </c>
      <c r="T14">
        <f>O14*N14</f>
        <v/>
      </c>
    </row>
    <row r="15">
      <c r="A15" t="inlineStr">
        <is>
          <t>Steers</t>
        </is>
      </c>
      <c r="B15" t="n">
        <v>5</v>
      </c>
      <c r="C15" t="n">
        <v>0</v>
      </c>
      <c r="H15" t="n">
        <v>0</v>
      </c>
      <c r="I15" t="n">
        <v>0</v>
      </c>
      <c r="L15">
        <f>B15+C15-H15</f>
        <v/>
      </c>
      <c r="M15">
        <f>L15-B15</f>
        <v/>
      </c>
      <c r="N15">
        <f>C15</f>
        <v/>
      </c>
      <c r="O15" t="n">
        <v>0</v>
      </c>
      <c r="P15" s="72">
        <f>O15*K15</f>
        <v/>
      </c>
      <c r="R15" t="n">
        <v>0</v>
      </c>
      <c r="S15">
        <f>O15*M15</f>
        <v/>
      </c>
      <c r="T15">
        <f>O15*N15</f>
        <v/>
      </c>
    </row>
    <row r="16">
      <c r="A16" t="inlineStr">
        <is>
          <t>Bullocks</t>
        </is>
      </c>
      <c r="B16" t="n">
        <v>5</v>
      </c>
      <c r="C16" t="n">
        <v>0</v>
      </c>
      <c r="H16" t="n">
        <v>0</v>
      </c>
      <c r="I16" t="n">
        <v>1</v>
      </c>
      <c r="L16">
        <f>B16+C16-H16</f>
        <v/>
      </c>
      <c r="M16">
        <f>L16-B16</f>
        <v/>
      </c>
      <c r="N16">
        <f>C16</f>
        <v/>
      </c>
      <c r="O16" t="n">
        <v>0</v>
      </c>
      <c r="P16" s="72">
        <f>O16*K16</f>
        <v/>
      </c>
      <c r="R16" t="n">
        <v>0</v>
      </c>
      <c r="S16">
        <f>O16*M16</f>
        <v/>
      </c>
      <c r="T16">
        <f>O16*N16</f>
        <v/>
      </c>
    </row>
    <row r="17">
      <c r="A17" t="inlineStr">
        <is>
          <t>Yearlings</t>
        </is>
      </c>
      <c r="B17" t="n">
        <v>8</v>
      </c>
      <c r="C17" t="n">
        <v>0</v>
      </c>
      <c r="H17" t="n">
        <v>0</v>
      </c>
      <c r="I17" t="n">
        <v>1</v>
      </c>
      <c r="L17">
        <f>B17+C17-H17</f>
        <v/>
      </c>
      <c r="M17">
        <f>L17-B17</f>
        <v/>
      </c>
      <c r="N17">
        <f>C17</f>
        <v/>
      </c>
      <c r="O17" t="n">
        <v>0</v>
      </c>
      <c r="P17" s="72">
        <f>O17*K17</f>
        <v/>
      </c>
      <c r="R17" t="n">
        <v>0</v>
      </c>
      <c r="S17">
        <f>O17*M17</f>
        <v/>
      </c>
      <c r="T17">
        <f>O17*N17</f>
        <v/>
      </c>
    </row>
    <row r="18">
      <c r="A18" t="inlineStr">
        <is>
          <t>Calves</t>
        </is>
      </c>
      <c r="B18" t="n">
        <v>8</v>
      </c>
      <c r="C18" t="n">
        <v>8</v>
      </c>
      <c r="H18" t="n">
        <v>0</v>
      </c>
      <c r="I18" t="n">
        <v>0</v>
      </c>
      <c r="L18">
        <f>B18+C18-H18</f>
        <v/>
      </c>
      <c r="M18">
        <f>L18-B18</f>
        <v/>
      </c>
      <c r="N18">
        <f>C18</f>
        <v/>
      </c>
      <c r="O18" t="n">
        <v>0</v>
      </c>
      <c r="P18" s="72">
        <f>O18*K18</f>
        <v/>
      </c>
      <c r="R18" t="n">
        <v>0</v>
      </c>
      <c r="S18">
        <f>O18*M18</f>
        <v/>
      </c>
      <c r="T18">
        <f>O18*N18</f>
        <v/>
      </c>
    </row>
    <row r="19">
      <c r="A19" t="inlineStr">
        <is>
          <t>Wethers</t>
        </is>
      </c>
      <c r="B19" t="n">
        <v>318</v>
      </c>
      <c r="C19" t="n">
        <v>24</v>
      </c>
      <c r="H19" t="n">
        <v>62</v>
      </c>
      <c r="I19" t="n">
        <v>21</v>
      </c>
      <c r="L19">
        <f>B19+C19-H19</f>
        <v/>
      </c>
      <c r="M19">
        <f>L19-B19</f>
        <v/>
      </c>
      <c r="N19">
        <f>C19</f>
        <v/>
      </c>
      <c r="O19" t="n">
        <v>0.06854838709677419</v>
      </c>
      <c r="P19" s="72">
        <f>O19*K19</f>
        <v/>
      </c>
      <c r="R19" t="n">
        <v>4.25</v>
      </c>
      <c r="S19">
        <f>O19*M19</f>
        <v/>
      </c>
      <c r="T19">
        <f>O19*N19</f>
        <v/>
      </c>
    </row>
    <row r="20">
      <c r="A20" t="inlineStr">
        <is>
          <t>Rams</t>
        </is>
      </c>
      <c r="B20" t="n">
        <v>5</v>
      </c>
      <c r="C20" t="n">
        <v>0</v>
      </c>
      <c r="H20" t="n">
        <v>0</v>
      </c>
      <c r="I20" t="n">
        <v>1</v>
      </c>
      <c r="L20">
        <f>B20+C20-H20</f>
        <v/>
      </c>
      <c r="M20">
        <f>L20-B20</f>
        <v/>
      </c>
      <c r="N20">
        <f>C20</f>
        <v/>
      </c>
      <c r="O20" t="n">
        <v>0</v>
      </c>
      <c r="P20" s="72">
        <f>O20*K20</f>
        <v/>
      </c>
      <c r="R20" t="n">
        <v>0</v>
      </c>
      <c r="S20">
        <f>O20*M20</f>
        <v/>
      </c>
      <c r="T20">
        <f>O20*N20</f>
        <v/>
      </c>
    </row>
    <row r="21">
      <c r="A21" t="inlineStr">
        <is>
          <t>Ewes</t>
        </is>
      </c>
      <c r="B21" t="n">
        <v>208</v>
      </c>
      <c r="C21" t="n">
        <v>0</v>
      </c>
      <c r="H21" t="n">
        <v>20</v>
      </c>
      <c r="I21" t="n">
        <v>12</v>
      </c>
      <c r="L21">
        <f>B21+C21-H21</f>
        <v/>
      </c>
      <c r="M21">
        <f>L21-B21</f>
        <v/>
      </c>
      <c r="N21">
        <f>C21</f>
        <v/>
      </c>
      <c r="O21" t="n">
        <v>0.0665</v>
      </c>
      <c r="P21" s="72">
        <f>O21*K21</f>
        <v/>
      </c>
      <c r="Q21" t="n">
        <v>0</v>
      </c>
      <c r="R21" t="n">
        <v>1.33</v>
      </c>
      <c r="S21">
        <f>O21*M21</f>
        <v/>
      </c>
      <c r="T21">
        <f>O21*N21</f>
        <v/>
      </c>
    </row>
    <row r="22">
      <c r="A22" t="inlineStr">
        <is>
          <t>Hoggs</t>
        </is>
      </c>
      <c r="B22" t="n">
        <v>121</v>
      </c>
      <c r="C22" t="n">
        <v>0</v>
      </c>
      <c r="H22" t="n">
        <v>19</v>
      </c>
      <c r="I22" t="n">
        <v>8</v>
      </c>
      <c r="L22">
        <f>B22+C22-H22</f>
        <v/>
      </c>
      <c r="M22">
        <f>L22-B22</f>
        <v/>
      </c>
      <c r="N22">
        <f>C22</f>
        <v/>
      </c>
      <c r="O22" t="n">
        <v>0.04157894736842106</v>
      </c>
      <c r="P22" s="72">
        <f>O22*K22</f>
        <v/>
      </c>
      <c r="R22" t="n">
        <v>0.79</v>
      </c>
      <c r="S22">
        <f>O22*M22</f>
        <v/>
      </c>
      <c r="T22">
        <f>O22*N22</f>
        <v/>
      </c>
    </row>
    <row r="23">
      <c r="A23" t="inlineStr">
        <is>
          <t>Lambs</t>
        </is>
      </c>
      <c r="B23" t="n">
        <v>110</v>
      </c>
      <c r="C23" t="n">
        <v>177</v>
      </c>
      <c r="H23" t="n">
        <v>20</v>
      </c>
      <c r="I23" t="n">
        <v>30</v>
      </c>
      <c r="L23">
        <f>B23+C23-H23</f>
        <v/>
      </c>
      <c r="M23">
        <f>L23-B23</f>
        <v/>
      </c>
      <c r="N23">
        <f>C23</f>
        <v/>
      </c>
      <c r="O23" t="n">
        <v>0.0265</v>
      </c>
      <c r="P23" s="72">
        <f>O23*K23</f>
        <v/>
      </c>
      <c r="R23" t="n">
        <v>0.53</v>
      </c>
      <c r="S23">
        <f>O23*M23</f>
        <v/>
      </c>
      <c r="T23">
        <f>O23*N23</f>
        <v/>
      </c>
    </row>
    <row r="24">
      <c r="A24" t="inlineStr">
        <is>
          <t>Boars</t>
        </is>
      </c>
      <c r="B24" t="n">
        <v>2</v>
      </c>
      <c r="C24" t="n">
        <v>0</v>
      </c>
      <c r="H24" t="n">
        <v>0</v>
      </c>
      <c r="I24" t="n">
        <v>1</v>
      </c>
      <c r="L24">
        <f>B24+C24-H24</f>
        <v/>
      </c>
      <c r="M24">
        <f>L24-B24</f>
        <v/>
      </c>
      <c r="N24">
        <f>C24</f>
        <v/>
      </c>
      <c r="O24" t="n">
        <v>0</v>
      </c>
      <c r="P24" s="72">
        <f>O24*K24</f>
        <v/>
      </c>
      <c r="R24" t="n">
        <v>0</v>
      </c>
      <c r="S24">
        <f>O24*M24</f>
        <v/>
      </c>
      <c r="T24">
        <f>O24*N24</f>
        <v/>
      </c>
    </row>
    <row r="25">
      <c r="A25" t="inlineStr">
        <is>
          <t>Sows</t>
        </is>
      </c>
      <c r="B25" t="n">
        <v>2</v>
      </c>
      <c r="C25" t="n">
        <v>0</v>
      </c>
      <c r="H25" t="n">
        <v>0</v>
      </c>
      <c r="I25" t="n">
        <v>4</v>
      </c>
      <c r="L25">
        <f>B25+C25-H25</f>
        <v/>
      </c>
      <c r="M25">
        <f>L25-B25</f>
        <v/>
      </c>
      <c r="N25">
        <f>C25</f>
        <v/>
      </c>
      <c r="O25" t="n">
        <v>0</v>
      </c>
      <c r="P25" s="72">
        <f>O25*K25</f>
        <v/>
      </c>
      <c r="R25" t="n">
        <v>0</v>
      </c>
      <c r="S25">
        <f>O25*M25</f>
        <v/>
      </c>
      <c r="T25">
        <f>O25*N25</f>
        <v/>
      </c>
    </row>
    <row r="26">
      <c r="A26" t="inlineStr">
        <is>
          <t>Pigs</t>
        </is>
      </c>
      <c r="B26" t="n">
        <v>112</v>
      </c>
      <c r="C26" t="n">
        <v>0</v>
      </c>
      <c r="H26" t="n">
        <v>8</v>
      </c>
      <c r="I26" t="n">
        <v>13</v>
      </c>
      <c r="L26">
        <f>B26+C26-H26</f>
        <v/>
      </c>
      <c r="M26">
        <f>L26-B26</f>
        <v/>
      </c>
      <c r="N26">
        <f>C26</f>
        <v/>
      </c>
      <c r="O26" t="n">
        <v>0.15</v>
      </c>
      <c r="P26" s="72">
        <f>O26*K26</f>
        <v/>
      </c>
      <c r="R26" t="n">
        <v>1.2</v>
      </c>
      <c r="S26">
        <f>O26*M26</f>
        <v/>
      </c>
      <c r="T26">
        <f>O26*N26</f>
        <v/>
      </c>
    </row>
    <row r="27">
      <c r="A27" t="inlineStr">
        <is>
          <t>Hoggets</t>
        </is>
      </c>
      <c r="B27" t="n">
        <v>40</v>
      </c>
      <c r="C27" t="n">
        <v>0</v>
      </c>
      <c r="H27" t="n">
        <v>0</v>
      </c>
      <c r="I27" t="n">
        <v>15</v>
      </c>
      <c r="L27">
        <f>B27+C27-H27</f>
        <v/>
      </c>
      <c r="M27">
        <f>L27-B27</f>
        <v/>
      </c>
      <c r="N27">
        <f>C27</f>
        <v/>
      </c>
      <c r="O27" t="n">
        <v>0</v>
      </c>
      <c r="P27" s="72">
        <f>O27*K27</f>
        <v/>
      </c>
      <c r="R27" t="n">
        <v>0</v>
      </c>
      <c r="S27">
        <f>O27*M27</f>
        <v/>
      </c>
      <c r="T27">
        <f>O27*N27</f>
        <v/>
      </c>
    </row>
    <row r="28">
      <c r="A28" t="inlineStr">
        <is>
          <t>Piglets</t>
        </is>
      </c>
      <c r="B28" t="n">
        <v>40</v>
      </c>
      <c r="C28" t="n">
        <v>45</v>
      </c>
      <c r="H28" t="n">
        <v>0</v>
      </c>
      <c r="I28" t="n">
        <v>1</v>
      </c>
      <c r="L28">
        <f>B28+C28-H28</f>
        <v/>
      </c>
      <c r="M28">
        <f>L28-B28</f>
        <v/>
      </c>
      <c r="N28">
        <f>C28</f>
        <v/>
      </c>
      <c r="O28" t="n">
        <v>0</v>
      </c>
      <c r="P28" s="72">
        <f>O28*K28</f>
        <v/>
      </c>
      <c r="R28" t="n">
        <v>0</v>
      </c>
      <c r="S28">
        <f>O28*M28</f>
        <v/>
      </c>
      <c r="T28">
        <f>O28*N28</f>
        <v/>
      </c>
    </row>
    <row r="29">
      <c r="A29" t="inlineStr">
        <is>
          <t>Swans</t>
        </is>
      </c>
      <c r="B29" t="n">
        <v>0</v>
      </c>
      <c r="C29" t="n">
        <v>0</v>
      </c>
      <c r="H29" t="n">
        <v>0</v>
      </c>
      <c r="I29" t="n">
        <v>0</v>
      </c>
      <c r="L29">
        <f>B29+C29-H29</f>
        <v/>
      </c>
      <c r="M29">
        <f>L29-B29</f>
        <v/>
      </c>
      <c r="N29">
        <f>C29</f>
        <v/>
      </c>
      <c r="O29" t="n">
        <v>0</v>
      </c>
      <c r="P29" s="72">
        <f>O29*K29</f>
        <v/>
      </c>
      <c r="R29" t="n">
        <v>0</v>
      </c>
      <c r="S29">
        <f>O29*M29</f>
        <v/>
      </c>
      <c r="T29">
        <f>O29*N29</f>
        <v/>
      </c>
    </row>
    <row r="30">
      <c r="A30" t="inlineStr">
        <is>
          <t>Peacocks</t>
        </is>
      </c>
      <c r="B30" t="n">
        <v>0</v>
      </c>
      <c r="C30" t="n">
        <v>0</v>
      </c>
      <c r="H30" t="n">
        <v>0</v>
      </c>
      <c r="I30" t="n">
        <v>0</v>
      </c>
      <c r="L30">
        <f>B30+C30-H30</f>
        <v/>
      </c>
      <c r="M30">
        <f>L30-B30</f>
        <v/>
      </c>
      <c r="N30">
        <f>C30</f>
        <v/>
      </c>
      <c r="O30" t="n">
        <v>0</v>
      </c>
      <c r="P30" s="72">
        <f>O30*K30</f>
        <v/>
      </c>
      <c r="R30" t="n">
        <v>0</v>
      </c>
      <c r="S30">
        <f>O30*M30</f>
        <v/>
      </c>
      <c r="T30">
        <f>O30*N30</f>
        <v/>
      </c>
    </row>
    <row r="31" ht="15.5" customHeight="1">
      <c r="A31" s="67" t="inlineStr">
        <is>
          <t>Total Value</t>
        </is>
      </c>
    </row>
    <row r="34" ht="15.5" customHeight="1">
      <c r="A34" s="66" t="inlineStr">
        <is>
          <t>Wool</t>
        </is>
      </c>
      <c r="B34" t="n">
        <v>0</v>
      </c>
      <c r="C34" t="n">
        <v>0</v>
      </c>
      <c r="H34" t="n">
        <v>0</v>
      </c>
      <c r="I34" t="n">
        <v>0</v>
      </c>
    </row>
    <row r="35">
      <c r="A35" t="inlineStr">
        <is>
          <t>Coarse wool</t>
        </is>
      </c>
      <c r="B35" t="n">
        <v>0</v>
      </c>
      <c r="C35" t="n">
        <v>0</v>
      </c>
      <c r="H35" t="n">
        <v>0</v>
      </c>
      <c r="I35" t="n">
        <v>0</v>
      </c>
    </row>
    <row r="36">
      <c r="A36" t="inlineStr">
        <is>
          <t>Lamb's wool</t>
        </is>
      </c>
      <c r="B36" t="n">
        <v>0</v>
      </c>
      <c r="C36" t="n">
        <v>0</v>
      </c>
      <c r="H36" t="n">
        <v>0</v>
      </c>
      <c r="I36" t="n">
        <v>0</v>
      </c>
    </row>
    <row r="37">
      <c r="A37" t="inlineStr">
        <is>
          <t>Wool locks</t>
        </is>
      </c>
      <c r="B37" t="n">
        <v>0</v>
      </c>
      <c r="C37" t="n">
        <v>0</v>
      </c>
      <c r="H37" t="n">
        <v>0</v>
      </c>
      <c r="I37" t="n">
        <v>0</v>
      </c>
    </row>
    <row r="38">
      <c r="A38" t="inlineStr">
        <is>
          <t>Wool sold at shearing</t>
        </is>
      </c>
      <c r="B38" t="n">
        <v>0</v>
      </c>
      <c r="C38" t="n">
        <v>0</v>
      </c>
      <c r="H38" t="n">
        <v>0</v>
      </c>
      <c r="I38" t="n">
        <v>0</v>
      </c>
    </row>
    <row r="39" ht="15.5" customHeight="1">
      <c r="A39" s="67" t="inlineStr">
        <is>
          <t>Total wool</t>
        </is>
      </c>
      <c r="B39" t="n">
        <v>0</v>
      </c>
      <c r="C39" t="n">
        <v>0</v>
      </c>
      <c r="H39" t="n">
        <v>0</v>
      </c>
      <c r="I39" t="n">
        <v>0</v>
      </c>
    </row>
    <row r="40">
      <c r="B40" t="n">
        <v>0</v>
      </c>
      <c r="C40" t="n">
        <v>0</v>
      </c>
      <c r="H40" t="n">
        <v>0</v>
      </c>
      <c r="I40" t="n">
        <v>0</v>
      </c>
    </row>
    <row r="41">
      <c r="B41" t="n">
        <v>0</v>
      </c>
      <c r="C41" t="n">
        <v>0</v>
      </c>
      <c r="H41" t="n">
        <v>0</v>
      </c>
      <c r="I41" t="n">
        <v>0</v>
      </c>
    </row>
    <row r="42" ht="15.5" customHeight="1">
      <c r="A42" s="66" t="inlineStr">
        <is>
          <t>Hides</t>
        </is>
      </c>
      <c r="B42" t="n">
        <v>0</v>
      </c>
      <c r="C42" t="n">
        <v>0</v>
      </c>
      <c r="H42" t="n">
        <v>0</v>
      </c>
      <c r="I42" t="n">
        <v>0</v>
      </c>
    </row>
    <row r="43">
      <c r="A43" t="inlineStr">
        <is>
          <t>Ox hides</t>
        </is>
      </c>
      <c r="B43" t="n">
        <v>0</v>
      </c>
      <c r="C43" t="n">
        <v>0</v>
      </c>
      <c r="H43" t="n">
        <v>0</v>
      </c>
      <c r="I43" t="n">
        <v>0</v>
      </c>
    </row>
    <row r="44">
      <c r="A44" t="inlineStr">
        <is>
          <t>Mare</t>
        </is>
      </c>
      <c r="B44" t="n">
        <v>0</v>
      </c>
      <c r="C44" t="n">
        <v>0</v>
      </c>
      <c r="H44" t="n">
        <v>0</v>
      </c>
      <c r="I44" t="n">
        <v>0</v>
      </c>
    </row>
    <row r="45">
      <c r="A45" t="inlineStr">
        <is>
          <t>Steer</t>
        </is>
      </c>
      <c r="B45" t="n">
        <v>0</v>
      </c>
      <c r="C45" t="n">
        <v>0</v>
      </c>
      <c r="H45" t="n">
        <v>0</v>
      </c>
      <c r="I45" t="n">
        <v>0</v>
      </c>
    </row>
    <row r="46">
      <c r="A46" t="inlineStr">
        <is>
          <t>calves</t>
        </is>
      </c>
      <c r="B46" t="n">
        <v>8</v>
      </c>
      <c r="C46" t="n">
        <v>8</v>
      </c>
      <c r="H46" t="n">
        <v>0</v>
      </c>
      <c r="I46" t="n">
        <v>0</v>
      </c>
    </row>
    <row r="47">
      <c r="A47" s="68" t="inlineStr">
        <is>
          <t>pigs</t>
        </is>
      </c>
      <c r="B47" t="n">
        <v>112</v>
      </c>
      <c r="C47" t="n">
        <v>0</v>
      </c>
      <c r="H47" t="n">
        <v>8</v>
      </c>
      <c r="I47" t="n">
        <v>13</v>
      </c>
    </row>
    <row r="48">
      <c r="A48" t="inlineStr">
        <is>
          <t xml:space="preserve">Woolskins </t>
        </is>
      </c>
    </row>
    <row r="49">
      <c r="A49" s="28" t="inlineStr">
        <is>
          <t>wethers</t>
        </is>
      </c>
    </row>
    <row r="50">
      <c r="A50" s="28" t="inlineStr">
        <is>
          <t>rams</t>
        </is>
      </c>
    </row>
    <row r="51">
      <c r="A51" s="28" t="inlineStr">
        <is>
          <t>ewes</t>
        </is>
      </c>
    </row>
    <row r="52">
      <c r="A52" s="28" t="inlineStr">
        <is>
          <t>hoggs</t>
        </is>
      </c>
    </row>
    <row r="53">
      <c r="A53" s="69" t="inlineStr">
        <is>
          <t>Woolskins total</t>
        </is>
      </c>
      <c r="B53" t="n">
        <v>0</v>
      </c>
      <c r="C53" t="n">
        <v>0</v>
      </c>
      <c r="H53" t="n">
        <v>38</v>
      </c>
      <c r="I53" t="n">
        <v>12</v>
      </c>
    </row>
    <row r="54">
      <c r="A54" s="43" t="inlineStr">
        <is>
          <t>Bareskins</t>
        </is>
      </c>
    </row>
    <row r="55">
      <c r="A55" s="28" t="inlineStr">
        <is>
          <t>wethers</t>
        </is>
      </c>
    </row>
    <row r="56">
      <c r="A56" s="28" t="inlineStr">
        <is>
          <t>rams</t>
        </is>
      </c>
    </row>
    <row r="57">
      <c r="A57" s="28" t="inlineStr">
        <is>
          <t>ewes</t>
        </is>
      </c>
    </row>
    <row r="58">
      <c r="A58" s="28" t="inlineStr">
        <is>
          <t>hoggs</t>
        </is>
      </c>
    </row>
    <row r="59">
      <c r="A59" s="69" t="inlineStr">
        <is>
          <t>Bareskins total</t>
        </is>
      </c>
      <c r="B59" t="n">
        <v>0</v>
      </c>
      <c r="C59" t="n">
        <v>0</v>
      </c>
      <c r="H59" t="n">
        <v>0</v>
      </c>
      <c r="I59" t="n">
        <v>16</v>
      </c>
    </row>
    <row r="60">
      <c r="A60" t="inlineStr">
        <is>
          <t>Lambskins</t>
        </is>
      </c>
      <c r="B60" t="n">
        <v>5</v>
      </c>
      <c r="C60" t="n">
        <v>0</v>
      </c>
      <c r="H60" t="n">
        <v>0</v>
      </c>
      <c r="I60" t="n">
        <v>18</v>
      </c>
    </row>
    <row r="61">
      <c r="A61" t="inlineStr">
        <is>
          <t>Rotted skins</t>
        </is>
      </c>
      <c r="B61" t="n">
        <v>0</v>
      </c>
      <c r="C61" t="n">
        <v>0</v>
      </c>
      <c r="H61" t="n">
        <v>0</v>
      </c>
      <c r="I61" t="n">
        <v>0</v>
      </c>
    </row>
    <row r="62">
      <c r="A62" t="inlineStr">
        <is>
          <t>Shorn skins</t>
        </is>
      </c>
      <c r="B62" t="n">
        <v>0</v>
      </c>
      <c r="C62" t="n">
        <v>0</v>
      </c>
      <c r="H62" t="n">
        <v>0</v>
      </c>
      <c r="I62" t="n">
        <v>0</v>
      </c>
    </row>
    <row r="63">
      <c r="A63" s="70" t="inlineStr">
        <is>
          <t xml:space="preserve">Total </t>
        </is>
      </c>
    </row>
    <row r="66" ht="15.5" customHeight="1">
      <c r="A66" s="66" t="inlineStr">
        <is>
          <t>Poultry stock</t>
        </is>
      </c>
    </row>
    <row r="67">
      <c r="A67" s="44" t="inlineStr">
        <is>
          <t>Hens</t>
        </is>
      </c>
      <c r="L67">
        <f>B67+C67-H67</f>
        <v/>
      </c>
      <c r="M67">
        <f>L67-B67</f>
        <v/>
      </c>
      <c r="N67">
        <f>C67</f>
        <v/>
      </c>
      <c r="O67" t="n">
        <v>0</v>
      </c>
      <c r="Q67">
        <f>R67*K67</f>
        <v/>
      </c>
      <c r="R67" t="n">
        <v>0.1</v>
      </c>
      <c r="S67">
        <f>O67*M67</f>
        <v/>
      </c>
      <c r="T67">
        <f>O67*N67</f>
        <v/>
      </c>
    </row>
    <row r="68">
      <c r="A68" t="inlineStr">
        <is>
          <t>Geese</t>
        </is>
      </c>
      <c r="L68">
        <f>B68+C68-H68</f>
        <v/>
      </c>
      <c r="M68">
        <f>L68-B68</f>
        <v/>
      </c>
      <c r="N68">
        <f>C68</f>
        <v/>
      </c>
      <c r="O68" t="n">
        <v>0</v>
      </c>
      <c r="Q68">
        <f>R68*K68</f>
        <v/>
      </c>
      <c r="R68" t="n">
        <v>0.33</v>
      </c>
      <c r="S68">
        <f>O68*M68</f>
        <v/>
      </c>
      <c r="T68">
        <f>O68*N68</f>
        <v/>
      </c>
    </row>
    <row r="69">
      <c r="A69" t="inlineStr">
        <is>
          <t>Capons (from chickens)</t>
        </is>
      </c>
      <c r="B69" t="n">
        <v>0</v>
      </c>
      <c r="C69" t="n">
        <v>6</v>
      </c>
      <c r="H69" t="n">
        <v>6</v>
      </c>
      <c r="K69" t="n">
        <v>0</v>
      </c>
      <c r="L69">
        <f>B69+C69-H69</f>
        <v/>
      </c>
      <c r="M69">
        <f>L69-B69</f>
        <v/>
      </c>
      <c r="N69">
        <f>C69</f>
        <v/>
      </c>
      <c r="O69" t="n">
        <v>0</v>
      </c>
      <c r="Q69">
        <f>R69*K69</f>
        <v/>
      </c>
      <c r="R69" t="n">
        <v>0</v>
      </c>
      <c r="S69">
        <f>O69*M69</f>
        <v/>
      </c>
      <c r="T69">
        <f>O69*N69</f>
        <v/>
      </c>
    </row>
    <row r="70">
      <c r="A70" t="inlineStr">
        <is>
          <t>Cocks &amp; hens</t>
        </is>
      </c>
      <c r="B70" t="n">
        <v>0</v>
      </c>
      <c r="F70" t="n">
        <v>28</v>
      </c>
      <c r="G70" t="n">
        <v>18</v>
      </c>
      <c r="H70" t="n">
        <v>10</v>
      </c>
      <c r="K70" t="n">
        <v>0</v>
      </c>
      <c r="L70">
        <f>B70+C70-H70</f>
        <v/>
      </c>
      <c r="M70">
        <f>L70-B70</f>
        <v/>
      </c>
      <c r="N70">
        <f>C70</f>
        <v/>
      </c>
      <c r="O70" t="n">
        <v>0</v>
      </c>
      <c r="Q70">
        <f>R70*K70</f>
        <v/>
      </c>
      <c r="R70" t="n">
        <v>0</v>
      </c>
      <c r="S70">
        <f>O70*M70</f>
        <v/>
      </c>
      <c r="T70">
        <f>O70*N70</f>
        <v/>
      </c>
    </row>
    <row r="71">
      <c r="A71" s="70" t="inlineStr">
        <is>
          <t>Total poultry stock</t>
        </is>
      </c>
    </row>
    <row r="72">
      <c r="A72" s="71" t="inlineStr">
        <is>
          <t>Total poultry excluding churchscot</t>
        </is>
      </c>
    </row>
    <row r="74" ht="15.5" customHeight="1">
      <c r="A74" s="12" t="inlineStr">
        <is>
          <t>Poultry production</t>
        </is>
      </c>
    </row>
    <row r="75">
      <c r="A75" t="inlineStr">
        <is>
          <t>Eggs</t>
        </is>
      </c>
      <c r="B75" t="n">
        <v>0</v>
      </c>
      <c r="C75" t="n">
        <v>0</v>
      </c>
      <c r="H75" t="n">
        <v>0</v>
      </c>
      <c r="I75" t="n">
        <v>0</v>
      </c>
      <c r="S75">
        <f>O75*M75</f>
        <v/>
      </c>
      <c r="T75">
        <f>O75*N75</f>
        <v/>
      </c>
    </row>
    <row r="76">
      <c r="A76" t="inlineStr">
        <is>
          <t>Cocks &amp; hens from churchscot of customary tenants</t>
        </is>
      </c>
      <c r="B76" t="n">
        <v>0</v>
      </c>
      <c r="C76" t="n">
        <v>0</v>
      </c>
      <c r="H76" t="n">
        <v>0</v>
      </c>
      <c r="I76" t="n">
        <v>0</v>
      </c>
      <c r="S76">
        <f>O76*M76</f>
        <v/>
      </c>
      <c r="T76">
        <f>O76*N76</f>
        <v/>
      </c>
    </row>
    <row r="77">
      <c r="A77" t="inlineStr">
        <is>
          <t>Sum of above</t>
        </is>
      </c>
      <c r="S77">
        <f>SUM(S75:S76)</f>
        <v/>
      </c>
      <c r="T77">
        <f>SUM(T75:T76)</f>
        <v/>
      </c>
    </row>
    <row r="78">
      <c r="A78" s="70" t="inlineStr">
        <is>
          <t>Total</t>
        </is>
      </c>
    </row>
    <row r="81" ht="15.5" customHeight="1">
      <c r="A81" s="12" t="inlineStr">
        <is>
          <t>Meat</t>
        </is>
      </c>
    </row>
    <row r="82">
      <c r="A82" t="inlineStr">
        <is>
          <t>Beef</t>
        </is>
      </c>
      <c r="B82" t="n">
        <v>0</v>
      </c>
      <c r="C82" t="n">
        <v>0</v>
      </c>
      <c r="H82" t="n">
        <v>0</v>
      </c>
      <c r="I82" t="n">
        <v>0</v>
      </c>
      <c r="S82">
        <f>O82*M82</f>
        <v/>
      </c>
      <c r="T82">
        <f>O82*N82</f>
        <v/>
      </c>
    </row>
    <row r="83">
      <c r="A83" t="inlineStr">
        <is>
          <t>Mutton</t>
        </is>
      </c>
      <c r="B83" t="n">
        <v>0</v>
      </c>
      <c r="C83" t="n">
        <v>0</v>
      </c>
      <c r="H83" t="n">
        <v>0</v>
      </c>
      <c r="I83" t="n">
        <v>0</v>
      </c>
      <c r="S83">
        <f>O83*M83</f>
        <v/>
      </c>
      <c r="T83">
        <f>O83*N83</f>
        <v/>
      </c>
    </row>
    <row r="84">
      <c r="A84" t="inlineStr">
        <is>
          <t>Pork</t>
        </is>
      </c>
      <c r="B84" t="n">
        <v>0</v>
      </c>
      <c r="C84" t="n">
        <v>0</v>
      </c>
      <c r="H84" t="n">
        <v>0</v>
      </c>
      <c r="I84" t="n">
        <v>0</v>
      </c>
      <c r="S84">
        <f>O84*M84</f>
        <v/>
      </c>
      <c r="T84">
        <f>O84*N84</f>
        <v/>
      </c>
    </row>
    <row r="85" ht="15.5" customHeight="1">
      <c r="A85" s="57" t="inlineStr">
        <is>
          <t xml:space="preserve">Total </t>
        </is>
      </c>
    </row>
    <row r="87" ht="15.5" customHeight="1">
      <c r="A87" s="12" t="inlineStr">
        <is>
          <t>Cheese</t>
        </is>
      </c>
    </row>
    <row r="88">
      <c r="A88" t="inlineStr">
        <is>
          <t>Winter cheese</t>
        </is>
      </c>
      <c r="B88" t="n">
        <v>0</v>
      </c>
      <c r="C88" t="n">
        <v>0</v>
      </c>
      <c r="H88" t="n">
        <v>0</v>
      </c>
      <c r="I88" t="n">
        <v>0</v>
      </c>
      <c r="S88">
        <f>O88*M88</f>
        <v/>
      </c>
      <c r="T88">
        <f>O88*N88</f>
        <v/>
      </c>
    </row>
    <row r="89">
      <c r="A89" t="inlineStr">
        <is>
          <t>Summer cheese</t>
        </is>
      </c>
      <c r="B89" t="n">
        <v>0</v>
      </c>
      <c r="C89" t="n">
        <v>0</v>
      </c>
      <c r="H89" t="n">
        <v>0</v>
      </c>
      <c r="I89" t="n">
        <v>0</v>
      </c>
      <c r="S89">
        <f>O89*M89</f>
        <v/>
      </c>
      <c r="T89">
        <f>O89*N89</f>
        <v/>
      </c>
    </row>
    <row r="90" ht="15.5" customHeight="1">
      <c r="A90" s="57" t="inlineStr">
        <is>
          <t>Total</t>
        </is>
      </c>
    </row>
    <row r="92" ht="15.5" customHeight="1">
      <c r="A92" s="12" t="inlineStr">
        <is>
          <t>Butter</t>
        </is>
      </c>
    </row>
    <row r="93">
      <c r="A93" t="inlineStr">
        <is>
          <t>Butter</t>
        </is>
      </c>
      <c r="B93" t="n">
        <v>0</v>
      </c>
      <c r="C93" t="n">
        <v>0</v>
      </c>
      <c r="H93" t="n">
        <v>0</v>
      </c>
      <c r="I93" t="n">
        <v>0</v>
      </c>
      <c r="S93">
        <f>O93*M93</f>
        <v/>
      </c>
      <c r="T93">
        <f>O93*N93</f>
        <v/>
      </c>
    </row>
    <row r="94" ht="15.5" customHeight="1">
      <c r="A94" s="57" t="inlineStr">
        <is>
          <t>Total</t>
        </is>
      </c>
    </row>
    <row r="95" ht="15.5" customHeight="1">
      <c r="A95" s="13" t="n"/>
    </row>
    <row r="96" ht="15.5" customHeight="1">
      <c r="A96" s="57" t="inlineStr">
        <is>
          <t>Total Dairy Sales</t>
        </is>
      </c>
    </row>
    <row r="99" ht="15.5" customHeight="1">
      <c r="A99" s="12" t="inlineStr">
        <is>
          <t>Cider</t>
        </is>
      </c>
      <c r="B99" t="n">
        <v>0</v>
      </c>
      <c r="C99" t="n">
        <v>0</v>
      </c>
      <c r="H99" t="n">
        <v>0</v>
      </c>
      <c r="I99" t="n">
        <v>0</v>
      </c>
    </row>
    <row r="102" ht="15.5" customHeight="1">
      <c r="A102" s="13" t="inlineStr">
        <is>
          <t>Additional Information (not necessarily useful)</t>
        </is>
      </c>
    </row>
    <row r="103" ht="15.5" customHeight="1">
      <c r="A103" s="12" t="inlineStr">
        <is>
          <t>Utensils</t>
        </is>
      </c>
    </row>
    <row r="104">
      <c r="A104" t="inlineStr">
        <is>
          <t>ploughs</t>
        </is>
      </c>
    </row>
    <row r="105">
      <c r="A105" t="inlineStr">
        <is>
          <t>carts</t>
        </is>
      </c>
    </row>
    <row r="106">
      <c r="A106" t="inlineStr">
        <is>
          <t>cart-ropes</t>
        </is>
      </c>
    </row>
    <row r="107">
      <c r="A107" t="inlineStr">
        <is>
          <t>corn baskets</t>
        </is>
      </c>
    </row>
    <row r="108">
      <c r="A108" t="inlineStr">
        <is>
          <t>seed-sacks</t>
        </is>
      </c>
    </row>
    <row r="109">
      <c r="A109" t="inlineStr">
        <is>
          <t>seed basket</t>
        </is>
      </c>
    </row>
    <row r="110">
      <c r="A110" t="inlineStr">
        <is>
          <t>locks for the doors</t>
        </is>
      </c>
    </row>
    <row r="111">
      <c r="A111" t="inlineStr">
        <is>
          <t>lead vessel</t>
        </is>
      </c>
    </row>
    <row r="112">
      <c r="A112" t="inlineStr">
        <is>
          <t>brass pots</t>
        </is>
      </c>
    </row>
    <row r="113">
      <c r="A113" t="inlineStr">
        <is>
          <t>pans</t>
        </is>
      </c>
    </row>
    <row r="114">
      <c r="A114" t="inlineStr">
        <is>
          <t>tripods</t>
        </is>
      </c>
    </row>
    <row r="115">
      <c r="A115" t="inlineStr">
        <is>
          <t>mortar</t>
        </is>
      </c>
    </row>
    <row r="116">
      <c r="A116" t="inlineStr">
        <is>
          <t>axe</t>
        </is>
      </c>
    </row>
    <row r="117">
      <c r="A117" t="inlineStr">
        <is>
          <t>casks</t>
        </is>
      </c>
    </row>
    <row r="118">
      <c r="A118" t="inlineStr">
        <is>
          <t>tubs</t>
        </is>
      </c>
    </row>
    <row r="119">
      <c r="A119" t="inlineStr">
        <is>
          <t>troughs</t>
        </is>
      </c>
    </row>
    <row r="120">
      <c r="A120" t="inlineStr">
        <is>
          <t>bucket</t>
        </is>
      </c>
    </row>
    <row r="121">
      <c r="A121" t="inlineStr">
        <is>
          <t>cheese basket</t>
        </is>
      </c>
    </row>
    <row r="122">
      <c r="A122" t="inlineStr">
        <is>
          <t>tables</t>
        </is>
      </c>
    </row>
    <row r="123">
      <c r="A123" t="inlineStr">
        <is>
          <t>table with trestles</t>
        </is>
      </c>
    </row>
    <row r="124">
      <c r="A124" t="inlineStr">
        <is>
          <t>benches</t>
        </is>
      </c>
    </row>
    <row r="125">
      <c r="A125" t="inlineStr">
        <is>
          <t>ewer with a basin</t>
        </is>
      </c>
    </row>
    <row r="126">
      <c r="A126" t="inlineStr">
        <is>
          <t>ladders</t>
        </is>
      </c>
    </row>
    <row r="127">
      <c r="A127" t="inlineStr">
        <is>
          <t>cloth</t>
        </is>
      </c>
    </row>
    <row r="128">
      <c r="A128" t="inlineStr">
        <is>
          <t>brass posnets</t>
        </is>
      </c>
    </row>
  </sheetData>
  <mergeCells count="2">
    <mergeCell ref="C3:F3"/>
    <mergeCell ref="G3:J3"/>
  </mergeCell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AV480"/>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1</t>
        </is>
      </c>
      <c r="N1" t="inlineStr">
        <is>
          <t>Bushels 1</t>
        </is>
      </c>
      <c r="O1" t="inlineStr">
        <is>
          <t>Quarters 2</t>
        </is>
      </c>
      <c r="P1" t="inlineStr">
        <is>
          <t>Bushels 2</t>
        </is>
      </c>
      <c r="Q1" t="inlineStr">
        <is>
          <t>Quarters 3</t>
        </is>
      </c>
      <c r="R1" t="inlineStr">
        <is>
          <t>Bushels 3</t>
        </is>
      </c>
      <c r="S1" t="inlineStr">
        <is>
          <t>Quarters 4</t>
        </is>
      </c>
      <c r="T1" t="inlineStr">
        <is>
          <t>Bushels 4</t>
        </is>
      </c>
      <c r="U1" t="inlineStr">
        <is>
          <t>Quarters 5</t>
        </is>
      </c>
      <c r="V1" t="inlineStr">
        <is>
          <t>Bushels 5</t>
        </is>
      </c>
      <c r="W1" t="inlineStr">
        <is>
          <t>Quarters 6</t>
        </is>
      </c>
      <c r="X1" t="inlineStr">
        <is>
          <t>Bushels 6</t>
        </is>
      </c>
      <c r="Y1" t="inlineStr">
        <is>
          <t>Quarters 7</t>
        </is>
      </c>
      <c r="Z1" t="inlineStr">
        <is>
          <t>Bushels 7</t>
        </is>
      </c>
      <c r="AA1" t="inlineStr">
        <is>
          <t>Quarters 8</t>
        </is>
      </c>
      <c r="AB1" t="inlineStr">
        <is>
          <t>Bushels 8</t>
        </is>
      </c>
      <c r="AC1" t="inlineStr">
        <is>
          <t>Quarters 9</t>
        </is>
      </c>
      <c r="AD1" t="inlineStr">
        <is>
          <t>Bushels 9</t>
        </is>
      </c>
      <c r="AE1" t="inlineStr">
        <is>
          <t>Quarters 10</t>
        </is>
      </c>
      <c r="AF1" t="inlineStr">
        <is>
          <t>Bushels 10</t>
        </is>
      </c>
      <c r="AG1" t="inlineStr">
        <is>
          <t>shilling a quarter 1</t>
        </is>
      </c>
      <c r="AH1" t="inlineStr">
        <is>
          <t>pence a quarter 1</t>
        </is>
      </c>
      <c r="AI1" t="inlineStr">
        <is>
          <t>shilling a quarter 2</t>
        </is>
      </c>
      <c r="AJ1" t="inlineStr">
        <is>
          <t>pence a quarter 2</t>
        </is>
      </c>
      <c r="AK1" t="inlineStr">
        <is>
          <t>shilling a quarter 3</t>
        </is>
      </c>
      <c r="AL1" t="inlineStr">
        <is>
          <t>pence a quarter 3</t>
        </is>
      </c>
      <c r="AM1" t="inlineStr">
        <is>
          <t>shilling a quarter 4</t>
        </is>
      </c>
      <c r="AN1" t="inlineStr">
        <is>
          <t>pence a quarter 4</t>
        </is>
      </c>
      <c r="AO1" t="inlineStr">
        <is>
          <t>shilling a bushel 1</t>
        </is>
      </c>
      <c r="AP1" t="inlineStr">
        <is>
          <t>pence a bushel 1</t>
        </is>
      </c>
      <c r="AQ1" t="inlineStr">
        <is>
          <t>shilling a bushel 2</t>
        </is>
      </c>
      <c r="AR1" t="inlineStr">
        <is>
          <t>pence a bushel 2</t>
        </is>
      </c>
      <c r="AS1" t="inlineStr">
        <is>
          <t>shilling a bushel 3</t>
        </is>
      </c>
      <c r="AT1" t="inlineStr">
        <is>
          <t>pence a bushel 3</t>
        </is>
      </c>
      <c r="AU1" t="inlineStr">
        <is>
          <t>shilling a bushel 4</t>
        </is>
      </c>
      <c r="AV1" t="inlineStr">
        <is>
          <t>pence a bushel 4</t>
        </is>
      </c>
    </row>
    <row r="2">
      <c r="A2" t="inlineStr">
        <is>
          <t>ivinghoe</t>
        </is>
      </c>
      <c r="B2" t="inlineStr">
        <is>
          <t>the account of the same for the sixth year of the translation of henry beaufort', lord bishop of winchester, and the eleventh year of the reign of king henry the fourth after the conquest.</t>
        </is>
      </c>
      <c r="C2" t="n">
        <v>0</v>
      </c>
      <c r="D2" t="n">
        <v>0</v>
      </c>
      <c r="E2" t="n">
        <v>0</v>
      </c>
      <c r="F2" t="n">
        <v>0</v>
      </c>
      <c r="H2" t="n">
        <v>0</v>
      </c>
      <c r="I2" t="n">
        <v>0</v>
      </c>
      <c r="J2" t="n">
        <v>0</v>
      </c>
      <c r="K2" t="n">
        <v>0</v>
      </c>
      <c r="L2" t="n">
        <v>0</v>
      </c>
      <c r="M2" t="n">
        <v>0</v>
      </c>
      <c r="N2" t="n">
        <v>0</v>
      </c>
    </row>
    <row r="3">
      <c r="A3" t="inlineStr">
        <is>
          <t>arrears</t>
        </is>
      </c>
      <c r="B3" t="inlineStr">
        <is>
          <t>richard baldewyn, reeve there, answers for £8 19 shilling 6pence of the arrears of john hoke from his last account of the preceding year.</t>
        </is>
      </c>
      <c r="C3" t="n">
        <v>8.970000000000001</v>
      </c>
      <c r="D3" t="n">
        <v>8</v>
      </c>
      <c r="E3" t="n">
        <v>19</v>
      </c>
      <c r="F3" t="n">
        <v>6</v>
      </c>
      <c r="H3" t="n">
        <v>0</v>
      </c>
      <c r="I3" t="n">
        <v>0</v>
      </c>
      <c r="J3" t="n">
        <v>0</v>
      </c>
      <c r="K3" t="n">
        <v>0</v>
      </c>
      <c r="L3" t="n">
        <v>0</v>
      </c>
      <c r="M3" t="n">
        <v>0</v>
      </c>
      <c r="N3" t="n">
        <v>0</v>
      </c>
    </row>
    <row r="4">
      <c r="A4" t="inlineStr">
        <is>
          <t>arrears</t>
        </is>
      </c>
      <c r="B4" t="inlineStr">
        <is>
          <t>total, £8 19 shilling 6pence.</t>
        </is>
      </c>
      <c r="C4" t="n">
        <v>8.970000000000001</v>
      </c>
      <c r="D4" t="n">
        <v>8</v>
      </c>
      <c r="E4" t="n">
        <v>19</v>
      </c>
      <c r="F4" t="n">
        <v>6</v>
      </c>
      <c r="H4" t="n">
        <v>0</v>
      </c>
      <c r="I4" t="n">
        <v>0</v>
      </c>
      <c r="J4" t="n">
        <v>0</v>
      </c>
      <c r="K4" t="n">
        <v>0</v>
      </c>
      <c r="L4" t="n">
        <v>0</v>
      </c>
      <c r="M4" t="n">
        <v>0</v>
      </c>
      <c r="N4" t="n">
        <v>0</v>
      </c>
    </row>
    <row r="5">
      <c r="A5" t="inlineStr">
        <is>
          <t>rents of assize</t>
        </is>
      </c>
      <c r="B5" t="inlineStr">
        <is>
          <t>and for £6 14 shilling 11.75pence for all rents of assize at christmas.</t>
        </is>
      </c>
      <c r="C5" t="n">
        <v>6.75</v>
      </c>
      <c r="D5" t="n">
        <v>6</v>
      </c>
      <c r="E5" t="n">
        <v>14</v>
      </c>
      <c r="F5" t="n">
        <v>11.75</v>
      </c>
      <c r="H5" t="n">
        <v>0</v>
      </c>
      <c r="I5" t="n">
        <v>0</v>
      </c>
      <c r="J5" t="n">
        <v>0</v>
      </c>
      <c r="K5" t="n">
        <v>0</v>
      </c>
      <c r="L5" t="n">
        <v>0</v>
      </c>
      <c r="M5" t="n">
        <v>0</v>
      </c>
      <c r="N5" t="n">
        <v>0</v>
      </c>
    </row>
    <row r="6">
      <c r="A6" t="inlineStr">
        <is>
          <t>rents of assize</t>
        </is>
      </c>
      <c r="B6" t="inlineStr">
        <is>
          <t>£6 15 shilling id. at the annunciation (25 march).</t>
        </is>
      </c>
      <c r="C6" t="n">
        <v>6.75</v>
      </c>
      <c r="D6" t="n">
        <v>6</v>
      </c>
      <c r="E6" t="n">
        <v>15</v>
      </c>
      <c r="F6" t="n">
        <v>0</v>
      </c>
      <c r="H6" t="n">
        <v>0</v>
      </c>
      <c r="I6" t="n">
        <v>0</v>
      </c>
      <c r="J6" t="n">
        <v>0</v>
      </c>
      <c r="K6" t="n">
        <v>0</v>
      </c>
      <c r="L6" t="n">
        <v>0</v>
      </c>
      <c r="M6" t="n">
        <v>0</v>
      </c>
      <c r="N6" t="n">
        <v>0</v>
      </c>
    </row>
    <row r="7">
      <c r="A7" t="inlineStr">
        <is>
          <t>rents of assize</t>
        </is>
      </c>
      <c r="B7" t="inlineStr">
        <is>
          <t>£6 14 shilling 113/id. at the nativity of st john the baptist (24 june).</t>
        </is>
      </c>
      <c r="C7" t="n">
        <v>6.7</v>
      </c>
      <c r="D7" t="n">
        <v>6</v>
      </c>
      <c r="E7" t="n">
        <v>14</v>
      </c>
      <c r="F7" t="n">
        <v>0</v>
      </c>
      <c r="H7" t="n">
        <v>0</v>
      </c>
      <c r="I7" t="n">
        <v>0</v>
      </c>
      <c r="J7" t="n">
        <v>0</v>
      </c>
      <c r="K7" t="n">
        <v>0</v>
      </c>
      <c r="L7" t="n">
        <v>0</v>
      </c>
      <c r="M7" t="n">
        <v>0</v>
      </c>
      <c r="N7" t="n">
        <v>0</v>
      </c>
    </row>
    <row r="8">
      <c r="A8" t="inlineStr">
        <is>
          <t>rents of assize</t>
        </is>
      </c>
      <c r="B8" t="inlineStr">
        <is>
          <t>£6 15 shilling 3.25pence at michaelmas (29 september).</t>
        </is>
      </c>
      <c r="C8" t="n">
        <v>6.76</v>
      </c>
      <c r="D8" t="n">
        <v>6</v>
      </c>
      <c r="E8" t="n">
        <v>15</v>
      </c>
      <c r="F8" t="n">
        <v>3.25</v>
      </c>
      <c r="H8" t="n">
        <v>0</v>
      </c>
      <c r="I8" t="n">
        <v>0</v>
      </c>
      <c r="J8" t="n">
        <v>0</v>
      </c>
      <c r="K8" t="n">
        <v>0</v>
      </c>
      <c r="L8" t="n">
        <v>0</v>
      </c>
      <c r="M8" t="n">
        <v>0</v>
      </c>
      <c r="N8" t="n">
        <v>0</v>
      </c>
    </row>
    <row r="9">
      <c r="A9" t="inlineStr">
        <is>
          <t>rents of assize</t>
        </is>
      </c>
      <c r="B9" t="inlineStr">
        <is>
          <t>1pence for the increment of rent of simon edward' for 1 parcel of land of the lord's waste, 6 feet long and 3 feet wide, in the market of ivinghoe.</t>
        </is>
      </c>
      <c r="C9" t="n">
        <v>0</v>
      </c>
      <c r="D9" t="n">
        <v>0</v>
      </c>
      <c r="E9" t="n">
        <v>0</v>
      </c>
      <c r="F9" t="n">
        <v>1</v>
      </c>
      <c r="H9" t="n">
        <v>0</v>
      </c>
      <c r="I9" t="n">
        <v>0</v>
      </c>
      <c r="J9" t="n">
        <v>0</v>
      </c>
      <c r="K9" t="n">
        <v>0</v>
      </c>
      <c r="L9" t="n">
        <v>0</v>
      </c>
      <c r="M9" t="n">
        <v>0</v>
      </c>
      <c r="N9" t="n">
        <v>0</v>
      </c>
    </row>
    <row r="10">
      <c r="A10" t="inlineStr">
        <is>
          <t>rents of assize</t>
        </is>
      </c>
      <c r="B10" t="inlineStr">
        <is>
          <t>total, £27 3.75pence.</t>
        </is>
      </c>
      <c r="C10" t="n">
        <v>27.02</v>
      </c>
      <c r="D10" t="n">
        <v>27</v>
      </c>
      <c r="E10" t="n">
        <v>0</v>
      </c>
      <c r="F10" t="n">
        <v>3.75</v>
      </c>
      <c r="H10" t="n">
        <v>0</v>
      </c>
      <c r="I10" t="n">
        <v>0</v>
      </c>
      <c r="J10" t="n">
        <v>0</v>
      </c>
      <c r="K10" t="n">
        <v>0</v>
      </c>
      <c r="L10" t="n">
        <v>0</v>
      </c>
      <c r="M10" t="n">
        <v>0</v>
      </c>
      <c r="N10" t="n">
        <v>0</v>
      </c>
    </row>
    <row r="11">
      <c r="A11" t="inlineStr">
        <is>
          <t>quittances of rent</t>
        </is>
      </c>
      <c r="B11" t="inlineStr">
        <is>
          <t>in quittance of rent of 1 reeve for the year 5 shilling.</t>
        </is>
      </c>
      <c r="C11" t="n">
        <v>0.25</v>
      </c>
      <c r="D11" t="n">
        <v>0</v>
      </c>
      <c r="E11" t="n">
        <v>5</v>
      </c>
      <c r="F11" t="n">
        <v>0</v>
      </c>
      <c r="H11" t="n">
        <v>0</v>
      </c>
      <c r="I11" t="n">
        <v>0</v>
      </c>
      <c r="J11" t="n">
        <v>0</v>
      </c>
      <c r="K11" t="n">
        <v>0</v>
      </c>
      <c r="L11" t="n">
        <v>0</v>
      </c>
      <c r="M11" t="n">
        <v>0</v>
      </c>
      <c r="N11" t="n">
        <v>0</v>
      </c>
    </row>
    <row r="12">
      <c r="A12" t="inlineStr">
        <is>
          <t>quittances of rent</t>
        </is>
      </c>
      <c r="B12" t="inlineStr">
        <is>
          <t>1 swineherd, nothing this year, because he has the lord's livery as made clear elsewhere.</t>
        </is>
      </c>
      <c r="C12" t="n">
        <v>0</v>
      </c>
      <c r="D12" t="n">
        <v>0</v>
      </c>
      <c r="E12" t="n">
        <v>0</v>
      </c>
      <c r="F12" t="n">
        <v>0</v>
      </c>
      <c r="H12" t="n">
        <v>0</v>
      </c>
      <c r="I12" t="n">
        <v>0</v>
      </c>
      <c r="J12" t="n">
        <v>0</v>
      </c>
      <c r="K12" t="n">
        <v>0</v>
      </c>
      <c r="L12" t="n">
        <v>0</v>
      </c>
      <c r="M12" t="n">
        <v>0</v>
      </c>
      <c r="N12" t="n">
        <v>0</v>
      </c>
    </row>
    <row r="13">
      <c r="A13" t="inlineStr">
        <is>
          <t>quittances of rent</t>
        </is>
      </c>
      <c r="B13" t="inlineStr">
        <is>
          <t>5 customary ploughmen this year 15 shilling, or 3 shilling each.</t>
        </is>
      </c>
      <c r="C13" t="n">
        <v>0.75</v>
      </c>
      <c r="D13" t="n">
        <v>0</v>
      </c>
      <c r="E13" t="n">
        <v>15</v>
      </c>
      <c r="F13" t="n">
        <v>0</v>
      </c>
      <c r="H13" t="n">
        <v>0</v>
      </c>
      <c r="I13" t="n">
        <v>0</v>
      </c>
      <c r="J13" t="n">
        <v>0</v>
      </c>
      <c r="K13" t="n">
        <v>0</v>
      </c>
      <c r="L13" t="n">
        <v>0</v>
      </c>
      <c r="M13" t="n">
        <v>0</v>
      </c>
      <c r="N13" t="n">
        <v>0</v>
      </c>
    </row>
    <row r="14">
      <c r="A14" t="inlineStr">
        <is>
          <t>quittances of rent</t>
        </is>
      </c>
      <c r="B14" t="inlineStr">
        <is>
          <t>1 forester keeping the woods of combe and charlewode for the year 2 shilling 2pence.</t>
        </is>
      </c>
      <c r="C14" t="n">
        <v>0.11</v>
      </c>
      <c r="D14" t="n">
        <v>0</v>
      </c>
      <c r="E14" t="n">
        <v>2</v>
      </c>
      <c r="F14" t="n">
        <v>2</v>
      </c>
      <c r="H14" t="n">
        <v>0</v>
      </c>
      <c r="I14" t="n">
        <v>0</v>
      </c>
      <c r="J14" t="n">
        <v>0</v>
      </c>
      <c r="K14" t="n">
        <v>0</v>
      </c>
      <c r="L14" t="n">
        <v>0</v>
      </c>
      <c r="M14" t="n">
        <v>0</v>
      </c>
      <c r="N14" t="n">
        <v>0</v>
      </c>
    </row>
    <row r="15">
      <c r="A15" t="inlineStr">
        <is>
          <t>quittances of rent</t>
        </is>
      </c>
      <c r="B15" t="inlineStr">
        <is>
          <t>2 virgaters working every working day per week apart from saturday from michaelmas until christmas, as made clear elsewhere, doing a round of labour services, 1 shilling 10pence, at 10pence for 1, and 1 shilling for 1.</t>
        </is>
      </c>
      <c r="C15" t="n">
        <v>0.09</v>
      </c>
      <c r="D15" t="n">
        <v>0</v>
      </c>
      <c r="E15" t="n">
        <v>1</v>
      </c>
      <c r="F15" t="n">
        <v>10</v>
      </c>
      <c r="H15" t="n">
        <v>0</v>
      </c>
      <c r="I15" t="n">
        <v>0</v>
      </c>
      <c r="J15" t="n">
        <v>0</v>
      </c>
      <c r="K15" t="n">
        <v>0</v>
      </c>
      <c r="L15" t="n">
        <v>0</v>
      </c>
      <c r="M15" t="n">
        <v>0</v>
      </c>
      <c r="N15" t="n">
        <v>0</v>
      </c>
    </row>
    <row r="16">
      <c r="A16" t="inlineStr">
        <is>
          <t>quittances of rent</t>
        </is>
      </c>
      <c r="B16" t="inlineStr">
        <is>
          <t>2 virgaters working every working day apart from saturday between christmas and the annunciation, as made clear elsewhere, doing a round of labour services, 2 shilling, or 1 shilling each.</t>
        </is>
      </c>
      <c r="C16" t="n">
        <v>0.1</v>
      </c>
      <c r="D16" t="n">
        <v>0</v>
      </c>
      <c r="E16" t="n">
        <v>2</v>
      </c>
      <c r="F16" t="n">
        <v>0</v>
      </c>
      <c r="H16" t="n">
        <v>0</v>
      </c>
      <c r="I16" t="n">
        <v>0</v>
      </c>
      <c r="J16" t="n">
        <v>0</v>
      </c>
      <c r="K16" t="n">
        <v>0</v>
      </c>
      <c r="L16" t="n">
        <v>0</v>
      </c>
      <c r="M16" t="n">
        <v>0</v>
      </c>
      <c r="N16" t="n">
        <v>0</v>
      </c>
    </row>
    <row r="17">
      <c r="A17" t="inlineStr">
        <is>
          <t>quittances of rent</t>
        </is>
      </c>
      <c r="B17" t="inlineStr">
        <is>
          <t>2 virgaters worlcing between the annunciation and the nativity of st john the baptist 2 shilling 6pence, or 1 shilling 3pence each.</t>
        </is>
      </c>
      <c r="C17" t="n">
        <v>0.12</v>
      </c>
      <c r="D17" t="n">
        <v>0</v>
      </c>
      <c r="E17" t="n">
        <v>2</v>
      </c>
      <c r="F17" t="n">
        <v>6</v>
      </c>
      <c r="H17" t="n">
        <v>0</v>
      </c>
      <c r="I17" t="n">
        <v>0</v>
      </c>
      <c r="J17" t="n">
        <v>0</v>
      </c>
      <c r="K17" t="n">
        <v>0</v>
      </c>
      <c r="L17" t="n">
        <v>0</v>
      </c>
      <c r="M17" t="n">
        <v>0</v>
      </c>
      <c r="N17" t="n">
        <v>0</v>
      </c>
    </row>
    <row r="18">
      <c r="A18" t="inlineStr">
        <is>
          <t>quittances of rent</t>
        </is>
      </c>
      <c r="B18" t="inlineStr">
        <is>
          <t>8 virgaters working every working day as before between the nativity of st john the baptist and michaelmas 11 shilling 5pence, at 1 shilling 6pence each for 6, 1 shilling 4pence for 1, and 1 shilling 1pence for 1..</t>
        </is>
      </c>
      <c r="C18" t="n">
        <v>0.57</v>
      </c>
      <c r="D18" t="n">
        <v>0</v>
      </c>
      <c r="E18" t="n">
        <v>11</v>
      </c>
      <c r="F18" t="n">
        <v>5</v>
      </c>
      <c r="H18" t="n">
        <v>0</v>
      </c>
      <c r="I18" t="n">
        <v>0</v>
      </c>
      <c r="J18" t="n">
        <v>0</v>
      </c>
      <c r="K18" t="n">
        <v>0</v>
      </c>
      <c r="L18" t="n">
        <v>0</v>
      </c>
      <c r="M18" t="n">
        <v>0</v>
      </c>
      <c r="N18" t="n">
        <v>0</v>
      </c>
    </row>
    <row r="19">
      <c r="A19" t="inlineStr">
        <is>
          <t>quittances of rent</t>
        </is>
      </c>
      <c r="B19" t="inlineStr">
        <is>
          <t>total, £1 19 shilling 11pence.</t>
        </is>
      </c>
      <c r="C19" t="n">
        <v>2</v>
      </c>
      <c r="D19" t="n">
        <v>1</v>
      </c>
      <c r="E19" t="n">
        <v>19</v>
      </c>
      <c r="F19" t="n">
        <v>11</v>
      </c>
      <c r="H19" t="n">
        <v>0</v>
      </c>
      <c r="I19" t="n">
        <v>0</v>
      </c>
      <c r="J19" t="n">
        <v>0</v>
      </c>
      <c r="K19" t="n">
        <v>0</v>
      </c>
      <c r="L19" t="n">
        <v>0</v>
      </c>
      <c r="M19" t="n">
        <v>0</v>
      </c>
      <c r="N19" t="n">
        <v>0</v>
      </c>
    </row>
    <row r="20">
      <c r="A20" t="inlineStr">
        <is>
          <t>defaults of rent</t>
        </is>
      </c>
      <c r="B20" t="inlineStr">
        <is>
          <t>in default of the earl of salisbury at gaddesden, 18 shilling for the year, because bishop godfrey gave that land with the tenements to the said earl as made clear in the custumal of ivinghoe.</t>
        </is>
      </c>
      <c r="C20" t="n">
        <v>0.9</v>
      </c>
      <c r="D20" t="n">
        <v>0</v>
      </c>
      <c r="E20" t="n">
        <v>18</v>
      </c>
      <c r="F20" t="n">
        <v>0</v>
      </c>
      <c r="H20" t="n">
        <v>0</v>
      </c>
      <c r="I20" t="n">
        <v>0</v>
      </c>
      <c r="J20" t="n">
        <v>0</v>
      </c>
      <c r="K20" t="n">
        <v>0</v>
      </c>
      <c r="L20" t="n">
        <v>0</v>
      </c>
      <c r="M20" t="n">
        <v>0</v>
      </c>
      <c r="N20" t="n">
        <v>0</v>
      </c>
    </row>
    <row r="21">
      <c r="A21" t="inlineStr">
        <is>
          <t>defaults of rent</t>
        </is>
      </c>
      <c r="B21" t="inlineStr">
        <is>
          <t>total, 18 shilling.</t>
        </is>
      </c>
      <c r="C21" t="n">
        <v>0.9</v>
      </c>
      <c r="D21" t="n">
        <v>0</v>
      </c>
      <c r="E21" t="n">
        <v>18</v>
      </c>
      <c r="F21" t="n">
        <v>0</v>
      </c>
      <c r="H21" t="n">
        <v>0</v>
      </c>
      <c r="I21" t="n">
        <v>0</v>
      </c>
      <c r="J21" t="n">
        <v>0</v>
      </c>
      <c r="K21" t="n">
        <v>0</v>
      </c>
      <c r="L21" t="n">
        <v>0</v>
      </c>
      <c r="M21" t="n">
        <v>0</v>
      </c>
      <c r="N21" t="n">
        <v>0</v>
      </c>
    </row>
    <row r="22">
      <c r="A22" t="inlineStr">
        <is>
          <t>defaults of rent through the pestilence</t>
        </is>
      </c>
      <c r="B22" t="inlineStr">
        <is>
          <t>in default of 1 messuage and 1 virgate of land formerly of william havecombe, in the lord's hands from a want of buyers and because the same land was sown for the use of the lord, 5 shilling for the year.</t>
        </is>
      </c>
      <c r="C22" t="n">
        <v>0.25</v>
      </c>
      <c r="D22" t="n">
        <v>0</v>
      </c>
      <c r="E22" t="n">
        <v>5</v>
      </c>
      <c r="F22" t="n">
        <v>0</v>
      </c>
      <c r="H22" t="n">
        <v>0</v>
      </c>
      <c r="I22" t="n">
        <v>0</v>
      </c>
      <c r="J22" t="n">
        <v>0</v>
      </c>
      <c r="K22" t="n">
        <v>0</v>
      </c>
      <c r="L22" t="n">
        <v>0</v>
      </c>
      <c r="M22" t="n">
        <v>0</v>
      </c>
      <c r="N22" t="n">
        <v>0</v>
      </c>
    </row>
    <row r="23">
      <c r="A23" t="inlineStr">
        <is>
          <t>defaults of rent through the pestilence</t>
        </is>
      </c>
      <c r="B23" t="inlineStr">
        <is>
          <t>1 acre of assarted land formerly of the said john in the lord's hands, 4pence for the year.</t>
        </is>
      </c>
      <c r="C23" t="n">
        <v>0.02</v>
      </c>
      <c r="D23" t="n">
        <v>0</v>
      </c>
      <c r="E23" t="n">
        <v>0</v>
      </c>
      <c r="F23" t="n">
        <v>4</v>
      </c>
      <c r="H23" t="n">
        <v>0</v>
      </c>
      <c r="I23" t="n">
        <v>0</v>
      </c>
      <c r="J23" t="n">
        <v>0</v>
      </c>
      <c r="K23" t="n">
        <v>0</v>
      </c>
      <c r="L23" t="n">
        <v>0</v>
      </c>
      <c r="M23" t="n">
        <v>0</v>
      </c>
      <c r="N23" t="n">
        <v>0</v>
      </c>
    </row>
    <row r="24">
      <c r="A24" t="inlineStr">
        <is>
          <t>defaults of rent through the pestilence</t>
        </is>
      </c>
      <c r="B24" t="inlineStr">
        <is>
          <t>1 plot of purpresture formerly of john wodefoghull' in the lord's hands, 4pence for the year.</t>
        </is>
      </c>
      <c r="C24" t="n">
        <v>0.02</v>
      </c>
      <c r="D24" t="n">
        <v>0</v>
      </c>
      <c r="E24" t="n">
        <v>0</v>
      </c>
      <c r="F24" t="n">
        <v>4</v>
      </c>
      <c r="H24" t="n">
        <v>0</v>
      </c>
      <c r="I24" t="n">
        <v>0</v>
      </c>
      <c r="J24" t="n">
        <v>0</v>
      </c>
      <c r="K24" t="n">
        <v>0</v>
      </c>
      <c r="L24" t="n">
        <v>0</v>
      </c>
      <c r="M24" t="n">
        <v>0</v>
      </c>
      <c r="N24" t="n">
        <v>0</v>
      </c>
    </row>
    <row r="25">
      <c r="A25" t="inlineStr">
        <is>
          <t>defaults of rent through the pestilence</t>
        </is>
      </c>
      <c r="B25" t="inlineStr">
        <is>
          <t>1 messuage and 1 virgate .of villein land formerly of james gybon in the lord's hands, 4 shilling 6pence for the year.</t>
        </is>
      </c>
      <c r="C25" t="n">
        <v>0.23</v>
      </c>
      <c r="D25" t="n">
        <v>0</v>
      </c>
      <c r="E25" t="n">
        <v>4</v>
      </c>
      <c r="F25" t="n">
        <v>6</v>
      </c>
      <c r="H25" t="n">
        <v>0</v>
      </c>
      <c r="I25" t="n">
        <v>0</v>
      </c>
      <c r="J25" t="n">
        <v>0</v>
      </c>
      <c r="K25" t="n">
        <v>0</v>
      </c>
      <c r="L25" t="n">
        <v>0</v>
      </c>
      <c r="M25" t="n">
        <v>0</v>
      </c>
      <c r="N25" t="n">
        <v>0</v>
      </c>
    </row>
    <row r="26">
      <c r="A26" t="inlineStr">
        <is>
          <t>defaults of rent through the pestilence</t>
        </is>
      </c>
      <c r="B26" t="inlineStr">
        <is>
          <t>1 cottage and 1 curtilage of purpresture formerly of juliana sunnyng' in the lord's hands, 3 shilling 4pence for the year, because it lies in the public highway and the plot is waste and nothing can be raised therefrom.</t>
        </is>
      </c>
      <c r="C26" t="n">
        <v>0.17</v>
      </c>
      <c r="D26" t="n">
        <v>0</v>
      </c>
      <c r="E26" t="n">
        <v>3</v>
      </c>
      <c r="F26" t="n">
        <v>4</v>
      </c>
      <c r="H26" t="n">
        <v>0</v>
      </c>
      <c r="I26" t="n">
        <v>0</v>
      </c>
      <c r="J26" t="n">
        <v>0</v>
      </c>
      <c r="K26" t="n">
        <v>0</v>
      </c>
      <c r="L26" t="n">
        <v>0</v>
      </c>
      <c r="M26" t="n">
        <v>0</v>
      </c>
      <c r="N26" t="n">
        <v>0</v>
      </c>
    </row>
    <row r="27">
      <c r="A27" t="inlineStr">
        <is>
          <t>defaults of rent through the pestilence</t>
        </is>
      </c>
      <c r="B27" t="inlineStr">
        <is>
          <t>1 toft and 1 virgate of villein land of 30 acres in the tithing of wardhurst formerly of richard hastyng' in the lord's hands, 16 shilling for the year.</t>
        </is>
      </c>
      <c r="C27" t="n">
        <v>0.8</v>
      </c>
      <c r="D27" t="n">
        <v>0</v>
      </c>
      <c r="E27" t="n">
        <v>16</v>
      </c>
      <c r="F27" t="n">
        <v>0</v>
      </c>
      <c r="H27" t="n">
        <v>0</v>
      </c>
      <c r="I27" t="n">
        <v>0</v>
      </c>
      <c r="J27" t="n">
        <v>0</v>
      </c>
      <c r="K27" t="n">
        <v>0</v>
      </c>
      <c r="L27" t="n">
        <v>0</v>
      </c>
      <c r="M27" t="n">
        <v>0</v>
      </c>
      <c r="N27" t="n">
        <v>0</v>
      </c>
    </row>
    <row r="28">
      <c r="A28" t="inlineStr">
        <is>
          <t>defaults of rent through the pestilence</t>
        </is>
      </c>
      <c r="B28" t="inlineStr">
        <is>
          <t>1 toft and 1 virgate of villein land formerly of john havcombe in the lord's hands, 4 shilling for the year.</t>
        </is>
      </c>
      <c r="C28" t="n">
        <v>0.2</v>
      </c>
      <c r="D28" t="n">
        <v>0</v>
      </c>
      <c r="E28" t="n">
        <v>4</v>
      </c>
      <c r="F28" t="n">
        <v>0</v>
      </c>
      <c r="H28" t="n">
        <v>0</v>
      </c>
      <c r="I28" t="n">
        <v>0</v>
      </c>
      <c r="J28" t="n">
        <v>0</v>
      </c>
      <c r="K28" t="n">
        <v>0</v>
      </c>
      <c r="L28" t="n">
        <v>0</v>
      </c>
      <c r="M28" t="n">
        <v>0</v>
      </c>
      <c r="N28" t="n">
        <v>0</v>
      </c>
    </row>
    <row r="29">
      <c r="A29" t="inlineStr">
        <is>
          <t>defaults of rent through the pestilence</t>
        </is>
      </c>
      <c r="B29" t="inlineStr">
        <is>
          <t>1 messuage with its appurtenances formerly of peter atte forde called matras in the lord's hands, 3 shilling for the year.</t>
        </is>
      </c>
      <c r="C29" t="n">
        <v>0.15</v>
      </c>
      <c r="D29" t="n">
        <v>0</v>
      </c>
      <c r="E29" t="n">
        <v>3</v>
      </c>
      <c r="F29" t="n">
        <v>0</v>
      </c>
      <c r="H29" t="n">
        <v>0</v>
      </c>
      <c r="I29" t="n">
        <v>0</v>
      </c>
      <c r="J29" t="n">
        <v>0</v>
      </c>
      <c r="K29" t="n">
        <v>0</v>
      </c>
      <c r="L29" t="n">
        <v>0</v>
      </c>
      <c r="M29" t="n">
        <v>0</v>
      </c>
      <c r="N29" t="n">
        <v>0</v>
      </c>
    </row>
    <row r="30">
      <c r="A30" t="inlineStr">
        <is>
          <t>defaults of rent through the pestilence</t>
        </is>
      </c>
      <c r="B30" t="inlineStr">
        <is>
          <t>total, £2 9 shilling.</t>
        </is>
      </c>
      <c r="C30" t="n">
        <v>2.45</v>
      </c>
      <c r="D30" t="n">
        <v>2</v>
      </c>
      <c r="E30" t="n">
        <v>9</v>
      </c>
      <c r="F30" t="n">
        <v>0</v>
      </c>
      <c r="H30" t="n">
        <v>0</v>
      </c>
      <c r="I30" t="n">
        <v>0</v>
      </c>
      <c r="J30" t="n">
        <v>0</v>
      </c>
      <c r="K30" t="n">
        <v>0</v>
      </c>
      <c r="L30" t="n">
        <v>0</v>
      </c>
      <c r="M30" t="n">
        <v>0</v>
      </c>
      <c r="N30" t="n">
        <v>0</v>
      </c>
    </row>
    <row r="31">
      <c r="A31" t="inlineStr">
        <is>
          <t>total of quittances and defaults of rent</t>
        </is>
      </c>
      <c r="B31" t="inlineStr">
        <is>
          <t>total of quittances and defaults of rent, £5 6 shilling 11pence.</t>
        </is>
      </c>
      <c r="C31" t="n">
        <v>5.35</v>
      </c>
      <c r="D31" t="n">
        <v>5</v>
      </c>
      <c r="E31" t="n">
        <v>6</v>
      </c>
      <c r="F31" t="n">
        <v>11</v>
      </c>
      <c r="H31" t="n">
        <v>0</v>
      </c>
      <c r="I31" t="n">
        <v>0</v>
      </c>
      <c r="J31" t="n">
        <v>0</v>
      </c>
      <c r="K31" t="n">
        <v>0</v>
      </c>
      <c r="L31" t="n">
        <v>0</v>
      </c>
      <c r="M31" t="n">
        <v>0</v>
      </c>
      <c r="N31" t="n">
        <v>0</v>
      </c>
    </row>
    <row r="32">
      <c r="A32" t="inlineStr">
        <is>
          <t>total of rents remaining clear</t>
        </is>
      </c>
      <c r="B32" t="inlineStr">
        <is>
          <t>total of rents remaining clear, £21 13 shilling 5.75pence.</t>
        </is>
      </c>
      <c r="C32" t="n">
        <v>21.67</v>
      </c>
      <c r="D32" t="n">
        <v>21</v>
      </c>
      <c r="E32" t="n">
        <v>13</v>
      </c>
      <c r="F32" t="n">
        <v>5.75</v>
      </c>
      <c r="H32" t="n">
        <v>0</v>
      </c>
      <c r="I32" t="n">
        <v>0</v>
      </c>
      <c r="J32" t="n">
        <v>0</v>
      </c>
      <c r="K32" t="n">
        <v>0</v>
      </c>
      <c r="L32" t="n">
        <v>0</v>
      </c>
      <c r="M32" t="n">
        <v>0</v>
      </c>
      <c r="N32" t="n">
        <v>0</v>
      </c>
    </row>
    <row r="33">
      <c r="A33" t="inlineStr">
        <is>
          <t>issues of the tenements in the lord's hands</t>
        </is>
      </c>
      <c r="B33" t="inlineStr">
        <is>
          <t>and for 8 shilling from thomas hastyng' for 1 virgate of assarted land of 30 acres formerly of richard hastyng' in the lord's hands, demised to the same for the year.</t>
        </is>
      </c>
      <c r="C33" t="n">
        <v>0.4</v>
      </c>
      <c r="D33" t="n">
        <v>0</v>
      </c>
      <c r="E33" t="n">
        <v>8</v>
      </c>
      <c r="F33" t="n">
        <v>0</v>
      </c>
      <c r="H33" t="n">
        <v>0</v>
      </c>
      <c r="I33" t="n">
        <v>0</v>
      </c>
      <c r="J33" t="n">
        <v>0</v>
      </c>
      <c r="K33" t="n">
        <v>0</v>
      </c>
      <c r="L33" t="n">
        <v>0</v>
      </c>
      <c r="M33" t="n">
        <v>0</v>
      </c>
      <c r="N33" t="n">
        <v>0</v>
      </c>
    </row>
    <row r="34">
      <c r="A34" t="inlineStr">
        <is>
          <t>issues of the tenements in the lord's hands</t>
        </is>
      </c>
      <c r="B34" t="inlineStr">
        <is>
          <t>6 shilling from thomas warde for the issue of 1 toft and 1 virgate of land formerly of james gybon.</t>
        </is>
      </c>
      <c r="C34" t="n">
        <v>0.3</v>
      </c>
      <c r="D34" t="n">
        <v>0</v>
      </c>
      <c r="E34" t="n">
        <v>6</v>
      </c>
      <c r="F34" t="n">
        <v>0</v>
      </c>
      <c r="H34" t="n">
        <v>0</v>
      </c>
      <c r="I34" t="n">
        <v>0</v>
      </c>
      <c r="J34" t="n">
        <v>0</v>
      </c>
      <c r="K34" t="n">
        <v>0</v>
      </c>
      <c r="L34" t="n">
        <v>0</v>
      </c>
      <c r="M34" t="n">
        <v>0</v>
      </c>
      <c r="N34" t="n">
        <v>0</v>
      </c>
    </row>
    <row r="35">
      <c r="A35" t="inlineStr">
        <is>
          <t>issues of the tenements in the lord's hands</t>
        </is>
      </c>
      <c r="B35" t="inlineStr">
        <is>
          <t>6 shilling from the same thomas for the issue of 1 toft and 1 virgate of villein land formerly of matilda whitewey.</t>
        </is>
      </c>
      <c r="C35" t="n">
        <v>0.3</v>
      </c>
      <c r="D35" t="n">
        <v>0</v>
      </c>
      <c r="E35" t="n">
        <v>6</v>
      </c>
      <c r="F35" t="n">
        <v>0</v>
      </c>
      <c r="H35" t="n">
        <v>0</v>
      </c>
      <c r="I35" t="n">
        <v>0</v>
      </c>
      <c r="J35" t="n">
        <v>0</v>
      </c>
      <c r="K35" t="n">
        <v>0</v>
      </c>
      <c r="L35" t="n">
        <v>0</v>
      </c>
      <c r="M35" t="n">
        <v>0</v>
      </c>
      <c r="N35" t="n">
        <v>0</v>
      </c>
    </row>
    <row r="36">
      <c r="A36" t="inlineStr">
        <is>
          <t>issues of the tenements in the lord's hands</t>
        </is>
      </c>
      <c r="B36" t="inlineStr">
        <is>
          <t>6 shilling from the issue of 3 crofts of land at havcombe and from the land and meadow at medhull’, part of 4 virgates formerly of havecombe, demised to various tennts this year.</t>
        </is>
      </c>
      <c r="C36" t="n">
        <v>0.3</v>
      </c>
      <c r="D36" t="n">
        <v>0</v>
      </c>
      <c r="E36" t="n">
        <v>6</v>
      </c>
      <c r="F36" t="n">
        <v>0</v>
      </c>
      <c r="H36" t="n">
        <v>0</v>
      </c>
      <c r="I36" t="n">
        <v>0</v>
      </c>
      <c r="J36" t="n">
        <v>0</v>
      </c>
      <c r="K36" t="n">
        <v>0</v>
      </c>
      <c r="L36" t="n">
        <v>0</v>
      </c>
      <c r="M36" t="n">
        <v>0</v>
      </c>
      <c r="N36" t="n">
        <v>0</v>
      </c>
    </row>
    <row r="37">
      <c r="A37" t="inlineStr">
        <is>
          <t>issues of the tenements in the lord's hands</t>
        </is>
      </c>
      <c r="B37" t="inlineStr">
        <is>
          <t>3 shilling 4pence from the issue of 1 messuage with its appurtenances formerly of peter atte forde called matras, demised this year.</t>
        </is>
      </c>
      <c r="C37" t="n">
        <v>0.17</v>
      </c>
      <c r="D37" t="n">
        <v>0</v>
      </c>
      <c r="E37" t="n">
        <v>3</v>
      </c>
      <c r="F37" t="n">
        <v>4</v>
      </c>
      <c r="H37" t="n">
        <v>0</v>
      </c>
      <c r="I37" t="n">
        <v>0</v>
      </c>
      <c r="J37" t="n">
        <v>0</v>
      </c>
      <c r="K37" t="n">
        <v>0</v>
      </c>
      <c r="L37" t="n">
        <v>0</v>
      </c>
      <c r="M37" t="n">
        <v>0</v>
      </c>
      <c r="N37" t="n">
        <v>0</v>
      </c>
    </row>
    <row r="38">
      <c r="A38" t="inlineStr">
        <is>
          <t>issues of the tenements in the lord's hands</t>
        </is>
      </c>
      <c r="B38" t="inlineStr">
        <is>
          <t>total, £1 9 shilling 4pence.</t>
        </is>
      </c>
      <c r="C38" t="n">
        <v>1.47</v>
      </c>
      <c r="D38" t="n">
        <v>1</v>
      </c>
      <c r="E38" t="n">
        <v>9</v>
      </c>
      <c r="F38" t="n">
        <v>4</v>
      </c>
      <c r="H38" t="n">
        <v>0</v>
      </c>
      <c r="I38" t="n">
        <v>0</v>
      </c>
      <c r="J38" t="n">
        <v>0</v>
      </c>
      <c r="K38" t="n">
        <v>0</v>
      </c>
      <c r="L38" t="n">
        <v>0</v>
      </c>
      <c r="M38" t="n">
        <v>0</v>
      </c>
      <c r="N38" t="n">
        <v>0</v>
      </c>
    </row>
    <row r="39">
      <c r="A39" t="inlineStr">
        <is>
          <t>issues of the manor</t>
        </is>
      </c>
      <c r="B39" t="inlineStr">
        <is>
          <t>and for 6 shilling 7.5d from the pannage of the pigs of the customary tenants at martinmas.</t>
        </is>
      </c>
      <c r="C39" t="n">
        <v>0.3</v>
      </c>
      <c r="D39" t="n">
        <v>0</v>
      </c>
      <c r="E39" t="n">
        <v>6</v>
      </c>
      <c r="F39" t="n">
        <v>0</v>
      </c>
      <c r="H39" t="n">
        <v>0</v>
      </c>
      <c r="I39" t="n">
        <v>0</v>
      </c>
      <c r="J39" t="n">
        <v>0</v>
      </c>
      <c r="K39" t="n">
        <v>0</v>
      </c>
      <c r="L39" t="n">
        <v>0</v>
      </c>
      <c r="M39" t="n">
        <v>0</v>
      </c>
      <c r="N39" t="n">
        <v>0</v>
      </c>
    </row>
    <row r="40">
      <c r="A40" t="inlineStr">
        <is>
          <t>issues of the manor</t>
        </is>
      </c>
      <c r="B40" t="inlineStr">
        <is>
          <t>nothing from the pannage of foreign pigs in the lord’s wood this year because there was no mast.</t>
        </is>
      </c>
      <c r="C40" t="n">
        <v>0</v>
      </c>
      <c r="D40" t="n">
        <v>0</v>
      </c>
      <c r="E40" t="n">
        <v>0</v>
      </c>
      <c r="F40" t="n">
        <v>0</v>
      </c>
      <c r="H40" t="n">
        <v>0</v>
      </c>
      <c r="I40" t="n">
        <v>0</v>
      </c>
      <c r="J40" t="n">
        <v>0</v>
      </c>
      <c r="K40" t="n">
        <v>0</v>
      </c>
      <c r="L40" t="n">
        <v>0</v>
      </c>
      <c r="M40" t="n">
        <v>0</v>
      </c>
      <c r="N40" t="n">
        <v>0</v>
      </c>
    </row>
    <row r="41">
      <c r="A41" t="inlineStr">
        <is>
          <t>issues of the manor</t>
        </is>
      </c>
      <c r="B41" t="inlineStr">
        <is>
          <t>nothing from ploughing shared out (particat') this year for the reason made  clear elsewhere.</t>
        </is>
      </c>
      <c r="C41" t="n">
        <v>0</v>
      </c>
      <c r="D41" t="n">
        <v>0</v>
      </c>
      <c r="E41" t="n">
        <v>0</v>
      </c>
      <c r="F41" t="n">
        <v>0</v>
      </c>
      <c r="H41" t="n">
        <v>0</v>
      </c>
      <c r="I41" t="n">
        <v>0</v>
      </c>
      <c r="J41" t="n">
        <v>0</v>
      </c>
      <c r="K41" t="n">
        <v>0</v>
      </c>
      <c r="L41" t="n">
        <v>0</v>
      </c>
      <c r="M41" t="n">
        <v>0</v>
      </c>
      <c r="N41" t="n">
        <v>0</v>
      </c>
    </row>
    <row r="42">
      <c r="A42" t="inlineStr">
        <is>
          <t>issues of the manor</t>
        </is>
      </c>
      <c r="B42" t="inlineStr">
        <is>
          <t>4 shilling 6pence from beasts agisted in the pasture and grove between michaelmas and martinmas.</t>
        </is>
      </c>
      <c r="C42" t="n">
        <v>0.23</v>
      </c>
      <c r="D42" t="n">
        <v>0</v>
      </c>
      <c r="E42" t="n">
        <v>4</v>
      </c>
      <c r="F42" t="n">
        <v>6</v>
      </c>
      <c r="H42" t="n">
        <v>0</v>
      </c>
      <c r="I42" t="n">
        <v>0</v>
      </c>
      <c r="J42" t="n">
        <v>0</v>
      </c>
      <c r="K42" t="n">
        <v>0</v>
      </c>
      <c r="L42" t="n">
        <v>0</v>
      </c>
      <c r="M42" t="n">
        <v>0</v>
      </c>
      <c r="N42" t="n">
        <v>0</v>
      </c>
    </row>
    <row r="43">
      <c r="A43" t="inlineStr">
        <is>
          <t>issues of the manor</t>
        </is>
      </c>
      <c r="B43" t="inlineStr">
        <is>
          <t>nothing from the pasturage of cattle and sheep before theploughing at fallow-time nor from the agistment of cattle in the pasture and grove from hockday until the nativity of st john the baptist because they are grazed with the lord's cattle this year.</t>
        </is>
      </c>
      <c r="C43" t="n">
        <v>0</v>
      </c>
      <c r="D43" t="n">
        <v>0</v>
      </c>
      <c r="E43" t="n">
        <v>0</v>
      </c>
      <c r="F43" t="n">
        <v>0</v>
      </c>
      <c r="H43" t="n">
        <v>0</v>
      </c>
      <c r="I43" t="n">
        <v>0</v>
      </c>
      <c r="J43" t="n">
        <v>0</v>
      </c>
      <c r="K43" t="n">
        <v>0</v>
      </c>
      <c r="L43" t="n">
        <v>0</v>
      </c>
      <c r="M43" t="n">
        <v>0</v>
      </c>
      <c r="N43" t="n">
        <v>0</v>
      </c>
    </row>
    <row r="44">
      <c r="A44" t="inlineStr">
        <is>
          <t>issues of the manor</t>
        </is>
      </c>
      <c r="B44" t="inlineStr">
        <is>
          <t>nothing from the agistment of cattle there from then until michaelmas this year.</t>
        </is>
      </c>
      <c r="C44" t="n">
        <v>0</v>
      </c>
      <c r="D44" t="n">
        <v>0</v>
      </c>
      <c r="E44" t="n">
        <v>0</v>
      </c>
      <c r="F44" t="n">
        <v>0</v>
      </c>
      <c r="H44" t="n">
        <v>0</v>
      </c>
      <c r="I44" t="n">
        <v>0</v>
      </c>
      <c r="J44" t="n">
        <v>0</v>
      </c>
      <c r="K44" t="n">
        <v>0</v>
      </c>
      <c r="L44" t="n">
        <v>0</v>
      </c>
      <c r="M44" t="n">
        <v>0</v>
      </c>
      <c r="N44" t="n">
        <v>0</v>
      </c>
    </row>
    <row r="45">
      <c r="A45" t="inlineStr">
        <is>
          <t>issues of the manor</t>
        </is>
      </c>
      <c r="B45" t="inlineStr">
        <is>
          <t>2 shilling from 4 oxen agisted with the lord's oxen from then until michaelmas this year, giving 6pence a head.</t>
        </is>
      </c>
      <c r="C45" t="n">
        <v>0.12</v>
      </c>
      <c r="D45" t="n">
        <v>0</v>
      </c>
      <c r="E45" t="n">
        <v>2</v>
      </c>
      <c r="F45" t="n">
        <v>6</v>
      </c>
      <c r="H45" t="n">
        <v>0</v>
      </c>
      <c r="I45" t="n">
        <v>0</v>
      </c>
      <c r="J45" t="n">
        <v>0</v>
      </c>
      <c r="K45" t="n">
        <v>0</v>
      </c>
      <c r="L45" t="n">
        <v>0</v>
      </c>
      <c r="M45" t="n">
        <v>0</v>
      </c>
      <c r="N45" t="n">
        <v>0</v>
      </c>
    </row>
    <row r="46">
      <c r="A46" t="inlineStr">
        <is>
          <t>issues of the manor</t>
        </is>
      </c>
      <c r="B46" t="inlineStr">
        <is>
          <t>2 shilling from 4 cows agisted in the pasture and grove with the lord's cows from then until michaelmas this year, giving 6pence a head.</t>
        </is>
      </c>
      <c r="C46" t="n">
        <v>0.12</v>
      </c>
      <c r="D46" t="n">
        <v>0</v>
      </c>
      <c r="E46" t="n">
        <v>2</v>
      </c>
      <c r="F46" t="n">
        <v>6</v>
      </c>
      <c r="H46" t="n">
        <v>0</v>
      </c>
      <c r="I46" t="n">
        <v>0</v>
      </c>
      <c r="J46" t="n">
        <v>0</v>
      </c>
      <c r="K46" t="n">
        <v>0</v>
      </c>
      <c r="L46" t="n">
        <v>0</v>
      </c>
      <c r="M46" t="n">
        <v>0</v>
      </c>
      <c r="N46" t="n">
        <v>0</v>
      </c>
    </row>
    <row r="47">
      <c r="A47" t="inlineStr">
        <is>
          <t>issues of the manor</t>
        </is>
      </c>
      <c r="B47" t="inlineStr">
        <is>
          <t>nothing from the agistment of cows and calves in the barbican nor from cattle in the pasture of carsewyk' nor from the agistment of lambs in the pasture this year because they are grazed with the lord's lambs and oxen.</t>
        </is>
      </c>
      <c r="C47" t="n">
        <v>0</v>
      </c>
      <c r="D47" t="n">
        <v>0</v>
      </c>
      <c r="E47" t="n">
        <v>0</v>
      </c>
      <c r="F47" t="n">
        <v>0</v>
      </c>
      <c r="H47" t="n">
        <v>0</v>
      </c>
      <c r="I47" t="n">
        <v>0</v>
      </c>
      <c r="J47" t="n">
        <v>0</v>
      </c>
      <c r="K47" t="n">
        <v>0</v>
      </c>
      <c r="L47" t="n">
        <v>0</v>
      </c>
      <c r="M47" t="n">
        <v>0</v>
      </c>
      <c r="N47" t="n">
        <v>0</v>
      </c>
    </row>
    <row r="48">
      <c r="A48" t="inlineStr">
        <is>
          <t>issues of the manor</t>
        </is>
      </c>
      <c r="B48" t="inlineStr">
        <is>
          <t>nothing from the beadle's pasture this year because it is grazed with the lord's cattle.</t>
        </is>
      </c>
      <c r="C48" t="n">
        <v>0</v>
      </c>
      <c r="D48" t="n">
        <v>0</v>
      </c>
      <c r="E48" t="n">
        <v>0</v>
      </c>
      <c r="F48" t="n">
        <v>0</v>
      </c>
      <c r="H48" t="n">
        <v>0</v>
      </c>
      <c r="I48" t="n">
        <v>0</v>
      </c>
      <c r="J48" t="n">
        <v>0</v>
      </c>
      <c r="K48" t="n">
        <v>0</v>
      </c>
      <c r="L48" t="n">
        <v>0</v>
      </c>
      <c r="M48" t="n">
        <v>0</v>
      </c>
      <c r="N48" t="n">
        <v>0</v>
      </c>
    </row>
    <row r="49">
      <c r="A49" t="inlineStr">
        <is>
          <t>issues of the manor</t>
        </is>
      </c>
      <c r="B49" t="inlineStr">
        <is>
          <t>nothing from nettles in the garden this year.</t>
        </is>
      </c>
      <c r="C49" t="n">
        <v>0</v>
      </c>
      <c r="D49" t="n">
        <v>0</v>
      </c>
      <c r="E49" t="n">
        <v>0</v>
      </c>
      <c r="F49" t="n">
        <v>0</v>
      </c>
      <c r="H49" t="n">
        <v>0</v>
      </c>
      <c r="I49" t="n">
        <v>0</v>
      </c>
      <c r="J49" t="n">
        <v>0</v>
      </c>
      <c r="K49" t="n">
        <v>0</v>
      </c>
      <c r="L49" t="n">
        <v>0</v>
      </c>
      <c r="M49" t="n">
        <v>0</v>
      </c>
      <c r="N49" t="n">
        <v>0</v>
      </c>
    </row>
    <row r="50">
      <c r="A50" t="inlineStr">
        <is>
          <t>issues of the manor</t>
        </is>
      </c>
      <c r="B50" t="inlineStr">
        <is>
          <t>4 shilling from hay sold to the lord's household.</t>
        </is>
      </c>
      <c r="C50" t="n">
        <v>0.2</v>
      </c>
      <c r="D50" t="n">
        <v>0</v>
      </c>
      <c r="E50" t="n">
        <v>4</v>
      </c>
      <c r="F50" t="n">
        <v>0</v>
      </c>
      <c r="H50" t="n">
        <v>0</v>
      </c>
      <c r="I50" t="n">
        <v>0</v>
      </c>
      <c r="J50" t="n">
        <v>0</v>
      </c>
      <c r="K50" t="n">
        <v>0</v>
      </c>
      <c r="L50" t="n">
        <v>0</v>
      </c>
      <c r="M50" t="n">
        <v>0</v>
      </c>
      <c r="N50" t="n">
        <v>0</v>
      </c>
    </row>
    <row r="51">
      <c r="A51" t="inlineStr">
        <is>
          <t>issues of the manor</t>
        </is>
      </c>
      <c r="B51" t="inlineStr">
        <is>
          <t>nothing from chickens and geese from the beadle according to custom because the meadow and pasture remain in the possession of the lord.</t>
        </is>
      </c>
      <c r="C51" t="n">
        <v>0</v>
      </c>
      <c r="D51" t="n">
        <v>0</v>
      </c>
      <c r="E51" t="n">
        <v>0</v>
      </c>
      <c r="F51" t="n">
        <v>0</v>
      </c>
      <c r="H51" t="n">
        <v>0</v>
      </c>
      <c r="I51" t="n">
        <v>0</v>
      </c>
      <c r="J51" t="n">
        <v>0</v>
      </c>
      <c r="K51" t="n">
        <v>0</v>
      </c>
      <c r="L51" t="n">
        <v>0</v>
      </c>
      <c r="M51" t="n">
        <v>0</v>
      </c>
      <c r="N51" t="n">
        <v>0</v>
      </c>
    </row>
    <row r="52">
      <c r="A52" t="inlineStr">
        <is>
          <t>issues of the manor</t>
        </is>
      </c>
      <c r="B52" t="inlineStr">
        <is>
          <t>1 shilling 3pence from the sale of 303 hens' eggs from the beadle according to custom.</t>
        </is>
      </c>
      <c r="C52" t="n">
        <v>0.06</v>
      </c>
      <c r="D52" t="n">
        <v>0</v>
      </c>
      <c r="E52" t="n">
        <v>1</v>
      </c>
      <c r="F52" t="n">
        <v>3</v>
      </c>
      <c r="H52" t="n">
        <v>0</v>
      </c>
      <c r="I52" t="n">
        <v>0</v>
      </c>
      <c r="J52" t="n">
        <v>0</v>
      </c>
      <c r="K52" t="n">
        <v>0</v>
      </c>
      <c r="L52" t="n">
        <v>0</v>
      </c>
      <c r="M52" t="n">
        <v>0</v>
      </c>
      <c r="N52" t="n">
        <v>0</v>
      </c>
    </row>
    <row r="53">
      <c r="A53" t="inlineStr">
        <is>
          <t>issues of the manor</t>
        </is>
      </c>
      <c r="B53" t="inlineStr">
        <is>
          <t>10pence from 200 hens' eggs sold.</t>
        </is>
      </c>
      <c r="C53" t="n">
        <v>0.04</v>
      </c>
      <c r="D53" t="n">
        <v>0</v>
      </c>
      <c r="E53" t="n">
        <v>0</v>
      </c>
      <c r="F53" t="n">
        <v>10</v>
      </c>
      <c r="H53" t="n">
        <v>0</v>
      </c>
      <c r="I53" t="n">
        <v>0</v>
      </c>
      <c r="J53" t="n">
        <v>0</v>
      </c>
      <c r="K53" t="n">
        <v>0</v>
      </c>
      <c r="L53" t="n">
        <v>0</v>
      </c>
      <c r="M53" t="n">
        <v>0</v>
      </c>
      <c r="N53" t="n">
        <v>0</v>
      </c>
    </row>
    <row r="54">
      <c r="A54" t="inlineStr">
        <is>
          <t>issues of the manor</t>
        </is>
      </c>
      <c r="B54" t="inlineStr">
        <is>
          <t>nothing for the release of the harvest labour services of the men of nettleden this year because they worked at this time on account of the scarcity of tenants, the tenements of whom remain in the lord's hands.</t>
        </is>
      </c>
      <c r="C54" t="n">
        <v>0</v>
      </c>
      <c r="D54" t="n">
        <v>0</v>
      </c>
      <c r="E54" t="n">
        <v>0</v>
      </c>
      <c r="F54" t="n">
        <v>0</v>
      </c>
      <c r="H54" t="n">
        <v>0</v>
      </c>
      <c r="I54" t="n">
        <v>0</v>
      </c>
      <c r="J54" t="n">
        <v>0</v>
      </c>
      <c r="K54" t="n">
        <v>0</v>
      </c>
      <c r="L54" t="n">
        <v>0</v>
      </c>
      <c r="M54" t="n">
        <v>0</v>
      </c>
      <c r="N54" t="n">
        <v>0</v>
      </c>
    </row>
    <row r="55">
      <c r="A55" t="inlineStr">
        <is>
          <t>issues of the manor</t>
        </is>
      </c>
      <c r="B55" t="inlineStr">
        <is>
          <t>10 shilling from the pasturage of the meadow of inmede sold after mowing this year.</t>
        </is>
      </c>
      <c r="C55" t="n">
        <v>0.5</v>
      </c>
      <c r="D55" t="n">
        <v>0</v>
      </c>
      <c r="E55" t="n">
        <v>10</v>
      </c>
      <c r="F55" t="n">
        <v>0</v>
      </c>
      <c r="H55" t="n">
        <v>0</v>
      </c>
      <c r="I55" t="n">
        <v>0</v>
      </c>
      <c r="J55" t="n">
        <v>0</v>
      </c>
      <c r="K55" t="n">
        <v>0</v>
      </c>
      <c r="L55" t="n">
        <v>0</v>
      </c>
      <c r="M55" t="n">
        <v>0</v>
      </c>
      <c r="N55" t="n">
        <v>0</v>
      </c>
    </row>
    <row r="56">
      <c r="A56" t="inlineStr">
        <is>
          <t>issues of the manor</t>
        </is>
      </c>
      <c r="B56" t="inlineStr">
        <is>
          <t>nothing from pannage in the grove this year because it is grazed with the lord's cattle.</t>
        </is>
      </c>
      <c r="C56" t="n">
        <v>0</v>
      </c>
      <c r="D56" t="n">
        <v>0</v>
      </c>
      <c r="E56" t="n">
        <v>0</v>
      </c>
      <c r="F56" t="n">
        <v>0</v>
      </c>
      <c r="H56" t="n">
        <v>0</v>
      </c>
      <c r="I56" t="n">
        <v>0</v>
      </c>
      <c r="J56" t="n">
        <v>0</v>
      </c>
      <c r="K56" t="n">
        <v>0</v>
      </c>
      <c r="L56" t="n">
        <v>0</v>
      </c>
      <c r="M56" t="n">
        <v>0</v>
      </c>
      <c r="N56" t="n">
        <v>0</v>
      </c>
    </row>
    <row r="57">
      <c r="A57" t="inlineStr">
        <is>
          <t>issues of the manor</t>
        </is>
      </c>
      <c r="B57" t="inlineStr">
        <is>
          <t>nothing from the pasturage in ewelese because it is grazed with the lord's ewes and lambs.</t>
        </is>
      </c>
      <c r="C57" t="n">
        <v>0</v>
      </c>
      <c r="D57" t="n">
        <v>0</v>
      </c>
      <c r="E57" t="n">
        <v>0</v>
      </c>
      <c r="F57" t="n">
        <v>0</v>
      </c>
      <c r="H57" t="n">
        <v>0</v>
      </c>
      <c r="I57" t="n">
        <v>0</v>
      </c>
      <c r="J57" t="n">
        <v>0</v>
      </c>
      <c r="K57" t="n">
        <v>0</v>
      </c>
      <c r="L57" t="n">
        <v>0</v>
      </c>
      <c r="M57" t="n">
        <v>0</v>
      </c>
      <c r="N57" t="n">
        <v>0</v>
      </c>
    </row>
    <row r="58">
      <c r="A58" t="inlineStr">
        <is>
          <t>issues of the manor</t>
        </is>
      </c>
      <c r="B58" t="inlineStr">
        <is>
          <t>£7 10pence from the milking of 30 cows with calf, giving 5 shilling a cow.</t>
        </is>
      </c>
      <c r="C58" t="n">
        <v>7.04</v>
      </c>
      <c r="D58" t="n">
        <v>7</v>
      </c>
      <c r="E58" t="n">
        <v>0</v>
      </c>
      <c r="F58" t="n">
        <v>10</v>
      </c>
      <c r="H58" t="n">
        <v>0</v>
      </c>
      <c r="I58" t="n">
        <v>0</v>
      </c>
      <c r="J58" t="n">
        <v>0</v>
      </c>
      <c r="K58" t="n">
        <v>0</v>
      </c>
      <c r="L58" t="n">
        <v>0</v>
      </c>
      <c r="M58" t="n">
        <v>0</v>
      </c>
      <c r="N58" t="n">
        <v>0</v>
      </c>
    </row>
    <row r="59">
      <c r="A59" t="inlineStr">
        <is>
          <t>issues of the manor</t>
        </is>
      </c>
      <c r="B59" t="inlineStr">
        <is>
          <t>16 shilling from the hides sold of 2 horses, 5 oxen, 6 cows, 1 bullock and 1 yearling in murrain as made clear elsewhere.</t>
        </is>
      </c>
      <c r="C59" t="n">
        <v>0.8</v>
      </c>
      <c r="D59" t="n">
        <v>0</v>
      </c>
      <c r="E59" t="n">
        <v>16</v>
      </c>
      <c r="F59" t="n">
        <v>0</v>
      </c>
      <c r="H59" t="n">
        <v>0</v>
      </c>
      <c r="I59" t="n">
        <v>0</v>
      </c>
      <c r="J59" t="n">
        <v>0</v>
      </c>
      <c r="K59" t="n">
        <v>0</v>
      </c>
      <c r="L59" t="n">
        <v>0</v>
      </c>
      <c r="M59" t="n">
        <v>0</v>
      </c>
      <c r="N59" t="n">
        <v>0</v>
      </c>
    </row>
    <row r="60">
      <c r="A60" t="inlineStr">
        <is>
          <t>issues of the manor</t>
        </is>
      </c>
      <c r="B60" t="inlineStr">
        <is>
          <t>nothing from the sale of refuse wool or wool locks this year.</t>
        </is>
      </c>
      <c r="C60" t="n">
        <v>0</v>
      </c>
      <c r="D60" t="n">
        <v>0</v>
      </c>
      <c r="E60" t="n">
        <v>0</v>
      </c>
      <c r="F60" t="n">
        <v>0</v>
      </c>
      <c r="H60" t="n">
        <v>0</v>
      </c>
      <c r="I60" t="n">
        <v>0</v>
      </c>
      <c r="J60" t="n">
        <v>0</v>
      </c>
      <c r="K60" t="n">
        <v>0</v>
      </c>
      <c r="L60" t="n">
        <v>0</v>
      </c>
      <c r="M60" t="n">
        <v>0</v>
      </c>
      <c r="N60" t="n">
        <v>0</v>
      </c>
    </row>
    <row r="61">
      <c r="A61" t="inlineStr">
        <is>
          <t>issues of the manor</t>
        </is>
      </c>
      <c r="B61" t="inlineStr">
        <is>
          <t>13 shilling 3pence from the skins sold of 11 wethers, 1 ram, 12 ewes and 8 hoggs in murrain before shearing, at 4pence a skin of wethers, and 3pence of ewes, rams and hoggs.</t>
        </is>
      </c>
      <c r="C61" t="n">
        <v>0.66</v>
      </c>
      <c r="D61" t="n">
        <v>0</v>
      </c>
      <c r="E61" t="n">
        <v>13</v>
      </c>
      <c r="F61" t="n">
        <v>3</v>
      </c>
      <c r="H61" t="n">
        <v>0</v>
      </c>
      <c r="I61" t="n">
        <v>0</v>
      </c>
      <c r="J61" t="n">
        <v>0</v>
      </c>
      <c r="K61" t="n">
        <v>0</v>
      </c>
      <c r="L61" t="n">
        <v>0</v>
      </c>
      <c r="M61" t="n">
        <v>0</v>
      </c>
      <c r="N61" t="n">
        <v>0</v>
      </c>
    </row>
    <row r="62">
      <c r="A62" t="inlineStr">
        <is>
          <t>issues of the manor</t>
        </is>
      </c>
      <c r="B62" t="inlineStr">
        <is>
          <t>2 shilling 5pence from the skins sold of 9 wethers, 16 ewes and 4 hoggs in murrain after shearing.</t>
        </is>
      </c>
      <c r="C62" t="n">
        <v>0.12</v>
      </c>
      <c r="D62" t="n">
        <v>0</v>
      </c>
      <c r="E62" t="n">
        <v>2</v>
      </c>
      <c r="F62" t="n">
        <v>5</v>
      </c>
      <c r="H62" t="n">
        <v>0</v>
      </c>
      <c r="I62" t="n">
        <v>0</v>
      </c>
      <c r="J62" t="n">
        <v>0</v>
      </c>
      <c r="K62" t="n">
        <v>0</v>
      </c>
      <c r="L62" t="n">
        <v>0</v>
      </c>
      <c r="M62" t="n">
        <v>0</v>
      </c>
      <c r="N62" t="n">
        <v>0</v>
      </c>
    </row>
    <row r="63">
      <c r="A63" t="inlineStr">
        <is>
          <t>issues of the manor</t>
        </is>
      </c>
      <c r="B63" t="inlineStr">
        <is>
          <t>9pence from the skins sold of 18 lambs in murrain, at .5pence a skin.</t>
        </is>
      </c>
      <c r="C63" t="n">
        <v>0.04</v>
      </c>
      <c r="D63" t="n">
        <v>0</v>
      </c>
      <c r="E63" t="n">
        <v>0</v>
      </c>
      <c r="F63" t="n">
        <v>9</v>
      </c>
      <c r="H63" t="n">
        <v>0</v>
      </c>
      <c r="I63" t="n">
        <v>0</v>
      </c>
      <c r="J63" t="n">
        <v>0</v>
      </c>
      <c r="K63" t="n">
        <v>0</v>
      </c>
      <c r="L63" t="n">
        <v>0</v>
      </c>
      <c r="M63" t="n">
        <v>0</v>
      </c>
      <c r="N63" t="n">
        <v>0</v>
      </c>
    </row>
    <row r="64">
      <c r="A64" t="inlineStr">
        <is>
          <t>issues of the manor</t>
        </is>
      </c>
      <c r="B64" t="inlineStr">
        <is>
          <t>6 shilling 8pence from 20 geese sold as made clear elsewhere, at 4pence each.</t>
        </is>
      </c>
      <c r="C64" t="n">
        <v>0.33</v>
      </c>
      <c r="D64" t="n">
        <v>0</v>
      </c>
      <c r="E64" t="n">
        <v>6</v>
      </c>
      <c r="F64" t="n">
        <v>8</v>
      </c>
      <c r="H64" t="n">
        <v>0</v>
      </c>
      <c r="I64" t="n">
        <v>0</v>
      </c>
      <c r="J64" t="n">
        <v>0</v>
      </c>
      <c r="K64" t="n">
        <v>0</v>
      </c>
      <c r="L64" t="n">
        <v>0</v>
      </c>
      <c r="M64" t="n">
        <v>0</v>
      </c>
      <c r="N64" t="n">
        <v>0</v>
      </c>
    </row>
    <row r="65">
      <c r="A65" t="inlineStr">
        <is>
          <t>issues of the manor</t>
        </is>
      </c>
      <c r="B65" t="inlineStr">
        <is>
          <t>8 shilling from 24 capons sold as made clear elsewhere, at 4pence each, 2 of them to the lord's household.</t>
        </is>
      </c>
      <c r="C65" t="n">
        <v>0.42</v>
      </c>
      <c r="D65" t="n">
        <v>0</v>
      </c>
      <c r="E65" t="n">
        <v>8</v>
      </c>
      <c r="F65" t="n">
        <v>4</v>
      </c>
      <c r="H65" t="n">
        <v>0</v>
      </c>
      <c r="I65" t="n">
        <v>0</v>
      </c>
      <c r="J65" t="n">
        <v>0</v>
      </c>
      <c r="K65" t="n">
        <v>0</v>
      </c>
      <c r="L65" t="n">
        <v>0</v>
      </c>
      <c r="M65" t="n">
        <v>0</v>
      </c>
      <c r="N65" t="n">
        <v>0</v>
      </c>
    </row>
    <row r="66">
      <c r="A66" t="inlineStr">
        <is>
          <t>issues of the manor</t>
        </is>
      </c>
      <c r="B66" t="inlineStr">
        <is>
          <t>nothing from the issue of the garden sold this year.</t>
        </is>
      </c>
      <c r="C66" t="n">
        <v>0</v>
      </c>
      <c r="D66" t="n">
        <v>0</v>
      </c>
      <c r="E66" t="n">
        <v>0</v>
      </c>
      <c r="F66" t="n">
        <v>0</v>
      </c>
      <c r="H66" t="n">
        <v>0</v>
      </c>
      <c r="I66" t="n">
        <v>0</v>
      </c>
      <c r="J66" t="n">
        <v>0</v>
      </c>
      <c r="K66" t="n">
        <v>0</v>
      </c>
      <c r="L66" t="n">
        <v>0</v>
      </c>
      <c r="M66" t="n">
        <v>0</v>
      </c>
      <c r="N66" t="n">
        <v>0</v>
      </c>
    </row>
    <row r="67">
      <c r="A67" t="inlineStr">
        <is>
          <t>issues of the manor</t>
        </is>
      </c>
      <c r="B67" t="inlineStr">
        <is>
          <t>nothing from the warren sold this year because the sergeant of the lord prince and other strangers destroyed it and took the lord's rabbits just as is attested by the homage.</t>
        </is>
      </c>
      <c r="C67" t="n">
        <v>0</v>
      </c>
      <c r="D67" t="n">
        <v>0</v>
      </c>
      <c r="E67" t="n">
        <v>0</v>
      </c>
      <c r="F67" t="n">
        <v>0</v>
      </c>
      <c r="H67" t="n">
        <v>0</v>
      </c>
      <c r="I67" t="n">
        <v>0</v>
      </c>
      <c r="J67" t="n">
        <v>0</v>
      </c>
      <c r="K67" t="n">
        <v>0</v>
      </c>
      <c r="L67" t="n">
        <v>0</v>
      </c>
      <c r="M67" t="n">
        <v>0</v>
      </c>
      <c r="N67" t="n">
        <v>0</v>
      </c>
    </row>
    <row r="68">
      <c r="A68" t="inlineStr">
        <is>
          <t>issues of the manor</t>
        </is>
      </c>
      <c r="B68" t="inlineStr">
        <is>
          <t>total, £11 7 shilling 3.5pence.</t>
        </is>
      </c>
      <c r="C68" t="n">
        <v>11.36</v>
      </c>
      <c r="D68" t="n">
        <v>11</v>
      </c>
      <c r="E68" t="n">
        <v>7</v>
      </c>
      <c r="F68" t="n">
        <v>3.5</v>
      </c>
      <c r="H68" t="n">
        <v>0</v>
      </c>
      <c r="I68" t="n">
        <v>0</v>
      </c>
      <c r="J68" t="n">
        <v>0</v>
      </c>
      <c r="K68" t="n">
        <v>0</v>
      </c>
      <c r="L68" t="n">
        <v>0</v>
      </c>
      <c r="M68" t="n">
        <v>0</v>
      </c>
      <c r="N68" t="n">
        <v>0</v>
      </c>
    </row>
    <row r="69">
      <c r="A69" t="inlineStr">
        <is>
          <t>sale of corn and malt</t>
        </is>
      </c>
      <c r="B69" t="inlineStr">
        <is>
          <t>and for £8 18 shilling 6pence' from 22 quarters 2.5 bushels of wheat sold, at 8 shilling a quarters, as made clear elsewhere.</t>
        </is>
      </c>
      <c r="C69" t="n">
        <v>8.93</v>
      </c>
      <c r="D69" t="n">
        <v>8</v>
      </c>
      <c r="E69" t="n">
        <v>18</v>
      </c>
      <c r="F69" t="n">
        <v>6</v>
      </c>
      <c r="G69" t="inlineStr">
        <is>
          <t>wheat</t>
        </is>
      </c>
      <c r="H69" t="n">
        <v>22</v>
      </c>
      <c r="I69" t="n">
        <v>2.5</v>
      </c>
      <c r="J69" t="n">
        <v>22.31</v>
      </c>
      <c r="K69" t="n">
        <v>22.31</v>
      </c>
      <c r="L69" t="n">
        <v>0</v>
      </c>
      <c r="M69" t="n">
        <v>22</v>
      </c>
      <c r="N69" t="n">
        <v>2.5</v>
      </c>
      <c r="AG69" t="n">
        <v>8</v>
      </c>
      <c r="AH69" t="n">
        <v>0</v>
      </c>
    </row>
    <row r="70">
      <c r="A70" t="inlineStr">
        <is>
          <t>sale of corn and malt</t>
        </is>
      </c>
      <c r="B70" t="inlineStr">
        <is>
          <t>£4 12 shilling 4pence from 34 quarters 5 bushels of oats sold, at 2 shilling 8pence a quarters, as made clear elsewhere, of which 4 quarters 4 bushels sold to the lord's household.</t>
        </is>
      </c>
      <c r="C70" t="n">
        <v>4.62</v>
      </c>
      <c r="D70" t="n">
        <v>4</v>
      </c>
      <c r="E70" t="n">
        <v>12</v>
      </c>
      <c r="F70" t="n">
        <v>4</v>
      </c>
      <c r="G70" t="inlineStr">
        <is>
          <t>oats</t>
        </is>
      </c>
      <c r="H70" t="n">
        <v>4</v>
      </c>
      <c r="I70" t="n">
        <v>4</v>
      </c>
      <c r="J70" t="n">
        <v>4.5</v>
      </c>
      <c r="K70" t="n">
        <v>34.62</v>
      </c>
      <c r="L70" t="n">
        <v>-30.12</v>
      </c>
      <c r="M70" t="n">
        <v>34</v>
      </c>
      <c r="N70" t="n">
        <v>5</v>
      </c>
      <c r="O70" t="n">
        <v>4</v>
      </c>
      <c r="P70" t="n">
        <v>4</v>
      </c>
      <c r="AG70" t="n">
        <v>2</v>
      </c>
      <c r="AH70" t="n">
        <v>8</v>
      </c>
    </row>
    <row r="71">
      <c r="A71" t="inlineStr">
        <is>
          <t>sale of corn and malt</t>
        </is>
      </c>
      <c r="B71" t="inlineStr">
        <is>
          <t>£24 7 shilling 4pence from 80 quarters 3 bushels 1 peck of malt sold, of which 71 quarters sold to the lord's household at esher, at 6.</t>
        </is>
      </c>
      <c r="C71" t="n">
        <v>24.37</v>
      </c>
      <c r="D71" t="n">
        <v>24</v>
      </c>
      <c r="E71" t="n">
        <v>7</v>
      </c>
      <c r="F71" t="n">
        <v>4</v>
      </c>
      <c r="G71" t="inlineStr">
        <is>
          <t>malt</t>
        </is>
      </c>
      <c r="H71" t="n">
        <v>71</v>
      </c>
      <c r="I71" t="n">
        <v>3</v>
      </c>
      <c r="J71" t="n">
        <v>71.38</v>
      </c>
      <c r="K71" t="n">
        <v>80.38</v>
      </c>
      <c r="L71" t="n">
        <v>-9</v>
      </c>
      <c r="M71" t="n">
        <v>80</v>
      </c>
      <c r="N71" t="n">
        <v>3</v>
      </c>
      <c r="O71" t="n">
        <v>71</v>
      </c>
      <c r="P71" t="n">
        <v>0</v>
      </c>
    </row>
    <row r="72">
      <c r="A72" t="inlineStr">
        <is>
          <t>sale of corn and malt</t>
        </is>
      </c>
      <c r="B72" t="inlineStr">
        <is>
          <t>a quarters, and 9 quarters 3 bushels 1 peck, at 6 shilling 8pence a quarters.</t>
        </is>
      </c>
      <c r="C72" t="n">
        <v>0.33</v>
      </c>
      <c r="D72" t="n">
        <v>0</v>
      </c>
      <c r="E72" t="n">
        <v>6</v>
      </c>
      <c r="F72" t="n">
        <v>8</v>
      </c>
      <c r="H72" t="n">
        <v>9</v>
      </c>
      <c r="I72" t="n">
        <v>3</v>
      </c>
      <c r="J72" t="n">
        <v>9.380000000000001</v>
      </c>
      <c r="K72" t="n">
        <v>9.380000000000001</v>
      </c>
      <c r="L72" t="n">
        <v>0</v>
      </c>
      <c r="M72" t="n">
        <v>9</v>
      </c>
      <c r="N72" t="n">
        <v>3</v>
      </c>
      <c r="AG72" t="n">
        <v>6</v>
      </c>
      <c r="AH72" t="n">
        <v>8</v>
      </c>
    </row>
    <row r="73">
      <c r="A73" t="inlineStr">
        <is>
          <t>sale of corn and malt</t>
        </is>
      </c>
      <c r="B73" t="inlineStr">
        <is>
          <t>total, £37 18 shilling 2pence.</t>
        </is>
      </c>
      <c r="C73" t="n">
        <v>37.91</v>
      </c>
      <c r="D73" t="n">
        <v>37</v>
      </c>
      <c r="E73" t="n">
        <v>18</v>
      </c>
      <c r="F73" t="n">
        <v>2</v>
      </c>
      <c r="H73" t="n">
        <v>0</v>
      </c>
      <c r="I73" t="n">
        <v>0</v>
      </c>
      <c r="J73" t="n">
        <v>0</v>
      </c>
      <c r="K73" t="n">
        <v>0</v>
      </c>
      <c r="L73" t="n">
        <v>0</v>
      </c>
      <c r="M73" t="n">
        <v>0</v>
      </c>
      <c r="N73" t="n">
        <v>0</v>
      </c>
    </row>
    <row r="74">
      <c r="A74" t="inlineStr">
        <is>
          <t>sale of stock</t>
        </is>
      </c>
      <c r="B74" t="inlineStr">
        <is>
          <t>and for 15 shilling from 2 plough-horses sold as made clear elsewhere, at 10 shilling for 1, and 5 shilling for 1.</t>
        </is>
      </c>
      <c r="C74" t="n">
        <v>0.75</v>
      </c>
      <c r="D74" t="n">
        <v>0</v>
      </c>
      <c r="E74" t="n">
        <v>15</v>
      </c>
      <c r="F74" t="n">
        <v>0</v>
      </c>
      <c r="H74" t="n">
        <v>0</v>
      </c>
      <c r="I74" t="n">
        <v>0</v>
      </c>
      <c r="J74" t="n">
        <v>0</v>
      </c>
      <c r="K74" t="n">
        <v>0</v>
      </c>
      <c r="L74" t="n">
        <v>0</v>
      </c>
      <c r="M74" t="n">
        <v>0</v>
      </c>
      <c r="N74" t="n">
        <v>0</v>
      </c>
    </row>
    <row r="75">
      <c r="A75" t="inlineStr">
        <is>
          <t>sale of stock</t>
        </is>
      </c>
      <c r="B75" t="inlineStr">
        <is>
          <t>£2 13 shilling from 7 kebb oxen sold as made clear elsewhere, at 8 shilling each for 6, and 5s, for 1.</t>
        </is>
      </c>
      <c r="C75" t="n">
        <v>2.65</v>
      </c>
      <c r="D75" t="n">
        <v>2</v>
      </c>
      <c r="E75" t="n">
        <v>13</v>
      </c>
      <c r="F75" t="n">
        <v>0</v>
      </c>
      <c r="H75" t="n">
        <v>0</v>
      </c>
      <c r="I75" t="n">
        <v>0</v>
      </c>
      <c r="J75" t="n">
        <v>0</v>
      </c>
      <c r="K75" t="n">
        <v>0</v>
      </c>
      <c r="L75" t="n">
        <v>0</v>
      </c>
      <c r="M75" t="n">
        <v>0</v>
      </c>
      <c r="N75" t="n">
        <v>0</v>
      </c>
    </row>
    <row r="76">
      <c r="A76" t="inlineStr">
        <is>
          <t>sale of stock</t>
        </is>
      </c>
      <c r="B76" t="inlineStr">
        <is>
          <t>£2 16 shilling from 10 kebb cows sold before calving, at 6 shilling each for 6, and 5 shilling each for 4.</t>
        </is>
      </c>
      <c r="C76" t="n">
        <v>2.8</v>
      </c>
      <c r="D76" t="n">
        <v>2</v>
      </c>
      <c r="E76" t="n">
        <v>16</v>
      </c>
      <c r="F76" t="n">
        <v>0</v>
      </c>
      <c r="H76" t="n">
        <v>0</v>
      </c>
      <c r="I76" t="n">
        <v>0</v>
      </c>
      <c r="J76" t="n">
        <v>0</v>
      </c>
      <c r="K76" t="n">
        <v>0</v>
      </c>
      <c r="L76" t="n">
        <v>0</v>
      </c>
      <c r="M76" t="n">
        <v>0</v>
      </c>
      <c r="N76" t="n">
        <v>0</v>
      </c>
    </row>
    <row r="77">
      <c r="A77" t="inlineStr">
        <is>
          <t>sale of stock</t>
        </is>
      </c>
      <c r="B77" t="inlineStr">
        <is>
          <t>£2 5 shilling from 30 kebb wethers sold before shearing as made clear elsewhere, at 1 shilling 6pence each.</t>
        </is>
      </c>
      <c r="C77" t="n">
        <v>2.25</v>
      </c>
      <c r="D77" t="n">
        <v>2</v>
      </c>
      <c r="E77" t="n">
        <v>5</v>
      </c>
      <c r="F77" t="n">
        <v>0</v>
      </c>
      <c r="H77" t="n">
        <v>0</v>
      </c>
      <c r="I77" t="n">
        <v>0</v>
      </c>
      <c r="J77" t="n">
        <v>0</v>
      </c>
      <c r="K77" t="n">
        <v>0</v>
      </c>
      <c r="L77" t="n">
        <v>0</v>
      </c>
      <c r="M77" t="n">
        <v>0</v>
      </c>
      <c r="N77" t="n">
        <v>0</v>
      </c>
    </row>
    <row r="78">
      <c r="A78" t="inlineStr">
        <is>
          <t>sale of stock</t>
        </is>
      </c>
      <c r="B78" t="inlineStr">
        <is>
          <t>£2 from 30 kebb wethers sold after shearing as made clear elsewhere, 2 of them to the lord's household, at 1 shilling 4pence each.</t>
        </is>
      </c>
      <c r="C78" t="n">
        <v>2</v>
      </c>
      <c r="D78" t="n">
        <v>2</v>
      </c>
      <c r="E78" t="n">
        <v>0</v>
      </c>
      <c r="F78" t="n">
        <v>0</v>
      </c>
      <c r="H78" t="n">
        <v>0</v>
      </c>
      <c r="I78" t="n">
        <v>0</v>
      </c>
      <c r="J78" t="n">
        <v>0</v>
      </c>
      <c r="K78" t="n">
        <v>0</v>
      </c>
      <c r="L78" t="n">
        <v>0</v>
      </c>
      <c r="M78" t="n">
        <v>0</v>
      </c>
      <c r="N78" t="n">
        <v>0</v>
      </c>
    </row>
    <row r="79">
      <c r="A79" t="inlineStr">
        <is>
          <t>sale of stock</t>
        </is>
      </c>
      <c r="B79" t="inlineStr">
        <is>
          <t>£1 6 shilling 8pence from 20 kebb ewes sold as made clear elsewhere, at 1 shilling 4pence each.</t>
        </is>
      </c>
      <c r="C79" t="n">
        <v>1.33</v>
      </c>
      <c r="D79" t="n">
        <v>1</v>
      </c>
      <c r="E79" t="n">
        <v>6</v>
      </c>
      <c r="F79" t="n">
        <v>8</v>
      </c>
      <c r="H79" t="n">
        <v>0</v>
      </c>
      <c r="I79" t="n">
        <v>0</v>
      </c>
      <c r="J79" t="n">
        <v>0</v>
      </c>
      <c r="K79" t="n">
        <v>0</v>
      </c>
      <c r="L79" t="n">
        <v>0</v>
      </c>
      <c r="M79" t="n">
        <v>0</v>
      </c>
      <c r="N79" t="n">
        <v>0</v>
      </c>
    </row>
    <row r="80">
      <c r="A80" t="inlineStr">
        <is>
          <t>sale of stock</t>
        </is>
      </c>
      <c r="B80" t="inlineStr">
        <is>
          <t>15 shilling 10pence from 19 hoggs, removed from stock and rejected for fear of murrain, sold after shearing as made clear elsewhere, at 10pence each.</t>
        </is>
      </c>
      <c r="C80" t="n">
        <v>0.79</v>
      </c>
      <c r="D80" t="n">
        <v>0</v>
      </c>
      <c r="E80" t="n">
        <v>15</v>
      </c>
      <c r="F80" t="n">
        <v>10</v>
      </c>
      <c r="H80" t="n">
        <v>0</v>
      </c>
      <c r="I80" t="n">
        <v>0</v>
      </c>
      <c r="J80" t="n">
        <v>0</v>
      </c>
      <c r="K80" t="n">
        <v>0</v>
      </c>
      <c r="L80" t="n">
        <v>0</v>
      </c>
      <c r="M80" t="n">
        <v>0</v>
      </c>
      <c r="N80" t="n">
        <v>0</v>
      </c>
    </row>
    <row r="81">
      <c r="A81" t="inlineStr">
        <is>
          <t>sale of stock</t>
        </is>
      </c>
      <c r="B81" t="inlineStr">
        <is>
          <t>10 shilling from 20 lambs sold, removed from stock and rotted, at 6pence each.</t>
        </is>
      </c>
      <c r="C81" t="n">
        <v>0.53</v>
      </c>
      <c r="D81" t="n">
        <v>0</v>
      </c>
      <c r="E81" t="n">
        <v>10</v>
      </c>
      <c r="F81" t="n">
        <v>6</v>
      </c>
      <c r="H81" t="n">
        <v>0</v>
      </c>
      <c r="I81" t="n">
        <v>0</v>
      </c>
      <c r="J81" t="n">
        <v>0</v>
      </c>
      <c r="K81" t="n">
        <v>0</v>
      </c>
      <c r="L81" t="n">
        <v>0</v>
      </c>
      <c r="M81" t="n">
        <v>0</v>
      </c>
      <c r="N81" t="n">
        <v>0</v>
      </c>
    </row>
    <row r="82">
      <c r="A82" t="inlineStr">
        <is>
          <t>sale of stock</t>
        </is>
      </c>
      <c r="B82" t="inlineStr">
        <is>
          <t>£1 4 shilling from 8 pigs sold as made clear elsewhere, at 3 shilling each.</t>
        </is>
      </c>
      <c r="C82" t="n">
        <v>1.2</v>
      </c>
      <c r="D82" t="n">
        <v>1</v>
      </c>
      <c r="E82" t="n">
        <v>4</v>
      </c>
      <c r="F82" t="n">
        <v>0</v>
      </c>
      <c r="H82" t="n">
        <v>0</v>
      </c>
      <c r="I82" t="n">
        <v>0</v>
      </c>
      <c r="J82" t="n">
        <v>0</v>
      </c>
      <c r="K82" t="n">
        <v>0</v>
      </c>
      <c r="L82" t="n">
        <v>0</v>
      </c>
      <c r="M82" t="n">
        <v>0</v>
      </c>
      <c r="N82" t="n">
        <v>0</v>
      </c>
    </row>
    <row r="83">
      <c r="A83" t="inlineStr">
        <is>
          <t>sale of stock</t>
        </is>
      </c>
      <c r="B83" t="inlineStr">
        <is>
          <t>total, £14 5 shilling 6pence.</t>
        </is>
      </c>
      <c r="C83" t="n">
        <v>14.28</v>
      </c>
      <c r="D83" t="n">
        <v>14</v>
      </c>
      <c r="E83" t="n">
        <v>5</v>
      </c>
      <c r="F83" t="n">
        <v>6</v>
      </c>
      <c r="H83" t="n">
        <v>0</v>
      </c>
      <c r="I83" t="n">
        <v>0</v>
      </c>
      <c r="J83" t="n">
        <v>0</v>
      </c>
      <c r="K83" t="n">
        <v>0</v>
      </c>
      <c r="L83" t="n">
        <v>0</v>
      </c>
      <c r="M83" t="n">
        <v>0</v>
      </c>
      <c r="N83" t="n">
        <v>0</v>
      </c>
    </row>
    <row r="84">
      <c r="A84" t="inlineStr">
        <is>
          <t>sale of wood</t>
        </is>
      </c>
      <c r="B84" t="inlineStr">
        <is>
          <t>and for £6 1 shilling 6pence from wood from ivinghoe sold this year.</t>
        </is>
      </c>
      <c r="C84" t="n">
        <v>6.08</v>
      </c>
      <c r="D84" t="n">
        <v>6</v>
      </c>
      <c r="E84" t="n">
        <v>1</v>
      </c>
      <c r="F84" t="n">
        <v>6</v>
      </c>
      <c r="H84" t="n">
        <v>0</v>
      </c>
      <c r="I84" t="n">
        <v>0</v>
      </c>
      <c r="J84" t="n">
        <v>0</v>
      </c>
      <c r="K84" t="n">
        <v>0</v>
      </c>
      <c r="L84" t="n">
        <v>0</v>
      </c>
      <c r="M84" t="n">
        <v>0</v>
      </c>
      <c r="N84" t="n">
        <v>0</v>
      </c>
    </row>
    <row r="85">
      <c r="A85" t="inlineStr">
        <is>
          <t>sale of wood</t>
        </is>
      </c>
      <c r="B85" t="inlineStr">
        <is>
          <t>£4 6 shilling 8pence from 106 logs (lagges) sold in the wood of nettleden this year.</t>
        </is>
      </c>
      <c r="C85" t="n">
        <v>4.33</v>
      </c>
      <c r="D85" t="n">
        <v>4</v>
      </c>
      <c r="E85" t="n">
        <v>6</v>
      </c>
      <c r="F85" t="n">
        <v>8</v>
      </c>
      <c r="H85" t="n">
        <v>0</v>
      </c>
      <c r="I85" t="n">
        <v>0</v>
      </c>
      <c r="J85" t="n">
        <v>0</v>
      </c>
      <c r="K85" t="n">
        <v>0</v>
      </c>
      <c r="L85" t="n">
        <v>0</v>
      </c>
      <c r="M85" t="n">
        <v>0</v>
      </c>
      <c r="N85" t="n">
        <v>0</v>
      </c>
    </row>
    <row r="86">
      <c r="A86" t="inlineStr">
        <is>
          <t>sale of wood</t>
        </is>
      </c>
      <c r="B86" t="inlineStr">
        <is>
          <t>16 shilling 4pence from 20 logs sold in the wood of nettleden.</t>
        </is>
      </c>
      <c r="C86" t="n">
        <v>0.82</v>
      </c>
      <c r="D86" t="n">
        <v>0</v>
      </c>
      <c r="E86" t="n">
        <v>16</v>
      </c>
      <c r="F86" t="n">
        <v>4</v>
      </c>
      <c r="H86" t="n">
        <v>0</v>
      </c>
      <c r="I86" t="n">
        <v>0</v>
      </c>
      <c r="J86" t="n">
        <v>0</v>
      </c>
      <c r="K86" t="n">
        <v>0</v>
      </c>
      <c r="L86" t="n">
        <v>0</v>
      </c>
      <c r="M86" t="n">
        <v>0</v>
      </c>
      <c r="N86" t="n">
        <v>0</v>
      </c>
    </row>
    <row r="87">
      <c r="A87" t="inlineStr">
        <is>
          <t>sale of wood</t>
        </is>
      </c>
      <c r="B87" t="inlineStr">
        <is>
          <t>total, £11 4 shilling 6pence.</t>
        </is>
      </c>
      <c r="C87" t="n">
        <v>11.22</v>
      </c>
      <c r="D87" t="n">
        <v>11</v>
      </c>
      <c r="E87" t="n">
        <v>4</v>
      </c>
      <c r="F87" t="n">
        <v>6</v>
      </c>
      <c r="H87" t="n">
        <v>0</v>
      </c>
      <c r="I87" t="n">
        <v>0</v>
      </c>
      <c r="J87" t="n">
        <v>0</v>
      </c>
      <c r="K87" t="n">
        <v>0</v>
      </c>
      <c r="L87" t="n">
        <v>0</v>
      </c>
      <c r="M87" t="n">
        <v>0</v>
      </c>
      <c r="N87" t="n">
        <v>0</v>
      </c>
    </row>
    <row r="88">
      <c r="A88" t="inlineStr">
        <is>
          <t>farm of the mill</t>
        </is>
      </c>
      <c r="B88" t="inlineStr">
        <is>
          <t>and for £1 4pence from william pleyer' for the farm of the mill, granted to the same from 18 april until michaelmas, and not more here for the reason made clear elsewhere, and afterwards demised to the aforesaid william for the term of his life at £2 6 shilling 8pence a year, to be answered for in the following year.</t>
        </is>
      </c>
      <c r="C88" t="n">
        <v>1.02</v>
      </c>
      <c r="D88" t="n">
        <v>1</v>
      </c>
      <c r="E88" t="n">
        <v>0</v>
      </c>
      <c r="F88" t="n">
        <v>4</v>
      </c>
      <c r="H88" t="n">
        <v>0</v>
      </c>
      <c r="I88" t="n">
        <v>0</v>
      </c>
      <c r="J88" t="n">
        <v>0</v>
      </c>
      <c r="K88" t="n">
        <v>0</v>
      </c>
      <c r="L88" t="n">
        <v>0</v>
      </c>
      <c r="M88" t="n">
        <v>0</v>
      </c>
      <c r="N88" t="n">
        <v>0</v>
      </c>
    </row>
    <row r="89">
      <c r="A89" t="inlineStr">
        <is>
          <t>farm of the mill</t>
        </is>
      </c>
      <c r="B89" t="inlineStr">
        <is>
          <t>total, £1 4pence.</t>
        </is>
      </c>
      <c r="C89" t="n">
        <v>1.02</v>
      </c>
      <c r="D89" t="n">
        <v>1</v>
      </c>
      <c r="E89" t="n">
        <v>0</v>
      </c>
      <c r="F89" t="n">
        <v>4</v>
      </c>
      <c r="H89" t="n">
        <v>0</v>
      </c>
      <c r="I89" t="n">
        <v>0</v>
      </c>
      <c r="J89" t="n">
        <v>0</v>
      </c>
      <c r="K89" t="n">
        <v>0</v>
      </c>
      <c r="L89" t="n">
        <v>0</v>
      </c>
      <c r="M89" t="n">
        <v>0</v>
      </c>
      <c r="N89" t="n">
        <v>0</v>
      </c>
    </row>
    <row r="90">
      <c r="A90" t="inlineStr">
        <is>
          <t>sale of labour services</t>
        </is>
      </c>
      <c r="B90" t="inlineStr">
        <is>
          <t>and for 21 pence for the labour service of sowing wheat sold this year as made clear elsewhere.</t>
        </is>
      </c>
      <c r="C90" t="n">
        <v>0.09</v>
      </c>
      <c r="D90" t="n">
        <v>0</v>
      </c>
      <c r="E90" t="n">
        <v>0</v>
      </c>
      <c r="F90" t="n">
        <v>21</v>
      </c>
      <c r="G90" t="inlineStr">
        <is>
          <t>wheat</t>
        </is>
      </c>
      <c r="H90" t="n">
        <v>0</v>
      </c>
      <c r="I90" t="n">
        <v>0</v>
      </c>
      <c r="J90" t="n">
        <v>0</v>
      </c>
      <c r="K90" t="n">
        <v>0</v>
      </c>
      <c r="L90" t="n">
        <v>0</v>
      </c>
      <c r="M90" t="n">
        <v>0</v>
      </c>
      <c r="N90" t="n">
        <v>0</v>
      </c>
    </row>
    <row r="91">
      <c r="A91" t="inlineStr">
        <is>
          <t>sale of labour services</t>
        </is>
      </c>
      <c r="B91" t="inlineStr">
        <is>
          <t>£2 9 shilling 2pence for release of the labour services and service of robert palmere for 4 virgates of land at le fourhous, on top of the ancient rent of 17 shilling 6pence.</t>
        </is>
      </c>
      <c r="C91" t="n">
        <v>2.46</v>
      </c>
      <c r="D91" t="n">
        <v>2</v>
      </c>
      <c r="E91" t="n">
        <v>9</v>
      </c>
      <c r="F91" t="n">
        <v>2</v>
      </c>
      <c r="H91" t="n">
        <v>0</v>
      </c>
      <c r="I91" t="n">
        <v>0</v>
      </c>
      <c r="J91" t="n">
        <v>0</v>
      </c>
      <c r="K91" t="n">
        <v>0</v>
      </c>
      <c r="L91" t="n">
        <v>0</v>
      </c>
      <c r="M91" t="n">
        <v>0</v>
      </c>
      <c r="N91" t="n">
        <v>0</v>
      </c>
    </row>
    <row r="92">
      <c r="A92" t="inlineStr">
        <is>
          <t>sale of labour services</t>
        </is>
      </c>
      <c r="B92" t="inlineStr">
        <is>
          <t>total, £2 9 shilling 4.5pence.</t>
        </is>
      </c>
      <c r="C92" t="n">
        <v>2.47</v>
      </c>
      <c r="D92" t="n">
        <v>2</v>
      </c>
      <c r="E92" t="n">
        <v>9</v>
      </c>
      <c r="F92" t="n">
        <v>4.5</v>
      </c>
      <c r="H92" t="n">
        <v>0</v>
      </c>
      <c r="I92" t="n">
        <v>0</v>
      </c>
      <c r="J92" t="n">
        <v>0</v>
      </c>
      <c r="K92" t="n">
        <v>0</v>
      </c>
      <c r="L92" t="n">
        <v>0</v>
      </c>
      <c r="M92" t="n">
        <v>0</v>
      </c>
      <c r="N92" t="n">
        <v>0</v>
      </c>
    </row>
    <row r="93">
      <c r="A93" t="inlineStr">
        <is>
          <t>annual recognizance</t>
        </is>
      </c>
      <c r="B93" t="inlineStr">
        <is>
          <t>and for 2pence for the annual recognizance of robert taillour so that he may dwell within the liberty and come to the tourn of hockday.</t>
        </is>
      </c>
      <c r="C93" t="n">
        <v>0.01</v>
      </c>
      <c r="D93" t="n">
        <v>0</v>
      </c>
      <c r="E93" t="n">
        <v>0</v>
      </c>
      <c r="F93" t="n">
        <v>2</v>
      </c>
      <c r="H93" t="n">
        <v>0</v>
      </c>
      <c r="I93" t="n">
        <v>0</v>
      </c>
      <c r="J93" t="n">
        <v>0</v>
      </c>
      <c r="K93" t="n">
        <v>0</v>
      </c>
      <c r="L93" t="n">
        <v>0</v>
      </c>
      <c r="M93" t="n">
        <v>0</v>
      </c>
      <c r="N93" t="n">
        <v>0</v>
      </c>
    </row>
    <row r="94">
      <c r="A94" t="inlineStr">
        <is>
          <t>annual recognizance</t>
        </is>
      </c>
      <c r="B94" t="inlineStr">
        <is>
          <t>2pence from hugh graston' for similar.</t>
        </is>
      </c>
      <c r="C94" t="n">
        <v>0.01</v>
      </c>
      <c r="D94" t="n">
        <v>0</v>
      </c>
      <c r="E94" t="n">
        <v>0</v>
      </c>
      <c r="F94" t="n">
        <v>2</v>
      </c>
      <c r="H94" t="n">
        <v>0</v>
      </c>
      <c r="I94" t="n">
        <v>0</v>
      </c>
      <c r="J94" t="n">
        <v>0</v>
      </c>
      <c r="K94" t="n">
        <v>0</v>
      </c>
      <c r="L94" t="n">
        <v>0</v>
      </c>
      <c r="M94" t="n">
        <v>0</v>
      </c>
      <c r="N94" t="n">
        <v>0</v>
      </c>
    </row>
    <row r="95">
      <c r="A95" t="inlineStr">
        <is>
          <t>annual recognizance</t>
        </is>
      </c>
      <c r="B95" t="inlineStr">
        <is>
          <t>3pence from thomas hale for similar.</t>
        </is>
      </c>
      <c r="C95" t="n">
        <v>0.01</v>
      </c>
      <c r="D95" t="n">
        <v>0</v>
      </c>
      <c r="E95" t="n">
        <v>0</v>
      </c>
      <c r="F95" t="n">
        <v>3</v>
      </c>
      <c r="H95" t="n">
        <v>0</v>
      </c>
      <c r="I95" t="n">
        <v>0</v>
      </c>
      <c r="J95" t="n">
        <v>0</v>
      </c>
      <c r="K95" t="n">
        <v>0</v>
      </c>
      <c r="L95" t="n">
        <v>0</v>
      </c>
      <c r="M95" t="n">
        <v>0</v>
      </c>
      <c r="N95" t="n">
        <v>0</v>
      </c>
    </row>
    <row r="96">
      <c r="A96" t="inlineStr">
        <is>
          <t>annual recognizance</t>
        </is>
      </c>
      <c r="B96" t="inlineStr">
        <is>
          <t>8pence from robert, son of john hook', the lord's villein, so that he may dwell outside the lord's liberty and come to the toum of hockday for the year and remain the lord's villein as before.</t>
        </is>
      </c>
      <c r="C96" t="n">
        <v>0.03</v>
      </c>
      <c r="D96" t="n">
        <v>0</v>
      </c>
      <c r="E96" t="n">
        <v>0</v>
      </c>
      <c r="F96" t="n">
        <v>8</v>
      </c>
      <c r="H96" t="n">
        <v>0</v>
      </c>
      <c r="I96" t="n">
        <v>0</v>
      </c>
      <c r="J96" t="n">
        <v>0</v>
      </c>
      <c r="K96" t="n">
        <v>0</v>
      </c>
      <c r="L96" t="n">
        <v>0</v>
      </c>
      <c r="M96" t="n">
        <v>0</v>
      </c>
      <c r="N96" t="n">
        <v>0</v>
      </c>
    </row>
    <row r="97">
      <c r="A97" t="inlineStr">
        <is>
          <t>annual recognizance</t>
        </is>
      </c>
      <c r="B97" t="inlineStr">
        <is>
          <t>8pence from john, son of john sawell', the lord's villein, for the same.</t>
        </is>
      </c>
      <c r="C97" t="n">
        <v>0.03</v>
      </c>
      <c r="D97" t="n">
        <v>0</v>
      </c>
      <c r="E97" t="n">
        <v>0</v>
      </c>
      <c r="F97" t="n">
        <v>8</v>
      </c>
      <c r="H97" t="n">
        <v>0</v>
      </c>
      <c r="I97" t="n">
        <v>0</v>
      </c>
      <c r="J97" t="n">
        <v>0</v>
      </c>
      <c r="K97" t="n">
        <v>0</v>
      </c>
      <c r="L97" t="n">
        <v>0</v>
      </c>
      <c r="M97" t="n">
        <v>0</v>
      </c>
      <c r="N97" t="n">
        <v>0</v>
      </c>
    </row>
    <row r="98">
      <c r="A98" t="inlineStr">
        <is>
          <t>annual recognizance</t>
        </is>
      </c>
      <c r="B98" t="inlineStr">
        <is>
          <t>nothing of the 3pence from robert verdon' because he is dead as established by the court roll.</t>
        </is>
      </c>
      <c r="C98" t="n">
        <v>0.01</v>
      </c>
      <c r="D98" t="n">
        <v>0</v>
      </c>
      <c r="E98" t="n">
        <v>0</v>
      </c>
      <c r="F98" t="n">
        <v>3</v>
      </c>
      <c r="H98" t="n">
        <v>0</v>
      </c>
      <c r="I98" t="n">
        <v>0</v>
      </c>
      <c r="J98" t="n">
        <v>0</v>
      </c>
      <c r="K98" t="n">
        <v>0</v>
      </c>
      <c r="L98" t="n">
        <v>0</v>
      </c>
      <c r="M98" t="n">
        <v>0</v>
      </c>
      <c r="N98" t="n">
        <v>0</v>
      </c>
    </row>
    <row r="99">
      <c r="A99" t="inlineStr">
        <is>
          <t>entry and marriage fines</t>
        </is>
      </c>
      <c r="B99" t="inlineStr">
        <is>
          <t>and for 13 shilling 4pence from juliana, daughter of john clavle, to have 1 messuage and1 virgate of villein land in the tithing of aston bishop which belonged to the aforesaid john her father.</t>
        </is>
      </c>
      <c r="C99" t="n">
        <v>0.67</v>
      </c>
      <c r="D99" t="n">
        <v>0</v>
      </c>
      <c r="E99" t="n">
        <v>13</v>
      </c>
      <c r="F99" t="n">
        <v>4</v>
      </c>
      <c r="H99" t="n">
        <v>0</v>
      </c>
      <c r="I99" t="n">
        <v>0</v>
      </c>
      <c r="J99" t="n">
        <v>0</v>
      </c>
      <c r="K99" t="n">
        <v>0</v>
      </c>
      <c r="L99" t="n">
        <v>0</v>
      </c>
      <c r="M99" t="n">
        <v>0</v>
      </c>
      <c r="N99" t="n">
        <v>0</v>
      </c>
    </row>
    <row r="100">
      <c r="A100" t="inlineStr">
        <is>
          <t>entry and marriage fines</t>
        </is>
      </c>
      <c r="B100" t="inlineStr">
        <is>
          <t>13 shilling 4pence from john stonhard' to have juliana, daughter of john claverle, with her land, that is, 1 messuage and 1 virgate of villein land in the tithing of aston bishop.</t>
        </is>
      </c>
      <c r="C100" t="n">
        <v>0.67</v>
      </c>
      <c r="D100" t="n">
        <v>0</v>
      </c>
      <c r="E100" t="n">
        <v>13</v>
      </c>
      <c r="F100" t="n">
        <v>4</v>
      </c>
      <c r="H100" t="n">
        <v>0</v>
      </c>
      <c r="I100" t="n">
        <v>0</v>
      </c>
      <c r="J100" t="n">
        <v>0</v>
      </c>
      <c r="K100" t="n">
        <v>0</v>
      </c>
      <c r="L100" t="n">
        <v>0</v>
      </c>
      <c r="M100" t="n">
        <v>0</v>
      </c>
      <c r="N100" t="n">
        <v>0</v>
      </c>
    </row>
    <row r="101">
      <c r="A101" t="inlineStr">
        <is>
          <t>entry and marriage fines</t>
        </is>
      </c>
      <c r="B101" t="inlineStr">
        <is>
          <t>6 shilling 8pence from john, son of edward hastyng', to have 1 messuage and 1 virgate of villein land in ivinghoe which belonged to the aforesaid edward his father.</t>
        </is>
      </c>
      <c r="C101" t="n">
        <v>0.33</v>
      </c>
      <c r="D101" t="n">
        <v>0</v>
      </c>
      <c r="E101" t="n">
        <v>6</v>
      </c>
      <c r="F101" t="n">
        <v>8</v>
      </c>
      <c r="H101" t="n">
        <v>0</v>
      </c>
      <c r="I101" t="n">
        <v>0</v>
      </c>
      <c r="J101" t="n">
        <v>0</v>
      </c>
      <c r="K101" t="n">
        <v>0</v>
      </c>
      <c r="L101" t="n">
        <v>0</v>
      </c>
      <c r="M101" t="n">
        <v>0</v>
      </c>
      <c r="N101" t="n">
        <v>0</v>
      </c>
    </row>
    <row r="102">
      <c r="A102" t="inlineStr">
        <is>
          <t>entry and marriage fines</t>
        </is>
      </c>
      <c r="B102" t="inlineStr">
        <is>
          <t>6 shilling 8pence from john lord' to have 1 cottage with a curtilage and .5 acre of assarted land in the tithing of nettleden which belonged to thomas lord his brother.</t>
        </is>
      </c>
      <c r="C102" t="n">
        <v>0.33</v>
      </c>
      <c r="D102" t="n">
        <v>0</v>
      </c>
      <c r="E102" t="n">
        <v>6</v>
      </c>
      <c r="F102" t="n">
        <v>8</v>
      </c>
      <c r="H102" t="n">
        <v>0</v>
      </c>
      <c r="I102" t="n">
        <v>0</v>
      </c>
      <c r="J102" t="n">
        <v>0</v>
      </c>
      <c r="K102" t="n">
        <v>0</v>
      </c>
      <c r="L102" t="n">
        <v>0</v>
      </c>
      <c r="M102" t="n">
        <v>0</v>
      </c>
      <c r="N102" t="n">
        <v>0</v>
      </c>
    </row>
    <row r="103">
      <c r="A103" t="inlineStr">
        <is>
          <t>entry and marriage fines</t>
        </is>
      </c>
      <c r="B103" t="inlineStr">
        <is>
          <t>10 shilling from henry venne to have juliana, daughter of john claverle, with her land, that is, 1 messuage and 1 virgate of villein land in the tithing of aston bishop.</t>
        </is>
      </c>
      <c r="C103" t="n">
        <v>0.5</v>
      </c>
      <c r="D103" t="n">
        <v>0</v>
      </c>
      <c r="E103" t="n">
        <v>10</v>
      </c>
      <c r="F103" t="n">
        <v>0</v>
      </c>
      <c r="H103" t="n">
        <v>0</v>
      </c>
      <c r="I103" t="n">
        <v>0</v>
      </c>
      <c r="J103" t="n">
        <v>0</v>
      </c>
      <c r="K103" t="n">
        <v>0</v>
      </c>
      <c r="L103" t="n">
        <v>0</v>
      </c>
      <c r="M103" t="n">
        <v>0</v>
      </c>
      <c r="N103" t="n">
        <v>0</v>
      </c>
    </row>
    <row r="104">
      <c r="A104" t="inlineStr">
        <is>
          <t>entry and marriage fines</t>
        </is>
      </c>
      <c r="B104" t="inlineStr">
        <is>
          <t>10 shilling from john smyth' to have 1 cottage with a curtilage and 3.5 acres of assailed land in the tithing of nettleden by surrender of margery william.</t>
        </is>
      </c>
      <c r="C104" t="n">
        <v>0.5</v>
      </c>
      <c r="D104" t="n">
        <v>0</v>
      </c>
      <c r="E104" t="n">
        <v>10</v>
      </c>
      <c r="F104" t="n">
        <v>0</v>
      </c>
      <c r="H104" t="n">
        <v>0</v>
      </c>
      <c r="I104" t="n">
        <v>0</v>
      </c>
      <c r="J104" t="n">
        <v>0</v>
      </c>
      <c r="K104" t="n">
        <v>0</v>
      </c>
      <c r="L104" t="n">
        <v>0</v>
      </c>
      <c r="M104" t="n">
        <v>0</v>
      </c>
      <c r="N104" t="n">
        <v>0</v>
      </c>
    </row>
    <row r="105">
      <c r="A105" t="inlineStr">
        <is>
          <t>entry and marriage fines</t>
        </is>
      </c>
      <c r="B105" t="inlineStr">
        <is>
          <t>6 shilling 8pence from john bacon to have 1 cottage with a curtilage and 3.5 acres of land held by labour service in the tithing of ivinghoe by surrender of simon edward.</t>
        </is>
      </c>
      <c r="C105" t="n">
        <v>0.33</v>
      </c>
      <c r="D105" t="n">
        <v>0</v>
      </c>
      <c r="E105" t="n">
        <v>6</v>
      </c>
      <c r="F105" t="n">
        <v>8</v>
      </c>
      <c r="H105" t="n">
        <v>0</v>
      </c>
      <c r="I105" t="n">
        <v>0</v>
      </c>
      <c r="J105" t="n">
        <v>0</v>
      </c>
      <c r="K105" t="n">
        <v>0</v>
      </c>
      <c r="L105" t="n">
        <v>0</v>
      </c>
      <c r="M105" t="n">
        <v>0</v>
      </c>
      <c r="N105" t="n">
        <v>0</v>
      </c>
    </row>
    <row r="106">
      <c r="A106" t="inlineStr">
        <is>
          <t>entry and marriage fines</t>
        </is>
      </c>
      <c r="B106" t="inlineStr">
        <is>
          <t>3 shilling 4pence from william hastyng' to have 1 cottage and 1 shop of purpresture in the tithing of ivinghoe by surrender of william sonnyng', which came into the lord's hands as his escheat because noone of the kin of the said william took steps to fine for the same although a proclamation was made according to the custom of the manor.</t>
        </is>
      </c>
      <c r="C106" t="n">
        <v>0.17</v>
      </c>
      <c r="D106" t="n">
        <v>0</v>
      </c>
      <c r="E106" t="n">
        <v>3</v>
      </c>
      <c r="F106" t="n">
        <v>4</v>
      </c>
      <c r="H106" t="n">
        <v>0</v>
      </c>
      <c r="I106" t="n">
        <v>0</v>
      </c>
      <c r="J106" t="n">
        <v>0</v>
      </c>
      <c r="K106" t="n">
        <v>0</v>
      </c>
      <c r="L106" t="n">
        <v>0</v>
      </c>
      <c r="M106" t="n">
        <v>0</v>
      </c>
      <c r="N106" t="n">
        <v>0</v>
      </c>
    </row>
    <row r="107">
      <c r="A107" t="inlineStr">
        <is>
          <t>entry and marriage fines</t>
        </is>
      </c>
      <c r="B107" t="inlineStr">
        <is>
          <t>6 shilling 8pence from robert hangueld' for marrying lucy his daughter outside.</t>
        </is>
      </c>
      <c r="C107" t="n">
        <v>0.33</v>
      </c>
      <c r="D107" t="n">
        <v>0</v>
      </c>
      <c r="E107" t="n">
        <v>6</v>
      </c>
      <c r="F107" t="n">
        <v>8</v>
      </c>
      <c r="H107" t="n">
        <v>0</v>
      </c>
      <c r="I107" t="n">
        <v>0</v>
      </c>
      <c r="J107" t="n">
        <v>0</v>
      </c>
      <c r="K107" t="n">
        <v>0</v>
      </c>
      <c r="L107" t="n">
        <v>0</v>
      </c>
      <c r="M107" t="n">
        <v>0</v>
      </c>
      <c r="N107" t="n">
        <v>0</v>
      </c>
    </row>
    <row r="108">
      <c r="A108" t="inlineStr">
        <is>
          <t>entry and marriage fines</t>
        </is>
      </c>
      <c r="B108" t="inlineStr">
        <is>
          <t>13 shilling 4pence from joan, daughter of walter palmere, to have 1 toft and 1 virgate of villein land in the tithing of horton which belonged to john palmer' her brother.</t>
        </is>
      </c>
      <c r="C108" t="n">
        <v>0.67</v>
      </c>
      <c r="D108" t="n">
        <v>0</v>
      </c>
      <c r="E108" t="n">
        <v>13</v>
      </c>
      <c r="F108" t="n">
        <v>4</v>
      </c>
      <c r="H108" t="n">
        <v>0</v>
      </c>
      <c r="I108" t="n">
        <v>0</v>
      </c>
      <c r="J108" t="n">
        <v>0</v>
      </c>
      <c r="K108" t="n">
        <v>0</v>
      </c>
      <c r="L108" t="n">
        <v>0</v>
      </c>
      <c r="M108" t="n">
        <v>0</v>
      </c>
      <c r="N108" t="n">
        <v>0</v>
      </c>
    </row>
    <row r="109">
      <c r="A109" t="inlineStr">
        <is>
          <t>entry and marriage fines</t>
        </is>
      </c>
      <c r="B109" t="inlineStr">
        <is>
          <t>10 shilling from alexander hood to have 1 messuage and 1 virgate of villein land in the tithing of ivinghoe which belonged to simon, son of william hulot, and which came into the lord's hands as his escheat because noone of the kin of the said simon took steps to fine for the same although a proclamation was made according to the custom of the manor.</t>
        </is>
      </c>
      <c r="C109" t="n">
        <v>0.5</v>
      </c>
      <c r="D109" t="n">
        <v>0</v>
      </c>
      <c r="E109" t="n">
        <v>10</v>
      </c>
      <c r="F109" t="n">
        <v>0</v>
      </c>
      <c r="H109" t="n">
        <v>0</v>
      </c>
      <c r="I109" t="n">
        <v>0</v>
      </c>
      <c r="J109" t="n">
        <v>0</v>
      </c>
      <c r="K109" t="n">
        <v>0</v>
      </c>
      <c r="L109" t="n">
        <v>0</v>
      </c>
      <c r="M109" t="n">
        <v>0</v>
      </c>
      <c r="N109" t="n">
        <v>0</v>
      </c>
    </row>
    <row r="110">
      <c r="A110" t="inlineStr">
        <is>
          <t>entry and marriage fines</t>
        </is>
      </c>
      <c r="B110" t="inlineStr">
        <is>
          <t>18 shilling 8pence from tithingpenny at the tours of martinmas.</t>
        </is>
      </c>
      <c r="C110" t="n">
        <v>0.93</v>
      </c>
      <c r="D110" t="n">
        <v>0</v>
      </c>
      <c r="E110" t="n">
        <v>18</v>
      </c>
      <c r="F110" t="n">
        <v>8</v>
      </c>
      <c r="H110" t="n">
        <v>0</v>
      </c>
      <c r="I110" t="n">
        <v>0</v>
      </c>
      <c r="J110" t="n">
        <v>0</v>
      </c>
      <c r="K110" t="n">
        <v>0</v>
      </c>
      <c r="L110" t="n">
        <v>0</v>
      </c>
      <c r="M110" t="n">
        <v>0</v>
      </c>
      <c r="N110" t="n">
        <v>0</v>
      </c>
    </row>
    <row r="111">
      <c r="A111" t="inlineStr">
        <is>
          <t>entry and marriage fines</t>
        </is>
      </c>
      <c r="B111" t="inlineStr">
        <is>
          <t>18 shilling 8pence from tithingpenny at the tourn of hockday.</t>
        </is>
      </c>
      <c r="C111" t="n">
        <v>0.93</v>
      </c>
      <c r="D111" t="n">
        <v>0</v>
      </c>
      <c r="E111" t="n">
        <v>18</v>
      </c>
      <c r="F111" t="n">
        <v>8</v>
      </c>
      <c r="H111" t="n">
        <v>0</v>
      </c>
      <c r="I111" t="n">
        <v>0</v>
      </c>
      <c r="J111" t="n">
        <v>0</v>
      </c>
      <c r="K111" t="n">
        <v>0</v>
      </c>
      <c r="L111" t="n">
        <v>0</v>
      </c>
      <c r="M111" t="n">
        <v>0</v>
      </c>
      <c r="N111" t="n">
        <v>0</v>
      </c>
    </row>
    <row r="112">
      <c r="A112" t="inlineStr">
        <is>
          <t>entry and marriage fines</t>
        </is>
      </c>
      <c r="B112" t="inlineStr">
        <is>
          <t>total, £6 17 shilling 4pence.</t>
        </is>
      </c>
      <c r="C112" t="n">
        <v>6.87</v>
      </c>
      <c r="D112" t="n">
        <v>6</v>
      </c>
      <c r="E112" t="n">
        <v>17</v>
      </c>
      <c r="F112" t="n">
        <v>4</v>
      </c>
      <c r="H112" t="n">
        <v>0</v>
      </c>
      <c r="I112" t="n">
        <v>0</v>
      </c>
      <c r="J112" t="n">
        <v>0</v>
      </c>
      <c r="K112" t="n">
        <v>0</v>
      </c>
      <c r="L112" t="n">
        <v>0</v>
      </c>
      <c r="M112" t="n">
        <v>0</v>
      </c>
      <c r="N112" t="n">
        <v>0</v>
      </c>
    </row>
    <row r="113">
      <c r="A113" t="inlineStr">
        <is>
          <t>perquisites of court</t>
        </is>
      </c>
      <c r="B113" t="inlineStr">
        <is>
          <t>and for 7 shilling 4pence from the perquisites of the tourn of martinmas (11 november).</t>
        </is>
      </c>
      <c r="C113" t="n">
        <v>0.37</v>
      </c>
      <c r="D113" t="n">
        <v>0</v>
      </c>
      <c r="E113" t="n">
        <v>7</v>
      </c>
      <c r="F113" t="n">
        <v>4</v>
      </c>
      <c r="H113" t="n">
        <v>0</v>
      </c>
      <c r="I113" t="n">
        <v>0</v>
      </c>
      <c r="J113" t="n">
        <v>0</v>
      </c>
      <c r="K113" t="n">
        <v>0</v>
      </c>
      <c r="L113" t="n">
        <v>0</v>
      </c>
      <c r="M113" t="n">
        <v>0</v>
      </c>
      <c r="N113" t="n">
        <v>0</v>
      </c>
    </row>
    <row r="114">
      <c r="A114" t="inlineStr">
        <is>
          <t>perquisites of court</t>
        </is>
      </c>
      <c r="B114" t="inlineStr">
        <is>
          <t>14 shilling 8pence from the perquisites of the tourn of hockday (1 april).</t>
        </is>
      </c>
      <c r="C114" t="n">
        <v>0.73</v>
      </c>
      <c r="D114" t="n">
        <v>0</v>
      </c>
      <c r="E114" t="n">
        <v>14</v>
      </c>
      <c r="F114" t="n">
        <v>8</v>
      </c>
      <c r="H114" t="n">
        <v>0</v>
      </c>
      <c r="I114" t="n">
        <v>0</v>
      </c>
      <c r="J114" t="n">
        <v>0</v>
      </c>
      <c r="K114" t="n">
        <v>0</v>
      </c>
      <c r="L114" t="n">
        <v>0</v>
      </c>
      <c r="M114" t="n">
        <v>0</v>
      </c>
      <c r="N114" t="n">
        <v>0</v>
      </c>
    </row>
    <row r="115">
      <c r="A115" t="inlineStr">
        <is>
          <t>perquisites of court</t>
        </is>
      </c>
      <c r="B115" t="inlineStr">
        <is>
          <t>9 shilling 3pence from the perquisites of the courts held between the 2 tourns.</t>
        </is>
      </c>
      <c r="C115" t="n">
        <v>0.46</v>
      </c>
      <c r="D115" t="n">
        <v>0</v>
      </c>
      <c r="E115" t="n">
        <v>9</v>
      </c>
      <c r="F115" t="n">
        <v>3</v>
      </c>
      <c r="H115" t="n">
        <v>0</v>
      </c>
      <c r="I115" t="n">
        <v>0</v>
      </c>
      <c r="J115" t="n">
        <v>0</v>
      </c>
      <c r="K115" t="n">
        <v>0</v>
      </c>
      <c r="L115" t="n">
        <v>0</v>
      </c>
      <c r="M115" t="n">
        <v>0</v>
      </c>
      <c r="N115" t="n">
        <v>0</v>
      </c>
    </row>
    <row r="116">
      <c r="A116" t="inlineStr">
        <is>
          <t>perquisites of court</t>
        </is>
      </c>
      <c r="B116" t="inlineStr">
        <is>
          <t>17 shilling 6pence from the perquisites of the courts held after the tourn of hockday.</t>
        </is>
      </c>
      <c r="C116" t="n">
        <v>0.88</v>
      </c>
      <c r="D116" t="n">
        <v>0</v>
      </c>
      <c r="E116" t="n">
        <v>17</v>
      </c>
      <c r="F116" t="n">
        <v>6</v>
      </c>
      <c r="H116" t="n">
        <v>0</v>
      </c>
      <c r="I116" t="n">
        <v>0</v>
      </c>
      <c r="J116" t="n">
        <v>0</v>
      </c>
      <c r="K116" t="n">
        <v>0</v>
      </c>
      <c r="L116" t="n">
        <v>0</v>
      </c>
      <c r="M116" t="n">
        <v>0</v>
      </c>
      <c r="N116" t="n">
        <v>0</v>
      </c>
    </row>
    <row r="117">
      <c r="A117" t="inlineStr">
        <is>
          <t>perquisites of court</t>
        </is>
      </c>
      <c r="B117" t="inlineStr">
        <is>
          <t>total, £2 8 shilling 9pence.</t>
        </is>
      </c>
      <c r="C117" t="n">
        <v>2.44</v>
      </c>
      <c r="D117" t="n">
        <v>2</v>
      </c>
      <c r="E117" t="n">
        <v>8</v>
      </c>
      <c r="F117" t="n">
        <v>9</v>
      </c>
      <c r="H117" t="n">
        <v>0</v>
      </c>
      <c r="I117" t="n">
        <v>0</v>
      </c>
      <c r="J117" t="n">
        <v>0</v>
      </c>
      <c r="K117" t="n">
        <v>0</v>
      </c>
      <c r="L117" t="n">
        <v>0</v>
      </c>
      <c r="M117" t="n">
        <v>0</v>
      </c>
      <c r="N117" t="n">
        <v>0</v>
      </c>
    </row>
    <row r="118">
      <c r="A118" t="inlineStr">
        <is>
          <t>sales at the audit</t>
        </is>
      </c>
      <c r="B118" t="inlineStr">
        <is>
          <t>and for £20 7 shilling 5pence from various sales at the audit as made clear elsewhere.</t>
        </is>
      </c>
      <c r="C118" t="n">
        <v>20.37</v>
      </c>
      <c r="D118" t="n">
        <v>20</v>
      </c>
      <c r="E118" t="n">
        <v>7</v>
      </c>
      <c r="F118" t="n">
        <v>5</v>
      </c>
      <c r="H118" t="n">
        <v>0</v>
      </c>
      <c r="I118" t="n">
        <v>0</v>
      </c>
      <c r="J118" t="n">
        <v>0</v>
      </c>
      <c r="K118" t="n">
        <v>0</v>
      </c>
      <c r="L118" t="n">
        <v>0</v>
      </c>
      <c r="M118" t="n">
        <v>0</v>
      </c>
      <c r="N118" t="n">
        <v>0</v>
      </c>
    </row>
    <row r="119">
      <c r="A119" t="inlineStr">
        <is>
          <t>sales at the audit</t>
        </is>
      </c>
      <c r="B119" t="inlineStr">
        <is>
          <t>total, £20 7 shilling 5pence.</t>
        </is>
      </c>
      <c r="C119" t="n">
        <v>20.37</v>
      </c>
      <c r="D119" t="n">
        <v>20</v>
      </c>
      <c r="E119" t="n">
        <v>7</v>
      </c>
      <c r="F119" t="n">
        <v>5</v>
      </c>
      <c r="H119" t="n">
        <v>0</v>
      </c>
      <c r="I119" t="n">
        <v>0</v>
      </c>
      <c r="J119" t="n">
        <v>0</v>
      </c>
      <c r="K119" t="n">
        <v>0</v>
      </c>
      <c r="L119" t="n">
        <v>0</v>
      </c>
      <c r="M119" t="n">
        <v>0</v>
      </c>
      <c r="N119" t="n">
        <v>0</v>
      </c>
    </row>
    <row r="120">
      <c r="A120" t="inlineStr">
        <is>
          <t>total of all receipts with arrears</t>
        </is>
      </c>
      <c r="B120" t="inlineStr">
        <is>
          <t>total of all receipts with arrears, £140 2 shilling 10.75pence.</t>
        </is>
      </c>
      <c r="C120" t="n">
        <v>140.14</v>
      </c>
      <c r="D120" t="n">
        <v>140</v>
      </c>
      <c r="E120" t="n">
        <v>2</v>
      </c>
      <c r="F120" t="n">
        <v>10.75</v>
      </c>
      <c r="H120" t="n">
        <v>0</v>
      </c>
      <c r="I120" t="n">
        <v>0</v>
      </c>
      <c r="J120" t="n">
        <v>0</v>
      </c>
      <c r="K120" t="n">
        <v>0</v>
      </c>
      <c r="L120" t="n">
        <v>0</v>
      </c>
      <c r="M120" t="n">
        <v>0</v>
      </c>
      <c r="N120" t="n">
        <v>0</v>
      </c>
    </row>
    <row r="121">
      <c r="A121" t="inlineStr">
        <is>
          <t>cost of ploughs</t>
        </is>
      </c>
      <c r="B121" t="inlineStr">
        <is>
          <t>in iron and steel bought for the ironwork of the ploughs, together with the stipend of the smith, £1..</t>
        </is>
      </c>
      <c r="C121" t="n">
        <v>1</v>
      </c>
      <c r="D121" t="n">
        <v>1</v>
      </c>
      <c r="E121" t="n">
        <v>0</v>
      </c>
      <c r="F121" t="n">
        <v>0</v>
      </c>
      <c r="H121" t="n">
        <v>0</v>
      </c>
      <c r="I121" t="n">
        <v>0</v>
      </c>
      <c r="J121" t="n">
        <v>0</v>
      </c>
      <c r="K121" t="n">
        <v>0</v>
      </c>
      <c r="L121" t="n">
        <v>0</v>
      </c>
      <c r="M121" t="n">
        <v>0</v>
      </c>
      <c r="N121" t="n">
        <v>0</v>
      </c>
    </row>
    <row r="122">
      <c r="A122" t="inlineStr">
        <is>
          <t>cost of ploughs</t>
        </is>
      </c>
      <c r="B122" t="inlineStr">
        <is>
          <t>remaking and mending broken iron staples, hasps, rings and hooks, together with the stipend of the smith, 12 shilling.</t>
        </is>
      </c>
      <c r="C122" t="n">
        <v>0.6</v>
      </c>
      <c r="D122" t="n">
        <v>0</v>
      </c>
      <c r="E122" t="n">
        <v>12</v>
      </c>
      <c r="F122" t="n">
        <v>0</v>
      </c>
      <c r="H122" t="n">
        <v>0</v>
      </c>
      <c r="I122" t="n">
        <v>0</v>
      </c>
      <c r="J122" t="n">
        <v>0</v>
      </c>
      <c r="K122" t="n">
        <v>0</v>
      </c>
      <c r="L122" t="n">
        <v>0</v>
      </c>
      <c r="M122" t="n">
        <v>0</v>
      </c>
      <c r="N122" t="n">
        <v>0</v>
      </c>
    </row>
    <row r="123">
      <c r="A123" t="inlineStr">
        <is>
          <t>cost of ploughs</t>
        </is>
      </c>
      <c r="B123" t="inlineStr">
        <is>
          <t>4 new ploughs made from the lord's timber 2 shilling.</t>
        </is>
      </c>
      <c r="C123" t="n">
        <v>0.1</v>
      </c>
      <c r="D123" t="n">
        <v>0</v>
      </c>
      <c r="E123" t="n">
        <v>2</v>
      </c>
      <c r="F123" t="n">
        <v>0</v>
      </c>
      <c r="H123" t="n">
        <v>0</v>
      </c>
      <c r="I123" t="n">
        <v>0</v>
      </c>
      <c r="J123" t="n">
        <v>0</v>
      </c>
      <c r="K123" t="n">
        <v>0</v>
      </c>
      <c r="L123" t="n">
        <v>0</v>
      </c>
      <c r="M123" t="n">
        <v>0</v>
      </c>
      <c r="N123" t="n">
        <v>0</v>
      </c>
    </row>
    <row r="124">
      <c r="A124" t="inlineStr">
        <is>
          <t>cost of ploughs</t>
        </is>
      </c>
      <c r="B124" t="inlineStr">
        <is>
          <t>fitting the ploughs with share-beams and mould-boards for the year 1 shilling.</t>
        </is>
      </c>
      <c r="C124" t="n">
        <v>0.05</v>
      </c>
      <c r="D124" t="n">
        <v>0</v>
      </c>
      <c r="E124" t="n">
        <v>1</v>
      </c>
      <c r="F124" t="n">
        <v>0</v>
      </c>
      <c r="H124" t="n">
        <v>0</v>
      </c>
      <c r="I124" t="n">
        <v>0</v>
      </c>
      <c r="J124" t="n">
        <v>0</v>
      </c>
      <c r="K124" t="n">
        <v>0</v>
      </c>
      <c r="L124" t="n">
        <v>0</v>
      </c>
      <c r="M124" t="n">
        <v>0</v>
      </c>
      <c r="N124" t="n">
        <v>0</v>
      </c>
    </row>
    <row r="125">
      <c r="A125" t="inlineStr">
        <is>
          <t>cost of ploughs</t>
        </is>
      </c>
      <c r="B125" t="inlineStr">
        <is>
          <t>5 plough feet with nails bought for the same 2 shilling 1pence.</t>
        </is>
      </c>
      <c r="C125" t="n">
        <v>0.1</v>
      </c>
      <c r="D125" t="n">
        <v>0</v>
      </c>
      <c r="E125" t="n">
        <v>2</v>
      </c>
      <c r="F125" t="n">
        <v>1</v>
      </c>
      <c r="H125" t="n">
        <v>0</v>
      </c>
      <c r="I125" t="n">
        <v>0</v>
      </c>
      <c r="J125" t="n">
        <v>0</v>
      </c>
      <c r="K125" t="n">
        <v>0</v>
      </c>
      <c r="L125" t="n">
        <v>0</v>
      </c>
      <c r="M125" t="n">
        <v>0</v>
      </c>
      <c r="N125" t="n">
        <v>0</v>
      </c>
    </row>
    <row r="126">
      <c r="A126" t="inlineStr">
        <is>
          <t>cost of ploughs</t>
        </is>
      </c>
      <c r="B126" t="inlineStr">
        <is>
          <t>3 ploughshares bought 5 shilling.</t>
        </is>
      </c>
      <c r="C126" t="n">
        <v>0.25</v>
      </c>
      <c r="D126" t="n">
        <v>0</v>
      </c>
      <c r="E126" t="n">
        <v>5</v>
      </c>
      <c r="F126" t="n">
        <v>0</v>
      </c>
      <c r="H126" t="n">
        <v>0</v>
      </c>
      <c r="I126" t="n">
        <v>0</v>
      </c>
      <c r="J126" t="n">
        <v>0</v>
      </c>
      <c r="K126" t="n">
        <v>0</v>
      </c>
      <c r="L126" t="n">
        <v>0</v>
      </c>
      <c r="M126" t="n">
        <v>0</v>
      </c>
      <c r="N126" t="n">
        <v>0</v>
      </c>
    </row>
    <row r="127">
      <c r="A127" t="inlineStr">
        <is>
          <t>cost of ploughs</t>
        </is>
      </c>
      <c r="B127" t="inlineStr">
        <is>
          <t>4 new harrows bought with wooden teeth 2 shilling 8pence.</t>
        </is>
      </c>
      <c r="C127" t="n">
        <v>0.13</v>
      </c>
      <c r="D127" t="n">
        <v>0</v>
      </c>
      <c r="E127" t="n">
        <v>2</v>
      </c>
      <c r="F127" t="n">
        <v>8</v>
      </c>
      <c r="H127" t="n">
        <v>0</v>
      </c>
      <c r="I127" t="n">
        <v>0</v>
      </c>
      <c r="J127" t="n">
        <v>0</v>
      </c>
      <c r="K127" t="n">
        <v>0</v>
      </c>
      <c r="L127" t="n">
        <v>0</v>
      </c>
      <c r="M127" t="n">
        <v>0</v>
      </c>
      <c r="N127" t="n">
        <v>0</v>
      </c>
    </row>
    <row r="128">
      <c r="A128" t="inlineStr">
        <is>
          <t>cost of ploughs</t>
        </is>
      </c>
      <c r="B128" t="inlineStr">
        <is>
          <t>4 plough-staffs (ploughstaves) bought 1 shilling.</t>
        </is>
      </c>
      <c r="C128" t="n">
        <v>0.05</v>
      </c>
      <c r="D128" t="n">
        <v>0</v>
      </c>
      <c r="E128" t="n">
        <v>1</v>
      </c>
      <c r="F128" t="n">
        <v>0</v>
      </c>
      <c r="H128" t="n">
        <v>0</v>
      </c>
      <c r="I128" t="n">
        <v>0</v>
      </c>
      <c r="J128" t="n">
        <v>0</v>
      </c>
      <c r="K128" t="n">
        <v>0</v>
      </c>
      <c r="L128" t="n">
        <v>0</v>
      </c>
      <c r="M128" t="n">
        <v>0</v>
      </c>
      <c r="N128" t="n">
        <v>0</v>
      </c>
    </row>
    <row r="129">
      <c r="A129" t="inlineStr">
        <is>
          <t>cost of ploughs</t>
        </is>
      </c>
      <c r="B129" t="inlineStr">
        <is>
          <t>4 yokes bought 1 shilling.</t>
        </is>
      </c>
      <c r="C129" t="n">
        <v>0.05</v>
      </c>
      <c r="D129" t="n">
        <v>0</v>
      </c>
      <c r="E129" t="n">
        <v>1</v>
      </c>
      <c r="F129" t="n">
        <v>0</v>
      </c>
      <c r="H129" t="n">
        <v>0</v>
      </c>
      <c r="I129" t="n">
        <v>0</v>
      </c>
      <c r="J129" t="n">
        <v>0</v>
      </c>
      <c r="K129" t="n">
        <v>0</v>
      </c>
      <c r="L129" t="n">
        <v>0</v>
      </c>
      <c r="M129" t="n">
        <v>0</v>
      </c>
      <c r="N129" t="n">
        <v>0</v>
      </c>
    </row>
    <row r="130">
      <c r="A130" t="inlineStr">
        <is>
          <t>cost of ploughs</t>
        </is>
      </c>
      <c r="B130" t="inlineStr">
        <is>
          <t>1 coulter and 1 ploughshare bought for the horse-plough made anew 2 shilling 6pence.</t>
        </is>
      </c>
      <c r="C130" t="n">
        <v>0.12</v>
      </c>
      <c r="D130" t="n">
        <v>0</v>
      </c>
      <c r="E130" t="n">
        <v>2</v>
      </c>
      <c r="F130" t="n">
        <v>6</v>
      </c>
      <c r="H130" t="n">
        <v>0</v>
      </c>
      <c r="I130" t="n">
        <v>0</v>
      </c>
      <c r="J130" t="n">
        <v>0</v>
      </c>
      <c r="K130" t="n">
        <v>0</v>
      </c>
      <c r="L130" t="n">
        <v>0</v>
      </c>
      <c r="M130" t="n">
        <v>0</v>
      </c>
      <c r="N130" t="n">
        <v>0</v>
      </c>
    </row>
    <row r="131">
      <c r="A131" t="inlineStr">
        <is>
          <t>cost of ploughs</t>
        </is>
      </c>
      <c r="B131" t="inlineStr">
        <is>
          <t>stipend of 5 oxherds in winter 7 shilling 6pence, taking 1 shilling 6pence each.</t>
        </is>
      </c>
      <c r="C131" t="n">
        <v>0.38</v>
      </c>
      <c r="D131" t="n">
        <v>0</v>
      </c>
      <c r="E131" t="n">
        <v>7</v>
      </c>
      <c r="F131" t="n">
        <v>6</v>
      </c>
      <c r="H131" t="n">
        <v>0</v>
      </c>
      <c r="I131" t="n">
        <v>0</v>
      </c>
      <c r="J131" t="n">
        <v>0</v>
      </c>
      <c r="K131" t="n">
        <v>0</v>
      </c>
      <c r="L131" t="n">
        <v>0</v>
      </c>
      <c r="M131" t="n">
        <v>0</v>
      </c>
      <c r="N131" t="n">
        <v>0</v>
      </c>
    </row>
    <row r="132">
      <c r="A132" t="inlineStr">
        <is>
          <t>cost of ploughs</t>
        </is>
      </c>
      <c r="B132" t="inlineStr">
        <is>
          <t>stipend of the same in summer £1, taking 4 shilling each.</t>
        </is>
      </c>
      <c r="C132" t="n">
        <v>1</v>
      </c>
      <c r="D132" t="n">
        <v>1</v>
      </c>
      <c r="E132" t="n">
        <v>0</v>
      </c>
      <c r="F132" t="n">
        <v>0</v>
      </c>
      <c r="H132" t="n">
        <v>0</v>
      </c>
      <c r="I132" t="n">
        <v>0</v>
      </c>
      <c r="J132" t="n">
        <v>0</v>
      </c>
      <c r="K132" t="n">
        <v>0</v>
      </c>
      <c r="L132" t="n">
        <v>0</v>
      </c>
      <c r="M132" t="n">
        <v>0</v>
      </c>
      <c r="N132" t="n">
        <v>0</v>
      </c>
    </row>
    <row r="133">
      <c r="A133" t="inlineStr">
        <is>
          <t>cost of ploughs</t>
        </is>
      </c>
      <c r="B133" t="inlineStr">
        <is>
          <t>total, £3 16 shilling 9pence.</t>
        </is>
      </c>
      <c r="C133" t="n">
        <v>3.84</v>
      </c>
      <c r="D133" t="n">
        <v>3</v>
      </c>
      <c r="E133" t="n">
        <v>16</v>
      </c>
      <c r="F133" t="n">
        <v>9</v>
      </c>
      <c r="H133" t="n">
        <v>0</v>
      </c>
      <c r="I133" t="n">
        <v>0</v>
      </c>
      <c r="J133" t="n">
        <v>0</v>
      </c>
      <c r="K133" t="n">
        <v>0</v>
      </c>
      <c r="L133" t="n">
        <v>0</v>
      </c>
      <c r="M133" t="n">
        <v>0</v>
      </c>
      <c r="N133" t="n">
        <v>0</v>
      </c>
    </row>
    <row r="134">
      <c r="A134" t="inlineStr">
        <is>
          <t>cost of carts</t>
        </is>
      </c>
      <c r="B134" t="inlineStr">
        <is>
          <t>in 16 clouts with nails bought for the same 2 shilling 8pence.</t>
        </is>
      </c>
      <c r="C134" t="n">
        <v>0.13</v>
      </c>
      <c r="D134" t="n">
        <v>0</v>
      </c>
      <c r="E134" t="n">
        <v>2</v>
      </c>
      <c r="F134" t="n">
        <v>8</v>
      </c>
      <c r="H134" t="n">
        <v>0</v>
      </c>
      <c r="I134" t="n">
        <v>0</v>
      </c>
      <c r="J134" t="n">
        <v>0</v>
      </c>
      <c r="K134" t="n">
        <v>0</v>
      </c>
      <c r="L134" t="n">
        <v>0</v>
      </c>
      <c r="M134" t="n">
        <v>0</v>
      </c>
      <c r="N134" t="n">
        <v>0</v>
      </c>
    </row>
    <row r="135">
      <c r="A135" t="inlineStr">
        <is>
          <t>cost of carts</t>
        </is>
      </c>
      <c r="B135" t="inlineStr">
        <is>
          <t>2 pairs of unshod (nud') wheels bought 8 shilling.</t>
        </is>
      </c>
      <c r="C135" t="n">
        <v>0.4</v>
      </c>
      <c r="D135" t="n">
        <v>0</v>
      </c>
      <c r="E135" t="n">
        <v>8</v>
      </c>
      <c r="F135" t="n">
        <v>0</v>
      </c>
      <c r="H135" t="n">
        <v>0</v>
      </c>
      <c r="I135" t="n">
        <v>0</v>
      </c>
      <c r="J135" t="n">
        <v>0</v>
      </c>
      <c r="K135" t="n">
        <v>0</v>
      </c>
      <c r="L135" t="n">
        <v>0</v>
      </c>
      <c r="M135" t="n">
        <v>0</v>
      </c>
      <c r="N135" t="n">
        <v>0</v>
      </c>
    </row>
    <row r="136">
      <c r="A136" t="inlineStr">
        <is>
          <t>cost of carts</t>
        </is>
      </c>
      <c r="B136" t="inlineStr">
        <is>
          <t>4 collars bought 4 shilling.</t>
        </is>
      </c>
      <c r="C136" t="n">
        <v>0.2</v>
      </c>
      <c r="D136" t="n">
        <v>0</v>
      </c>
      <c r="E136" t="n">
        <v>4</v>
      </c>
      <c r="F136" t="n">
        <v>0</v>
      </c>
      <c r="H136" t="n">
        <v>0</v>
      </c>
      <c r="I136" t="n">
        <v>0</v>
      </c>
      <c r="J136" t="n">
        <v>0</v>
      </c>
      <c r="K136" t="n">
        <v>0</v>
      </c>
      <c r="L136" t="n">
        <v>0</v>
      </c>
      <c r="M136" t="n">
        <v>0</v>
      </c>
      <c r="N136" t="n">
        <v>0</v>
      </c>
    </row>
    <row r="137">
      <c r="A137" t="inlineStr">
        <is>
          <t>cost of carts</t>
        </is>
      </c>
      <c r="B137" t="inlineStr">
        <is>
          <t>4 pairs of traces 2 shilling 8pence.</t>
        </is>
      </c>
      <c r="C137" t="n">
        <v>0.13</v>
      </c>
      <c r="D137" t="n">
        <v>0</v>
      </c>
      <c r="E137" t="n">
        <v>2</v>
      </c>
      <c r="F137" t="n">
        <v>8</v>
      </c>
      <c r="H137" t="n">
        <v>0</v>
      </c>
      <c r="I137" t="n">
        <v>0</v>
      </c>
      <c r="J137" t="n">
        <v>0</v>
      </c>
      <c r="K137" t="n">
        <v>0</v>
      </c>
      <c r="L137" t="n">
        <v>0</v>
      </c>
      <c r="M137" t="n">
        <v>0</v>
      </c>
      <c r="N137" t="n">
        <v>0</v>
      </c>
    </row>
    <row r="138">
      <c r="A138" t="inlineStr">
        <is>
          <t>cost of carts</t>
        </is>
      </c>
      <c r="B138" t="inlineStr">
        <is>
          <t>fitting the carts with axles at various times 1 shilling.</t>
        </is>
      </c>
      <c r="C138" t="n">
        <v>0.05</v>
      </c>
      <c r="D138" t="n">
        <v>0</v>
      </c>
      <c r="E138" t="n">
        <v>1</v>
      </c>
      <c r="F138" t="n">
        <v>0</v>
      </c>
      <c r="H138" t="n">
        <v>0</v>
      </c>
      <c r="I138" t="n">
        <v>0</v>
      </c>
      <c r="J138" t="n">
        <v>0</v>
      </c>
      <c r="K138" t="n">
        <v>0</v>
      </c>
      <c r="L138" t="n">
        <v>0</v>
      </c>
      <c r="M138" t="n">
        <v>0</v>
      </c>
      <c r="N138" t="n">
        <v>0</v>
      </c>
    </row>
    <row r="139">
      <c r="A139" t="inlineStr">
        <is>
          <t>cost of carts</t>
        </is>
      </c>
      <c r="B139" t="inlineStr">
        <is>
          <t>grease bought 1 shilling.</t>
        </is>
      </c>
      <c r="C139" t="n">
        <v>0.05</v>
      </c>
      <c r="D139" t="n">
        <v>0</v>
      </c>
      <c r="E139" t="n">
        <v>1</v>
      </c>
      <c r="F139" t="n">
        <v>0</v>
      </c>
      <c r="H139" t="n">
        <v>0</v>
      </c>
      <c r="I139" t="n">
        <v>0</v>
      </c>
      <c r="J139" t="n">
        <v>0</v>
      </c>
      <c r="K139" t="n">
        <v>0</v>
      </c>
      <c r="L139" t="n">
        <v>0</v>
      </c>
      <c r="M139" t="n">
        <v>0</v>
      </c>
      <c r="N139" t="n">
        <v>0</v>
      </c>
    </row>
    <row r="140">
      <c r="A140" t="inlineStr">
        <is>
          <t>cost of carts</t>
        </is>
      </c>
      <c r="B140" t="inlineStr">
        <is>
          <t>white leather bought 2 shilling.</t>
        </is>
      </c>
      <c r="C140" t="n">
        <v>0.1</v>
      </c>
      <c r="D140" t="n">
        <v>0</v>
      </c>
      <c r="E140" t="n">
        <v>2</v>
      </c>
      <c r="F140" t="n">
        <v>0</v>
      </c>
      <c r="H140" t="n">
        <v>0</v>
      </c>
      <c r="I140" t="n">
        <v>0</v>
      </c>
      <c r="J140" t="n">
        <v>0</v>
      </c>
      <c r="K140" t="n">
        <v>0</v>
      </c>
      <c r="L140" t="n">
        <v>0</v>
      </c>
      <c r="M140" t="n">
        <v>0</v>
      </c>
      <c r="N140" t="n">
        <v>0</v>
      </c>
    </row>
    <row r="141">
      <c r="A141" t="inlineStr">
        <is>
          <t>cost of carts</t>
        </is>
      </c>
      <c r="B141" t="inlineStr">
        <is>
          <t>ridge-ties (rugeties), womb-ties (wombeties) and pipes bought 1 shilling.</t>
        </is>
      </c>
      <c r="C141" t="n">
        <v>0.05</v>
      </c>
      <c r="D141" t="n">
        <v>0</v>
      </c>
      <c r="E141" t="n">
        <v>1</v>
      </c>
      <c r="F141" t="n">
        <v>0</v>
      </c>
      <c r="H141" t="n">
        <v>0</v>
      </c>
      <c r="I141" t="n">
        <v>0</v>
      </c>
      <c r="J141" t="n">
        <v>0</v>
      </c>
      <c r="K141" t="n">
        <v>0</v>
      </c>
      <c r="L141" t="n">
        <v>0</v>
      </c>
      <c r="M141" t="n">
        <v>0</v>
      </c>
      <c r="N141" t="n">
        <v>0</v>
      </c>
    </row>
    <row r="142">
      <c r="A142" t="inlineStr">
        <is>
          <t>cost of carts</t>
        </is>
      </c>
      <c r="B142" t="inlineStr">
        <is>
          <t>black leather bought to make and mend collars and pipes 1 shilling.</t>
        </is>
      </c>
      <c r="C142" t="n">
        <v>0.05</v>
      </c>
      <c r="D142" t="n">
        <v>0</v>
      </c>
      <c r="E142" t="n">
        <v>1</v>
      </c>
      <c r="F142" t="n">
        <v>0</v>
      </c>
      <c r="H142" t="n">
        <v>0</v>
      </c>
      <c r="I142" t="n">
        <v>0</v>
      </c>
      <c r="J142" t="n">
        <v>0</v>
      </c>
      <c r="K142" t="n">
        <v>0</v>
      </c>
      <c r="L142" t="n">
        <v>0</v>
      </c>
      <c r="M142" t="n">
        <v>0</v>
      </c>
      <c r="N142" t="n">
        <v>0</v>
      </c>
    </row>
    <row r="143">
      <c r="A143" t="inlineStr">
        <is>
          <t>cost of carts</t>
        </is>
      </c>
      <c r="B143" t="inlineStr">
        <is>
          <t>2 cart-ropes bought 2 shilling.</t>
        </is>
      </c>
      <c r="C143" t="n">
        <v>0.1</v>
      </c>
      <c r="D143" t="n">
        <v>0</v>
      </c>
      <c r="E143" t="n">
        <v>2</v>
      </c>
      <c r="F143" t="n">
        <v>0</v>
      </c>
      <c r="H143" t="n">
        <v>0</v>
      </c>
      <c r="I143" t="n">
        <v>0</v>
      </c>
      <c r="J143" t="n">
        <v>0</v>
      </c>
      <c r="K143" t="n">
        <v>0</v>
      </c>
      <c r="L143" t="n">
        <v>0</v>
      </c>
      <c r="M143" t="n">
        <v>0</v>
      </c>
      <c r="N143" t="n">
        <v>0</v>
      </c>
    </row>
    <row r="144">
      <c r="A144" t="inlineStr">
        <is>
          <t>cost of carts</t>
        </is>
      </c>
      <c r="B144" t="inlineStr">
        <is>
          <t>2 dung-pot.</t>
        </is>
      </c>
      <c r="C144" t="n">
        <v>0</v>
      </c>
      <c r="D144" t="n">
        <v>0</v>
      </c>
      <c r="E144" t="n">
        <v>0</v>
      </c>
      <c r="F144" t="n">
        <v>0</v>
      </c>
      <c r="H144" t="n">
        <v>0</v>
      </c>
      <c r="I144" t="n">
        <v>0</v>
      </c>
      <c r="J144" t="n">
        <v>0</v>
      </c>
      <c r="K144" t="n">
        <v>0</v>
      </c>
      <c r="L144" t="n">
        <v>0</v>
      </c>
      <c r="M144" t="n">
        <v>0</v>
      </c>
      <c r="N144" t="n">
        <v>0</v>
      </c>
    </row>
    <row r="145">
      <c r="A145" t="inlineStr">
        <is>
          <t>cost of carts</t>
        </is>
      </c>
      <c r="B145" t="inlineStr">
        <is>
          <t>(dongpoottes) bought 2 shilling 4pence.</t>
        </is>
      </c>
      <c r="C145" t="n">
        <v>0.12</v>
      </c>
      <c r="D145" t="n">
        <v>0</v>
      </c>
      <c r="E145" t="n">
        <v>2</v>
      </c>
      <c r="F145" t="n">
        <v>4</v>
      </c>
      <c r="H145" t="n">
        <v>0</v>
      </c>
      <c r="I145" t="n">
        <v>0</v>
      </c>
      <c r="J145" t="n">
        <v>0</v>
      </c>
      <c r="K145" t="n">
        <v>0</v>
      </c>
      <c r="L145" t="n">
        <v>0</v>
      </c>
      <c r="M145" t="n">
        <v>0</v>
      </c>
      <c r="N145" t="n">
        <v>0</v>
      </c>
    </row>
    <row r="146">
      <c r="A146" t="inlineStr">
        <is>
          <t>cost of carts</t>
        </is>
      </c>
      <c r="B146" t="inlineStr">
        <is>
          <t>shoeing 6 horses for the year 8 shilling.</t>
        </is>
      </c>
      <c r="C146" t="n">
        <v>0.4</v>
      </c>
      <c r="D146" t="n">
        <v>0</v>
      </c>
      <c r="E146" t="n">
        <v>8</v>
      </c>
      <c r="F146" t="n">
        <v>0</v>
      </c>
      <c r="H146" t="n">
        <v>0</v>
      </c>
      <c r="I146" t="n">
        <v>0</v>
      </c>
      <c r="J146" t="n">
        <v>0</v>
      </c>
      <c r="K146" t="n">
        <v>0</v>
      </c>
      <c r="L146" t="n">
        <v>0</v>
      </c>
      <c r="M146" t="n">
        <v>0</v>
      </c>
      <c r="N146" t="n">
        <v>0</v>
      </c>
    </row>
    <row r="147">
      <c r="A147" t="inlineStr">
        <is>
          <t>cost of carts</t>
        </is>
      </c>
      <c r="B147" t="inlineStr">
        <is>
          <t>2 cart-saddles bought 6pence.</t>
        </is>
      </c>
      <c r="C147" t="n">
        <v>0.03</v>
      </c>
      <c r="D147" t="n">
        <v>0</v>
      </c>
      <c r="E147" t="n">
        <v>0</v>
      </c>
      <c r="F147" t="n">
        <v>6</v>
      </c>
      <c r="H147" t="n">
        <v>0</v>
      </c>
      <c r="I147" t="n">
        <v>0</v>
      </c>
      <c r="J147" t="n">
        <v>0</v>
      </c>
      <c r="K147" t="n">
        <v>0</v>
      </c>
      <c r="L147" t="n">
        <v>0</v>
      </c>
      <c r="M147" t="n">
        <v>0</v>
      </c>
      <c r="N147" t="n">
        <v>0</v>
      </c>
    </row>
    <row r="148">
      <c r="A148" t="inlineStr">
        <is>
          <t>cost of carts</t>
        </is>
      </c>
      <c r="B148" t="inlineStr">
        <is>
          <t>stipend of 1 carter for the year 6 shilling 8pence.</t>
        </is>
      </c>
      <c r="C148" t="n">
        <v>0.33</v>
      </c>
      <c r="D148" t="n">
        <v>0</v>
      </c>
      <c r="E148" t="n">
        <v>6</v>
      </c>
      <c r="F148" t="n">
        <v>8</v>
      </c>
      <c r="H148" t="n">
        <v>0</v>
      </c>
      <c r="I148" t="n">
        <v>0</v>
      </c>
      <c r="J148" t="n">
        <v>0</v>
      </c>
      <c r="K148" t="n">
        <v>0</v>
      </c>
      <c r="L148" t="n">
        <v>0</v>
      </c>
      <c r="M148" t="n">
        <v>0</v>
      </c>
      <c r="N148" t="n">
        <v>0</v>
      </c>
    </row>
    <row r="149">
      <c r="A149" t="inlineStr">
        <is>
          <t>cost of carts</t>
        </is>
      </c>
      <c r="B149" t="inlineStr">
        <is>
          <t>stipend of a second carter for the year 5 shilling 6pence.</t>
        </is>
      </c>
      <c r="C149" t="n">
        <v>0.28</v>
      </c>
      <c r="D149" t="n">
        <v>0</v>
      </c>
      <c r="E149" t="n">
        <v>5</v>
      </c>
      <c r="F149" t="n">
        <v>6</v>
      </c>
      <c r="H149" t="n">
        <v>0</v>
      </c>
      <c r="I149" t="n">
        <v>0</v>
      </c>
      <c r="J149" t="n">
        <v>0</v>
      </c>
      <c r="K149" t="n">
        <v>0</v>
      </c>
      <c r="L149" t="n">
        <v>0</v>
      </c>
      <c r="M149" t="n">
        <v>0</v>
      </c>
      <c r="N149" t="n">
        <v>0</v>
      </c>
    </row>
    <row r="150">
      <c r="A150" t="inlineStr">
        <is>
          <t>cost of carts</t>
        </is>
      </c>
      <c r="B150" t="inlineStr">
        <is>
          <t>2 saddle-pads bought 1 shilling.</t>
        </is>
      </c>
      <c r="C150" t="n">
        <v>0.05</v>
      </c>
      <c r="D150" t="n">
        <v>0</v>
      </c>
      <c r="E150" t="n">
        <v>1</v>
      </c>
      <c r="F150" t="n">
        <v>0</v>
      </c>
      <c r="H150" t="n">
        <v>0</v>
      </c>
      <c r="I150" t="n">
        <v>0</v>
      </c>
      <c r="J150" t="n">
        <v>0</v>
      </c>
      <c r="K150" t="n">
        <v>0</v>
      </c>
      <c r="L150" t="n">
        <v>0</v>
      </c>
      <c r="M150" t="n">
        <v>0</v>
      </c>
      <c r="N150" t="n">
        <v>0</v>
      </c>
    </row>
    <row r="151">
      <c r="A151" t="inlineStr">
        <is>
          <t>cost of carts</t>
        </is>
      </c>
      <c r="B151" t="inlineStr">
        <is>
          <t>4 frets bought for the wooden wheels 4pence.</t>
        </is>
      </c>
      <c r="C151" t="n">
        <v>0.02</v>
      </c>
      <c r="D151" t="n">
        <v>0</v>
      </c>
      <c r="E151" t="n">
        <v>0</v>
      </c>
      <c r="F151" t="n">
        <v>4</v>
      </c>
      <c r="H151" t="n">
        <v>0</v>
      </c>
      <c r="I151" t="n">
        <v>0</v>
      </c>
      <c r="J151" t="n">
        <v>0</v>
      </c>
      <c r="K151" t="n">
        <v>0</v>
      </c>
      <c r="L151" t="n">
        <v>0</v>
      </c>
      <c r="M151" t="n">
        <v>0</v>
      </c>
      <c r="N151" t="n">
        <v>0</v>
      </c>
    </row>
    <row r="152">
      <c r="A152" t="inlineStr">
        <is>
          <t>cost of carts</t>
        </is>
      </c>
      <c r="B152" t="inlineStr">
        <is>
          <t>4 linch-pins bought 10pence.</t>
        </is>
      </c>
      <c r="C152" t="n">
        <v>0.04</v>
      </c>
      <c r="D152" t="n">
        <v>0</v>
      </c>
      <c r="E152" t="n">
        <v>0</v>
      </c>
      <c r="F152" t="n">
        <v>10</v>
      </c>
      <c r="H152" t="n">
        <v>0</v>
      </c>
      <c r="I152" t="n">
        <v>0</v>
      </c>
      <c r="J152" t="n">
        <v>0</v>
      </c>
      <c r="K152" t="n">
        <v>0</v>
      </c>
      <c r="L152" t="n">
        <v>0</v>
      </c>
      <c r="M152" t="n">
        <v>0</v>
      </c>
      <c r="N152" t="n">
        <v>0</v>
      </c>
    </row>
    <row r="153">
      <c r="A153" t="inlineStr">
        <is>
          <t>cost of carts</t>
        </is>
      </c>
      <c r="B153" t="inlineStr">
        <is>
          <t>total, £2 10 shilling 6pence.</t>
        </is>
      </c>
      <c r="C153" t="n">
        <v>2.52</v>
      </c>
      <c r="D153" t="n">
        <v>2</v>
      </c>
      <c r="E153" t="n">
        <v>10</v>
      </c>
      <c r="F153" t="n">
        <v>6</v>
      </c>
      <c r="H153" t="n">
        <v>0</v>
      </c>
      <c r="I153" t="n">
        <v>0</v>
      </c>
      <c r="J153" t="n">
        <v>0</v>
      </c>
      <c r="K153" t="n">
        <v>0</v>
      </c>
      <c r="L153" t="n">
        <v>0</v>
      </c>
      <c r="M153" t="n">
        <v>0</v>
      </c>
      <c r="N153" t="n">
        <v>0</v>
      </c>
    </row>
    <row r="154">
      <c r="A154" t="inlineStr">
        <is>
          <t>purchase of corn and stock</t>
        </is>
      </c>
      <c r="B154" t="inlineStr">
        <is>
          <t>in 17 quarters 1 bushels of mancorn bought £5 13 shilling 9pence, at 6 shilling 8pence a quarters.</t>
        </is>
      </c>
      <c r="C154" t="n">
        <v>5.69</v>
      </c>
      <c r="D154" t="n">
        <v>5</v>
      </c>
      <c r="E154" t="n">
        <v>13</v>
      </c>
      <c r="F154" t="n">
        <v>9</v>
      </c>
      <c r="G154" t="inlineStr">
        <is>
          <t>mancorn</t>
        </is>
      </c>
      <c r="H154" t="n">
        <v>17</v>
      </c>
      <c r="I154" t="n">
        <v>1</v>
      </c>
      <c r="J154" t="n">
        <v>17.12</v>
      </c>
      <c r="K154" t="n">
        <v>17.12</v>
      </c>
      <c r="L154" t="n">
        <v>0</v>
      </c>
      <c r="M154" t="n">
        <v>17</v>
      </c>
      <c r="N154" t="n">
        <v>1</v>
      </c>
      <c r="AG154" t="n">
        <v>6</v>
      </c>
      <c r="AH154" t="n">
        <v>8</v>
      </c>
    </row>
    <row r="155">
      <c r="A155" t="inlineStr">
        <is>
          <t>purchase of corn and stock</t>
        </is>
      </c>
      <c r="B155" t="inlineStr">
        <is>
          <t>6 quarters of barley bought £1 16 shilling, at 6 shilling a quarters.</t>
        </is>
      </c>
      <c r="C155" t="n">
        <v>1.8</v>
      </c>
      <c r="D155" t="n">
        <v>1</v>
      </c>
      <c r="E155" t="n">
        <v>16</v>
      </c>
      <c r="F155" t="n">
        <v>0</v>
      </c>
      <c r="G155" t="inlineStr">
        <is>
          <t>barley</t>
        </is>
      </c>
      <c r="H155" t="n">
        <v>6</v>
      </c>
      <c r="I155" t="n">
        <v>0</v>
      </c>
      <c r="J155" t="n">
        <v>6</v>
      </c>
      <c r="K155" t="n">
        <v>6</v>
      </c>
      <c r="L155" t="n">
        <v>0</v>
      </c>
      <c r="M155" t="n">
        <v>6</v>
      </c>
      <c r="N155" t="n">
        <v>0</v>
      </c>
      <c r="AG155" t="n">
        <v>6</v>
      </c>
      <c r="AH155" t="n">
        <v>0</v>
      </c>
    </row>
    <row r="156">
      <c r="A156" t="inlineStr">
        <is>
          <t>purchase of corn and stock</t>
        </is>
      </c>
      <c r="B156" t="inlineStr">
        <is>
          <t>8 quarters 4 bushels of pulses bought £1 14 shilling, at 4 shilling a quarters.</t>
        </is>
      </c>
      <c r="C156" t="n">
        <v>1.7</v>
      </c>
      <c r="D156" t="n">
        <v>1</v>
      </c>
      <c r="E156" t="n">
        <v>14</v>
      </c>
      <c r="F156" t="n">
        <v>0</v>
      </c>
      <c r="H156" t="n">
        <v>8</v>
      </c>
      <c r="I156" t="n">
        <v>4</v>
      </c>
      <c r="J156" t="n">
        <v>8.5</v>
      </c>
      <c r="K156" t="n">
        <v>8.5</v>
      </c>
      <c r="L156" t="n">
        <v>0</v>
      </c>
      <c r="M156" t="n">
        <v>8</v>
      </c>
      <c r="N156" t="n">
        <v>4</v>
      </c>
      <c r="AG156" t="n">
        <v>4</v>
      </c>
      <c r="AH156" t="n">
        <v>0</v>
      </c>
    </row>
    <row r="157">
      <c r="A157" t="inlineStr">
        <is>
          <t>purchase of corn and stock</t>
        </is>
      </c>
      <c r="B157" t="inlineStr">
        <is>
          <t>1 horse bought £1 3 shilling 4pence.</t>
        </is>
      </c>
      <c r="C157" t="n">
        <v>1.17</v>
      </c>
      <c r="D157" t="n">
        <v>1</v>
      </c>
      <c r="E157" t="n">
        <v>3</v>
      </c>
      <c r="F157" t="n">
        <v>4</v>
      </c>
      <c r="H157" t="n">
        <v>0</v>
      </c>
      <c r="I157" t="n">
        <v>0</v>
      </c>
      <c r="J157" t="n">
        <v>0</v>
      </c>
      <c r="K157" t="n">
        <v>0</v>
      </c>
      <c r="L157" t="n">
        <v>0</v>
      </c>
      <c r="M157" t="n">
        <v>0</v>
      </c>
      <c r="N157" t="n">
        <v>0</v>
      </c>
    </row>
    <row r="158">
      <c r="A158" t="inlineStr">
        <is>
          <t>purchase of corn and stock</t>
        </is>
      </c>
      <c r="B158" t="inlineStr">
        <is>
          <t>8 oxen bought £5 17 shilling, at 16 shilling each for 2, 15 shilling each for 3, and 13 shilling 4pence each for 3..</t>
        </is>
      </c>
      <c r="C158" t="n">
        <v>5.85</v>
      </c>
      <c r="D158" t="n">
        <v>5</v>
      </c>
      <c r="E158" t="n">
        <v>17</v>
      </c>
      <c r="F158" t="n">
        <v>0</v>
      </c>
      <c r="H158" t="n">
        <v>0</v>
      </c>
      <c r="I158" t="n">
        <v>0</v>
      </c>
      <c r="J158" t="n">
        <v>0</v>
      </c>
      <c r="K158" t="n">
        <v>0</v>
      </c>
      <c r="L158" t="n">
        <v>0</v>
      </c>
      <c r="M158" t="n">
        <v>0</v>
      </c>
      <c r="N158" t="n">
        <v>0</v>
      </c>
    </row>
    <row r="159">
      <c r="A159" t="inlineStr">
        <is>
          <t>purchase of corn and stock</t>
        </is>
      </c>
      <c r="B159" t="inlineStr">
        <is>
          <t>15 cows with calf bought £8 12 shilling, at 12 shilling each for 7, and 11 shilling each for 8..</t>
        </is>
      </c>
      <c r="C159" t="n">
        <v>8.6</v>
      </c>
      <c r="D159" t="n">
        <v>8</v>
      </c>
      <c r="E159" t="n">
        <v>12</v>
      </c>
      <c r="F159" t="n">
        <v>0</v>
      </c>
      <c r="H159" t="n">
        <v>0</v>
      </c>
      <c r="I159" t="n">
        <v>0</v>
      </c>
      <c r="J159" t="n">
        <v>0</v>
      </c>
      <c r="K159" t="n">
        <v>0</v>
      </c>
      <c r="L159" t="n">
        <v>0</v>
      </c>
      <c r="M159" t="n">
        <v>0</v>
      </c>
      <c r="N159" t="n">
        <v>0</v>
      </c>
    </row>
    <row r="160">
      <c r="A160" t="inlineStr">
        <is>
          <t>purchase of corn and stock</t>
        </is>
      </c>
      <c r="B160" t="inlineStr">
        <is>
          <t>8 calves bought from the farmer of the dairy 8 shilling.</t>
        </is>
      </c>
      <c r="C160" t="n">
        <v>0.4</v>
      </c>
      <c r="D160" t="n">
        <v>0</v>
      </c>
      <c r="E160" t="n">
        <v>8</v>
      </c>
      <c r="F160" t="n">
        <v>0</v>
      </c>
      <c r="H160" t="n">
        <v>0</v>
      </c>
      <c r="I160" t="n">
        <v>0</v>
      </c>
      <c r="J160" t="n">
        <v>0</v>
      </c>
      <c r="K160" t="n">
        <v>0</v>
      </c>
      <c r="L160" t="n">
        <v>0</v>
      </c>
      <c r="M160" t="n">
        <v>0</v>
      </c>
      <c r="N160" t="n">
        <v>0</v>
      </c>
    </row>
    <row r="161">
      <c r="A161" t="inlineStr">
        <is>
          <t>purchase of corn and stock</t>
        </is>
      </c>
      <c r="B161" t="inlineStr">
        <is>
          <t>24 wethers bought before shearing as made clear elsewhere £2 16 shilling, at 2 shilling 4pence each.</t>
        </is>
      </c>
      <c r="C161" t="n">
        <v>2.8</v>
      </c>
      <c r="D161" t="n">
        <v>2</v>
      </c>
      <c r="E161" t="n">
        <v>16</v>
      </c>
      <c r="F161" t="n">
        <v>0</v>
      </c>
      <c r="H161" t="n">
        <v>0</v>
      </c>
      <c r="I161" t="n">
        <v>0</v>
      </c>
      <c r="J161" t="n">
        <v>0</v>
      </c>
      <c r="K161" t="n">
        <v>0</v>
      </c>
      <c r="L161" t="n">
        <v>0</v>
      </c>
      <c r="M161" t="n">
        <v>0</v>
      </c>
      <c r="N161" t="n">
        <v>0</v>
      </c>
    </row>
    <row r="162">
      <c r="A162" t="inlineStr">
        <is>
          <t>purchase of corn and stock</t>
        </is>
      </c>
      <c r="B162" t="inlineStr">
        <is>
          <t>total, £28 1pence.</t>
        </is>
      </c>
      <c r="C162" t="n">
        <v>28</v>
      </c>
      <c r="D162" t="n">
        <v>28</v>
      </c>
      <c r="E162" t="n">
        <v>0</v>
      </c>
      <c r="F162" t="n">
        <v>1</v>
      </c>
      <c r="H162" t="n">
        <v>0</v>
      </c>
      <c r="I162" t="n">
        <v>0</v>
      </c>
      <c r="J162" t="n">
        <v>0</v>
      </c>
      <c r="K162" t="n">
        <v>0</v>
      </c>
      <c r="L162" t="n">
        <v>0</v>
      </c>
      <c r="M162" t="n">
        <v>0</v>
      </c>
      <c r="N162" t="n">
        <v>0</v>
      </c>
    </row>
    <row r="163">
      <c r="A163" t="inlineStr">
        <is>
          <t>cost of buildings</t>
        </is>
      </c>
      <c r="B163" t="inlineStr">
        <is>
          <t>in 73 quarters 4 bushels of malt made 2 shilling 3pence, at 2pence a quarters.</t>
        </is>
      </c>
      <c r="C163" t="n">
        <v>0.11</v>
      </c>
      <c r="D163" t="n">
        <v>0</v>
      </c>
      <c r="E163" t="n">
        <v>2</v>
      </c>
      <c r="F163" t="n">
        <v>3</v>
      </c>
      <c r="G163" t="inlineStr">
        <is>
          <t>malt</t>
        </is>
      </c>
      <c r="H163" t="n">
        <v>73</v>
      </c>
      <c r="I163" t="n">
        <v>4</v>
      </c>
      <c r="J163" t="n">
        <v>73.5</v>
      </c>
      <c r="K163" t="n">
        <v>73.5</v>
      </c>
      <c r="L163" t="n">
        <v>0</v>
      </c>
      <c r="M163" t="n">
        <v>73</v>
      </c>
      <c r="N163" t="n">
        <v>4</v>
      </c>
    </row>
    <row r="164">
      <c r="A164" t="inlineStr">
        <is>
          <t>cost of buildings</t>
        </is>
      </c>
      <c r="B164" t="inlineStr">
        <is>
          <t>10 yards of haircloth bought for the kiln 5 shilling, at 6pence a yard.</t>
        </is>
      </c>
      <c r="C164" t="n">
        <v>0.28</v>
      </c>
      <c r="D164" t="n">
        <v>0</v>
      </c>
      <c r="E164" t="n">
        <v>5</v>
      </c>
      <c r="F164" t="n">
        <v>6</v>
      </c>
      <c r="H164" t="n">
        <v>0</v>
      </c>
      <c r="I164" t="n">
        <v>0</v>
      </c>
      <c r="J164" t="n">
        <v>0</v>
      </c>
      <c r="K164" t="n">
        <v>0</v>
      </c>
      <c r="L164" t="n">
        <v>0</v>
      </c>
      <c r="M164" t="n">
        <v>0</v>
      </c>
      <c r="N164" t="n">
        <v>0</v>
      </c>
    </row>
    <row r="165">
      <c r="A165" t="inlineStr">
        <is>
          <t>cost of buildings</t>
        </is>
      </c>
      <c r="B165" t="inlineStr">
        <is>
          <t>mending and hooping the wooden vessels for malting 2 shilling.</t>
        </is>
      </c>
      <c r="C165" t="n">
        <v>0.1</v>
      </c>
      <c r="D165" t="n">
        <v>0</v>
      </c>
      <c r="E165" t="n">
        <v>2</v>
      </c>
      <c r="F165" t="n">
        <v>0</v>
      </c>
      <c r="G165" t="inlineStr">
        <is>
          <t>malt</t>
        </is>
      </c>
      <c r="H165" t="n">
        <v>0</v>
      </c>
      <c r="I165" t="n">
        <v>0</v>
      </c>
      <c r="J165" t="n">
        <v>0</v>
      </c>
      <c r="K165" t="n">
        <v>0</v>
      </c>
      <c r="L165" t="n">
        <v>0</v>
      </c>
      <c r="M165" t="n">
        <v>0</v>
      </c>
      <c r="N165" t="n">
        <v>0</v>
      </c>
    </row>
    <row r="166">
      <c r="A166" t="inlineStr">
        <is>
          <t>cost of buildings</t>
        </is>
      </c>
      <c r="B166" t="inlineStr">
        <is>
          <t>1 vat containing 5 quarters bought for malting 10 shilling.</t>
        </is>
      </c>
      <c r="C166" t="n">
        <v>0.5</v>
      </c>
      <c r="D166" t="n">
        <v>0</v>
      </c>
      <c r="E166" t="n">
        <v>10</v>
      </c>
      <c r="F166" t="n">
        <v>0</v>
      </c>
      <c r="G166" t="inlineStr">
        <is>
          <t>malt</t>
        </is>
      </c>
      <c r="H166" t="n">
        <v>5</v>
      </c>
      <c r="I166" t="n">
        <v>0</v>
      </c>
      <c r="J166" t="n">
        <v>5</v>
      </c>
      <c r="K166" t="n">
        <v>5</v>
      </c>
      <c r="L166" t="n">
        <v>0</v>
      </c>
      <c r="M166" t="n">
        <v>5</v>
      </c>
      <c r="N166" t="n">
        <v>0</v>
      </c>
    </row>
    <row r="167">
      <c r="A167" t="inlineStr">
        <is>
          <t>cost of buildings</t>
        </is>
      </c>
      <c r="B167" t="inlineStr">
        <is>
          <t>2 sacks of 6 bushels bought 2 shilling 8pence.</t>
        </is>
      </c>
      <c r="C167" t="n">
        <v>0.13</v>
      </c>
      <c r="D167" t="n">
        <v>0</v>
      </c>
      <c r="E167" t="n">
        <v>2</v>
      </c>
      <c r="F167" t="n">
        <v>8</v>
      </c>
      <c r="H167" t="n">
        <v>0</v>
      </c>
      <c r="I167" t="n">
        <v>6</v>
      </c>
      <c r="J167" t="n">
        <v>0.75</v>
      </c>
      <c r="K167" t="n">
        <v>0.75</v>
      </c>
      <c r="L167" t="n">
        <v>0</v>
      </c>
      <c r="M167" t="n">
        <v>0</v>
      </c>
      <c r="N167" t="n">
        <v>6</v>
      </c>
    </row>
    <row r="168">
      <c r="A168" t="inlineStr">
        <is>
          <t>cost of buildings</t>
        </is>
      </c>
      <c r="B168" t="inlineStr">
        <is>
          <t>6 shovels bought, 4 of them fitted with iron, 1 shilling 8pence.</t>
        </is>
      </c>
      <c r="C168" t="n">
        <v>0.08</v>
      </c>
      <c r="D168" t="n">
        <v>0</v>
      </c>
      <c r="E168" t="n">
        <v>1</v>
      </c>
      <c r="F168" t="n">
        <v>8</v>
      </c>
      <c r="H168" t="n">
        <v>0</v>
      </c>
      <c r="I168" t="n">
        <v>0</v>
      </c>
      <c r="J168" t="n">
        <v>0</v>
      </c>
      <c r="K168" t="n">
        <v>0</v>
      </c>
      <c r="L168" t="n">
        <v>0</v>
      </c>
      <c r="M168" t="n">
        <v>0</v>
      </c>
      <c r="N168" t="n">
        <v>0</v>
      </c>
    </row>
    <row r="169">
      <c r="A169" t="inlineStr">
        <is>
          <t>cost of buildings</t>
        </is>
      </c>
      <c r="B169" t="inlineStr">
        <is>
          <t>hiring 1 carpenter to underpin, fit with ground-sills and studs and mend 10 bays of the wether-house 6 shilling 8pence.</t>
        </is>
      </c>
      <c r="C169" t="n">
        <v>0.33</v>
      </c>
      <c r="D169" t="n">
        <v>0</v>
      </c>
      <c r="E169" t="n">
        <v>6</v>
      </c>
      <c r="F169" t="n">
        <v>8</v>
      </c>
      <c r="H169" t="n">
        <v>0</v>
      </c>
      <c r="I169" t="n">
        <v>0</v>
      </c>
      <c r="J169" t="n">
        <v>0</v>
      </c>
      <c r="K169" t="n">
        <v>0</v>
      </c>
      <c r="L169" t="n">
        <v>0</v>
      </c>
      <c r="M169" t="n">
        <v>0</v>
      </c>
      <c r="N169" t="n">
        <v>0</v>
      </c>
    </row>
    <row r="170">
      <c r="A170" t="inlineStr">
        <is>
          <t>cost of buildings</t>
        </is>
      </c>
      <c r="B170" t="inlineStr">
        <is>
          <t>hiring 1 thatcher for 5 days to thatch the wether-house with straw 2 shilling 1pence, taking 5pence a day.</t>
        </is>
      </c>
      <c r="C170" t="n">
        <v>0.1</v>
      </c>
      <c r="D170" t="n">
        <v>0</v>
      </c>
      <c r="E170" t="n">
        <v>2</v>
      </c>
      <c r="F170" t="n">
        <v>1</v>
      </c>
      <c r="H170" t="n">
        <v>0</v>
      </c>
      <c r="I170" t="n">
        <v>0</v>
      </c>
      <c r="J170" t="n">
        <v>0</v>
      </c>
      <c r="K170" t="n">
        <v>0</v>
      </c>
      <c r="L170" t="n">
        <v>0</v>
      </c>
      <c r="M170" t="n">
        <v>0</v>
      </c>
      <c r="N170" t="n">
        <v>0</v>
      </c>
    </row>
    <row r="171">
      <c r="A171" t="inlineStr">
        <is>
          <t>cost of buildings</t>
        </is>
      </c>
      <c r="B171" t="inlineStr">
        <is>
          <t>hiring 2 mates for the same time 3 shilling 4pence, taking between them 8pence a day.</t>
        </is>
      </c>
      <c r="C171" t="n">
        <v>0.17</v>
      </c>
      <c r="D171" t="n">
        <v>0</v>
      </c>
      <c r="E171" t="n">
        <v>3</v>
      </c>
      <c r="F171" t="n">
        <v>4</v>
      </c>
      <c r="H171" t="n">
        <v>0</v>
      </c>
      <c r="I171" t="n">
        <v>0</v>
      </c>
      <c r="J171" t="n">
        <v>0</v>
      </c>
      <c r="K171" t="n">
        <v>0</v>
      </c>
      <c r="L171" t="n">
        <v>0</v>
      </c>
      <c r="M171" t="n">
        <v>0</v>
      </c>
      <c r="N171" t="n">
        <v>0</v>
      </c>
    </row>
    <row r="172">
      <c r="A172" t="inlineStr">
        <is>
          <t>cost of buildings</t>
        </is>
      </c>
      <c r="B172" t="inlineStr">
        <is>
          <t>hiring 1 carpenter to make the stalls of the byre and cowshed for 4 days 1 shilling 8pence, taking 5pence a day.</t>
        </is>
      </c>
      <c r="C172" t="n">
        <v>0.08</v>
      </c>
      <c r="D172" t="n">
        <v>0</v>
      </c>
      <c r="E172" t="n">
        <v>1</v>
      </c>
      <c r="F172" t="n">
        <v>8</v>
      </c>
      <c r="H172" t="n">
        <v>0</v>
      </c>
      <c r="I172" t="n">
        <v>0</v>
      </c>
      <c r="J172" t="n">
        <v>0</v>
      </c>
      <c r="K172" t="n">
        <v>0</v>
      </c>
      <c r="L172" t="n">
        <v>0</v>
      </c>
      <c r="M172" t="n">
        <v>0</v>
      </c>
      <c r="N172" t="n">
        <v>0</v>
      </c>
    </row>
    <row r="173">
      <c r="A173" t="inlineStr">
        <is>
          <t>cost of buildings</t>
        </is>
      </c>
      <c r="B173" t="inlineStr">
        <is>
          <t>200 spike-nails for mending the kiln and various doors 1 shilling.</t>
        </is>
      </c>
      <c r="C173" t="n">
        <v>0.05</v>
      </c>
      <c r="D173" t="n">
        <v>0</v>
      </c>
      <c r="E173" t="n">
        <v>1</v>
      </c>
      <c r="F173" t="n">
        <v>0</v>
      </c>
      <c r="H173" t="n">
        <v>0</v>
      </c>
      <c r="I173" t="n">
        <v>0</v>
      </c>
      <c r="J173" t="n">
        <v>0</v>
      </c>
      <c r="K173" t="n">
        <v>0</v>
      </c>
      <c r="L173" t="n">
        <v>0</v>
      </c>
      <c r="M173" t="n">
        <v>0</v>
      </c>
      <c r="N173" t="n">
        <v>0</v>
      </c>
    </row>
    <row r="174">
      <c r="A174" t="inlineStr">
        <is>
          <t>cost of buildings</t>
        </is>
      </c>
      <c r="B174" t="inlineStr">
        <is>
          <t>hiring 1 carpenter to underpin, fit with ground-sills and studs and mend the defects of 1 bay of the small barn for 5 days 2 shilling ld , taking 5pence a day.</t>
        </is>
      </c>
      <c r="C174" t="n">
        <v>0.12</v>
      </c>
      <c r="D174" t="n">
        <v>0</v>
      </c>
      <c r="E174" t="n">
        <v>2</v>
      </c>
      <c r="F174" t="n">
        <v>5</v>
      </c>
      <c r="H174" t="n">
        <v>0</v>
      </c>
      <c r="I174" t="n">
        <v>0</v>
      </c>
      <c r="J174" t="n">
        <v>0</v>
      </c>
      <c r="K174" t="n">
        <v>0</v>
      </c>
      <c r="L174" t="n">
        <v>0</v>
      </c>
      <c r="M174" t="n">
        <v>0</v>
      </c>
      <c r="N174" t="n">
        <v>0</v>
      </c>
    </row>
    <row r="175">
      <c r="A175" t="inlineStr">
        <is>
          <t>cost of buildings</t>
        </is>
      </c>
      <c r="B175" t="inlineStr">
        <is>
          <t>hiring 1 mason to mend and pin the defects of the great barn and small barn for 6 days 2 shilling 6pence, taking 5pence a day.</t>
        </is>
      </c>
      <c r="C175" t="n">
        <v>0.12</v>
      </c>
      <c r="D175" t="n">
        <v>0</v>
      </c>
      <c r="E175" t="n">
        <v>2</v>
      </c>
      <c r="F175" t="n">
        <v>6</v>
      </c>
      <c r="H175" t="n">
        <v>0</v>
      </c>
      <c r="I175" t="n">
        <v>0</v>
      </c>
      <c r="J175" t="n">
        <v>0</v>
      </c>
      <c r="K175" t="n">
        <v>0</v>
      </c>
      <c r="L175" t="n">
        <v>0</v>
      </c>
      <c r="M175" t="n">
        <v>0</v>
      </c>
      <c r="N175" t="n">
        <v>0</v>
      </c>
    </row>
    <row r="176">
      <c r="A176" t="inlineStr">
        <is>
          <t>cost of buildings</t>
        </is>
      </c>
      <c r="B176" t="inlineStr">
        <is>
          <t>hiring 1 man to cover with laths and daub 1 bay of the small barn and mend the defects of the small barn and great barn for 6 days 2 shilling 6pence, taking 5pence a day.</t>
        </is>
      </c>
      <c r="C176" t="n">
        <v>0.12</v>
      </c>
      <c r="D176" t="n">
        <v>0</v>
      </c>
      <c r="E176" t="n">
        <v>2</v>
      </c>
      <c r="F176" t="n">
        <v>6</v>
      </c>
      <c r="H176" t="n">
        <v>0</v>
      </c>
      <c r="I176" t="n">
        <v>0</v>
      </c>
      <c r="J176" t="n">
        <v>0</v>
      </c>
      <c r="K176" t="n">
        <v>0</v>
      </c>
      <c r="L176" t="n">
        <v>0</v>
      </c>
      <c r="M176" t="n">
        <v>0</v>
      </c>
      <c r="N176" t="n">
        <v>0</v>
      </c>
    </row>
    <row r="177">
      <c r="A177" t="inlineStr">
        <is>
          <t>cost of buildings</t>
        </is>
      </c>
      <c r="B177" t="inlineStr">
        <is>
          <t>hiring 1 carpenter to make and mend the defects of the south porch of the great barn for 3 days 1 shilling 3pence, taking 5pence a day.</t>
        </is>
      </c>
      <c r="C177" t="n">
        <v>0.06</v>
      </c>
      <c r="D177" t="n">
        <v>0</v>
      </c>
      <c r="E177" t="n">
        <v>1</v>
      </c>
      <c r="F177" t="n">
        <v>3</v>
      </c>
      <c r="H177" t="n">
        <v>0</v>
      </c>
      <c r="I177" t="n">
        <v>0</v>
      </c>
      <c r="J177" t="n">
        <v>0</v>
      </c>
      <c r="K177" t="n">
        <v>0</v>
      </c>
      <c r="L177" t="n">
        <v>0</v>
      </c>
      <c r="M177" t="n">
        <v>0</v>
      </c>
      <c r="N177" t="n">
        <v>0</v>
      </c>
    </row>
    <row r="178">
      <c r="A178" t="inlineStr">
        <is>
          <t>cost of buildings</t>
        </is>
      </c>
      <c r="B178" t="inlineStr">
        <is>
          <t>hiring 1 tiler to tile and mend the defects of the great barn, small barn and granary for 8 days 3 shilling 4pence, taking 5pence a day.</t>
        </is>
      </c>
      <c r="C178" t="n">
        <v>0.17</v>
      </c>
      <c r="D178" t="n">
        <v>0</v>
      </c>
      <c r="E178" t="n">
        <v>3</v>
      </c>
      <c r="F178" t="n">
        <v>4</v>
      </c>
      <c r="H178" t="n">
        <v>0</v>
      </c>
      <c r="I178" t="n">
        <v>0</v>
      </c>
      <c r="J178" t="n">
        <v>0</v>
      </c>
      <c r="K178" t="n">
        <v>0</v>
      </c>
      <c r="L178" t="n">
        <v>0</v>
      </c>
      <c r="M178" t="n">
        <v>0</v>
      </c>
      <c r="N178" t="n">
        <v>0</v>
      </c>
    </row>
    <row r="179">
      <c r="A179" t="inlineStr">
        <is>
          <t>cost of buildings</t>
        </is>
      </c>
      <c r="B179" t="inlineStr">
        <is>
          <t>1,500 lath-nails bought 1 shilling 9pence, at 1 shilling 2pence a 1,000..</t>
        </is>
      </c>
      <c r="C179" t="n">
        <v>0.09</v>
      </c>
      <c r="D179" t="n">
        <v>0</v>
      </c>
      <c r="E179" t="n">
        <v>1</v>
      </c>
      <c r="F179" t="n">
        <v>9</v>
      </c>
      <c r="H179" t="n">
        <v>0</v>
      </c>
      <c r="I179" t="n">
        <v>0</v>
      </c>
      <c r="J179" t="n">
        <v>0</v>
      </c>
      <c r="K179" t="n">
        <v>0</v>
      </c>
      <c r="L179" t="n">
        <v>0</v>
      </c>
      <c r="M179" t="n">
        <v>0</v>
      </c>
      <c r="N179" t="n">
        <v>0</v>
      </c>
    </row>
    <row r="180">
      <c r="A180" t="inlineStr">
        <is>
          <t>cost of buildings</t>
        </is>
      </c>
      <c r="B180" t="inlineStr">
        <is>
          <t>2,000 tiles bought for the same 11 shilling, at 5 shilling 6pence a 1,000..</t>
        </is>
      </c>
      <c r="C180" t="n">
        <v>0.58</v>
      </c>
      <c r="D180" t="n">
        <v>0</v>
      </c>
      <c r="E180" t="n">
        <v>11</v>
      </c>
      <c r="F180" t="n">
        <v>6</v>
      </c>
      <c r="H180" t="n">
        <v>0</v>
      </c>
      <c r="I180" t="n">
        <v>0</v>
      </c>
      <c r="J180" t="n">
        <v>0</v>
      </c>
      <c r="K180" t="n">
        <v>0</v>
      </c>
      <c r="L180" t="n">
        <v>0</v>
      </c>
      <c r="M180" t="n">
        <v>0</v>
      </c>
      <c r="N180" t="n">
        <v>0</v>
      </c>
    </row>
    <row r="181">
      <c r="A181" t="inlineStr">
        <is>
          <t>cost of buildings</t>
        </is>
      </c>
      <c r="B181" t="inlineStr">
        <is>
          <t>2 quarters of limestone bought 2 shilling 8pence, at 1 shilling 4pence a quarters.</t>
        </is>
      </c>
      <c r="C181" t="n">
        <v>0.13</v>
      </c>
      <c r="D181" t="n">
        <v>0</v>
      </c>
      <c r="E181" t="n">
        <v>2</v>
      </c>
      <c r="F181" t="n">
        <v>8</v>
      </c>
      <c r="H181" t="n">
        <v>2</v>
      </c>
      <c r="I181" t="n">
        <v>0</v>
      </c>
      <c r="J181" t="n">
        <v>2</v>
      </c>
      <c r="K181" t="n">
        <v>2</v>
      </c>
      <c r="L181" t="n">
        <v>0</v>
      </c>
      <c r="M181" t="n">
        <v>2</v>
      </c>
      <c r="N181" t="n">
        <v>0</v>
      </c>
      <c r="AG181" t="n">
        <v>1</v>
      </c>
      <c r="AH181" t="n">
        <v>4</v>
      </c>
    </row>
    <row r="182">
      <c r="A182" t="inlineStr">
        <is>
          <t>cost of buildings</t>
        </is>
      </c>
      <c r="B182" t="inlineStr">
        <is>
          <t>carrying the said tiles and 2 quarters of lime from chesham to ivinghoe on 3 occasions 1 shilling 6pence.</t>
        </is>
      </c>
      <c r="C182" t="n">
        <v>0.08</v>
      </c>
      <c r="D182" t="n">
        <v>0</v>
      </c>
      <c r="E182" t="n">
        <v>1</v>
      </c>
      <c r="F182" t="n">
        <v>6</v>
      </c>
      <c r="H182" t="n">
        <v>2</v>
      </c>
      <c r="I182" t="n">
        <v>0</v>
      </c>
      <c r="J182" t="n">
        <v>2</v>
      </c>
      <c r="K182" t="n">
        <v>2</v>
      </c>
      <c r="L182" t="n">
        <v>0</v>
      </c>
      <c r="M182" t="n">
        <v>2</v>
      </c>
      <c r="N182" t="n">
        <v>0</v>
      </c>
    </row>
    <row r="183">
      <c r="A183" t="inlineStr">
        <is>
          <t>cost of buildings</t>
        </is>
      </c>
      <c r="B183" t="inlineStr">
        <is>
          <t>20 cart-loads of straw bought to support the oxen, cows, steers, bullocks and yearlings in winter 13 shilling 4pence.</t>
        </is>
      </c>
      <c r="C183" t="n">
        <v>0.67</v>
      </c>
      <c r="D183" t="n">
        <v>0</v>
      </c>
      <c r="E183" t="n">
        <v>13</v>
      </c>
      <c r="F183" t="n">
        <v>4</v>
      </c>
      <c r="H183" t="n">
        <v>0</v>
      </c>
      <c r="I183" t="n">
        <v>0</v>
      </c>
      <c r="J183" t="n">
        <v>0</v>
      </c>
      <c r="K183" t="n">
        <v>0</v>
      </c>
      <c r="L183" t="n">
        <v>0</v>
      </c>
      <c r="M183" t="n">
        <v>0</v>
      </c>
      <c r="N183" t="n">
        <v>0</v>
      </c>
    </row>
    <row r="184">
      <c r="A184" t="inlineStr">
        <is>
          <t>cost of buildings</t>
        </is>
      </c>
      <c r="B184" t="inlineStr">
        <is>
          <t>2 cart-loads of hay 10 shilling.</t>
        </is>
      </c>
      <c r="C184" t="n">
        <v>0.5</v>
      </c>
      <c r="D184" t="n">
        <v>0</v>
      </c>
      <c r="E184" t="n">
        <v>10</v>
      </c>
      <c r="F184" t="n">
        <v>0</v>
      </c>
      <c r="H184" t="n">
        <v>0</v>
      </c>
      <c r="I184" t="n">
        <v>0</v>
      </c>
      <c r="J184" t="n">
        <v>0</v>
      </c>
      <c r="K184" t="n">
        <v>0</v>
      </c>
      <c r="L184" t="n">
        <v>0</v>
      </c>
      <c r="M184" t="n">
        <v>0</v>
      </c>
      <c r="N184" t="n">
        <v>0</v>
      </c>
    </row>
    <row r="185">
      <c r="A185" t="inlineStr">
        <is>
          <t>cost of buildings</t>
        </is>
      </c>
      <c r="B185" t="inlineStr">
        <is>
          <t>hiring 2 carpenters to fit with ground-sills, underpin, fit with studs and drive in piles (fug') for the small chamber annexed to the new chamber for 2 days 1 shilling 8pence, taking between them 10pence a day.</t>
        </is>
      </c>
      <c r="C185" t="n">
        <v>0.08</v>
      </c>
      <c r="D185" t="n">
        <v>0</v>
      </c>
      <c r="E185" t="n">
        <v>1</v>
      </c>
      <c r="F185" t="n">
        <v>8</v>
      </c>
      <c r="H185" t="n">
        <v>0</v>
      </c>
      <c r="I185" t="n">
        <v>0</v>
      </c>
      <c r="J185" t="n">
        <v>0</v>
      </c>
      <c r="K185" t="n">
        <v>0</v>
      </c>
      <c r="L185" t="n">
        <v>0</v>
      </c>
      <c r="M185" t="n">
        <v>0</v>
      </c>
      <c r="N185" t="n">
        <v>0</v>
      </c>
    </row>
    <row r="186">
      <c r="A186" t="inlineStr">
        <is>
          <t>cost of buildings</t>
        </is>
      </c>
      <c r="B186" t="inlineStr">
        <is>
          <t>hiring 1 man to pin, cover with laths and daub the said walls for 3 days 1 shilling 3pence, taking 5pence a day.</t>
        </is>
      </c>
      <c r="C186" t="n">
        <v>0.06</v>
      </c>
      <c r="D186" t="n">
        <v>0</v>
      </c>
      <c r="E186" t="n">
        <v>1</v>
      </c>
      <c r="F186" t="n">
        <v>3</v>
      </c>
      <c r="H186" t="n">
        <v>0</v>
      </c>
      <c r="I186" t="n">
        <v>0</v>
      </c>
      <c r="J186" t="n">
        <v>0</v>
      </c>
      <c r="K186" t="n">
        <v>0</v>
      </c>
      <c r="L186" t="n">
        <v>0</v>
      </c>
      <c r="M186" t="n">
        <v>0</v>
      </c>
      <c r="N186" t="n">
        <v>0</v>
      </c>
    </row>
    <row r="187">
      <c r="A187" t="inlineStr">
        <is>
          <t>cost of buildings</t>
        </is>
      </c>
      <c r="B187" t="inlineStr">
        <is>
          <t>hiring 1 tiler to tile and mend the defects of the small chamber annexed to the new chamber for 1 day 5pence.</t>
        </is>
      </c>
      <c r="C187" t="n">
        <v>0.02</v>
      </c>
      <c r="D187" t="n">
        <v>0</v>
      </c>
      <c r="E187" t="n">
        <v>0</v>
      </c>
      <c r="F187" t="n">
        <v>5</v>
      </c>
      <c r="H187" t="n">
        <v>0</v>
      </c>
      <c r="I187" t="n">
        <v>0</v>
      </c>
      <c r="J187" t="n">
        <v>0</v>
      </c>
      <c r="K187" t="n">
        <v>0</v>
      </c>
      <c r="L187" t="n">
        <v>0</v>
      </c>
      <c r="M187" t="n">
        <v>0</v>
      </c>
      <c r="N187" t="n">
        <v>0</v>
      </c>
    </row>
    <row r="188">
      <c r="A188" t="inlineStr">
        <is>
          <t>cost of buildings</t>
        </is>
      </c>
      <c r="B188" t="inlineStr">
        <is>
          <t>carrying 1 sack 37 cloves of coarse wool to wargrave 1 shilling 8pence.</t>
        </is>
      </c>
      <c r="C188" t="n">
        <v>0.08</v>
      </c>
      <c r="D188" t="n">
        <v>0</v>
      </c>
      <c r="E188" t="n">
        <v>1</v>
      </c>
      <c r="F188" t="n">
        <v>8</v>
      </c>
      <c r="H188" t="n">
        <v>0</v>
      </c>
      <c r="I188" t="n">
        <v>0</v>
      </c>
      <c r="J188" t="n">
        <v>0</v>
      </c>
      <c r="K188" t="n">
        <v>0</v>
      </c>
      <c r="L188" t="n">
        <v>0</v>
      </c>
      <c r="M188" t="n">
        <v>0</v>
      </c>
      <c r="N188" t="n">
        <v>0</v>
      </c>
    </row>
    <row r="189">
      <c r="A189" t="inlineStr">
        <is>
          <t>cost of buildings</t>
        </is>
      </c>
      <c r="B189" t="inlineStr">
        <is>
          <t>total, £5 9 shilling 7pence.</t>
        </is>
      </c>
      <c r="C189" t="n">
        <v>5.48</v>
      </c>
      <c r="D189" t="n">
        <v>5</v>
      </c>
      <c r="E189" t="n">
        <v>9</v>
      </c>
      <c r="F189" t="n">
        <v>7</v>
      </c>
      <c r="H189" t="n">
        <v>0</v>
      </c>
      <c r="I189" t="n">
        <v>0</v>
      </c>
      <c r="J189" t="n">
        <v>0</v>
      </c>
      <c r="K189" t="n">
        <v>0</v>
      </c>
      <c r="L189" t="n">
        <v>0</v>
      </c>
      <c r="M189" t="n">
        <v>0</v>
      </c>
      <c r="N189" t="n">
        <v>0</v>
      </c>
    </row>
    <row r="190">
      <c r="A190" t="inlineStr">
        <is>
          <t>new building of a hall and chamber</t>
        </is>
      </c>
      <c r="B190" t="inlineStr">
        <is>
          <t>in hiring 1 mason to build a wall of 7 perches for the hall and chamber, with doors and windows, of 18 feet in length and 10 feet high, £2 6 shilling 8pence,' taking 6 shilling 8pence a perch.</t>
        </is>
      </c>
      <c r="C190" t="n">
        <v>2.33</v>
      </c>
      <c r="D190" t="n">
        <v>2</v>
      </c>
      <c r="E190" t="n">
        <v>6</v>
      </c>
      <c r="F190" t="n">
        <v>8</v>
      </c>
      <c r="H190" t="n">
        <v>0</v>
      </c>
      <c r="I190" t="n">
        <v>0</v>
      </c>
      <c r="J190" t="n">
        <v>0</v>
      </c>
      <c r="K190" t="n">
        <v>0</v>
      </c>
      <c r="L190" t="n">
        <v>0</v>
      </c>
      <c r="M190" t="n">
        <v>0</v>
      </c>
      <c r="N190" t="n">
        <v>0</v>
      </c>
    </row>
    <row r="191">
      <c r="A191" t="inlineStr">
        <is>
          <t>new building of a hall and chamber</t>
        </is>
      </c>
      <c r="B191" t="inlineStr">
        <is>
          <t>40 feet of egremond stone bought 5 shilling, at 1.5pence a foot.</t>
        </is>
      </c>
      <c r="C191" t="n">
        <v>0.26</v>
      </c>
      <c r="D191" t="n">
        <v>0</v>
      </c>
      <c r="E191" t="n">
        <v>5</v>
      </c>
      <c r="F191" t="n">
        <v>1.5</v>
      </c>
      <c r="H191" t="n">
        <v>0</v>
      </c>
      <c r="I191" t="n">
        <v>0</v>
      </c>
      <c r="J191" t="n">
        <v>0</v>
      </c>
      <c r="K191" t="n">
        <v>0</v>
      </c>
      <c r="L191" t="n">
        <v>0</v>
      </c>
      <c r="M191" t="n">
        <v>0</v>
      </c>
      <c r="N191" t="n">
        <v>0</v>
      </c>
    </row>
    <row r="192">
      <c r="A192" t="inlineStr">
        <is>
          <t>new building of a hall and chamber</t>
        </is>
      </c>
      <c r="B192" t="inlineStr">
        <is>
          <t>hiring 4 men to take down the tiles and old timber of the hall and chamber and to clear away the old walls of the aforesaid hall and chamber for 10 days 13 shilling 4pence, taking between them 1 shilling 4pence a day.</t>
        </is>
      </c>
      <c r="C192" t="n">
        <v>0.67</v>
      </c>
      <c r="D192" t="n">
        <v>0</v>
      </c>
      <c r="E192" t="n">
        <v>13</v>
      </c>
      <c r="F192" t="n">
        <v>4</v>
      </c>
      <c r="H192" t="n">
        <v>0</v>
      </c>
      <c r="I192" t="n">
        <v>0</v>
      </c>
      <c r="J192" t="n">
        <v>0</v>
      </c>
      <c r="K192" t="n">
        <v>0</v>
      </c>
      <c r="L192" t="n">
        <v>0</v>
      </c>
      <c r="M192" t="n">
        <v>0</v>
      </c>
      <c r="N192" t="n">
        <v>0</v>
      </c>
    </row>
    <row r="193">
      <c r="A193" t="inlineStr">
        <is>
          <t>new building of a hall and chamber</t>
        </is>
      </c>
      <c r="B193" t="inlineStr">
        <is>
          <t>hiring 2 men to dig stone, lime and earth for 10 days to build and fill the said walls 8 shilling 4pence, taking between them 10pence a day.</t>
        </is>
      </c>
      <c r="C193" t="n">
        <v>0.42</v>
      </c>
      <c r="D193" t="n">
        <v>0</v>
      </c>
      <c r="E193" t="n">
        <v>8</v>
      </c>
      <c r="F193" t="n">
        <v>4</v>
      </c>
      <c r="H193" t="n">
        <v>0</v>
      </c>
      <c r="I193" t="n">
        <v>0</v>
      </c>
      <c r="J193" t="n">
        <v>0</v>
      </c>
      <c r="K193" t="n">
        <v>0</v>
      </c>
      <c r="L193" t="n">
        <v>0</v>
      </c>
      <c r="M193" t="n">
        <v>0</v>
      </c>
      <c r="N193" t="n">
        <v>0</v>
      </c>
    </row>
    <row r="194">
      <c r="A194" t="inlineStr">
        <is>
          <t>new building of a hall and chamber</t>
        </is>
      </c>
      <c r="B194" t="inlineStr">
        <is>
          <t>5 quarters of quicklime bought for the same 10 shilling, at 4pence, taking expenses for carrying 6 cart-loads of sand from southcote to ivinghoe 1 shilling.</t>
        </is>
      </c>
      <c r="C194" t="n">
        <v>0.52</v>
      </c>
      <c r="D194" t="n">
        <v>0</v>
      </c>
      <c r="E194" t="n">
        <v>10</v>
      </c>
      <c r="F194" t="n">
        <v>4</v>
      </c>
      <c r="H194" t="n">
        <v>5</v>
      </c>
      <c r="I194" t="n">
        <v>0</v>
      </c>
      <c r="J194" t="n">
        <v>5</v>
      </c>
      <c r="K194" t="n">
        <v>5</v>
      </c>
      <c r="L194" t="n">
        <v>0</v>
      </c>
      <c r="M194" t="n">
        <v>5</v>
      </c>
      <c r="N194" t="n">
        <v>0</v>
      </c>
    </row>
    <row r="195">
      <c r="A195" t="inlineStr">
        <is>
          <t>new building of a hall and chamber</t>
        </is>
      </c>
      <c r="B195" t="inlineStr">
        <is>
          <t>hiring 1 mason to pin the wall-plates (le walplates) of the hall and chamber and the sillsof the chamber for 6 days 2 shilling 6pence, taking 5pence a day.</t>
        </is>
      </c>
      <c r="C195" t="n">
        <v>0.12</v>
      </c>
      <c r="D195" t="n">
        <v>0</v>
      </c>
      <c r="E195" t="n">
        <v>2</v>
      </c>
      <c r="F195" t="n">
        <v>6</v>
      </c>
      <c r="H195" t="n">
        <v>0</v>
      </c>
      <c r="I195" t="n">
        <v>0</v>
      </c>
      <c r="J195" t="n">
        <v>0</v>
      </c>
      <c r="K195" t="n">
        <v>0</v>
      </c>
      <c r="L195" t="n">
        <v>0</v>
      </c>
      <c r="M195" t="n">
        <v>0</v>
      </c>
      <c r="N195" t="n">
        <v>0</v>
      </c>
    </row>
    <row r="196">
      <c r="A196" t="inlineStr">
        <is>
          <t>new building of a hall and chamber</t>
        </is>
      </c>
      <c r="B196" t="inlineStr">
        <is>
          <t>hiring his mate for ground- the same 2 shilling taking 4pence a day.</t>
        </is>
      </c>
      <c r="C196" t="n">
        <v>0.12</v>
      </c>
      <c r="D196" t="n">
        <v>0</v>
      </c>
      <c r="E196" t="n">
        <v>2</v>
      </c>
      <c r="F196" t="n">
        <v>4</v>
      </c>
      <c r="H196" t="n">
        <v>0</v>
      </c>
      <c r="I196" t="n">
        <v>0</v>
      </c>
      <c r="J196" t="n">
        <v>0</v>
      </c>
      <c r="K196" t="n">
        <v>0</v>
      </c>
      <c r="L196" t="n">
        <v>0</v>
      </c>
      <c r="M196" t="n">
        <v>0</v>
      </c>
      <c r="N196" t="n">
        <v>0</v>
      </c>
    </row>
    <row r="197">
      <c r="A197" t="inlineStr">
        <is>
          <t>new building of a hall and chamber</t>
        </is>
      </c>
      <c r="B197" t="inlineStr">
        <is>
          <t>hiring 3 men to fell, cut and lop 51 oaks at waltham st lawrence in the wood called bowegrove for the new building of the hall and 6 days 7 shilling 6pence, taking between them 1 shilling 3pence a day.</t>
        </is>
      </c>
      <c r="C197" t="n">
        <v>0.38</v>
      </c>
      <c r="D197" t="n">
        <v>0</v>
      </c>
      <c r="E197" t="n">
        <v>7</v>
      </c>
      <c r="F197" t="n">
        <v>6</v>
      </c>
      <c r="H197" t="n">
        <v>0</v>
      </c>
      <c r="I197" t="n">
        <v>0</v>
      </c>
      <c r="J197" t="n">
        <v>0</v>
      </c>
      <c r="K197" t="n">
        <v>0</v>
      </c>
      <c r="L197" t="n">
        <v>0</v>
      </c>
      <c r="M197" t="n">
        <v>0</v>
      </c>
      <c r="N197" t="n">
        <v>0</v>
      </c>
    </row>
    <row r="198">
      <c r="A198" t="inlineStr">
        <is>
          <t>new building of a hall and chamber</t>
        </is>
      </c>
      <c r="B198" t="inlineStr">
        <is>
          <t>hiring 3 carpenters to build the aforesaid hall and chamber from the aforesaid timber for 63.5 days £4 15 shilling 11pence, each of them taking 6pence a day, by agreement made with the bailiff.</t>
        </is>
      </c>
      <c r="C198" t="n">
        <v>4.8</v>
      </c>
      <c r="D198" t="n">
        <v>4</v>
      </c>
      <c r="E198" t="n">
        <v>15</v>
      </c>
      <c r="F198" t="n">
        <v>11</v>
      </c>
      <c r="H198" t="n">
        <v>0</v>
      </c>
      <c r="I198" t="n">
        <v>0</v>
      </c>
      <c r="J198" t="n">
        <v>0</v>
      </c>
      <c r="K198" t="n">
        <v>0</v>
      </c>
      <c r="L198" t="n">
        <v>0</v>
      </c>
      <c r="M198" t="n">
        <v>0</v>
      </c>
      <c r="N198" t="n">
        <v>0</v>
      </c>
    </row>
    <row r="199">
      <c r="A199" t="inlineStr">
        <is>
          <t>new building of a hall and chamber</t>
        </is>
      </c>
      <c r="B199" t="inlineStr">
        <is>
          <t>hiring 1 other carpenter for the same for 19 days 7 shilling 11pence, taking 5pence a day.</t>
        </is>
      </c>
      <c r="C199" t="n">
        <v>0.4</v>
      </c>
      <c r="D199" t="n">
        <v>0</v>
      </c>
      <c r="E199" t="n">
        <v>7</v>
      </c>
      <c r="F199" t="n">
        <v>11</v>
      </c>
      <c r="H199" t="n">
        <v>0</v>
      </c>
      <c r="I199" t="n">
        <v>0</v>
      </c>
      <c r="J199" t="n">
        <v>0</v>
      </c>
      <c r="K199" t="n">
        <v>0</v>
      </c>
      <c r="L199" t="n">
        <v>0</v>
      </c>
      <c r="M199" t="n">
        <v>0</v>
      </c>
      <c r="N199" t="n">
        <v>0</v>
      </c>
    </row>
    <row r="200">
      <c r="A200" t="inlineStr">
        <is>
          <t>new building of a hall and chamber</t>
        </is>
      </c>
      <c r="B200" t="inlineStr">
        <is>
          <t>hiring 2 sawyers to saw and cut the said timber at waltham st lawrence for 20.5 days £1 6pence, taking between them 1 shilling a day.</t>
        </is>
      </c>
      <c r="C200" t="n">
        <v>1.02</v>
      </c>
      <c r="D200" t="n">
        <v>1</v>
      </c>
      <c r="E200" t="n">
        <v>0</v>
      </c>
      <c r="F200" t="n">
        <v>6</v>
      </c>
      <c r="H200" t="n">
        <v>0</v>
      </c>
      <c r="I200" t="n">
        <v>0</v>
      </c>
      <c r="J200" t="n">
        <v>0</v>
      </c>
      <c r="K200" t="n">
        <v>0</v>
      </c>
      <c r="L200" t="n">
        <v>0</v>
      </c>
      <c r="M200" t="n">
        <v>0</v>
      </c>
      <c r="N200" t="n">
        <v>0</v>
      </c>
    </row>
    <row r="201">
      <c r="A201" t="inlineStr">
        <is>
          <t>new building of a hall and chamber</t>
        </is>
      </c>
      <c r="B201" t="inlineStr">
        <is>
          <t>hiring 1 carter to carry and escort the said timber to frame wood for 3 days 3 shilling 9pence, taking 1 shilling 3pence a day.</t>
        </is>
      </c>
      <c r="C201" t="n">
        <v>0.19</v>
      </c>
      <c r="D201" t="n">
        <v>0</v>
      </c>
      <c r="E201" t="n">
        <v>3</v>
      </c>
      <c r="F201" t="n">
        <v>9</v>
      </c>
      <c r="H201" t="n">
        <v>0</v>
      </c>
      <c r="I201" t="n">
        <v>0</v>
      </c>
      <c r="J201" t="n">
        <v>0</v>
      </c>
      <c r="K201" t="n">
        <v>0</v>
      </c>
      <c r="L201" t="n">
        <v>0</v>
      </c>
      <c r="M201" t="n">
        <v>0</v>
      </c>
      <c r="N201" t="n">
        <v>0</v>
      </c>
    </row>
    <row r="202">
      <c r="A202" t="inlineStr">
        <is>
          <t>new building of a hall and chamber</t>
        </is>
      </c>
      <c r="B202" t="inlineStr">
        <is>
          <t>hiring 2 labourers to help the carter to load the said timber as far as frame wood for three days 2 shilling, taking between them 8pence a day.</t>
        </is>
      </c>
      <c r="C202" t="n">
        <v>0.13</v>
      </c>
      <c r="D202" t="n">
        <v>0</v>
      </c>
      <c r="E202" t="n">
        <v>2</v>
      </c>
      <c r="F202" t="n">
        <v>8</v>
      </c>
      <c r="H202" t="n">
        <v>0</v>
      </c>
      <c r="I202" t="n">
        <v>0</v>
      </c>
      <c r="J202" t="n">
        <v>0</v>
      </c>
      <c r="K202" t="n">
        <v>0</v>
      </c>
      <c r="L202" t="n">
        <v>0</v>
      </c>
      <c r="M202" t="n">
        <v>0</v>
      </c>
      <c r="N202" t="n">
        <v>0</v>
      </c>
    </row>
    <row r="203">
      <c r="A203" t="inlineStr">
        <is>
          <t>new building of a hall and chamber</t>
        </is>
      </c>
      <c r="B203" t="inlineStr">
        <is>
          <t>hiring 2 carters to carry the timber from frame wood to west wycombe 3 shilling.</t>
        </is>
      </c>
      <c r="C203" t="n">
        <v>0.15</v>
      </c>
      <c r="D203" t="n">
        <v>0</v>
      </c>
      <c r="E203" t="n">
        <v>3</v>
      </c>
      <c r="F203" t="n">
        <v>0</v>
      </c>
      <c r="H203" t="n">
        <v>0</v>
      </c>
      <c r="I203" t="n">
        <v>0</v>
      </c>
      <c r="J203" t="n">
        <v>0</v>
      </c>
      <c r="K203" t="n">
        <v>0</v>
      </c>
      <c r="L203" t="n">
        <v>0</v>
      </c>
      <c r="M203" t="n">
        <v>0</v>
      </c>
      <c r="N203" t="n">
        <v>0</v>
      </c>
    </row>
    <row r="204">
      <c r="A204" t="inlineStr">
        <is>
          <t>new building of a hall and chamber</t>
        </is>
      </c>
      <c r="B204" t="inlineStr">
        <is>
          <t>hiring 2 carters to carry the said timber from west wycombe to ivinghoe 3 shilling.</t>
        </is>
      </c>
      <c r="C204" t="n">
        <v>0.15</v>
      </c>
      <c r="D204" t="n">
        <v>0</v>
      </c>
      <c r="E204" t="n">
        <v>3</v>
      </c>
      <c r="F204" t="n">
        <v>0</v>
      </c>
      <c r="H204" t="n">
        <v>0</v>
      </c>
      <c r="I204" t="n">
        <v>0</v>
      </c>
      <c r="J204" t="n">
        <v>0</v>
      </c>
      <c r="K204" t="n">
        <v>0</v>
      </c>
      <c r="L204" t="n">
        <v>0</v>
      </c>
      <c r="M204" t="n">
        <v>0</v>
      </c>
      <c r="N204" t="n">
        <v>0</v>
      </c>
    </row>
    <row r="205">
      <c r="A205" t="inlineStr">
        <is>
          <t>new building of a hall and chamber</t>
        </is>
      </c>
      <c r="B205" t="inlineStr">
        <is>
          <t>cost of the gifts for carrying 25 cart-loads of the said timber from frame wood to west wycombe 19 shilling 5pence.</t>
        </is>
      </c>
      <c r="C205" t="n">
        <v>0.97</v>
      </c>
      <c r="D205" t="n">
        <v>0</v>
      </c>
      <c r="E205" t="n">
        <v>19</v>
      </c>
      <c r="F205" t="n">
        <v>5</v>
      </c>
      <c r="H205" t="n">
        <v>0</v>
      </c>
      <c r="I205" t="n">
        <v>0</v>
      </c>
      <c r="J205" t="n">
        <v>0</v>
      </c>
      <c r="K205" t="n">
        <v>0</v>
      </c>
      <c r="L205" t="n">
        <v>0</v>
      </c>
      <c r="M205" t="n">
        <v>0</v>
      </c>
      <c r="N205" t="n">
        <v>0</v>
      </c>
    </row>
    <row r="206">
      <c r="A206" t="inlineStr">
        <is>
          <t>new building of a hall and chamber</t>
        </is>
      </c>
      <c r="B206" t="inlineStr">
        <is>
          <t>cost of the gifts for carrying 25 cart-loads of the timber from west wycombe to ivinghoe 17 shilling 9pence.</t>
        </is>
      </c>
      <c r="C206" t="n">
        <v>0.89</v>
      </c>
      <c r="D206" t="n">
        <v>0</v>
      </c>
      <c r="E206" t="n">
        <v>17</v>
      </c>
      <c r="F206" t="n">
        <v>9</v>
      </c>
      <c r="H206" t="n">
        <v>0</v>
      </c>
      <c r="I206" t="n">
        <v>0</v>
      </c>
      <c r="J206" t="n">
        <v>0</v>
      </c>
      <c r="K206" t="n">
        <v>0</v>
      </c>
      <c r="L206" t="n">
        <v>0</v>
      </c>
      <c r="M206" t="n">
        <v>0</v>
      </c>
      <c r="N206" t="n">
        <v>0</v>
      </c>
    </row>
    <row r="207">
      <c r="A207" t="inlineStr">
        <is>
          <t>new building of a hall and chamber</t>
        </is>
      </c>
      <c r="B207" t="inlineStr">
        <is>
          <t>600 feet of planks bought for the doors, windows and flooring of the chamber 13 shilling 6pence, at 2 shilling 3pence a 100..</t>
        </is>
      </c>
      <c r="C207" t="n">
        <v>0.68</v>
      </c>
      <c r="D207" t="n">
        <v>0</v>
      </c>
      <c r="E207" t="n">
        <v>13</v>
      </c>
      <c r="F207" t="n">
        <v>6</v>
      </c>
      <c r="H207" t="n">
        <v>0</v>
      </c>
      <c r="I207" t="n">
        <v>0</v>
      </c>
      <c r="J207" t="n">
        <v>0</v>
      </c>
      <c r="K207" t="n">
        <v>0</v>
      </c>
      <c r="L207" t="n">
        <v>0</v>
      </c>
      <c r="M207" t="n">
        <v>0</v>
      </c>
      <c r="N207" t="n">
        <v>0</v>
      </c>
    </row>
    <row r="208">
      <c r="A208" t="inlineStr">
        <is>
          <t>new building of a hall and chamber</t>
        </is>
      </c>
      <c r="B208" t="inlineStr">
        <is>
          <t>payment for making 2,000 laths from the lord's timber at billingbear 3 shilling 4pence.</t>
        </is>
      </c>
      <c r="C208" t="n">
        <v>0.17</v>
      </c>
      <c r="D208" t="n">
        <v>0</v>
      </c>
      <c r="E208" t="n">
        <v>3</v>
      </c>
      <c r="F208" t="n">
        <v>4</v>
      </c>
      <c r="H208" t="n">
        <v>0</v>
      </c>
      <c r="I208" t="n">
        <v>0</v>
      </c>
      <c r="J208" t="n">
        <v>0</v>
      </c>
      <c r="K208" t="n">
        <v>0</v>
      </c>
      <c r="L208" t="n">
        <v>0</v>
      </c>
      <c r="M208" t="n">
        <v>0</v>
      </c>
      <c r="N208" t="n">
        <v>0</v>
      </c>
    </row>
    <row r="209">
      <c r="A209" t="inlineStr">
        <is>
          <t>new building of a hall and chamber</t>
        </is>
      </c>
      <c r="B209" t="inlineStr">
        <is>
          <t>1,000 spike-nails bought 5 shilling, at 6pence a 100..</t>
        </is>
      </c>
      <c r="C209" t="n">
        <v>0.28</v>
      </c>
      <c r="D209" t="n">
        <v>0</v>
      </c>
      <c r="E209" t="n">
        <v>5</v>
      </c>
      <c r="F209" t="n">
        <v>6</v>
      </c>
      <c r="H209" t="n">
        <v>0</v>
      </c>
      <c r="I209" t="n">
        <v>0</v>
      </c>
      <c r="J209" t="n">
        <v>0</v>
      </c>
      <c r="K209" t="n">
        <v>0</v>
      </c>
      <c r="L209" t="n">
        <v>0</v>
      </c>
      <c r="M209" t="n">
        <v>0</v>
      </c>
      <c r="N209" t="n">
        <v>0</v>
      </c>
    </row>
    <row r="210">
      <c r="A210" t="inlineStr">
        <is>
          <t>new building of a hall and chamber</t>
        </is>
      </c>
      <c r="B210" t="inlineStr">
        <is>
          <t>300 window-nails (wyndowenayll') bought 1 shilling 3pence, at 5pence a 100..</t>
        </is>
      </c>
      <c r="C210" t="n">
        <v>0.06</v>
      </c>
      <c r="D210" t="n">
        <v>0</v>
      </c>
      <c r="E210" t="n">
        <v>1</v>
      </c>
      <c r="F210" t="n">
        <v>3</v>
      </c>
      <c r="H210" t="n">
        <v>0</v>
      </c>
      <c r="I210" t="n">
        <v>0</v>
      </c>
      <c r="J210" t="n">
        <v>0</v>
      </c>
      <c r="K210" t="n">
        <v>0</v>
      </c>
      <c r="L210" t="n">
        <v>0</v>
      </c>
      <c r="M210" t="n">
        <v>0</v>
      </c>
      <c r="N210" t="n">
        <v>0</v>
      </c>
    </row>
    <row r="211">
      <c r="A211" t="inlineStr">
        <is>
          <t>new building of a hall and chamber</t>
        </is>
      </c>
      <c r="B211" t="inlineStr">
        <is>
          <t>10,000 lath-nails bought 11 shilling 8pence, at 1 shilling 2pence a 1,000..</t>
        </is>
      </c>
      <c r="C211" t="n">
        <v>0.58</v>
      </c>
      <c r="D211" t="n">
        <v>0</v>
      </c>
      <c r="E211" t="n">
        <v>11</v>
      </c>
      <c r="F211" t="n">
        <v>8</v>
      </c>
      <c r="H211" t="n">
        <v>0</v>
      </c>
      <c r="I211" t="n">
        <v>0</v>
      </c>
      <c r="J211" t="n">
        <v>0</v>
      </c>
      <c r="K211" t="n">
        <v>0</v>
      </c>
      <c r="L211" t="n">
        <v>0</v>
      </c>
      <c r="M211" t="n">
        <v>0</v>
      </c>
      <c r="N211" t="n">
        <v>0</v>
      </c>
    </row>
    <row r="212">
      <c r="A212" t="inlineStr">
        <is>
          <t>new building of a hall and chamber</t>
        </is>
      </c>
      <c r="B212" t="inlineStr">
        <is>
          <t>payment for hooks and hinges bought and for mending and remaking old ironwork for the windows and doors 4 shilling 2pence.</t>
        </is>
      </c>
      <c r="C212" t="n">
        <v>0.21</v>
      </c>
      <c r="D212" t="n">
        <v>0</v>
      </c>
      <c r="E212" t="n">
        <v>4</v>
      </c>
      <c r="F212" t="n">
        <v>2</v>
      </c>
      <c r="H212" t="n">
        <v>0</v>
      </c>
      <c r="I212" t="n">
        <v>0</v>
      </c>
      <c r="J212" t="n">
        <v>0</v>
      </c>
      <c r="K212" t="n">
        <v>0</v>
      </c>
      <c r="L212" t="n">
        <v>0</v>
      </c>
      <c r="M212" t="n">
        <v>0</v>
      </c>
      <c r="N212" t="n">
        <v>0</v>
      </c>
    </row>
    <row r="213">
      <c r="A213" t="inlineStr">
        <is>
          <t>new building of a hall and chamber</t>
        </is>
      </c>
      <c r="B213" t="inlineStr">
        <is>
          <t>21 cloves of lead bought for fixing hooks in the walls 1 shilling 3pence, at 5pence a clove.</t>
        </is>
      </c>
      <c r="C213" t="n">
        <v>0.06</v>
      </c>
      <c r="D213" t="n">
        <v>0</v>
      </c>
      <c r="E213" t="n">
        <v>1</v>
      </c>
      <c r="F213" t="n">
        <v>3</v>
      </c>
      <c r="H213" t="n">
        <v>0</v>
      </c>
      <c r="I213" t="n">
        <v>0</v>
      </c>
      <c r="J213" t="n">
        <v>0</v>
      </c>
      <c r="K213" t="n">
        <v>0</v>
      </c>
      <c r="L213" t="n">
        <v>0</v>
      </c>
      <c r="M213" t="n">
        <v>0</v>
      </c>
      <c r="N213" t="n">
        <v>0</v>
      </c>
    </row>
    <row r="214">
      <c r="A214" t="inlineStr">
        <is>
          <t>new building of a hall and chamber</t>
        </is>
      </c>
      <c r="B214" t="inlineStr">
        <is>
          <t>6,000 tiles bought £1 13 shilling, at 5 shilling 6pence a 1,000..</t>
        </is>
      </c>
      <c r="C214" t="n">
        <v>1.65</v>
      </c>
      <c r="D214" t="n">
        <v>1</v>
      </c>
      <c r="E214" t="n">
        <v>13</v>
      </c>
      <c r="F214" t="n">
        <v>0</v>
      </c>
      <c r="H214" t="n">
        <v>0</v>
      </c>
      <c r="I214" t="n">
        <v>0</v>
      </c>
      <c r="J214" t="n">
        <v>0</v>
      </c>
      <c r="K214" t="n">
        <v>0</v>
      </c>
      <c r="L214" t="n">
        <v>0</v>
      </c>
      <c r="M214" t="n">
        <v>0</v>
      </c>
      <c r="N214" t="n">
        <v>0</v>
      </c>
    </row>
    <row r="215">
      <c r="A215" t="inlineStr">
        <is>
          <t>new building of a hall and chamber</t>
        </is>
      </c>
      <c r="B215" t="inlineStr">
        <is>
          <t>200 hollow tiles bought, that is, ridge-tiles and hip-tiles, 11 shilling.</t>
        </is>
      </c>
      <c r="C215" t="n">
        <v>0.55</v>
      </c>
      <c r="D215" t="n">
        <v>0</v>
      </c>
      <c r="E215" t="n">
        <v>11</v>
      </c>
      <c r="F215" t="n">
        <v>0</v>
      </c>
      <c r="H215" t="n">
        <v>0</v>
      </c>
      <c r="I215" t="n">
        <v>0</v>
      </c>
      <c r="J215" t="n">
        <v>0</v>
      </c>
      <c r="K215" t="n">
        <v>0</v>
      </c>
      <c r="L215" t="n">
        <v>0</v>
      </c>
      <c r="M215" t="n">
        <v>0</v>
      </c>
      <c r="N215" t="n">
        <v>0</v>
      </c>
    </row>
    <row r="216">
      <c r="A216" t="inlineStr">
        <is>
          <t>new building of a hall and chamber</t>
        </is>
      </c>
      <c r="B216" t="inlineStr">
        <is>
          <t>expenses for carrying the said tiles and quicklime from chesham to ivinghoe 4 shilling 6pence.</t>
        </is>
      </c>
      <c r="C216" t="n">
        <v>0.23</v>
      </c>
      <c r="D216" t="n">
        <v>0</v>
      </c>
      <c r="E216" t="n">
        <v>4</v>
      </c>
      <c r="F216" t="n">
        <v>6</v>
      </c>
      <c r="H216" t="n">
        <v>0</v>
      </c>
      <c r="I216" t="n">
        <v>0</v>
      </c>
      <c r="J216" t="n">
        <v>0</v>
      </c>
      <c r="K216" t="n">
        <v>0</v>
      </c>
      <c r="L216" t="n">
        <v>0</v>
      </c>
      <c r="M216" t="n">
        <v>0</v>
      </c>
      <c r="N216" t="n">
        <v>0</v>
      </c>
    </row>
    <row r="217">
      <c r="A217" t="inlineStr">
        <is>
          <t>new building of a hall and chamber</t>
        </is>
      </c>
      <c r="B217" t="inlineStr">
        <is>
          <t>hiring 2 tilers to tile the said hall and chamber for 12 days 10 shilling, taking between them 10pence a day.</t>
        </is>
      </c>
      <c r="C217" t="n">
        <v>0.54</v>
      </c>
      <c r="D217" t="n">
        <v>0</v>
      </c>
      <c r="E217" t="n">
        <v>10</v>
      </c>
      <c r="F217" t="n">
        <v>10</v>
      </c>
      <c r="H217" t="n">
        <v>0</v>
      </c>
      <c r="I217" t="n">
        <v>0</v>
      </c>
      <c r="J217" t="n">
        <v>0</v>
      </c>
      <c r="K217" t="n">
        <v>0</v>
      </c>
      <c r="L217" t="n">
        <v>0</v>
      </c>
      <c r="M217" t="n">
        <v>0</v>
      </c>
      <c r="N217" t="n">
        <v>0</v>
      </c>
    </row>
    <row r="218">
      <c r="A218" t="inlineStr">
        <is>
          <t>new building of a hall and chamber</t>
        </is>
      </c>
      <c r="B218" t="inlineStr">
        <is>
          <t>hiring 2 mates to assist them for the same 12 days 8 shilling, taking between them 8pence a day.</t>
        </is>
      </c>
      <c r="C218" t="n">
        <v>0.43</v>
      </c>
      <c r="D218" t="n">
        <v>0</v>
      </c>
      <c r="E218" t="n">
        <v>8</v>
      </c>
      <c r="F218" t="n">
        <v>8</v>
      </c>
      <c r="H218" t="n">
        <v>0</v>
      </c>
      <c r="I218" t="n">
        <v>0</v>
      </c>
      <c r="J218" t="n">
        <v>0</v>
      </c>
      <c r="K218" t="n">
        <v>0</v>
      </c>
      <c r="L218" t="n">
        <v>0</v>
      </c>
      <c r="M218" t="n">
        <v>0</v>
      </c>
      <c r="N218" t="n">
        <v>0</v>
      </c>
    </row>
    <row r="219">
      <c r="A219" t="inlineStr">
        <is>
          <t>new building of a hall and chamber</t>
        </is>
      </c>
      <c r="B219" t="inlineStr">
        <is>
          <t>3 bushels of tile-pins bought 2 shilling 6pence, at 10pence a bushels.</t>
        </is>
      </c>
      <c r="C219" t="n">
        <v>0.12</v>
      </c>
      <c r="D219" t="n">
        <v>0</v>
      </c>
      <c r="E219" t="n">
        <v>2</v>
      </c>
      <c r="F219" t="n">
        <v>6</v>
      </c>
      <c r="H219" t="n">
        <v>0</v>
      </c>
      <c r="I219" t="n">
        <v>3</v>
      </c>
      <c r="J219" t="n">
        <v>0.38</v>
      </c>
      <c r="K219" t="n">
        <v>0.38</v>
      </c>
      <c r="L219" t="n">
        <v>0</v>
      </c>
      <c r="M219" t="n">
        <v>0</v>
      </c>
      <c r="N219" t="n">
        <v>3</v>
      </c>
      <c r="AO219" t="n">
        <v>0</v>
      </c>
      <c r="AP219" t="n">
        <v>10</v>
      </c>
    </row>
    <row r="220">
      <c r="A220" t="inlineStr">
        <is>
          <t>new building of a hall and chamber</t>
        </is>
      </c>
      <c r="B220" t="inlineStr">
        <is>
          <t>hiring 1 man to cover with laths and daub the walls of the chamber at the end of the hall and the ashlar of the hall for 12 days 5 shilling, taking 5pence a day.</t>
        </is>
      </c>
      <c r="C220" t="n">
        <v>0.27</v>
      </c>
      <c r="D220" t="n">
        <v>0</v>
      </c>
      <c r="E220" t="n">
        <v>5</v>
      </c>
      <c r="F220" t="n">
        <v>5</v>
      </c>
      <c r="H220" t="n">
        <v>0</v>
      </c>
      <c r="I220" t="n">
        <v>0</v>
      </c>
      <c r="J220" t="n">
        <v>0</v>
      </c>
      <c r="K220" t="n">
        <v>0</v>
      </c>
      <c r="L220" t="n">
        <v>0</v>
      </c>
      <c r="M220" t="n">
        <v>0</v>
      </c>
      <c r="N220" t="n">
        <v>0</v>
      </c>
    </row>
    <row r="221">
      <c r="A221" t="inlineStr">
        <is>
          <t>new building of a hall and chamber</t>
        </is>
      </c>
      <c r="B221" t="inlineStr">
        <is>
          <t>hiring his mate for the same 4 shilling, taking 4pence a day.</t>
        </is>
      </c>
      <c r="C221" t="n">
        <v>0.22</v>
      </c>
      <c r="D221" t="n">
        <v>0</v>
      </c>
      <c r="E221" t="n">
        <v>4</v>
      </c>
      <c r="F221" t="n">
        <v>4</v>
      </c>
      <c r="H221" t="n">
        <v>0</v>
      </c>
      <c r="I221" t="n">
        <v>0</v>
      </c>
      <c r="J221" t="n">
        <v>0</v>
      </c>
      <c r="K221" t="n">
        <v>0</v>
      </c>
      <c r="L221" t="n">
        <v>0</v>
      </c>
      <c r="M221" t="n">
        <v>0</v>
      </c>
      <c r="N221" t="n">
        <v>0</v>
      </c>
    </row>
    <row r="222">
      <c r="A222" t="inlineStr">
        <is>
          <t>new building of a hall and chamber</t>
        </is>
      </c>
      <c r="B222" t="inlineStr">
        <is>
          <t>total, £19 7 shilling 1pence.</t>
        </is>
      </c>
      <c r="C222" t="n">
        <v>19.35</v>
      </c>
      <c r="D222" t="n">
        <v>19</v>
      </c>
      <c r="E222" t="n">
        <v>7</v>
      </c>
      <c r="F222" t="n">
        <v>1</v>
      </c>
      <c r="H222" t="n">
        <v>0</v>
      </c>
      <c r="I222" t="n">
        <v>0</v>
      </c>
      <c r="J222" t="n">
        <v>0</v>
      </c>
      <c r="K222" t="n">
        <v>0</v>
      </c>
      <c r="L222" t="n">
        <v>0</v>
      </c>
      <c r="M222" t="n">
        <v>0</v>
      </c>
      <c r="N222" t="n">
        <v>0</v>
      </c>
    </row>
    <row r="223">
      <c r="A223" t="inlineStr">
        <is>
          <t>cost of the dairy and the fold</t>
        </is>
      </c>
      <c r="B223" t="inlineStr">
        <is>
          <t>in 4 bushels of salt bought for the pottage of the manorial servants 2 shilling 8pence.</t>
        </is>
      </c>
      <c r="C223" t="n">
        <v>0.13</v>
      </c>
      <c r="D223" t="n">
        <v>0</v>
      </c>
      <c r="E223" t="n">
        <v>2</v>
      </c>
      <c r="F223" t="n">
        <v>8</v>
      </c>
      <c r="H223" t="n">
        <v>0</v>
      </c>
      <c r="I223" t="n">
        <v>4</v>
      </c>
      <c r="J223" t="n">
        <v>0.5</v>
      </c>
      <c r="K223" t="n">
        <v>0.5</v>
      </c>
      <c r="L223" t="n">
        <v>0</v>
      </c>
      <c r="M223" t="n">
        <v>0</v>
      </c>
      <c r="N223" t="n">
        <v>4</v>
      </c>
    </row>
    <row r="224">
      <c r="A224" t="inlineStr">
        <is>
          <t>cost of the dairy and the fold</t>
        </is>
      </c>
      <c r="B224" t="inlineStr">
        <is>
          <t>1 barrel of tar bought 4 shilling 8pence.</t>
        </is>
      </c>
      <c r="C224" t="n">
        <v>0.23</v>
      </c>
      <c r="D224" t="n">
        <v>0</v>
      </c>
      <c r="E224" t="n">
        <v>4</v>
      </c>
      <c r="F224" t="n">
        <v>8</v>
      </c>
      <c r="H224" t="n">
        <v>0</v>
      </c>
      <c r="I224" t="n">
        <v>0</v>
      </c>
      <c r="J224" t="n">
        <v>0</v>
      </c>
      <c r="K224" t="n">
        <v>0</v>
      </c>
      <c r="L224" t="n">
        <v>0</v>
      </c>
      <c r="M224" t="n">
        <v>0</v>
      </c>
      <c r="N224" t="n">
        <v>0</v>
      </c>
    </row>
    <row r="225">
      <c r="A225" t="inlineStr">
        <is>
          <t>cost of the dairy and the fold</t>
        </is>
      </c>
      <c r="B225" t="inlineStr">
        <is>
          <t>grease bought 5 shilling.</t>
        </is>
      </c>
      <c r="C225" t="n">
        <v>0.25</v>
      </c>
      <c r="D225" t="n">
        <v>0</v>
      </c>
      <c r="E225" t="n">
        <v>5</v>
      </c>
      <c r="F225" t="n">
        <v>0</v>
      </c>
      <c r="H225" t="n">
        <v>0</v>
      </c>
      <c r="I225" t="n">
        <v>0</v>
      </c>
      <c r="J225" t="n">
        <v>0</v>
      </c>
      <c r="K225" t="n">
        <v>0</v>
      </c>
      <c r="L225" t="n">
        <v>0</v>
      </c>
      <c r="M225" t="n">
        <v>0</v>
      </c>
      <c r="N225" t="n">
        <v>0</v>
      </c>
    </row>
    <row r="226">
      <c r="A226" t="inlineStr">
        <is>
          <t>cost of the dairy and the fold</t>
        </is>
      </c>
      <c r="B226" t="inlineStr">
        <is>
          <t>red ochre bought 1 shilling.</t>
        </is>
      </c>
      <c r="C226" t="n">
        <v>0.05</v>
      </c>
      <c r="D226" t="n">
        <v>0</v>
      </c>
      <c r="E226" t="n">
        <v>1</v>
      </c>
      <c r="F226" t="n">
        <v>0</v>
      </c>
      <c r="H226" t="n">
        <v>0</v>
      </c>
      <c r="I226" t="n">
        <v>0</v>
      </c>
      <c r="J226" t="n">
        <v>0</v>
      </c>
      <c r="K226" t="n">
        <v>0</v>
      </c>
      <c r="L226" t="n">
        <v>0</v>
      </c>
      <c r="M226" t="n">
        <v>0</v>
      </c>
      <c r="N226" t="n">
        <v>0</v>
      </c>
    </row>
    <row r="227">
      <c r="A227" t="inlineStr">
        <is>
          <t>cost of the dairy and the fold</t>
        </is>
      </c>
      <c r="B227" t="inlineStr">
        <is>
          <t>washing and shearing 586 wethers, rams, ewes and hoggs this year 12 shilling.</t>
        </is>
      </c>
      <c r="C227" t="n">
        <v>0.6</v>
      </c>
      <c r="D227" t="n">
        <v>0</v>
      </c>
      <c r="E227" t="n">
        <v>12</v>
      </c>
      <c r="F227" t="n">
        <v>0</v>
      </c>
      <c r="H227" t="n">
        <v>0</v>
      </c>
      <c r="I227" t="n">
        <v>0</v>
      </c>
      <c r="J227" t="n">
        <v>0</v>
      </c>
      <c r="K227" t="n">
        <v>0</v>
      </c>
      <c r="L227" t="n">
        <v>0</v>
      </c>
      <c r="M227" t="n">
        <v>0</v>
      </c>
      <c r="N227" t="n">
        <v>0</v>
      </c>
    </row>
    <row r="228">
      <c r="A228" t="inlineStr">
        <is>
          <t>cost of the dairy and the fold</t>
        </is>
      </c>
      <c r="B228" t="inlineStr">
        <is>
          <t>stipend of 1 dairymaid and 1 cowherd for the year 8 shilling.</t>
        </is>
      </c>
      <c r="C228" t="n">
        <v>0.4</v>
      </c>
      <c r="D228" t="n">
        <v>0</v>
      </c>
      <c r="E228" t="n">
        <v>8</v>
      </c>
      <c r="F228" t="n">
        <v>0</v>
      </c>
      <c r="H228" t="n">
        <v>0</v>
      </c>
      <c r="I228" t="n">
        <v>0</v>
      </c>
      <c r="J228" t="n">
        <v>0</v>
      </c>
      <c r="K228" t="n">
        <v>0</v>
      </c>
      <c r="L228" t="n">
        <v>0</v>
      </c>
      <c r="M228" t="n">
        <v>0</v>
      </c>
      <c r="N228" t="n">
        <v>0</v>
      </c>
    </row>
    <row r="229">
      <c r="A229" t="inlineStr">
        <is>
          <t>cost of the dairy and the fold</t>
        </is>
      </c>
      <c r="B229" t="inlineStr">
        <is>
          <t>stipend of 2 shepherds keeping the wethers, ewes and hoggs for the year £1 or 13 shilling 4pence for 1, and 6 shilling 8pence for the other.</t>
        </is>
      </c>
      <c r="C229" t="n">
        <v>1</v>
      </c>
      <c r="D229" t="n">
        <v>1</v>
      </c>
      <c r="E229" t="n">
        <v>0</v>
      </c>
      <c r="F229" t="n">
        <v>0</v>
      </c>
      <c r="H229" t="n">
        <v>0</v>
      </c>
      <c r="I229" t="n">
        <v>0</v>
      </c>
      <c r="J229" t="n">
        <v>0</v>
      </c>
      <c r="K229" t="n">
        <v>0</v>
      </c>
      <c r="L229" t="n">
        <v>0</v>
      </c>
      <c r="M229" t="n">
        <v>0</v>
      </c>
      <c r="N229" t="n">
        <v>0</v>
      </c>
    </row>
    <row r="230">
      <c r="A230" t="inlineStr">
        <is>
          <t>cost of the dairy and the fold</t>
        </is>
      </c>
      <c r="B230" t="inlineStr">
        <is>
          <t>stipend of 1 swineherd for the year 5 shilling 6pence.</t>
        </is>
      </c>
      <c r="C230" t="n">
        <v>0.28</v>
      </c>
      <c r="D230" t="n">
        <v>0</v>
      </c>
      <c r="E230" t="n">
        <v>5</v>
      </c>
      <c r="F230" t="n">
        <v>6</v>
      </c>
      <c r="H230" t="n">
        <v>0</v>
      </c>
      <c r="I230" t="n">
        <v>0</v>
      </c>
      <c r="J230" t="n">
        <v>0</v>
      </c>
      <c r="K230" t="n">
        <v>0</v>
      </c>
      <c r="L230" t="n">
        <v>0</v>
      </c>
      <c r="M230" t="n">
        <v>0</v>
      </c>
      <c r="N230" t="n">
        <v>0</v>
      </c>
    </row>
    <row r="231">
      <c r="A231" t="inlineStr">
        <is>
          <t>cost of the dairy and the fold</t>
        </is>
      </c>
      <c r="B231" t="inlineStr">
        <is>
          <t>stipend of 1 attendant helping the shepherd of wethers for 18 weeks in winter 1 shilling.</t>
        </is>
      </c>
      <c r="C231" t="n">
        <v>0.05</v>
      </c>
      <c r="D231" t="n">
        <v>0</v>
      </c>
      <c r="E231" t="n">
        <v>1</v>
      </c>
      <c r="F231" t="n">
        <v>0</v>
      </c>
      <c r="H231" t="n">
        <v>0</v>
      </c>
      <c r="I231" t="n">
        <v>0</v>
      </c>
      <c r="J231" t="n">
        <v>0</v>
      </c>
      <c r="K231" t="n">
        <v>0</v>
      </c>
      <c r="L231" t="n">
        <v>0</v>
      </c>
      <c r="M231" t="n">
        <v>0</v>
      </c>
      <c r="N231" t="n">
        <v>0</v>
      </c>
    </row>
    <row r="232">
      <c r="A232" t="inlineStr">
        <is>
          <t>cost of the dairy and the fold</t>
        </is>
      </c>
      <c r="B232" t="inlineStr">
        <is>
          <t>stipend of 1 attendant helping the shepherd of ewes at lambing-time 1 shilling.</t>
        </is>
      </c>
      <c r="C232" t="n">
        <v>0.05</v>
      </c>
      <c r="D232" t="n">
        <v>0</v>
      </c>
      <c r="E232" t="n">
        <v>1</v>
      </c>
      <c r="F232" t="n">
        <v>0</v>
      </c>
      <c r="H232" t="n">
        <v>0</v>
      </c>
      <c r="I232" t="n">
        <v>0</v>
      </c>
      <c r="J232" t="n">
        <v>0</v>
      </c>
      <c r="K232" t="n">
        <v>0</v>
      </c>
      <c r="L232" t="n">
        <v>0</v>
      </c>
      <c r="M232" t="n">
        <v>0</v>
      </c>
      <c r="N232" t="n">
        <v>0</v>
      </c>
    </row>
    <row r="233">
      <c r="A233" t="inlineStr">
        <is>
          <t>cost of the dairy and the fold</t>
        </is>
      </c>
      <c r="B233" t="inlineStr">
        <is>
          <t>40 hurdles bought 6 shilling 8pence, at 2pence a hurdle.</t>
        </is>
      </c>
      <c r="C233" t="n">
        <v>0.33</v>
      </c>
      <c r="D233" t="n">
        <v>0</v>
      </c>
      <c r="E233" t="n">
        <v>6</v>
      </c>
      <c r="F233" t="n">
        <v>8</v>
      </c>
      <c r="H233" t="n">
        <v>0</v>
      </c>
      <c r="I233" t="n">
        <v>0</v>
      </c>
      <c r="J233" t="n">
        <v>0</v>
      </c>
      <c r="K233" t="n">
        <v>0</v>
      </c>
      <c r="L233" t="n">
        <v>0</v>
      </c>
      <c r="M233" t="n">
        <v>0</v>
      </c>
      <c r="N233" t="n">
        <v>0</v>
      </c>
    </row>
    <row r="234">
      <c r="A234" t="inlineStr">
        <is>
          <t>cost of the dairy and the fold</t>
        </is>
      </c>
      <c r="B234" t="inlineStr">
        <is>
          <t>total, £3 7 shilling 6pence.</t>
        </is>
      </c>
      <c r="C234" t="n">
        <v>3.38</v>
      </c>
      <c r="D234" t="n">
        <v>3</v>
      </c>
      <c r="E234" t="n">
        <v>7</v>
      </c>
      <c r="F234" t="n">
        <v>6</v>
      </c>
      <c r="H234" t="n">
        <v>0</v>
      </c>
      <c r="I234" t="n">
        <v>0</v>
      </c>
      <c r="J234" t="n">
        <v>0</v>
      </c>
      <c r="K234" t="n">
        <v>0</v>
      </c>
      <c r="L234" t="n">
        <v>0</v>
      </c>
      <c r="M234" t="n">
        <v>0</v>
      </c>
      <c r="N234" t="n">
        <v>0</v>
      </c>
    </row>
    <row r="235">
      <c r="A235" t="inlineStr">
        <is>
          <t>cost of meadows</t>
        </is>
      </c>
      <c r="B235" t="inlineStr">
        <is>
          <t>in custom  customary payment to the customary tenants mowing the lord's meadow for their drink (ad potand) 1 shilling.</t>
        </is>
      </c>
      <c r="C235" t="n">
        <v>0.05</v>
      </c>
      <c r="D235" t="n">
        <v>0</v>
      </c>
      <c r="E235" t="n">
        <v>1</v>
      </c>
      <c r="F235" t="n">
        <v>0</v>
      </c>
      <c r="H235" t="n">
        <v>0</v>
      </c>
      <c r="I235" t="n">
        <v>0</v>
      </c>
      <c r="J235" t="n">
        <v>0</v>
      </c>
      <c r="K235" t="n">
        <v>0</v>
      </c>
      <c r="L235" t="n">
        <v>0</v>
      </c>
      <c r="M235" t="n">
        <v>0</v>
      </c>
      <c r="N235" t="n">
        <v>0</v>
      </c>
    </row>
    <row r="236">
      <c r="A236" t="inlineStr">
        <is>
          <t>cost of meadows</t>
        </is>
      </c>
      <c r="B236" t="inlineStr">
        <is>
          <t>1 wether bought for the same 1 shilling.</t>
        </is>
      </c>
      <c r="C236" t="n">
        <v>0.05</v>
      </c>
      <c r="D236" t="n">
        <v>0</v>
      </c>
      <c r="E236" t="n">
        <v>1</v>
      </c>
      <c r="F236" t="n">
        <v>0</v>
      </c>
      <c r="H236" t="n">
        <v>0</v>
      </c>
      <c r="I236" t="n">
        <v>0</v>
      </c>
      <c r="J236" t="n">
        <v>0</v>
      </c>
      <c r="K236" t="n">
        <v>0</v>
      </c>
      <c r="L236" t="n">
        <v>0</v>
      </c>
      <c r="M236" t="n">
        <v>0</v>
      </c>
      <c r="N236" t="n">
        <v>0</v>
      </c>
    </row>
    <row r="237">
      <c r="A237" t="inlineStr">
        <is>
          <t>cost of meadows</t>
        </is>
      </c>
      <c r="B237" t="inlineStr">
        <is>
          <t>cheese bought for the same 4pence.</t>
        </is>
      </c>
      <c r="C237" t="n">
        <v>0.02</v>
      </c>
      <c r="D237" t="n">
        <v>0</v>
      </c>
      <c r="E237" t="n">
        <v>0</v>
      </c>
      <c r="F237" t="n">
        <v>4</v>
      </c>
      <c r="H237" t="n">
        <v>0</v>
      </c>
      <c r="I237" t="n">
        <v>0</v>
      </c>
      <c r="J237" t="n">
        <v>0</v>
      </c>
      <c r="K237" t="n">
        <v>0</v>
      </c>
      <c r="L237" t="n">
        <v>0</v>
      </c>
      <c r="M237" t="n">
        <v>0</v>
      </c>
      <c r="N237" t="n">
        <v>0</v>
      </c>
    </row>
    <row r="238">
      <c r="A238" t="inlineStr">
        <is>
          <t>cost of meadows</t>
        </is>
      </c>
      <c r="B238" t="inlineStr">
        <is>
          <t>reward made to 52 customary virgaters and 1 half-virgater who mowed the lord’s meadow called innemede 1 shilling 8pence, because 6 virgates of land are in the lord’s hands from a want of tenants and 4 virgates of robert pamere are released, for each of which aforesaid 10 virgates should be found 1 man with his scythe for mowing the said meadow.</t>
        </is>
      </c>
      <c r="C238" t="n">
        <v>0.08</v>
      </c>
      <c r="D238" t="n">
        <v>0</v>
      </c>
      <c r="E238" t="n">
        <v>1</v>
      </c>
      <c r="F238" t="n">
        <v>8</v>
      </c>
      <c r="H238" t="n">
        <v>0</v>
      </c>
      <c r="I238" t="n">
        <v>0</v>
      </c>
      <c r="J238" t="n">
        <v>0</v>
      </c>
      <c r="K238" t="n">
        <v>0</v>
      </c>
      <c r="L238" t="n">
        <v>0</v>
      </c>
      <c r="M238" t="n">
        <v>0</v>
      </c>
      <c r="N238" t="n">
        <v>0</v>
      </c>
    </row>
    <row r="239">
      <c r="A239" t="inlineStr">
        <is>
          <t>cost of meadows</t>
        </is>
      </c>
      <c r="B239" t="inlineStr">
        <is>
          <t>total, 4 shilling.</t>
        </is>
      </c>
      <c r="C239" t="n">
        <v>0.2</v>
      </c>
      <c r="D239" t="n">
        <v>0</v>
      </c>
      <c r="E239" t="n">
        <v>4</v>
      </c>
      <c r="F239" t="n">
        <v>0</v>
      </c>
      <c r="H239" t="n">
        <v>0</v>
      </c>
      <c r="I239" t="n">
        <v>0</v>
      </c>
      <c r="J239" t="n">
        <v>0</v>
      </c>
      <c r="K239" t="n">
        <v>0</v>
      </c>
      <c r="L239" t="n">
        <v>0</v>
      </c>
      <c r="M239" t="n">
        <v>0</v>
      </c>
      <c r="N239" t="n">
        <v>0</v>
      </c>
    </row>
    <row r="240">
      <c r="A240" t="inlineStr">
        <is>
          <t>threshing and winnowing</t>
        </is>
      </c>
      <c r="B240" t="inlineStr">
        <is>
          <t>in threshing 34 quarters of wheat and 70 quarters of berecorn by piece-work £1 6 shilling, at 3pence a quarters.</t>
        </is>
      </c>
      <c r="C240" t="n">
        <v>1.3</v>
      </c>
      <c r="D240" t="n">
        <v>1</v>
      </c>
      <c r="E240" t="n">
        <v>6</v>
      </c>
      <c r="F240" t="n">
        <v>0</v>
      </c>
      <c r="G240" t="inlineStr">
        <is>
          <t>wheat</t>
        </is>
      </c>
      <c r="H240" t="n">
        <v>70</v>
      </c>
      <c r="I240" t="n">
        <v>0</v>
      </c>
      <c r="J240" t="n">
        <v>70</v>
      </c>
      <c r="K240" t="n">
        <v>34</v>
      </c>
      <c r="L240" t="n">
        <v>36</v>
      </c>
      <c r="M240" t="n">
        <v>34</v>
      </c>
      <c r="N240" t="n">
        <v>0</v>
      </c>
      <c r="O240" t="n">
        <v>70</v>
      </c>
      <c r="P240" t="n">
        <v>0</v>
      </c>
    </row>
    <row r="241">
      <c r="A241" t="inlineStr">
        <is>
          <t>threshing and winnowing</t>
        </is>
      </c>
      <c r="B241" t="inlineStr">
        <is>
          <t>threshing 68 quarters 2 bushels of barley and 29 quarters 4 bushels of dredge by piece-work 16 shilling 3.5pence, at 2pence a quarters.</t>
        </is>
      </c>
      <c r="C241" t="n">
        <v>0.8100000000000001</v>
      </c>
      <c r="D241" t="n">
        <v>0</v>
      </c>
      <c r="E241" t="n">
        <v>16</v>
      </c>
      <c r="F241" t="n">
        <v>3.5</v>
      </c>
      <c r="G241" t="inlineStr">
        <is>
          <t>barley, dredge</t>
        </is>
      </c>
      <c r="H241" t="n">
        <v>29</v>
      </c>
      <c r="I241" t="n">
        <v>4</v>
      </c>
      <c r="J241" t="n">
        <v>29.5</v>
      </c>
      <c r="K241" t="n">
        <v>68.25</v>
      </c>
      <c r="L241" t="n">
        <v>-38.75</v>
      </c>
      <c r="M241" t="n">
        <v>68</v>
      </c>
      <c r="N241" t="n">
        <v>2</v>
      </c>
      <c r="O241" t="n">
        <v>29</v>
      </c>
      <c r="P241" t="n">
        <v>4</v>
      </c>
    </row>
    <row r="242">
      <c r="A242" t="inlineStr">
        <is>
          <t>threshing and winnowing</t>
        </is>
      </c>
      <c r="B242" t="inlineStr">
        <is>
          <t>threshing 36quarters of oats by piece-work 4 shilling 6pence, at 1.5pence a quarters.</t>
        </is>
      </c>
      <c r="C242" t="n">
        <v>0.23</v>
      </c>
      <c r="D242" t="n">
        <v>0</v>
      </c>
      <c r="E242" t="n">
        <v>4</v>
      </c>
      <c r="F242" t="n">
        <v>6</v>
      </c>
      <c r="G242" t="inlineStr">
        <is>
          <t>oats</t>
        </is>
      </c>
      <c r="H242" t="n">
        <v>36</v>
      </c>
      <c r="I242" t="n">
        <v>0</v>
      </c>
      <c r="J242" t="n">
        <v>36</v>
      </c>
      <c r="K242" t="n">
        <v>36</v>
      </c>
      <c r="L242" t="n">
        <v>0</v>
      </c>
      <c r="M242" t="n">
        <v>36</v>
      </c>
      <c r="N242" t="n">
        <v>0</v>
      </c>
    </row>
    <row r="243">
      <c r="A243" t="inlineStr">
        <is>
          <t>threshing and winnowing</t>
        </is>
      </c>
      <c r="B243" t="inlineStr">
        <is>
          <t>winnowing 237 quarters 7 bushels of various kinds of corn by piece-work, besides 28 quarters of pulses threshed and winnowed by labour services, 6 shilling 7.5pence, at 1pence per 3quarters.</t>
        </is>
      </c>
      <c r="C243" t="n">
        <v>0.33</v>
      </c>
      <c r="D243" t="n">
        <v>0</v>
      </c>
      <c r="E243" t="n">
        <v>6</v>
      </c>
      <c r="F243" t="n">
        <v>7.5</v>
      </c>
      <c r="H243" t="n">
        <v>31</v>
      </c>
      <c r="I243" t="n">
        <v>7</v>
      </c>
      <c r="J243" t="n">
        <v>31.88</v>
      </c>
      <c r="K243" t="n">
        <v>237.88</v>
      </c>
      <c r="L243" t="n">
        <v>-206</v>
      </c>
      <c r="M243" t="n">
        <v>237</v>
      </c>
      <c r="N243" t="n">
        <v>7</v>
      </c>
      <c r="O243" t="n">
        <v>28</v>
      </c>
      <c r="P243" t="n">
        <v>0</v>
      </c>
      <c r="Q243" t="n">
        <v>3</v>
      </c>
      <c r="R243" t="n">
        <v>0</v>
      </c>
    </row>
    <row r="244">
      <c r="A244" t="inlineStr">
        <is>
          <t>threshing and winnowing</t>
        </is>
      </c>
      <c r="B244" t="inlineStr">
        <is>
          <t>total, £2 13 shilling 5pence.</t>
        </is>
      </c>
      <c r="C244" t="n">
        <v>2.67</v>
      </c>
      <c r="D244" t="n">
        <v>2</v>
      </c>
      <c r="E244" t="n">
        <v>13</v>
      </c>
      <c r="F244" t="n">
        <v>5</v>
      </c>
      <c r="H244" t="n">
        <v>0</v>
      </c>
      <c r="I244" t="n">
        <v>0</v>
      </c>
      <c r="J244" t="n">
        <v>0</v>
      </c>
      <c r="K244" t="n">
        <v>0</v>
      </c>
      <c r="L244" t="n">
        <v>0</v>
      </c>
      <c r="M244" t="n">
        <v>0</v>
      </c>
      <c r="N244" t="n">
        <v>0</v>
      </c>
    </row>
    <row r="245">
      <c r="A245" t="inlineStr">
        <is>
          <t>expenses of the steward</t>
        </is>
      </c>
      <c r="B245" t="inlineStr">
        <is>
          <t>in expenses of richard wyot, steward, holding the tourns of martinmas and hockday, by 2 sealed bills, 12 shilling 11.5pence.</t>
        </is>
      </c>
      <c r="C245" t="n">
        <v>0.65</v>
      </c>
      <c r="D245" t="n">
        <v>0</v>
      </c>
      <c r="E245" t="n">
        <v>12</v>
      </c>
      <c r="F245" t="n">
        <v>11.5</v>
      </c>
      <c r="H245" t="n">
        <v>0</v>
      </c>
      <c r="I245" t="n">
        <v>0</v>
      </c>
      <c r="J245" t="n">
        <v>0</v>
      </c>
      <c r="K245" t="n">
        <v>0</v>
      </c>
      <c r="L245" t="n">
        <v>0</v>
      </c>
      <c r="M245" t="n">
        <v>0</v>
      </c>
      <c r="N245" t="n">
        <v>0</v>
      </c>
    </row>
    <row r="246">
      <c r="A246" t="inlineStr">
        <is>
          <t>expenses of the steward</t>
        </is>
      </c>
      <c r="B246" t="inlineStr">
        <is>
          <t>total, 12 shilling 11.5pence.</t>
        </is>
      </c>
      <c r="C246" t="n">
        <v>0.65</v>
      </c>
      <c r="D246" t="n">
        <v>0</v>
      </c>
      <c r="E246" t="n">
        <v>12</v>
      </c>
      <c r="F246" t="n">
        <v>11.5</v>
      </c>
      <c r="H246" t="n">
        <v>0</v>
      </c>
      <c r="I246" t="n">
        <v>0</v>
      </c>
      <c r="J246" t="n">
        <v>0</v>
      </c>
      <c r="K246" t="n">
        <v>0</v>
      </c>
      <c r="L246" t="n">
        <v>0</v>
      </c>
      <c r="M246" t="n">
        <v>0</v>
      </c>
      <c r="N246" t="n">
        <v>0</v>
      </c>
    </row>
    <row r="247">
      <c r="A247" t="inlineStr">
        <is>
          <t>wages and stipends</t>
        </is>
      </c>
      <c r="B247" t="inlineStr">
        <is>
          <t>in wages of william beck’, bailiff there, £3 6 shilling 8pence for the year, and he takes the rest elsewhere.</t>
        </is>
      </c>
      <c r="C247" t="n">
        <v>3.33</v>
      </c>
      <c r="D247" t="n">
        <v>3</v>
      </c>
      <c r="E247" t="n">
        <v>6</v>
      </c>
      <c r="F247" t="n">
        <v>8</v>
      </c>
      <c r="H247" t="n">
        <v>0</v>
      </c>
      <c r="I247" t="n">
        <v>0</v>
      </c>
      <c r="J247" t="n">
        <v>0</v>
      </c>
      <c r="K247" t="n">
        <v>0</v>
      </c>
      <c r="L247" t="n">
        <v>0</v>
      </c>
      <c r="M247" t="n">
        <v>0</v>
      </c>
      <c r="N247" t="n">
        <v>0</v>
      </c>
    </row>
    <row r="248">
      <c r="A248" t="inlineStr">
        <is>
          <t>wages and stipends</t>
        </is>
      </c>
      <c r="B248" t="inlineStr">
        <is>
          <t>stipend of robert palmer, warrener there, keeping the lord’s woods for the year £1 6 shilling 8pence.</t>
        </is>
      </c>
      <c r="C248" t="n">
        <v>1.33</v>
      </c>
      <c r="D248" t="n">
        <v>1</v>
      </c>
      <c r="E248" t="n">
        <v>6</v>
      </c>
      <c r="F248" t="n">
        <v>8</v>
      </c>
      <c r="H248" t="n">
        <v>0</v>
      </c>
      <c r="I248" t="n">
        <v>0</v>
      </c>
      <c r="J248" t="n">
        <v>0</v>
      </c>
      <c r="K248" t="n">
        <v>0</v>
      </c>
      <c r="L248" t="n">
        <v>0</v>
      </c>
      <c r="M248" t="n">
        <v>0</v>
      </c>
      <c r="N248" t="n">
        <v>0</v>
      </c>
    </row>
    <row r="249">
      <c r="A249" t="inlineStr">
        <is>
          <t>wages and stipends</t>
        </is>
      </c>
      <c r="B249" t="inlineStr">
        <is>
          <t>total, £4 13 shilling 4pence.</t>
        </is>
      </c>
      <c r="C249" t="n">
        <v>4.67</v>
      </c>
      <c r="D249" t="n">
        <v>4</v>
      </c>
      <c r="E249" t="n">
        <v>13</v>
      </c>
      <c r="F249" t="n">
        <v>4</v>
      </c>
      <c r="H249" t="n">
        <v>0</v>
      </c>
      <c r="I249" t="n">
        <v>0</v>
      </c>
      <c r="J249" t="n">
        <v>0</v>
      </c>
      <c r="K249" t="n">
        <v>0</v>
      </c>
      <c r="L249" t="n">
        <v>0</v>
      </c>
      <c r="M249" t="n">
        <v>0</v>
      </c>
      <c r="N249" t="n">
        <v>0</v>
      </c>
    </row>
    <row r="250">
      <c r="A250" t="inlineStr">
        <is>
          <t>total of all expenses</t>
        </is>
      </c>
      <c r="B250" t="inlineStr">
        <is>
          <t>total of all expenses, £70 7 shilling 2.5pence.</t>
        </is>
      </c>
      <c r="C250" t="n">
        <v>70.36</v>
      </c>
      <c r="D250" t="n">
        <v>70</v>
      </c>
      <c r="E250" t="n">
        <v>7</v>
      </c>
      <c r="F250" t="n">
        <v>2.5</v>
      </c>
      <c r="H250" t="n">
        <v>0</v>
      </c>
      <c r="I250" t="n">
        <v>0</v>
      </c>
      <c r="J250" t="n">
        <v>0</v>
      </c>
      <c r="K250" t="n">
        <v>0</v>
      </c>
      <c r="L250" t="n">
        <v>0</v>
      </c>
      <c r="M250" t="n">
        <v>0</v>
      </c>
      <c r="N250" t="n">
        <v>0</v>
      </c>
    </row>
    <row r="251">
      <c r="A251" t="inlineStr">
        <is>
          <t>and he owes</t>
        </is>
      </c>
      <c r="B251" t="inlineStr">
        <is>
          <t>and he owes, £64 7 shilling 8.25pence.</t>
        </is>
      </c>
      <c r="C251" t="n">
        <v>64.38</v>
      </c>
      <c r="D251" t="n">
        <v>64</v>
      </c>
      <c r="E251" t="n">
        <v>7</v>
      </c>
      <c r="F251" t="n">
        <v>8.25</v>
      </c>
      <c r="H251" t="n">
        <v>0</v>
      </c>
      <c r="I251" t="n">
        <v>0</v>
      </c>
      <c r="J251" t="n">
        <v>0</v>
      </c>
      <c r="K251" t="n">
        <v>0</v>
      </c>
      <c r="L251" t="n">
        <v>0</v>
      </c>
      <c r="M251" t="n">
        <v>0</v>
      </c>
      <c r="N251" t="n">
        <v>0</v>
      </c>
    </row>
    <row r="252">
      <c r="A252" t="inlineStr">
        <is>
          <t>allowances without writ</t>
        </is>
      </c>
      <c r="B252" t="inlineStr">
        <is>
          <t>in allowance to the same for £3 18 shilling 3pence for the arrears of john hoke, recently reeve there, as the price of various transport-services charged in the accounts of the foruth and fifth years (1407-9) as a result of negligence of john scot, clerk.</t>
        </is>
      </c>
      <c r="C252" t="n">
        <v>3.91</v>
      </c>
      <c r="D252" t="n">
        <v>3</v>
      </c>
      <c r="E252" t="n">
        <v>18</v>
      </c>
      <c r="F252" t="n">
        <v>3</v>
      </c>
      <c r="H252" t="n">
        <v>0</v>
      </c>
      <c r="I252" t="n">
        <v>0</v>
      </c>
      <c r="J252" t="n">
        <v>0</v>
      </c>
      <c r="K252" t="n">
        <v>0</v>
      </c>
      <c r="L252" t="n">
        <v>0</v>
      </c>
      <c r="M252" t="n">
        <v>0</v>
      </c>
      <c r="N252" t="n">
        <v>0</v>
      </c>
    </row>
    <row r="253">
      <c r="A253" t="inlineStr">
        <is>
          <t>allowances without writ</t>
        </is>
      </c>
      <c r="B253" t="inlineStr">
        <is>
          <t>£2 1 shilling 3pence for the arrers of the same for various disallowances in the aforesaid accounts.</t>
        </is>
      </c>
      <c r="C253" t="n">
        <v>2.06</v>
      </c>
      <c r="D253" t="n">
        <v>2</v>
      </c>
      <c r="E253" t="n">
        <v>1</v>
      </c>
      <c r="F253" t="n">
        <v>3</v>
      </c>
      <c r="H253" t="n">
        <v>0</v>
      </c>
      <c r="I253" t="n">
        <v>0</v>
      </c>
      <c r="J253" t="n">
        <v>0</v>
      </c>
      <c r="K253" t="n">
        <v>0</v>
      </c>
      <c r="L253" t="n">
        <v>0</v>
      </c>
      <c r="M253" t="n">
        <v>0</v>
      </c>
      <c r="N253" t="n">
        <v>0</v>
      </c>
    </row>
    <row r="254">
      <c r="A254" t="inlineStr">
        <is>
          <t>allowances without writ</t>
        </is>
      </c>
      <c r="B254" t="inlineStr">
        <is>
          <t>£1 12 shilling for carrying 32 quarters of malt from ivinghose to esher and 39 quarters from kingston to esher for the provision of the lord’s household not allwed to him above.</t>
        </is>
      </c>
      <c r="C254" t="n">
        <v>1.6</v>
      </c>
      <c r="D254" t="n">
        <v>1</v>
      </c>
      <c r="E254" t="n">
        <v>12</v>
      </c>
      <c r="F254" t="n">
        <v>0</v>
      </c>
      <c r="G254" t="inlineStr">
        <is>
          <t>malt</t>
        </is>
      </c>
      <c r="H254" t="n">
        <v>39</v>
      </c>
      <c r="I254" t="n">
        <v>0</v>
      </c>
      <c r="J254" t="n">
        <v>39</v>
      </c>
      <c r="K254" t="n">
        <v>32</v>
      </c>
      <c r="L254" t="n">
        <v>7</v>
      </c>
      <c r="M254" t="n">
        <v>32</v>
      </c>
      <c r="N254" t="n">
        <v>0</v>
      </c>
      <c r="O254" t="n">
        <v>39</v>
      </c>
      <c r="P254" t="n">
        <v>0</v>
      </c>
    </row>
    <row r="255">
      <c r="A255" t="inlineStr">
        <is>
          <t>allowances without writ</t>
        </is>
      </c>
      <c r="B255" t="inlineStr">
        <is>
          <t>£10 14 shilling 1.25pence for various disallowances against him in this present account above.</t>
        </is>
      </c>
      <c r="C255" t="n">
        <v>10.71</v>
      </c>
      <c r="D255" t="n">
        <v>10</v>
      </c>
      <c r="E255" t="n">
        <v>14</v>
      </c>
      <c r="F255" t="n">
        <v>1.25</v>
      </c>
      <c r="H255" t="n">
        <v>0</v>
      </c>
      <c r="I255" t="n">
        <v>0</v>
      </c>
      <c r="J255" t="n">
        <v>0</v>
      </c>
      <c r="K255" t="n">
        <v>0</v>
      </c>
      <c r="L255" t="n">
        <v>0</v>
      </c>
      <c r="M255" t="n">
        <v>0</v>
      </c>
      <c r="N255" t="n">
        <v>0</v>
      </c>
    </row>
    <row r="256">
      <c r="A256" t="inlineStr">
        <is>
          <t>allowances without writ</t>
        </is>
      </c>
      <c r="B256" t="inlineStr">
        <is>
          <t>total, £18 5 shilling 7.25..</t>
        </is>
      </c>
      <c r="C256" t="n">
        <v>18.25</v>
      </c>
      <c r="D256" t="n">
        <v>18</v>
      </c>
      <c r="E256" t="n">
        <v>5</v>
      </c>
      <c r="F256" t="n">
        <v>0</v>
      </c>
      <c r="H256" t="n">
        <v>0</v>
      </c>
      <c r="I256" t="n">
        <v>0</v>
      </c>
      <c r="J256" t="n">
        <v>0</v>
      </c>
      <c r="K256" t="n">
        <v>0</v>
      </c>
      <c r="L256" t="n">
        <v>0</v>
      </c>
      <c r="M256" t="n">
        <v>0</v>
      </c>
      <c r="N256" t="n">
        <v>0</v>
      </c>
    </row>
    <row r="257">
      <c r="A257" t="inlineStr">
        <is>
          <t>allowances by writ</t>
        </is>
      </c>
      <c r="B257" t="inlineStr">
        <is>
          <t>in allowances to the same for £26 2 shilling 1pence delivered to john rede, treasurer of the lord’s household, both in cash and in victuals for the provision of the said household, just as is made clear by the evidence of the same john addressed to the auditor of this account.</t>
        </is>
      </c>
      <c r="C257" t="n">
        <v>26.1</v>
      </c>
      <c r="D257" t="n">
        <v>26</v>
      </c>
      <c r="E257" t="n">
        <v>2</v>
      </c>
      <c r="F257" t="n">
        <v>1</v>
      </c>
      <c r="H257" t="n">
        <v>0</v>
      </c>
      <c r="I257" t="n">
        <v>0</v>
      </c>
      <c r="J257" t="n">
        <v>0</v>
      </c>
      <c r="K257" t="n">
        <v>0</v>
      </c>
      <c r="L257" t="n">
        <v>0</v>
      </c>
      <c r="M257" t="n">
        <v>0</v>
      </c>
      <c r="N257" t="n">
        <v>0</v>
      </c>
    </row>
    <row r="258">
      <c r="A258" t="inlineStr">
        <is>
          <t>allowances by writ</t>
        </is>
      </c>
      <c r="B258" t="inlineStr">
        <is>
          <t>total, £26 2 shilling 1pence.</t>
        </is>
      </c>
      <c r="C258" t="n">
        <v>26.1</v>
      </c>
      <c r="D258" t="n">
        <v>26</v>
      </c>
      <c r="E258" t="n">
        <v>2</v>
      </c>
      <c r="F258" t="n">
        <v>1</v>
      </c>
      <c r="H258" t="n">
        <v>0</v>
      </c>
      <c r="I258" t="n">
        <v>0</v>
      </c>
      <c r="J258" t="n">
        <v>0</v>
      </c>
      <c r="K258" t="n">
        <v>0</v>
      </c>
      <c r="L258" t="n">
        <v>0</v>
      </c>
      <c r="M258" t="n">
        <v>0</v>
      </c>
      <c r="N258" t="n">
        <v>0</v>
      </c>
    </row>
    <row r="259">
      <c r="A259" t="inlineStr">
        <is>
          <t>cash deliveries</t>
        </is>
      </c>
      <c r="B259" t="inlineStr">
        <is>
          <t>in cash delivered to john arnold, receiver of wolvesey, by tally, £23 6 shilling.</t>
        </is>
      </c>
      <c r="C259" t="n">
        <v>23.3</v>
      </c>
      <c r="D259" t="n">
        <v>23</v>
      </c>
      <c r="E259" t="n">
        <v>6</v>
      </c>
      <c r="F259" t="n">
        <v>0</v>
      </c>
      <c r="H259" t="n">
        <v>0</v>
      </c>
      <c r="I259" t="n">
        <v>0</v>
      </c>
      <c r="J259" t="n">
        <v>0</v>
      </c>
      <c r="K259" t="n">
        <v>0</v>
      </c>
      <c r="L259" t="n">
        <v>0</v>
      </c>
      <c r="M259" t="n">
        <v>0</v>
      </c>
      <c r="N259" t="n">
        <v>0</v>
      </c>
    </row>
    <row r="260">
      <c r="A260" t="inlineStr">
        <is>
          <t>cash deliveries</t>
        </is>
      </c>
      <c r="B260" t="inlineStr">
        <is>
          <t>total, £23 6 shilling.</t>
        </is>
      </c>
      <c r="C260" t="n">
        <v>23.3</v>
      </c>
      <c r="D260" t="n">
        <v>23</v>
      </c>
      <c r="E260" t="n">
        <v>6</v>
      </c>
      <c r="F260" t="n">
        <v>0</v>
      </c>
      <c r="H260" t="n">
        <v>0</v>
      </c>
      <c r="I260" t="n">
        <v>0</v>
      </c>
      <c r="J260" t="n">
        <v>0</v>
      </c>
      <c r="K260" t="n">
        <v>0</v>
      </c>
      <c r="L260" t="n">
        <v>0</v>
      </c>
      <c r="M260" t="n">
        <v>0</v>
      </c>
      <c r="N260" t="n">
        <v>0</v>
      </c>
    </row>
    <row r="261">
      <c r="A261" t="inlineStr">
        <is>
          <t>total of all allowances and cash deliveries</t>
        </is>
      </c>
      <c r="B261" t="inlineStr">
        <is>
          <t>total of all allowances and cash deliveries, £67 13 shilling 8.25pence.</t>
        </is>
      </c>
      <c r="C261" t="n">
        <v>67.68000000000001</v>
      </c>
      <c r="D261" t="n">
        <v>67</v>
      </c>
      <c r="E261" t="n">
        <v>13</v>
      </c>
      <c r="F261" t="n">
        <v>8.25</v>
      </c>
      <c r="H261" t="n">
        <v>0</v>
      </c>
      <c r="I261" t="n">
        <v>0</v>
      </c>
      <c r="J261" t="n">
        <v>0</v>
      </c>
      <c r="K261" t="n">
        <v>0</v>
      </c>
      <c r="L261" t="n">
        <v>0</v>
      </c>
      <c r="M261" t="n">
        <v>0</v>
      </c>
      <c r="N261" t="n">
        <v>0</v>
      </c>
    </row>
    <row r="262">
      <c r="A262" t="inlineStr">
        <is>
          <t>and he owes</t>
        </is>
      </c>
      <c r="B262" t="inlineStr">
        <is>
          <t>and he owes clear, £1 14 shilling, and all against robert palmere for the farm of the mill demised to richard pult', for which he is charged in the following account.</t>
        </is>
      </c>
      <c r="C262" t="n">
        <v>1.7</v>
      </c>
      <c r="D262" t="n">
        <v>1</v>
      </c>
      <c r="E262" t="n">
        <v>14</v>
      </c>
      <c r="F262" t="n">
        <v>0</v>
      </c>
      <c r="H262" t="n">
        <v>0</v>
      </c>
      <c r="I262" t="n">
        <v>0</v>
      </c>
      <c r="J262" t="n">
        <v>0</v>
      </c>
      <c r="K262" t="n">
        <v>0</v>
      </c>
      <c r="L262" t="n">
        <v>0</v>
      </c>
      <c r="M262" t="n">
        <v>0</v>
      </c>
      <c r="N262" t="n">
        <v>0</v>
      </c>
    </row>
    <row r="263">
      <c r="A263" t="inlineStr">
        <is>
          <t>wheat</t>
        </is>
      </c>
      <c r="B263" t="inlineStr">
        <is>
          <t>richard baldewyn, reeve there, answers for 34 quarters of wheat from the whole issue of the grange, threshed by piece-work.</t>
        </is>
      </c>
      <c r="C263" t="n">
        <v>0</v>
      </c>
      <c r="D263" t="n">
        <v>0</v>
      </c>
      <c r="E263" t="n">
        <v>0</v>
      </c>
      <c r="F263" t="n">
        <v>0</v>
      </c>
      <c r="G263" t="inlineStr">
        <is>
          <t>wheat</t>
        </is>
      </c>
      <c r="H263" t="n">
        <v>34</v>
      </c>
      <c r="I263" t="n">
        <v>0</v>
      </c>
      <c r="J263" t="n">
        <v>34</v>
      </c>
      <c r="K263" t="n">
        <v>34</v>
      </c>
      <c r="L263" t="n">
        <v>0</v>
      </c>
      <c r="M263" t="n">
        <v>34</v>
      </c>
      <c r="N263" t="n">
        <v>0</v>
      </c>
    </row>
    <row r="264">
      <c r="A264" t="inlineStr">
        <is>
          <t>wheat</t>
        </is>
      </c>
      <c r="B264" t="inlineStr">
        <is>
          <t>13 quarters surcharged so that he answers for a 4-fold yield..</t>
        </is>
      </c>
      <c r="C264" t="n">
        <v>0</v>
      </c>
      <c r="D264" t="n">
        <v>0</v>
      </c>
      <c r="E264" t="n">
        <v>0</v>
      </c>
      <c r="F264" t="n">
        <v>0</v>
      </c>
      <c r="H264" t="n">
        <v>13</v>
      </c>
      <c r="I264" t="n">
        <v>0</v>
      </c>
      <c r="J264" t="n">
        <v>13</v>
      </c>
      <c r="K264" t="n">
        <v>13</v>
      </c>
      <c r="L264" t="n">
        <v>0</v>
      </c>
      <c r="M264" t="n">
        <v>13</v>
      </c>
      <c r="N264" t="n">
        <v>0</v>
      </c>
    </row>
    <row r="265">
      <c r="A265" t="inlineStr">
        <is>
          <t>wheat</t>
        </is>
      </c>
      <c r="B265" t="inlineStr">
        <is>
          <t>total, 47 quarters.</t>
        </is>
      </c>
      <c r="C265" t="n">
        <v>0</v>
      </c>
      <c r="D265" t="n">
        <v>0</v>
      </c>
      <c r="E265" t="n">
        <v>0</v>
      </c>
      <c r="F265" t="n">
        <v>0</v>
      </c>
      <c r="H265" t="n">
        <v>47</v>
      </c>
      <c r="I265" t="n">
        <v>0</v>
      </c>
      <c r="J265" t="n">
        <v>47</v>
      </c>
      <c r="K265" t="n">
        <v>47</v>
      </c>
      <c r="L265" t="n">
        <v>0</v>
      </c>
      <c r="M265" t="n">
        <v>47</v>
      </c>
      <c r="N265" t="n">
        <v>0</v>
      </c>
    </row>
    <row r="266">
      <c r="A266" t="inlineStr">
        <is>
          <t>wheat</t>
        </is>
      </c>
      <c r="B266" t="inlineStr">
        <is>
          <t>sown over 36.5 acres of land by the perch which lie above le middelfeld', 10 quarters 2 bushels.</t>
        </is>
      </c>
      <c r="C266" t="n">
        <v>0</v>
      </c>
      <c r="D266" t="n">
        <v>0</v>
      </c>
      <c r="E266" t="n">
        <v>0</v>
      </c>
      <c r="F266" t="n">
        <v>0</v>
      </c>
      <c r="H266" t="n">
        <v>10</v>
      </c>
      <c r="I266" t="n">
        <v>2</v>
      </c>
      <c r="J266" t="n">
        <v>10.25</v>
      </c>
      <c r="K266" t="n">
        <v>10.25</v>
      </c>
      <c r="L266" t="n">
        <v>0</v>
      </c>
      <c r="M266" t="n">
        <v>10</v>
      </c>
      <c r="N266" t="n">
        <v>2</v>
      </c>
    </row>
    <row r="267">
      <c r="A267" t="inlineStr">
        <is>
          <t>wheat</t>
        </is>
      </c>
      <c r="B267" t="inlineStr">
        <is>
          <t>that is, 2 bushels 1 peck an acre, less .5 peck in all.</t>
        </is>
      </c>
      <c r="C267" t="n">
        <v>0</v>
      </c>
      <c r="D267" t="n">
        <v>0</v>
      </c>
      <c r="E267" t="n">
        <v>0</v>
      </c>
      <c r="F267" t="n">
        <v>0</v>
      </c>
      <c r="H267" t="n">
        <v>0</v>
      </c>
      <c r="I267" t="n">
        <v>2</v>
      </c>
      <c r="J267" t="n">
        <v>0.25</v>
      </c>
      <c r="K267" t="n">
        <v>0.25</v>
      </c>
      <c r="L267" t="n">
        <v>0</v>
      </c>
      <c r="M267" t="n">
        <v>0</v>
      </c>
      <c r="N267" t="n">
        <v>2</v>
      </c>
    </row>
    <row r="268">
      <c r="A268" t="inlineStr">
        <is>
          <t>wheat</t>
        </is>
      </c>
      <c r="B268" t="inlineStr">
        <is>
          <t>provision of the steward holding the tourns of martinmas and hockday, by 2 sealed bills, 3.5 bushels.</t>
        </is>
      </c>
      <c r="C268" t="n">
        <v>0</v>
      </c>
      <c r="D268" t="n">
        <v>0</v>
      </c>
      <c r="E268" t="n">
        <v>0</v>
      </c>
      <c r="F268" t="n">
        <v>0</v>
      </c>
      <c r="H268" t="n">
        <v>0</v>
      </c>
      <c r="I268" t="n">
        <v>3.5</v>
      </c>
      <c r="J268" t="n">
        <v>0.44</v>
      </c>
      <c r="K268" t="n">
        <v>0.44</v>
      </c>
      <c r="L268" t="n">
        <v>0</v>
      </c>
      <c r="M268" t="n">
        <v>0</v>
      </c>
      <c r="N268" t="n">
        <v>3.5</v>
      </c>
    </row>
    <row r="269">
      <c r="A269" t="inlineStr">
        <is>
          <t>wheat</t>
        </is>
      </c>
      <c r="B269" t="inlineStr">
        <is>
          <t>customary payment to the customary tenants mowing the lord's meadow, 1 quarters.</t>
        </is>
      </c>
      <c r="C269" t="n">
        <v>0</v>
      </c>
      <c r="D269" t="n">
        <v>0</v>
      </c>
      <c r="E269" t="n">
        <v>0</v>
      </c>
      <c r="F269" t="n">
        <v>0</v>
      </c>
      <c r="H269" t="n">
        <v>1</v>
      </c>
      <c r="I269" t="n">
        <v>0</v>
      </c>
      <c r="J269" t="n">
        <v>1</v>
      </c>
      <c r="K269" t="n">
        <v>1</v>
      </c>
      <c r="L269" t="n">
        <v>0</v>
      </c>
      <c r="M269" t="n">
        <v>1</v>
      </c>
      <c r="N269" t="n">
        <v>0</v>
      </c>
    </row>
    <row r="270">
      <c r="A270" t="inlineStr">
        <is>
          <t>wheat</t>
        </is>
      </c>
      <c r="B270" t="inlineStr">
        <is>
          <t>sold within, 22 quarters 2.5 bushels.</t>
        </is>
      </c>
      <c r="C270" t="n">
        <v>0</v>
      </c>
      <c r="D270" t="n">
        <v>0</v>
      </c>
      <c r="E270" t="n">
        <v>0</v>
      </c>
      <c r="F270" t="n">
        <v>0</v>
      </c>
      <c r="H270" t="n">
        <v>22</v>
      </c>
      <c r="I270" t="n">
        <v>2.5</v>
      </c>
      <c r="J270" t="n">
        <v>22.31</v>
      </c>
      <c r="K270" t="n">
        <v>22.31</v>
      </c>
      <c r="L270" t="n">
        <v>0</v>
      </c>
      <c r="M270" t="n">
        <v>22</v>
      </c>
      <c r="N270" t="n">
        <v>2.5</v>
      </c>
    </row>
    <row r="271">
      <c r="A271" t="inlineStr">
        <is>
          <t>wheat</t>
        </is>
      </c>
      <c r="B271" t="inlineStr">
        <is>
          <t>sold at the audit, 13 quarters for £4 6 shilling 8pence.</t>
        </is>
      </c>
      <c r="C271" t="n">
        <v>4.33</v>
      </c>
      <c r="D271" t="n">
        <v>4</v>
      </c>
      <c r="E271" t="n">
        <v>6</v>
      </c>
      <c r="F271" t="n">
        <v>8</v>
      </c>
      <c r="H271" t="n">
        <v>13</v>
      </c>
      <c r="I271" t="n">
        <v>0</v>
      </c>
      <c r="J271" t="n">
        <v>13</v>
      </c>
      <c r="K271" t="n">
        <v>13</v>
      </c>
      <c r="L271" t="n">
        <v>0</v>
      </c>
      <c r="M271" t="n">
        <v>13</v>
      </c>
      <c r="N271" t="n">
        <v>0</v>
      </c>
    </row>
    <row r="272">
      <c r="A272" t="inlineStr">
        <is>
          <t>wheat</t>
        </is>
      </c>
      <c r="B272" t="inlineStr">
        <is>
          <t>total as before.</t>
        </is>
      </c>
      <c r="C272" t="n">
        <v>0</v>
      </c>
      <c r="D272" t="n">
        <v>0</v>
      </c>
      <c r="E272" t="n">
        <v>0</v>
      </c>
      <c r="F272" t="n">
        <v>0</v>
      </c>
      <c r="H272" t="n">
        <v>0</v>
      </c>
      <c r="I272" t="n">
        <v>0</v>
      </c>
      <c r="J272" t="n">
        <v>0</v>
      </c>
      <c r="K272" t="n">
        <v>0</v>
      </c>
      <c r="L272" t="n">
        <v>0</v>
      </c>
      <c r="M272" t="n">
        <v>0</v>
      </c>
      <c r="N272" t="n">
        <v>0</v>
      </c>
    </row>
    <row r="273">
      <c r="A273" t="inlineStr">
        <is>
          <t>wheat</t>
        </is>
      </c>
      <c r="B273" t="inlineStr">
        <is>
          <t>it balances.</t>
        </is>
      </c>
      <c r="C273" t="n">
        <v>0</v>
      </c>
      <c r="D273" t="n">
        <v>0</v>
      </c>
      <c r="E273" t="n">
        <v>0</v>
      </c>
      <c r="F273" t="n">
        <v>0</v>
      </c>
      <c r="H273" t="n">
        <v>0</v>
      </c>
      <c r="I273" t="n">
        <v>0</v>
      </c>
      <c r="J273" t="n">
        <v>0</v>
      </c>
      <c r="K273" t="n">
        <v>0</v>
      </c>
      <c r="L273" t="n">
        <v>0</v>
      </c>
      <c r="M273" t="n">
        <v>0</v>
      </c>
      <c r="N273" t="n">
        <v>0</v>
      </c>
    </row>
    <row r="274">
      <c r="A274" t="inlineStr">
        <is>
          <t>berecorn</t>
        </is>
      </c>
      <c r="B274" t="inlineStr">
        <is>
          <t>and for 70 quarters of berecorn from the whole issue of the grange, threshed by piece-work.</t>
        </is>
      </c>
      <c r="C274" t="n">
        <v>0</v>
      </c>
      <c r="D274" t="n">
        <v>0</v>
      </c>
      <c r="E274" t="n">
        <v>0</v>
      </c>
      <c r="F274" t="n">
        <v>0</v>
      </c>
      <c r="H274" t="n">
        <v>70</v>
      </c>
      <c r="I274" t="n">
        <v>0</v>
      </c>
      <c r="J274" t="n">
        <v>70</v>
      </c>
      <c r="K274" t="n">
        <v>70</v>
      </c>
      <c r="L274" t="n">
        <v>0</v>
      </c>
      <c r="M274" t="n">
        <v>70</v>
      </c>
      <c r="N274" t="n">
        <v>0</v>
      </c>
    </row>
    <row r="275">
      <c r="A275" t="inlineStr">
        <is>
          <t>berecorn</t>
        </is>
      </c>
      <c r="B275" t="inlineStr">
        <is>
          <t>17 quarters 1 bushels bought.</t>
        </is>
      </c>
      <c r="C275" t="n">
        <v>0</v>
      </c>
      <c r="D275" t="n">
        <v>0</v>
      </c>
      <c r="E275" t="n">
        <v>0</v>
      </c>
      <c r="F275" t="n">
        <v>0</v>
      </c>
      <c r="H275" t="n">
        <v>17</v>
      </c>
      <c r="I275" t="n">
        <v>1</v>
      </c>
      <c r="J275" t="n">
        <v>17.12</v>
      </c>
      <c r="K275" t="n">
        <v>17.12</v>
      </c>
      <c r="L275" t="n">
        <v>0</v>
      </c>
      <c r="M275" t="n">
        <v>17</v>
      </c>
      <c r="N275" t="n">
        <v>1</v>
      </c>
    </row>
    <row r="276">
      <c r="A276" t="inlineStr">
        <is>
          <t>berecorn</t>
        </is>
      </c>
      <c r="B276" t="inlineStr">
        <is>
          <t>17 quarters 4 bushels surcharged so that he answers for a 3.5-fold yield..</t>
        </is>
      </c>
      <c r="C276" t="n">
        <v>0</v>
      </c>
      <c r="D276" t="n">
        <v>0</v>
      </c>
      <c r="E276" t="n">
        <v>0</v>
      </c>
      <c r="F276" t="n">
        <v>0</v>
      </c>
      <c r="H276" t="n">
        <v>17</v>
      </c>
      <c r="I276" t="n">
        <v>4</v>
      </c>
      <c r="J276" t="n">
        <v>17.5</v>
      </c>
      <c r="K276" t="n">
        <v>17.5</v>
      </c>
      <c r="L276" t="n">
        <v>0</v>
      </c>
      <c r="M276" t="n">
        <v>17</v>
      </c>
      <c r="N276" t="n">
        <v>4</v>
      </c>
    </row>
    <row r="277">
      <c r="A277" t="inlineStr">
        <is>
          <t>berecorn</t>
        </is>
      </c>
      <c r="B277" t="inlineStr">
        <is>
          <t>total, 104 quarters 5 bushels.</t>
        </is>
      </c>
      <c r="C277" t="n">
        <v>0</v>
      </c>
      <c r="D277" t="n">
        <v>0</v>
      </c>
      <c r="E277" t="n">
        <v>0</v>
      </c>
      <c r="F277" t="n">
        <v>0</v>
      </c>
      <c r="H277" t="n">
        <v>104</v>
      </c>
      <c r="I277" t="n">
        <v>5</v>
      </c>
      <c r="J277" t="n">
        <v>104.62</v>
      </c>
      <c r="K277" t="n">
        <v>104.62</v>
      </c>
      <c r="L277" t="n">
        <v>0</v>
      </c>
      <c r="M277" t="n">
        <v>104</v>
      </c>
      <c r="N277" t="n">
        <v>5</v>
      </c>
    </row>
    <row r="278">
      <c r="A278" t="inlineStr">
        <is>
          <t>berecorn</t>
        </is>
      </c>
      <c r="B278" t="inlineStr">
        <is>
          <t>sown over 53 acres of land by the perch which lie above le malme, 20 quarters.</t>
        </is>
      </c>
      <c r="C278" t="n">
        <v>0</v>
      </c>
      <c r="D278" t="n">
        <v>0</v>
      </c>
      <c r="E278" t="n">
        <v>0</v>
      </c>
      <c r="F278" t="n">
        <v>0</v>
      </c>
      <c r="H278" t="n">
        <v>20</v>
      </c>
      <c r="I278" t="n">
        <v>0</v>
      </c>
      <c r="J278" t="n">
        <v>20</v>
      </c>
      <c r="K278" t="n">
        <v>20</v>
      </c>
      <c r="L278" t="n">
        <v>0</v>
      </c>
      <c r="M278" t="n">
        <v>20</v>
      </c>
      <c r="N278" t="n">
        <v>0</v>
      </c>
    </row>
    <row r="279">
      <c r="A279" t="inlineStr">
        <is>
          <t>berecorn</t>
        </is>
      </c>
      <c r="B279" t="inlineStr">
        <is>
          <t>that is, 2 bushels an acre, less 1 bushels in all.</t>
        </is>
      </c>
      <c r="C279" t="n">
        <v>0</v>
      </c>
      <c r="D279" t="n">
        <v>0</v>
      </c>
      <c r="E279" t="n">
        <v>0</v>
      </c>
      <c r="F279" t="n">
        <v>0</v>
      </c>
      <c r="H279" t="n">
        <v>0</v>
      </c>
      <c r="I279" t="n">
        <v>1</v>
      </c>
      <c r="J279" t="n">
        <v>0.12</v>
      </c>
      <c r="K279" t="n">
        <v>0.25</v>
      </c>
      <c r="L279" t="n">
        <v>-0.12</v>
      </c>
      <c r="M279" t="n">
        <v>0</v>
      </c>
      <c r="N279" t="n">
        <v>2</v>
      </c>
      <c r="O279" t="n">
        <v>0</v>
      </c>
      <c r="P279" t="n">
        <v>1</v>
      </c>
    </row>
    <row r="280">
      <c r="A280" t="inlineStr">
        <is>
          <t>berecorn</t>
        </is>
      </c>
      <c r="B280" t="inlineStr">
        <is>
          <t>liveries of 1 overseer of the harvest, 2 carters, 2 shepherds and 5 household ploughmen for the year, 51 quarters 7 bushels, each of whom takes a quarter every 10 weeks.</t>
        </is>
      </c>
      <c r="C280" t="n">
        <v>0</v>
      </c>
      <c r="D280" t="n">
        <v>0</v>
      </c>
      <c r="E280" t="n">
        <v>0</v>
      </c>
      <c r="F280" t="n">
        <v>0</v>
      </c>
      <c r="H280" t="n">
        <v>51</v>
      </c>
      <c r="I280" t="n">
        <v>7</v>
      </c>
      <c r="J280" t="n">
        <v>51.88</v>
      </c>
      <c r="K280" t="n">
        <v>51.88</v>
      </c>
      <c r="L280" t="n">
        <v>0</v>
      </c>
      <c r="M280" t="n">
        <v>51</v>
      </c>
      <c r="N280" t="n">
        <v>7</v>
      </c>
    </row>
    <row r="281">
      <c r="A281" t="inlineStr">
        <is>
          <t>berecorn</t>
        </is>
      </c>
      <c r="B281" t="inlineStr">
        <is>
          <t>livery of 1 cowherd for the year, 4 quarters 2.5 bushels, taking a quarter every 12 weeks.</t>
        </is>
      </c>
      <c r="C281" t="n">
        <v>0</v>
      </c>
      <c r="D281" t="n">
        <v>0</v>
      </c>
      <c r="E281" t="n">
        <v>0</v>
      </c>
      <c r="F281" t="n">
        <v>0</v>
      </c>
      <c r="H281" t="n">
        <v>4</v>
      </c>
      <c r="I281" t="n">
        <v>2.5</v>
      </c>
      <c r="J281" t="n">
        <v>4.31</v>
      </c>
      <c r="K281" t="n">
        <v>4.31</v>
      </c>
      <c r="L281" t="n">
        <v>0</v>
      </c>
      <c r="M281" t="n">
        <v>4</v>
      </c>
      <c r="N281" t="n">
        <v>2.5</v>
      </c>
    </row>
    <row r="282">
      <c r="A282" t="inlineStr">
        <is>
          <t>berecorn</t>
        </is>
      </c>
      <c r="B282" t="inlineStr">
        <is>
          <t>livery of 1 swineherd, 5 quarters 1.5 bushels, taking a quarter every 10 weeks, because the tenants who were accustomed to do this particular service are dead and their tenements remain in the lord's hands from a want of tenants.</t>
        </is>
      </c>
      <c r="C282" t="n">
        <v>0</v>
      </c>
      <c r="D282" t="n">
        <v>0</v>
      </c>
      <c r="E282" t="n">
        <v>0</v>
      </c>
      <c r="F282" t="n">
        <v>0</v>
      </c>
      <c r="H282" t="n">
        <v>5</v>
      </c>
      <c r="I282" t="n">
        <v>1.5</v>
      </c>
      <c r="J282" t="n">
        <v>5.19</v>
      </c>
      <c r="K282" t="n">
        <v>5.19</v>
      </c>
      <c r="L282" t="n">
        <v>0</v>
      </c>
      <c r="M282" t="n">
        <v>5</v>
      </c>
      <c r="N282" t="n">
        <v>1.5</v>
      </c>
    </row>
    <row r="283">
      <c r="A283" t="inlineStr">
        <is>
          <t>berecorn</t>
        </is>
      </c>
      <c r="B283" t="inlineStr">
        <is>
          <t>livery of 1 dairymaid for the year, 3 quarters 2 bushels, taking a quarter every 16 weeks.</t>
        </is>
      </c>
      <c r="C283" t="n">
        <v>0</v>
      </c>
      <c r="D283" t="n">
        <v>0</v>
      </c>
      <c r="E283" t="n">
        <v>0</v>
      </c>
      <c r="F283" t="n">
        <v>0</v>
      </c>
      <c r="H283" t="n">
        <v>3</v>
      </c>
      <c r="I283" t="n">
        <v>2</v>
      </c>
      <c r="J283" t="n">
        <v>3.25</v>
      </c>
      <c r="K283" t="n">
        <v>3.25</v>
      </c>
      <c r="L283" t="n">
        <v>0</v>
      </c>
      <c r="M283" t="n">
        <v>3</v>
      </c>
      <c r="N283" t="n">
        <v>2</v>
      </c>
    </row>
    <row r="284">
      <c r="A284" t="inlineStr">
        <is>
          <t>berecorn</t>
        </is>
      </c>
      <c r="B284" t="inlineStr">
        <is>
          <t>livery of 1 man helping the shepherd of ewes at lambing-time by fixed agreement, 1 quarters.</t>
        </is>
      </c>
      <c r="C284" t="n">
        <v>0</v>
      </c>
      <c r="D284" t="n">
        <v>0</v>
      </c>
      <c r="E284" t="n">
        <v>0</v>
      </c>
      <c r="F284" t="n">
        <v>0</v>
      </c>
      <c r="H284" t="n">
        <v>1</v>
      </c>
      <c r="I284" t="n">
        <v>0</v>
      </c>
      <c r="J284" t="n">
        <v>1</v>
      </c>
      <c r="K284" t="n">
        <v>1</v>
      </c>
      <c r="L284" t="n">
        <v>0</v>
      </c>
      <c r="M284" t="n">
        <v>1</v>
      </c>
      <c r="N284" t="n">
        <v>0</v>
      </c>
    </row>
    <row r="285">
      <c r="A285" t="inlineStr">
        <is>
          <t>berecorn</t>
        </is>
      </c>
      <c r="B285" t="inlineStr">
        <is>
          <t>livery of 1 man helping the shepherd of wethers for 18 weeks in winter, 1 quarters 4 bushels, taking a quarter every 12 weeks..</t>
        </is>
      </c>
      <c r="C285" t="n">
        <v>0</v>
      </c>
      <c r="D285" t="n">
        <v>0</v>
      </c>
      <c r="E285" t="n">
        <v>0</v>
      </c>
      <c r="F285" t="n">
        <v>0</v>
      </c>
      <c r="H285" t="n">
        <v>1</v>
      </c>
      <c r="I285" t="n">
        <v>4</v>
      </c>
      <c r="J285" t="n">
        <v>1.5</v>
      </c>
      <c r="K285" t="n">
        <v>1.5</v>
      </c>
      <c r="L285" t="n">
        <v>0</v>
      </c>
      <c r="M285" t="n">
        <v>1</v>
      </c>
      <c r="N285" t="n">
        <v>4</v>
      </c>
    </row>
    <row r="286">
      <c r="A286" t="inlineStr">
        <is>
          <t>berecorn</t>
        </is>
      </c>
      <c r="B286" t="inlineStr">
        <is>
          <t>sold at the audit, 17 quarters 4 bushels for £5 5 shilling.</t>
        </is>
      </c>
      <c r="C286" t="n">
        <v>5.25</v>
      </c>
      <c r="D286" t="n">
        <v>5</v>
      </c>
      <c r="E286" t="n">
        <v>5</v>
      </c>
      <c r="F286" t="n">
        <v>0</v>
      </c>
      <c r="H286" t="n">
        <v>17</v>
      </c>
      <c r="I286" t="n">
        <v>4</v>
      </c>
      <c r="J286" t="n">
        <v>17.5</v>
      </c>
      <c r="K286" t="n">
        <v>17.5</v>
      </c>
      <c r="L286" t="n">
        <v>0</v>
      </c>
      <c r="M286" t="n">
        <v>17</v>
      </c>
      <c r="N286" t="n">
        <v>4</v>
      </c>
    </row>
    <row r="287">
      <c r="A287" t="inlineStr">
        <is>
          <t>berecorn</t>
        </is>
      </c>
      <c r="B287" t="inlineStr">
        <is>
          <t>total as before.</t>
        </is>
      </c>
      <c r="C287" t="n">
        <v>0</v>
      </c>
      <c r="D287" t="n">
        <v>0</v>
      </c>
      <c r="E287" t="n">
        <v>0</v>
      </c>
      <c r="F287" t="n">
        <v>0</v>
      </c>
      <c r="H287" t="n">
        <v>0</v>
      </c>
      <c r="I287" t="n">
        <v>0</v>
      </c>
      <c r="J287" t="n">
        <v>0</v>
      </c>
      <c r="K287" t="n">
        <v>0</v>
      </c>
      <c r="L287" t="n">
        <v>0</v>
      </c>
      <c r="M287" t="n">
        <v>0</v>
      </c>
      <c r="N287" t="n">
        <v>0</v>
      </c>
    </row>
    <row r="288">
      <c r="A288" t="inlineStr">
        <is>
          <t>berecorn</t>
        </is>
      </c>
      <c r="B288" t="inlineStr">
        <is>
          <t>it balances.</t>
        </is>
      </c>
      <c r="C288" t="n">
        <v>0</v>
      </c>
      <c r="D288" t="n">
        <v>0</v>
      </c>
      <c r="E288" t="n">
        <v>0</v>
      </c>
      <c r="F288" t="n">
        <v>0</v>
      </c>
      <c r="H288" t="n">
        <v>0</v>
      </c>
      <c r="I288" t="n">
        <v>0</v>
      </c>
      <c r="J288" t="n">
        <v>0</v>
      </c>
      <c r="K288" t="n">
        <v>0</v>
      </c>
      <c r="L288" t="n">
        <v>0</v>
      </c>
      <c r="M288" t="n">
        <v>0</v>
      </c>
      <c r="N288" t="n">
        <v>0</v>
      </c>
    </row>
    <row r="289">
      <c r="A289" t="inlineStr">
        <is>
          <t>barley</t>
        </is>
      </c>
      <c r="B289" t="inlineStr">
        <is>
          <t>and for 68 quarters 2 bushels of barley from the whole issue of the grange, threshed by piece¬work.</t>
        </is>
      </c>
      <c r="C289" t="n">
        <v>0</v>
      </c>
      <c r="D289" t="n">
        <v>0</v>
      </c>
      <c r="E289" t="n">
        <v>0</v>
      </c>
      <c r="F289" t="n">
        <v>0</v>
      </c>
      <c r="G289" t="inlineStr">
        <is>
          <t>barley</t>
        </is>
      </c>
      <c r="H289" t="n">
        <v>68</v>
      </c>
      <c r="I289" t="n">
        <v>2</v>
      </c>
      <c r="J289" t="n">
        <v>68.25</v>
      </c>
      <c r="K289" t="n">
        <v>68.25</v>
      </c>
      <c r="L289" t="n">
        <v>0</v>
      </c>
      <c r="M289" t="n">
        <v>68</v>
      </c>
      <c r="N289" t="n">
        <v>2</v>
      </c>
    </row>
    <row r="290">
      <c r="A290" t="inlineStr">
        <is>
          <t>barley</t>
        </is>
      </c>
      <c r="B290" t="inlineStr">
        <is>
          <t>6 quarters bought in the market for sowing.</t>
        </is>
      </c>
      <c r="C290" t="n">
        <v>0</v>
      </c>
      <c r="D290" t="n">
        <v>0</v>
      </c>
      <c r="E290" t="n">
        <v>0</v>
      </c>
      <c r="F290" t="n">
        <v>0</v>
      </c>
      <c r="H290" t="n">
        <v>6</v>
      </c>
      <c r="I290" t="n">
        <v>0</v>
      </c>
      <c r="J290" t="n">
        <v>6</v>
      </c>
      <c r="K290" t="n">
        <v>6</v>
      </c>
      <c r="L290" t="n">
        <v>0</v>
      </c>
      <c r="M290" t="n">
        <v>6</v>
      </c>
      <c r="N290" t="n">
        <v>0</v>
      </c>
    </row>
    <row r="291">
      <c r="A291" t="inlineStr">
        <is>
          <t>barley</t>
        </is>
      </c>
      <c r="B291" t="inlineStr">
        <is>
          <t>12 quarters 6 bushels surcharged so that he answers for a 3-fold yield..</t>
        </is>
      </c>
      <c r="C291" t="n">
        <v>0</v>
      </c>
      <c r="D291" t="n">
        <v>0</v>
      </c>
      <c r="E291" t="n">
        <v>0</v>
      </c>
      <c r="F291" t="n">
        <v>0</v>
      </c>
      <c r="H291" t="n">
        <v>12</v>
      </c>
      <c r="I291" t="n">
        <v>6</v>
      </c>
      <c r="J291" t="n">
        <v>12.75</v>
      </c>
      <c r="K291" t="n">
        <v>12.75</v>
      </c>
      <c r="L291" t="n">
        <v>0</v>
      </c>
      <c r="M291" t="n">
        <v>12</v>
      </c>
      <c r="N291" t="n">
        <v>6</v>
      </c>
    </row>
    <row r="292">
      <c r="A292" t="inlineStr">
        <is>
          <t>barley</t>
        </is>
      </c>
      <c r="B292" t="inlineStr">
        <is>
          <t>total, 87 quarters.</t>
        </is>
      </c>
      <c r="C292" t="n">
        <v>0</v>
      </c>
      <c r="D292" t="n">
        <v>0</v>
      </c>
      <c r="E292" t="n">
        <v>0</v>
      </c>
      <c r="F292" t="n">
        <v>0</v>
      </c>
      <c r="H292" t="n">
        <v>87</v>
      </c>
      <c r="I292" t="n">
        <v>0</v>
      </c>
      <c r="J292" t="n">
        <v>87</v>
      </c>
      <c r="K292" t="n">
        <v>87</v>
      </c>
      <c r="L292" t="n">
        <v>0</v>
      </c>
      <c r="M292" t="n">
        <v>87</v>
      </c>
      <c r="N292" t="n">
        <v>0</v>
      </c>
    </row>
    <row r="293">
      <c r="A293" t="inlineStr">
        <is>
          <t>barley</t>
        </is>
      </c>
      <c r="B293" t="inlineStr">
        <is>
          <t>sown over 40 acres of land by the perch which lie in le middelfeld', 20 quarters.</t>
        </is>
      </c>
      <c r="C293" t="n">
        <v>0</v>
      </c>
      <c r="D293" t="n">
        <v>0</v>
      </c>
      <c r="E293" t="n">
        <v>0</v>
      </c>
      <c r="F293" t="n">
        <v>0</v>
      </c>
      <c r="H293" t="n">
        <v>20</v>
      </c>
      <c r="I293" t="n">
        <v>0</v>
      </c>
      <c r="J293" t="n">
        <v>20</v>
      </c>
      <c r="K293" t="n">
        <v>20</v>
      </c>
      <c r="L293" t="n">
        <v>0</v>
      </c>
      <c r="M293" t="n">
        <v>20</v>
      </c>
      <c r="N293" t="n">
        <v>0</v>
      </c>
    </row>
    <row r="294">
      <c r="A294" t="inlineStr">
        <is>
          <t>barley</t>
        </is>
      </c>
      <c r="B294" t="inlineStr">
        <is>
          <t>that is, 4 bushels an acre.</t>
        </is>
      </c>
      <c r="C294" t="n">
        <v>0</v>
      </c>
      <c r="D294" t="n">
        <v>0</v>
      </c>
      <c r="E294" t="n">
        <v>0</v>
      </c>
      <c r="F294" t="n">
        <v>0</v>
      </c>
      <c r="H294" t="n">
        <v>0</v>
      </c>
      <c r="I294" t="n">
        <v>4</v>
      </c>
      <c r="J294" t="n">
        <v>0.5</v>
      </c>
      <c r="K294" t="n">
        <v>0.5</v>
      </c>
      <c r="L294" t="n">
        <v>0</v>
      </c>
      <c r="M294" t="n">
        <v>0</v>
      </c>
      <c r="N294" t="n">
        <v>4</v>
      </c>
    </row>
    <row r="295">
      <c r="A295" t="inlineStr">
        <is>
          <t>barley</t>
        </is>
      </c>
      <c r="B295" t="inlineStr">
        <is>
          <t>malting, 54 quarters 2 bushels.</t>
        </is>
      </c>
      <c r="C295" t="n">
        <v>0</v>
      </c>
      <c r="D295" t="n">
        <v>0</v>
      </c>
      <c r="E295" t="n">
        <v>0</v>
      </c>
      <c r="F295" t="n">
        <v>0</v>
      </c>
      <c r="G295" t="inlineStr">
        <is>
          <t>malt</t>
        </is>
      </c>
      <c r="H295" t="n">
        <v>54</v>
      </c>
      <c r="I295" t="n">
        <v>2</v>
      </c>
      <c r="J295" t="n">
        <v>54.25</v>
      </c>
      <c r="K295" t="n">
        <v>54.25</v>
      </c>
      <c r="L295" t="n">
        <v>0</v>
      </c>
      <c r="M295" t="n">
        <v>54</v>
      </c>
      <c r="N295" t="n">
        <v>2</v>
      </c>
    </row>
    <row r="296">
      <c r="A296" t="inlineStr">
        <is>
          <t>barley</t>
        </is>
      </c>
      <c r="B296" t="inlineStr">
        <is>
          <t>sold at the audit, 12 quarters 6 bushels for £2 18 shilling 9pence.</t>
        </is>
      </c>
      <c r="C296" t="n">
        <v>2.94</v>
      </c>
      <c r="D296" t="n">
        <v>2</v>
      </c>
      <c r="E296" t="n">
        <v>18</v>
      </c>
      <c r="F296" t="n">
        <v>9</v>
      </c>
      <c r="H296" t="n">
        <v>12</v>
      </c>
      <c r="I296" t="n">
        <v>6</v>
      </c>
      <c r="J296" t="n">
        <v>12.75</v>
      </c>
      <c r="K296" t="n">
        <v>12.75</v>
      </c>
      <c r="L296" t="n">
        <v>0</v>
      </c>
      <c r="M296" t="n">
        <v>12</v>
      </c>
      <c r="N296" t="n">
        <v>6</v>
      </c>
    </row>
    <row r="297">
      <c r="A297" t="inlineStr">
        <is>
          <t>barley</t>
        </is>
      </c>
      <c r="B297" t="inlineStr">
        <is>
          <t>total as before.</t>
        </is>
      </c>
      <c r="C297" t="n">
        <v>0</v>
      </c>
      <c r="D297" t="n">
        <v>0</v>
      </c>
      <c r="E297" t="n">
        <v>0</v>
      </c>
      <c r="F297" t="n">
        <v>0</v>
      </c>
      <c r="H297" t="n">
        <v>0</v>
      </c>
      <c r="I297" t="n">
        <v>0</v>
      </c>
      <c r="J297" t="n">
        <v>0</v>
      </c>
      <c r="K297" t="n">
        <v>0</v>
      </c>
      <c r="L297" t="n">
        <v>0</v>
      </c>
      <c r="M297" t="n">
        <v>0</v>
      </c>
      <c r="N297" t="n">
        <v>0</v>
      </c>
    </row>
    <row r="298">
      <c r="A298" t="inlineStr">
        <is>
          <t>barley</t>
        </is>
      </c>
      <c r="B298" t="inlineStr">
        <is>
          <t>it balances.</t>
        </is>
      </c>
      <c r="C298" t="n">
        <v>0</v>
      </c>
      <c r="D298" t="n">
        <v>0</v>
      </c>
      <c r="E298" t="n">
        <v>0</v>
      </c>
      <c r="F298" t="n">
        <v>0</v>
      </c>
      <c r="H298" t="n">
        <v>0</v>
      </c>
      <c r="I298" t="n">
        <v>0</v>
      </c>
      <c r="J298" t="n">
        <v>0</v>
      </c>
      <c r="K298" t="n">
        <v>0</v>
      </c>
      <c r="L298" t="n">
        <v>0</v>
      </c>
      <c r="M298" t="n">
        <v>0</v>
      </c>
      <c r="N298" t="n">
        <v>0</v>
      </c>
    </row>
    <row r="299">
      <c r="A299" t="inlineStr">
        <is>
          <t>dredge</t>
        </is>
      </c>
      <c r="B299" t="inlineStr">
        <is>
          <t>and for 29 quarters 4 bushels of dredge from the whole issue of the grange, threshed by piece-work.</t>
        </is>
      </c>
      <c r="C299" t="n">
        <v>0</v>
      </c>
      <c r="D299" t="n">
        <v>0</v>
      </c>
      <c r="E299" t="n">
        <v>0</v>
      </c>
      <c r="F299" t="n">
        <v>0</v>
      </c>
      <c r="G299" t="inlineStr">
        <is>
          <t>dredge</t>
        </is>
      </c>
      <c r="H299" t="n">
        <v>29</v>
      </c>
      <c r="I299" t="n">
        <v>4</v>
      </c>
      <c r="J299" t="n">
        <v>29.5</v>
      </c>
      <c r="K299" t="n">
        <v>29.5</v>
      </c>
      <c r="L299" t="n">
        <v>0</v>
      </c>
      <c r="M299" t="n">
        <v>29</v>
      </c>
      <c r="N299" t="n">
        <v>4</v>
      </c>
    </row>
    <row r="300">
      <c r="A300" t="inlineStr">
        <is>
          <t>dredge</t>
        </is>
      </c>
      <c r="B300" t="inlineStr">
        <is>
          <t>12 quarters 4 bushels surcharged so that he answers for a 4-fold yield.</t>
        </is>
      </c>
      <c r="C300" t="n">
        <v>0</v>
      </c>
      <c r="D300" t="n">
        <v>0</v>
      </c>
      <c r="E300" t="n">
        <v>0</v>
      </c>
      <c r="F300" t="n">
        <v>0</v>
      </c>
      <c r="H300" t="n">
        <v>12</v>
      </c>
      <c r="I300" t="n">
        <v>4</v>
      </c>
      <c r="J300" t="n">
        <v>12.5</v>
      </c>
      <c r="K300" t="n">
        <v>12.5</v>
      </c>
      <c r="L300" t="n">
        <v>0</v>
      </c>
      <c r="M300" t="n">
        <v>12</v>
      </c>
      <c r="N300" t="n">
        <v>4</v>
      </c>
    </row>
    <row r="301">
      <c r="A301" t="inlineStr">
        <is>
          <t>dredge</t>
        </is>
      </c>
      <c r="B301" t="inlineStr">
        <is>
          <t>total, 42 quarters.</t>
        </is>
      </c>
      <c r="C301" t="n">
        <v>0</v>
      </c>
      <c r="D301" t="n">
        <v>0</v>
      </c>
      <c r="E301" t="n">
        <v>0</v>
      </c>
      <c r="F301" t="n">
        <v>0</v>
      </c>
      <c r="H301" t="n">
        <v>42</v>
      </c>
      <c r="I301" t="n">
        <v>0</v>
      </c>
      <c r="J301" t="n">
        <v>42</v>
      </c>
      <c r="K301" t="n">
        <v>42</v>
      </c>
      <c r="L301" t="n">
        <v>0</v>
      </c>
      <c r="M301" t="n">
        <v>42</v>
      </c>
      <c r="N301" t="n">
        <v>0</v>
      </c>
    </row>
    <row r="302">
      <c r="A302" t="inlineStr">
        <is>
          <t>dredge</t>
        </is>
      </c>
      <c r="B302" t="inlineStr">
        <is>
          <t>sown over 20.5 acres of land by the perch which lie in le malme, 10 quarters 2 bushels.</t>
        </is>
      </c>
      <c r="C302" t="n">
        <v>0</v>
      </c>
      <c r="D302" t="n">
        <v>0</v>
      </c>
      <c r="E302" t="n">
        <v>0</v>
      </c>
      <c r="F302" t="n">
        <v>0</v>
      </c>
      <c r="H302" t="n">
        <v>10</v>
      </c>
      <c r="I302" t="n">
        <v>2</v>
      </c>
      <c r="J302" t="n">
        <v>10.25</v>
      </c>
      <c r="K302" t="n">
        <v>10.25</v>
      </c>
      <c r="L302" t="n">
        <v>0</v>
      </c>
      <c r="M302" t="n">
        <v>10</v>
      </c>
      <c r="N302" t="n">
        <v>2</v>
      </c>
    </row>
    <row r="303">
      <c r="A303" t="inlineStr">
        <is>
          <t>dredge</t>
        </is>
      </c>
      <c r="B303" t="inlineStr">
        <is>
          <t>that is, 4 bushels an acre.</t>
        </is>
      </c>
      <c r="C303" t="n">
        <v>0</v>
      </c>
      <c r="D303" t="n">
        <v>0</v>
      </c>
      <c r="E303" t="n">
        <v>0</v>
      </c>
      <c r="F303" t="n">
        <v>0</v>
      </c>
      <c r="H303" t="n">
        <v>0</v>
      </c>
      <c r="I303" t="n">
        <v>4</v>
      </c>
      <c r="J303" t="n">
        <v>0.5</v>
      </c>
      <c r="K303" t="n">
        <v>0.5</v>
      </c>
      <c r="L303" t="n">
        <v>0</v>
      </c>
      <c r="M303" t="n">
        <v>0</v>
      </c>
      <c r="N303" t="n">
        <v>4</v>
      </c>
    </row>
    <row r="304">
      <c r="A304" t="inlineStr">
        <is>
          <t>dredge</t>
        </is>
      </c>
      <c r="B304" t="inlineStr">
        <is>
          <t>malting, 19 quarters 2 bushels.</t>
        </is>
      </c>
      <c r="C304" t="n">
        <v>0</v>
      </c>
      <c r="D304" t="n">
        <v>0</v>
      </c>
      <c r="E304" t="n">
        <v>0</v>
      </c>
      <c r="F304" t="n">
        <v>0</v>
      </c>
      <c r="G304" t="inlineStr">
        <is>
          <t>malt</t>
        </is>
      </c>
      <c r="H304" t="n">
        <v>19</v>
      </c>
      <c r="I304" t="n">
        <v>2</v>
      </c>
      <c r="J304" t="n">
        <v>19.25</v>
      </c>
      <c r="K304" t="n">
        <v>19.25</v>
      </c>
      <c r="L304" t="n">
        <v>0</v>
      </c>
      <c r="M304" t="n">
        <v>19</v>
      </c>
      <c r="N304" t="n">
        <v>2</v>
      </c>
    </row>
    <row r="305">
      <c r="A305" t="inlineStr">
        <is>
          <t>dredge</t>
        </is>
      </c>
      <c r="B305" t="inlineStr">
        <is>
          <t>sold at the audit, 12 quarters 4 bushels for £2 10 shilling.</t>
        </is>
      </c>
      <c r="C305" t="n">
        <v>2.5</v>
      </c>
      <c r="D305" t="n">
        <v>2</v>
      </c>
      <c r="E305" t="n">
        <v>10</v>
      </c>
      <c r="F305" t="n">
        <v>0</v>
      </c>
      <c r="H305" t="n">
        <v>12</v>
      </c>
      <c r="I305" t="n">
        <v>4</v>
      </c>
      <c r="J305" t="n">
        <v>12.5</v>
      </c>
      <c r="K305" t="n">
        <v>12.5</v>
      </c>
      <c r="L305" t="n">
        <v>0</v>
      </c>
      <c r="M305" t="n">
        <v>12</v>
      </c>
      <c r="N305" t="n">
        <v>4</v>
      </c>
    </row>
    <row r="306">
      <c r="A306" t="inlineStr">
        <is>
          <t>dredge</t>
        </is>
      </c>
      <c r="B306" t="inlineStr">
        <is>
          <t>total as before.</t>
        </is>
      </c>
      <c r="C306" t="n">
        <v>0</v>
      </c>
      <c r="D306" t="n">
        <v>0</v>
      </c>
      <c r="E306" t="n">
        <v>0</v>
      </c>
      <c r="F306" t="n">
        <v>0</v>
      </c>
      <c r="H306" t="n">
        <v>0</v>
      </c>
      <c r="I306" t="n">
        <v>0</v>
      </c>
      <c r="J306" t="n">
        <v>0</v>
      </c>
      <c r="K306" t="n">
        <v>0</v>
      </c>
      <c r="L306" t="n">
        <v>0</v>
      </c>
      <c r="M306" t="n">
        <v>0</v>
      </c>
      <c r="N306" t="n">
        <v>0</v>
      </c>
    </row>
    <row r="307">
      <c r="A307" t="inlineStr">
        <is>
          <t>dredge</t>
        </is>
      </c>
      <c r="B307" t="inlineStr">
        <is>
          <t>it balances.</t>
        </is>
      </c>
      <c r="C307" t="n">
        <v>0</v>
      </c>
      <c r="D307" t="n">
        <v>0</v>
      </c>
      <c r="E307" t="n">
        <v>0</v>
      </c>
      <c r="F307" t="n">
        <v>0</v>
      </c>
      <c r="H307" t="n">
        <v>0</v>
      </c>
      <c r="I307" t="n">
        <v>0</v>
      </c>
      <c r="J307" t="n">
        <v>0</v>
      </c>
      <c r="K307" t="n">
        <v>0</v>
      </c>
      <c r="L307" t="n">
        <v>0</v>
      </c>
      <c r="M307" t="n">
        <v>0</v>
      </c>
      <c r="N307" t="n">
        <v>0</v>
      </c>
    </row>
    <row r="308">
      <c r="A308" t="inlineStr">
        <is>
          <t>pulses</t>
        </is>
      </c>
      <c r="B308" t="inlineStr">
        <is>
          <t>and for 28 quarters of pulses from the whole issue of the grange, threshed by labour service.</t>
        </is>
      </c>
      <c r="C308" t="n">
        <v>0</v>
      </c>
      <c r="D308" t="n">
        <v>0</v>
      </c>
      <c r="E308" t="n">
        <v>0</v>
      </c>
      <c r="F308" t="n">
        <v>0</v>
      </c>
      <c r="H308" t="n">
        <v>28</v>
      </c>
      <c r="I308" t="n">
        <v>0</v>
      </c>
      <c r="J308" t="n">
        <v>28</v>
      </c>
      <c r="K308" t="n">
        <v>28</v>
      </c>
      <c r="L308" t="n">
        <v>0</v>
      </c>
      <c r="M308" t="n">
        <v>28</v>
      </c>
      <c r="N308" t="n">
        <v>0</v>
      </c>
    </row>
    <row r="309">
      <c r="A309" t="inlineStr">
        <is>
          <t>pulses</t>
        </is>
      </c>
      <c r="B309" t="inlineStr">
        <is>
          <t>26 quarters from the same by estimation in husks.</t>
        </is>
      </c>
      <c r="C309" t="n">
        <v>0</v>
      </c>
      <c r="D309" t="n">
        <v>0</v>
      </c>
      <c r="E309" t="n">
        <v>0</v>
      </c>
      <c r="F309" t="n">
        <v>0</v>
      </c>
      <c r="H309" t="n">
        <v>26</v>
      </c>
      <c r="I309" t="n">
        <v>0</v>
      </c>
      <c r="J309" t="n">
        <v>26</v>
      </c>
      <c r="K309" t="n">
        <v>26</v>
      </c>
      <c r="L309" t="n">
        <v>0</v>
      </c>
      <c r="M309" t="n">
        <v>26</v>
      </c>
      <c r="N309" t="n">
        <v>0</v>
      </c>
    </row>
    <row r="310">
      <c r="A310" t="inlineStr">
        <is>
          <t>pulses</t>
        </is>
      </c>
      <c r="B310" t="inlineStr">
        <is>
          <t>8 quarters 4 bushels bought for sowing.</t>
        </is>
      </c>
      <c r="C310" t="n">
        <v>0</v>
      </c>
      <c r="D310" t="n">
        <v>0</v>
      </c>
      <c r="E310" t="n">
        <v>0</v>
      </c>
      <c r="F310" t="n">
        <v>0</v>
      </c>
      <c r="H310" t="n">
        <v>8</v>
      </c>
      <c r="I310" t="n">
        <v>4</v>
      </c>
      <c r="J310" t="n">
        <v>8.5</v>
      </c>
      <c r="K310" t="n">
        <v>8.5</v>
      </c>
      <c r="L310" t="n">
        <v>0</v>
      </c>
      <c r="M310" t="n">
        <v>8</v>
      </c>
      <c r="N310" t="n">
        <v>4</v>
      </c>
    </row>
    <row r="311">
      <c r="A311" t="inlineStr">
        <is>
          <t>pulses</t>
        </is>
      </c>
      <c r="B311" t="inlineStr">
        <is>
          <t>24 quarters surcharged so that he answers for a two-fold yield.</t>
        </is>
      </c>
      <c r="C311" t="n">
        <v>0</v>
      </c>
      <c r="D311" t="n">
        <v>0</v>
      </c>
      <c r="E311" t="n">
        <v>0</v>
      </c>
      <c r="F311" t="n">
        <v>0</v>
      </c>
      <c r="H311" t="n">
        <v>24</v>
      </c>
      <c r="I311" t="n">
        <v>0</v>
      </c>
      <c r="J311" t="n">
        <v>24</v>
      </c>
      <c r="K311" t="n">
        <v>24</v>
      </c>
      <c r="L311" t="n">
        <v>0</v>
      </c>
      <c r="M311" t="n">
        <v>24</v>
      </c>
      <c r="N311" t="n">
        <v>0</v>
      </c>
    </row>
    <row r="312">
      <c r="A312" t="inlineStr">
        <is>
          <t>pulses</t>
        </is>
      </c>
      <c r="B312" t="inlineStr">
        <is>
          <t>total, 86 quarters 4 bushels.</t>
        </is>
      </c>
      <c r="C312" t="n">
        <v>0</v>
      </c>
      <c r="D312" t="n">
        <v>0</v>
      </c>
      <c r="E312" t="n">
        <v>0</v>
      </c>
      <c r="F312" t="n">
        <v>0</v>
      </c>
      <c r="H312" t="n">
        <v>86</v>
      </c>
      <c r="I312" t="n">
        <v>4</v>
      </c>
      <c r="J312" t="n">
        <v>86.5</v>
      </c>
      <c r="K312" t="n">
        <v>86.5</v>
      </c>
      <c r="L312" t="n">
        <v>0</v>
      </c>
      <c r="M312" t="n">
        <v>86</v>
      </c>
      <c r="N312" t="n">
        <v>4</v>
      </c>
    </row>
    <row r="313">
      <c r="A313" t="inlineStr">
        <is>
          <t>pulses</t>
        </is>
      </c>
      <c r="B313" t="inlineStr">
        <is>
          <t>sown over 73 acres of land by the perch which lie in le bene, 27 quarters 2 bushels.</t>
        </is>
      </c>
      <c r="C313" t="n">
        <v>0</v>
      </c>
      <c r="D313" t="n">
        <v>0</v>
      </c>
      <c r="E313" t="n">
        <v>0</v>
      </c>
      <c r="F313" t="n">
        <v>0</v>
      </c>
      <c r="H313" t="n">
        <v>27</v>
      </c>
      <c r="I313" t="n">
        <v>2</v>
      </c>
      <c r="J313" t="n">
        <v>27.25</v>
      </c>
      <c r="K313" t="n">
        <v>27.25</v>
      </c>
      <c r="L313" t="n">
        <v>0</v>
      </c>
      <c r="M313" t="n">
        <v>27</v>
      </c>
      <c r="N313" t="n">
        <v>2</v>
      </c>
    </row>
    <row r="314">
      <c r="A314" t="inlineStr">
        <is>
          <t>pulses</t>
        </is>
      </c>
      <c r="B314" t="inlineStr">
        <is>
          <t>that is, 3 bushels an acre, less 1 bushels in all.</t>
        </is>
      </c>
      <c r="C314" t="n">
        <v>0</v>
      </c>
      <c r="D314" t="n">
        <v>0</v>
      </c>
      <c r="E314" t="n">
        <v>0</v>
      </c>
      <c r="F314" t="n">
        <v>0</v>
      </c>
      <c r="H314" t="n">
        <v>0</v>
      </c>
      <c r="I314" t="n">
        <v>1</v>
      </c>
      <c r="J314" t="n">
        <v>0.12</v>
      </c>
      <c r="K314" t="n">
        <v>0.38</v>
      </c>
      <c r="L314" t="n">
        <v>-0.25</v>
      </c>
      <c r="M314" t="n">
        <v>0</v>
      </c>
      <c r="N314" t="n">
        <v>3</v>
      </c>
      <c r="O314" t="n">
        <v>0</v>
      </c>
      <c r="P314" t="n">
        <v>1</v>
      </c>
    </row>
    <row r="315">
      <c r="A315" t="inlineStr">
        <is>
          <t>pulses</t>
        </is>
      </c>
      <c r="B315" t="inlineStr">
        <is>
          <t>given to the oxen, cows, wethers, ewes, hoggs, yearlings and calves in winter for their support by reason of their feebleness, 26 quarters by estimation in husks.</t>
        </is>
      </c>
      <c r="C315" t="n">
        <v>0</v>
      </c>
      <c r="D315" t="n">
        <v>0</v>
      </c>
      <c r="E315" t="n">
        <v>0</v>
      </c>
      <c r="F315" t="n">
        <v>0</v>
      </c>
      <c r="H315" t="n">
        <v>26</v>
      </c>
      <c r="I315" t="n">
        <v>0</v>
      </c>
      <c r="J315" t="n">
        <v>26</v>
      </c>
      <c r="K315" t="n">
        <v>26</v>
      </c>
      <c r="L315" t="n">
        <v>0</v>
      </c>
      <c r="M315" t="n">
        <v>26</v>
      </c>
      <c r="N315" t="n">
        <v>0</v>
      </c>
    </row>
    <row r="316">
      <c r="A316" t="inlineStr">
        <is>
          <t>pulses</t>
        </is>
      </c>
      <c r="B316" t="inlineStr">
        <is>
          <t>given to support the pigs and hoggets in winter and summer because of their feebleness, 9 quarters 2 bushels.</t>
        </is>
      </c>
      <c r="C316" t="n">
        <v>0</v>
      </c>
      <c r="D316" t="n">
        <v>0</v>
      </c>
      <c r="E316" t="n">
        <v>0</v>
      </c>
      <c r="F316" t="n">
        <v>0</v>
      </c>
      <c r="H316" t="n">
        <v>9</v>
      </c>
      <c r="I316" t="n">
        <v>2</v>
      </c>
      <c r="J316" t="n">
        <v>9.25</v>
      </c>
      <c r="K316" t="n">
        <v>9.25</v>
      </c>
      <c r="L316" t="n">
        <v>0</v>
      </c>
      <c r="M316" t="n">
        <v>9</v>
      </c>
      <c r="N316" t="n">
        <v>2</v>
      </c>
    </row>
    <row r="317">
      <c r="A317" t="inlineStr">
        <is>
          <t>pulses</t>
        </is>
      </c>
      <c r="B317" t="inlineStr">
        <is>
          <t>sold at the audit, 24 quarters for £4..</t>
        </is>
      </c>
      <c r="C317" t="n">
        <v>4</v>
      </c>
      <c r="D317" t="n">
        <v>4</v>
      </c>
      <c r="E317" t="n">
        <v>0</v>
      </c>
      <c r="F317" t="n">
        <v>0</v>
      </c>
      <c r="H317" t="n">
        <v>24</v>
      </c>
      <c r="I317" t="n">
        <v>0</v>
      </c>
      <c r="J317" t="n">
        <v>24</v>
      </c>
      <c r="K317" t="n">
        <v>24</v>
      </c>
      <c r="L317" t="n">
        <v>0</v>
      </c>
      <c r="M317" t="n">
        <v>24</v>
      </c>
      <c r="N317" t="n">
        <v>0</v>
      </c>
    </row>
    <row r="318">
      <c r="A318" t="inlineStr">
        <is>
          <t>pulses</t>
        </is>
      </c>
      <c r="B318" t="inlineStr">
        <is>
          <t>total as before.</t>
        </is>
      </c>
      <c r="C318" t="n">
        <v>0</v>
      </c>
      <c r="D318" t="n">
        <v>0</v>
      </c>
      <c r="E318" t="n">
        <v>0</v>
      </c>
      <c r="F318" t="n">
        <v>0</v>
      </c>
      <c r="H318" t="n">
        <v>0</v>
      </c>
      <c r="I318" t="n">
        <v>0</v>
      </c>
      <c r="J318" t="n">
        <v>0</v>
      </c>
      <c r="K318" t="n">
        <v>0</v>
      </c>
      <c r="L318" t="n">
        <v>0</v>
      </c>
      <c r="M318" t="n">
        <v>0</v>
      </c>
      <c r="N318" t="n">
        <v>0</v>
      </c>
    </row>
    <row r="319">
      <c r="A319" t="inlineStr">
        <is>
          <t>pulses</t>
        </is>
      </c>
      <c r="B319" t="inlineStr">
        <is>
          <t>it balances.</t>
        </is>
      </c>
      <c r="C319" t="n">
        <v>0</v>
      </c>
      <c r="D319" t="n">
        <v>0</v>
      </c>
      <c r="E319" t="n">
        <v>0</v>
      </c>
      <c r="F319" t="n">
        <v>0</v>
      </c>
      <c r="H319" t="n">
        <v>0</v>
      </c>
      <c r="I319" t="n">
        <v>0</v>
      </c>
      <c r="J319" t="n">
        <v>0</v>
      </c>
      <c r="K319" t="n">
        <v>0</v>
      </c>
      <c r="L319" t="n">
        <v>0</v>
      </c>
      <c r="M319" t="n">
        <v>0</v>
      </c>
      <c r="N319" t="n">
        <v>0</v>
      </c>
    </row>
    <row r="320">
      <c r="A320" t="inlineStr">
        <is>
          <t>oats</t>
        </is>
      </c>
      <c r="B320" t="inlineStr">
        <is>
          <t>and for 36 quarters of oats from the whole issue of the grange, threshed by piece-work.</t>
        </is>
      </c>
      <c r="C320" t="n">
        <v>0</v>
      </c>
      <c r="D320" t="n">
        <v>0</v>
      </c>
      <c r="E320" t="n">
        <v>0</v>
      </c>
      <c r="F320" t="n">
        <v>0</v>
      </c>
      <c r="G320" t="inlineStr">
        <is>
          <t>oats</t>
        </is>
      </c>
      <c r="H320" t="n">
        <v>36</v>
      </c>
      <c r="I320" t="n">
        <v>0</v>
      </c>
      <c r="J320" t="n">
        <v>36</v>
      </c>
      <c r="K320" t="n">
        <v>36</v>
      </c>
      <c r="L320" t="n">
        <v>0</v>
      </c>
      <c r="M320" t="n">
        <v>36</v>
      </c>
      <c r="N320" t="n">
        <v>0</v>
      </c>
    </row>
    <row r="321">
      <c r="A321" t="inlineStr">
        <is>
          <t>oats</t>
        </is>
      </c>
      <c r="B321" t="inlineStr">
        <is>
          <t>12 quarters from the same issue by estimation in sheaves.</t>
        </is>
      </c>
      <c r="C321" t="n">
        <v>0</v>
      </c>
      <c r="D321" t="n">
        <v>0</v>
      </c>
      <c r="E321" t="n">
        <v>0</v>
      </c>
      <c r="F321" t="n">
        <v>0</v>
      </c>
      <c r="H321" t="n">
        <v>12</v>
      </c>
      <c r="I321" t="n">
        <v>0</v>
      </c>
      <c r="J321" t="n">
        <v>12</v>
      </c>
      <c r="K321" t="n">
        <v>12</v>
      </c>
      <c r="L321" t="n">
        <v>0</v>
      </c>
      <c r="M321" t="n">
        <v>12</v>
      </c>
      <c r="N321" t="n">
        <v>0</v>
      </c>
    </row>
    <row r="322">
      <c r="A322" t="inlineStr">
        <is>
          <t>oats</t>
        </is>
      </c>
      <c r="B322" t="inlineStr">
        <is>
          <t>39 quarters 3 bushels from the vill according to custom at the purification (2 february).</t>
        </is>
      </c>
      <c r="C322" t="n">
        <v>0</v>
      </c>
      <c r="D322" t="n">
        <v>0</v>
      </c>
      <c r="E322" t="n">
        <v>0</v>
      </c>
      <c r="F322" t="n">
        <v>0</v>
      </c>
      <c r="H322" t="n">
        <v>39</v>
      </c>
      <c r="I322" t="n">
        <v>3</v>
      </c>
      <c r="J322" t="n">
        <v>39.38</v>
      </c>
      <c r="K322" t="n">
        <v>39.38</v>
      </c>
      <c r="L322" t="n">
        <v>0</v>
      </c>
      <c r="M322" t="n">
        <v>39</v>
      </c>
      <c r="N322" t="n">
        <v>3</v>
      </c>
    </row>
    <row r="323">
      <c r="A323" t="inlineStr">
        <is>
          <t>oats</t>
        </is>
      </c>
      <c r="B323" t="inlineStr">
        <is>
          <t>6 quarters surcharged so that he answers for a 3-fold yield.</t>
        </is>
      </c>
      <c r="C323" t="n">
        <v>0</v>
      </c>
      <c r="D323" t="n">
        <v>0</v>
      </c>
      <c r="E323" t="n">
        <v>0</v>
      </c>
      <c r="F323" t="n">
        <v>0</v>
      </c>
      <c r="H323" t="n">
        <v>6</v>
      </c>
      <c r="I323" t="n">
        <v>0</v>
      </c>
      <c r="J323" t="n">
        <v>6</v>
      </c>
      <c r="K323" t="n">
        <v>6</v>
      </c>
      <c r="L323" t="n">
        <v>0</v>
      </c>
      <c r="M323" t="n">
        <v>6</v>
      </c>
      <c r="N323" t="n">
        <v>0</v>
      </c>
    </row>
    <row r="324">
      <c r="A324" t="inlineStr">
        <is>
          <t>oats</t>
        </is>
      </c>
      <c r="B324" t="inlineStr">
        <is>
          <t>total, 93 quarters 3 bushels.</t>
        </is>
      </c>
      <c r="C324" t="n">
        <v>0</v>
      </c>
      <c r="D324" t="n">
        <v>0</v>
      </c>
      <c r="E324" t="n">
        <v>0</v>
      </c>
      <c r="F324" t="n">
        <v>0</v>
      </c>
      <c r="H324" t="n">
        <v>93</v>
      </c>
      <c r="I324" t="n">
        <v>3</v>
      </c>
      <c r="J324" t="n">
        <v>93.38</v>
      </c>
      <c r="K324" t="n">
        <v>93.38</v>
      </c>
      <c r="L324" t="n">
        <v>0</v>
      </c>
      <c r="M324" t="n">
        <v>93</v>
      </c>
      <c r="N324" t="n">
        <v>3</v>
      </c>
    </row>
    <row r="325">
      <c r="A325" t="inlineStr">
        <is>
          <t>oats</t>
        </is>
      </c>
      <c r="B325" t="inlineStr">
        <is>
          <t>sown over 34.5 acres of land by the perch which lie in le malme, 17 quarters 2 bushels.</t>
        </is>
      </c>
      <c r="C325" t="n">
        <v>0</v>
      </c>
      <c r="D325" t="n">
        <v>0</v>
      </c>
      <c r="E325" t="n">
        <v>0</v>
      </c>
      <c r="F325" t="n">
        <v>0</v>
      </c>
      <c r="H325" t="n">
        <v>17</v>
      </c>
      <c r="I325" t="n">
        <v>2</v>
      </c>
      <c r="J325" t="n">
        <v>17.25</v>
      </c>
      <c r="K325" t="n">
        <v>17.25</v>
      </c>
      <c r="L325" t="n">
        <v>0</v>
      </c>
      <c r="M325" t="n">
        <v>17</v>
      </c>
      <c r="N325" t="n">
        <v>2</v>
      </c>
    </row>
    <row r="326">
      <c r="A326" t="inlineStr">
        <is>
          <t>oats</t>
        </is>
      </c>
      <c r="B326" t="inlineStr">
        <is>
          <t>that is, 4 bushels an acre.</t>
        </is>
      </c>
      <c r="C326" t="n">
        <v>0</v>
      </c>
      <c r="D326" t="n">
        <v>0</v>
      </c>
      <c r="E326" t="n">
        <v>0</v>
      </c>
      <c r="F326" t="n">
        <v>0</v>
      </c>
      <c r="H326" t="n">
        <v>0</v>
      </c>
      <c r="I326" t="n">
        <v>4</v>
      </c>
      <c r="J326" t="n">
        <v>0.5</v>
      </c>
      <c r="K326" t="n">
        <v>0.5</v>
      </c>
      <c r="L326" t="n">
        <v>0</v>
      </c>
      <c r="M326" t="n">
        <v>0</v>
      </c>
      <c r="N326" t="n">
        <v>4</v>
      </c>
    </row>
    <row r="327">
      <c r="A327" t="inlineStr">
        <is>
          <t>oats</t>
        </is>
      </c>
      <c r="B327" t="inlineStr">
        <is>
          <t>default of various tenements in the lord's hands through the death of customary tenants by the pestilence, 11 quarters 2 bushels.</t>
        </is>
      </c>
      <c r="C327" t="n">
        <v>0</v>
      </c>
      <c r="D327" t="n">
        <v>0</v>
      </c>
      <c r="E327" t="n">
        <v>0</v>
      </c>
      <c r="F327" t="n">
        <v>0</v>
      </c>
      <c r="H327" t="n">
        <v>11</v>
      </c>
      <c r="I327" t="n">
        <v>2</v>
      </c>
      <c r="J327" t="n">
        <v>11.25</v>
      </c>
      <c r="K327" t="n">
        <v>11.25</v>
      </c>
      <c r="L327" t="n">
        <v>0</v>
      </c>
      <c r="M327" t="n">
        <v>11</v>
      </c>
      <c r="N327" t="n">
        <v>2</v>
      </c>
    </row>
    <row r="328">
      <c r="A328" t="inlineStr">
        <is>
          <t>oats</t>
        </is>
      </c>
      <c r="B328" t="inlineStr">
        <is>
          <t>that is, 6 bushels for the tenement of james fourhous, 1 quarters 4 bushels for that of john wodefoghell', 1 quarters 4 bushels for that of henry havecombe, 6 bushels for that of john peke, 1 quarters 4 bushels for that of john havecombe, 6 bushels for that of william vage, 2 quarters 2 bushels for that of john atte wode, 6 bushels for that of william elyot, 6 bushels for that of james gybon, and 6 bushels for that of john herry.</t>
        </is>
      </c>
      <c r="C328" t="n">
        <v>0</v>
      </c>
      <c r="D328" t="n">
        <v>0</v>
      </c>
      <c r="E328" t="n">
        <v>0</v>
      </c>
      <c r="F328" t="n">
        <v>0</v>
      </c>
      <c r="H328" t="n">
        <v>5</v>
      </c>
      <c r="I328" t="n">
        <v>44</v>
      </c>
      <c r="J328" t="n">
        <v>10.5</v>
      </c>
      <c r="K328" t="n">
        <v>0.75</v>
      </c>
      <c r="L328" t="n">
        <v>9.75</v>
      </c>
      <c r="M328" t="n">
        <v>0</v>
      </c>
      <c r="N328" t="n">
        <v>6</v>
      </c>
      <c r="O328" t="n">
        <v>1</v>
      </c>
      <c r="P328" t="n">
        <v>4</v>
      </c>
      <c r="Q328" t="n">
        <v>1</v>
      </c>
      <c r="R328" t="n">
        <v>4</v>
      </c>
      <c r="S328" t="n">
        <v>0</v>
      </c>
      <c r="T328" t="n">
        <v>6</v>
      </c>
      <c r="U328" t="n">
        <v>1</v>
      </c>
      <c r="V328" t="n">
        <v>4</v>
      </c>
      <c r="W328" t="n">
        <v>0</v>
      </c>
      <c r="X328" t="n">
        <v>6</v>
      </c>
      <c r="Y328" t="n">
        <v>2</v>
      </c>
      <c r="Z328" t="n">
        <v>2</v>
      </c>
      <c r="AA328" t="n">
        <v>0</v>
      </c>
      <c r="AB328" t="n">
        <v>6</v>
      </c>
      <c r="AC328" t="n">
        <v>0</v>
      </c>
      <c r="AD328" t="n">
        <v>6</v>
      </c>
      <c r="AE328" t="n">
        <v>0</v>
      </c>
      <c r="AF328" t="n">
        <v>6</v>
      </c>
    </row>
    <row r="329">
      <c r="A329" t="inlineStr">
        <is>
          <t>oats</t>
        </is>
      </c>
      <c r="B329" t="inlineStr">
        <is>
          <t>meal made for the pottage of the manorial servants for the year, 4 quarters.</t>
        </is>
      </c>
      <c r="C329" t="n">
        <v>0</v>
      </c>
      <c r="D329" t="n">
        <v>0</v>
      </c>
      <c r="E329" t="n">
        <v>0</v>
      </c>
      <c r="F329" t="n">
        <v>0</v>
      </c>
      <c r="G329" t="inlineStr">
        <is>
          <t>meal</t>
        </is>
      </c>
      <c r="H329" t="n">
        <v>4</v>
      </c>
      <c r="I329" t="n">
        <v>0</v>
      </c>
      <c r="J329" t="n">
        <v>4</v>
      </c>
      <c r="K329" t="n">
        <v>4</v>
      </c>
      <c r="L329" t="n">
        <v>0</v>
      </c>
      <c r="M329" t="n">
        <v>4</v>
      </c>
      <c r="N329" t="n">
        <v>0</v>
      </c>
    </row>
    <row r="330">
      <c r="A330" t="inlineStr">
        <is>
          <t>oats</t>
        </is>
      </c>
      <c r="B330" t="inlineStr">
        <is>
          <t>fodder of the cart-horses at both sowings, 2 quarters.</t>
        </is>
      </c>
      <c r="C330" t="n">
        <v>0</v>
      </c>
      <c r="D330" t="n">
        <v>0</v>
      </c>
      <c r="E330" t="n">
        <v>0</v>
      </c>
      <c r="F330" t="n">
        <v>0</v>
      </c>
      <c r="H330" t="n">
        <v>2</v>
      </c>
      <c r="I330" t="n">
        <v>0</v>
      </c>
      <c r="J330" t="n">
        <v>2</v>
      </c>
      <c r="K330" t="n">
        <v>2</v>
      </c>
      <c r="L330" t="n">
        <v>0</v>
      </c>
      <c r="M330" t="n">
        <v>2</v>
      </c>
      <c r="N330" t="n">
        <v>0</v>
      </c>
    </row>
    <row r="331">
      <c r="A331" t="inlineStr">
        <is>
          <t>oats</t>
        </is>
      </c>
      <c r="B331" t="inlineStr">
        <is>
          <t>given to support the oxen, cows, calves and other cattle, ewes and hoggs in winter by reason of their feebleness, 10 quarters by estimation in sheaves.</t>
        </is>
      </c>
      <c r="C331" t="n">
        <v>0</v>
      </c>
      <c r="D331" t="n">
        <v>0</v>
      </c>
      <c r="E331" t="n">
        <v>0</v>
      </c>
      <c r="F331" t="n">
        <v>0</v>
      </c>
      <c r="H331" t="n">
        <v>10</v>
      </c>
      <c r="I331" t="n">
        <v>0</v>
      </c>
      <c r="J331" t="n">
        <v>10</v>
      </c>
      <c r="K331" t="n">
        <v>10</v>
      </c>
      <c r="L331" t="n">
        <v>0</v>
      </c>
      <c r="M331" t="n">
        <v>10</v>
      </c>
      <c r="N331" t="n">
        <v>0</v>
      </c>
    </row>
    <row r="332">
      <c r="A332" t="inlineStr">
        <is>
          <t>oats</t>
        </is>
      </c>
      <c r="B332" t="inlineStr">
        <is>
          <t>fodder of the horses of the steward holding the tourns of martinmas and hockday, by 2 sealed bills, 2 quarters 2 bushels.</t>
        </is>
      </c>
      <c r="C332" t="n">
        <v>0</v>
      </c>
      <c r="D332" t="n">
        <v>0</v>
      </c>
      <c r="E332" t="n">
        <v>0</v>
      </c>
      <c r="F332" t="n">
        <v>0</v>
      </c>
      <c r="H332" t="n">
        <v>2</v>
      </c>
      <c r="I332" t="n">
        <v>2</v>
      </c>
      <c r="J332" t="n">
        <v>2.25</v>
      </c>
      <c r="K332" t="n">
        <v>2.25</v>
      </c>
      <c r="L332" t="n">
        <v>0</v>
      </c>
      <c r="M332" t="n">
        <v>2</v>
      </c>
      <c r="N332" t="n">
        <v>2</v>
      </c>
    </row>
    <row r="333">
      <c r="A333" t="inlineStr">
        <is>
          <t>oats</t>
        </is>
      </c>
      <c r="B333" t="inlineStr">
        <is>
          <t>sold within, 34 quarters 5 bushels, of which 4 quarters 4 bushels sold to the lord's household..</t>
        </is>
      </c>
      <c r="C333" t="n">
        <v>0</v>
      </c>
      <c r="D333" t="n">
        <v>0</v>
      </c>
      <c r="E333" t="n">
        <v>0</v>
      </c>
      <c r="F333" t="n">
        <v>0</v>
      </c>
      <c r="H333" t="n">
        <v>4</v>
      </c>
      <c r="I333" t="n">
        <v>4</v>
      </c>
      <c r="J333" t="n">
        <v>4.5</v>
      </c>
      <c r="K333" t="n">
        <v>34.62</v>
      </c>
      <c r="L333" t="n">
        <v>-30.12</v>
      </c>
      <c r="M333" t="n">
        <v>34</v>
      </c>
      <c r="N333" t="n">
        <v>5</v>
      </c>
      <c r="O333" t="n">
        <v>4</v>
      </c>
      <c r="P333" t="n">
        <v>4</v>
      </c>
    </row>
    <row r="334">
      <c r="A334" t="inlineStr">
        <is>
          <t>oats</t>
        </is>
      </c>
      <c r="B334" t="inlineStr">
        <is>
          <t>sold at the audit,, 12 quarters for £1 4 shilling.</t>
        </is>
      </c>
      <c r="C334" t="n">
        <v>1.2</v>
      </c>
      <c r="D334" t="n">
        <v>1</v>
      </c>
      <c r="E334" t="n">
        <v>4</v>
      </c>
      <c r="F334" t="n">
        <v>0</v>
      </c>
      <c r="H334" t="n">
        <v>12</v>
      </c>
      <c r="I334" t="n">
        <v>0</v>
      </c>
      <c r="J334" t="n">
        <v>12</v>
      </c>
      <c r="K334" t="n">
        <v>12</v>
      </c>
      <c r="L334" t="n">
        <v>0</v>
      </c>
      <c r="M334" t="n">
        <v>12</v>
      </c>
      <c r="N334" t="n">
        <v>0</v>
      </c>
    </row>
    <row r="335">
      <c r="A335" t="inlineStr">
        <is>
          <t>oats</t>
        </is>
      </c>
      <c r="B335" t="inlineStr">
        <is>
          <t>total as before.</t>
        </is>
      </c>
      <c r="C335" t="n">
        <v>0</v>
      </c>
      <c r="D335" t="n">
        <v>0</v>
      </c>
      <c r="E335" t="n">
        <v>0</v>
      </c>
      <c r="F335" t="n">
        <v>0</v>
      </c>
      <c r="H335" t="n">
        <v>0</v>
      </c>
      <c r="I335" t="n">
        <v>0</v>
      </c>
      <c r="J335" t="n">
        <v>0</v>
      </c>
      <c r="K335" t="n">
        <v>0</v>
      </c>
      <c r="L335" t="n">
        <v>0</v>
      </c>
      <c r="M335" t="n">
        <v>0</v>
      </c>
      <c r="N335" t="n">
        <v>0</v>
      </c>
    </row>
    <row r="336">
      <c r="A336" t="inlineStr">
        <is>
          <t>oats</t>
        </is>
      </c>
      <c r="B336" t="inlineStr">
        <is>
          <t>it balances.</t>
        </is>
      </c>
      <c r="C336" t="n">
        <v>0</v>
      </c>
      <c r="D336" t="n">
        <v>0</v>
      </c>
      <c r="E336" t="n">
        <v>0</v>
      </c>
      <c r="F336" t="n">
        <v>0</v>
      </c>
      <c r="H336" t="n">
        <v>0</v>
      </c>
      <c r="I336" t="n">
        <v>0</v>
      </c>
      <c r="J336" t="n">
        <v>0</v>
      </c>
      <c r="K336" t="n">
        <v>0</v>
      </c>
      <c r="L336" t="n">
        <v>0</v>
      </c>
      <c r="M336" t="n">
        <v>0</v>
      </c>
      <c r="N336" t="n">
        <v>0</v>
      </c>
    </row>
    <row r="337">
      <c r="A337" t="inlineStr">
        <is>
          <t>acreage sown</t>
        </is>
      </c>
      <c r="B337" t="inlineStr">
        <is>
          <t>total acreage sown, 257.5 acres.</t>
        </is>
      </c>
      <c r="C337" t="n">
        <v>0</v>
      </c>
      <c r="D337" t="n">
        <v>0</v>
      </c>
      <c r="E337" t="n">
        <v>0</v>
      </c>
      <c r="F337" t="n">
        <v>0</v>
      </c>
      <c r="H337" t="n">
        <v>0</v>
      </c>
      <c r="I337" t="n">
        <v>0</v>
      </c>
      <c r="J337" t="n">
        <v>0</v>
      </c>
      <c r="K337" t="n">
        <v>0</v>
      </c>
      <c r="L337" t="n">
        <v>0</v>
      </c>
      <c r="M337" t="n">
        <v>0</v>
      </c>
      <c r="N337" t="n">
        <v>0</v>
      </c>
    </row>
    <row r="338">
      <c r="A338" t="inlineStr">
        <is>
          <t>malt</t>
        </is>
      </c>
      <c r="B338" t="inlineStr">
        <is>
          <t>and for 54 quarters 2 bushels of barley and 19 quarters 2 bushels of dredge received above for malting.</t>
        </is>
      </c>
      <c r="C338" t="n">
        <v>0</v>
      </c>
      <c r="D338" t="n">
        <v>0</v>
      </c>
      <c r="E338" t="n">
        <v>0</v>
      </c>
      <c r="F338" t="n">
        <v>0</v>
      </c>
      <c r="G338" t="inlineStr">
        <is>
          <t>barley, malt, dredge</t>
        </is>
      </c>
      <c r="H338" t="n">
        <v>19</v>
      </c>
      <c r="I338" t="n">
        <v>2</v>
      </c>
      <c r="J338" t="n">
        <v>19.25</v>
      </c>
      <c r="K338" t="n">
        <v>54.25</v>
      </c>
      <c r="L338" t="n">
        <v>-35</v>
      </c>
      <c r="M338" t="n">
        <v>54</v>
      </c>
      <c r="N338" t="n">
        <v>2</v>
      </c>
      <c r="O338" t="n">
        <v>19</v>
      </c>
      <c r="P338" t="n">
        <v>2</v>
      </c>
    </row>
    <row r="339">
      <c r="A339" t="inlineStr">
        <is>
          <t>malt</t>
        </is>
      </c>
      <c r="B339" t="inlineStr">
        <is>
          <t>2 quarters 2 bushels 1 peck from the increase during the making of the said malt, at 1 peck a quarters..</t>
        </is>
      </c>
      <c r="C339" t="n">
        <v>0</v>
      </c>
      <c r="D339" t="n">
        <v>0</v>
      </c>
      <c r="E339" t="n">
        <v>0</v>
      </c>
      <c r="F339" t="n">
        <v>0</v>
      </c>
      <c r="G339" t="inlineStr">
        <is>
          <t>malt</t>
        </is>
      </c>
      <c r="H339" t="n">
        <v>2</v>
      </c>
      <c r="I339" t="n">
        <v>2</v>
      </c>
      <c r="J339" t="n">
        <v>2.25</v>
      </c>
      <c r="K339" t="n">
        <v>2.25</v>
      </c>
      <c r="L339" t="n">
        <v>0</v>
      </c>
      <c r="M339" t="n">
        <v>2</v>
      </c>
      <c r="N339" t="n">
        <v>2</v>
      </c>
    </row>
    <row r="340">
      <c r="A340" t="inlineStr">
        <is>
          <t>malt</t>
        </is>
      </c>
      <c r="B340" t="inlineStr">
        <is>
          <t>total, 75 quarters 6 bushels 1 peck..</t>
        </is>
      </c>
      <c r="C340" t="n">
        <v>0</v>
      </c>
      <c r="D340" t="n">
        <v>0</v>
      </c>
      <c r="E340" t="n">
        <v>0</v>
      </c>
      <c r="F340" t="n">
        <v>0</v>
      </c>
      <c r="H340" t="n">
        <v>75</v>
      </c>
      <c r="I340" t="n">
        <v>6</v>
      </c>
      <c r="J340" t="n">
        <v>75.75</v>
      </c>
      <c r="K340" t="n">
        <v>75.75</v>
      </c>
      <c r="L340" t="n">
        <v>0</v>
      </c>
      <c r="M340" t="n">
        <v>75</v>
      </c>
      <c r="N340" t="n">
        <v>6</v>
      </c>
    </row>
    <row r="341">
      <c r="A341" t="inlineStr">
        <is>
          <t>malt</t>
        </is>
      </c>
      <c r="B341" t="inlineStr">
        <is>
          <t>sold within..</t>
        </is>
      </c>
      <c r="C341" t="n">
        <v>0</v>
      </c>
      <c r="D341" t="n">
        <v>0</v>
      </c>
      <c r="E341" t="n">
        <v>0</v>
      </c>
      <c r="F341" t="n">
        <v>0</v>
      </c>
      <c r="H341" t="n">
        <v>0</v>
      </c>
      <c r="I341" t="n">
        <v>0</v>
      </c>
      <c r="J341" t="n">
        <v>0</v>
      </c>
      <c r="K341" t="n">
        <v>0</v>
      </c>
      <c r="L341" t="n">
        <v>0</v>
      </c>
      <c r="M341" t="n">
        <v>0</v>
      </c>
      <c r="N341" t="n">
        <v>0</v>
      </c>
    </row>
    <row r="342">
      <c r="A342" t="inlineStr">
        <is>
          <t>malt</t>
        </is>
      </c>
      <c r="B342" t="inlineStr">
        <is>
          <t>none remains.</t>
        </is>
      </c>
      <c r="C342" t="n">
        <v>0</v>
      </c>
      <c r="D342" t="n">
        <v>0</v>
      </c>
      <c r="E342" t="n">
        <v>0</v>
      </c>
      <c r="F342" t="n">
        <v>0</v>
      </c>
      <c r="H342" t="n">
        <v>0</v>
      </c>
      <c r="I342" t="n">
        <v>0</v>
      </c>
      <c r="J342" t="n">
        <v>0</v>
      </c>
      <c r="K342" t="n">
        <v>0</v>
      </c>
      <c r="L342" t="n">
        <v>0</v>
      </c>
      <c r="M342" t="n">
        <v>0</v>
      </c>
      <c r="N342" t="n">
        <v>0</v>
      </c>
    </row>
    <row r="343">
      <c r="A343" t="inlineStr">
        <is>
          <t>issues of the mill</t>
        </is>
      </c>
      <c r="B343" t="inlineStr">
        <is>
          <t>and for 4 quarters 5 bushels of malt from the issue of the horse-mill from michaelmas until 18 april and not more because it is granted to william pleyer for a cash farm for the term of his life.</t>
        </is>
      </c>
      <c r="C343" t="n">
        <v>0</v>
      </c>
      <c r="D343" t="n">
        <v>0</v>
      </c>
      <c r="E343" t="n">
        <v>0</v>
      </c>
      <c r="F343" t="n">
        <v>0</v>
      </c>
      <c r="G343" t="inlineStr">
        <is>
          <t>malt</t>
        </is>
      </c>
      <c r="H343" t="n">
        <v>4</v>
      </c>
      <c r="I343" t="n">
        <v>5</v>
      </c>
      <c r="J343" t="n">
        <v>4.62</v>
      </c>
      <c r="K343" t="n">
        <v>4.62</v>
      </c>
      <c r="L343" t="n">
        <v>0</v>
      </c>
      <c r="M343" t="n">
        <v>4</v>
      </c>
      <c r="N343" t="n">
        <v>5</v>
      </c>
    </row>
    <row r="344">
      <c r="A344" t="inlineStr">
        <is>
          <t>issues of the mill</t>
        </is>
      </c>
      <c r="B344" t="inlineStr">
        <is>
          <t>total, 4 quarters 5 bushels sold within.</t>
        </is>
      </c>
      <c r="C344" t="n">
        <v>0</v>
      </c>
      <c r="D344" t="n">
        <v>0</v>
      </c>
      <c r="E344" t="n">
        <v>0</v>
      </c>
      <c r="F344" t="n">
        <v>0</v>
      </c>
      <c r="H344" t="n">
        <v>4</v>
      </c>
      <c r="I344" t="n">
        <v>5</v>
      </c>
      <c r="J344" t="n">
        <v>4.62</v>
      </c>
      <c r="K344" t="n">
        <v>4.62</v>
      </c>
      <c r="L344" t="n">
        <v>0</v>
      </c>
      <c r="M344" t="n">
        <v>4</v>
      </c>
      <c r="N344" t="n">
        <v>5</v>
      </c>
    </row>
    <row r="345">
      <c r="A345" t="inlineStr">
        <is>
          <t>issues of the mill</t>
        </is>
      </c>
      <c r="B345" t="inlineStr">
        <is>
          <t>none remains.</t>
        </is>
      </c>
      <c r="C345" t="n">
        <v>0</v>
      </c>
      <c r="D345" t="n">
        <v>0</v>
      </c>
      <c r="E345" t="n">
        <v>0</v>
      </c>
      <c r="F345" t="n">
        <v>0</v>
      </c>
      <c r="H345" t="n">
        <v>0</v>
      </c>
      <c r="I345" t="n">
        <v>0</v>
      </c>
      <c r="J345" t="n">
        <v>0</v>
      </c>
      <c r="K345" t="n">
        <v>0</v>
      </c>
      <c r="L345" t="n">
        <v>0</v>
      </c>
      <c r="M345" t="n">
        <v>0</v>
      </c>
      <c r="N345" t="n">
        <v>0</v>
      </c>
    </row>
    <row r="346">
      <c r="A346" t="inlineStr">
        <is>
          <t>stock</t>
        </is>
      </c>
      <c r="B346" t="inlineStr">
        <is>
          <t>horses: 8 remain.</t>
        </is>
      </c>
      <c r="C346" t="n">
        <v>0</v>
      </c>
      <c r="D346" t="n">
        <v>0</v>
      </c>
      <c r="E346" t="n">
        <v>0</v>
      </c>
      <c r="F346" t="n">
        <v>0</v>
      </c>
      <c r="H346" t="n">
        <v>0</v>
      </c>
      <c r="I346" t="n">
        <v>0</v>
      </c>
      <c r="J346" t="n">
        <v>0</v>
      </c>
      <c r="K346" t="n">
        <v>0</v>
      </c>
      <c r="L346" t="n">
        <v>0</v>
      </c>
      <c r="M346" t="n">
        <v>0</v>
      </c>
      <c r="N346" t="n">
        <v>0</v>
      </c>
    </row>
    <row r="347">
      <c r="A347" t="inlineStr">
        <is>
          <t>stock</t>
        </is>
      </c>
      <c r="B347" t="inlineStr">
        <is>
          <t>1 bought.</t>
        </is>
      </c>
      <c r="C347" t="n">
        <v>0</v>
      </c>
      <c r="D347" t="n">
        <v>0</v>
      </c>
      <c r="E347" t="n">
        <v>0</v>
      </c>
      <c r="F347" t="n">
        <v>0</v>
      </c>
      <c r="H347" t="n">
        <v>0</v>
      </c>
      <c r="I347" t="n">
        <v>0</v>
      </c>
      <c r="J347" t="n">
        <v>0</v>
      </c>
      <c r="K347" t="n">
        <v>0</v>
      </c>
      <c r="L347" t="n">
        <v>0</v>
      </c>
      <c r="M347" t="n">
        <v>0</v>
      </c>
      <c r="N347" t="n">
        <v>0</v>
      </c>
    </row>
    <row r="348">
      <c r="A348" t="inlineStr">
        <is>
          <t>stock</t>
        </is>
      </c>
      <c r="B348" t="inlineStr">
        <is>
          <t>total, 9. 2 in murrain.</t>
        </is>
      </c>
      <c r="C348" t="n">
        <v>0</v>
      </c>
      <c r="D348" t="n">
        <v>0</v>
      </c>
      <c r="E348" t="n">
        <v>0</v>
      </c>
      <c r="F348" t="n">
        <v>0</v>
      </c>
      <c r="H348" t="n">
        <v>0</v>
      </c>
      <c r="I348" t="n">
        <v>0</v>
      </c>
      <c r="J348" t="n">
        <v>0</v>
      </c>
      <c r="K348" t="n">
        <v>0</v>
      </c>
      <c r="L348" t="n">
        <v>0</v>
      </c>
      <c r="M348" t="n">
        <v>0</v>
      </c>
      <c r="N348" t="n">
        <v>0</v>
      </c>
    </row>
    <row r="349">
      <c r="A349" t="inlineStr">
        <is>
          <t>stock</t>
        </is>
      </c>
      <c r="B349" t="inlineStr">
        <is>
          <t>total, 2. 7 remain, of which 1 is for the horse-mill.</t>
        </is>
      </c>
      <c r="C349" t="n">
        <v>0</v>
      </c>
      <c r="D349" t="n">
        <v>0</v>
      </c>
      <c r="E349" t="n">
        <v>0</v>
      </c>
      <c r="F349" t="n">
        <v>0</v>
      </c>
      <c r="H349" t="n">
        <v>0</v>
      </c>
      <c r="I349" t="n">
        <v>0</v>
      </c>
      <c r="J349" t="n">
        <v>0</v>
      </c>
      <c r="K349" t="n">
        <v>0</v>
      </c>
      <c r="L349" t="n">
        <v>0</v>
      </c>
      <c r="M349" t="n">
        <v>0</v>
      </c>
      <c r="N349" t="n">
        <v>0</v>
      </c>
    </row>
    <row r="350">
      <c r="A350" t="inlineStr">
        <is>
          <t>stock</t>
        </is>
      </c>
      <c r="B350" t="inlineStr">
        <is>
          <t>plough-horses: 1 from the heriot of edward hastyng'.</t>
        </is>
      </c>
      <c r="C350" t="n">
        <v>0</v>
      </c>
      <c r="D350" t="n">
        <v>0</v>
      </c>
      <c r="E350" t="n">
        <v>0</v>
      </c>
      <c r="F350" t="n">
        <v>0</v>
      </c>
      <c r="H350" t="n">
        <v>0</v>
      </c>
      <c r="I350" t="n">
        <v>0</v>
      </c>
      <c r="J350" t="n">
        <v>0</v>
      </c>
      <c r="K350" t="n">
        <v>0</v>
      </c>
      <c r="L350" t="n">
        <v>0</v>
      </c>
      <c r="M350" t="n">
        <v>0</v>
      </c>
      <c r="N350" t="n">
        <v>0</v>
      </c>
    </row>
    <row r="351">
      <c r="A351" t="inlineStr">
        <is>
          <t>stock</t>
        </is>
      </c>
      <c r="B351" t="inlineStr">
        <is>
          <t>1 from the heriot of simon edward'.</t>
        </is>
      </c>
      <c r="C351" t="n">
        <v>0</v>
      </c>
      <c r="D351" t="n">
        <v>0</v>
      </c>
      <c r="E351" t="n">
        <v>0</v>
      </c>
      <c r="F351" t="n">
        <v>0</v>
      </c>
      <c r="H351" t="n">
        <v>0</v>
      </c>
      <c r="I351" t="n">
        <v>0</v>
      </c>
      <c r="J351" t="n">
        <v>0</v>
      </c>
      <c r="K351" t="n">
        <v>0</v>
      </c>
      <c r="L351" t="n">
        <v>0</v>
      </c>
      <c r="M351" t="n">
        <v>0</v>
      </c>
      <c r="N351" t="n">
        <v>0</v>
      </c>
    </row>
    <row r="352">
      <c r="A352" t="inlineStr">
        <is>
          <t>stock</t>
        </is>
      </c>
      <c r="B352" t="inlineStr">
        <is>
          <t>total, 2. sold within.</t>
        </is>
      </c>
      <c r="C352" t="n">
        <v>0</v>
      </c>
      <c r="D352" t="n">
        <v>0</v>
      </c>
      <c r="E352" t="n">
        <v>0</v>
      </c>
      <c r="F352" t="n">
        <v>0</v>
      </c>
      <c r="H352" t="n">
        <v>0</v>
      </c>
      <c r="I352" t="n">
        <v>0</v>
      </c>
      <c r="J352" t="n">
        <v>0</v>
      </c>
      <c r="K352" t="n">
        <v>0</v>
      </c>
      <c r="L352" t="n">
        <v>0</v>
      </c>
      <c r="M352" t="n">
        <v>0</v>
      </c>
      <c r="N352" t="n">
        <v>0</v>
      </c>
    </row>
    <row r="353">
      <c r="A353" t="inlineStr">
        <is>
          <t>stock</t>
        </is>
      </c>
      <c r="B353" t="inlineStr">
        <is>
          <t>none remain.</t>
        </is>
      </c>
      <c r="C353" t="n">
        <v>0</v>
      </c>
      <c r="D353" t="n">
        <v>0</v>
      </c>
      <c r="E353" t="n">
        <v>0</v>
      </c>
      <c r="F353" t="n">
        <v>0</v>
      </c>
      <c r="H353" t="n">
        <v>0</v>
      </c>
      <c r="I353" t="n">
        <v>0</v>
      </c>
      <c r="J353" t="n">
        <v>0</v>
      </c>
      <c r="K353" t="n">
        <v>0</v>
      </c>
      <c r="L353" t="n">
        <v>0</v>
      </c>
      <c r="M353" t="n">
        <v>0</v>
      </c>
      <c r="N353" t="n">
        <v>0</v>
      </c>
    </row>
    <row r="354">
      <c r="A354" t="inlineStr">
        <is>
          <t>stock</t>
        </is>
      </c>
      <c r="B354" t="inlineStr">
        <is>
          <t>oxen: 45 remain.</t>
        </is>
      </c>
      <c r="C354" t="n">
        <v>0</v>
      </c>
      <c r="D354" t="n">
        <v>0</v>
      </c>
      <c r="E354" t="n">
        <v>0</v>
      </c>
      <c r="F354" t="n">
        <v>0</v>
      </c>
      <c r="H354" t="n">
        <v>0</v>
      </c>
      <c r="I354" t="n">
        <v>0</v>
      </c>
      <c r="J354" t="n">
        <v>0</v>
      </c>
      <c r="K354" t="n">
        <v>0</v>
      </c>
      <c r="L354" t="n">
        <v>0</v>
      </c>
      <c r="M354" t="n">
        <v>0</v>
      </c>
      <c r="N354" t="n">
        <v>0</v>
      </c>
    </row>
    <row r="355">
      <c r="A355" t="inlineStr">
        <is>
          <t>stock</t>
        </is>
      </c>
      <c r="B355" t="inlineStr">
        <is>
          <t>1 from the heriot of john claverley.</t>
        </is>
      </c>
      <c r="C355" t="n">
        <v>0</v>
      </c>
      <c r="D355" t="n">
        <v>0</v>
      </c>
      <c r="E355" t="n">
        <v>0</v>
      </c>
      <c r="F355" t="n">
        <v>0</v>
      </c>
      <c r="H355" t="n">
        <v>0</v>
      </c>
      <c r="I355" t="n">
        <v>0</v>
      </c>
      <c r="J355" t="n">
        <v>0</v>
      </c>
      <c r="K355" t="n">
        <v>0</v>
      </c>
      <c r="L355" t="n">
        <v>0</v>
      </c>
      <c r="M355" t="n">
        <v>0</v>
      </c>
      <c r="N355" t="n">
        <v>0</v>
      </c>
    </row>
    <row r="356">
      <c r="A356" t="inlineStr">
        <is>
          <t>stock</t>
        </is>
      </c>
      <c r="B356" t="inlineStr">
        <is>
          <t>1 from the heriot of john stoneherd'.</t>
        </is>
      </c>
      <c r="C356" t="n">
        <v>0</v>
      </c>
      <c r="D356" t="n">
        <v>0</v>
      </c>
      <c r="E356" t="n">
        <v>0</v>
      </c>
      <c r="F356" t="n">
        <v>0</v>
      </c>
      <c r="H356" t="n">
        <v>0</v>
      </c>
      <c r="I356" t="n">
        <v>0</v>
      </c>
      <c r="J356" t="n">
        <v>0</v>
      </c>
      <c r="K356" t="n">
        <v>0</v>
      </c>
      <c r="L356" t="n">
        <v>0</v>
      </c>
      <c r="M356" t="n">
        <v>0</v>
      </c>
      <c r="N356" t="n">
        <v>0</v>
      </c>
    </row>
    <row r="357">
      <c r="A357" t="inlineStr">
        <is>
          <t>stock</t>
        </is>
      </c>
      <c r="B357" t="inlineStr">
        <is>
          <t>8 bought.</t>
        </is>
      </c>
      <c r="C357" t="n">
        <v>0</v>
      </c>
      <c r="D357" t="n">
        <v>0</v>
      </c>
      <c r="E357" t="n">
        <v>0</v>
      </c>
      <c r="F357" t="n">
        <v>0</v>
      </c>
      <c r="H357" t="n">
        <v>0</v>
      </c>
      <c r="I357" t="n">
        <v>0</v>
      </c>
      <c r="J357" t="n">
        <v>0</v>
      </c>
      <c r="K357" t="n">
        <v>0</v>
      </c>
      <c r="L357" t="n">
        <v>0</v>
      </c>
      <c r="M357" t="n">
        <v>0</v>
      </c>
      <c r="N357" t="n">
        <v>0</v>
      </c>
    </row>
    <row r="358">
      <c r="A358" t="inlineStr">
        <is>
          <t>stock</t>
        </is>
      </c>
      <c r="B358" t="inlineStr">
        <is>
          <t>2 added from steers.</t>
        </is>
      </c>
      <c r="C358" t="n">
        <v>0</v>
      </c>
      <c r="D358" t="n">
        <v>0</v>
      </c>
      <c r="E358" t="n">
        <v>0</v>
      </c>
      <c r="F358" t="n">
        <v>0</v>
      </c>
      <c r="H358" t="n">
        <v>0</v>
      </c>
      <c r="I358" t="n">
        <v>0</v>
      </c>
      <c r="J358" t="n">
        <v>0</v>
      </c>
      <c r="K358" t="n">
        <v>0</v>
      </c>
      <c r="L358" t="n">
        <v>0</v>
      </c>
      <c r="M358" t="n">
        <v>0</v>
      </c>
      <c r="N358" t="n">
        <v>0</v>
      </c>
    </row>
    <row r="359">
      <c r="A359" t="inlineStr">
        <is>
          <t>stock</t>
        </is>
      </c>
      <c r="B359" t="inlineStr">
        <is>
          <t>total, 57. 5 in murrain.</t>
        </is>
      </c>
      <c r="C359" t="n">
        <v>0</v>
      </c>
      <c r="D359" t="n">
        <v>0</v>
      </c>
      <c r="E359" t="n">
        <v>0</v>
      </c>
      <c r="F359" t="n">
        <v>0</v>
      </c>
      <c r="H359" t="n">
        <v>0</v>
      </c>
      <c r="I359" t="n">
        <v>0</v>
      </c>
      <c r="J359" t="n">
        <v>0</v>
      </c>
      <c r="K359" t="n">
        <v>0</v>
      </c>
      <c r="L359" t="n">
        <v>0</v>
      </c>
      <c r="M359" t="n">
        <v>0</v>
      </c>
      <c r="N359" t="n">
        <v>0</v>
      </c>
    </row>
    <row r="360">
      <c r="A360" t="inlineStr">
        <is>
          <t>stock</t>
        </is>
      </c>
      <c r="B360" t="inlineStr">
        <is>
          <t>7 kebbs sold within.</t>
        </is>
      </c>
      <c r="C360" t="n">
        <v>0</v>
      </c>
      <c r="D360" t="n">
        <v>0</v>
      </c>
      <c r="E360" t="n">
        <v>0</v>
      </c>
      <c r="F360" t="n">
        <v>0</v>
      </c>
      <c r="H360" t="n">
        <v>0</v>
      </c>
      <c r="I360" t="n">
        <v>0</v>
      </c>
      <c r="J360" t="n">
        <v>0</v>
      </c>
      <c r="K360" t="n">
        <v>0</v>
      </c>
      <c r="L360" t="n">
        <v>0</v>
      </c>
      <c r="M360" t="n">
        <v>0</v>
      </c>
      <c r="N360" t="n">
        <v>0</v>
      </c>
    </row>
    <row r="361">
      <c r="A361" t="inlineStr">
        <is>
          <t>stock</t>
        </is>
      </c>
      <c r="B361" t="inlineStr">
        <is>
          <t>total, 12. 45 remain.</t>
        </is>
      </c>
      <c r="C361" t="n">
        <v>0</v>
      </c>
      <c r="D361" t="n">
        <v>0</v>
      </c>
      <c r="E361" t="n">
        <v>0</v>
      </c>
      <c r="F361" t="n">
        <v>0</v>
      </c>
      <c r="H361" t="n">
        <v>0</v>
      </c>
      <c r="I361" t="n">
        <v>0</v>
      </c>
      <c r="J361" t="n">
        <v>0</v>
      </c>
      <c r="K361" t="n">
        <v>0</v>
      </c>
      <c r="L361" t="n">
        <v>0</v>
      </c>
      <c r="M361" t="n">
        <v>0</v>
      </c>
      <c r="N361" t="n">
        <v>0</v>
      </c>
    </row>
    <row r="362">
      <c r="A362" t="inlineStr">
        <is>
          <t>stock</t>
        </is>
      </c>
      <c r="B362" t="inlineStr">
        <is>
          <t>bulls: 2 remain.</t>
        </is>
      </c>
      <c r="C362" t="n">
        <v>0</v>
      </c>
      <c r="D362" t="n">
        <v>0</v>
      </c>
      <c r="E362" t="n">
        <v>0</v>
      </c>
      <c r="F362" t="n">
        <v>0</v>
      </c>
      <c r="H362" t="n">
        <v>0</v>
      </c>
      <c r="I362" t="n">
        <v>0</v>
      </c>
      <c r="J362" t="n">
        <v>0</v>
      </c>
      <c r="K362" t="n">
        <v>0</v>
      </c>
      <c r="L362" t="n">
        <v>0</v>
      </c>
      <c r="M362" t="n">
        <v>0</v>
      </c>
      <c r="N362" t="n">
        <v>0</v>
      </c>
    </row>
    <row r="363">
      <c r="A363" t="inlineStr">
        <is>
          <t>stock</t>
        </is>
      </c>
      <c r="B363" t="inlineStr">
        <is>
          <t>total, 2. 2 remain.</t>
        </is>
      </c>
      <c r="C363" t="n">
        <v>0</v>
      </c>
      <c r="D363" t="n">
        <v>0</v>
      </c>
      <c r="E363" t="n">
        <v>0</v>
      </c>
      <c r="F363" t="n">
        <v>0</v>
      </c>
      <c r="H363" t="n">
        <v>0</v>
      </c>
      <c r="I363" t="n">
        <v>0</v>
      </c>
      <c r="J363" t="n">
        <v>0</v>
      </c>
      <c r="K363" t="n">
        <v>0</v>
      </c>
      <c r="L363" t="n">
        <v>0</v>
      </c>
      <c r="M363" t="n">
        <v>0</v>
      </c>
      <c r="N363" t="n">
        <v>0</v>
      </c>
    </row>
    <row r="364">
      <c r="A364" t="inlineStr">
        <is>
          <t>stock</t>
        </is>
      </c>
      <c r="B364" t="inlineStr">
        <is>
          <t>cows: 30 remain.</t>
        </is>
      </c>
      <c r="C364" t="n">
        <v>0</v>
      </c>
      <c r="D364" t="n">
        <v>0</v>
      </c>
      <c r="E364" t="n">
        <v>0</v>
      </c>
      <c r="F364" t="n">
        <v>0</v>
      </c>
      <c r="H364" t="n">
        <v>0</v>
      </c>
      <c r="I364" t="n">
        <v>0</v>
      </c>
      <c r="J364" t="n">
        <v>0</v>
      </c>
      <c r="K364" t="n">
        <v>0</v>
      </c>
      <c r="L364" t="n">
        <v>0</v>
      </c>
      <c r="M364" t="n">
        <v>0</v>
      </c>
      <c r="N364" t="n">
        <v>0</v>
      </c>
    </row>
    <row r="365">
      <c r="A365" t="inlineStr">
        <is>
          <t>stock</t>
        </is>
      </c>
      <c r="B365" t="inlineStr">
        <is>
          <t>15 bought.</t>
        </is>
      </c>
      <c r="C365" t="n">
        <v>0</v>
      </c>
      <c r="D365" t="n">
        <v>0</v>
      </c>
      <c r="E365" t="n">
        <v>0</v>
      </c>
      <c r="F365" t="n">
        <v>0</v>
      </c>
      <c r="H365" t="n">
        <v>0</v>
      </c>
      <c r="I365" t="n">
        <v>0</v>
      </c>
      <c r="J365" t="n">
        <v>0</v>
      </c>
      <c r="K365" t="n">
        <v>0</v>
      </c>
      <c r="L365" t="n">
        <v>0</v>
      </c>
      <c r="M365" t="n">
        <v>0</v>
      </c>
      <c r="N365" t="n">
        <v>0</v>
      </c>
    </row>
    <row r="366">
      <c r="A366" t="inlineStr">
        <is>
          <t>stock</t>
        </is>
      </c>
      <c r="B366" t="inlineStr">
        <is>
          <t>nothing here of the 1 cow from the heriot of thomas lord because it is in the hands of john brigford' and is unable to be seized because it is outside the liberty of the lord.</t>
        </is>
      </c>
      <c r="C366" t="n">
        <v>0</v>
      </c>
      <c r="D366" t="n">
        <v>0</v>
      </c>
      <c r="E366" t="n">
        <v>0</v>
      </c>
      <c r="F366" t="n">
        <v>0</v>
      </c>
      <c r="H366" t="n">
        <v>0</v>
      </c>
      <c r="I366" t="n">
        <v>0</v>
      </c>
      <c r="J366" t="n">
        <v>0</v>
      </c>
      <c r="K366" t="n">
        <v>0</v>
      </c>
      <c r="L366" t="n">
        <v>0</v>
      </c>
      <c r="M366" t="n">
        <v>0</v>
      </c>
      <c r="N366" t="n">
        <v>0</v>
      </c>
    </row>
    <row r="367">
      <c r="A367" t="inlineStr">
        <is>
          <t>stock</t>
        </is>
      </c>
      <c r="B367" t="inlineStr">
        <is>
          <t>3 added from steers.</t>
        </is>
      </c>
      <c r="C367" t="n">
        <v>0</v>
      </c>
      <c r="D367" t="n">
        <v>0</v>
      </c>
      <c r="E367" t="n">
        <v>0</v>
      </c>
      <c r="F367" t="n">
        <v>0</v>
      </c>
      <c r="H367" t="n">
        <v>0</v>
      </c>
      <c r="I367" t="n">
        <v>0</v>
      </c>
      <c r="J367" t="n">
        <v>0</v>
      </c>
      <c r="K367" t="n">
        <v>0</v>
      </c>
      <c r="L367" t="n">
        <v>0</v>
      </c>
      <c r="M367" t="n">
        <v>0</v>
      </c>
      <c r="N367" t="n">
        <v>0</v>
      </c>
    </row>
    <row r="368">
      <c r="A368" t="inlineStr">
        <is>
          <t>stock</t>
        </is>
      </c>
      <c r="B368" t="inlineStr">
        <is>
          <t>total, 48. 6 in murrain before calving.</t>
        </is>
      </c>
      <c r="C368" t="n">
        <v>0</v>
      </c>
      <c r="D368" t="n">
        <v>0</v>
      </c>
      <c r="E368" t="n">
        <v>0</v>
      </c>
      <c r="F368" t="n">
        <v>0</v>
      </c>
      <c r="H368" t="n">
        <v>0</v>
      </c>
      <c r="I368" t="n">
        <v>0</v>
      </c>
      <c r="J368" t="n">
        <v>0</v>
      </c>
      <c r="K368" t="n">
        <v>0</v>
      </c>
      <c r="L368" t="n">
        <v>0</v>
      </c>
      <c r="M368" t="n">
        <v>0</v>
      </c>
      <c r="N368" t="n">
        <v>0</v>
      </c>
    </row>
    <row r="369">
      <c r="A369" t="inlineStr">
        <is>
          <t>stock</t>
        </is>
      </c>
      <c r="B369" t="inlineStr">
        <is>
          <t>10 kebbs with calf sold within.</t>
        </is>
      </c>
      <c r="C369" t="n">
        <v>0</v>
      </c>
      <c r="D369" t="n">
        <v>0</v>
      </c>
      <c r="E369" t="n">
        <v>0</v>
      </c>
      <c r="F369" t="n">
        <v>0</v>
      </c>
      <c r="H369" t="n">
        <v>0</v>
      </c>
      <c r="I369" t="n">
        <v>0</v>
      </c>
      <c r="J369" t="n">
        <v>0</v>
      </c>
      <c r="K369" t="n">
        <v>0</v>
      </c>
      <c r="L369" t="n">
        <v>0</v>
      </c>
      <c r="M369" t="n">
        <v>0</v>
      </c>
      <c r="N369" t="n">
        <v>0</v>
      </c>
    </row>
    <row r="370">
      <c r="A370" t="inlineStr">
        <is>
          <t>stock</t>
        </is>
      </c>
      <c r="B370" t="inlineStr">
        <is>
          <t>total, 16. 221 remain.</t>
        </is>
      </c>
      <c r="C370" t="n">
        <v>0</v>
      </c>
      <c r="D370" t="n">
        <v>0</v>
      </c>
      <c r="E370" t="n">
        <v>0</v>
      </c>
      <c r="F370" t="n">
        <v>0</v>
      </c>
      <c r="H370" t="n">
        <v>0</v>
      </c>
      <c r="I370" t="n">
        <v>0</v>
      </c>
      <c r="J370" t="n">
        <v>0</v>
      </c>
      <c r="K370" t="n">
        <v>0</v>
      </c>
      <c r="L370" t="n">
        <v>0</v>
      </c>
      <c r="M370" t="n">
        <v>0</v>
      </c>
      <c r="N370" t="n">
        <v>0</v>
      </c>
    </row>
    <row r="371">
      <c r="A371" t="inlineStr">
        <is>
          <t>stock</t>
        </is>
      </c>
      <c r="B371" t="inlineStr">
        <is>
          <t>steers: 5 remain from the bullocks.</t>
        </is>
      </c>
      <c r="C371" t="n">
        <v>0</v>
      </c>
      <c r="D371" t="n">
        <v>0</v>
      </c>
      <c r="E371" t="n">
        <v>0</v>
      </c>
      <c r="F371" t="n">
        <v>0</v>
      </c>
      <c r="H371" t="n">
        <v>0</v>
      </c>
      <c r="I371" t="n">
        <v>0</v>
      </c>
      <c r="J371" t="n">
        <v>0</v>
      </c>
      <c r="K371" t="n">
        <v>0</v>
      </c>
      <c r="L371" t="n">
        <v>0</v>
      </c>
      <c r="M371" t="n">
        <v>0</v>
      </c>
      <c r="N371" t="n">
        <v>0</v>
      </c>
    </row>
    <row r="372">
      <c r="A372" t="inlineStr">
        <is>
          <t>stock</t>
        </is>
      </c>
      <c r="B372" t="inlineStr">
        <is>
          <t>total, 5. 2 added above to oxen and 3 to cows.</t>
        </is>
      </c>
      <c r="C372" t="n">
        <v>0</v>
      </c>
      <c r="D372" t="n">
        <v>0</v>
      </c>
      <c r="E372" t="n">
        <v>0</v>
      </c>
      <c r="F372" t="n">
        <v>0</v>
      </c>
      <c r="H372" t="n">
        <v>0</v>
      </c>
      <c r="I372" t="n">
        <v>0</v>
      </c>
      <c r="J372" t="n">
        <v>0</v>
      </c>
      <c r="K372" t="n">
        <v>0</v>
      </c>
      <c r="L372" t="n">
        <v>0</v>
      </c>
      <c r="M372" t="n">
        <v>0</v>
      </c>
      <c r="N372" t="n">
        <v>0</v>
      </c>
    </row>
    <row r="373">
      <c r="A373" t="inlineStr">
        <is>
          <t>stock</t>
        </is>
      </c>
      <c r="B373" t="inlineStr">
        <is>
          <t>total as before.</t>
        </is>
      </c>
      <c r="C373" t="n">
        <v>0</v>
      </c>
      <c r="D373" t="n">
        <v>0</v>
      </c>
      <c r="E373" t="n">
        <v>0</v>
      </c>
      <c r="F373" t="n">
        <v>0</v>
      </c>
      <c r="H373" t="n">
        <v>0</v>
      </c>
      <c r="I373" t="n">
        <v>0</v>
      </c>
      <c r="J373" t="n">
        <v>0</v>
      </c>
      <c r="K373" t="n">
        <v>0</v>
      </c>
      <c r="L373" t="n">
        <v>0</v>
      </c>
      <c r="M373" t="n">
        <v>0</v>
      </c>
      <c r="N373" t="n">
        <v>0</v>
      </c>
    </row>
    <row r="374">
      <c r="A374" t="inlineStr">
        <is>
          <t>stock</t>
        </is>
      </c>
      <c r="B374" t="inlineStr">
        <is>
          <t>none remain.</t>
        </is>
      </c>
      <c r="C374" t="n">
        <v>0</v>
      </c>
      <c r="D374" t="n">
        <v>0</v>
      </c>
      <c r="E374" t="n">
        <v>0</v>
      </c>
      <c r="F374" t="n">
        <v>0</v>
      </c>
      <c r="H374" t="n">
        <v>0</v>
      </c>
      <c r="I374" t="n">
        <v>0</v>
      </c>
      <c r="J374" t="n">
        <v>0</v>
      </c>
      <c r="K374" t="n">
        <v>0</v>
      </c>
      <c r="L374" t="n">
        <v>0</v>
      </c>
      <c r="M374" t="n">
        <v>0</v>
      </c>
      <c r="N374" t="n">
        <v>0</v>
      </c>
    </row>
    <row r="375">
      <c r="A375" t="inlineStr">
        <is>
          <t>stock</t>
        </is>
      </c>
      <c r="B375" t="inlineStr">
        <is>
          <t>bullocks: 5 remain from the yearlings.</t>
        </is>
      </c>
      <c r="C375" t="n">
        <v>0</v>
      </c>
      <c r="D375" t="n">
        <v>0</v>
      </c>
      <c r="E375" t="n">
        <v>0</v>
      </c>
      <c r="F375" t="n">
        <v>0</v>
      </c>
      <c r="H375" t="n">
        <v>0</v>
      </c>
      <c r="I375" t="n">
        <v>0</v>
      </c>
      <c r="J375" t="n">
        <v>0</v>
      </c>
      <c r="K375" t="n">
        <v>0</v>
      </c>
      <c r="L375" t="n">
        <v>0</v>
      </c>
      <c r="M375" t="n">
        <v>0</v>
      </c>
      <c r="N375" t="n">
        <v>0</v>
      </c>
    </row>
    <row r="376">
      <c r="A376" t="inlineStr">
        <is>
          <t>stock</t>
        </is>
      </c>
      <c r="B376" t="inlineStr">
        <is>
          <t>total, 5. 1 in murrain.</t>
        </is>
      </c>
      <c r="C376" t="n">
        <v>0</v>
      </c>
      <c r="D376" t="n">
        <v>0</v>
      </c>
      <c r="E376" t="n">
        <v>0</v>
      </c>
      <c r="F376" t="n">
        <v>0</v>
      </c>
      <c r="H376" t="n">
        <v>0</v>
      </c>
      <c r="I376" t="n">
        <v>0</v>
      </c>
      <c r="J376" t="n">
        <v>0</v>
      </c>
      <c r="K376" t="n">
        <v>0</v>
      </c>
      <c r="L376" t="n">
        <v>0</v>
      </c>
      <c r="M376" t="n">
        <v>0</v>
      </c>
      <c r="N376" t="n">
        <v>0</v>
      </c>
    </row>
    <row r="377">
      <c r="A377" t="inlineStr">
        <is>
          <t>stock</t>
        </is>
      </c>
      <c r="B377" t="inlineStr">
        <is>
          <t>4 remain.</t>
        </is>
      </c>
      <c r="C377" t="n">
        <v>0</v>
      </c>
      <c r="D377" t="n">
        <v>0</v>
      </c>
      <c r="E377" t="n">
        <v>0</v>
      </c>
      <c r="F377" t="n">
        <v>0</v>
      </c>
      <c r="H377" t="n">
        <v>0</v>
      </c>
      <c r="I377" t="n">
        <v>0</v>
      </c>
      <c r="J377" t="n">
        <v>0</v>
      </c>
      <c r="K377" t="n">
        <v>0</v>
      </c>
      <c r="L377" t="n">
        <v>0</v>
      </c>
      <c r="M377" t="n">
        <v>0</v>
      </c>
      <c r="N377" t="n">
        <v>0</v>
      </c>
    </row>
    <row r="378">
      <c r="A378" t="inlineStr">
        <is>
          <t>stock</t>
        </is>
      </c>
      <c r="B378" t="inlineStr">
        <is>
          <t>yearlings: 8 remain from the calves.</t>
        </is>
      </c>
      <c r="C378" t="n">
        <v>0</v>
      </c>
      <c r="D378" t="n">
        <v>0</v>
      </c>
      <c r="E378" t="n">
        <v>0</v>
      </c>
      <c r="F378" t="n">
        <v>0</v>
      </c>
      <c r="H378" t="n">
        <v>0</v>
      </c>
      <c r="I378" t="n">
        <v>0</v>
      </c>
      <c r="J378" t="n">
        <v>0</v>
      </c>
      <c r="K378" t="n">
        <v>0</v>
      </c>
      <c r="L378" t="n">
        <v>0</v>
      </c>
      <c r="M378" t="n">
        <v>0</v>
      </c>
      <c r="N378" t="n">
        <v>0</v>
      </c>
    </row>
    <row r="379">
      <c r="A379" t="inlineStr">
        <is>
          <t>stock</t>
        </is>
      </c>
      <c r="B379" t="inlineStr">
        <is>
          <t>total, 8. 1 in murrain.</t>
        </is>
      </c>
      <c r="C379" t="n">
        <v>0</v>
      </c>
      <c r="D379" t="n">
        <v>0</v>
      </c>
      <c r="E379" t="n">
        <v>0</v>
      </c>
      <c r="F379" t="n">
        <v>0</v>
      </c>
      <c r="H379" t="n">
        <v>0</v>
      </c>
      <c r="I379" t="n">
        <v>0</v>
      </c>
      <c r="J379" t="n">
        <v>0</v>
      </c>
      <c r="K379" t="n">
        <v>0</v>
      </c>
      <c r="L379" t="n">
        <v>0</v>
      </c>
      <c r="M379" t="n">
        <v>0</v>
      </c>
      <c r="N379" t="n">
        <v>0</v>
      </c>
    </row>
    <row r="380">
      <c r="A380" t="inlineStr">
        <is>
          <t>stock</t>
        </is>
      </c>
      <c r="B380" t="inlineStr">
        <is>
          <t>7 remain.</t>
        </is>
      </c>
      <c r="C380" t="n">
        <v>0</v>
      </c>
      <c r="D380" t="n">
        <v>0</v>
      </c>
      <c r="E380" t="n">
        <v>0</v>
      </c>
      <c r="F380" t="n">
        <v>0</v>
      </c>
      <c r="H380" t="n">
        <v>0</v>
      </c>
      <c r="I380" t="n">
        <v>0</v>
      </c>
      <c r="J380" t="n">
        <v>0</v>
      </c>
      <c r="K380" t="n">
        <v>0</v>
      </c>
      <c r="L380" t="n">
        <v>0</v>
      </c>
      <c r="M380" t="n">
        <v>0</v>
      </c>
      <c r="N380" t="n">
        <v>0</v>
      </c>
    </row>
    <row r="381">
      <c r="A381" t="inlineStr">
        <is>
          <t>stock</t>
        </is>
      </c>
      <c r="B381" t="inlineStr">
        <is>
          <t>calves: 8 bought from the farmer of the dairy.</t>
        </is>
      </c>
      <c r="C381" t="n">
        <v>0</v>
      </c>
      <c r="D381" t="n">
        <v>0</v>
      </c>
      <c r="E381" t="n">
        <v>0</v>
      </c>
      <c r="F381" t="n">
        <v>0</v>
      </c>
      <c r="H381" t="n">
        <v>0</v>
      </c>
      <c r="I381" t="n">
        <v>0</v>
      </c>
      <c r="J381" t="n">
        <v>0</v>
      </c>
      <c r="K381" t="n">
        <v>0</v>
      </c>
      <c r="L381" t="n">
        <v>0</v>
      </c>
      <c r="M381" t="n">
        <v>0</v>
      </c>
      <c r="N381" t="n">
        <v>0</v>
      </c>
    </row>
    <row r="382">
      <c r="A382" t="inlineStr">
        <is>
          <t>stock</t>
        </is>
      </c>
      <c r="B382" t="inlineStr">
        <is>
          <t>total, 8. 8 remain.</t>
        </is>
      </c>
      <c r="C382" t="n">
        <v>0</v>
      </c>
      <c r="D382" t="n">
        <v>0</v>
      </c>
      <c r="E382" t="n">
        <v>0</v>
      </c>
      <c r="F382" t="n">
        <v>0</v>
      </c>
      <c r="H382" t="n">
        <v>0</v>
      </c>
      <c r="I382" t="n">
        <v>0</v>
      </c>
      <c r="J382" t="n">
        <v>0</v>
      </c>
      <c r="K382" t="n">
        <v>0</v>
      </c>
      <c r="L382" t="n">
        <v>0</v>
      </c>
      <c r="M382" t="n">
        <v>0</v>
      </c>
      <c r="N382" t="n">
        <v>0</v>
      </c>
    </row>
    <row r="383">
      <c r="A383" t="inlineStr">
        <is>
          <t>stock</t>
        </is>
      </c>
      <c r="B383" t="inlineStr">
        <is>
          <t>wethers: 318 remain.</t>
        </is>
      </c>
      <c r="C383" t="n">
        <v>0</v>
      </c>
      <c r="D383" t="n">
        <v>0</v>
      </c>
      <c r="E383" t="n">
        <v>0</v>
      </c>
      <c r="F383" t="n">
        <v>0</v>
      </c>
      <c r="H383" t="n">
        <v>0</v>
      </c>
      <c r="I383" t="n">
        <v>0</v>
      </c>
      <c r="J383" t="n">
        <v>0</v>
      </c>
      <c r="K383" t="n">
        <v>0</v>
      </c>
      <c r="L383" t="n">
        <v>0</v>
      </c>
      <c r="M383" t="n">
        <v>0</v>
      </c>
      <c r="N383" t="n">
        <v>0</v>
      </c>
    </row>
    <row r="384">
      <c r="A384" t="inlineStr">
        <is>
          <t>stock</t>
        </is>
      </c>
      <c r="B384" t="inlineStr">
        <is>
          <t>43 added from hoggs.</t>
        </is>
      </c>
      <c r="C384" t="n">
        <v>0</v>
      </c>
      <c r="D384" t="n">
        <v>0</v>
      </c>
      <c r="E384" t="n">
        <v>0</v>
      </c>
      <c r="F384" t="n">
        <v>0</v>
      </c>
      <c r="H384" t="n">
        <v>0</v>
      </c>
      <c r="I384" t="n">
        <v>0</v>
      </c>
      <c r="J384" t="n">
        <v>0</v>
      </c>
      <c r="K384" t="n">
        <v>0</v>
      </c>
      <c r="L384" t="n">
        <v>0</v>
      </c>
      <c r="M384" t="n">
        <v>0</v>
      </c>
      <c r="N384" t="n">
        <v>0</v>
      </c>
    </row>
    <row r="385">
      <c r="A385" t="inlineStr">
        <is>
          <t>stock</t>
        </is>
      </c>
      <c r="B385" t="inlineStr">
        <is>
          <t>1 from the heriot of john palmere before shearing.</t>
        </is>
      </c>
      <c r="C385" t="n">
        <v>0</v>
      </c>
      <c r="D385" t="n">
        <v>0</v>
      </c>
      <c r="E385" t="n">
        <v>0</v>
      </c>
      <c r="F385" t="n">
        <v>0</v>
      </c>
      <c r="H385" t="n">
        <v>0</v>
      </c>
      <c r="I385" t="n">
        <v>0</v>
      </c>
      <c r="J385" t="n">
        <v>0</v>
      </c>
      <c r="K385" t="n">
        <v>0</v>
      </c>
      <c r="L385" t="n">
        <v>0</v>
      </c>
      <c r="M385" t="n">
        <v>0</v>
      </c>
      <c r="N385" t="n">
        <v>0</v>
      </c>
    </row>
    <row r="386">
      <c r="A386" t="inlineStr">
        <is>
          <t>stock</t>
        </is>
      </c>
      <c r="B386" t="inlineStr">
        <is>
          <t>24 bought before shearing.</t>
        </is>
      </c>
      <c r="C386" t="n">
        <v>0</v>
      </c>
      <c r="D386" t="n">
        <v>0</v>
      </c>
      <c r="E386" t="n">
        <v>0</v>
      </c>
      <c r="F386" t="n">
        <v>0</v>
      </c>
      <c r="H386" t="n">
        <v>0</v>
      </c>
      <c r="I386" t="n">
        <v>0</v>
      </c>
      <c r="J386" t="n">
        <v>0</v>
      </c>
      <c r="K386" t="n">
        <v>0</v>
      </c>
      <c r="L386" t="n">
        <v>0</v>
      </c>
      <c r="M386" t="n">
        <v>0</v>
      </c>
      <c r="N386" t="n">
        <v>0</v>
      </c>
    </row>
    <row r="387">
      <c r="A387" t="inlineStr">
        <is>
          <t>stock</t>
        </is>
      </c>
      <c r="B387" t="inlineStr">
        <is>
          <t>1 from the heriot of margery william.</t>
        </is>
      </c>
      <c r="C387" t="n">
        <v>0</v>
      </c>
      <c r="D387" t="n">
        <v>0</v>
      </c>
      <c r="E387" t="n">
        <v>0</v>
      </c>
      <c r="F387" t="n">
        <v>0</v>
      </c>
      <c r="H387" t="n">
        <v>0</v>
      </c>
      <c r="I387" t="n">
        <v>0</v>
      </c>
      <c r="J387" t="n">
        <v>0</v>
      </c>
      <c r="K387" t="n">
        <v>0</v>
      </c>
      <c r="L387" t="n">
        <v>0</v>
      </c>
      <c r="M387" t="n">
        <v>0</v>
      </c>
      <c r="N387" t="n">
        <v>0</v>
      </c>
    </row>
    <row r="388">
      <c r="A388" t="inlineStr">
        <is>
          <t>stock</t>
        </is>
      </c>
      <c r="B388" t="inlineStr">
        <is>
          <t>total, 387. 21 in murrain before shearing, 9 after shearing.</t>
        </is>
      </c>
      <c r="C388" t="n">
        <v>0</v>
      </c>
      <c r="D388" t="n">
        <v>0</v>
      </c>
      <c r="E388" t="n">
        <v>0</v>
      </c>
      <c r="F388" t="n">
        <v>0</v>
      </c>
      <c r="H388" t="n">
        <v>0</v>
      </c>
      <c r="I388" t="n">
        <v>0</v>
      </c>
      <c r="J388" t="n">
        <v>0</v>
      </c>
      <c r="K388" t="n">
        <v>0</v>
      </c>
      <c r="L388" t="n">
        <v>0</v>
      </c>
      <c r="M388" t="n">
        <v>0</v>
      </c>
      <c r="N388" t="n">
        <v>0</v>
      </c>
    </row>
    <row r="389">
      <c r="A389" t="inlineStr">
        <is>
          <t>stock</t>
        </is>
      </c>
      <c r="B389" t="inlineStr">
        <is>
          <t>2 sold within to the lord's household after shearing.</t>
        </is>
      </c>
      <c r="C389" t="n">
        <v>0</v>
      </c>
      <c r="D389" t="n">
        <v>0</v>
      </c>
      <c r="E389" t="n">
        <v>0</v>
      </c>
      <c r="F389" t="n">
        <v>0</v>
      </c>
      <c r="H389" t="n">
        <v>0</v>
      </c>
      <c r="I389" t="n">
        <v>0</v>
      </c>
      <c r="J389" t="n">
        <v>0</v>
      </c>
      <c r="K389" t="n">
        <v>0</v>
      </c>
      <c r="L389" t="n">
        <v>0</v>
      </c>
      <c r="M389" t="n">
        <v>0</v>
      </c>
      <c r="N389" t="n">
        <v>0</v>
      </c>
    </row>
    <row r="390">
      <c r="A390" t="inlineStr">
        <is>
          <t>stock</t>
        </is>
      </c>
      <c r="B390" t="inlineStr">
        <is>
          <t>60 kebbs sold for fear of murrain, 30 of them before shearing.</t>
        </is>
      </c>
      <c r="C390" t="n">
        <v>0</v>
      </c>
      <c r="D390" t="n">
        <v>0</v>
      </c>
      <c r="E390" t="n">
        <v>0</v>
      </c>
      <c r="F390" t="n">
        <v>0</v>
      </c>
      <c r="H390" t="n">
        <v>0</v>
      </c>
      <c r="I390" t="n">
        <v>0</v>
      </c>
      <c r="J390" t="n">
        <v>0</v>
      </c>
      <c r="K390" t="n">
        <v>0</v>
      </c>
      <c r="L390" t="n">
        <v>0</v>
      </c>
      <c r="M390" t="n">
        <v>0</v>
      </c>
      <c r="N390" t="n">
        <v>0</v>
      </c>
    </row>
    <row r="391">
      <c r="A391" t="inlineStr">
        <is>
          <t>stock</t>
        </is>
      </c>
      <c r="B391" t="inlineStr">
        <is>
          <t>total, 92. 295 remain.</t>
        </is>
      </c>
      <c r="C391" t="n">
        <v>0</v>
      </c>
      <c r="D391" t="n">
        <v>0</v>
      </c>
      <c r="E391" t="n">
        <v>0</v>
      </c>
      <c r="F391" t="n">
        <v>0</v>
      </c>
      <c r="H391" t="n">
        <v>0</v>
      </c>
      <c r="I391" t="n">
        <v>0</v>
      </c>
      <c r="J391" t="n">
        <v>0</v>
      </c>
      <c r="K391" t="n">
        <v>0</v>
      </c>
      <c r="L391" t="n">
        <v>0</v>
      </c>
      <c r="M391" t="n">
        <v>0</v>
      </c>
      <c r="N391" t="n">
        <v>0</v>
      </c>
    </row>
    <row r="392">
      <c r="A392" t="inlineStr">
        <is>
          <t>stock</t>
        </is>
      </c>
      <c r="B392" t="inlineStr">
        <is>
          <t>rams: 5 remain.</t>
        </is>
      </c>
      <c r="C392" t="n">
        <v>0</v>
      </c>
      <c r="D392" t="n">
        <v>0</v>
      </c>
      <c r="E392" t="n">
        <v>0</v>
      </c>
      <c r="F392" t="n">
        <v>0</v>
      </c>
      <c r="H392" t="n">
        <v>0</v>
      </c>
      <c r="I392" t="n">
        <v>0</v>
      </c>
      <c r="J392" t="n">
        <v>0</v>
      </c>
      <c r="K392" t="n">
        <v>0</v>
      </c>
      <c r="L392" t="n">
        <v>0</v>
      </c>
      <c r="M392" t="n">
        <v>0</v>
      </c>
      <c r="N392" t="n">
        <v>0</v>
      </c>
    </row>
    <row r="393">
      <c r="A393" t="inlineStr">
        <is>
          <t>stock</t>
        </is>
      </c>
      <c r="B393" t="inlineStr">
        <is>
          <t>1 added from hoggs.</t>
        </is>
      </c>
      <c r="C393" t="n">
        <v>0</v>
      </c>
      <c r="D393" t="n">
        <v>0</v>
      </c>
      <c r="E393" t="n">
        <v>0</v>
      </c>
      <c r="F393" t="n">
        <v>0</v>
      </c>
      <c r="H393" t="n">
        <v>0</v>
      </c>
      <c r="I393" t="n">
        <v>0</v>
      </c>
      <c r="J393" t="n">
        <v>0</v>
      </c>
      <c r="K393" t="n">
        <v>0</v>
      </c>
      <c r="L393" t="n">
        <v>0</v>
      </c>
      <c r="M393" t="n">
        <v>0</v>
      </c>
      <c r="N393" t="n">
        <v>0</v>
      </c>
    </row>
    <row r="394">
      <c r="A394" t="inlineStr">
        <is>
          <t>stock</t>
        </is>
      </c>
      <c r="B394" t="inlineStr">
        <is>
          <t>total, 6. 1 in murrain before shearing.</t>
        </is>
      </c>
      <c r="C394" t="n">
        <v>0</v>
      </c>
      <c r="D394" t="n">
        <v>0</v>
      </c>
      <c r="E394" t="n">
        <v>0</v>
      </c>
      <c r="F394" t="n">
        <v>0</v>
      </c>
      <c r="H394" t="n">
        <v>0</v>
      </c>
      <c r="I394" t="n">
        <v>0</v>
      </c>
      <c r="J394" t="n">
        <v>0</v>
      </c>
      <c r="K394" t="n">
        <v>0</v>
      </c>
      <c r="L394" t="n">
        <v>0</v>
      </c>
      <c r="M394" t="n">
        <v>0</v>
      </c>
      <c r="N394" t="n">
        <v>0</v>
      </c>
    </row>
    <row r="395">
      <c r="A395" t="inlineStr">
        <is>
          <t>stock</t>
        </is>
      </c>
      <c r="B395" t="inlineStr">
        <is>
          <t>5 remain.</t>
        </is>
      </c>
      <c r="C395" t="n">
        <v>0</v>
      </c>
      <c r="D395" t="n">
        <v>0</v>
      </c>
      <c r="E395" t="n">
        <v>0</v>
      </c>
      <c r="F395" t="n">
        <v>0</v>
      </c>
      <c r="H395" t="n">
        <v>0</v>
      </c>
      <c r="I395" t="n">
        <v>0</v>
      </c>
      <c r="J395" t="n">
        <v>0</v>
      </c>
      <c r="K395" t="n">
        <v>0</v>
      </c>
      <c r="L395" t="n">
        <v>0</v>
      </c>
      <c r="M395" t="n">
        <v>0</v>
      </c>
      <c r="N395" t="n">
        <v>0</v>
      </c>
    </row>
    <row r="396">
      <c r="A396" t="inlineStr">
        <is>
          <t>stock</t>
        </is>
      </c>
      <c r="B396" t="inlineStr">
        <is>
          <t>ewes: 208 remain.</t>
        </is>
      </c>
      <c r="C396" t="n">
        <v>0</v>
      </c>
      <c r="D396" t="n">
        <v>0</v>
      </c>
      <c r="E396" t="n">
        <v>0</v>
      </c>
      <c r="F396" t="n">
        <v>0</v>
      </c>
      <c r="H396" t="n">
        <v>0</v>
      </c>
      <c r="I396" t="n">
        <v>0</v>
      </c>
      <c r="J396" t="n">
        <v>0</v>
      </c>
      <c r="K396" t="n">
        <v>0</v>
      </c>
      <c r="L396" t="n">
        <v>0</v>
      </c>
      <c r="M396" t="n">
        <v>0</v>
      </c>
      <c r="N396" t="n">
        <v>0</v>
      </c>
    </row>
    <row r="397">
      <c r="A397" t="inlineStr">
        <is>
          <t>stock</t>
        </is>
      </c>
      <c r="B397" t="inlineStr">
        <is>
          <t>46 added from hoggs.</t>
        </is>
      </c>
      <c r="C397" t="n">
        <v>0</v>
      </c>
      <c r="D397" t="n">
        <v>0</v>
      </c>
      <c r="E397" t="n">
        <v>0</v>
      </c>
      <c r="F397" t="n">
        <v>0</v>
      </c>
      <c r="H397" t="n">
        <v>0</v>
      </c>
      <c r="I397" t="n">
        <v>0</v>
      </c>
      <c r="J397" t="n">
        <v>0</v>
      </c>
      <c r="K397" t="n">
        <v>0</v>
      </c>
      <c r="L397" t="n">
        <v>0</v>
      </c>
      <c r="M397" t="n">
        <v>0</v>
      </c>
      <c r="N397" t="n">
        <v>0</v>
      </c>
    </row>
    <row r="398">
      <c r="A398" t="inlineStr">
        <is>
          <t>stock</t>
        </is>
      </c>
      <c r="B398" t="inlineStr">
        <is>
          <t>total, 254. 12 in murrain before lambing and shearing, 16 after shearing.</t>
        </is>
      </c>
      <c r="C398" t="n">
        <v>0</v>
      </c>
      <c r="D398" t="n">
        <v>0</v>
      </c>
      <c r="E398" t="n">
        <v>0</v>
      </c>
      <c r="F398" t="n">
        <v>0</v>
      </c>
      <c r="H398" t="n">
        <v>0</v>
      </c>
      <c r="I398" t="n">
        <v>0</v>
      </c>
      <c r="J398" t="n">
        <v>0</v>
      </c>
      <c r="K398" t="n">
        <v>0</v>
      </c>
      <c r="L398" t="n">
        <v>0</v>
      </c>
      <c r="M398" t="n">
        <v>0</v>
      </c>
      <c r="N398" t="n">
        <v>0</v>
      </c>
    </row>
    <row r="399">
      <c r="A399" t="inlineStr">
        <is>
          <t>stock</t>
        </is>
      </c>
      <c r="B399" t="inlineStr">
        <is>
          <t>20 kebbs sold within after lambing and before shearing.</t>
        </is>
      </c>
      <c r="C399" t="n">
        <v>0</v>
      </c>
      <c r="D399" t="n">
        <v>0</v>
      </c>
      <c r="E399" t="n">
        <v>0</v>
      </c>
      <c r="F399" t="n">
        <v>0</v>
      </c>
      <c r="H399" t="n">
        <v>0</v>
      </c>
      <c r="I399" t="n">
        <v>0</v>
      </c>
      <c r="J399" t="n">
        <v>0</v>
      </c>
      <c r="K399" t="n">
        <v>0</v>
      </c>
      <c r="L399" t="n">
        <v>0</v>
      </c>
      <c r="M399" t="n">
        <v>0</v>
      </c>
      <c r="N399" t="n">
        <v>0</v>
      </c>
    </row>
    <row r="400">
      <c r="A400" t="inlineStr">
        <is>
          <t>stock</t>
        </is>
      </c>
      <c r="B400" t="inlineStr">
        <is>
          <t>total, 48. 206 remain.</t>
        </is>
      </c>
      <c r="C400" t="n">
        <v>0</v>
      </c>
      <c r="D400" t="n">
        <v>0</v>
      </c>
      <c r="E400" t="n">
        <v>0</v>
      </c>
      <c r="F400" t="n">
        <v>0</v>
      </c>
      <c r="H400" t="n">
        <v>0</v>
      </c>
      <c r="I400" t="n">
        <v>0</v>
      </c>
      <c r="J400" t="n">
        <v>0</v>
      </c>
      <c r="K400" t="n">
        <v>0</v>
      </c>
      <c r="L400" t="n">
        <v>0</v>
      </c>
      <c r="M400" t="n">
        <v>0</v>
      </c>
      <c r="N400" t="n">
        <v>0</v>
      </c>
    </row>
    <row r="401">
      <c r="A401" t="inlineStr">
        <is>
          <t>stock</t>
        </is>
      </c>
      <c r="B401" t="inlineStr">
        <is>
          <t>hoggs: 121 remain from the lambs.</t>
        </is>
      </c>
      <c r="C401" t="n">
        <v>0</v>
      </c>
      <c r="D401" t="n">
        <v>0</v>
      </c>
      <c r="E401" t="n">
        <v>0</v>
      </c>
      <c r="F401" t="n">
        <v>0</v>
      </c>
      <c r="H401" t="n">
        <v>0</v>
      </c>
      <c r="I401" t="n">
        <v>0</v>
      </c>
      <c r="J401" t="n">
        <v>0</v>
      </c>
      <c r="K401" t="n">
        <v>0</v>
      </c>
      <c r="L401" t="n">
        <v>0</v>
      </c>
      <c r="M401" t="n">
        <v>0</v>
      </c>
      <c r="N401" t="n">
        <v>0</v>
      </c>
    </row>
    <row r="402">
      <c r="A402" t="inlineStr">
        <is>
          <t>stock</t>
        </is>
      </c>
      <c r="B402" t="inlineStr">
        <is>
          <t>total, 121. 8 in murrain before shearing and 4 after shearing.</t>
        </is>
      </c>
      <c r="C402" t="n">
        <v>0</v>
      </c>
      <c r="D402" t="n">
        <v>0</v>
      </c>
      <c r="E402" t="n">
        <v>0</v>
      </c>
      <c r="F402" t="n">
        <v>0</v>
      </c>
      <c r="H402" t="n">
        <v>0</v>
      </c>
      <c r="I402" t="n">
        <v>0</v>
      </c>
      <c r="J402" t="n">
        <v>0</v>
      </c>
      <c r="K402" t="n">
        <v>0</v>
      </c>
      <c r="L402" t="n">
        <v>0</v>
      </c>
      <c r="M402" t="n">
        <v>0</v>
      </c>
      <c r="N402" t="n">
        <v>0</v>
      </c>
    </row>
    <row r="403">
      <c r="A403" t="inlineStr">
        <is>
          <t>stock</t>
        </is>
      </c>
      <c r="B403" t="inlineStr">
        <is>
          <t>43 added above to wethers, 1 to rams and 46 to ewes.</t>
        </is>
      </c>
      <c r="C403" t="n">
        <v>0</v>
      </c>
      <c r="D403" t="n">
        <v>0</v>
      </c>
      <c r="E403" t="n">
        <v>0</v>
      </c>
      <c r="F403" t="n">
        <v>0</v>
      </c>
      <c r="H403" t="n">
        <v>0</v>
      </c>
      <c r="I403" t="n">
        <v>0</v>
      </c>
      <c r="J403" t="n">
        <v>0</v>
      </c>
      <c r="K403" t="n">
        <v>0</v>
      </c>
      <c r="L403" t="n">
        <v>0</v>
      </c>
      <c r="M403" t="n">
        <v>0</v>
      </c>
      <c r="N403" t="n">
        <v>0</v>
      </c>
    </row>
    <row r="404">
      <c r="A404" t="inlineStr">
        <is>
          <t>stock</t>
        </is>
      </c>
      <c r="B404" t="inlineStr">
        <is>
          <t>19 sold within after shearing.</t>
        </is>
      </c>
      <c r="C404" t="n">
        <v>0</v>
      </c>
      <c r="D404" t="n">
        <v>0</v>
      </c>
      <c r="E404" t="n">
        <v>0</v>
      </c>
      <c r="F404" t="n">
        <v>0</v>
      </c>
      <c r="H404" t="n">
        <v>0</v>
      </c>
      <c r="I404" t="n">
        <v>0</v>
      </c>
      <c r="J404" t="n">
        <v>0</v>
      </c>
      <c r="K404" t="n">
        <v>0</v>
      </c>
      <c r="L404" t="n">
        <v>0</v>
      </c>
      <c r="M404" t="n">
        <v>0</v>
      </c>
      <c r="N404" t="n">
        <v>0</v>
      </c>
    </row>
    <row r="405">
      <c r="A405" t="inlineStr">
        <is>
          <t>stock</t>
        </is>
      </c>
      <c r="B405" t="inlineStr">
        <is>
          <t>total as before.</t>
        </is>
      </c>
      <c r="C405" t="n">
        <v>0</v>
      </c>
      <c r="D405" t="n">
        <v>0</v>
      </c>
      <c r="E405" t="n">
        <v>0</v>
      </c>
      <c r="F405" t="n">
        <v>0</v>
      </c>
      <c r="H405" t="n">
        <v>0</v>
      </c>
      <c r="I405" t="n">
        <v>0</v>
      </c>
      <c r="J405" t="n">
        <v>0</v>
      </c>
      <c r="K405" t="n">
        <v>0</v>
      </c>
      <c r="L405" t="n">
        <v>0</v>
      </c>
      <c r="M405" t="n">
        <v>0</v>
      </c>
      <c r="N405" t="n">
        <v>0</v>
      </c>
    </row>
    <row r="406">
      <c r="A406" t="inlineStr">
        <is>
          <t>stock</t>
        </is>
      </c>
      <c r="B406" t="inlineStr">
        <is>
          <t>none remain.</t>
        </is>
      </c>
      <c r="C406" t="n">
        <v>0</v>
      </c>
      <c r="D406" t="n">
        <v>0</v>
      </c>
      <c r="E406" t="n">
        <v>0</v>
      </c>
      <c r="F406" t="n">
        <v>0</v>
      </c>
      <c r="H406" t="n">
        <v>0</v>
      </c>
      <c r="I406" t="n">
        <v>0</v>
      </c>
      <c r="J406" t="n">
        <v>0</v>
      </c>
      <c r="K406" t="n">
        <v>0</v>
      </c>
      <c r="L406" t="n">
        <v>0</v>
      </c>
      <c r="M406" t="n">
        <v>0</v>
      </c>
      <c r="N406" t="n">
        <v>0</v>
      </c>
    </row>
    <row r="407">
      <c r="A407" t="inlineStr">
        <is>
          <t>stock</t>
        </is>
      </c>
      <c r="B407" t="inlineStr">
        <is>
          <t>lambs: 177 from the offspring of as many ewes and not more because 12 died before lambing and 19 were sterile. 18 in murrain before weaning.</t>
        </is>
      </c>
      <c r="C407" t="n">
        <v>0</v>
      </c>
      <c r="D407" t="n">
        <v>0</v>
      </c>
      <c r="E407" t="n">
        <v>0</v>
      </c>
      <c r="F407" t="n">
        <v>0</v>
      </c>
      <c r="H407" t="n">
        <v>0</v>
      </c>
      <c r="I407" t="n">
        <v>0</v>
      </c>
      <c r="J407" t="n">
        <v>0</v>
      </c>
      <c r="K407" t="n">
        <v>0</v>
      </c>
      <c r="L407" t="n">
        <v>0</v>
      </c>
      <c r="M407" t="n">
        <v>0</v>
      </c>
      <c r="N407" t="n">
        <v>0</v>
      </c>
    </row>
    <row r="408">
      <c r="A408" t="inlineStr">
        <is>
          <t>stock</t>
        </is>
      </c>
      <c r="B408" t="inlineStr">
        <is>
          <t>16 given in tithe.</t>
        </is>
      </c>
      <c r="C408" t="n">
        <v>0</v>
      </c>
      <c r="D408" t="n">
        <v>0</v>
      </c>
      <c r="E408" t="n">
        <v>0</v>
      </c>
      <c r="F408" t="n">
        <v>0</v>
      </c>
      <c r="H408" t="n">
        <v>0</v>
      </c>
      <c r="I408" t="n">
        <v>0</v>
      </c>
      <c r="J408" t="n">
        <v>0</v>
      </c>
      <c r="K408" t="n">
        <v>0</v>
      </c>
      <c r="L408" t="n">
        <v>0</v>
      </c>
      <c r="M408" t="n">
        <v>0</v>
      </c>
      <c r="N408" t="n">
        <v>0</v>
      </c>
    </row>
    <row r="409">
      <c r="A409" t="inlineStr">
        <is>
          <t>stock</t>
        </is>
      </c>
      <c r="B409" t="inlineStr">
        <is>
          <t>1 in agreement with the shepherd.</t>
        </is>
      </c>
      <c r="C409" t="n">
        <v>0</v>
      </c>
      <c r="D409" t="n">
        <v>0</v>
      </c>
      <c r="E409" t="n">
        <v>0</v>
      </c>
      <c r="F409" t="n">
        <v>0</v>
      </c>
      <c r="H409" t="n">
        <v>0</v>
      </c>
      <c r="I409" t="n">
        <v>0</v>
      </c>
      <c r="J409" t="n">
        <v>0</v>
      </c>
      <c r="K409" t="n">
        <v>0</v>
      </c>
      <c r="L409" t="n">
        <v>0</v>
      </c>
      <c r="M409" t="n">
        <v>0</v>
      </c>
      <c r="N409" t="n">
        <v>0</v>
      </c>
    </row>
    <row r="410">
      <c r="A410" t="inlineStr">
        <is>
          <t>stock</t>
        </is>
      </c>
      <c r="B410" t="inlineStr">
        <is>
          <t>12 in murrain after weaning.</t>
        </is>
      </c>
      <c r="C410" t="n">
        <v>0</v>
      </c>
      <c r="D410" t="n">
        <v>0</v>
      </c>
      <c r="E410" t="n">
        <v>0</v>
      </c>
      <c r="F410" t="n">
        <v>0</v>
      </c>
      <c r="H410" t="n">
        <v>0</v>
      </c>
      <c r="I410" t="n">
        <v>0</v>
      </c>
      <c r="J410" t="n">
        <v>0</v>
      </c>
      <c r="K410" t="n">
        <v>0</v>
      </c>
      <c r="L410" t="n">
        <v>0</v>
      </c>
      <c r="M410" t="n">
        <v>0</v>
      </c>
      <c r="N410" t="n">
        <v>0</v>
      </c>
    </row>
    <row r="411">
      <c r="A411" t="inlineStr">
        <is>
          <t>stock</t>
        </is>
      </c>
      <c r="B411" t="inlineStr">
        <is>
          <t>20 removed from stock and sold within.</t>
        </is>
      </c>
      <c r="C411" t="n">
        <v>0</v>
      </c>
      <c r="D411" t="n">
        <v>0</v>
      </c>
      <c r="E411" t="n">
        <v>0</v>
      </c>
      <c r="F411" t="n">
        <v>0</v>
      </c>
      <c r="H411" t="n">
        <v>0</v>
      </c>
      <c r="I411" t="n">
        <v>0</v>
      </c>
      <c r="J411" t="n">
        <v>0</v>
      </c>
      <c r="K411" t="n">
        <v>0</v>
      </c>
      <c r="L411" t="n">
        <v>0</v>
      </c>
      <c r="M411" t="n">
        <v>0</v>
      </c>
      <c r="N411" t="n">
        <v>0</v>
      </c>
    </row>
    <row r="412">
      <c r="A412" t="inlineStr">
        <is>
          <t>stock</t>
        </is>
      </c>
      <c r="B412" t="inlineStr">
        <is>
          <t>total, 67. 110 remain.</t>
        </is>
      </c>
      <c r="C412" t="n">
        <v>0</v>
      </c>
      <c r="D412" t="n">
        <v>0</v>
      </c>
      <c r="E412" t="n">
        <v>0</v>
      </c>
      <c r="F412" t="n">
        <v>0</v>
      </c>
      <c r="H412" t="n">
        <v>0</v>
      </c>
      <c r="I412" t="n">
        <v>0</v>
      </c>
      <c r="J412" t="n">
        <v>0</v>
      </c>
      <c r="K412" t="n">
        <v>0</v>
      </c>
      <c r="L412" t="n">
        <v>0</v>
      </c>
      <c r="M412" t="n">
        <v>0</v>
      </c>
      <c r="N412" t="n">
        <v>0</v>
      </c>
    </row>
    <row r="413">
      <c r="A413" t="inlineStr">
        <is>
          <t>stock</t>
        </is>
      </c>
      <c r="B413" t="inlineStr">
        <is>
          <t>boars: 2 remain.</t>
        </is>
      </c>
      <c r="C413" t="n">
        <v>0</v>
      </c>
      <c r="D413" t="n">
        <v>0</v>
      </c>
      <c r="E413" t="n">
        <v>0</v>
      </c>
      <c r="F413" t="n">
        <v>0</v>
      </c>
      <c r="H413" t="n">
        <v>0</v>
      </c>
      <c r="I413" t="n">
        <v>0</v>
      </c>
      <c r="J413" t="n">
        <v>0</v>
      </c>
      <c r="K413" t="n">
        <v>0</v>
      </c>
      <c r="L413" t="n">
        <v>0</v>
      </c>
      <c r="M413" t="n">
        <v>0</v>
      </c>
      <c r="N413" t="n">
        <v>0</v>
      </c>
    </row>
    <row r="414">
      <c r="A414" t="inlineStr">
        <is>
          <t>stock</t>
        </is>
      </c>
      <c r="B414" t="inlineStr">
        <is>
          <t>total, 2. 1 in murrain.</t>
        </is>
      </c>
      <c r="C414" t="n">
        <v>0</v>
      </c>
      <c r="D414" t="n">
        <v>0</v>
      </c>
      <c r="E414" t="n">
        <v>0</v>
      </c>
      <c r="F414" t="n">
        <v>0</v>
      </c>
      <c r="H414" t="n">
        <v>0</v>
      </c>
      <c r="I414" t="n">
        <v>0</v>
      </c>
      <c r="J414" t="n">
        <v>0</v>
      </c>
      <c r="K414" t="n">
        <v>0</v>
      </c>
      <c r="L414" t="n">
        <v>0</v>
      </c>
      <c r="M414" t="n">
        <v>0</v>
      </c>
      <c r="N414" t="n">
        <v>0</v>
      </c>
    </row>
    <row r="415">
      <c r="A415" t="inlineStr">
        <is>
          <t>stock</t>
        </is>
      </c>
      <c r="B415" t="inlineStr">
        <is>
          <t>1 remains.</t>
        </is>
      </c>
      <c r="C415" t="n">
        <v>0</v>
      </c>
      <c r="D415" t="n">
        <v>0</v>
      </c>
      <c r="E415" t="n">
        <v>0</v>
      </c>
      <c r="F415" t="n">
        <v>0</v>
      </c>
      <c r="H415" t="n">
        <v>0</v>
      </c>
      <c r="I415" t="n">
        <v>0</v>
      </c>
      <c r="J415" t="n">
        <v>0</v>
      </c>
      <c r="K415" t="n">
        <v>0</v>
      </c>
      <c r="L415" t="n">
        <v>0</v>
      </c>
      <c r="M415" t="n">
        <v>0</v>
      </c>
      <c r="N415" t="n">
        <v>0</v>
      </c>
    </row>
    <row r="416">
      <c r="A416" t="inlineStr">
        <is>
          <t>stock</t>
        </is>
      </c>
      <c r="B416" t="inlineStr">
        <is>
          <t>sows: 2 remain.</t>
        </is>
      </c>
      <c r="C416" t="n">
        <v>0</v>
      </c>
      <c r="D416" t="n">
        <v>0</v>
      </c>
      <c r="E416" t="n">
        <v>0</v>
      </c>
      <c r="F416" t="n">
        <v>0</v>
      </c>
      <c r="H416" t="n">
        <v>0</v>
      </c>
      <c r="I416" t="n">
        <v>0</v>
      </c>
      <c r="J416" t="n">
        <v>0</v>
      </c>
      <c r="K416" t="n">
        <v>0</v>
      </c>
      <c r="L416" t="n">
        <v>0</v>
      </c>
      <c r="M416" t="n">
        <v>0</v>
      </c>
      <c r="N416" t="n">
        <v>0</v>
      </c>
    </row>
    <row r="417">
      <c r="A417" t="inlineStr">
        <is>
          <t>stock</t>
        </is>
      </c>
      <c r="B417" t="inlineStr">
        <is>
          <t>4 additions.</t>
        </is>
      </c>
      <c r="C417" t="n">
        <v>0</v>
      </c>
      <c r="D417" t="n">
        <v>0</v>
      </c>
      <c r="E417" t="n">
        <v>0</v>
      </c>
      <c r="F417" t="n">
        <v>0</v>
      </c>
      <c r="H417" t="n">
        <v>0</v>
      </c>
      <c r="I417" t="n">
        <v>0</v>
      </c>
      <c r="J417" t="n">
        <v>0</v>
      </c>
      <c r="K417" t="n">
        <v>0</v>
      </c>
      <c r="L417" t="n">
        <v>0</v>
      </c>
      <c r="M417" t="n">
        <v>0</v>
      </c>
      <c r="N417" t="n">
        <v>0</v>
      </c>
    </row>
    <row r="418">
      <c r="A418" t="inlineStr">
        <is>
          <t>stock</t>
        </is>
      </c>
      <c r="B418" t="inlineStr">
        <is>
          <t>total, 7. 4 in murrain.</t>
        </is>
      </c>
      <c r="C418" t="n">
        <v>0</v>
      </c>
      <c r="D418" t="n">
        <v>0</v>
      </c>
      <c r="E418" t="n">
        <v>0</v>
      </c>
      <c r="F418" t="n">
        <v>0</v>
      </c>
      <c r="H418" t="n">
        <v>0</v>
      </c>
      <c r="I418" t="n">
        <v>0</v>
      </c>
      <c r="J418" t="n">
        <v>0</v>
      </c>
      <c r="K418" t="n">
        <v>0</v>
      </c>
      <c r="L418" t="n">
        <v>0</v>
      </c>
      <c r="M418" t="n">
        <v>0</v>
      </c>
      <c r="N418" t="n">
        <v>0</v>
      </c>
    </row>
    <row r="419">
      <c r="A419" t="inlineStr">
        <is>
          <t>stock</t>
        </is>
      </c>
      <c r="B419" t="inlineStr">
        <is>
          <t>total, 4. 3 remain.</t>
        </is>
      </c>
      <c r="C419" t="n">
        <v>0</v>
      </c>
      <c r="D419" t="n">
        <v>0</v>
      </c>
      <c r="E419" t="n">
        <v>0</v>
      </c>
      <c r="F419" t="n">
        <v>0</v>
      </c>
      <c r="H419" t="n">
        <v>0</v>
      </c>
      <c r="I419" t="n">
        <v>0</v>
      </c>
      <c r="J419" t="n">
        <v>0</v>
      </c>
      <c r="K419" t="n">
        <v>0</v>
      </c>
      <c r="L419" t="n">
        <v>0</v>
      </c>
      <c r="M419" t="n">
        <v>0</v>
      </c>
      <c r="N419" t="n">
        <v>0</v>
      </c>
    </row>
    <row r="420">
      <c r="A420" t="inlineStr">
        <is>
          <t>stock</t>
        </is>
      </c>
      <c r="B420" t="inlineStr">
        <is>
          <t>pigs: 112 remain.</t>
        </is>
      </c>
      <c r="C420" t="n">
        <v>0</v>
      </c>
      <c r="D420" t="n">
        <v>0</v>
      </c>
      <c r="E420" t="n">
        <v>0</v>
      </c>
      <c r="F420" t="n">
        <v>0</v>
      </c>
      <c r="H420" t="n">
        <v>0</v>
      </c>
      <c r="I420" t="n">
        <v>0</v>
      </c>
      <c r="J420" t="n">
        <v>0</v>
      </c>
      <c r="K420" t="n">
        <v>0</v>
      </c>
      <c r="L420" t="n">
        <v>0</v>
      </c>
      <c r="M420" t="n">
        <v>0</v>
      </c>
      <c r="N420" t="n">
        <v>0</v>
      </c>
    </row>
    <row r="421">
      <c r="A421" t="inlineStr">
        <is>
          <t>stock</t>
        </is>
      </c>
      <c r="B421" t="inlineStr">
        <is>
          <t>21 added from hoggets.</t>
        </is>
      </c>
      <c r="C421" t="n">
        <v>0</v>
      </c>
      <c r="D421" t="n">
        <v>0</v>
      </c>
      <c r="E421" t="n">
        <v>0</v>
      </c>
      <c r="F421" t="n">
        <v>0</v>
      </c>
      <c r="H421" t="n">
        <v>0</v>
      </c>
      <c r="I421" t="n">
        <v>0</v>
      </c>
      <c r="J421" t="n">
        <v>0</v>
      </c>
      <c r="K421" t="n">
        <v>0</v>
      </c>
      <c r="L421" t="n">
        <v>0</v>
      </c>
      <c r="M421" t="n">
        <v>0</v>
      </c>
      <c r="N421" t="n">
        <v>0</v>
      </c>
    </row>
    <row r="422">
      <c r="A422" t="inlineStr">
        <is>
          <t>stock</t>
        </is>
      </c>
      <c r="B422" t="inlineStr">
        <is>
          <t>total, 42. 13 in murrain.</t>
        </is>
      </c>
      <c r="C422" t="n">
        <v>0</v>
      </c>
      <c r="D422" t="n">
        <v>0</v>
      </c>
      <c r="E422" t="n">
        <v>0</v>
      </c>
      <c r="F422" t="n">
        <v>0</v>
      </c>
      <c r="H422" t="n">
        <v>0</v>
      </c>
      <c r="I422" t="n">
        <v>0</v>
      </c>
      <c r="J422" t="n">
        <v>0</v>
      </c>
      <c r="K422" t="n">
        <v>0</v>
      </c>
      <c r="L422" t="n">
        <v>0</v>
      </c>
      <c r="M422" t="n">
        <v>0</v>
      </c>
      <c r="N422" t="n">
        <v>0</v>
      </c>
    </row>
    <row r="423">
      <c r="A423" t="inlineStr">
        <is>
          <t>stock</t>
        </is>
      </c>
      <c r="B423" t="inlineStr">
        <is>
          <t>8 sold within.</t>
        </is>
      </c>
      <c r="C423" t="n">
        <v>0</v>
      </c>
      <c r="D423" t="n">
        <v>0</v>
      </c>
      <c r="E423" t="n">
        <v>0</v>
      </c>
      <c r="F423" t="n">
        <v>0</v>
      </c>
      <c r="H423" t="n">
        <v>0</v>
      </c>
      <c r="I423" t="n">
        <v>0</v>
      </c>
      <c r="J423" t="n">
        <v>0</v>
      </c>
      <c r="K423" t="n">
        <v>0</v>
      </c>
      <c r="L423" t="n">
        <v>0</v>
      </c>
      <c r="M423" t="n">
        <v>0</v>
      </c>
      <c r="N423" t="n">
        <v>0</v>
      </c>
    </row>
    <row r="424">
      <c r="A424" t="inlineStr">
        <is>
          <t>stock</t>
        </is>
      </c>
      <c r="B424" t="inlineStr">
        <is>
          <t>total, 21. 21 remain.</t>
        </is>
      </c>
      <c r="C424" t="n">
        <v>0</v>
      </c>
      <c r="D424" t="n">
        <v>0</v>
      </c>
      <c r="E424" t="n">
        <v>0</v>
      </c>
      <c r="F424" t="n">
        <v>0</v>
      </c>
      <c r="H424" t="n">
        <v>0</v>
      </c>
      <c r="I424" t="n">
        <v>0</v>
      </c>
      <c r="J424" t="n">
        <v>0</v>
      </c>
      <c r="K424" t="n">
        <v>0</v>
      </c>
      <c r="L424" t="n">
        <v>0</v>
      </c>
      <c r="M424" t="n">
        <v>0</v>
      </c>
      <c r="N424" t="n">
        <v>0</v>
      </c>
    </row>
    <row r="425">
      <c r="A425" t="inlineStr">
        <is>
          <t>stock</t>
        </is>
      </c>
      <c r="B425" t="inlineStr">
        <is>
          <t>hoggets: 40 remain from the piglets.</t>
        </is>
      </c>
      <c r="C425" t="n">
        <v>0</v>
      </c>
      <c r="D425" t="n">
        <v>0</v>
      </c>
      <c r="E425" t="n">
        <v>0</v>
      </c>
      <c r="F425" t="n">
        <v>0</v>
      </c>
      <c r="H425" t="n">
        <v>0</v>
      </c>
      <c r="I425" t="n">
        <v>0</v>
      </c>
      <c r="J425" t="n">
        <v>0</v>
      </c>
      <c r="K425" t="n">
        <v>0</v>
      </c>
      <c r="L425" t="n">
        <v>0</v>
      </c>
      <c r="M425" t="n">
        <v>0</v>
      </c>
      <c r="N425" t="n">
        <v>0</v>
      </c>
    </row>
    <row r="426">
      <c r="A426" t="inlineStr">
        <is>
          <t>stock</t>
        </is>
      </c>
      <c r="B426" t="inlineStr">
        <is>
          <t>total, 40. 15 in murrain.</t>
        </is>
      </c>
      <c r="C426" t="n">
        <v>0</v>
      </c>
      <c r="D426" t="n">
        <v>0</v>
      </c>
      <c r="E426" t="n">
        <v>0</v>
      </c>
      <c r="F426" t="n">
        <v>0</v>
      </c>
      <c r="H426" t="n">
        <v>0</v>
      </c>
      <c r="I426" t="n">
        <v>0</v>
      </c>
      <c r="J426" t="n">
        <v>0</v>
      </c>
      <c r="K426" t="n">
        <v>0</v>
      </c>
      <c r="L426" t="n">
        <v>0</v>
      </c>
      <c r="M426" t="n">
        <v>0</v>
      </c>
      <c r="N426" t="n">
        <v>0</v>
      </c>
    </row>
    <row r="427">
      <c r="A427" t="inlineStr">
        <is>
          <t>stock</t>
        </is>
      </c>
      <c r="B427" t="inlineStr">
        <is>
          <t>4 added above to sows and 21 to pigs.</t>
        </is>
      </c>
      <c r="C427" t="n">
        <v>0</v>
      </c>
      <c r="D427" t="n">
        <v>0</v>
      </c>
      <c r="E427" t="n">
        <v>0</v>
      </c>
      <c r="F427" t="n">
        <v>0</v>
      </c>
      <c r="H427" t="n">
        <v>0</v>
      </c>
      <c r="I427" t="n">
        <v>0</v>
      </c>
      <c r="J427" t="n">
        <v>0</v>
      </c>
      <c r="K427" t="n">
        <v>0</v>
      </c>
      <c r="L427" t="n">
        <v>0</v>
      </c>
      <c r="M427" t="n">
        <v>0</v>
      </c>
      <c r="N427" t="n">
        <v>0</v>
      </c>
    </row>
    <row r="428">
      <c r="A428" t="inlineStr">
        <is>
          <t>stock</t>
        </is>
      </c>
      <c r="B428" t="inlineStr">
        <is>
          <t>total as before.</t>
        </is>
      </c>
      <c r="C428" t="n">
        <v>0</v>
      </c>
      <c r="D428" t="n">
        <v>0</v>
      </c>
      <c r="E428" t="n">
        <v>0</v>
      </c>
      <c r="F428" t="n">
        <v>0</v>
      </c>
      <c r="H428" t="n">
        <v>0</v>
      </c>
      <c r="I428" t="n">
        <v>0</v>
      </c>
      <c r="J428" t="n">
        <v>0</v>
      </c>
      <c r="K428" t="n">
        <v>0</v>
      </c>
      <c r="L428" t="n">
        <v>0</v>
      </c>
      <c r="M428" t="n">
        <v>0</v>
      </c>
      <c r="N428" t="n">
        <v>0</v>
      </c>
    </row>
    <row r="429">
      <c r="A429" t="inlineStr">
        <is>
          <t>stock</t>
        </is>
      </c>
      <c r="B429" t="inlineStr">
        <is>
          <t>none remain.</t>
        </is>
      </c>
      <c r="C429" t="n">
        <v>0</v>
      </c>
      <c r="D429" t="n">
        <v>0</v>
      </c>
      <c r="E429" t="n">
        <v>0</v>
      </c>
      <c r="F429" t="n">
        <v>0</v>
      </c>
      <c r="H429" t="n">
        <v>0</v>
      </c>
      <c r="I429" t="n">
        <v>0</v>
      </c>
      <c r="J429" t="n">
        <v>0</v>
      </c>
      <c r="K429" t="n">
        <v>0</v>
      </c>
      <c r="L429" t="n">
        <v>0</v>
      </c>
      <c r="M429" t="n">
        <v>0</v>
      </c>
      <c r="N429" t="n">
        <v>0</v>
      </c>
    </row>
    <row r="430">
      <c r="A430" t="inlineStr">
        <is>
          <t>stock</t>
        </is>
      </c>
      <c r="B430" t="inlineStr">
        <is>
          <t>piglets: 45 from the offspring of the said 3 sows.</t>
        </is>
      </c>
      <c r="C430" t="n">
        <v>0</v>
      </c>
      <c r="D430" t="n">
        <v>0</v>
      </c>
      <c r="E430" t="n">
        <v>0</v>
      </c>
      <c r="F430" t="n">
        <v>0</v>
      </c>
      <c r="H430" t="n">
        <v>0</v>
      </c>
      <c r="I430" t="n">
        <v>0</v>
      </c>
      <c r="J430" t="n">
        <v>0</v>
      </c>
      <c r="K430" t="n">
        <v>0</v>
      </c>
      <c r="L430" t="n">
        <v>0</v>
      </c>
      <c r="M430" t="n">
        <v>0</v>
      </c>
      <c r="N430" t="n">
        <v>0</v>
      </c>
    </row>
    <row r="431">
      <c r="A431" t="inlineStr">
        <is>
          <t>stock</t>
        </is>
      </c>
      <c r="B431" t="inlineStr">
        <is>
          <t>total, 45. 4 in tithe.</t>
        </is>
      </c>
      <c r="C431" t="n">
        <v>0</v>
      </c>
      <c r="D431" t="n">
        <v>0</v>
      </c>
      <c r="E431" t="n">
        <v>0</v>
      </c>
      <c r="F431" t="n">
        <v>0</v>
      </c>
      <c r="H431" t="n">
        <v>0</v>
      </c>
      <c r="I431" t="n">
        <v>0</v>
      </c>
      <c r="J431" t="n">
        <v>0</v>
      </c>
      <c r="K431" t="n">
        <v>0</v>
      </c>
      <c r="L431" t="n">
        <v>0</v>
      </c>
      <c r="M431" t="n">
        <v>0</v>
      </c>
      <c r="N431" t="n">
        <v>0</v>
      </c>
    </row>
    <row r="432">
      <c r="A432" t="inlineStr">
        <is>
          <t>stock</t>
        </is>
      </c>
      <c r="B432" t="inlineStr">
        <is>
          <t>1 in agreement with the swineherd.</t>
        </is>
      </c>
      <c r="C432" t="n">
        <v>0</v>
      </c>
      <c r="D432" t="n">
        <v>0</v>
      </c>
      <c r="E432" t="n">
        <v>0</v>
      </c>
      <c r="F432" t="n">
        <v>0</v>
      </c>
      <c r="H432" t="n">
        <v>0</v>
      </c>
      <c r="I432" t="n">
        <v>0</v>
      </c>
      <c r="J432" t="n">
        <v>0</v>
      </c>
      <c r="K432" t="n">
        <v>0</v>
      </c>
      <c r="L432" t="n">
        <v>0</v>
      </c>
      <c r="M432" t="n">
        <v>0</v>
      </c>
      <c r="N432" t="n">
        <v>0</v>
      </c>
    </row>
    <row r="433">
      <c r="A433" t="inlineStr">
        <is>
          <t>stock</t>
        </is>
      </c>
      <c r="B433" t="inlineStr">
        <is>
          <t>total, 5. 40 remain.</t>
        </is>
      </c>
      <c r="C433" t="n">
        <v>0</v>
      </c>
      <c r="D433" t="n">
        <v>0</v>
      </c>
      <c r="E433" t="n">
        <v>0</v>
      </c>
      <c r="F433" t="n">
        <v>0</v>
      </c>
      <c r="H433" t="n">
        <v>0</v>
      </c>
      <c r="I433" t="n">
        <v>0</v>
      </c>
      <c r="J433" t="n">
        <v>0</v>
      </c>
      <c r="K433" t="n">
        <v>0</v>
      </c>
      <c r="L433" t="n">
        <v>0</v>
      </c>
      <c r="M433" t="n">
        <v>0</v>
      </c>
      <c r="N433" t="n">
        <v>0</v>
      </c>
    </row>
    <row r="434">
      <c r="A434" t="inlineStr">
        <is>
          <t>stock</t>
        </is>
      </c>
      <c r="B434" t="inlineStr">
        <is>
          <t>hides: 2 from horses, 5 from oxen, 6 from cows, 1 from a bullock and 1 from a yearling in murrain as made clear above.</t>
        </is>
      </c>
      <c r="C434" t="n">
        <v>0</v>
      </c>
      <c r="D434" t="n">
        <v>0</v>
      </c>
      <c r="E434" t="n">
        <v>0</v>
      </c>
      <c r="F434" t="n">
        <v>0</v>
      </c>
      <c r="H434" t="n">
        <v>0</v>
      </c>
      <c r="I434" t="n">
        <v>0</v>
      </c>
      <c r="J434" t="n">
        <v>0</v>
      </c>
      <c r="K434" t="n">
        <v>0</v>
      </c>
      <c r="L434" t="n">
        <v>0</v>
      </c>
      <c r="M434" t="n">
        <v>0</v>
      </c>
      <c r="N434" t="n">
        <v>0</v>
      </c>
    </row>
    <row r="435">
      <c r="A435" t="inlineStr">
        <is>
          <t>stock</t>
        </is>
      </c>
      <c r="B435" t="inlineStr">
        <is>
          <t>total, 15. sold within.</t>
        </is>
      </c>
      <c r="C435" t="n">
        <v>0</v>
      </c>
      <c r="D435" t="n">
        <v>0</v>
      </c>
      <c r="E435" t="n">
        <v>0</v>
      </c>
      <c r="F435" t="n">
        <v>0</v>
      </c>
      <c r="H435" t="n">
        <v>0</v>
      </c>
      <c r="I435" t="n">
        <v>0</v>
      </c>
      <c r="J435" t="n">
        <v>0</v>
      </c>
      <c r="K435" t="n">
        <v>0</v>
      </c>
      <c r="L435" t="n">
        <v>0</v>
      </c>
      <c r="M435" t="n">
        <v>0</v>
      </c>
      <c r="N435" t="n">
        <v>0</v>
      </c>
    </row>
    <row r="436">
      <c r="A436" t="inlineStr">
        <is>
          <t>stock</t>
        </is>
      </c>
      <c r="B436" t="inlineStr">
        <is>
          <t>none remain.</t>
        </is>
      </c>
      <c r="C436" t="n">
        <v>0</v>
      </c>
      <c r="D436" t="n">
        <v>0</v>
      </c>
      <c r="E436" t="n">
        <v>0</v>
      </c>
      <c r="F436" t="n">
        <v>0</v>
      </c>
      <c r="H436" t="n">
        <v>0</v>
      </c>
      <c r="I436" t="n">
        <v>0</v>
      </c>
      <c r="J436" t="n">
        <v>0</v>
      </c>
      <c r="K436" t="n">
        <v>0</v>
      </c>
      <c r="L436" t="n">
        <v>0</v>
      </c>
      <c r="M436" t="n">
        <v>0</v>
      </c>
      <c r="N436" t="n">
        <v>0</v>
      </c>
    </row>
    <row r="437">
      <c r="A437" t="inlineStr">
        <is>
          <t>stock</t>
        </is>
      </c>
      <c r="B437" t="inlineStr">
        <is>
          <t>coarse wool: 293 fleeces from wethers, 4 from rams, 176 from ewes and 113 from hoggs produced at the shearing this year.</t>
        </is>
      </c>
      <c r="C437" t="n">
        <v>0</v>
      </c>
      <c r="D437" t="n">
        <v>0</v>
      </c>
      <c r="E437" t="n">
        <v>0</v>
      </c>
      <c r="F437" t="n">
        <v>0</v>
      </c>
      <c r="H437" t="n">
        <v>0</v>
      </c>
      <c r="I437" t="n">
        <v>0</v>
      </c>
      <c r="J437" t="n">
        <v>0</v>
      </c>
      <c r="K437" t="n">
        <v>0</v>
      </c>
      <c r="L437" t="n">
        <v>0</v>
      </c>
      <c r="M437" t="n">
        <v>0</v>
      </c>
      <c r="N437" t="n">
        <v>0</v>
      </c>
    </row>
    <row r="438">
      <c r="A438" t="inlineStr">
        <is>
          <t>stock</t>
        </is>
      </c>
      <c r="B438" t="inlineStr">
        <is>
          <t>total, 586. 56 in tithe.</t>
        </is>
      </c>
      <c r="C438" t="n">
        <v>0</v>
      </c>
      <c r="D438" t="n">
        <v>0</v>
      </c>
      <c r="E438" t="n">
        <v>0</v>
      </c>
      <c r="F438" t="n">
        <v>0</v>
      </c>
      <c r="H438" t="n">
        <v>0</v>
      </c>
      <c r="I438" t="n">
        <v>0</v>
      </c>
      <c r="J438" t="n">
        <v>0</v>
      </c>
      <c r="K438" t="n">
        <v>0</v>
      </c>
      <c r="L438" t="n">
        <v>0</v>
      </c>
      <c r="M438" t="n">
        <v>0</v>
      </c>
      <c r="N438" t="n">
        <v>0</v>
      </c>
    </row>
    <row r="439">
      <c r="A439" t="inlineStr">
        <is>
          <t>stock</t>
        </is>
      </c>
      <c r="B439" t="inlineStr">
        <is>
          <t>1 in agreement with the shepherd of wethers.</t>
        </is>
      </c>
      <c r="C439" t="n">
        <v>0</v>
      </c>
      <c r="D439" t="n">
        <v>0</v>
      </c>
      <c r="E439" t="n">
        <v>0</v>
      </c>
      <c r="F439" t="n">
        <v>0</v>
      </c>
      <c r="H439" t="n">
        <v>0</v>
      </c>
      <c r="I439" t="n">
        <v>0</v>
      </c>
      <c r="J439" t="n">
        <v>0</v>
      </c>
      <c r="K439" t="n">
        <v>0</v>
      </c>
      <c r="L439" t="n">
        <v>0</v>
      </c>
      <c r="M439" t="n">
        <v>0</v>
      </c>
      <c r="N439" t="n">
        <v>0</v>
      </c>
    </row>
    <row r="440">
      <c r="A440" t="inlineStr">
        <is>
          <t>stock</t>
        </is>
      </c>
      <c r="B440" t="inlineStr">
        <is>
          <t>1 in agreement with the shepherd of ewes.</t>
        </is>
      </c>
      <c r="C440" t="n">
        <v>0</v>
      </c>
      <c r="D440" t="n">
        <v>0</v>
      </c>
      <c r="E440" t="n">
        <v>0</v>
      </c>
      <c r="F440" t="n">
        <v>0</v>
      </c>
      <c r="H440" t="n">
        <v>0</v>
      </c>
      <c r="I440" t="n">
        <v>0</v>
      </c>
      <c r="J440" t="n">
        <v>0</v>
      </c>
      <c r="K440" t="n">
        <v>0</v>
      </c>
      <c r="L440" t="n">
        <v>0</v>
      </c>
      <c r="M440" t="n">
        <v>0</v>
      </c>
      <c r="N440" t="n">
        <v>0</v>
      </c>
    </row>
    <row r="441">
      <c r="A441" t="inlineStr">
        <is>
          <t>stock</t>
        </is>
      </c>
      <c r="B441" t="inlineStr">
        <is>
          <t>527 delivered to wargrave, weighing 1 sack 37 cloves.</t>
        </is>
      </c>
      <c r="C441" t="n">
        <v>0</v>
      </c>
      <c r="D441" t="n">
        <v>0</v>
      </c>
      <c r="E441" t="n">
        <v>0</v>
      </c>
      <c r="F441" t="n">
        <v>0</v>
      </c>
      <c r="H441" t="n">
        <v>0</v>
      </c>
      <c r="I441" t="n">
        <v>0</v>
      </c>
      <c r="J441" t="n">
        <v>0</v>
      </c>
      <c r="K441" t="n">
        <v>0</v>
      </c>
      <c r="L441" t="n">
        <v>0</v>
      </c>
      <c r="M441" t="n">
        <v>0</v>
      </c>
      <c r="N441" t="n">
        <v>0</v>
      </c>
    </row>
    <row r="442">
      <c r="A442" t="inlineStr">
        <is>
          <t>stock</t>
        </is>
      </c>
      <c r="B442" t="inlineStr">
        <is>
          <t>total as before.</t>
        </is>
      </c>
      <c r="C442" t="n">
        <v>0</v>
      </c>
      <c r="D442" t="n">
        <v>0</v>
      </c>
      <c r="E442" t="n">
        <v>0</v>
      </c>
      <c r="F442" t="n">
        <v>0</v>
      </c>
      <c r="H442" t="n">
        <v>0</v>
      </c>
      <c r="I442" t="n">
        <v>0</v>
      </c>
      <c r="J442" t="n">
        <v>0</v>
      </c>
      <c r="K442" t="n">
        <v>0</v>
      </c>
      <c r="L442" t="n">
        <v>0</v>
      </c>
      <c r="M442" t="n">
        <v>0</v>
      </c>
      <c r="N442" t="n">
        <v>0</v>
      </c>
    </row>
    <row r="443">
      <c r="A443" t="inlineStr">
        <is>
          <t>stock</t>
        </is>
      </c>
      <c r="B443" t="inlineStr">
        <is>
          <t>none remains.</t>
        </is>
      </c>
      <c r="C443" t="n">
        <v>0</v>
      </c>
      <c r="D443" t="n">
        <v>0</v>
      </c>
      <c r="E443" t="n">
        <v>0</v>
      </c>
      <c r="F443" t="n">
        <v>0</v>
      </c>
      <c r="H443" t="n">
        <v>0</v>
      </c>
      <c r="I443" t="n">
        <v>0</v>
      </c>
      <c r="J443" t="n">
        <v>0</v>
      </c>
      <c r="K443" t="n">
        <v>0</v>
      </c>
      <c r="L443" t="n">
        <v>0</v>
      </c>
      <c r="M443" t="n">
        <v>0</v>
      </c>
      <c r="N443" t="n">
        <v>0</v>
      </c>
    </row>
    <row r="444">
      <c r="A444" t="inlineStr">
        <is>
          <t>stock</t>
        </is>
      </c>
      <c r="B444" t="inlineStr">
        <is>
          <t>wool locks: nothing this year because entangled with the fleeces.</t>
        </is>
      </c>
      <c r="C444" t="n">
        <v>0</v>
      </c>
      <c r="D444" t="n">
        <v>0</v>
      </c>
      <c r="E444" t="n">
        <v>0</v>
      </c>
      <c r="F444" t="n">
        <v>0</v>
      </c>
      <c r="H444" t="n">
        <v>0</v>
      </c>
      <c r="I444" t="n">
        <v>0</v>
      </c>
      <c r="J444" t="n">
        <v>0</v>
      </c>
      <c r="K444" t="n">
        <v>0</v>
      </c>
      <c r="L444" t="n">
        <v>0</v>
      </c>
      <c r="M444" t="n">
        <v>0</v>
      </c>
      <c r="N444" t="n">
        <v>0</v>
      </c>
    </row>
    <row r="445">
      <c r="A445" t="inlineStr">
        <is>
          <t>stock</t>
        </is>
      </c>
      <c r="B445" t="inlineStr">
        <is>
          <t>woolskins: 21 from wethers, 1 from a ram, 12 from ewes and 8 from hoggs in murrain before shearing as made clear above.</t>
        </is>
      </c>
      <c r="C445" t="n">
        <v>0</v>
      </c>
      <c r="D445" t="n">
        <v>0</v>
      </c>
      <c r="E445" t="n">
        <v>0</v>
      </c>
      <c r="F445" t="n">
        <v>0</v>
      </c>
      <c r="H445" t="n">
        <v>0</v>
      </c>
      <c r="I445" t="n">
        <v>0</v>
      </c>
      <c r="J445" t="n">
        <v>0</v>
      </c>
      <c r="K445" t="n">
        <v>0</v>
      </c>
      <c r="L445" t="n">
        <v>0</v>
      </c>
      <c r="M445" t="n">
        <v>0</v>
      </c>
      <c r="N445" t="n">
        <v>0</v>
      </c>
    </row>
    <row r="446">
      <c r="A446" t="inlineStr">
        <is>
          <t>stock</t>
        </is>
      </c>
      <c r="B446" t="inlineStr">
        <is>
          <t>total, 42. 4 in tithe.</t>
        </is>
      </c>
      <c r="C446" t="n">
        <v>0</v>
      </c>
      <c r="D446" t="n">
        <v>0</v>
      </c>
      <c r="E446" t="n">
        <v>0</v>
      </c>
      <c r="F446" t="n">
        <v>0</v>
      </c>
      <c r="H446" t="n">
        <v>0</v>
      </c>
      <c r="I446" t="n">
        <v>0</v>
      </c>
      <c r="J446" t="n">
        <v>0</v>
      </c>
      <c r="K446" t="n">
        <v>0</v>
      </c>
      <c r="L446" t="n">
        <v>0</v>
      </c>
      <c r="M446" t="n">
        <v>0</v>
      </c>
      <c r="N446" t="n">
        <v>0</v>
      </c>
    </row>
    <row r="447">
      <c r="A447" t="inlineStr">
        <is>
          <t>stock</t>
        </is>
      </c>
      <c r="B447" t="inlineStr">
        <is>
          <t>38 sold within.</t>
        </is>
      </c>
      <c r="C447" t="n">
        <v>0</v>
      </c>
      <c r="D447" t="n">
        <v>0</v>
      </c>
      <c r="E447" t="n">
        <v>0</v>
      </c>
      <c r="F447" t="n">
        <v>0</v>
      </c>
      <c r="H447" t="n">
        <v>0</v>
      </c>
      <c r="I447" t="n">
        <v>0</v>
      </c>
      <c r="J447" t="n">
        <v>0</v>
      </c>
      <c r="K447" t="n">
        <v>0</v>
      </c>
      <c r="L447" t="n">
        <v>0</v>
      </c>
      <c r="M447" t="n">
        <v>0</v>
      </c>
      <c r="N447" t="n">
        <v>0</v>
      </c>
    </row>
    <row r="448">
      <c r="A448" t="inlineStr">
        <is>
          <t>stock</t>
        </is>
      </c>
      <c r="B448" t="inlineStr">
        <is>
          <t>total as before.</t>
        </is>
      </c>
      <c r="C448" t="n">
        <v>0</v>
      </c>
      <c r="D448" t="n">
        <v>0</v>
      </c>
      <c r="E448" t="n">
        <v>0</v>
      </c>
      <c r="F448" t="n">
        <v>0</v>
      </c>
      <c r="H448" t="n">
        <v>0</v>
      </c>
      <c r="I448" t="n">
        <v>0</v>
      </c>
      <c r="J448" t="n">
        <v>0</v>
      </c>
      <c r="K448" t="n">
        <v>0</v>
      </c>
      <c r="L448" t="n">
        <v>0</v>
      </c>
      <c r="M448" t="n">
        <v>0</v>
      </c>
      <c r="N448" t="n">
        <v>0</v>
      </c>
    </row>
    <row r="449">
      <c r="A449" t="inlineStr">
        <is>
          <t>stock</t>
        </is>
      </c>
      <c r="B449" t="inlineStr">
        <is>
          <t>none remain.</t>
        </is>
      </c>
      <c r="C449" t="n">
        <v>0</v>
      </c>
      <c r="D449" t="n">
        <v>0</v>
      </c>
      <c r="E449" t="n">
        <v>0</v>
      </c>
      <c r="F449" t="n">
        <v>0</v>
      </c>
      <c r="H449" t="n">
        <v>0</v>
      </c>
      <c r="I449" t="n">
        <v>0</v>
      </c>
      <c r="J449" t="n">
        <v>0</v>
      </c>
      <c r="K449" t="n">
        <v>0</v>
      </c>
      <c r="L449" t="n">
        <v>0</v>
      </c>
      <c r="M449" t="n">
        <v>0</v>
      </c>
      <c r="N449" t="n">
        <v>0</v>
      </c>
    </row>
    <row r="450">
      <c r="A450" t="inlineStr">
        <is>
          <t>stock</t>
        </is>
      </c>
      <c r="B450" t="inlineStr">
        <is>
          <t>bare skins: 9 from wethers, 16 from ewes and 4 from hoggs in murrain after shearing as made clear above.</t>
        </is>
      </c>
      <c r="C450" t="n">
        <v>0</v>
      </c>
      <c r="D450" t="n">
        <v>0</v>
      </c>
      <c r="E450" t="n">
        <v>0</v>
      </c>
      <c r="F450" t="n">
        <v>0</v>
      </c>
      <c r="H450" t="n">
        <v>0</v>
      </c>
      <c r="I450" t="n">
        <v>0</v>
      </c>
      <c r="J450" t="n">
        <v>0</v>
      </c>
      <c r="K450" t="n">
        <v>0</v>
      </c>
      <c r="L450" t="n">
        <v>0</v>
      </c>
      <c r="M450" t="n">
        <v>0</v>
      </c>
      <c r="N450" t="n">
        <v>0</v>
      </c>
    </row>
    <row r="451">
      <c r="A451" t="inlineStr">
        <is>
          <t>stock</t>
        </is>
      </c>
      <c r="B451" t="inlineStr">
        <is>
          <t>total, 29. sold within.</t>
        </is>
      </c>
      <c r="C451" t="n">
        <v>0</v>
      </c>
      <c r="D451" t="n">
        <v>0</v>
      </c>
      <c r="E451" t="n">
        <v>0</v>
      </c>
      <c r="F451" t="n">
        <v>0</v>
      </c>
      <c r="H451" t="n">
        <v>0</v>
      </c>
      <c r="I451" t="n">
        <v>0</v>
      </c>
      <c r="J451" t="n">
        <v>0</v>
      </c>
      <c r="K451" t="n">
        <v>0</v>
      </c>
      <c r="L451" t="n">
        <v>0</v>
      </c>
      <c r="M451" t="n">
        <v>0</v>
      </c>
      <c r="N451" t="n">
        <v>0</v>
      </c>
    </row>
    <row r="452">
      <c r="A452" t="inlineStr">
        <is>
          <t>stock</t>
        </is>
      </c>
      <c r="B452" t="inlineStr">
        <is>
          <t>none remain.</t>
        </is>
      </c>
      <c r="C452" t="n">
        <v>0</v>
      </c>
      <c r="D452" t="n">
        <v>0</v>
      </c>
      <c r="E452" t="n">
        <v>0</v>
      </c>
      <c r="F452" t="n">
        <v>0</v>
      </c>
      <c r="H452" t="n">
        <v>0</v>
      </c>
      <c r="I452" t="n">
        <v>0</v>
      </c>
      <c r="J452" t="n">
        <v>0</v>
      </c>
      <c r="K452" t="n">
        <v>0</v>
      </c>
      <c r="L452" t="n">
        <v>0</v>
      </c>
      <c r="M452" t="n">
        <v>0</v>
      </c>
      <c r="N452" t="n">
        <v>0</v>
      </c>
    </row>
    <row r="453">
      <c r="A453" t="inlineStr">
        <is>
          <t>stock</t>
        </is>
      </c>
      <c r="B453" t="inlineStr">
        <is>
          <t>lambskins: 18 from lambs in murrain before weaning and 12 after weaning.</t>
        </is>
      </c>
      <c r="C453" t="n">
        <v>0</v>
      </c>
      <c r="D453" t="n">
        <v>0</v>
      </c>
      <c r="E453" t="n">
        <v>0</v>
      </c>
      <c r="F453" t="n">
        <v>0</v>
      </c>
      <c r="H453" t="n">
        <v>0</v>
      </c>
      <c r="I453" t="n">
        <v>0</v>
      </c>
      <c r="J453" t="n">
        <v>0</v>
      </c>
      <c r="K453" t="n">
        <v>0</v>
      </c>
      <c r="L453" t="n">
        <v>0</v>
      </c>
      <c r="M453" t="n">
        <v>0</v>
      </c>
      <c r="N453" t="n">
        <v>0</v>
      </c>
    </row>
    <row r="454">
      <c r="A454" t="inlineStr">
        <is>
          <t>stock</t>
        </is>
      </c>
      <c r="B454" t="inlineStr">
        <is>
          <t>total, 30. sold within.</t>
        </is>
      </c>
      <c r="C454" t="n">
        <v>0</v>
      </c>
      <c r="D454" t="n">
        <v>0</v>
      </c>
      <c r="E454" t="n">
        <v>0</v>
      </c>
      <c r="F454" t="n">
        <v>0</v>
      </c>
      <c r="H454" t="n">
        <v>0</v>
      </c>
      <c r="I454" t="n">
        <v>0</v>
      </c>
      <c r="J454" t="n">
        <v>0</v>
      </c>
      <c r="K454" t="n">
        <v>0</v>
      </c>
      <c r="L454" t="n">
        <v>0</v>
      </c>
      <c r="M454" t="n">
        <v>0</v>
      </c>
      <c r="N454" t="n">
        <v>0</v>
      </c>
    </row>
    <row r="455">
      <c r="A455" t="inlineStr">
        <is>
          <t>stock</t>
        </is>
      </c>
      <c r="B455" t="inlineStr">
        <is>
          <t>5 none remain.</t>
        </is>
      </c>
      <c r="C455" t="n">
        <v>0</v>
      </c>
      <c r="D455" t="n">
        <v>0</v>
      </c>
      <c r="E455" t="n">
        <v>0</v>
      </c>
      <c r="F455" t="n">
        <v>0</v>
      </c>
      <c r="H455" t="n">
        <v>0</v>
      </c>
      <c r="I455" t="n">
        <v>0</v>
      </c>
      <c r="J455" t="n">
        <v>0</v>
      </c>
      <c r="K455" t="n">
        <v>0</v>
      </c>
      <c r="L455" t="n">
        <v>0</v>
      </c>
      <c r="M455" t="n">
        <v>0</v>
      </c>
      <c r="N455" t="n">
        <v>0</v>
      </c>
    </row>
    <row r="456">
      <c r="A456" t="inlineStr">
        <is>
          <t>stock</t>
        </is>
      </c>
      <c r="B456" t="inlineStr">
        <is>
          <t>geese: 1 gander and 4 breeding geese ramin.</t>
        </is>
      </c>
      <c r="C456" t="n">
        <v>0</v>
      </c>
      <c r="D456" t="n">
        <v>0</v>
      </c>
      <c r="E456" t="n">
        <v>0</v>
      </c>
      <c r="F456" t="n">
        <v>0</v>
      </c>
      <c r="H456" t="n">
        <v>0</v>
      </c>
      <c r="I456" t="n">
        <v>0</v>
      </c>
      <c r="J456" t="n">
        <v>0</v>
      </c>
      <c r="K456" t="n">
        <v>0</v>
      </c>
      <c r="L456" t="n">
        <v>0</v>
      </c>
      <c r="M456" t="n">
        <v>0</v>
      </c>
      <c r="N456" t="n">
        <v>0</v>
      </c>
    </row>
    <row r="457">
      <c r="A457" t="inlineStr">
        <is>
          <t>stock</t>
        </is>
      </c>
      <c r="B457" t="inlineStr">
        <is>
          <t>22 offspring.</t>
        </is>
      </c>
      <c r="C457" t="n">
        <v>0</v>
      </c>
      <c r="D457" t="n">
        <v>0</v>
      </c>
      <c r="E457" t="n">
        <v>0</v>
      </c>
      <c r="F457" t="n">
        <v>0</v>
      </c>
      <c r="H457" t="n">
        <v>0</v>
      </c>
      <c r="I457" t="n">
        <v>0</v>
      </c>
      <c r="J457" t="n">
        <v>0</v>
      </c>
      <c r="K457" t="n">
        <v>0</v>
      </c>
      <c r="L457" t="n">
        <v>0</v>
      </c>
      <c r="M457" t="n">
        <v>0</v>
      </c>
      <c r="N457" t="n">
        <v>0</v>
      </c>
    </row>
    <row r="458">
      <c r="A458" t="inlineStr">
        <is>
          <t>stock</t>
        </is>
      </c>
      <c r="B458" t="inlineStr">
        <is>
          <t>total, 27. 2 in tithe.</t>
        </is>
      </c>
      <c r="C458" t="n">
        <v>0</v>
      </c>
      <c r="D458" t="n">
        <v>0</v>
      </c>
      <c r="E458" t="n">
        <v>0</v>
      </c>
      <c r="F458" t="n">
        <v>0</v>
      </c>
      <c r="H458" t="n">
        <v>0</v>
      </c>
      <c r="I458" t="n">
        <v>0</v>
      </c>
      <c r="J458" t="n">
        <v>0</v>
      </c>
      <c r="K458" t="n">
        <v>0</v>
      </c>
      <c r="L458" t="n">
        <v>0</v>
      </c>
      <c r="M458" t="n">
        <v>0</v>
      </c>
      <c r="N458" t="n">
        <v>0</v>
      </c>
    </row>
    <row r="459">
      <c r="A459" t="inlineStr">
        <is>
          <t>stock</t>
        </is>
      </c>
      <c r="B459" t="inlineStr">
        <is>
          <t>20 sold within.</t>
        </is>
      </c>
      <c r="C459" t="n">
        <v>0</v>
      </c>
      <c r="D459" t="n">
        <v>0</v>
      </c>
      <c r="E459" t="n">
        <v>0</v>
      </c>
      <c r="F459" t="n">
        <v>0</v>
      </c>
      <c r="H459" t="n">
        <v>0</v>
      </c>
      <c r="I459" t="n">
        <v>0</v>
      </c>
      <c r="J459" t="n">
        <v>0</v>
      </c>
      <c r="K459" t="n">
        <v>0</v>
      </c>
      <c r="L459" t="n">
        <v>0</v>
      </c>
      <c r="M459" t="n">
        <v>0</v>
      </c>
      <c r="N459" t="n">
        <v>0</v>
      </c>
    </row>
    <row r="460">
      <c r="A460" t="inlineStr">
        <is>
          <t>stock</t>
        </is>
      </c>
      <c r="B460" t="inlineStr">
        <is>
          <t>total, 22. 1 gander and 4 breeding geese remain.</t>
        </is>
      </c>
      <c r="C460" t="n">
        <v>0</v>
      </c>
      <c r="D460" t="n">
        <v>0</v>
      </c>
      <c r="E460" t="n">
        <v>0</v>
      </c>
      <c r="F460" t="n">
        <v>0</v>
      </c>
      <c r="H460" t="n">
        <v>0</v>
      </c>
      <c r="I460" t="n">
        <v>0</v>
      </c>
      <c r="J460" t="n">
        <v>0</v>
      </c>
      <c r="K460" t="n">
        <v>0</v>
      </c>
      <c r="L460" t="n">
        <v>0</v>
      </c>
      <c r="M460" t="n">
        <v>0</v>
      </c>
      <c r="N460" t="n">
        <v>0</v>
      </c>
    </row>
    <row r="461">
      <c r="A461" t="inlineStr">
        <is>
          <t>stock</t>
        </is>
      </c>
      <c r="B461" t="inlineStr">
        <is>
          <t>capons: 24 remain.</t>
        </is>
      </c>
      <c r="C461" t="n">
        <v>0</v>
      </c>
      <c r="D461" t="n">
        <v>0</v>
      </c>
      <c r="E461" t="n">
        <v>0</v>
      </c>
      <c r="F461" t="n">
        <v>0</v>
      </c>
      <c r="H461" t="n">
        <v>0</v>
      </c>
      <c r="I461" t="n">
        <v>0</v>
      </c>
      <c r="J461" t="n">
        <v>0</v>
      </c>
      <c r="K461" t="n">
        <v>0</v>
      </c>
      <c r="L461" t="n">
        <v>0</v>
      </c>
      <c r="M461" t="n">
        <v>0</v>
      </c>
      <c r="N461" t="n">
        <v>0</v>
      </c>
    </row>
    <row r="462">
      <c r="A462" t="inlineStr">
        <is>
          <t>stock</t>
        </is>
      </c>
      <c r="B462" t="inlineStr">
        <is>
          <t>24 made from the chickens below.</t>
        </is>
      </c>
      <c r="C462" t="n">
        <v>0</v>
      </c>
      <c r="D462" t="n">
        <v>0</v>
      </c>
      <c r="E462" t="n">
        <v>0</v>
      </c>
      <c r="F462" t="n">
        <v>0</v>
      </c>
      <c r="H462" t="n">
        <v>0</v>
      </c>
      <c r="I462" t="n">
        <v>0</v>
      </c>
      <c r="J462" t="n">
        <v>0</v>
      </c>
      <c r="K462" t="n">
        <v>0</v>
      </c>
      <c r="L462" t="n">
        <v>0</v>
      </c>
      <c r="M462" t="n">
        <v>0</v>
      </c>
      <c r="N462" t="n">
        <v>0</v>
      </c>
    </row>
    <row r="463">
      <c r="A463" t="inlineStr">
        <is>
          <t>stock</t>
        </is>
      </c>
      <c r="B463" t="inlineStr">
        <is>
          <t>total, 48. 24 sold within, 2 of them to the lord’s household.</t>
        </is>
      </c>
      <c r="C463" t="n">
        <v>0</v>
      </c>
      <c r="D463" t="n">
        <v>0</v>
      </c>
      <c r="E463" t="n">
        <v>0</v>
      </c>
      <c r="F463" t="n">
        <v>0</v>
      </c>
      <c r="H463" t="n">
        <v>0</v>
      </c>
      <c r="I463" t="n">
        <v>0</v>
      </c>
      <c r="J463" t="n">
        <v>0</v>
      </c>
      <c r="K463" t="n">
        <v>0</v>
      </c>
      <c r="L463" t="n">
        <v>0</v>
      </c>
      <c r="M463" t="n">
        <v>0</v>
      </c>
      <c r="N463" t="n">
        <v>0</v>
      </c>
    </row>
    <row r="464">
      <c r="A464" t="inlineStr">
        <is>
          <t>stock</t>
        </is>
      </c>
      <c r="B464" t="inlineStr">
        <is>
          <t>total, 24. 24 remain.</t>
        </is>
      </c>
      <c r="C464" t="n">
        <v>0</v>
      </c>
      <c r="D464" t="n">
        <v>0</v>
      </c>
      <c r="E464" t="n">
        <v>0</v>
      </c>
      <c r="F464" t="n">
        <v>0</v>
      </c>
      <c r="H464" t="n">
        <v>0</v>
      </c>
      <c r="I464" t="n">
        <v>0</v>
      </c>
      <c r="J464" t="n">
        <v>0</v>
      </c>
      <c r="K464" t="n">
        <v>0</v>
      </c>
      <c r="L464" t="n">
        <v>0</v>
      </c>
      <c r="M464" t="n">
        <v>0</v>
      </c>
      <c r="N464" t="n">
        <v>0</v>
      </c>
    </row>
    <row r="465">
      <c r="A465" t="inlineStr">
        <is>
          <t>stock</t>
        </is>
      </c>
      <c r="B465" t="inlineStr">
        <is>
          <t>cocks and hens: 1 cock and 5 hens.</t>
        </is>
      </c>
      <c r="C465" t="n">
        <v>0</v>
      </c>
      <c r="D465" t="n">
        <v>0</v>
      </c>
      <c r="E465" t="n">
        <v>0</v>
      </c>
      <c r="F465" t="n">
        <v>0</v>
      </c>
      <c r="H465" t="n">
        <v>0</v>
      </c>
      <c r="I465" t="n">
        <v>0</v>
      </c>
      <c r="J465" t="n">
        <v>0</v>
      </c>
      <c r="K465" t="n">
        <v>0</v>
      </c>
      <c r="L465" t="n">
        <v>0</v>
      </c>
      <c r="M465" t="n">
        <v>0</v>
      </c>
      <c r="N465" t="n">
        <v>0</v>
      </c>
    </row>
    <row r="466">
      <c r="A466" t="inlineStr">
        <is>
          <t>stock</t>
        </is>
      </c>
      <c r="B466" t="inlineStr">
        <is>
          <t>total, 6. 1 cock and 5 hens remain.</t>
        </is>
      </c>
      <c r="C466" t="n">
        <v>0</v>
      </c>
      <c r="D466" t="n">
        <v>0</v>
      </c>
      <c r="E466" t="n">
        <v>0</v>
      </c>
      <c r="F466" t="n">
        <v>0</v>
      </c>
      <c r="H466" t="n">
        <v>0</v>
      </c>
      <c r="I466" t="n">
        <v>0</v>
      </c>
      <c r="J466" t="n">
        <v>0</v>
      </c>
      <c r="K466" t="n">
        <v>0</v>
      </c>
      <c r="L466" t="n">
        <v>0</v>
      </c>
      <c r="M466" t="n">
        <v>0</v>
      </c>
      <c r="N466" t="n">
        <v>0</v>
      </c>
    </row>
    <row r="467">
      <c r="A467" t="inlineStr">
        <is>
          <t>stock</t>
        </is>
      </c>
      <c r="B467" t="inlineStr">
        <is>
          <t>chicken: 24 from the offspring of the said hens.</t>
        </is>
      </c>
      <c r="C467" t="n">
        <v>0</v>
      </c>
      <c r="D467" t="n">
        <v>0</v>
      </c>
      <c r="E467" t="n">
        <v>0</v>
      </c>
      <c r="F467" t="n">
        <v>0</v>
      </c>
      <c r="H467" t="n">
        <v>0</v>
      </c>
      <c r="I467" t="n">
        <v>0</v>
      </c>
      <c r="J467" t="n">
        <v>0</v>
      </c>
      <c r="K467" t="n">
        <v>0</v>
      </c>
      <c r="L467" t="n">
        <v>0</v>
      </c>
      <c r="M467" t="n">
        <v>0</v>
      </c>
      <c r="N467" t="n">
        <v>0</v>
      </c>
    </row>
    <row r="468">
      <c r="A468" t="inlineStr">
        <is>
          <t>stock</t>
        </is>
      </c>
      <c r="B468" t="inlineStr">
        <is>
          <t>all turned into capons above.</t>
        </is>
      </c>
      <c r="C468" t="n">
        <v>0</v>
      </c>
      <c r="D468" t="n">
        <v>0</v>
      </c>
      <c r="E468" t="n">
        <v>0</v>
      </c>
      <c r="F468" t="n">
        <v>0</v>
      </c>
      <c r="H468" t="n">
        <v>0</v>
      </c>
      <c r="I468" t="n">
        <v>0</v>
      </c>
      <c r="J468" t="n">
        <v>0</v>
      </c>
      <c r="K468" t="n">
        <v>0</v>
      </c>
      <c r="L468" t="n">
        <v>0</v>
      </c>
      <c r="M468" t="n">
        <v>0</v>
      </c>
      <c r="N468" t="n">
        <v>0</v>
      </c>
    </row>
    <row r="469">
      <c r="A469" t="inlineStr">
        <is>
          <t>stock</t>
        </is>
      </c>
      <c r="B469" t="inlineStr">
        <is>
          <t>none remain.</t>
        </is>
      </c>
      <c r="C469" t="n">
        <v>0</v>
      </c>
      <c r="D469" t="n">
        <v>0</v>
      </c>
      <c r="E469" t="n">
        <v>0</v>
      </c>
      <c r="F469" t="n">
        <v>0</v>
      </c>
      <c r="H469" t="n">
        <v>0</v>
      </c>
      <c r="I469" t="n">
        <v>0</v>
      </c>
      <c r="J469" t="n">
        <v>0</v>
      </c>
      <c r="K469" t="n">
        <v>0</v>
      </c>
      <c r="L469" t="n">
        <v>0</v>
      </c>
      <c r="M469" t="n">
        <v>0</v>
      </c>
      <c r="N469" t="n">
        <v>0</v>
      </c>
    </row>
    <row r="470">
      <c r="A470" t="inlineStr">
        <is>
          <t>stock</t>
        </is>
      </c>
      <c r="B470" t="inlineStr">
        <is>
          <t>eggs: 200 produced by the hens.</t>
        </is>
      </c>
      <c r="C470" t="n">
        <v>0</v>
      </c>
      <c r="D470" t="n">
        <v>0</v>
      </c>
      <c r="E470" t="n">
        <v>0</v>
      </c>
      <c r="F470" t="n">
        <v>0</v>
      </c>
      <c r="H470" t="n">
        <v>0</v>
      </c>
      <c r="I470" t="n">
        <v>0</v>
      </c>
      <c r="J470" t="n">
        <v>0</v>
      </c>
      <c r="K470" t="n">
        <v>0</v>
      </c>
      <c r="L470" t="n">
        <v>0</v>
      </c>
      <c r="M470" t="n">
        <v>0</v>
      </c>
      <c r="N470" t="n">
        <v>0</v>
      </c>
    </row>
    <row r="471">
      <c r="A471" t="inlineStr">
        <is>
          <t>stock</t>
        </is>
      </c>
      <c r="B471" t="inlineStr">
        <is>
          <t>303 from the beadle according to custom at easter..</t>
        </is>
      </c>
      <c r="C471" t="n">
        <v>0</v>
      </c>
      <c r="D471" t="n">
        <v>0</v>
      </c>
      <c r="E471" t="n">
        <v>0</v>
      </c>
      <c r="F471" t="n">
        <v>0</v>
      </c>
      <c r="H471" t="n">
        <v>0</v>
      </c>
      <c r="I471" t="n">
        <v>0</v>
      </c>
      <c r="J471" t="n">
        <v>0</v>
      </c>
      <c r="K471" t="n">
        <v>0</v>
      </c>
      <c r="L471" t="n">
        <v>0</v>
      </c>
      <c r="M471" t="n">
        <v>0</v>
      </c>
      <c r="N471" t="n">
        <v>0</v>
      </c>
    </row>
    <row r="472">
      <c r="A472" t="inlineStr">
        <is>
          <t>stock</t>
        </is>
      </c>
      <c r="B472" t="inlineStr">
        <is>
          <t>total, 503. sold within.</t>
        </is>
      </c>
      <c r="C472" t="n">
        <v>0</v>
      </c>
      <c r="D472" t="n">
        <v>0</v>
      </c>
      <c r="E472" t="n">
        <v>0</v>
      </c>
      <c r="F472" t="n">
        <v>0</v>
      </c>
      <c r="H472" t="n">
        <v>0</v>
      </c>
      <c r="I472" t="n">
        <v>0</v>
      </c>
      <c r="J472" t="n">
        <v>0</v>
      </c>
      <c r="K472" t="n">
        <v>0</v>
      </c>
      <c r="L472" t="n">
        <v>0</v>
      </c>
      <c r="M472" t="n">
        <v>0</v>
      </c>
      <c r="N472" t="n">
        <v>0</v>
      </c>
    </row>
    <row r="473">
      <c r="A473" t="inlineStr">
        <is>
          <t>stock</t>
        </is>
      </c>
      <c r="B473" t="inlineStr">
        <is>
          <t>none remain.</t>
        </is>
      </c>
      <c r="C473" t="n">
        <v>0</v>
      </c>
      <c r="D473" t="n">
        <v>0</v>
      </c>
      <c r="E473" t="n">
        <v>0</v>
      </c>
      <c r="F473" t="n">
        <v>0</v>
      </c>
      <c r="H473" t="n">
        <v>0</v>
      </c>
      <c r="I473" t="n">
        <v>0</v>
      </c>
      <c r="J473" t="n">
        <v>0</v>
      </c>
      <c r="K473" t="n">
        <v>0</v>
      </c>
      <c r="L473" t="n">
        <v>0</v>
      </c>
      <c r="M473" t="n">
        <v>0</v>
      </c>
      <c r="N473" t="n">
        <v>0</v>
      </c>
    </row>
    <row r="474">
      <c r="A474" t="inlineStr">
        <is>
          <t>stock</t>
        </is>
      </c>
      <c r="B474" t="inlineStr">
        <is>
          <t>ploughshares: 1 for the rent of thomas hastyng' for the tenement which belonged to.</t>
        </is>
      </c>
      <c r="C474" t="n">
        <v>0</v>
      </c>
      <c r="D474" t="n">
        <v>0</v>
      </c>
      <c r="E474" t="n">
        <v>0</v>
      </c>
      <c r="F474" t="n">
        <v>0</v>
      </c>
      <c r="H474" t="n">
        <v>0</v>
      </c>
      <c r="I474" t="n">
        <v>0</v>
      </c>
      <c r="J474" t="n">
        <v>0</v>
      </c>
      <c r="K474" t="n">
        <v>0</v>
      </c>
      <c r="L474" t="n">
        <v>0</v>
      </c>
      <c r="M474" t="n">
        <v>0</v>
      </c>
      <c r="N474" t="n">
        <v>0</v>
      </c>
    </row>
    <row r="475">
      <c r="A475" t="inlineStr">
        <is>
          <t>stock</t>
        </is>
      </c>
      <c r="B475" t="inlineStr">
        <is>
          <t>william sawell'.</t>
        </is>
      </c>
      <c r="C475" t="n">
        <v>0</v>
      </c>
      <c r="D475" t="n">
        <v>0</v>
      </c>
      <c r="E475" t="n">
        <v>0</v>
      </c>
      <c r="F475" t="n">
        <v>0</v>
      </c>
      <c r="H475" t="n">
        <v>0</v>
      </c>
      <c r="I475" t="n">
        <v>0</v>
      </c>
      <c r="J475" t="n">
        <v>0</v>
      </c>
      <c r="K475" t="n">
        <v>0</v>
      </c>
      <c r="L475" t="n">
        <v>0</v>
      </c>
      <c r="M475" t="n">
        <v>0</v>
      </c>
      <c r="N475" t="n">
        <v>0</v>
      </c>
    </row>
    <row r="476">
      <c r="A476" t="inlineStr">
        <is>
          <t>stock</t>
        </is>
      </c>
      <c r="B476" t="inlineStr">
        <is>
          <t>used for ploughs.</t>
        </is>
      </c>
      <c r="C476" t="n">
        <v>0</v>
      </c>
      <c r="D476" t="n">
        <v>0</v>
      </c>
      <c r="E476" t="n">
        <v>0</v>
      </c>
      <c r="F476" t="n">
        <v>0</v>
      </c>
      <c r="H476" t="n">
        <v>0</v>
      </c>
      <c r="I476" t="n">
        <v>0</v>
      </c>
      <c r="J476" t="n">
        <v>0</v>
      </c>
      <c r="K476" t="n">
        <v>0</v>
      </c>
      <c r="L476" t="n">
        <v>0</v>
      </c>
      <c r="M476" t="n">
        <v>0</v>
      </c>
      <c r="N476" t="n">
        <v>0</v>
      </c>
    </row>
    <row r="477">
      <c r="A477" t="inlineStr">
        <is>
          <t>stock</t>
        </is>
      </c>
      <c r="B477" t="inlineStr">
        <is>
          <t>cheese: nothing of the issue of the dairy here because at farm in the cash account within, at 5 shilling a cow with calf.</t>
        </is>
      </c>
      <c r="C477" t="n">
        <v>0.25</v>
      </c>
      <c r="D477" t="n">
        <v>0</v>
      </c>
      <c r="E477" t="n">
        <v>5</v>
      </c>
      <c r="F477" t="n">
        <v>0</v>
      </c>
      <c r="H477" t="n">
        <v>0</v>
      </c>
      <c r="I477" t="n">
        <v>0</v>
      </c>
      <c r="J477" t="n">
        <v>0</v>
      </c>
      <c r="K477" t="n">
        <v>0</v>
      </c>
      <c r="L477" t="n">
        <v>0</v>
      </c>
      <c r="M477" t="n">
        <v>0</v>
      </c>
      <c r="N477" t="n">
        <v>0</v>
      </c>
    </row>
    <row r="478">
      <c r="A478" t="inlineStr">
        <is>
          <t>stock</t>
        </is>
      </c>
      <c r="B478" t="inlineStr">
        <is>
          <t>nothing of the issue of the garden this year because there was no fruit.</t>
        </is>
      </c>
      <c r="C478" t="n">
        <v>0</v>
      </c>
      <c r="D478" t="n">
        <v>0</v>
      </c>
      <c r="E478" t="n">
        <v>0</v>
      </c>
      <c r="F478" t="n">
        <v>0</v>
      </c>
      <c r="H478" t="n">
        <v>0</v>
      </c>
      <c r="I478" t="n">
        <v>0</v>
      </c>
      <c r="J478" t="n">
        <v>0</v>
      </c>
      <c r="K478" t="n">
        <v>0</v>
      </c>
      <c r="L478" t="n">
        <v>0</v>
      </c>
      <c r="M478" t="n">
        <v>0</v>
      </c>
      <c r="N478" t="n">
        <v>0</v>
      </c>
    </row>
    <row r="479">
      <c r="A479" t="inlineStr">
        <is>
          <t>stock</t>
        </is>
      </c>
      <c r="B479" t="inlineStr">
        <is>
          <t>nothing of the labour services of the customary tenants here, apart from 20 reaping services which were sold under the heading, sales at the audit, for 1 shilling 8pence, and 16 manual labour services which were sold for 1 shilling 4pence as made clear under the aforesaid heading, for all the other labour services are to be found in the pipe roll for the first year of the translation of the lord henry beaufort.</t>
        </is>
      </c>
      <c r="C479" t="n">
        <v>0.08</v>
      </c>
      <c r="D479" t="n">
        <v>0</v>
      </c>
      <c r="E479" t="n">
        <v>1</v>
      </c>
      <c r="F479" t="n">
        <v>8</v>
      </c>
      <c r="H479" t="n">
        <v>0</v>
      </c>
      <c r="I479" t="n">
        <v>0</v>
      </c>
      <c r="J479" t="n">
        <v>0</v>
      </c>
      <c r="K479" t="n">
        <v>0</v>
      </c>
      <c r="L479" t="n">
        <v>0</v>
      </c>
      <c r="M479" t="n">
        <v>0</v>
      </c>
      <c r="N479" t="n">
        <v>0</v>
      </c>
    </row>
    <row r="480">
      <c r="A480" t="inlineStr">
        <is>
          <t>stock</t>
        </is>
      </c>
      <c r="B480" t="inlineStr">
        <is>
          <t>labour services done in common: and know that 6 cottagers will drive the lord's pigs or carry eggs, geese or hens for a distance of 30 miles, and if they should go beyond this they will go at the lord's cost, and if a thief should be taken and detained in prison they should keep him there.</t>
        </is>
      </c>
      <c r="C480" t="n">
        <v>0</v>
      </c>
      <c r="D480" t="n">
        <v>0</v>
      </c>
      <c r="E480" t="n">
        <v>0</v>
      </c>
      <c r="F480" t="n">
        <v>0</v>
      </c>
      <c r="H480" t="n">
        <v>0</v>
      </c>
      <c r="I480" t="n">
        <v>0</v>
      </c>
      <c r="J480" t="n">
        <v>0</v>
      </c>
      <c r="K480" t="n">
        <v>0</v>
      </c>
      <c r="L480" t="n">
        <v>0</v>
      </c>
      <c r="M480" t="n">
        <v>0</v>
      </c>
      <c r="N48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03"/>
  <sheetViews>
    <sheetView workbookViewId="0">
      <selection activeCell="A1" sqref="A1"/>
    </sheetView>
  </sheetViews>
  <sheetFormatPr baseColWidth="8" defaultRowHeight="15"/>
  <cols>
    <col width="41.453125" customWidth="1" min="1" max="1"/>
    <col width="8.81640625" customWidth="1" min="2" max="2"/>
    <col width="12.81640625" customWidth="1" min="6" max="6"/>
    <col width="8.81640625" customWidth="1" min="7" max="7"/>
    <col width="12.453125" customWidth="1" min="8" max="8"/>
    <col width="8.81640625" customWidth="1" min="9" max="9"/>
    <col width="8.81640625" customWidth="1" min="10" max="10"/>
  </cols>
  <sheetData>
    <row r="1">
      <c r="A1" s="127" t="inlineStr">
        <is>
          <t>IVINGHOE RECEIPTS</t>
        </is>
      </c>
      <c r="B1" s="128" t="n"/>
      <c r="C1" s="128" t="n"/>
      <c r="D1" s="128" t="n"/>
      <c r="E1" s="128" t="n"/>
      <c r="F1" s="128" t="n"/>
      <c r="G1" s="128" t="n"/>
      <c r="H1" s="128" t="n"/>
      <c r="I1" s="128" t="n"/>
    </row>
    <row r="2">
      <c r="A2" s="140" t="inlineStr">
        <is>
          <t>Heading</t>
        </is>
      </c>
      <c r="B2" s="141" t="inlineStr">
        <is>
          <t>£</t>
        </is>
      </c>
      <c r="C2" s="142" t="inlineStr">
        <is>
          <t>s</t>
        </is>
      </c>
      <c r="D2" s="142" t="inlineStr">
        <is>
          <t>d</t>
        </is>
      </c>
      <c r="E2" s="142" t="n"/>
      <c r="F2" s="143" t="inlineStr">
        <is>
          <t>Total in £</t>
        </is>
      </c>
      <c r="G2" s="144" t="inlineStr">
        <is>
          <t>Error</t>
        </is>
      </c>
      <c r="H2" s="145" t="inlineStr">
        <is>
          <t>Notes</t>
        </is>
      </c>
      <c r="I2" s="146" t="inlineStr">
        <is>
          <t>Own notes</t>
        </is>
      </c>
    </row>
    <row r="3">
      <c r="A3" s="137" t="inlineStr">
        <is>
          <t>Arrears</t>
        </is>
      </c>
      <c r="B3" s="128" t="n">
        <v>8</v>
      </c>
      <c r="C3" s="128" t="n">
        <v>19</v>
      </c>
      <c r="D3" s="128" t="n">
        <v>6</v>
      </c>
      <c r="E3" s="128" t="n"/>
      <c r="F3" s="128" t="n">
        <v>8.970000000000001</v>
      </c>
      <c r="G3" s="128" t="n"/>
      <c r="H3" s="128" t="inlineStr">
        <is>
          <t>Richard Baldewyn, reeve there, answers for £8 19 shilling 6pence of the arrears of John Hoke from his last account of the preceding year.</t>
        </is>
      </c>
      <c r="I3" s="128" t="n"/>
    </row>
    <row r="4">
      <c r="A4" s="136" t="inlineStr">
        <is>
          <t>Arrears</t>
        </is>
      </c>
      <c r="B4" s="128" t="n">
        <v>8</v>
      </c>
      <c r="C4" s="128" t="n">
        <v>19</v>
      </c>
      <c r="D4" s="128" t="n">
        <v>6</v>
      </c>
      <c r="E4" s="128" t="n"/>
      <c r="F4" s="128" t="n">
        <v>8.970000000000001</v>
      </c>
      <c r="G4" s="128" t="n"/>
      <c r="H4" s="128" t="inlineStr">
        <is>
          <t>Total, £8 19 shilling 6pence.</t>
        </is>
      </c>
      <c r="I4" s="128" t="n"/>
    </row>
    <row r="5">
      <c r="A5" s="138" t="inlineStr">
        <is>
          <t>Arrears total</t>
        </is>
      </c>
      <c r="B5" s="139" t="n"/>
      <c r="C5" s="139" t="n"/>
      <c r="D5" s="139" t="n"/>
      <c r="E5" s="139" t="n"/>
      <c r="F5" s="139" t="n">
        <v>8.970000000000001</v>
      </c>
      <c r="G5" s="139" t="n">
        <v>0</v>
      </c>
      <c r="H5" s="139" t="inlineStr">
        <is>
          <t>Total</t>
        </is>
      </c>
      <c r="I5" s="139" t="n"/>
    </row>
    <row r="6">
      <c r="A6" s="136" t="n"/>
      <c r="B6" s="128" t="n"/>
      <c r="C6" s="128" t="n"/>
      <c r="D6" s="128" t="n"/>
      <c r="E6" s="128" t="n"/>
      <c r="F6" s="128" t="n"/>
      <c r="G6" s="128" t="n"/>
      <c r="H6" s="128" t="n"/>
      <c r="I6" s="128" t="n"/>
    </row>
    <row r="7">
      <c r="A7" s="137" t="inlineStr">
        <is>
          <t>Rents of assize</t>
        </is>
      </c>
      <c r="B7" s="128" t="n">
        <v>6</v>
      </c>
      <c r="C7" s="128" t="n">
        <v>14</v>
      </c>
      <c r="D7" s="128" t="n">
        <v>11.75</v>
      </c>
      <c r="E7" s="128" t="n"/>
      <c r="F7" s="128" t="n">
        <v>6.75</v>
      </c>
      <c r="G7" s="128" t="n"/>
      <c r="H7" s="128" t="inlineStr">
        <is>
          <t>And for £6 14 shilling 11.75pence for all rents of assize at Christmas.</t>
        </is>
      </c>
      <c r="I7" s="128" t="n"/>
    </row>
    <row r="8">
      <c r="A8" s="136" t="inlineStr">
        <is>
          <t>Rents of assize</t>
        </is>
      </c>
      <c r="B8" s="128" t="n">
        <v>6</v>
      </c>
      <c r="C8" s="128" t="n">
        <v>15</v>
      </c>
      <c r="D8" s="128" t="n">
        <v>0</v>
      </c>
      <c r="E8" s="128" t="n"/>
      <c r="F8" s="128" t="n">
        <v>6.75</v>
      </c>
      <c r="G8" s="128" t="n"/>
      <c r="H8" s="128" t="inlineStr">
        <is>
          <t>£6 15 shilling Id. at the Annunciation (25 March).</t>
        </is>
      </c>
      <c r="I8" s="128" t="n"/>
    </row>
    <row r="9">
      <c r="A9" s="136" t="inlineStr">
        <is>
          <t>Rents of assize</t>
        </is>
      </c>
      <c r="B9" s="128" t="n">
        <v>6</v>
      </c>
      <c r="C9" s="128" t="n">
        <v>14</v>
      </c>
      <c r="D9" s="128" t="n">
        <v>0</v>
      </c>
      <c r="E9" s="128" t="n"/>
      <c r="F9" s="128" t="n">
        <v>6.7</v>
      </c>
      <c r="G9" s="128" t="n"/>
      <c r="H9" s="128" t="inlineStr">
        <is>
          <t>£6 14 shilling 113/id. at the Nativity of St John the Baptist (24 June).</t>
        </is>
      </c>
      <c r="I9" s="128" t="n"/>
    </row>
    <row r="10">
      <c r="A10" s="136" t="inlineStr">
        <is>
          <t>Rents of assize</t>
        </is>
      </c>
      <c r="B10" s="128" t="n">
        <v>6</v>
      </c>
      <c r="C10" s="128" t="n">
        <v>15</v>
      </c>
      <c r="D10" s="128" t="n">
        <v>3.25</v>
      </c>
      <c r="E10" s="128" t="n"/>
      <c r="F10" s="128" t="n">
        <v>6.76</v>
      </c>
      <c r="G10" s="128" t="n"/>
      <c r="H10" s="128" t="inlineStr">
        <is>
          <t>£6 15 shilling 3.25pence at Michaelmas (29 September).</t>
        </is>
      </c>
      <c r="I10" s="128" t="n"/>
    </row>
    <row r="11">
      <c r="A11" s="136" t="inlineStr">
        <is>
          <t>Rents of assize</t>
        </is>
      </c>
      <c r="B11" s="128" t="n">
        <v>0</v>
      </c>
      <c r="C11" s="128" t="n">
        <v>0</v>
      </c>
      <c r="D11" s="128" t="n">
        <v>1</v>
      </c>
      <c r="E11" s="128" t="n"/>
      <c r="F11" s="128" t="n">
        <v>0</v>
      </c>
      <c r="G11" s="128" t="n"/>
      <c r="H11" s="128" t="inlineStr">
        <is>
          <t>1pence for the increment of rent of Simon Edward' for 1 parcel of land of the lord's waste, 6 feet long and 3 feet wide, in the market of Ivinghoe.</t>
        </is>
      </c>
      <c r="I11" s="128" t="n"/>
    </row>
    <row r="12">
      <c r="A12" s="136" t="inlineStr">
        <is>
          <t>Rents of assize</t>
        </is>
      </c>
      <c r="B12" s="128" t="n">
        <v>27</v>
      </c>
      <c r="C12" s="128" t="n">
        <v>0</v>
      </c>
      <c r="D12" s="128" t="n">
        <v>3.75</v>
      </c>
      <c r="E12" s="128" t="n"/>
      <c r="F12" s="128" t="n">
        <v>27.02</v>
      </c>
      <c r="G12" s="128" t="n"/>
      <c r="H12" s="128" t="inlineStr">
        <is>
          <t>Total, £27 3.75pence.</t>
        </is>
      </c>
      <c r="I12" s="128" t="n"/>
    </row>
    <row r="13">
      <c r="A13" s="138" t="inlineStr">
        <is>
          <t>Rents of assize total</t>
        </is>
      </c>
      <c r="B13" s="139" t="n"/>
      <c r="C13" s="139" t="n"/>
      <c r="D13" s="139" t="n"/>
      <c r="E13" s="139" t="n"/>
      <c r="F13" s="139" t="n">
        <v>26.96</v>
      </c>
      <c r="G13" s="139" t="n">
        <v>-0.06</v>
      </c>
      <c r="H13" s="139" t="inlineStr">
        <is>
          <t>Total</t>
        </is>
      </c>
      <c r="I13" s="139" t="n"/>
    </row>
    <row r="14">
      <c r="A14" s="136" t="n"/>
      <c r="B14" s="128" t="n"/>
      <c r="C14" s="128" t="n"/>
      <c r="D14" s="128" t="n"/>
      <c r="E14" s="128" t="n"/>
      <c r="F14" s="128" t="n"/>
      <c r="G14" s="128" t="n"/>
      <c r="H14" s="128" t="n"/>
      <c r="I14" s="128" t="n"/>
    </row>
    <row r="15">
      <c r="A15" s="137" t="inlineStr">
        <is>
          <t>Defaults of rent</t>
        </is>
      </c>
      <c r="B15" s="128" t="n">
        <v>0</v>
      </c>
      <c r="C15" s="128" t="n">
        <v>18</v>
      </c>
      <c r="D15" s="128" t="n">
        <v>0</v>
      </c>
      <c r="E15" s="128" t="n"/>
      <c r="F15" s="128" t="n">
        <v>0.9</v>
      </c>
      <c r="G15" s="128" t="n"/>
      <c r="H15" s="128" t="inlineStr">
        <is>
          <t>In default of the earl of Salisbury at Gaddesden, 18 shilling for the year, because Bishop Godfrey gave that land with the tenements to the said earl as made clear in the custumal of Ivinghoe.</t>
        </is>
      </c>
      <c r="I15" s="128" t="n"/>
    </row>
    <row r="16">
      <c r="A16" s="136" t="inlineStr">
        <is>
          <t>Defaults of rent</t>
        </is>
      </c>
      <c r="B16" s="128" t="n">
        <v>0</v>
      </c>
      <c r="C16" s="128" t="n">
        <v>18</v>
      </c>
      <c r="D16" s="128" t="n">
        <v>0</v>
      </c>
      <c r="E16" s="128" t="n"/>
      <c r="F16" s="128" t="n">
        <v>0.9</v>
      </c>
      <c r="G16" s="128" t="n"/>
      <c r="H16" s="128" t="inlineStr">
        <is>
          <t>Total, 18 shilling.</t>
        </is>
      </c>
      <c r="I16" s="128" t="n"/>
    </row>
    <row r="17">
      <c r="A17" s="138" t="inlineStr">
        <is>
          <t>Defaults of rent total</t>
        </is>
      </c>
      <c r="B17" s="139" t="n"/>
      <c r="C17" s="139" t="n"/>
      <c r="D17" s="139" t="n"/>
      <c r="E17" s="139" t="n"/>
      <c r="F17" s="139" t="n">
        <v>0.9</v>
      </c>
      <c r="G17" s="139" t="n">
        <v>0</v>
      </c>
      <c r="H17" s="139" t="inlineStr">
        <is>
          <t>Total</t>
        </is>
      </c>
      <c r="I17" s="139" t="n"/>
    </row>
    <row r="18">
      <c r="A18" s="136" t="n"/>
      <c r="B18" s="128" t="n"/>
      <c r="C18" s="128" t="n"/>
      <c r="D18" s="128" t="n"/>
      <c r="E18" s="128" t="n"/>
      <c r="F18" s="128" t="n"/>
      <c r="G18" s="128" t="n"/>
      <c r="H18" s="128" t="n"/>
      <c r="I18" s="128" t="n"/>
    </row>
    <row r="19">
      <c r="A19" s="137" t="inlineStr">
        <is>
          <t>Total of quittances and defaults of rent</t>
        </is>
      </c>
      <c r="B19" s="128" t="n">
        <v>5</v>
      </c>
      <c r="C19" s="128" t="n">
        <v>6</v>
      </c>
      <c r="D19" s="128" t="n">
        <v>11</v>
      </c>
      <c r="E19" s="128" t="n"/>
      <c r="F19" s="128" t="n">
        <v>5.35</v>
      </c>
      <c r="G19" s="128" t="n"/>
      <c r="H19" s="128" t="inlineStr">
        <is>
          <t>Total of quittances and defaults of rent, £5 6 shilling 11pence.</t>
        </is>
      </c>
      <c r="I19" s="128" t="n"/>
    </row>
    <row r="20">
      <c r="A20" s="138" t="inlineStr">
        <is>
          <t>Total of quittances and defaults of rent total</t>
        </is>
      </c>
      <c r="B20" s="139" t="n"/>
      <c r="C20" s="139" t="n"/>
      <c r="D20" s="139" t="n"/>
      <c r="E20" s="139" t="n"/>
      <c r="F20" s="139" t="n">
        <v>5.35</v>
      </c>
      <c r="G20" s="139" t="n">
        <v>0</v>
      </c>
      <c r="H20" s="139" t="inlineStr">
        <is>
          <t>Total</t>
        </is>
      </c>
      <c r="I20" s="139" t="n"/>
    </row>
    <row r="21">
      <c r="A21" s="136" t="n"/>
      <c r="B21" s="128" t="n"/>
      <c r="C21" s="128" t="n"/>
      <c r="D21" s="128" t="n"/>
      <c r="E21" s="128" t="n"/>
      <c r="F21" s="128" t="n"/>
      <c r="G21" s="128" t="n"/>
      <c r="H21" s="128" t="n"/>
      <c r="I21" s="128" t="n"/>
    </row>
    <row r="22">
      <c r="A22" s="137" t="inlineStr">
        <is>
          <t>Total of rents remaining clear</t>
        </is>
      </c>
      <c r="B22" s="128" t="n">
        <v>21</v>
      </c>
      <c r="C22" s="128" t="n">
        <v>13</v>
      </c>
      <c r="D22" s="128" t="n">
        <v>5.75</v>
      </c>
      <c r="E22" s="128" t="n"/>
      <c r="F22" s="128" t="n">
        <v>21.67</v>
      </c>
      <c r="G22" s="128" t="n"/>
      <c r="H22" s="128" t="inlineStr">
        <is>
          <t>Total of rents remaining clear, £21 13 shilling 5.75pence.</t>
        </is>
      </c>
      <c r="I22" s="128" t="n"/>
    </row>
    <row r="23">
      <c r="A23" s="138" t="inlineStr">
        <is>
          <t>Total of rents remaining clear total</t>
        </is>
      </c>
      <c r="B23" s="139" t="n"/>
      <c r="C23" s="139" t="n"/>
      <c r="D23" s="139" t="n"/>
      <c r="E23" s="139" t="n"/>
      <c r="F23" s="139" t="n">
        <v>21.67</v>
      </c>
      <c r="G23" s="139" t="n">
        <v>0</v>
      </c>
      <c r="H23" s="139" t="inlineStr">
        <is>
          <t>Total</t>
        </is>
      </c>
      <c r="I23" s="139" t="n"/>
    </row>
    <row r="24">
      <c r="A24" s="136" t="n"/>
      <c r="B24" s="128" t="n"/>
      <c r="C24" s="128" t="n"/>
      <c r="D24" s="128" t="n"/>
      <c r="E24" s="128" t="n"/>
      <c r="F24" s="128" t="n"/>
      <c r="G24" s="128" t="n"/>
      <c r="H24" s="128" t="n"/>
      <c r="I24" s="128" t="n"/>
    </row>
    <row r="25">
      <c r="A25" s="137" t="inlineStr">
        <is>
          <t>Issues of the manor</t>
        </is>
      </c>
      <c r="B25" s="128" t="n">
        <v>0</v>
      </c>
      <c r="C25" s="128" t="n">
        <v>6</v>
      </c>
      <c r="D25" s="128" t="n">
        <v>0</v>
      </c>
      <c r="E25" s="128" t="n"/>
      <c r="F25" s="128" t="n">
        <v>0.3</v>
      </c>
      <c r="G25" s="128" t="n"/>
      <c r="H25" s="128" t="inlineStr">
        <is>
          <t>And for 6 shilling 7.5d from the pannage of the pigs of the customary tenants at Martinmas.</t>
        </is>
      </c>
      <c r="I25" s="128" t="n"/>
    </row>
    <row r="26">
      <c r="A26" s="136" t="inlineStr">
        <is>
          <t>Issues of the manor</t>
        </is>
      </c>
      <c r="B26" s="128" t="n">
        <v>0</v>
      </c>
      <c r="C26" s="128" t="n">
        <v>0</v>
      </c>
      <c r="D26" s="128" t="n">
        <v>0</v>
      </c>
      <c r="E26" s="128" t="n"/>
      <c r="F26" s="128" t="n">
        <v>0</v>
      </c>
      <c r="G26" s="128" t="n"/>
      <c r="H26" s="128" t="inlineStr">
        <is>
          <t>nothing from the pannage of foreign pigs in the lord’s wood this year because there was no mast.</t>
        </is>
      </c>
      <c r="I26" s="128" t="n"/>
    </row>
    <row r="27">
      <c r="A27" s="136" t="inlineStr">
        <is>
          <t>Issues of the manor</t>
        </is>
      </c>
      <c r="B27" s="128" t="n">
        <v>0</v>
      </c>
      <c r="C27" s="128" t="n">
        <v>0</v>
      </c>
      <c r="D27" s="128" t="n">
        <v>0</v>
      </c>
      <c r="E27" s="128" t="n"/>
      <c r="F27" s="128" t="n">
        <v>0</v>
      </c>
      <c r="G27" s="128" t="n"/>
      <c r="H27" s="128" t="inlineStr">
        <is>
          <t>nothing from ploughing shared out (particat') this year for the reason made  clear elsewhere.</t>
        </is>
      </c>
      <c r="I27" s="128" t="n"/>
    </row>
    <row r="28">
      <c r="A28" s="136" t="inlineStr">
        <is>
          <t>Issues of the manor</t>
        </is>
      </c>
      <c r="B28" s="128" t="n">
        <v>0</v>
      </c>
      <c r="C28" s="128" t="n">
        <v>4</v>
      </c>
      <c r="D28" s="128" t="n">
        <v>6</v>
      </c>
      <c r="E28" s="128" t="n"/>
      <c r="F28" s="128" t="n">
        <v>0.23</v>
      </c>
      <c r="G28" s="128" t="n"/>
      <c r="H28" s="128" t="inlineStr">
        <is>
          <t>4 shilling 6pence from beasts agisted in the pasture and grove between Michaelmas and Martinmas.</t>
        </is>
      </c>
      <c r="I28" s="128" t="n"/>
    </row>
    <row r="29">
      <c r="A29" s="136" t="inlineStr">
        <is>
          <t>Issues of the manor</t>
        </is>
      </c>
      <c r="B29" s="128" t="n">
        <v>0</v>
      </c>
      <c r="C29" s="128" t="n">
        <v>0</v>
      </c>
      <c r="D29" s="128" t="n">
        <v>0</v>
      </c>
      <c r="E29" s="128" t="n"/>
      <c r="F29" s="128" t="n">
        <v>0</v>
      </c>
      <c r="G29" s="128" t="n"/>
      <c r="H29" s="128" t="inlineStr">
        <is>
          <t>nothing from the pasturage of cattle and sheep before theploughing at fallow-time nor from the agistment of cattle in the pasture and grove from Hockday until the Nativity of St John the Baptist because they are grazed with the lord's cattle this year.</t>
        </is>
      </c>
      <c r="I29" s="128" t="n"/>
    </row>
    <row r="30">
      <c r="A30" s="136" t="inlineStr">
        <is>
          <t>Issues of the manor</t>
        </is>
      </c>
      <c r="B30" s="128" t="n">
        <v>0</v>
      </c>
      <c r="C30" s="128" t="n">
        <v>0</v>
      </c>
      <c r="D30" s="128" t="n">
        <v>0</v>
      </c>
      <c r="E30" s="128" t="n"/>
      <c r="F30" s="128" t="n">
        <v>0</v>
      </c>
      <c r="G30" s="128" t="n"/>
      <c r="H30" s="128" t="inlineStr">
        <is>
          <t>nothing from the agistment of cattle there from then until Michaelmas this year.</t>
        </is>
      </c>
      <c r="I30" s="128" t="n"/>
    </row>
    <row r="31">
      <c r="A31" s="136" t="inlineStr">
        <is>
          <t>Issues of the manor</t>
        </is>
      </c>
      <c r="B31" s="128" t="n">
        <v>0</v>
      </c>
      <c r="C31" s="128" t="n">
        <v>2</v>
      </c>
      <c r="D31" s="128" t="n">
        <v>6</v>
      </c>
      <c r="E31" s="128" t="n"/>
      <c r="F31" s="128" t="n">
        <v>0.12</v>
      </c>
      <c r="G31" s="128" t="n"/>
      <c r="H31" s="128" t="inlineStr">
        <is>
          <t>2 shilling from 4 oxen agisted with the lord's oxen from then until Michaelmas this year, giving 6pence a head.</t>
        </is>
      </c>
      <c r="I31" s="128" t="n"/>
    </row>
    <row r="32">
      <c r="A32" s="136" t="inlineStr">
        <is>
          <t>Issues of the manor</t>
        </is>
      </c>
      <c r="B32" s="128" t="n">
        <v>0</v>
      </c>
      <c r="C32" s="128" t="n">
        <v>2</v>
      </c>
      <c r="D32" s="128" t="n">
        <v>6</v>
      </c>
      <c r="E32" s="128" t="n"/>
      <c r="F32" s="128" t="n">
        <v>0.12</v>
      </c>
      <c r="G32" s="128" t="n"/>
      <c r="H32" s="128" t="inlineStr">
        <is>
          <t>2 shilling from 4 cows agisted in the pasture and grove with the lord's cows from then until Michaelmas this year, giving 6pence a head.</t>
        </is>
      </c>
      <c r="I32" s="128" t="n"/>
    </row>
    <row r="33">
      <c r="A33" s="136" t="inlineStr">
        <is>
          <t>Issues of the manor</t>
        </is>
      </c>
      <c r="B33" s="128" t="n">
        <v>0</v>
      </c>
      <c r="C33" s="128" t="n">
        <v>0</v>
      </c>
      <c r="D33" s="128" t="n">
        <v>0</v>
      </c>
      <c r="E33" s="128" t="n"/>
      <c r="F33" s="128" t="n">
        <v>0</v>
      </c>
      <c r="G33" s="128" t="n"/>
      <c r="H33" s="128" t="inlineStr">
        <is>
          <t>nothing from the agistment of cows and calves in the barbican nor from cattle in the pasture of Carsewyk' nor from the agistment of lambs in the pasture this year because they are grazed with the lord's lambs and oxen.</t>
        </is>
      </c>
      <c r="I33" s="128" t="n"/>
    </row>
    <row r="34">
      <c r="A34" s="136" t="inlineStr">
        <is>
          <t>Issues of the manor</t>
        </is>
      </c>
      <c r="B34" s="128" t="n">
        <v>0</v>
      </c>
      <c r="C34" s="128" t="n">
        <v>0</v>
      </c>
      <c r="D34" s="128" t="n">
        <v>0</v>
      </c>
      <c r="E34" s="128" t="n"/>
      <c r="F34" s="128" t="n">
        <v>0</v>
      </c>
      <c r="G34" s="128" t="n"/>
      <c r="H34" s="128" t="inlineStr">
        <is>
          <t>nothing from the beadle's pasture this year because it is grazed with the lord's cattle.</t>
        </is>
      </c>
      <c r="I34" s="128" t="n"/>
    </row>
    <row r="35">
      <c r="A35" s="136" t="inlineStr">
        <is>
          <t>Issues of the manor</t>
        </is>
      </c>
      <c r="B35" s="128" t="n">
        <v>0</v>
      </c>
      <c r="C35" s="128" t="n">
        <v>0</v>
      </c>
      <c r="D35" s="128" t="n">
        <v>0</v>
      </c>
      <c r="E35" s="128" t="n"/>
      <c r="F35" s="128" t="n">
        <v>0</v>
      </c>
      <c r="G35" s="128" t="n"/>
      <c r="H35" s="128" t="inlineStr">
        <is>
          <t>nothing from nettles in the garden this year.</t>
        </is>
      </c>
      <c r="I35" s="128" t="n"/>
    </row>
    <row r="36">
      <c r="A36" s="136" t="inlineStr">
        <is>
          <t>Issues of the manor</t>
        </is>
      </c>
      <c r="B36" s="128" t="n">
        <v>0</v>
      </c>
      <c r="C36" s="128" t="n">
        <v>4</v>
      </c>
      <c r="D36" s="128" t="n">
        <v>0</v>
      </c>
      <c r="E36" s="128" t="n"/>
      <c r="F36" s="128" t="n">
        <v>0.2</v>
      </c>
      <c r="G36" s="128" t="n"/>
      <c r="H36" s="128" t="inlineStr">
        <is>
          <t>4 shilling from hay sold to the lord's household.</t>
        </is>
      </c>
      <c r="I36" s="128" t="n"/>
    </row>
    <row r="37">
      <c r="A37" s="136" t="inlineStr">
        <is>
          <t>Issues of the manor</t>
        </is>
      </c>
      <c r="B37" s="128" t="n">
        <v>0</v>
      </c>
      <c r="C37" s="128" t="n">
        <v>0</v>
      </c>
      <c r="D37" s="128" t="n">
        <v>0</v>
      </c>
      <c r="E37" s="128" t="n"/>
      <c r="F37" s="128" t="n">
        <v>0</v>
      </c>
      <c r="G37" s="128" t="n"/>
      <c r="H37" s="128" t="inlineStr">
        <is>
          <t>nothing from chickens and geese from the beadle according to custom because the meadow and pasture remain in the possession of the lord.</t>
        </is>
      </c>
      <c r="I37" s="128" t="n"/>
    </row>
    <row r="38">
      <c r="A38" s="136" t="inlineStr">
        <is>
          <t>Issues of the manor</t>
        </is>
      </c>
      <c r="B38" s="128" t="n">
        <v>0</v>
      </c>
      <c r="C38" s="128" t="n">
        <v>1</v>
      </c>
      <c r="D38" s="128" t="n">
        <v>3</v>
      </c>
      <c r="E38" s="128" t="n"/>
      <c r="F38" s="128" t="n">
        <v>0.06</v>
      </c>
      <c r="G38" s="128" t="n"/>
      <c r="H38" s="128" t="inlineStr">
        <is>
          <t>1 shilling 3pence from the sale of 303 hens' eggs from the beadle according to custom.</t>
        </is>
      </c>
      <c r="I38" s="128" t="n"/>
    </row>
    <row r="39">
      <c r="A39" s="136" t="inlineStr">
        <is>
          <t>Issues of the manor</t>
        </is>
      </c>
      <c r="B39" s="128" t="n">
        <v>0</v>
      </c>
      <c r="C39" s="128" t="n">
        <v>0</v>
      </c>
      <c r="D39" s="128" t="n">
        <v>10</v>
      </c>
      <c r="E39" s="128" t="n"/>
      <c r="F39" s="128" t="n">
        <v>0.04</v>
      </c>
      <c r="G39" s="128" t="n"/>
      <c r="H39" s="128" t="inlineStr">
        <is>
          <t>10pence from 200 hens' eggs sold.</t>
        </is>
      </c>
      <c r="I39" s="128" t="n"/>
    </row>
    <row r="40">
      <c r="A40" s="136" t="inlineStr">
        <is>
          <t>Issues of the manor</t>
        </is>
      </c>
      <c r="B40" s="128" t="n">
        <v>0</v>
      </c>
      <c r="C40" s="128" t="n">
        <v>0</v>
      </c>
      <c r="D40" s="128" t="n">
        <v>0</v>
      </c>
      <c r="E40" s="128" t="n"/>
      <c r="F40" s="128" t="n">
        <v>0</v>
      </c>
      <c r="G40" s="128" t="n"/>
      <c r="H40" s="128" t="inlineStr">
        <is>
          <t>nothing for the release of the harvest labour services of the men of Nettleden this year because they worked at this time on account of the scarcity of tenants, the tenements of whom remain in the lord's hands.</t>
        </is>
      </c>
      <c r="I40" s="128" t="n"/>
    </row>
    <row r="41">
      <c r="A41" s="136" t="inlineStr">
        <is>
          <t>Issues of the manor</t>
        </is>
      </c>
      <c r="B41" s="128" t="n">
        <v>0</v>
      </c>
      <c r="C41" s="128" t="n">
        <v>10</v>
      </c>
      <c r="D41" s="128" t="n">
        <v>0</v>
      </c>
      <c r="E41" s="128" t="n"/>
      <c r="F41" s="128" t="n">
        <v>0.5</v>
      </c>
      <c r="G41" s="128" t="n"/>
      <c r="H41" s="128" t="inlineStr">
        <is>
          <t>10 shilling from the pasturage of the meadow of Inmede sold after mowing this year.</t>
        </is>
      </c>
      <c r="I41" s="128" t="n"/>
    </row>
    <row r="42">
      <c r="A42" s="136" t="inlineStr">
        <is>
          <t>Issues of the manor</t>
        </is>
      </c>
      <c r="B42" s="128" t="n">
        <v>0</v>
      </c>
      <c r="C42" s="128" t="n">
        <v>0</v>
      </c>
      <c r="D42" s="128" t="n">
        <v>0</v>
      </c>
      <c r="E42" s="128" t="n"/>
      <c r="F42" s="128" t="n">
        <v>0</v>
      </c>
      <c r="G42" s="128" t="n"/>
      <c r="H42" s="128" t="inlineStr">
        <is>
          <t>nothing from pannage in the grove this year because it is grazed with the lord's cattle.</t>
        </is>
      </c>
      <c r="I42" s="128" t="n"/>
    </row>
    <row r="43">
      <c r="A43" s="136" t="inlineStr">
        <is>
          <t>Issues of the manor</t>
        </is>
      </c>
      <c r="B43" s="128" t="n">
        <v>0</v>
      </c>
      <c r="C43" s="128" t="n">
        <v>0</v>
      </c>
      <c r="D43" s="128" t="n">
        <v>0</v>
      </c>
      <c r="E43" s="128" t="n"/>
      <c r="F43" s="128" t="n">
        <v>0</v>
      </c>
      <c r="G43" s="128" t="n"/>
      <c r="H43" s="128" t="inlineStr">
        <is>
          <t>nothing from the pasturage in Ewelese because it is grazed with the lord's ewes and lambs.</t>
        </is>
      </c>
      <c r="I43" s="128" t="n"/>
    </row>
    <row r="44">
      <c r="A44" s="136" t="inlineStr">
        <is>
          <t>Issues of the manor</t>
        </is>
      </c>
      <c r="B44" s="128" t="n">
        <v>7</v>
      </c>
      <c r="C44" s="128" t="n">
        <v>0</v>
      </c>
      <c r="D44" s="128" t="n">
        <v>10</v>
      </c>
      <c r="E44" s="128" t="n"/>
      <c r="F44" s="128" t="n">
        <v>7.04</v>
      </c>
      <c r="G44" s="128" t="n"/>
      <c r="H44" s="128" t="inlineStr">
        <is>
          <t>£7 10pence from the milking of 30 cows with calf, giving 5 shilling a cow.</t>
        </is>
      </c>
      <c r="I44" s="128" t="n"/>
    </row>
    <row r="45">
      <c r="A45" s="136" t="inlineStr">
        <is>
          <t>Issues of the manor</t>
        </is>
      </c>
      <c r="B45" s="128" t="n">
        <v>0</v>
      </c>
      <c r="C45" s="128" t="n">
        <v>16</v>
      </c>
      <c r="D45" s="128" t="n">
        <v>0</v>
      </c>
      <c r="E45" s="128" t="n"/>
      <c r="F45" s="128" t="n">
        <v>0.8</v>
      </c>
      <c r="G45" s="128" t="n"/>
      <c r="H45" s="128" t="inlineStr">
        <is>
          <t>16 shilling from the hides sold of 2 horses, 5 oxen, 6 cows, 1 bullock and 1 yearling in murrain as made clear elsewhere.</t>
        </is>
      </c>
      <c r="I45" s="128" t="n"/>
    </row>
    <row r="46">
      <c r="A46" s="136" t="inlineStr">
        <is>
          <t>Issues of the manor</t>
        </is>
      </c>
      <c r="B46" s="128" t="n">
        <v>0</v>
      </c>
      <c r="C46" s="128" t="n">
        <v>0</v>
      </c>
      <c r="D46" s="128" t="n">
        <v>0</v>
      </c>
      <c r="E46" s="128" t="n"/>
      <c r="F46" s="128" t="n">
        <v>0</v>
      </c>
      <c r="G46" s="128" t="n"/>
      <c r="H46" s="128" t="inlineStr">
        <is>
          <t>nothing from the sale of refuse wool or wool locks this year.</t>
        </is>
      </c>
      <c r="I46" s="128" t="n"/>
    </row>
    <row r="47">
      <c r="A47" s="136" t="inlineStr">
        <is>
          <t>Issues of the manor</t>
        </is>
      </c>
      <c r="B47" s="128" t="n">
        <v>0</v>
      </c>
      <c r="C47" s="128" t="n">
        <v>13</v>
      </c>
      <c r="D47" s="128" t="n">
        <v>3</v>
      </c>
      <c r="E47" s="128" t="n"/>
      <c r="F47" s="128" t="n">
        <v>0.66</v>
      </c>
      <c r="G47" s="128" t="n"/>
      <c r="H47" s="128" t="inlineStr">
        <is>
          <t>13 shilling 3pence from the skins sold of 11 wethers, 1 ram, 12 ewes and 8 hoggs in murrain before shearing, at 4pence a skin of wethers, and 3pence of ewes, rams and hoggs.</t>
        </is>
      </c>
      <c r="I47" s="128" t="n"/>
    </row>
    <row r="48">
      <c r="A48" s="136" t="inlineStr">
        <is>
          <t>Issues of the manor</t>
        </is>
      </c>
      <c r="B48" s="128" t="n">
        <v>0</v>
      </c>
      <c r="C48" s="128" t="n">
        <v>2</v>
      </c>
      <c r="D48" s="128" t="n">
        <v>5</v>
      </c>
      <c r="E48" s="128" t="n"/>
      <c r="F48" s="128" t="n">
        <v>0.12</v>
      </c>
      <c r="G48" s="128" t="n"/>
      <c r="H48" s="128" t="inlineStr">
        <is>
          <t>2 shilling 5pence from the skins sold of 9 wethers, 16 ewes and 4 hoggs in murrain after shearing.</t>
        </is>
      </c>
      <c r="I48" s="128" t="n"/>
    </row>
    <row r="49">
      <c r="A49" s="136" t="inlineStr">
        <is>
          <t>Issues of the manor</t>
        </is>
      </c>
      <c r="B49" s="128" t="n">
        <v>0</v>
      </c>
      <c r="C49" s="128" t="n">
        <v>0</v>
      </c>
      <c r="D49" s="128" t="n">
        <v>9</v>
      </c>
      <c r="E49" s="128" t="n"/>
      <c r="F49" s="128" t="n">
        <v>0.04</v>
      </c>
      <c r="G49" s="128" t="n"/>
      <c r="H49" s="128" t="inlineStr">
        <is>
          <t>9pence from the skins sold of 18 lambs in murrain, at .5pence a skin.</t>
        </is>
      </c>
      <c r="I49" s="128" t="n"/>
    </row>
    <row r="50">
      <c r="A50" s="136" t="inlineStr">
        <is>
          <t>Issues of the manor</t>
        </is>
      </c>
      <c r="B50" s="128" t="n">
        <v>0</v>
      </c>
      <c r="C50" s="128" t="n">
        <v>6</v>
      </c>
      <c r="D50" s="128" t="n">
        <v>8</v>
      </c>
      <c r="E50" s="128" t="n"/>
      <c r="F50" s="128" t="n">
        <v>0.33</v>
      </c>
      <c r="G50" s="128" t="n"/>
      <c r="H50" s="128" t="inlineStr">
        <is>
          <t>6 shilling 8pence from 20 geese sold as made clear elsewhere, at 4pence each.</t>
        </is>
      </c>
      <c r="I50" s="128" t="n"/>
    </row>
    <row r="51">
      <c r="A51" s="136" t="inlineStr">
        <is>
          <t>Issues of the manor</t>
        </is>
      </c>
      <c r="B51" s="128" t="n">
        <v>0</v>
      </c>
      <c r="C51" s="128" t="n">
        <v>8</v>
      </c>
      <c r="D51" s="128" t="n">
        <v>4</v>
      </c>
      <c r="E51" s="128" t="n"/>
      <c r="F51" s="128" t="n">
        <v>0.42</v>
      </c>
      <c r="G51" s="128" t="n"/>
      <c r="H51" s="128" t="inlineStr">
        <is>
          <t>8 shilling from 24 capons sold as made clear elsewhere, at 4pence each, 2 of them to the lord's household.</t>
        </is>
      </c>
      <c r="I51" s="128" t="n"/>
    </row>
    <row r="52">
      <c r="A52" s="136" t="inlineStr">
        <is>
          <t>Issues of the manor</t>
        </is>
      </c>
      <c r="B52" s="128" t="n">
        <v>0</v>
      </c>
      <c r="C52" s="128" t="n">
        <v>0</v>
      </c>
      <c r="D52" s="128" t="n">
        <v>0</v>
      </c>
      <c r="E52" s="128" t="n"/>
      <c r="F52" s="128" t="n">
        <v>0</v>
      </c>
      <c r="G52" s="128" t="n"/>
      <c r="H52" s="128" t="inlineStr">
        <is>
          <t>nothing from the issue of the garden sold this year.</t>
        </is>
      </c>
      <c r="I52" s="128" t="n"/>
    </row>
    <row r="53">
      <c r="A53" s="136" t="inlineStr">
        <is>
          <t>Issues of the manor</t>
        </is>
      </c>
      <c r="B53" s="128" t="n">
        <v>0</v>
      </c>
      <c r="C53" s="128" t="n">
        <v>0</v>
      </c>
      <c r="D53" s="128" t="n">
        <v>0</v>
      </c>
      <c r="E53" s="128" t="n"/>
      <c r="F53" s="128" t="n">
        <v>0</v>
      </c>
      <c r="G53" s="128" t="n"/>
      <c r="H53" s="128" t="inlineStr">
        <is>
          <t>nothing from the warren sold this year because the sergeant of the lord prince and other strangers destroyed it and took the lord's rabbits just as is attested by the homage.</t>
        </is>
      </c>
      <c r="I53" s="128" t="n"/>
    </row>
    <row r="54">
      <c r="A54" s="136" t="inlineStr">
        <is>
          <t>Issues of the manor</t>
        </is>
      </c>
      <c r="B54" s="128" t="n">
        <v>11</v>
      </c>
      <c r="C54" s="128" t="n">
        <v>7</v>
      </c>
      <c r="D54" s="128" t="n">
        <v>3.5</v>
      </c>
      <c r="E54" s="128" t="n"/>
      <c r="F54" s="128" t="n">
        <v>11.36</v>
      </c>
      <c r="G54" s="128" t="n"/>
      <c r="H54" s="128" t="inlineStr">
        <is>
          <t>Total, £11 7 shilling 3.5pence.</t>
        </is>
      </c>
      <c r="I54" s="128" t="n"/>
    </row>
    <row r="55">
      <c r="A55" s="138" t="inlineStr">
        <is>
          <t>Issues of the manor total</t>
        </is>
      </c>
      <c r="B55" s="139" t="n"/>
      <c r="C55" s="139" t="n"/>
      <c r="D55" s="139" t="n"/>
      <c r="E55" s="139" t="n"/>
      <c r="F55" s="139" t="n">
        <v>10.98</v>
      </c>
      <c r="G55" s="139" t="n">
        <v>-0.38</v>
      </c>
      <c r="H55" s="139" t="inlineStr">
        <is>
          <t>Total</t>
        </is>
      </c>
      <c r="I55" s="139" t="n"/>
    </row>
    <row r="56">
      <c r="A56" s="136" t="n"/>
      <c r="B56" s="128" t="n"/>
      <c r="C56" s="128" t="n"/>
      <c r="D56" s="128" t="n"/>
      <c r="E56" s="128" t="n"/>
      <c r="F56" s="128" t="n"/>
      <c r="G56" s="128" t="n"/>
      <c r="H56" s="128" t="n"/>
      <c r="I56" s="128" t="n"/>
    </row>
    <row r="57">
      <c r="A57" s="137" t="inlineStr">
        <is>
          <t>Sale of stock</t>
        </is>
      </c>
      <c r="B57" s="128" t="n">
        <v>0</v>
      </c>
      <c r="C57" s="128" t="n">
        <v>15</v>
      </c>
      <c r="D57" s="128" t="n">
        <v>0</v>
      </c>
      <c r="E57" s="128" t="n"/>
      <c r="F57" s="128" t="n">
        <v>0.75</v>
      </c>
      <c r="G57" s="128" t="n"/>
      <c r="H57" s="128" t="inlineStr">
        <is>
          <t>And for 15 shilling from 2 plough-horses sold as made clear elsewhere, at 10 shilling for 1, and 5 shilling for 1.</t>
        </is>
      </c>
      <c r="I57" s="128" t="n"/>
    </row>
    <row r="58">
      <c r="A58" s="136" t="inlineStr">
        <is>
          <t>Sale of stock</t>
        </is>
      </c>
      <c r="B58" s="128" t="n">
        <v>2</v>
      </c>
      <c r="C58" s="128" t="n">
        <v>13</v>
      </c>
      <c r="D58" s="128" t="n">
        <v>0</v>
      </c>
      <c r="E58" s="128" t="n"/>
      <c r="F58" s="128" t="n">
        <v>2.65</v>
      </c>
      <c r="G58" s="128" t="n"/>
      <c r="H58" s="128" t="inlineStr">
        <is>
          <t>£2 13 shilling from 7 kebb oxen sold as made clear elsewhere, at 8 shilling each for 6, and 5s, for 1.</t>
        </is>
      </c>
      <c r="I58" s="128" t="n"/>
    </row>
    <row r="59">
      <c r="A59" s="136" t="inlineStr">
        <is>
          <t>Sale of stock</t>
        </is>
      </c>
      <c r="B59" s="128" t="n">
        <v>2</v>
      </c>
      <c r="C59" s="128" t="n">
        <v>16</v>
      </c>
      <c r="D59" s="128" t="n">
        <v>0</v>
      </c>
      <c r="E59" s="128" t="n"/>
      <c r="F59" s="128" t="n">
        <v>2.8</v>
      </c>
      <c r="G59" s="128" t="n"/>
      <c r="H59" s="128" t="inlineStr">
        <is>
          <t>£2 16 shilling from 10 kebb cows sold before calving, at 6 shilling each for 6, and 5 shilling each for 4.</t>
        </is>
      </c>
      <c r="I59" s="128" t="n"/>
    </row>
    <row r="60">
      <c r="A60" s="136" t="inlineStr">
        <is>
          <t>Sale of stock</t>
        </is>
      </c>
      <c r="B60" s="128" t="n">
        <v>2</v>
      </c>
      <c r="C60" s="128" t="n">
        <v>5</v>
      </c>
      <c r="D60" s="128" t="n">
        <v>0</v>
      </c>
      <c r="E60" s="128" t="n"/>
      <c r="F60" s="128" t="n">
        <v>2.25</v>
      </c>
      <c r="G60" s="128" t="n"/>
      <c r="H60" s="128" t="inlineStr">
        <is>
          <t>£2 5 shilling from 30 kebb wethers sold before shearing as made clear elsewhere, at 1 shilling 6pence each.</t>
        </is>
      </c>
      <c r="I60" s="128" t="n"/>
    </row>
    <row r="61">
      <c r="A61" s="136" t="inlineStr">
        <is>
          <t>Sale of stock</t>
        </is>
      </c>
      <c r="B61" s="128" t="n">
        <v>2</v>
      </c>
      <c r="C61" s="128" t="n">
        <v>0</v>
      </c>
      <c r="D61" s="128" t="n">
        <v>0</v>
      </c>
      <c r="E61" s="128" t="n"/>
      <c r="F61" s="128" t="n">
        <v>2</v>
      </c>
      <c r="G61" s="128" t="n"/>
      <c r="H61" s="128" t="inlineStr">
        <is>
          <t>£2 from 30 kebb wethers sold after shearing as made clear elsewhere, 2 of them to the lord's household, at 1 shilling 4pence each.</t>
        </is>
      </c>
      <c r="I61" s="128" t="n"/>
    </row>
    <row r="62">
      <c r="A62" s="136" t="inlineStr">
        <is>
          <t>Sale of stock</t>
        </is>
      </c>
      <c r="B62" s="128" t="n">
        <v>1</v>
      </c>
      <c r="C62" s="128" t="n">
        <v>6</v>
      </c>
      <c r="D62" s="128" t="n">
        <v>8</v>
      </c>
      <c r="E62" s="128" t="n"/>
      <c r="F62" s="128" t="n">
        <v>1.33</v>
      </c>
      <c r="G62" s="128" t="n"/>
      <c r="H62" s="128" t="inlineStr">
        <is>
          <t>£1 6 shilling 8pence from 20 kebb ewes sold as made clear elsewhere, at 1 shilling 4pence each.</t>
        </is>
      </c>
      <c r="I62" s="128" t="n"/>
    </row>
    <row r="63">
      <c r="A63" s="136" t="inlineStr">
        <is>
          <t>Sale of stock</t>
        </is>
      </c>
      <c r="B63" s="128" t="n">
        <v>0</v>
      </c>
      <c r="C63" s="128" t="n">
        <v>15</v>
      </c>
      <c r="D63" s="128" t="n">
        <v>10</v>
      </c>
      <c r="E63" s="128" t="n"/>
      <c r="F63" s="128" t="n">
        <v>0.79</v>
      </c>
      <c r="G63" s="128" t="n"/>
      <c r="H63" s="128" t="inlineStr">
        <is>
          <t>15 shilling 10pence from 19 hoggs, removed from stock and rejected for fear of murrain, sold after shearing as made clear elsewhere, at 10pence each.</t>
        </is>
      </c>
      <c r="I63" s="128" t="n"/>
    </row>
    <row r="64">
      <c r="A64" s="136" t="inlineStr">
        <is>
          <t>Sale of stock</t>
        </is>
      </c>
      <c r="B64" s="128" t="n">
        <v>0</v>
      </c>
      <c r="C64" s="128" t="n">
        <v>10</v>
      </c>
      <c r="D64" s="128" t="n">
        <v>6</v>
      </c>
      <c r="E64" s="128" t="n"/>
      <c r="F64" s="128" t="n">
        <v>0.53</v>
      </c>
      <c r="G64" s="128" t="n"/>
      <c r="H64" s="128" t="inlineStr">
        <is>
          <t>10 shilling from 20 lambs sold, removed from stock and rotted, at 6pence each.</t>
        </is>
      </c>
      <c r="I64" s="128" t="n"/>
    </row>
    <row r="65">
      <c r="A65" s="136" t="inlineStr">
        <is>
          <t>Sale of stock</t>
        </is>
      </c>
      <c r="B65" s="128" t="n">
        <v>1</v>
      </c>
      <c r="C65" s="128" t="n">
        <v>4</v>
      </c>
      <c r="D65" s="128" t="n">
        <v>0</v>
      </c>
      <c r="E65" s="128" t="n"/>
      <c r="F65" s="128" t="n">
        <v>1.2</v>
      </c>
      <c r="G65" s="128" t="n"/>
      <c r="H65" s="128" t="inlineStr">
        <is>
          <t>£1 4 shilling from 8 pigs sold as made clear elsewhere, at 3 shilling each.</t>
        </is>
      </c>
      <c r="I65" s="128" t="n"/>
    </row>
    <row r="66">
      <c r="A66" s="136" t="inlineStr">
        <is>
          <t>Sale of stock</t>
        </is>
      </c>
      <c r="B66" s="128" t="n">
        <v>14</v>
      </c>
      <c r="C66" s="128" t="n">
        <v>5</v>
      </c>
      <c r="D66" s="128" t="n">
        <v>6</v>
      </c>
      <c r="E66" s="128" t="n"/>
      <c r="F66" s="128" t="n">
        <v>14.28</v>
      </c>
      <c r="G66" s="128" t="n"/>
      <c r="H66" s="128" t="inlineStr">
        <is>
          <t>Total, £14 5 shilling 6pence.</t>
        </is>
      </c>
      <c r="I66" s="128" t="n"/>
    </row>
    <row r="67">
      <c r="A67" s="138" t="inlineStr">
        <is>
          <t>Sale of stock total</t>
        </is>
      </c>
      <c r="B67" s="139" t="n"/>
      <c r="C67" s="139" t="n"/>
      <c r="D67" s="139" t="n"/>
      <c r="E67" s="139" t="n"/>
      <c r="F67" s="139" t="n">
        <v>14.3</v>
      </c>
      <c r="G67" s="139" t="n">
        <v>0.02</v>
      </c>
      <c r="H67" s="139" t="inlineStr">
        <is>
          <t>Total</t>
        </is>
      </c>
      <c r="I67" s="139" t="n"/>
    </row>
    <row r="68">
      <c r="A68" s="136" t="n"/>
      <c r="B68" s="128" t="n"/>
      <c r="C68" s="128" t="n"/>
      <c r="D68" s="128" t="n"/>
      <c r="E68" s="128" t="n"/>
      <c r="F68" s="128" t="n"/>
      <c r="G68" s="128" t="n"/>
      <c r="H68" s="128" t="n"/>
      <c r="I68" s="128" t="n"/>
    </row>
    <row r="69">
      <c r="A69" s="137" t="inlineStr">
        <is>
          <t>Farm of the mill</t>
        </is>
      </c>
      <c r="B69" s="128" t="n">
        <v>1</v>
      </c>
      <c r="C69" s="128" t="n">
        <v>0</v>
      </c>
      <c r="D69" s="128" t="n">
        <v>4</v>
      </c>
      <c r="E69" s="128" t="n"/>
      <c r="F69" s="128" t="n">
        <v>1.02</v>
      </c>
      <c r="G69" s="128" t="n"/>
      <c r="H69" s="128" t="inlineStr">
        <is>
          <t>And for £1 4pence from William Pleyer' for the farm of the mill, granted to the same from 18 April until Michaelmas, and not more here for the reason made clear elsewhere, and afterwards demised to the aforesaid William for the term of his life at £2 6 shilling 8pence a year, to be answered for in the following year.</t>
        </is>
      </c>
      <c r="I69" s="128" t="n"/>
    </row>
    <row r="70">
      <c r="A70" s="136" t="inlineStr">
        <is>
          <t>Farm of the mill</t>
        </is>
      </c>
      <c r="B70" s="128" t="n">
        <v>1</v>
      </c>
      <c r="C70" s="128" t="n">
        <v>0</v>
      </c>
      <c r="D70" s="128" t="n">
        <v>4</v>
      </c>
      <c r="E70" s="128" t="n"/>
      <c r="F70" s="128" t="n">
        <v>1.02</v>
      </c>
      <c r="G70" s="128" t="n"/>
      <c r="H70" s="128" t="inlineStr">
        <is>
          <t>Total, £1 4pence.</t>
        </is>
      </c>
      <c r="I70" s="128" t="n"/>
    </row>
    <row r="71">
      <c r="A71" s="138" t="inlineStr">
        <is>
          <t>Farm of the mill total</t>
        </is>
      </c>
      <c r="B71" s="139" t="n"/>
      <c r="C71" s="139" t="n"/>
      <c r="D71" s="139" t="n"/>
      <c r="E71" s="139" t="n"/>
      <c r="F71" s="139" t="n">
        <v>1.02</v>
      </c>
      <c r="G71" s="139" t="n">
        <v>0</v>
      </c>
      <c r="H71" s="139" t="inlineStr">
        <is>
          <t>Total</t>
        </is>
      </c>
      <c r="I71" s="139" t="n"/>
    </row>
    <row r="72">
      <c r="A72" s="136" t="n"/>
      <c r="B72" s="128" t="n"/>
      <c r="C72" s="128" t="n"/>
      <c r="D72" s="128" t="n"/>
      <c r="E72" s="128" t="n"/>
      <c r="F72" s="128" t="n"/>
      <c r="G72" s="128" t="n"/>
      <c r="H72" s="128" t="n"/>
      <c r="I72" s="128" t="n"/>
    </row>
    <row r="73">
      <c r="A73" s="137" t="inlineStr">
        <is>
          <t>Annual recognizance</t>
        </is>
      </c>
      <c r="B73" s="128" t="n">
        <v>0</v>
      </c>
      <c r="C73" s="128" t="n">
        <v>0</v>
      </c>
      <c r="D73" s="128" t="n">
        <v>2</v>
      </c>
      <c r="E73" s="128" t="n"/>
      <c r="F73" s="128" t="n">
        <v>0.01</v>
      </c>
      <c r="G73" s="128" t="n"/>
      <c r="H73" s="128" t="inlineStr">
        <is>
          <t>And for 2pence for the annual recognizance of Robert Taillour so that he may dwell within the liberty and come to the tourn of Hockday.</t>
        </is>
      </c>
      <c r="I73" s="128" t="n"/>
    </row>
    <row r="74">
      <c r="A74" s="136" t="inlineStr">
        <is>
          <t>Annual recognizance</t>
        </is>
      </c>
      <c r="B74" s="128" t="n">
        <v>0</v>
      </c>
      <c r="C74" s="128" t="n">
        <v>0</v>
      </c>
      <c r="D74" s="128" t="n">
        <v>2</v>
      </c>
      <c r="E74" s="128" t="n"/>
      <c r="F74" s="128" t="n">
        <v>0.01</v>
      </c>
      <c r="G74" s="128" t="n"/>
      <c r="H74" s="128" t="inlineStr">
        <is>
          <t>2pence from Hugh Graston' for similar.</t>
        </is>
      </c>
      <c r="I74" s="128" t="n"/>
    </row>
    <row r="75">
      <c r="A75" s="136" t="inlineStr">
        <is>
          <t>Annual recognizance</t>
        </is>
      </c>
      <c r="B75" s="128" t="n">
        <v>0</v>
      </c>
      <c r="C75" s="128" t="n">
        <v>0</v>
      </c>
      <c r="D75" s="128" t="n">
        <v>3</v>
      </c>
      <c r="E75" s="128" t="n"/>
      <c r="F75" s="128" t="n">
        <v>0.01</v>
      </c>
      <c r="G75" s="128" t="n"/>
      <c r="H75" s="128" t="inlineStr">
        <is>
          <t>3pence from Thomas Hale for similar.</t>
        </is>
      </c>
      <c r="I75" s="128" t="n"/>
    </row>
    <row r="76">
      <c r="A76" s="136" t="inlineStr">
        <is>
          <t>Annual recognizance</t>
        </is>
      </c>
      <c r="B76" s="128" t="n">
        <v>0</v>
      </c>
      <c r="C76" s="128" t="n">
        <v>0</v>
      </c>
      <c r="D76" s="128" t="n">
        <v>8</v>
      </c>
      <c r="E76" s="128" t="n"/>
      <c r="F76" s="128" t="n">
        <v>0.03</v>
      </c>
      <c r="G76" s="128" t="n"/>
      <c r="H76" s="128" t="inlineStr">
        <is>
          <t>8pence from Robert, son of John Hook', the lord's villein, so that he may dwell outside the lord's liberty and come to the toum of Hockday for the year and remain the lord's villein as before.</t>
        </is>
      </c>
      <c r="I76" s="128" t="n"/>
    </row>
    <row r="77">
      <c r="A77" s="136" t="inlineStr">
        <is>
          <t>Annual recognizance</t>
        </is>
      </c>
      <c r="B77" s="128" t="n">
        <v>0</v>
      </c>
      <c r="C77" s="128" t="n">
        <v>0</v>
      </c>
      <c r="D77" s="128" t="n">
        <v>8</v>
      </c>
      <c r="E77" s="128" t="n"/>
      <c r="F77" s="128" t="n">
        <v>0.03</v>
      </c>
      <c r="G77" s="128" t="n"/>
      <c r="H77" s="128" t="inlineStr">
        <is>
          <t>8pence from John, son of John Sawell', the lord's villein, for the same.</t>
        </is>
      </c>
      <c r="I77" s="128" t="n"/>
    </row>
    <row r="78">
      <c r="A78" s="136" t="inlineStr">
        <is>
          <t>Annual recognizance</t>
        </is>
      </c>
      <c r="B78" s="128" t="n">
        <v>0</v>
      </c>
      <c r="C78" s="128" t="n">
        <v>0</v>
      </c>
      <c r="D78" s="128" t="n">
        <v>3</v>
      </c>
      <c r="E78" s="128" t="n"/>
      <c r="F78" s="128" t="n">
        <v>0.01</v>
      </c>
      <c r="G78" s="128" t="n"/>
      <c r="H78" s="128" t="inlineStr">
        <is>
          <t>nothing of the 3pence from Robert Verdon' because he is dead as established by the court roll.</t>
        </is>
      </c>
      <c r="I78" s="128" t="n"/>
    </row>
    <row r="79">
      <c r="A79" s="138" t="inlineStr">
        <is>
          <t>Annual recognizance total</t>
        </is>
      </c>
      <c r="B79" s="139" t="n"/>
      <c r="C79" s="139" t="n"/>
      <c r="D79" s="139" t="n"/>
      <c r="E79" s="139" t="n"/>
      <c r="F79" s="139" t="n">
        <v>0.1</v>
      </c>
      <c r="G79" s="139" t="n">
        <v>0.09</v>
      </c>
      <c r="H79" s="139" t="inlineStr">
        <is>
          <t>Total</t>
        </is>
      </c>
      <c r="I79" s="139" t="n"/>
    </row>
    <row r="80">
      <c r="A80" s="136" t="n"/>
      <c r="B80" s="128" t="n"/>
      <c r="C80" s="128" t="n"/>
      <c r="D80" s="128" t="n"/>
      <c r="E80" s="128" t="n"/>
      <c r="F80" s="128" t="n"/>
      <c r="G80" s="128" t="n"/>
      <c r="H80" s="128" t="n"/>
      <c r="I80" s="128" t="n"/>
    </row>
    <row r="81">
      <c r="A81" s="137" t="inlineStr">
        <is>
          <t>Entry and marriage fines</t>
        </is>
      </c>
      <c r="B81" s="128" t="n">
        <v>0</v>
      </c>
      <c r="C81" s="128" t="n">
        <v>13</v>
      </c>
      <c r="D81" s="128" t="n">
        <v>4</v>
      </c>
      <c r="E81" s="128" t="n"/>
      <c r="F81" s="128" t="n">
        <v>0.67</v>
      </c>
      <c r="G81" s="128" t="n"/>
      <c r="H81" s="128" t="inlineStr">
        <is>
          <t>And for 13 shilling 4pence from Juliana, daughter of John Clavle, to have 1 messuage and1 virgate of villein land in the tithing of Aston Bishop which belonged to the aforesaid John her father.</t>
        </is>
      </c>
      <c r="I81" s="128" t="n"/>
    </row>
    <row r="82">
      <c r="A82" s="136" t="inlineStr">
        <is>
          <t>Entry and marriage fines</t>
        </is>
      </c>
      <c r="B82" s="128" t="n">
        <v>0</v>
      </c>
      <c r="C82" s="128" t="n">
        <v>13</v>
      </c>
      <c r="D82" s="128" t="n">
        <v>4</v>
      </c>
      <c r="E82" s="128" t="n"/>
      <c r="F82" s="128" t="n">
        <v>0.67</v>
      </c>
      <c r="G82" s="128" t="n"/>
      <c r="H82" s="128" t="inlineStr">
        <is>
          <t>13 shilling 4pence from John Stonhard' to have Juliana, daughter of John Claverle, with her land, that is, 1 messuage and 1 virgate of villein land in the tithing of Aston Bishop.</t>
        </is>
      </c>
      <c r="I82" s="128" t="n"/>
    </row>
    <row r="83">
      <c r="A83" s="136" t="inlineStr">
        <is>
          <t>Entry and marriage fines</t>
        </is>
      </c>
      <c r="B83" s="128" t="n">
        <v>0</v>
      </c>
      <c r="C83" s="128" t="n">
        <v>6</v>
      </c>
      <c r="D83" s="128" t="n">
        <v>8</v>
      </c>
      <c r="E83" s="128" t="n"/>
      <c r="F83" s="128" t="n">
        <v>0.33</v>
      </c>
      <c r="G83" s="128" t="n"/>
      <c r="H83" s="128" t="inlineStr">
        <is>
          <t>6 shilling 8pence from John, son of Edward Hastyng', to have 1 messuage and 1 virgate of villein land in Ivinghoe which belonged to the aforesaid Edward his father.</t>
        </is>
      </c>
      <c r="I83" s="128" t="n"/>
    </row>
    <row r="84">
      <c r="A84" s="136" t="inlineStr">
        <is>
          <t>Entry and marriage fines</t>
        </is>
      </c>
      <c r="B84" s="128" t="n">
        <v>0</v>
      </c>
      <c r="C84" s="128" t="n">
        <v>6</v>
      </c>
      <c r="D84" s="128" t="n">
        <v>8</v>
      </c>
      <c r="E84" s="128" t="n"/>
      <c r="F84" s="128" t="n">
        <v>0.33</v>
      </c>
      <c r="G84" s="128" t="n"/>
      <c r="H84" s="128" t="inlineStr">
        <is>
          <t>6 shilling 8pence from John Lord' to have 1 cottage with a curtilage and .5 acre of assarted land in the tithing of Nettleden which belonged to Thomas Lord his brother.</t>
        </is>
      </c>
      <c r="I84" s="128" t="n"/>
    </row>
    <row r="85">
      <c r="A85" s="136" t="inlineStr">
        <is>
          <t>Entry and marriage fines</t>
        </is>
      </c>
      <c r="B85" s="128" t="n">
        <v>0</v>
      </c>
      <c r="C85" s="128" t="n">
        <v>10</v>
      </c>
      <c r="D85" s="128" t="n">
        <v>0</v>
      </c>
      <c r="E85" s="128" t="n"/>
      <c r="F85" s="128" t="n">
        <v>0.5</v>
      </c>
      <c r="G85" s="128" t="n"/>
      <c r="H85" s="128" t="inlineStr">
        <is>
          <t>10 shilling from henry Venne to have Juliana, daughter of John Claverle, with her land, that is, 1 messuage and 1 virgate of villein land in the tithing of Aston Bishop.</t>
        </is>
      </c>
      <c r="I85" s="128" t="n"/>
    </row>
    <row r="86">
      <c r="A86" s="136" t="inlineStr">
        <is>
          <t>Entry and marriage fines</t>
        </is>
      </c>
      <c r="B86" s="128" t="n">
        <v>0</v>
      </c>
      <c r="C86" s="128" t="n">
        <v>10</v>
      </c>
      <c r="D86" s="128" t="n">
        <v>0</v>
      </c>
      <c r="E86" s="128" t="n"/>
      <c r="F86" s="128" t="n">
        <v>0.5</v>
      </c>
      <c r="G86" s="128" t="n"/>
      <c r="H86" s="128" t="inlineStr">
        <is>
          <t>10 shilling from John Smyth' to have 1 cottage with a curtilage and 3.5 acres of assailed land in the tithing of Nettleden by surrender of Margery William.</t>
        </is>
      </c>
      <c r="I86" s="128" t="n"/>
    </row>
    <row r="87">
      <c r="A87" s="136" t="inlineStr">
        <is>
          <t>Entry and marriage fines</t>
        </is>
      </c>
      <c r="B87" s="128" t="n">
        <v>0</v>
      </c>
      <c r="C87" s="128" t="n">
        <v>6</v>
      </c>
      <c r="D87" s="128" t="n">
        <v>8</v>
      </c>
      <c r="E87" s="128" t="n"/>
      <c r="F87" s="128" t="n">
        <v>0.33</v>
      </c>
      <c r="G87" s="128" t="n"/>
      <c r="H87" s="128" t="inlineStr">
        <is>
          <t>6 shilling 8pence from John Bacon to have 1 cottage with a curtilage and 3.5 acres of land held by labour service in the tithing of Ivinghoe by surrender of Simon Edward.</t>
        </is>
      </c>
      <c r="I87" s="128" t="n"/>
    </row>
    <row r="88">
      <c r="A88" s="136" t="inlineStr">
        <is>
          <t>Entry and marriage fines</t>
        </is>
      </c>
      <c r="B88" s="128" t="n">
        <v>0</v>
      </c>
      <c r="C88" s="128" t="n">
        <v>3</v>
      </c>
      <c r="D88" s="128" t="n">
        <v>4</v>
      </c>
      <c r="E88" s="128" t="n"/>
      <c r="F88" s="128" t="n">
        <v>0.17</v>
      </c>
      <c r="G88" s="128" t="n"/>
      <c r="H88" s="128" t="inlineStr">
        <is>
          <t>3 shilling 4pence from William Hastyng' to have 1 cottage and 1 shop of purpresture in the tithing of Ivinghoe by surrender of William Sonnyng', which came into the lord's hands as his escheat because noone of the kin of the said William took steps to fine for the same although a proclamation was made according to the custom of the manor.</t>
        </is>
      </c>
      <c r="I88" s="128" t="n"/>
    </row>
    <row r="89">
      <c r="A89" s="136" t="inlineStr">
        <is>
          <t>Entry and marriage fines</t>
        </is>
      </c>
      <c r="B89" s="128" t="n">
        <v>0</v>
      </c>
      <c r="C89" s="128" t="n">
        <v>6</v>
      </c>
      <c r="D89" s="128" t="n">
        <v>8</v>
      </c>
      <c r="E89" s="128" t="n"/>
      <c r="F89" s="128" t="n">
        <v>0.33</v>
      </c>
      <c r="G89" s="128" t="n"/>
      <c r="H89" s="128" t="inlineStr">
        <is>
          <t>6 shilling 8pence from Robert Hangueld' for marrying Lucy his daughter outside.</t>
        </is>
      </c>
      <c r="I89" s="128" t="n"/>
    </row>
    <row r="90">
      <c r="A90" s="136" t="inlineStr">
        <is>
          <t>Entry and marriage fines</t>
        </is>
      </c>
      <c r="B90" s="128" t="n">
        <v>0</v>
      </c>
      <c r="C90" s="128" t="n">
        <v>13</v>
      </c>
      <c r="D90" s="128" t="n">
        <v>4</v>
      </c>
      <c r="E90" s="128" t="n"/>
      <c r="F90" s="128" t="n">
        <v>0.67</v>
      </c>
      <c r="G90" s="128" t="n"/>
      <c r="H90" s="128" t="inlineStr">
        <is>
          <t>13 shilling 4pence from Joan, daughter of Walter Palmere, to have 1 toft and 1 virgate of villein land in the tithing of Horton which belonged to John Palmer' her brother.</t>
        </is>
      </c>
      <c r="I90" s="128" t="n"/>
    </row>
    <row r="91">
      <c r="A91" s="136" t="inlineStr">
        <is>
          <t>Entry and marriage fines</t>
        </is>
      </c>
      <c r="B91" s="128" t="n">
        <v>0</v>
      </c>
      <c r="C91" s="128" t="n">
        <v>10</v>
      </c>
      <c r="D91" s="128" t="n">
        <v>0</v>
      </c>
      <c r="E91" s="128" t="n"/>
      <c r="F91" s="128" t="n">
        <v>0.5</v>
      </c>
      <c r="G91" s="128" t="n"/>
      <c r="H91" s="128" t="inlineStr">
        <is>
          <t>10 shilling from Alexander Hood to have 1 messuage and 1 virgate of villein land in the tithing of Ivinghoe which belonged to Simon, son of William Hulot, and which came into the lord's hands as his escheat because noone of the kin of the said Simon took steps to fine for the same although a proclamation was made according to the custom of the manor.</t>
        </is>
      </c>
      <c r="I91" s="128" t="n"/>
    </row>
    <row r="92">
      <c r="A92" s="136" t="inlineStr">
        <is>
          <t>Entry and marriage fines</t>
        </is>
      </c>
      <c r="B92" s="128" t="n">
        <v>0</v>
      </c>
      <c r="C92" s="128" t="n">
        <v>18</v>
      </c>
      <c r="D92" s="128" t="n">
        <v>8</v>
      </c>
      <c r="E92" s="128" t="n"/>
      <c r="F92" s="128" t="n">
        <v>0.93</v>
      </c>
      <c r="G92" s="128" t="n"/>
      <c r="H92" s="128" t="inlineStr">
        <is>
          <t>18 shilling 8pence from tithingpenny at the tours of Martinmas.</t>
        </is>
      </c>
      <c r="I92" s="128" t="n"/>
    </row>
    <row r="93">
      <c r="A93" s="136" t="inlineStr">
        <is>
          <t>Entry and marriage fines</t>
        </is>
      </c>
      <c r="B93" s="128" t="n">
        <v>0</v>
      </c>
      <c r="C93" s="128" t="n">
        <v>18</v>
      </c>
      <c r="D93" s="128" t="n">
        <v>8</v>
      </c>
      <c r="E93" s="128" t="n"/>
      <c r="F93" s="128" t="n">
        <v>0.93</v>
      </c>
      <c r="G93" s="128" t="n"/>
      <c r="H93" s="128" t="inlineStr">
        <is>
          <t>18 shilling 8pence from tithingpenny at the tourn of Hockday.</t>
        </is>
      </c>
      <c r="I93" s="128" t="n"/>
    </row>
    <row r="94">
      <c r="A94" s="136" t="inlineStr">
        <is>
          <t>Entry and marriage fines</t>
        </is>
      </c>
      <c r="B94" s="128" t="n">
        <v>6</v>
      </c>
      <c r="C94" s="128" t="n">
        <v>17</v>
      </c>
      <c r="D94" s="128" t="n">
        <v>4</v>
      </c>
      <c r="E94" s="128" t="n"/>
      <c r="F94" s="128" t="n">
        <v>6.87</v>
      </c>
      <c r="G94" s="128" t="n"/>
      <c r="H94" s="128" t="inlineStr">
        <is>
          <t>Total, £6 17 shilling 4pence.</t>
        </is>
      </c>
      <c r="I94" s="128" t="n"/>
    </row>
    <row r="95">
      <c r="A95" s="138" t="inlineStr">
        <is>
          <t>Entry and marriage fines total</t>
        </is>
      </c>
      <c r="B95" s="139" t="n"/>
      <c r="C95" s="139" t="n"/>
      <c r="D95" s="139" t="n"/>
      <c r="E95" s="139" t="n"/>
      <c r="F95" s="139" t="n">
        <v>6.86</v>
      </c>
      <c r="G95" s="139" t="n">
        <v>-0.01</v>
      </c>
      <c r="H95" s="139" t="inlineStr">
        <is>
          <t>Total</t>
        </is>
      </c>
      <c r="I95" s="139" t="n"/>
    </row>
    <row r="96">
      <c r="A96" s="136" t="n"/>
      <c r="B96" s="128" t="n"/>
      <c r="C96" s="128" t="n"/>
      <c r="D96" s="128" t="n"/>
      <c r="E96" s="128" t="n"/>
      <c r="F96" s="128" t="n"/>
      <c r="G96" s="128" t="n"/>
      <c r="H96" s="128" t="n"/>
      <c r="I96" s="128" t="n"/>
    </row>
    <row r="97">
      <c r="A97" s="137" t="inlineStr">
        <is>
          <t>Perquisites of court</t>
        </is>
      </c>
      <c r="B97" s="128" t="n">
        <v>0</v>
      </c>
      <c r="C97" s="128" t="n">
        <v>7</v>
      </c>
      <c r="D97" s="128" t="n">
        <v>4</v>
      </c>
      <c r="E97" s="128" t="n"/>
      <c r="F97" s="128" t="n">
        <v>0.37</v>
      </c>
      <c r="G97" s="128" t="n"/>
      <c r="H97" s="128" t="inlineStr">
        <is>
          <t>And for 7 shilling 4pence from the perquisites of the tourn of Martinmas (11 November).</t>
        </is>
      </c>
      <c r="I97" s="128" t="n"/>
    </row>
    <row r="98">
      <c r="A98" s="136" t="inlineStr">
        <is>
          <t>Perquisites of court</t>
        </is>
      </c>
      <c r="B98" s="128" t="n">
        <v>0</v>
      </c>
      <c r="C98" s="128" t="n">
        <v>14</v>
      </c>
      <c r="D98" s="128" t="n">
        <v>8</v>
      </c>
      <c r="E98" s="128" t="n"/>
      <c r="F98" s="128" t="n">
        <v>0.73</v>
      </c>
      <c r="G98" s="128" t="n"/>
      <c r="H98" s="128" t="inlineStr">
        <is>
          <t>14 shilling 8pence from the perquisites of the tourn of Hockday (1 April).</t>
        </is>
      </c>
      <c r="I98" s="128" t="n"/>
    </row>
    <row r="99">
      <c r="A99" s="136" t="inlineStr">
        <is>
          <t>Perquisites of court</t>
        </is>
      </c>
      <c r="B99" s="128" t="n">
        <v>0</v>
      </c>
      <c r="C99" s="128" t="n">
        <v>9</v>
      </c>
      <c r="D99" s="128" t="n">
        <v>3</v>
      </c>
      <c r="E99" s="128" t="n"/>
      <c r="F99" s="128" t="n">
        <v>0.46</v>
      </c>
      <c r="G99" s="128" t="n"/>
      <c r="H99" s="128" t="inlineStr">
        <is>
          <t>9 shilling 3pence from the perquisites of the courts held between the 2 tourns.</t>
        </is>
      </c>
      <c r="I99" s="128" t="n"/>
    </row>
    <row r="100">
      <c r="A100" s="136" t="inlineStr">
        <is>
          <t>Perquisites of court</t>
        </is>
      </c>
      <c r="B100" s="128" t="n">
        <v>0</v>
      </c>
      <c r="C100" s="128" t="n">
        <v>17</v>
      </c>
      <c r="D100" s="128" t="n">
        <v>6</v>
      </c>
      <c r="E100" s="128" t="n"/>
      <c r="F100" s="128" t="n">
        <v>0.88</v>
      </c>
      <c r="G100" s="128" t="n"/>
      <c r="H100" s="128" t="inlineStr">
        <is>
          <t>17 shilling 6pence from the perquisites of the courts held after the tourn of Hockday.</t>
        </is>
      </c>
      <c r="I100" s="128" t="n"/>
    </row>
    <row r="101">
      <c r="A101" s="138" t="inlineStr">
        <is>
          <t>Perquisites of court total</t>
        </is>
      </c>
      <c r="B101" s="139" t="n">
        <v>2</v>
      </c>
      <c r="C101" s="139" t="n">
        <v>8</v>
      </c>
      <c r="D101" s="139" t="n">
        <v>9</v>
      </c>
      <c r="E101" s="139" t="n"/>
      <c r="F101" s="139" t="n">
        <v>2.44</v>
      </c>
      <c r="G101" s="139" t="n">
        <v>1.56</v>
      </c>
      <c r="H101" s="139" t="inlineStr">
        <is>
          <t>Total, £2 8 shilling 9pence.</t>
        </is>
      </c>
      <c r="I101" s="139" t="n"/>
    </row>
    <row r="102">
      <c r="A102" s="38" t="inlineStr">
        <is>
          <t>Total of all receipts recorded in accounts (calculated here)</t>
        </is>
      </c>
      <c r="F102">
        <f>SUMIF(A1:A101,"* total",F1:F101)-SUMIF(A1:A101,"Arrears total",F1:F101)</f>
        <v/>
      </c>
    </row>
    <row r="103">
      <c r="A103" s="38" t="inlineStr">
        <is>
          <t>Total of all receipts (calculated here) incl arrears</t>
        </is>
      </c>
      <c r="F103">
        <f>F102+SUMIF(A1:A101,"Arrears total",F1:F101)</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38"/>
  <sheetViews>
    <sheetView workbookViewId="0">
      <selection activeCell="A1" sqref="A1"/>
    </sheetView>
  </sheetViews>
  <sheetFormatPr baseColWidth="8" defaultRowHeight="15"/>
  <sheetData>
    <row r="1">
      <c r="A1" t="inlineStr">
        <is>
          <t>Heading</t>
        </is>
      </c>
      <c r="B1" t="inlineStr">
        <is>
          <t>Sentence</t>
        </is>
      </c>
      <c r="C1" t="inlineStr">
        <is>
          <t>Quarters 1</t>
        </is>
      </c>
      <c r="D1" t="inlineStr">
        <is>
          <t>Bushels 1</t>
        </is>
      </c>
      <c r="E1" t="inlineStr">
        <is>
          <t>stock</t>
        </is>
      </c>
      <c r="F1" t="inlineStr">
        <is>
          <t>inherited stock</t>
        </is>
      </c>
      <c r="G1" t="inlineStr">
        <is>
          <t>added</t>
        </is>
      </c>
      <c r="H1" t="inlineStr">
        <is>
          <t>murrain</t>
        </is>
      </c>
      <c r="I1" t="inlineStr">
        <is>
          <t>sold</t>
        </is>
      </c>
    </row>
    <row r="2">
      <c r="A2" t="inlineStr">
        <is>
          <t>Oats</t>
        </is>
      </c>
      <c r="B2" t="inlineStr">
        <is>
          <t>Total</t>
        </is>
      </c>
      <c r="C2" t="n">
        <v>0</v>
      </c>
      <c r="D2" t="n">
        <v>0</v>
      </c>
    </row>
    <row r="3">
      <c r="A3" t="inlineStr">
        <is>
          <t>Stock</t>
        </is>
      </c>
      <c r="B3" t="inlineStr">
        <is>
          <t>Horses: 8 remain.</t>
        </is>
      </c>
      <c r="C3" t="n">
        <v>0</v>
      </c>
      <c r="D3" t="n">
        <v>0</v>
      </c>
      <c r="F3" t="inlineStr">
        <is>
          <t>8</t>
        </is>
      </c>
    </row>
    <row r="4">
      <c r="A4" t="inlineStr">
        <is>
          <t>Stock</t>
        </is>
      </c>
      <c r="B4" t="inlineStr">
        <is>
          <t>1 bought.</t>
        </is>
      </c>
      <c r="C4" t="n">
        <v>0</v>
      </c>
      <c r="D4" t="n">
        <v>0</v>
      </c>
      <c r="G4" t="inlineStr">
        <is>
          <t>1</t>
        </is>
      </c>
    </row>
    <row r="5">
      <c r="A5" t="inlineStr">
        <is>
          <t>Stock</t>
        </is>
      </c>
      <c r="B5" t="inlineStr">
        <is>
          <t>Total, 9. 2 in murrain.</t>
        </is>
      </c>
      <c r="C5" t="n">
        <v>0</v>
      </c>
      <c r="D5" t="n">
        <v>0</v>
      </c>
      <c r="H5" t="inlineStr">
        <is>
          <t>2</t>
        </is>
      </c>
    </row>
    <row r="6">
      <c r="A6" t="inlineStr">
        <is>
          <t>Stock</t>
        </is>
      </c>
      <c r="B6" t="inlineStr">
        <is>
          <t>Total, 2. 7 remain, of which 1 is for the horse-mill.</t>
        </is>
      </c>
      <c r="C6" t="n">
        <v>0</v>
      </c>
      <c r="D6" t="n">
        <v>0</v>
      </c>
    </row>
    <row r="7">
      <c r="A7" t="inlineStr">
        <is>
          <t>Stock</t>
        </is>
      </c>
      <c r="B7" t="inlineStr">
        <is>
          <t>Plough-horses: 1 from the heriot of Edward Hastyng'.</t>
        </is>
      </c>
      <c r="C7" t="n">
        <v>0</v>
      </c>
      <c r="D7" t="n">
        <v>0</v>
      </c>
      <c r="E7" t="inlineStr">
        <is>
          <t>Plough-horses</t>
        </is>
      </c>
    </row>
    <row r="8">
      <c r="A8" t="inlineStr">
        <is>
          <t>Stock</t>
        </is>
      </c>
      <c r="B8" t="inlineStr">
        <is>
          <t>1 from the heriot of Simon Edward'.</t>
        </is>
      </c>
      <c r="C8" t="n">
        <v>0</v>
      </c>
      <c r="D8" t="n">
        <v>0</v>
      </c>
      <c r="E8" t="inlineStr">
        <is>
          <t>Plough-horses</t>
        </is>
      </c>
    </row>
    <row r="9">
      <c r="A9" t="inlineStr">
        <is>
          <t>Stock</t>
        </is>
      </c>
      <c r="B9" t="inlineStr">
        <is>
          <t>Total, 2. Sold within.</t>
        </is>
      </c>
      <c r="C9" t="n">
        <v>0</v>
      </c>
      <c r="D9" t="n">
        <v>0</v>
      </c>
      <c r="E9" t="inlineStr">
        <is>
          <t>Plough-horses</t>
        </is>
      </c>
    </row>
    <row r="10">
      <c r="A10" t="inlineStr">
        <is>
          <t>Stock</t>
        </is>
      </c>
      <c r="B10" t="inlineStr">
        <is>
          <t>none remain.</t>
        </is>
      </c>
      <c r="C10" t="n">
        <v>0</v>
      </c>
      <c r="D10" t="n">
        <v>0</v>
      </c>
      <c r="E10" t="inlineStr">
        <is>
          <t>Plough-horses</t>
        </is>
      </c>
    </row>
    <row r="11">
      <c r="A11" t="inlineStr">
        <is>
          <t>Stock</t>
        </is>
      </c>
      <c r="B11" t="inlineStr">
        <is>
          <t>Oxen: 45 remain.</t>
        </is>
      </c>
      <c r="C11" t="n">
        <v>0</v>
      </c>
      <c r="D11" t="n">
        <v>0</v>
      </c>
      <c r="E11" t="inlineStr">
        <is>
          <t>Oxen</t>
        </is>
      </c>
      <c r="F11" t="inlineStr">
        <is>
          <t>45</t>
        </is>
      </c>
    </row>
    <row r="12">
      <c r="A12" t="inlineStr">
        <is>
          <t>Stock</t>
        </is>
      </c>
      <c r="B12" t="inlineStr">
        <is>
          <t>1 from the heriot of John Claverley.</t>
        </is>
      </c>
      <c r="C12" t="n">
        <v>0</v>
      </c>
      <c r="D12" t="n">
        <v>0</v>
      </c>
      <c r="E12" t="inlineStr">
        <is>
          <t>Oxen</t>
        </is>
      </c>
    </row>
    <row r="13">
      <c r="A13" t="inlineStr">
        <is>
          <t>Stock</t>
        </is>
      </c>
      <c r="B13" t="inlineStr">
        <is>
          <t>1 from the heriot of John Stoneherd'.</t>
        </is>
      </c>
      <c r="C13" t="n">
        <v>0</v>
      </c>
      <c r="D13" t="n">
        <v>0</v>
      </c>
      <c r="E13" t="inlineStr">
        <is>
          <t>Oxen</t>
        </is>
      </c>
    </row>
    <row r="14">
      <c r="A14" t="inlineStr">
        <is>
          <t>Stock</t>
        </is>
      </c>
      <c r="B14" t="inlineStr">
        <is>
          <t>8 bought.</t>
        </is>
      </c>
      <c r="C14" t="n">
        <v>0</v>
      </c>
      <c r="D14" t="n">
        <v>0</v>
      </c>
      <c r="E14" t="inlineStr">
        <is>
          <t>Oxen</t>
        </is>
      </c>
      <c r="G14" t="inlineStr">
        <is>
          <t>8</t>
        </is>
      </c>
    </row>
    <row r="15">
      <c r="A15" t="inlineStr">
        <is>
          <t>Stock</t>
        </is>
      </c>
      <c r="B15" t="inlineStr">
        <is>
          <t>2 added from steers.</t>
        </is>
      </c>
      <c r="C15" t="n">
        <v>0</v>
      </c>
      <c r="D15" t="n">
        <v>0</v>
      </c>
      <c r="E15" t="inlineStr">
        <is>
          <t>Oxen</t>
        </is>
      </c>
    </row>
    <row r="16">
      <c r="A16" t="inlineStr">
        <is>
          <t>Stock</t>
        </is>
      </c>
      <c r="B16" t="inlineStr">
        <is>
          <t>Total, 57. 5 in murrain.</t>
        </is>
      </c>
      <c r="C16" t="n">
        <v>0</v>
      </c>
      <c r="D16" t="n">
        <v>0</v>
      </c>
      <c r="E16" t="inlineStr">
        <is>
          <t>Oxen</t>
        </is>
      </c>
      <c r="H16" t="inlineStr">
        <is>
          <t>5</t>
        </is>
      </c>
    </row>
    <row r="17">
      <c r="A17" t="inlineStr">
        <is>
          <t>Stock</t>
        </is>
      </c>
      <c r="B17" t="inlineStr">
        <is>
          <t>7 kebbs sold within.</t>
        </is>
      </c>
      <c r="C17" t="n">
        <v>0</v>
      </c>
      <c r="D17" t="n">
        <v>0</v>
      </c>
      <c r="E17" t="inlineStr">
        <is>
          <t>Oxen</t>
        </is>
      </c>
      <c r="I17" t="inlineStr">
        <is>
          <t>7</t>
        </is>
      </c>
    </row>
    <row r="18">
      <c r="A18" t="inlineStr">
        <is>
          <t>Stock</t>
        </is>
      </c>
      <c r="B18" t="inlineStr">
        <is>
          <t>Total, 12. 45 remain.</t>
        </is>
      </c>
      <c r="C18" t="n">
        <v>0</v>
      </c>
      <c r="D18" t="n">
        <v>0</v>
      </c>
      <c r="E18" t="inlineStr">
        <is>
          <t>Oxen</t>
        </is>
      </c>
    </row>
    <row r="19">
      <c r="A19" t="inlineStr">
        <is>
          <t>Stock</t>
        </is>
      </c>
      <c r="B19" t="inlineStr">
        <is>
          <t>Bulls: 2 remain.</t>
        </is>
      </c>
      <c r="C19" t="n">
        <v>0</v>
      </c>
      <c r="D19" t="n">
        <v>0</v>
      </c>
      <c r="E19" t="inlineStr">
        <is>
          <t>Bulls</t>
        </is>
      </c>
      <c r="F19" t="inlineStr">
        <is>
          <t>2</t>
        </is>
      </c>
    </row>
    <row r="20">
      <c r="A20" t="inlineStr">
        <is>
          <t>Stock</t>
        </is>
      </c>
      <c r="B20" t="inlineStr">
        <is>
          <t>Total, 2. 2 remain.</t>
        </is>
      </c>
      <c r="C20" t="n">
        <v>0</v>
      </c>
      <c r="D20" t="n">
        <v>0</v>
      </c>
      <c r="E20" t="inlineStr">
        <is>
          <t>Bulls</t>
        </is>
      </c>
    </row>
    <row r="21">
      <c r="A21" t="inlineStr">
        <is>
          <t>Stock</t>
        </is>
      </c>
      <c r="B21" t="inlineStr">
        <is>
          <t>Cows: 30 remain.</t>
        </is>
      </c>
      <c r="C21" t="n">
        <v>0</v>
      </c>
      <c r="D21" t="n">
        <v>0</v>
      </c>
      <c r="E21" t="inlineStr">
        <is>
          <t>Cows</t>
        </is>
      </c>
      <c r="F21" t="inlineStr">
        <is>
          <t>30</t>
        </is>
      </c>
    </row>
    <row r="22">
      <c r="A22" t="inlineStr">
        <is>
          <t>Stock</t>
        </is>
      </c>
      <c r="B22" t="inlineStr">
        <is>
          <t>15 bought.</t>
        </is>
      </c>
      <c r="C22" t="n">
        <v>0</v>
      </c>
      <c r="D22" t="n">
        <v>0</v>
      </c>
      <c r="E22" t="inlineStr">
        <is>
          <t>Cows</t>
        </is>
      </c>
      <c r="G22" t="inlineStr">
        <is>
          <t>15</t>
        </is>
      </c>
    </row>
    <row r="23">
      <c r="A23" t="inlineStr">
        <is>
          <t>Stock</t>
        </is>
      </c>
      <c r="B23" t="inlineStr">
        <is>
          <t>nothing here of the 1 cow from the heriot of Thomas Lord because it is in the hands of John Brigford' and is unable to be seized because it is outside the liberty of the lord.</t>
        </is>
      </c>
      <c r="C23" t="n">
        <v>0</v>
      </c>
      <c r="D23" t="n">
        <v>0</v>
      </c>
      <c r="E23" t="inlineStr">
        <is>
          <t>Cows</t>
        </is>
      </c>
    </row>
    <row r="24">
      <c r="A24" t="inlineStr">
        <is>
          <t>Stock</t>
        </is>
      </c>
      <c r="B24" t="inlineStr">
        <is>
          <t>3 added from steers.</t>
        </is>
      </c>
      <c r="C24" t="n">
        <v>0</v>
      </c>
      <c r="D24" t="n">
        <v>0</v>
      </c>
      <c r="E24" t="inlineStr">
        <is>
          <t>Cows</t>
        </is>
      </c>
    </row>
    <row r="25">
      <c r="A25" t="inlineStr">
        <is>
          <t>Stock</t>
        </is>
      </c>
      <c r="B25" t="inlineStr">
        <is>
          <t>Total, 48. 6 in murrain before calving.</t>
        </is>
      </c>
      <c r="C25" t="n">
        <v>0</v>
      </c>
      <c r="D25" t="n">
        <v>0</v>
      </c>
      <c r="E25" t="inlineStr">
        <is>
          <t>Cows</t>
        </is>
      </c>
      <c r="H25" t="inlineStr">
        <is>
          <t>6</t>
        </is>
      </c>
    </row>
    <row r="26">
      <c r="A26" t="inlineStr">
        <is>
          <t>Stock</t>
        </is>
      </c>
      <c r="B26" t="inlineStr">
        <is>
          <t>10 kebbs with calf sold within.</t>
        </is>
      </c>
      <c r="C26" t="n">
        <v>0</v>
      </c>
      <c r="D26" t="n">
        <v>0</v>
      </c>
      <c r="E26" t="inlineStr">
        <is>
          <t>Cows</t>
        </is>
      </c>
      <c r="I26" t="inlineStr">
        <is>
          <t>10</t>
        </is>
      </c>
    </row>
    <row r="27">
      <c r="A27" t="inlineStr">
        <is>
          <t>Stock</t>
        </is>
      </c>
      <c r="B27" t="inlineStr">
        <is>
          <t>Total, 16. 221 remain.</t>
        </is>
      </c>
      <c r="C27" t="n">
        <v>0</v>
      </c>
      <c r="D27" t="n">
        <v>0</v>
      </c>
      <c r="E27" t="inlineStr">
        <is>
          <t>Cows</t>
        </is>
      </c>
    </row>
    <row r="28">
      <c r="A28" t="inlineStr">
        <is>
          <t>Stock</t>
        </is>
      </c>
      <c r="B28" t="inlineStr">
        <is>
          <t>Steers: 5 remain from the bullocks.</t>
        </is>
      </c>
      <c r="C28" t="n">
        <v>0</v>
      </c>
      <c r="D28" t="n">
        <v>0</v>
      </c>
      <c r="E28" t="inlineStr">
        <is>
          <t>Steers</t>
        </is>
      </c>
      <c r="F28" t="inlineStr">
        <is>
          <t>5</t>
        </is>
      </c>
    </row>
    <row r="29">
      <c r="A29" t="inlineStr">
        <is>
          <t>Stock</t>
        </is>
      </c>
      <c r="B29" t="inlineStr">
        <is>
          <t>Total, 5. 2 added above to oxen and 3 to cows.</t>
        </is>
      </c>
      <c r="C29" t="n">
        <v>0</v>
      </c>
      <c r="D29" t="n">
        <v>0</v>
      </c>
      <c r="E29" t="inlineStr">
        <is>
          <t>Steers</t>
        </is>
      </c>
    </row>
    <row r="30">
      <c r="A30" t="inlineStr">
        <is>
          <t>Stock</t>
        </is>
      </c>
      <c r="B30" t="inlineStr">
        <is>
          <t>Total as before.</t>
        </is>
      </c>
      <c r="C30" t="n">
        <v>0</v>
      </c>
      <c r="D30" t="n">
        <v>0</v>
      </c>
      <c r="E30" t="inlineStr">
        <is>
          <t>Steers</t>
        </is>
      </c>
    </row>
    <row r="31">
      <c r="A31" t="inlineStr">
        <is>
          <t>Stock</t>
        </is>
      </c>
      <c r="B31" t="inlineStr">
        <is>
          <t>None remain.</t>
        </is>
      </c>
      <c r="C31" t="n">
        <v>0</v>
      </c>
      <c r="D31" t="n">
        <v>0</v>
      </c>
      <c r="E31" t="inlineStr">
        <is>
          <t>Steers</t>
        </is>
      </c>
    </row>
    <row r="32">
      <c r="A32" t="inlineStr">
        <is>
          <t>Stock</t>
        </is>
      </c>
      <c r="B32" t="inlineStr">
        <is>
          <t>Bullocks: 5 remain from the yearlings.</t>
        </is>
      </c>
      <c r="C32" t="n">
        <v>0</v>
      </c>
      <c r="D32" t="n">
        <v>0</v>
      </c>
      <c r="E32" t="inlineStr">
        <is>
          <t>Bullocks</t>
        </is>
      </c>
      <c r="F32" t="inlineStr">
        <is>
          <t>5</t>
        </is>
      </c>
    </row>
    <row r="33">
      <c r="A33" t="inlineStr">
        <is>
          <t>Stock</t>
        </is>
      </c>
      <c r="B33" t="inlineStr">
        <is>
          <t>Total, 5. 1 in murrain.</t>
        </is>
      </c>
      <c r="C33" t="n">
        <v>0</v>
      </c>
      <c r="D33" t="n">
        <v>0</v>
      </c>
      <c r="E33" t="inlineStr">
        <is>
          <t>Bullocks</t>
        </is>
      </c>
      <c r="H33" t="inlineStr">
        <is>
          <t>1</t>
        </is>
      </c>
    </row>
    <row r="34">
      <c r="A34" t="inlineStr">
        <is>
          <t>Stock</t>
        </is>
      </c>
      <c r="B34" t="inlineStr">
        <is>
          <t>4 remain.</t>
        </is>
      </c>
      <c r="C34" t="n">
        <v>0</v>
      </c>
      <c r="D34" t="n">
        <v>0</v>
      </c>
      <c r="E34" t="inlineStr">
        <is>
          <t>Bullocks</t>
        </is>
      </c>
    </row>
    <row r="35">
      <c r="A35" t="inlineStr">
        <is>
          <t>Stock</t>
        </is>
      </c>
      <c r="B35" t="inlineStr">
        <is>
          <t>Yearlings: 8 remain from the calves.</t>
        </is>
      </c>
      <c r="C35" t="n">
        <v>0</v>
      </c>
      <c r="D35" t="n">
        <v>0</v>
      </c>
      <c r="E35" t="inlineStr">
        <is>
          <t>Yearlings</t>
        </is>
      </c>
      <c r="F35" t="inlineStr">
        <is>
          <t>8</t>
        </is>
      </c>
    </row>
    <row r="36">
      <c r="A36" t="inlineStr">
        <is>
          <t>Stock</t>
        </is>
      </c>
      <c r="B36" t="inlineStr">
        <is>
          <t>Total, 8. 1 in murrain.</t>
        </is>
      </c>
      <c r="C36" t="n">
        <v>0</v>
      </c>
      <c r="D36" t="n">
        <v>0</v>
      </c>
      <c r="E36" t="inlineStr">
        <is>
          <t>Yearlings</t>
        </is>
      </c>
      <c r="H36" t="inlineStr">
        <is>
          <t>1</t>
        </is>
      </c>
    </row>
    <row r="37">
      <c r="A37" t="inlineStr">
        <is>
          <t>Stock</t>
        </is>
      </c>
      <c r="B37" t="inlineStr">
        <is>
          <t>7 remain.</t>
        </is>
      </c>
      <c r="C37" t="n">
        <v>0</v>
      </c>
      <c r="D37" t="n">
        <v>0</v>
      </c>
      <c r="E37" t="inlineStr">
        <is>
          <t>Yearlings</t>
        </is>
      </c>
    </row>
    <row r="38">
      <c r="A38" t="inlineStr">
        <is>
          <t>Stock</t>
        </is>
      </c>
      <c r="B38" t="inlineStr">
        <is>
          <t>Calves: 8 bought from the farmer of the dairy.</t>
        </is>
      </c>
      <c r="C38" t="n">
        <v>0</v>
      </c>
      <c r="D38" t="n">
        <v>0</v>
      </c>
      <c r="E38" t="inlineStr">
        <is>
          <t>Calves</t>
        </is>
      </c>
      <c r="G38" t="inlineStr">
        <is>
          <t>8</t>
        </is>
      </c>
    </row>
    <row r="39">
      <c r="A39" t="inlineStr">
        <is>
          <t>Stock</t>
        </is>
      </c>
      <c r="B39" t="inlineStr">
        <is>
          <t>Total, 8. 8 remain.</t>
        </is>
      </c>
      <c r="C39" t="n">
        <v>0</v>
      </c>
      <c r="D39" t="n">
        <v>0</v>
      </c>
      <c r="E39" t="inlineStr">
        <is>
          <t>Calves</t>
        </is>
      </c>
      <c r="F39" t="inlineStr">
        <is>
          <t>8</t>
        </is>
      </c>
    </row>
    <row r="40">
      <c r="A40" t="inlineStr">
        <is>
          <t>Stock</t>
        </is>
      </c>
      <c r="B40" t="inlineStr">
        <is>
          <t>Wethers: 318 remain.</t>
        </is>
      </c>
      <c r="C40" t="n">
        <v>0</v>
      </c>
      <c r="D40" t="n">
        <v>0</v>
      </c>
      <c r="E40" t="inlineStr">
        <is>
          <t>Wethers</t>
        </is>
      </c>
      <c r="F40" t="inlineStr">
        <is>
          <t>318</t>
        </is>
      </c>
    </row>
    <row r="41">
      <c r="A41" t="inlineStr">
        <is>
          <t>Stock</t>
        </is>
      </c>
      <c r="B41" t="inlineStr">
        <is>
          <t>43 added from hoggs.</t>
        </is>
      </c>
      <c r="C41" t="n">
        <v>0</v>
      </c>
      <c r="D41" t="n">
        <v>0</v>
      </c>
      <c r="E41" t="inlineStr">
        <is>
          <t>Wethers</t>
        </is>
      </c>
    </row>
    <row r="42">
      <c r="A42" t="inlineStr">
        <is>
          <t>Stock</t>
        </is>
      </c>
      <c r="B42" t="inlineStr">
        <is>
          <t>1 from the heriot of John Palmere before shearing.</t>
        </is>
      </c>
      <c r="C42" t="n">
        <v>0</v>
      </c>
      <c r="D42" t="n">
        <v>0</v>
      </c>
      <c r="E42" t="inlineStr">
        <is>
          <t>Wethers</t>
        </is>
      </c>
    </row>
    <row r="43">
      <c r="A43" t="inlineStr">
        <is>
          <t>Stock</t>
        </is>
      </c>
      <c r="B43" t="inlineStr">
        <is>
          <t>24 bought before shearing.</t>
        </is>
      </c>
      <c r="C43" t="n">
        <v>0</v>
      </c>
      <c r="D43" t="n">
        <v>0</v>
      </c>
      <c r="E43" t="inlineStr">
        <is>
          <t>Wethers</t>
        </is>
      </c>
      <c r="G43" t="inlineStr">
        <is>
          <t>24</t>
        </is>
      </c>
    </row>
    <row r="44">
      <c r="A44" t="inlineStr">
        <is>
          <t>Stock</t>
        </is>
      </c>
      <c r="B44" t="inlineStr">
        <is>
          <t>1 from the heriot of Margery William.</t>
        </is>
      </c>
      <c r="C44" t="n">
        <v>0</v>
      </c>
      <c r="D44" t="n">
        <v>0</v>
      </c>
      <c r="E44" t="inlineStr">
        <is>
          <t>Wethers</t>
        </is>
      </c>
    </row>
    <row r="45">
      <c r="A45" t="inlineStr">
        <is>
          <t>Stock</t>
        </is>
      </c>
      <c r="B45" t="inlineStr">
        <is>
          <t>Total, 387. 21 in murrain before shearing, 9 after shearing.</t>
        </is>
      </c>
      <c r="C45" t="n">
        <v>0</v>
      </c>
      <c r="D45" t="n">
        <v>0</v>
      </c>
      <c r="E45" t="inlineStr">
        <is>
          <t>Wethers</t>
        </is>
      </c>
      <c r="H45" t="inlineStr">
        <is>
          <t>21</t>
        </is>
      </c>
    </row>
    <row r="46">
      <c r="A46" t="inlineStr">
        <is>
          <t>Stock</t>
        </is>
      </c>
      <c r="B46" t="inlineStr">
        <is>
          <t>2 sold within to the lord's household after shearing.</t>
        </is>
      </c>
      <c r="C46" t="n">
        <v>0</v>
      </c>
      <c r="D46" t="n">
        <v>0</v>
      </c>
      <c r="E46" t="inlineStr">
        <is>
          <t>Wethers</t>
        </is>
      </c>
      <c r="I46" t="inlineStr">
        <is>
          <t>2</t>
        </is>
      </c>
    </row>
    <row r="47">
      <c r="A47" t="inlineStr">
        <is>
          <t>Stock</t>
        </is>
      </c>
      <c r="B47" t="inlineStr">
        <is>
          <t>60 kebbs sold for fear of murrain, 30 of them before shearing.</t>
        </is>
      </c>
      <c r="C47" t="n">
        <v>0</v>
      </c>
      <c r="D47" t="n">
        <v>0</v>
      </c>
      <c r="E47" t="inlineStr">
        <is>
          <t>Wethers</t>
        </is>
      </c>
      <c r="I47" t="inlineStr">
        <is>
          <t>60</t>
        </is>
      </c>
    </row>
    <row r="48">
      <c r="A48" t="inlineStr">
        <is>
          <t>Stock</t>
        </is>
      </c>
      <c r="B48" t="inlineStr">
        <is>
          <t>Total, 92. 295 remain.</t>
        </is>
      </c>
      <c r="C48" t="n">
        <v>0</v>
      </c>
      <c r="D48" t="n">
        <v>0</v>
      </c>
      <c r="E48" t="inlineStr">
        <is>
          <t>Wethers</t>
        </is>
      </c>
    </row>
    <row r="49">
      <c r="A49" t="inlineStr">
        <is>
          <t>Stock</t>
        </is>
      </c>
      <c r="B49" t="inlineStr">
        <is>
          <t>Rams: 5 remain.</t>
        </is>
      </c>
      <c r="C49" t="n">
        <v>0</v>
      </c>
      <c r="D49" t="n">
        <v>0</v>
      </c>
      <c r="E49" t="inlineStr">
        <is>
          <t>Rams</t>
        </is>
      </c>
      <c r="F49" t="inlineStr">
        <is>
          <t>5</t>
        </is>
      </c>
    </row>
    <row r="50">
      <c r="A50" t="inlineStr">
        <is>
          <t>Stock</t>
        </is>
      </c>
      <c r="B50" t="inlineStr">
        <is>
          <t>1 added from hoggs.</t>
        </is>
      </c>
      <c r="C50" t="n">
        <v>0</v>
      </c>
      <c r="D50" t="n">
        <v>0</v>
      </c>
      <c r="E50" t="inlineStr">
        <is>
          <t>Rams</t>
        </is>
      </c>
    </row>
    <row r="51">
      <c r="A51" t="inlineStr">
        <is>
          <t>Stock</t>
        </is>
      </c>
      <c r="B51" t="inlineStr">
        <is>
          <t>Total, 6. 1 in murrain before shearing.</t>
        </is>
      </c>
      <c r="C51" t="n">
        <v>0</v>
      </c>
      <c r="D51" t="n">
        <v>0</v>
      </c>
      <c r="E51" t="inlineStr">
        <is>
          <t>Rams</t>
        </is>
      </c>
      <c r="H51" t="inlineStr">
        <is>
          <t>1</t>
        </is>
      </c>
    </row>
    <row r="52">
      <c r="A52" t="inlineStr">
        <is>
          <t>Stock</t>
        </is>
      </c>
      <c r="B52" t="inlineStr">
        <is>
          <t>5 remain.</t>
        </is>
      </c>
      <c r="C52" t="n">
        <v>0</v>
      </c>
      <c r="D52" t="n">
        <v>0</v>
      </c>
      <c r="E52" t="inlineStr">
        <is>
          <t>Rams</t>
        </is>
      </c>
    </row>
    <row r="53">
      <c r="A53" t="inlineStr">
        <is>
          <t>Stock</t>
        </is>
      </c>
      <c r="B53" t="inlineStr">
        <is>
          <t>Ewes: 208 remain.</t>
        </is>
      </c>
      <c r="C53" t="n">
        <v>0</v>
      </c>
      <c r="D53" t="n">
        <v>0</v>
      </c>
      <c r="E53" t="inlineStr">
        <is>
          <t>Ewes</t>
        </is>
      </c>
      <c r="F53" t="inlineStr">
        <is>
          <t>208</t>
        </is>
      </c>
    </row>
    <row r="54">
      <c r="A54" t="inlineStr">
        <is>
          <t>Stock</t>
        </is>
      </c>
      <c r="B54" t="inlineStr">
        <is>
          <t>46 added from hoggs.</t>
        </is>
      </c>
      <c r="C54" t="n">
        <v>0</v>
      </c>
      <c r="D54" t="n">
        <v>0</v>
      </c>
      <c r="E54" t="inlineStr">
        <is>
          <t>Ewes</t>
        </is>
      </c>
    </row>
    <row r="55">
      <c r="A55" t="inlineStr">
        <is>
          <t>Stock</t>
        </is>
      </c>
      <c r="B55" t="inlineStr">
        <is>
          <t>Total, 254. 12 in murrain before lambing and shearing, 16 after shearing.</t>
        </is>
      </c>
      <c r="C55" t="n">
        <v>0</v>
      </c>
      <c r="D55" t="n">
        <v>0</v>
      </c>
      <c r="E55" t="inlineStr">
        <is>
          <t>Ewes</t>
        </is>
      </c>
      <c r="H55" t="inlineStr">
        <is>
          <t>12</t>
        </is>
      </c>
    </row>
    <row r="56">
      <c r="A56" t="inlineStr">
        <is>
          <t>Stock</t>
        </is>
      </c>
      <c r="B56" t="inlineStr">
        <is>
          <t>20 kebbs sold within after lambing and before shearing.</t>
        </is>
      </c>
      <c r="C56" t="n">
        <v>0</v>
      </c>
      <c r="D56" t="n">
        <v>0</v>
      </c>
      <c r="E56" t="inlineStr">
        <is>
          <t>Ewes</t>
        </is>
      </c>
      <c r="I56" t="inlineStr">
        <is>
          <t>20</t>
        </is>
      </c>
    </row>
    <row r="57">
      <c r="A57" t="inlineStr">
        <is>
          <t>Stock</t>
        </is>
      </c>
      <c r="B57" t="inlineStr">
        <is>
          <t>Total, 48. 206 remain.</t>
        </is>
      </c>
      <c r="C57" t="n">
        <v>0</v>
      </c>
      <c r="D57" t="n">
        <v>0</v>
      </c>
      <c r="E57" t="inlineStr">
        <is>
          <t>Ewes</t>
        </is>
      </c>
    </row>
    <row r="58">
      <c r="A58" t="inlineStr">
        <is>
          <t>Stock</t>
        </is>
      </c>
      <c r="B58" t="inlineStr">
        <is>
          <t>Hoggs: 121 remain from the lambs.</t>
        </is>
      </c>
      <c r="C58" t="n">
        <v>0</v>
      </c>
      <c r="D58" t="n">
        <v>0</v>
      </c>
      <c r="E58" t="inlineStr">
        <is>
          <t>Hoggs</t>
        </is>
      </c>
      <c r="F58" t="inlineStr">
        <is>
          <t>121</t>
        </is>
      </c>
    </row>
    <row r="59">
      <c r="A59" t="inlineStr">
        <is>
          <t>Stock</t>
        </is>
      </c>
      <c r="B59" t="inlineStr">
        <is>
          <t>Total, 121. 8 in murrain before shearing and 4 after shearing.</t>
        </is>
      </c>
      <c r="C59" t="n">
        <v>0</v>
      </c>
      <c r="D59" t="n">
        <v>0</v>
      </c>
      <c r="E59" t="inlineStr">
        <is>
          <t>Hoggs</t>
        </is>
      </c>
      <c r="H59" t="inlineStr">
        <is>
          <t>8</t>
        </is>
      </c>
    </row>
    <row r="60">
      <c r="A60" t="inlineStr">
        <is>
          <t>Stock</t>
        </is>
      </c>
      <c r="B60" t="inlineStr">
        <is>
          <t>43 added above to wethers, 1 to rams and 46 to ewes.</t>
        </is>
      </c>
      <c r="C60" t="n">
        <v>0</v>
      </c>
      <c r="D60" t="n">
        <v>0</v>
      </c>
      <c r="E60" t="inlineStr">
        <is>
          <t>Hoggs</t>
        </is>
      </c>
    </row>
    <row r="61">
      <c r="A61" t="inlineStr">
        <is>
          <t>Stock</t>
        </is>
      </c>
      <c r="B61" t="inlineStr">
        <is>
          <t>19 sold within after shearing.</t>
        </is>
      </c>
      <c r="C61" t="n">
        <v>0</v>
      </c>
      <c r="D61" t="n">
        <v>0</v>
      </c>
      <c r="E61" t="inlineStr">
        <is>
          <t>Hoggs</t>
        </is>
      </c>
      <c r="I61" t="inlineStr">
        <is>
          <t>19</t>
        </is>
      </c>
    </row>
    <row r="62">
      <c r="A62" t="inlineStr">
        <is>
          <t>Stock</t>
        </is>
      </c>
      <c r="B62" t="inlineStr">
        <is>
          <t>Total as before.</t>
        </is>
      </c>
      <c r="C62" t="n">
        <v>0</v>
      </c>
      <c r="D62" t="n">
        <v>0</v>
      </c>
      <c r="E62" t="inlineStr">
        <is>
          <t>Hoggs</t>
        </is>
      </c>
    </row>
    <row r="63">
      <c r="A63" t="inlineStr">
        <is>
          <t>Stock</t>
        </is>
      </c>
      <c r="B63" t="inlineStr">
        <is>
          <t>None remain.</t>
        </is>
      </c>
      <c r="C63" t="n">
        <v>0</v>
      </c>
      <c r="D63" t="n">
        <v>0</v>
      </c>
      <c r="E63" t="inlineStr">
        <is>
          <t>Hoggs</t>
        </is>
      </c>
    </row>
    <row r="64">
      <c r="A64" t="inlineStr">
        <is>
          <t>Stock</t>
        </is>
      </c>
      <c r="B64" t="inlineStr">
        <is>
          <t>Lambs: 177 from the offspring of as many ewes and not more because 12 died before lambing and 19 were sterile. 18 in murrain before weaning.</t>
        </is>
      </c>
      <c r="C64" t="n">
        <v>0</v>
      </c>
      <c r="D64" t="n">
        <v>0</v>
      </c>
      <c r="E64" t="inlineStr">
        <is>
          <t>Lambs</t>
        </is>
      </c>
      <c r="G64" t="inlineStr">
        <is>
          <t>177</t>
        </is>
      </c>
      <c r="H64" t="inlineStr">
        <is>
          <t>18</t>
        </is>
      </c>
    </row>
    <row r="65">
      <c r="A65" t="inlineStr">
        <is>
          <t>Stock</t>
        </is>
      </c>
      <c r="B65" t="inlineStr">
        <is>
          <t>16 given in tithe.</t>
        </is>
      </c>
      <c r="C65" t="n">
        <v>0</v>
      </c>
      <c r="D65" t="n">
        <v>0</v>
      </c>
      <c r="E65" t="inlineStr">
        <is>
          <t>Lambs</t>
        </is>
      </c>
    </row>
    <row r="66">
      <c r="A66" t="inlineStr">
        <is>
          <t>Stock</t>
        </is>
      </c>
      <c r="B66" t="inlineStr">
        <is>
          <t>1 in agreement with the shepherd.</t>
        </is>
      </c>
      <c r="C66" t="n">
        <v>0</v>
      </c>
      <c r="D66" t="n">
        <v>0</v>
      </c>
      <c r="E66" t="inlineStr">
        <is>
          <t>Lambs</t>
        </is>
      </c>
    </row>
    <row r="67">
      <c r="A67" t="inlineStr">
        <is>
          <t>Stock</t>
        </is>
      </c>
      <c r="B67" t="inlineStr">
        <is>
          <t>12 in murrain after weaning.</t>
        </is>
      </c>
      <c r="C67" t="n">
        <v>0</v>
      </c>
      <c r="D67" t="n">
        <v>0</v>
      </c>
      <c r="E67" t="inlineStr">
        <is>
          <t>Lambs</t>
        </is>
      </c>
      <c r="H67" t="inlineStr">
        <is>
          <t>12</t>
        </is>
      </c>
    </row>
    <row r="68">
      <c r="A68" t="inlineStr">
        <is>
          <t>Stock</t>
        </is>
      </c>
      <c r="B68" t="inlineStr">
        <is>
          <t>20 removed from stock and sold within.</t>
        </is>
      </c>
      <c r="C68" t="n">
        <v>0</v>
      </c>
      <c r="D68" t="n">
        <v>0</v>
      </c>
      <c r="E68" t="inlineStr">
        <is>
          <t>Lambs</t>
        </is>
      </c>
      <c r="I68" t="inlineStr">
        <is>
          <t>20</t>
        </is>
      </c>
    </row>
    <row r="69">
      <c r="A69" t="inlineStr">
        <is>
          <t>Stock</t>
        </is>
      </c>
      <c r="B69" t="inlineStr">
        <is>
          <t>Total, 67. 110 remain.</t>
        </is>
      </c>
      <c r="C69" t="n">
        <v>0</v>
      </c>
      <c r="D69" t="n">
        <v>0</v>
      </c>
      <c r="E69" t="inlineStr">
        <is>
          <t>Lambs</t>
        </is>
      </c>
      <c r="F69" t="inlineStr">
        <is>
          <t>110</t>
        </is>
      </c>
    </row>
    <row r="70">
      <c r="A70" t="inlineStr">
        <is>
          <t>Stock</t>
        </is>
      </c>
      <c r="B70" t="inlineStr">
        <is>
          <t>Boars: 2 remain.</t>
        </is>
      </c>
      <c r="C70" t="n">
        <v>0</v>
      </c>
      <c r="D70" t="n">
        <v>0</v>
      </c>
      <c r="E70" t="inlineStr">
        <is>
          <t>Boars</t>
        </is>
      </c>
      <c r="F70" t="inlineStr">
        <is>
          <t>2</t>
        </is>
      </c>
    </row>
    <row r="71">
      <c r="A71" t="inlineStr">
        <is>
          <t>Stock</t>
        </is>
      </c>
      <c r="B71" t="inlineStr">
        <is>
          <t>Total, 2. 1 in murrain.</t>
        </is>
      </c>
      <c r="C71" t="n">
        <v>0</v>
      </c>
      <c r="D71" t="n">
        <v>0</v>
      </c>
      <c r="E71" t="inlineStr">
        <is>
          <t>Boars</t>
        </is>
      </c>
      <c r="H71" t="inlineStr">
        <is>
          <t>1</t>
        </is>
      </c>
    </row>
    <row r="72">
      <c r="A72" t="inlineStr">
        <is>
          <t>Stock</t>
        </is>
      </c>
      <c r="B72" t="inlineStr">
        <is>
          <t>1 remains.</t>
        </is>
      </c>
      <c r="C72" t="n">
        <v>0</v>
      </c>
      <c r="D72" t="n">
        <v>0</v>
      </c>
      <c r="E72" t="inlineStr">
        <is>
          <t>Boars</t>
        </is>
      </c>
    </row>
    <row r="73">
      <c r="A73" t="inlineStr">
        <is>
          <t>Stock</t>
        </is>
      </c>
      <c r="B73" t="inlineStr">
        <is>
          <t>Sows: 2 remain.</t>
        </is>
      </c>
      <c r="C73" t="n">
        <v>0</v>
      </c>
      <c r="D73" t="n">
        <v>0</v>
      </c>
      <c r="E73" t="inlineStr">
        <is>
          <t>Sows</t>
        </is>
      </c>
      <c r="F73" t="inlineStr">
        <is>
          <t>2</t>
        </is>
      </c>
    </row>
    <row r="74">
      <c r="A74" t="inlineStr">
        <is>
          <t>Stock</t>
        </is>
      </c>
      <c r="B74" t="inlineStr">
        <is>
          <t>4 additions.</t>
        </is>
      </c>
      <c r="C74" t="n">
        <v>0</v>
      </c>
      <c r="D74" t="n">
        <v>0</v>
      </c>
      <c r="E74" t="inlineStr">
        <is>
          <t>Sows</t>
        </is>
      </c>
    </row>
    <row r="75">
      <c r="A75" t="inlineStr">
        <is>
          <t>Stock</t>
        </is>
      </c>
      <c r="B75" t="inlineStr">
        <is>
          <t>Total, 7. 4 in murrain.</t>
        </is>
      </c>
      <c r="C75" t="n">
        <v>0</v>
      </c>
      <c r="D75" t="n">
        <v>0</v>
      </c>
      <c r="E75" t="inlineStr">
        <is>
          <t>Sows</t>
        </is>
      </c>
      <c r="H75" t="inlineStr">
        <is>
          <t>4</t>
        </is>
      </c>
    </row>
    <row r="76">
      <c r="A76" t="inlineStr">
        <is>
          <t>Stock</t>
        </is>
      </c>
      <c r="B76" t="inlineStr">
        <is>
          <t>Total, 4. 3 remain.</t>
        </is>
      </c>
      <c r="C76" t="n">
        <v>0</v>
      </c>
      <c r="D76" t="n">
        <v>0</v>
      </c>
      <c r="E76" t="inlineStr">
        <is>
          <t>Sows</t>
        </is>
      </c>
    </row>
    <row r="77">
      <c r="A77" t="inlineStr">
        <is>
          <t>Stock</t>
        </is>
      </c>
      <c r="B77" t="inlineStr">
        <is>
          <t>Pigs: 112 remain.</t>
        </is>
      </c>
      <c r="C77" t="n">
        <v>0</v>
      </c>
      <c r="D77" t="n">
        <v>0</v>
      </c>
      <c r="E77" t="inlineStr">
        <is>
          <t>Pigs</t>
        </is>
      </c>
      <c r="F77" t="inlineStr">
        <is>
          <t>112</t>
        </is>
      </c>
    </row>
    <row r="78">
      <c r="A78" t="inlineStr">
        <is>
          <t>Stock</t>
        </is>
      </c>
      <c r="B78" t="inlineStr">
        <is>
          <t>21 added from hoggets.</t>
        </is>
      </c>
      <c r="C78" t="n">
        <v>0</v>
      </c>
      <c r="D78" t="n">
        <v>0</v>
      </c>
      <c r="E78" t="inlineStr">
        <is>
          <t>Pigs</t>
        </is>
      </c>
    </row>
    <row r="79">
      <c r="A79" t="inlineStr">
        <is>
          <t>Stock</t>
        </is>
      </c>
      <c r="B79" t="inlineStr">
        <is>
          <t>Total, 42. 13 in murrain.</t>
        </is>
      </c>
      <c r="C79" t="n">
        <v>0</v>
      </c>
      <c r="D79" t="n">
        <v>0</v>
      </c>
      <c r="E79" t="inlineStr">
        <is>
          <t>Pigs</t>
        </is>
      </c>
      <c r="H79" t="inlineStr">
        <is>
          <t>13</t>
        </is>
      </c>
    </row>
    <row r="80">
      <c r="A80" t="inlineStr">
        <is>
          <t>Stock</t>
        </is>
      </c>
      <c r="B80" t="inlineStr">
        <is>
          <t>8 sold within.</t>
        </is>
      </c>
      <c r="C80" t="n">
        <v>0</v>
      </c>
      <c r="D80" t="n">
        <v>0</v>
      </c>
      <c r="E80" t="inlineStr">
        <is>
          <t>Pigs</t>
        </is>
      </c>
      <c r="I80" t="inlineStr">
        <is>
          <t>8</t>
        </is>
      </c>
    </row>
    <row r="81">
      <c r="A81" t="inlineStr">
        <is>
          <t>Stock</t>
        </is>
      </c>
      <c r="B81" t="inlineStr">
        <is>
          <t>Total, 21. 21 remain.</t>
        </is>
      </c>
      <c r="C81" t="n">
        <v>0</v>
      </c>
      <c r="D81" t="n">
        <v>0</v>
      </c>
      <c r="E81" t="inlineStr">
        <is>
          <t>Pigs</t>
        </is>
      </c>
    </row>
    <row r="82">
      <c r="A82" t="inlineStr">
        <is>
          <t>Stock</t>
        </is>
      </c>
      <c r="B82" t="inlineStr">
        <is>
          <t>Hoggets: 40 remain from the piglets.</t>
        </is>
      </c>
      <c r="C82" t="n">
        <v>0</v>
      </c>
      <c r="D82" t="n">
        <v>0</v>
      </c>
      <c r="E82" t="inlineStr">
        <is>
          <t>Hoggets</t>
        </is>
      </c>
      <c r="F82" t="inlineStr">
        <is>
          <t>40</t>
        </is>
      </c>
    </row>
    <row r="83">
      <c r="A83" t="inlineStr">
        <is>
          <t>Stock</t>
        </is>
      </c>
      <c r="B83" t="inlineStr">
        <is>
          <t>Total, 40. 15 in murrain.</t>
        </is>
      </c>
      <c r="C83" t="n">
        <v>0</v>
      </c>
      <c r="D83" t="n">
        <v>0</v>
      </c>
      <c r="E83" t="inlineStr">
        <is>
          <t>Hoggets</t>
        </is>
      </c>
      <c r="H83" t="inlineStr">
        <is>
          <t>15</t>
        </is>
      </c>
    </row>
    <row r="84">
      <c r="A84" t="inlineStr">
        <is>
          <t>Stock</t>
        </is>
      </c>
      <c r="B84" t="inlineStr">
        <is>
          <t>4 added above to sows and 21 to pigs.</t>
        </is>
      </c>
      <c r="C84" t="n">
        <v>0</v>
      </c>
      <c r="D84" t="n">
        <v>0</v>
      </c>
      <c r="E84" t="inlineStr">
        <is>
          <t>Hoggets</t>
        </is>
      </c>
    </row>
    <row r="85">
      <c r="A85" t="inlineStr">
        <is>
          <t>Stock</t>
        </is>
      </c>
      <c r="B85" t="inlineStr">
        <is>
          <t>Total as before.</t>
        </is>
      </c>
      <c r="C85" t="n">
        <v>0</v>
      </c>
      <c r="D85" t="n">
        <v>0</v>
      </c>
      <c r="E85" t="inlineStr">
        <is>
          <t>Hoggets</t>
        </is>
      </c>
    </row>
    <row r="86">
      <c r="A86" t="inlineStr">
        <is>
          <t>Stock</t>
        </is>
      </c>
      <c r="B86" t="inlineStr">
        <is>
          <t>None remain.</t>
        </is>
      </c>
      <c r="C86" t="n">
        <v>0</v>
      </c>
      <c r="D86" t="n">
        <v>0</v>
      </c>
      <c r="E86" t="inlineStr">
        <is>
          <t>Hoggets</t>
        </is>
      </c>
    </row>
    <row r="87">
      <c r="A87" t="inlineStr">
        <is>
          <t>Stock</t>
        </is>
      </c>
      <c r="B87" t="inlineStr">
        <is>
          <t>Piglets: 45 from the offspring of the said 3 sows.</t>
        </is>
      </c>
      <c r="C87" t="n">
        <v>0</v>
      </c>
      <c r="D87" t="n">
        <v>0</v>
      </c>
      <c r="E87" t="inlineStr">
        <is>
          <t>Piglets</t>
        </is>
      </c>
      <c r="G87" t="inlineStr">
        <is>
          <t>45</t>
        </is>
      </c>
    </row>
    <row r="88">
      <c r="A88" t="inlineStr">
        <is>
          <t>Stock</t>
        </is>
      </c>
      <c r="B88" t="inlineStr">
        <is>
          <t>Total, 45. 4 in tithe.</t>
        </is>
      </c>
      <c r="C88" t="n">
        <v>0</v>
      </c>
      <c r="D88" t="n">
        <v>0</v>
      </c>
      <c r="E88" t="inlineStr">
        <is>
          <t>Piglets</t>
        </is>
      </c>
    </row>
    <row r="89">
      <c r="A89" t="inlineStr">
        <is>
          <t>Stock</t>
        </is>
      </c>
      <c r="B89" t="inlineStr">
        <is>
          <t>1 in agreement with the swineherd.</t>
        </is>
      </c>
      <c r="C89" t="n">
        <v>0</v>
      </c>
      <c r="D89" t="n">
        <v>0</v>
      </c>
      <c r="E89" t="inlineStr">
        <is>
          <t>Piglets</t>
        </is>
      </c>
    </row>
    <row r="90">
      <c r="A90" t="inlineStr">
        <is>
          <t>Stock</t>
        </is>
      </c>
      <c r="B90" t="inlineStr">
        <is>
          <t>Total, 5. 40 remain.</t>
        </is>
      </c>
      <c r="C90" t="n">
        <v>0</v>
      </c>
      <c r="D90" t="n">
        <v>0</v>
      </c>
      <c r="E90" t="inlineStr">
        <is>
          <t>Piglets</t>
        </is>
      </c>
      <c r="F90" t="inlineStr">
        <is>
          <t>40</t>
        </is>
      </c>
    </row>
    <row r="91">
      <c r="A91" t="inlineStr">
        <is>
          <t>Stock</t>
        </is>
      </c>
      <c r="B91" t="inlineStr">
        <is>
          <t>Hides: 2 from horses, 5 from oxen, 6 from cows, 1 from a bullock and 1 from a yearling in murrain as made clear above.</t>
        </is>
      </c>
      <c r="C91" t="n">
        <v>0</v>
      </c>
      <c r="D91" t="n">
        <v>0</v>
      </c>
      <c r="E91" t="inlineStr">
        <is>
          <t>Piglets</t>
        </is>
      </c>
      <c r="H91" t="inlineStr">
        <is>
          <t>1</t>
        </is>
      </c>
    </row>
    <row r="92">
      <c r="A92" t="inlineStr">
        <is>
          <t>Stock</t>
        </is>
      </c>
      <c r="B92" t="inlineStr">
        <is>
          <t>Total, 15. Sold within.</t>
        </is>
      </c>
      <c r="C92" t="n">
        <v>0</v>
      </c>
      <c r="D92" t="n">
        <v>0</v>
      </c>
      <c r="E92" t="inlineStr">
        <is>
          <t>Piglets</t>
        </is>
      </c>
    </row>
    <row r="93">
      <c r="A93" t="inlineStr">
        <is>
          <t>Stock</t>
        </is>
      </c>
      <c r="B93" t="inlineStr">
        <is>
          <t>none remain.</t>
        </is>
      </c>
      <c r="C93" t="n">
        <v>0</v>
      </c>
      <c r="D93" t="n">
        <v>0</v>
      </c>
      <c r="E93" t="inlineStr">
        <is>
          <t>Piglets</t>
        </is>
      </c>
    </row>
    <row r="94">
      <c r="A94" t="inlineStr">
        <is>
          <t>Stock</t>
        </is>
      </c>
      <c r="B94" t="inlineStr">
        <is>
          <t>Coarse wool: 293 fleeces from wethers, 4 from rams, 176 from ewes and 113 from hoggs produced at the shearing this year.</t>
        </is>
      </c>
      <c r="C94" t="n">
        <v>0</v>
      </c>
      <c r="D94" t="n">
        <v>0</v>
      </c>
      <c r="E94" t="inlineStr">
        <is>
          <t>Coarse wool</t>
        </is>
      </c>
    </row>
    <row r="95">
      <c r="A95" t="inlineStr">
        <is>
          <t>Stock</t>
        </is>
      </c>
      <c r="B95" t="inlineStr">
        <is>
          <t>Total, 586. 56 in tithe.</t>
        </is>
      </c>
      <c r="C95" t="n">
        <v>0</v>
      </c>
      <c r="D95" t="n">
        <v>0</v>
      </c>
      <c r="E95" t="inlineStr">
        <is>
          <t>Coarse wool</t>
        </is>
      </c>
    </row>
    <row r="96">
      <c r="A96" t="inlineStr">
        <is>
          <t>Stock</t>
        </is>
      </c>
      <c r="B96" t="inlineStr">
        <is>
          <t>1 in agreement with the shepherd of wethers.</t>
        </is>
      </c>
      <c r="C96" t="n">
        <v>0</v>
      </c>
      <c r="D96" t="n">
        <v>0</v>
      </c>
      <c r="E96" t="inlineStr">
        <is>
          <t>Coarse wool</t>
        </is>
      </c>
    </row>
    <row r="97">
      <c r="A97" t="inlineStr">
        <is>
          <t>Stock</t>
        </is>
      </c>
      <c r="B97" t="inlineStr">
        <is>
          <t>1 in agreement with the shepherd of ewes.</t>
        </is>
      </c>
      <c r="C97" t="n">
        <v>0</v>
      </c>
      <c r="D97" t="n">
        <v>0</v>
      </c>
      <c r="E97" t="inlineStr">
        <is>
          <t>Coarse wool</t>
        </is>
      </c>
    </row>
    <row r="98">
      <c r="A98" t="inlineStr">
        <is>
          <t>Stock</t>
        </is>
      </c>
      <c r="B98" t="inlineStr">
        <is>
          <t>527 delivered to Wargrave, weighing 1 sack 37 cloves.</t>
        </is>
      </c>
      <c r="C98" t="n">
        <v>0</v>
      </c>
      <c r="D98" t="n">
        <v>0</v>
      </c>
      <c r="E98" t="inlineStr">
        <is>
          <t>Coarse wool</t>
        </is>
      </c>
    </row>
    <row r="99">
      <c r="A99" t="inlineStr">
        <is>
          <t>Stock</t>
        </is>
      </c>
      <c r="B99" t="inlineStr">
        <is>
          <t>Total as before.</t>
        </is>
      </c>
      <c r="C99" t="n">
        <v>0</v>
      </c>
      <c r="D99" t="n">
        <v>0</v>
      </c>
      <c r="E99" t="inlineStr">
        <is>
          <t>Coarse wool</t>
        </is>
      </c>
    </row>
    <row r="100">
      <c r="A100" t="inlineStr">
        <is>
          <t>Stock</t>
        </is>
      </c>
      <c r="B100" t="inlineStr">
        <is>
          <t>None remains.</t>
        </is>
      </c>
      <c r="C100" t="n">
        <v>0</v>
      </c>
      <c r="D100" t="n">
        <v>0</v>
      </c>
      <c r="E100" t="inlineStr">
        <is>
          <t>Coarse wool</t>
        </is>
      </c>
    </row>
    <row r="101">
      <c r="A101" t="inlineStr">
        <is>
          <t>Stock</t>
        </is>
      </c>
      <c r="B101" t="inlineStr">
        <is>
          <t>Wool locks: nothing this year because entangled with the fleeces.</t>
        </is>
      </c>
      <c r="C101" t="n">
        <v>0</v>
      </c>
      <c r="D101" t="n">
        <v>0</v>
      </c>
      <c r="E101" t="inlineStr">
        <is>
          <t>Wool locks</t>
        </is>
      </c>
    </row>
    <row r="102">
      <c r="A102" t="inlineStr">
        <is>
          <t>Stock</t>
        </is>
      </c>
      <c r="B102" t="inlineStr">
        <is>
          <t>Woolskins: 21 from wethers, 1 from a ram, 12 from ewes and 8 from hoggs in murrain before shearing as made clear above.</t>
        </is>
      </c>
      <c r="C102" t="n">
        <v>0</v>
      </c>
      <c r="D102" t="n">
        <v>0</v>
      </c>
      <c r="E102" t="inlineStr">
        <is>
          <t>Woolskins</t>
        </is>
      </c>
      <c r="H102" t="inlineStr">
        <is>
          <t>12</t>
        </is>
      </c>
    </row>
    <row r="103">
      <c r="A103" t="inlineStr">
        <is>
          <t>Stock</t>
        </is>
      </c>
      <c r="B103" t="inlineStr">
        <is>
          <t>Total, 42. 4 in tithe.</t>
        </is>
      </c>
      <c r="C103" t="n">
        <v>0</v>
      </c>
      <c r="D103" t="n">
        <v>0</v>
      </c>
      <c r="E103" t="inlineStr">
        <is>
          <t>Woolskins</t>
        </is>
      </c>
    </row>
    <row r="104">
      <c r="A104" t="inlineStr">
        <is>
          <t>Stock</t>
        </is>
      </c>
      <c r="B104" t="inlineStr">
        <is>
          <t>38 sold within.</t>
        </is>
      </c>
      <c r="C104" t="n">
        <v>0</v>
      </c>
      <c r="D104" t="n">
        <v>0</v>
      </c>
      <c r="E104" t="inlineStr">
        <is>
          <t>Woolskins</t>
        </is>
      </c>
      <c r="I104" t="inlineStr">
        <is>
          <t>38</t>
        </is>
      </c>
    </row>
    <row r="105">
      <c r="A105" t="inlineStr">
        <is>
          <t>Stock</t>
        </is>
      </c>
      <c r="B105" t="inlineStr">
        <is>
          <t>Total as before.</t>
        </is>
      </c>
      <c r="C105" t="n">
        <v>0</v>
      </c>
      <c r="D105" t="n">
        <v>0</v>
      </c>
      <c r="E105" t="inlineStr">
        <is>
          <t>Woolskins</t>
        </is>
      </c>
    </row>
    <row r="106">
      <c r="A106" t="inlineStr">
        <is>
          <t>Stock</t>
        </is>
      </c>
      <c r="B106" t="inlineStr">
        <is>
          <t>None remain.</t>
        </is>
      </c>
      <c r="C106" t="n">
        <v>0</v>
      </c>
      <c r="D106" t="n">
        <v>0</v>
      </c>
      <c r="E106" t="inlineStr">
        <is>
          <t>Woolskins</t>
        </is>
      </c>
    </row>
    <row r="107">
      <c r="A107" t="inlineStr">
        <is>
          <t>Stock</t>
        </is>
      </c>
      <c r="B107" t="inlineStr">
        <is>
          <t>Bare skins: 9 from wethers, 16 from ewes and 4 from hoggs in murrain after shearing as made clear above.</t>
        </is>
      </c>
      <c r="C107" t="n">
        <v>0</v>
      </c>
      <c r="D107" t="n">
        <v>0</v>
      </c>
      <c r="E107" t="inlineStr">
        <is>
          <t>Bareskins</t>
        </is>
      </c>
      <c r="H107" t="inlineStr">
        <is>
          <t>16</t>
        </is>
      </c>
    </row>
    <row r="108">
      <c r="A108" t="inlineStr">
        <is>
          <t>Stock</t>
        </is>
      </c>
      <c r="B108" t="inlineStr">
        <is>
          <t>Total, 29. Sold within.</t>
        </is>
      </c>
      <c r="C108" t="n">
        <v>0</v>
      </c>
      <c r="D108" t="n">
        <v>0</v>
      </c>
      <c r="E108" t="inlineStr">
        <is>
          <t>Bareskins</t>
        </is>
      </c>
    </row>
    <row r="109">
      <c r="A109" t="inlineStr">
        <is>
          <t>Stock</t>
        </is>
      </c>
      <c r="B109" t="inlineStr">
        <is>
          <t>none remain.</t>
        </is>
      </c>
      <c r="C109" t="n">
        <v>0</v>
      </c>
      <c r="D109" t="n">
        <v>0</v>
      </c>
      <c r="E109" t="inlineStr">
        <is>
          <t>Bareskins</t>
        </is>
      </c>
    </row>
    <row r="110">
      <c r="A110" t="inlineStr">
        <is>
          <t>Stock</t>
        </is>
      </c>
      <c r="B110" t="inlineStr">
        <is>
          <t>Lambskins: 18 from lambs in murrain before weaning and 12 after weaning.</t>
        </is>
      </c>
      <c r="C110" t="n">
        <v>0</v>
      </c>
      <c r="D110" t="n">
        <v>0</v>
      </c>
      <c r="E110" t="inlineStr">
        <is>
          <t>Lambskins</t>
        </is>
      </c>
      <c r="H110" t="inlineStr">
        <is>
          <t>18</t>
        </is>
      </c>
    </row>
    <row r="111">
      <c r="A111" t="inlineStr">
        <is>
          <t>Stock</t>
        </is>
      </c>
      <c r="B111" t="inlineStr">
        <is>
          <t>Total, 30. Sold within.</t>
        </is>
      </c>
      <c r="C111" t="n">
        <v>0</v>
      </c>
      <c r="D111" t="n">
        <v>0</v>
      </c>
      <c r="E111" t="inlineStr">
        <is>
          <t>Lambskins</t>
        </is>
      </c>
    </row>
    <row r="112">
      <c r="A112" t="inlineStr">
        <is>
          <t>Stock</t>
        </is>
      </c>
      <c r="B112" t="inlineStr">
        <is>
          <t>5 none remain.</t>
        </is>
      </c>
      <c r="C112" t="n">
        <v>0</v>
      </c>
      <c r="D112" t="n">
        <v>0</v>
      </c>
      <c r="E112" t="inlineStr">
        <is>
          <t>Lambskins</t>
        </is>
      </c>
      <c r="F112" t="inlineStr">
        <is>
          <t>5</t>
        </is>
      </c>
    </row>
    <row r="113">
      <c r="A113" t="inlineStr">
        <is>
          <t>Stock</t>
        </is>
      </c>
      <c r="B113" t="inlineStr">
        <is>
          <t>Geese: 1 gander and 4 breeding geese ramin.</t>
        </is>
      </c>
      <c r="C113" t="n">
        <v>0</v>
      </c>
      <c r="D113" t="n">
        <v>0</v>
      </c>
      <c r="E113" t="inlineStr">
        <is>
          <t>Poultry stock</t>
        </is>
      </c>
    </row>
    <row r="114">
      <c r="A114" t="inlineStr">
        <is>
          <t>Stock</t>
        </is>
      </c>
      <c r="B114" t="inlineStr">
        <is>
          <t>22 offspring.</t>
        </is>
      </c>
      <c r="C114" t="n">
        <v>0</v>
      </c>
      <c r="D114" t="n">
        <v>0</v>
      </c>
      <c r="E114" t="inlineStr">
        <is>
          <t>Poultry stock</t>
        </is>
      </c>
      <c r="G114" t="inlineStr">
        <is>
          <t>22</t>
        </is>
      </c>
    </row>
    <row r="115">
      <c r="A115" t="inlineStr">
        <is>
          <t>Stock</t>
        </is>
      </c>
      <c r="B115" t="inlineStr">
        <is>
          <t>Total, 27. 2 in tithe.</t>
        </is>
      </c>
      <c r="C115" t="n">
        <v>0</v>
      </c>
      <c r="D115" t="n">
        <v>0</v>
      </c>
      <c r="E115" t="inlineStr">
        <is>
          <t>Poultry stock</t>
        </is>
      </c>
    </row>
    <row r="116">
      <c r="A116" t="inlineStr">
        <is>
          <t>Stock</t>
        </is>
      </c>
      <c r="B116" t="inlineStr">
        <is>
          <t>20 sold within.</t>
        </is>
      </c>
      <c r="C116" t="n">
        <v>0</v>
      </c>
      <c r="D116" t="n">
        <v>0</v>
      </c>
      <c r="E116" t="inlineStr">
        <is>
          <t>Poultry stock</t>
        </is>
      </c>
      <c r="I116" t="inlineStr">
        <is>
          <t>20</t>
        </is>
      </c>
    </row>
    <row r="117">
      <c r="A117" t="inlineStr">
        <is>
          <t>Stock</t>
        </is>
      </c>
      <c r="B117" t="inlineStr">
        <is>
          <t>Total, 22. 1 gander and 4 breeding geese remain.</t>
        </is>
      </c>
      <c r="C117" t="n">
        <v>0</v>
      </c>
      <c r="D117" t="n">
        <v>0</v>
      </c>
      <c r="E117" t="inlineStr">
        <is>
          <t>Poultry stock</t>
        </is>
      </c>
      <c r="F117" t="inlineStr">
        <is>
          <t>1</t>
        </is>
      </c>
    </row>
    <row r="118">
      <c r="A118" t="inlineStr">
        <is>
          <t>Stock</t>
        </is>
      </c>
      <c r="B118" t="inlineStr">
        <is>
          <t>Capons: 24 remain.</t>
        </is>
      </c>
      <c r="C118" t="n">
        <v>0</v>
      </c>
      <c r="D118" t="n">
        <v>0</v>
      </c>
      <c r="E118" t="inlineStr">
        <is>
          <t>Poultry stock</t>
        </is>
      </c>
    </row>
    <row r="119">
      <c r="A119" t="inlineStr">
        <is>
          <t>Stock</t>
        </is>
      </c>
      <c r="B119" t="inlineStr">
        <is>
          <t>24 made from the chickens below.</t>
        </is>
      </c>
      <c r="C119" t="n">
        <v>0</v>
      </c>
      <c r="D119" t="n">
        <v>0</v>
      </c>
      <c r="E119" t="inlineStr">
        <is>
          <t>Poultry stock</t>
        </is>
      </c>
    </row>
    <row r="120">
      <c r="A120" t="inlineStr">
        <is>
          <t>Stock</t>
        </is>
      </c>
      <c r="B120" t="inlineStr">
        <is>
          <t>Total, 48. 24 sold within, 2 of them to the lord’s household.</t>
        </is>
      </c>
      <c r="C120" t="n">
        <v>0</v>
      </c>
      <c r="D120" t="n">
        <v>0</v>
      </c>
      <c r="E120" t="inlineStr">
        <is>
          <t>Poultry stock</t>
        </is>
      </c>
      <c r="I120" t="inlineStr">
        <is>
          <t>24</t>
        </is>
      </c>
    </row>
    <row r="121">
      <c r="A121" t="inlineStr">
        <is>
          <t>Stock</t>
        </is>
      </c>
      <c r="B121" t="inlineStr">
        <is>
          <t>Total, 24. 24 remain.</t>
        </is>
      </c>
      <c r="C121" t="n">
        <v>0</v>
      </c>
      <c r="D121" t="n">
        <v>0</v>
      </c>
      <c r="E121" t="inlineStr">
        <is>
          <t>Poultry stock</t>
        </is>
      </c>
    </row>
    <row r="122">
      <c r="A122" t="inlineStr">
        <is>
          <t>Stock</t>
        </is>
      </c>
      <c r="B122" t="inlineStr">
        <is>
          <t>Cocks and hens: 1 cock and 5 hens.</t>
        </is>
      </c>
      <c r="C122" t="n">
        <v>0</v>
      </c>
      <c r="D122" t="n">
        <v>0</v>
      </c>
      <c r="E122" t="inlineStr">
        <is>
          <t>Poultry stock</t>
        </is>
      </c>
    </row>
    <row r="123">
      <c r="A123" t="inlineStr">
        <is>
          <t>Stock</t>
        </is>
      </c>
      <c r="B123" t="inlineStr">
        <is>
          <t>Total, 6. 1 cock and 5 hens remain.</t>
        </is>
      </c>
      <c r="C123" t="n">
        <v>0</v>
      </c>
      <c r="D123" t="n">
        <v>0</v>
      </c>
      <c r="E123" t="inlineStr">
        <is>
          <t>Poultry stock</t>
        </is>
      </c>
    </row>
    <row r="124">
      <c r="A124" t="inlineStr">
        <is>
          <t>Stock</t>
        </is>
      </c>
      <c r="B124" t="inlineStr">
        <is>
          <t>Chicken: 24 from the offspring of the said hens.</t>
        </is>
      </c>
      <c r="C124" t="n">
        <v>0</v>
      </c>
      <c r="D124" t="n">
        <v>0</v>
      </c>
      <c r="E124" t="inlineStr">
        <is>
          <t>Poultry stock</t>
        </is>
      </c>
      <c r="G124" t="inlineStr">
        <is>
          <t>24</t>
        </is>
      </c>
    </row>
    <row r="125">
      <c r="A125" t="inlineStr">
        <is>
          <t>Stock</t>
        </is>
      </c>
      <c r="B125" t="inlineStr">
        <is>
          <t>all turned into capons above.</t>
        </is>
      </c>
      <c r="C125" t="n">
        <v>0</v>
      </c>
      <c r="D125" t="n">
        <v>0</v>
      </c>
      <c r="E125" t="inlineStr">
        <is>
          <t>Poultry stock</t>
        </is>
      </c>
    </row>
    <row r="126">
      <c r="A126" t="inlineStr">
        <is>
          <t>Stock</t>
        </is>
      </c>
      <c r="B126" t="inlineStr">
        <is>
          <t>none remain.</t>
        </is>
      </c>
      <c r="C126" t="n">
        <v>0</v>
      </c>
      <c r="D126" t="n">
        <v>0</v>
      </c>
      <c r="E126" t="inlineStr">
        <is>
          <t>Poultry stock</t>
        </is>
      </c>
    </row>
    <row r="127">
      <c r="A127" t="inlineStr">
        <is>
          <t>Stock</t>
        </is>
      </c>
      <c r="B127" t="inlineStr">
        <is>
          <t>Eggs: 200 produced by the hens.</t>
        </is>
      </c>
      <c r="C127" t="n">
        <v>0</v>
      </c>
      <c r="D127" t="n">
        <v>0</v>
      </c>
      <c r="E127" t="inlineStr">
        <is>
          <t>Poultry production</t>
        </is>
      </c>
    </row>
    <row r="128">
      <c r="A128" t="inlineStr">
        <is>
          <t>Stock</t>
        </is>
      </c>
      <c r="B128" t="inlineStr">
        <is>
          <t>303 from the beadle according to custom at Easter..</t>
        </is>
      </c>
      <c r="C128" t="n">
        <v>0</v>
      </c>
      <c r="D128" t="n">
        <v>0</v>
      </c>
      <c r="E128" t="inlineStr">
        <is>
          <t>Poultry production</t>
        </is>
      </c>
    </row>
    <row r="129">
      <c r="A129" t="inlineStr">
        <is>
          <t>Stock</t>
        </is>
      </c>
      <c r="B129" t="inlineStr">
        <is>
          <t>Total, 503. Sold within.</t>
        </is>
      </c>
      <c r="C129" t="n">
        <v>0</v>
      </c>
      <c r="D129" t="n">
        <v>0</v>
      </c>
      <c r="E129" t="inlineStr">
        <is>
          <t>Poultry production</t>
        </is>
      </c>
    </row>
    <row r="130">
      <c r="A130" t="inlineStr">
        <is>
          <t>Stock</t>
        </is>
      </c>
      <c r="B130" t="inlineStr">
        <is>
          <t>none remain.</t>
        </is>
      </c>
      <c r="C130" t="n">
        <v>0</v>
      </c>
      <c r="D130" t="n">
        <v>0</v>
      </c>
      <c r="E130" t="inlineStr">
        <is>
          <t>Poultry production</t>
        </is>
      </c>
    </row>
    <row r="131">
      <c r="A131" t="inlineStr">
        <is>
          <t>Stock</t>
        </is>
      </c>
      <c r="B131" t="inlineStr">
        <is>
          <t>Ploughshares: 1 for the rent of Thomas Hastyng' for the tenement which belonged to.</t>
        </is>
      </c>
      <c r="C131" t="n">
        <v>0</v>
      </c>
      <c r="D131" t="n">
        <v>0</v>
      </c>
      <c r="E131" t="inlineStr">
        <is>
          <t>Poultry production</t>
        </is>
      </c>
    </row>
    <row r="132">
      <c r="A132" t="inlineStr">
        <is>
          <t>Stock</t>
        </is>
      </c>
      <c r="B132" t="inlineStr">
        <is>
          <t>William Sawell'.</t>
        </is>
      </c>
      <c r="C132" t="n">
        <v>0</v>
      </c>
      <c r="D132" t="n">
        <v>0</v>
      </c>
      <c r="E132" t="inlineStr">
        <is>
          <t>Poultry production</t>
        </is>
      </c>
    </row>
    <row r="133">
      <c r="A133" t="inlineStr">
        <is>
          <t>Stock</t>
        </is>
      </c>
      <c r="B133" t="inlineStr">
        <is>
          <t>used for ploughs.</t>
        </is>
      </c>
      <c r="C133" t="n">
        <v>0</v>
      </c>
      <c r="D133" t="n">
        <v>0</v>
      </c>
      <c r="E133" t="inlineStr">
        <is>
          <t>Poultry production</t>
        </is>
      </c>
    </row>
    <row r="134">
      <c r="A134" t="inlineStr">
        <is>
          <t>Stock</t>
        </is>
      </c>
      <c r="B134" t="inlineStr">
        <is>
          <t>Cheese: Nothing of the issue of the dairy here because at farm in the cash account within, at 5 shilling a cow with calf.</t>
        </is>
      </c>
      <c r="C134" t="n">
        <v>0</v>
      </c>
      <c r="D134" t="n">
        <v>0</v>
      </c>
      <c r="E134" t="inlineStr">
        <is>
          <t>Poultry production</t>
        </is>
      </c>
    </row>
    <row r="135">
      <c r="A135" t="inlineStr">
        <is>
          <t>Stock</t>
        </is>
      </c>
      <c r="B135" t="inlineStr">
        <is>
          <t>Nothing of the issue of the garden this year because there was no fruit.</t>
        </is>
      </c>
      <c r="C135" t="n">
        <v>0</v>
      </c>
      <c r="D135" t="n">
        <v>0</v>
      </c>
      <c r="E135" t="inlineStr">
        <is>
          <t>Poultry production</t>
        </is>
      </c>
    </row>
    <row r="136">
      <c r="A136" t="inlineStr">
        <is>
          <t>Stock</t>
        </is>
      </c>
      <c r="B136" t="inlineStr">
        <is>
          <t>Nothing of the labour services of the customary tenants here, apart from 20 reaping services which were sold under the heading, sales at the audit, for 1 shilling 8pence, and 16 manual labour services which were sold for 1 shilling 4pence as made clear under the aforesaid heading, for all the other labour services are to be found in the pipe roll for the first year of the translation of the lord Henry Beaufort.</t>
        </is>
      </c>
      <c r="C136" t="n">
        <v>0</v>
      </c>
      <c r="D136" t="n">
        <v>0</v>
      </c>
      <c r="E136" t="inlineStr">
        <is>
          <t>Poultry production</t>
        </is>
      </c>
      <c r="I136" t="inlineStr">
        <is>
          <t>20</t>
        </is>
      </c>
    </row>
    <row r="137">
      <c r="A137" t="inlineStr">
        <is>
          <t>Stock</t>
        </is>
      </c>
      <c r="B137" t="inlineStr">
        <is>
          <t>Labour services done in common: And know that 6 cottagers will drive the lord's pigs or carry eggs, geese or hens for a distance of 30 miles, and if they should go beyond this they will go at the lord's cost, and if a thief should be taken and detained in prison they should keep him there.</t>
        </is>
      </c>
      <c r="C137" t="n">
        <v>0</v>
      </c>
      <c r="D137" t="n">
        <v>0</v>
      </c>
      <c r="E137" t="inlineStr">
        <is>
          <t>Poultry production</t>
        </is>
      </c>
    </row>
    <row r="138">
      <c r="A138" t="inlineStr">
        <is>
          <t>Stock</t>
        </is>
      </c>
      <c r="B138" t="inlineStr">
        <is>
          <t>Total</t>
        </is>
      </c>
      <c r="C138" t="n">
        <v>0</v>
      </c>
      <c r="D138" t="n">
        <v>0</v>
      </c>
      <c r="E138" t="inlineStr">
        <is>
          <t>Poultry production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W52"/>
  <sheetViews>
    <sheetView workbookViewId="0">
      <selection activeCell="A1" sqref="A1"/>
    </sheetView>
  </sheetViews>
  <sheetFormatPr baseColWidth="8" defaultRowHeight="15"/>
  <sheetData>
    <row r="1">
      <c r="A1" t="inlineStr">
        <is>
          <t>Heading</t>
        </is>
      </c>
      <c r="B1" t="inlineStr">
        <is>
          <t>Sentence</t>
        </is>
      </c>
      <c r="C1" t="inlineStr">
        <is>
          <t>Quarters 1_x</t>
        </is>
      </c>
      <c r="D1" t="inlineStr">
        <is>
          <t>Bushels 1_x</t>
        </is>
      </c>
      <c r="E1" t="inlineStr">
        <is>
          <t>Sown Quarters</t>
        </is>
      </c>
      <c r="F1" t="inlineStr">
        <is>
          <t>Sown Bushels</t>
        </is>
      </c>
      <c r="G1" t="inlineStr">
        <is>
          <t>Sown Total Quarters</t>
        </is>
      </c>
      <c r="H1" t="inlineStr">
        <is>
          <t>Bought in Quarters</t>
        </is>
      </c>
      <c r="I1" t="inlineStr">
        <is>
          <t>Bought in Bushels</t>
        </is>
      </c>
      <c r="J1" t="inlineStr">
        <is>
          <t>Bought in Total Quarters</t>
        </is>
      </c>
      <c r="K1" t="inlineStr">
        <is>
          <t>Tithe Quarters</t>
        </is>
      </c>
      <c r="L1" t="inlineStr">
        <is>
          <t>Tithe Bushels</t>
        </is>
      </c>
      <c r="M1" t="inlineStr">
        <is>
          <t>Tithe Total Quarters</t>
        </is>
      </c>
      <c r="N1" t="inlineStr">
        <is>
          <t>Manorial servants &amp; livestock Quarters</t>
        </is>
      </c>
      <c r="O1" t="inlineStr">
        <is>
          <t>Manorial servants &amp; livestock Bushels</t>
        </is>
      </c>
      <c r="P1" t="inlineStr">
        <is>
          <t>Manorial servants &amp; livestock Total Quarters</t>
        </is>
      </c>
      <c r="Q1" t="inlineStr">
        <is>
          <t>Sold Quarters</t>
        </is>
      </c>
      <c r="R1" t="inlineStr">
        <is>
          <t>Sold Bushels</t>
        </is>
      </c>
      <c r="S1" t="inlineStr">
        <is>
          <t>Sold Total Quarters</t>
        </is>
      </c>
      <c r="T1" t="inlineStr">
        <is>
          <t>Account Quarters</t>
        </is>
      </c>
      <c r="U1" t="inlineStr">
        <is>
          <t>Account Bushels</t>
        </is>
      </c>
      <c r="V1" t="inlineStr">
        <is>
          <t>Account Total Quarters</t>
        </is>
      </c>
      <c r="W1" t="inlineStr">
        <is>
          <t>bought only</t>
        </is>
      </c>
      <c r="X1" t="inlineStr">
        <is>
          <t>Total Quarters Except 1</t>
        </is>
      </c>
      <c r="Y1" t="inlineStr">
        <is>
          <t>Total Bushels Except 1</t>
        </is>
      </c>
      <c r="Z1" t="inlineStr">
        <is>
          <t>Total Corn Cross-Check</t>
        </is>
      </c>
      <c r="AA1" t="inlineStr">
        <is>
          <t>Total Corn Manorial Account</t>
        </is>
      </c>
      <c r="AB1" t="inlineStr">
        <is>
          <t>Corn Quantity Error</t>
        </is>
      </c>
      <c r="AC1" t="inlineStr">
        <is>
          <t>Quarters 1_y</t>
        </is>
      </c>
      <c r="AD1" t="inlineStr">
        <is>
          <t>Bushels 1_y</t>
        </is>
      </c>
      <c r="AE1" t="inlineStr">
        <is>
          <t>Quarters 2</t>
        </is>
      </c>
      <c r="AF1" t="inlineStr">
        <is>
          <t>Bushels 2</t>
        </is>
      </c>
      <c r="AG1" t="inlineStr">
        <is>
          <t>Quarters 3</t>
        </is>
      </c>
      <c r="AH1" t="inlineStr">
        <is>
          <t>Bushels 3</t>
        </is>
      </c>
      <c r="AI1" t="inlineStr">
        <is>
          <t>Quarters 4</t>
        </is>
      </c>
      <c r="AJ1" t="inlineStr">
        <is>
          <t>Bushels 4</t>
        </is>
      </c>
      <c r="AK1" t="inlineStr">
        <is>
          <t>Quarters 5</t>
        </is>
      </c>
      <c r="AL1" t="inlineStr">
        <is>
          <t>Bushels 5</t>
        </is>
      </c>
      <c r="AM1" t="inlineStr">
        <is>
          <t>Quarters 6</t>
        </is>
      </c>
      <c r="AN1" t="inlineStr">
        <is>
          <t>Bushels 6</t>
        </is>
      </c>
      <c r="AO1" t="inlineStr">
        <is>
          <t>Quarters 7</t>
        </is>
      </c>
      <c r="AP1" t="inlineStr">
        <is>
          <t>Bushels 7</t>
        </is>
      </c>
      <c r="AQ1" t="inlineStr">
        <is>
          <t>Quarters 8</t>
        </is>
      </c>
      <c r="AR1" t="inlineStr">
        <is>
          <t>Bushels 8</t>
        </is>
      </c>
      <c r="AS1" t="inlineStr">
        <is>
          <t>Quarters 9</t>
        </is>
      </c>
      <c r="AT1" t="inlineStr">
        <is>
          <t>Bushels 9</t>
        </is>
      </c>
      <c r="AU1" t="inlineStr">
        <is>
          <t>Quarters 10</t>
        </is>
      </c>
      <c r="AV1" t="inlineStr">
        <is>
          <t>Bushels 10</t>
        </is>
      </c>
      <c r="AW1" t="inlineStr">
        <is>
          <t>Total Bought Quarters</t>
        </is>
      </c>
    </row>
    <row r="2">
      <c r="A2" t="inlineStr">
        <is>
          <t>and he owes</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AW2" t="n">
        <v>0</v>
      </c>
    </row>
    <row r="3">
      <c r="A3" t="inlineStr">
        <is>
          <t>wheat</t>
        </is>
      </c>
      <c r="B3" t="inlineStr">
        <is>
          <t>richard baldewyn, reeve there, answers for 34 quarters of wheat from the whole issue of the grange, threshed by piece-work.</t>
        </is>
      </c>
      <c r="C3" t="n">
        <v>0</v>
      </c>
      <c r="D3" t="n">
        <v>0</v>
      </c>
      <c r="E3" t="n">
        <v>0</v>
      </c>
      <c r="F3" t="n">
        <v>0</v>
      </c>
      <c r="G3" t="n">
        <v>0</v>
      </c>
      <c r="H3" t="n">
        <v>0</v>
      </c>
      <c r="I3" t="n">
        <v>0</v>
      </c>
      <c r="J3" t="n">
        <v>0</v>
      </c>
      <c r="K3" t="n">
        <v>0</v>
      </c>
      <c r="L3" t="n">
        <v>0</v>
      </c>
      <c r="M3" t="n">
        <v>0</v>
      </c>
      <c r="N3" t="n">
        <v>0</v>
      </c>
      <c r="O3" t="n">
        <v>0</v>
      </c>
      <c r="P3" t="n">
        <v>0</v>
      </c>
      <c r="Q3" t="n">
        <v>0</v>
      </c>
      <c r="R3" t="n">
        <v>0</v>
      </c>
      <c r="S3" t="n">
        <v>0</v>
      </c>
      <c r="T3" t="n">
        <v>34</v>
      </c>
      <c r="U3" t="n">
        <v>0</v>
      </c>
      <c r="V3" t="n">
        <v>34</v>
      </c>
      <c r="W3" t="n">
        <v>0</v>
      </c>
      <c r="X3" t="n">
        <v>34</v>
      </c>
      <c r="Y3" t="n">
        <v>0</v>
      </c>
      <c r="Z3" t="n">
        <v>34</v>
      </c>
      <c r="AA3" t="n">
        <v>34</v>
      </c>
      <c r="AB3" t="n">
        <v>0</v>
      </c>
      <c r="AC3" t="n">
        <v>34</v>
      </c>
      <c r="AD3" t="n">
        <v>0</v>
      </c>
      <c r="AW3" t="n">
        <v>0</v>
      </c>
    </row>
    <row r="4">
      <c r="A4" t="inlineStr">
        <is>
          <t>wheat</t>
        </is>
      </c>
      <c r="B4" t="inlineStr">
        <is>
          <t>13 quarters surcharged so that he answers for a 4-fold yield..</t>
        </is>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13</v>
      </c>
      <c r="Y4" t="n">
        <v>0</v>
      </c>
      <c r="Z4" t="n">
        <v>13</v>
      </c>
      <c r="AA4" t="n">
        <v>13</v>
      </c>
      <c r="AB4" t="n">
        <v>0</v>
      </c>
      <c r="AC4" t="n">
        <v>13</v>
      </c>
      <c r="AD4" t="n">
        <v>0</v>
      </c>
      <c r="AW4" t="n">
        <v>0</v>
      </c>
    </row>
    <row r="5">
      <c r="A5" t="inlineStr">
        <is>
          <t>wheat</t>
        </is>
      </c>
      <c r="B5" t="inlineStr">
        <is>
          <t>total, 47 quarters.</t>
        </is>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47</v>
      </c>
      <c r="Y5" t="n">
        <v>0</v>
      </c>
      <c r="Z5" t="n">
        <v>47</v>
      </c>
      <c r="AA5" t="n">
        <v>47</v>
      </c>
      <c r="AB5" t="n">
        <v>0</v>
      </c>
      <c r="AC5" t="n">
        <v>47</v>
      </c>
      <c r="AD5" t="n">
        <v>0</v>
      </c>
      <c r="AW5" t="n">
        <v>0</v>
      </c>
    </row>
    <row r="6">
      <c r="A6" t="inlineStr">
        <is>
          <t>wheat</t>
        </is>
      </c>
      <c r="B6" t="inlineStr">
        <is>
          <t>sown over 36.5 acres of land by the perch which lie above le middelfeld', 10 quarters 2 bushels.</t>
        </is>
      </c>
      <c r="C6" t="n">
        <v>0</v>
      </c>
      <c r="D6" t="n">
        <v>0</v>
      </c>
      <c r="E6" t="n">
        <v>10</v>
      </c>
      <c r="F6" t="n">
        <v>2</v>
      </c>
      <c r="G6" t="n">
        <v>10.25</v>
      </c>
      <c r="H6" t="n">
        <v>0</v>
      </c>
      <c r="I6" t="n">
        <v>0</v>
      </c>
      <c r="J6" t="n">
        <v>0</v>
      </c>
      <c r="K6" t="n">
        <v>0</v>
      </c>
      <c r="L6" t="n">
        <v>0</v>
      </c>
      <c r="M6" t="n">
        <v>0</v>
      </c>
      <c r="N6" t="n">
        <v>0</v>
      </c>
      <c r="O6" t="n">
        <v>0</v>
      </c>
      <c r="P6" t="n">
        <v>0</v>
      </c>
      <c r="Q6" t="n">
        <v>0</v>
      </c>
      <c r="R6" t="n">
        <v>0</v>
      </c>
      <c r="S6" t="n">
        <v>0</v>
      </c>
      <c r="T6" t="n">
        <v>0</v>
      </c>
      <c r="U6" t="n">
        <v>0</v>
      </c>
      <c r="V6" t="n">
        <v>0</v>
      </c>
      <c r="W6" t="n">
        <v>0</v>
      </c>
      <c r="X6" t="n">
        <v>10</v>
      </c>
      <c r="Y6" t="n">
        <v>2</v>
      </c>
      <c r="Z6" t="n">
        <v>10.25</v>
      </c>
      <c r="AA6" t="n">
        <v>10.25</v>
      </c>
      <c r="AB6" t="n">
        <v>0</v>
      </c>
      <c r="AC6" t="n">
        <v>10</v>
      </c>
      <c r="AD6" t="n">
        <v>2</v>
      </c>
      <c r="AW6" t="n">
        <v>0</v>
      </c>
    </row>
    <row r="7">
      <c r="A7" t="inlineStr">
        <is>
          <t>wheat</t>
        </is>
      </c>
      <c r="B7" t="inlineStr">
        <is>
          <t>that is, 2 bushels 1 peck an acre, less .5 peck in all.</t>
        </is>
      </c>
      <c r="C7" t="n">
        <v>0</v>
      </c>
      <c r="D7" t="n">
        <v>0</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0</v>
      </c>
      <c r="Y7" t="n">
        <v>2</v>
      </c>
      <c r="Z7" t="n">
        <v>0.25</v>
      </c>
      <c r="AA7" t="n">
        <v>0.25</v>
      </c>
      <c r="AB7" t="n">
        <v>0</v>
      </c>
      <c r="AC7" t="n">
        <v>0</v>
      </c>
      <c r="AD7" t="n">
        <v>2</v>
      </c>
      <c r="AW7" t="n">
        <v>0</v>
      </c>
    </row>
    <row r="8">
      <c r="A8" t="inlineStr">
        <is>
          <t>wheat</t>
        </is>
      </c>
      <c r="B8" t="inlineStr">
        <is>
          <t>provision of the steward holding the tourns of martinmas and hockday, by 2 sealed bills, 3.5 bushels.</t>
        </is>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0</v>
      </c>
      <c r="Y8" t="n">
        <v>3.5</v>
      </c>
      <c r="Z8" t="n">
        <v>0.44</v>
      </c>
      <c r="AA8" t="n">
        <v>0.44</v>
      </c>
      <c r="AB8" t="n">
        <v>0</v>
      </c>
      <c r="AC8" t="n">
        <v>0</v>
      </c>
      <c r="AD8" t="n">
        <v>3.5</v>
      </c>
      <c r="AW8" t="n">
        <v>0</v>
      </c>
    </row>
    <row r="9">
      <c r="A9" t="inlineStr">
        <is>
          <t>wheat</t>
        </is>
      </c>
      <c r="B9" t="inlineStr">
        <is>
          <t>customary payment to the customary tenants mowing the lord's meadow, 1 qr.</t>
        </is>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AW9" t="n">
        <v>0</v>
      </c>
    </row>
    <row r="10">
      <c r="A10" t="inlineStr">
        <is>
          <t>wheat</t>
        </is>
      </c>
      <c r="B10" t="inlineStr">
        <is>
          <t>sold within, 22 quarters 2.5 bushels.</t>
        </is>
      </c>
      <c r="C10" t="n">
        <v>0</v>
      </c>
      <c r="D10" t="n">
        <v>0</v>
      </c>
      <c r="E10" t="n">
        <v>0</v>
      </c>
      <c r="F10" t="n">
        <v>0</v>
      </c>
      <c r="G10" t="n">
        <v>0</v>
      </c>
      <c r="H10" t="n">
        <v>0</v>
      </c>
      <c r="I10" t="n">
        <v>0</v>
      </c>
      <c r="J10" t="n">
        <v>0</v>
      </c>
      <c r="K10" t="n">
        <v>0</v>
      </c>
      <c r="L10" t="n">
        <v>0</v>
      </c>
      <c r="M10" t="n">
        <v>0</v>
      </c>
      <c r="N10" t="n">
        <v>0</v>
      </c>
      <c r="O10" t="n">
        <v>0</v>
      </c>
      <c r="P10" t="n">
        <v>0</v>
      </c>
      <c r="Q10" t="n">
        <v>22</v>
      </c>
      <c r="R10" t="n">
        <v>2.5</v>
      </c>
      <c r="S10" t="n">
        <v>22.31</v>
      </c>
      <c r="T10" t="n">
        <v>0</v>
      </c>
      <c r="U10" t="n">
        <v>0</v>
      </c>
      <c r="V10" t="n">
        <v>0</v>
      </c>
      <c r="W10" t="n">
        <v>0</v>
      </c>
      <c r="X10" t="n">
        <v>22</v>
      </c>
      <c r="Y10" t="n">
        <v>2.5</v>
      </c>
      <c r="Z10" t="n">
        <v>22.31</v>
      </c>
      <c r="AA10" t="n">
        <v>22.31</v>
      </c>
      <c r="AB10" t="n">
        <v>0</v>
      </c>
      <c r="AC10" t="n">
        <v>22</v>
      </c>
      <c r="AD10" t="n">
        <v>2.5</v>
      </c>
      <c r="AW10" t="n">
        <v>0</v>
      </c>
    </row>
    <row r="11">
      <c r="A11" t="inlineStr">
        <is>
          <t>wheat</t>
        </is>
      </c>
      <c r="B11" t="inlineStr">
        <is>
          <t>sold at the audit, 13 quarters for £4 6 shilling 8pence.</t>
        </is>
      </c>
      <c r="C11" t="n">
        <v>0</v>
      </c>
      <c r="D11" t="n">
        <v>0</v>
      </c>
      <c r="E11" t="n">
        <v>0</v>
      </c>
      <c r="F11" t="n">
        <v>0</v>
      </c>
      <c r="G11" t="n">
        <v>0</v>
      </c>
      <c r="H11" t="n">
        <v>0</v>
      </c>
      <c r="I11" t="n">
        <v>0</v>
      </c>
      <c r="J11" t="n">
        <v>0</v>
      </c>
      <c r="K11" t="n">
        <v>0</v>
      </c>
      <c r="L11" t="n">
        <v>0</v>
      </c>
      <c r="M11" t="n">
        <v>0</v>
      </c>
      <c r="N11" t="n">
        <v>0</v>
      </c>
      <c r="O11" t="n">
        <v>0</v>
      </c>
      <c r="P11" t="n">
        <v>0</v>
      </c>
      <c r="Q11" t="n">
        <v>13</v>
      </c>
      <c r="R11" t="n">
        <v>0</v>
      </c>
      <c r="S11" t="n">
        <v>13</v>
      </c>
      <c r="T11" t="n">
        <v>0</v>
      </c>
      <c r="U11" t="n">
        <v>0</v>
      </c>
      <c r="V11" t="n">
        <v>0</v>
      </c>
      <c r="W11" t="n">
        <v>0</v>
      </c>
      <c r="X11" t="n">
        <v>13</v>
      </c>
      <c r="Y11" t="n">
        <v>0</v>
      </c>
      <c r="Z11" t="n">
        <v>13</v>
      </c>
      <c r="AA11" t="n">
        <v>13</v>
      </c>
      <c r="AB11" t="n">
        <v>0</v>
      </c>
      <c r="AC11" t="n">
        <v>13</v>
      </c>
      <c r="AD11" t="n">
        <v>0</v>
      </c>
      <c r="AW11" t="n">
        <v>0</v>
      </c>
    </row>
    <row r="12">
      <c r="A12" t="inlineStr">
        <is>
          <t>wheat</t>
        </is>
      </c>
      <c r="B12" t="inlineStr">
        <is>
          <t>total as before.</t>
        </is>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n">
        <v>0</v>
      </c>
      <c r="Y12" t="n">
        <v>0</v>
      </c>
      <c r="Z12" t="n">
        <v>0</v>
      </c>
      <c r="AA12" t="n">
        <v>0</v>
      </c>
      <c r="AB12" t="n">
        <v>0</v>
      </c>
      <c r="AC12" t="n">
        <v>0</v>
      </c>
      <c r="AD12" t="n">
        <v>0</v>
      </c>
      <c r="AW12" t="n">
        <v>0</v>
      </c>
    </row>
    <row r="13">
      <c r="A13" t="inlineStr">
        <is>
          <t>wheat</t>
        </is>
      </c>
      <c r="B13" t="inlineStr">
        <is>
          <t>it balances.</t>
        </is>
      </c>
      <c r="C13" t="n">
        <v>0</v>
      </c>
      <c r="D13" t="n">
        <v>0</v>
      </c>
      <c r="E13" t="n">
        <v>0</v>
      </c>
      <c r="F13" t="n">
        <v>0</v>
      </c>
      <c r="G13" t="n">
        <v>0</v>
      </c>
      <c r="H13" t="n">
        <v>0</v>
      </c>
      <c r="I13" t="n">
        <v>0</v>
      </c>
      <c r="J13" t="n">
        <v>0</v>
      </c>
      <c r="K13" t="n">
        <v>0</v>
      </c>
      <c r="L13" t="n">
        <v>0</v>
      </c>
      <c r="M13" t="n">
        <v>0</v>
      </c>
      <c r="N13" t="n">
        <v>0</v>
      </c>
      <c r="O13" t="n">
        <v>0</v>
      </c>
      <c r="P13" t="n">
        <v>0</v>
      </c>
      <c r="Q13" t="n">
        <v>0</v>
      </c>
      <c r="R13" t="n">
        <v>0</v>
      </c>
      <c r="S13" t="n">
        <v>0</v>
      </c>
      <c r="T13" t="n">
        <v>0</v>
      </c>
      <c r="U13" t="n">
        <v>0</v>
      </c>
      <c r="V13" t="n">
        <v>0</v>
      </c>
      <c r="W13" t="n">
        <v>0</v>
      </c>
      <c r="X13" t="n">
        <v>0</v>
      </c>
      <c r="Y13" t="n">
        <v>0</v>
      </c>
      <c r="Z13" t="n">
        <v>0</v>
      </c>
      <c r="AA13" t="n">
        <v>0</v>
      </c>
      <c r="AB13" t="n">
        <v>0</v>
      </c>
      <c r="AC13" t="n">
        <v>0</v>
      </c>
      <c r="AD13" t="n">
        <v>0</v>
      </c>
      <c r="AW13" t="n">
        <v>0</v>
      </c>
    </row>
    <row r="14">
      <c r="A14" t="inlineStr">
        <is>
          <t>wheat</t>
        </is>
      </c>
      <c r="B14" t="inlineStr">
        <is>
          <t>total</t>
        </is>
      </c>
      <c r="C14" t="n">
        <v>0</v>
      </c>
      <c r="D14" t="n">
        <v>0</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AW14" t="n">
        <v>0</v>
      </c>
    </row>
    <row r="15">
      <c r="A15" t="inlineStr">
        <is>
          <t>barley</t>
        </is>
      </c>
      <c r="B15" t="inlineStr">
        <is>
          <t>and for 68 quarters 2 bushels of barley from the whole issue of the grange, threshed by piece¬work.</t>
        </is>
      </c>
      <c r="C15" t="n">
        <v>0</v>
      </c>
      <c r="D15" t="n">
        <v>0</v>
      </c>
      <c r="E15" t="n">
        <v>0</v>
      </c>
      <c r="F15" t="n">
        <v>0</v>
      </c>
      <c r="G15" t="n">
        <v>0</v>
      </c>
      <c r="H15" t="n">
        <v>0</v>
      </c>
      <c r="I15" t="n">
        <v>0</v>
      </c>
      <c r="J15" t="n">
        <v>0</v>
      </c>
      <c r="K15" t="n">
        <v>0</v>
      </c>
      <c r="L15" t="n">
        <v>0</v>
      </c>
      <c r="M15" t="n">
        <v>0</v>
      </c>
      <c r="N15" t="n">
        <v>0</v>
      </c>
      <c r="O15" t="n">
        <v>0</v>
      </c>
      <c r="P15" t="n">
        <v>0</v>
      </c>
      <c r="Q15" t="n">
        <v>0</v>
      </c>
      <c r="R15" t="n">
        <v>0</v>
      </c>
      <c r="S15" t="n">
        <v>0</v>
      </c>
      <c r="T15" t="n">
        <v>68</v>
      </c>
      <c r="U15" t="n">
        <v>2</v>
      </c>
      <c r="V15" t="n">
        <v>68.25</v>
      </c>
      <c r="W15" t="n">
        <v>0</v>
      </c>
      <c r="X15" t="n">
        <v>68</v>
      </c>
      <c r="Y15" t="n">
        <v>2</v>
      </c>
      <c r="Z15" t="n">
        <v>68.25</v>
      </c>
      <c r="AA15" t="n">
        <v>68.25</v>
      </c>
      <c r="AB15" t="n">
        <v>0</v>
      </c>
      <c r="AC15" t="n">
        <v>68</v>
      </c>
      <c r="AD15" t="n">
        <v>2</v>
      </c>
      <c r="AW15" t="n">
        <v>0</v>
      </c>
    </row>
    <row r="16">
      <c r="A16" t="inlineStr">
        <is>
          <t>barley</t>
        </is>
      </c>
      <c r="B16" t="inlineStr">
        <is>
          <t>6 quarters bought in the market for sowing.</t>
        </is>
      </c>
      <c r="C16" t="n">
        <v>0</v>
      </c>
      <c r="D16" t="n">
        <v>0</v>
      </c>
      <c r="E16" t="n">
        <v>0</v>
      </c>
      <c r="F16" t="n">
        <v>0</v>
      </c>
      <c r="G16" t="n">
        <v>0</v>
      </c>
      <c r="H16" t="n">
        <v>6</v>
      </c>
      <c r="I16" t="n">
        <v>0</v>
      </c>
      <c r="J16" t="n">
        <v>6</v>
      </c>
      <c r="K16" t="n">
        <v>0</v>
      </c>
      <c r="L16" t="n">
        <v>0</v>
      </c>
      <c r="M16" t="n">
        <v>0</v>
      </c>
      <c r="N16" t="n">
        <v>0</v>
      </c>
      <c r="O16" t="n">
        <v>0</v>
      </c>
      <c r="P16" t="n">
        <v>0</v>
      </c>
      <c r="Q16" t="n">
        <v>0</v>
      </c>
      <c r="R16" t="n">
        <v>0</v>
      </c>
      <c r="S16" t="n">
        <v>0</v>
      </c>
      <c r="T16" t="n">
        <v>0</v>
      </c>
      <c r="U16" t="n">
        <v>0</v>
      </c>
      <c r="V16" t="n">
        <v>0</v>
      </c>
      <c r="W16" t="n">
        <v>0</v>
      </c>
      <c r="X16" t="n">
        <v>6</v>
      </c>
      <c r="Y16" t="n">
        <v>0</v>
      </c>
      <c r="Z16" t="n">
        <v>6</v>
      </c>
      <c r="AA16" t="n">
        <v>6</v>
      </c>
      <c r="AB16" t="n">
        <v>0</v>
      </c>
      <c r="AC16" t="n">
        <v>6</v>
      </c>
      <c r="AD16" t="n">
        <v>0</v>
      </c>
      <c r="AW16" t="n">
        <v>0</v>
      </c>
    </row>
    <row r="17">
      <c r="A17" t="inlineStr">
        <is>
          <t>barley</t>
        </is>
      </c>
      <c r="B17" t="inlineStr">
        <is>
          <t>12 quarters 6 bushels surcharged so that he answers for a 3-fold yield..</t>
        </is>
      </c>
      <c r="C17" t="n">
        <v>0</v>
      </c>
      <c r="D17" t="n">
        <v>0</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n">
        <v>12</v>
      </c>
      <c r="Y17" t="n">
        <v>6</v>
      </c>
      <c r="Z17" t="n">
        <v>12.75</v>
      </c>
      <c r="AA17" t="n">
        <v>12.75</v>
      </c>
      <c r="AB17" t="n">
        <v>0</v>
      </c>
      <c r="AC17" t="n">
        <v>12</v>
      </c>
      <c r="AD17" t="n">
        <v>6</v>
      </c>
      <c r="AW17" t="n">
        <v>0</v>
      </c>
    </row>
    <row r="18">
      <c r="A18" t="inlineStr">
        <is>
          <t>barley</t>
        </is>
      </c>
      <c r="B18" t="inlineStr">
        <is>
          <t>total, 87 quarters.</t>
        </is>
      </c>
      <c r="C18" t="n">
        <v>0</v>
      </c>
      <c r="D18" t="n">
        <v>0</v>
      </c>
      <c r="E18" t="n">
        <v>0</v>
      </c>
      <c r="F18" t="n">
        <v>0</v>
      </c>
      <c r="G18" t="n">
        <v>0</v>
      </c>
      <c r="H18" t="n">
        <v>0</v>
      </c>
      <c r="I18" t="n">
        <v>0</v>
      </c>
      <c r="J18" t="n">
        <v>0</v>
      </c>
      <c r="K18" t="n">
        <v>0</v>
      </c>
      <c r="L18" t="n">
        <v>0</v>
      </c>
      <c r="M18" t="n">
        <v>0</v>
      </c>
      <c r="N18" t="n">
        <v>0</v>
      </c>
      <c r="O18" t="n">
        <v>0</v>
      </c>
      <c r="P18" t="n">
        <v>0</v>
      </c>
      <c r="Q18" t="n">
        <v>0</v>
      </c>
      <c r="R18" t="n">
        <v>0</v>
      </c>
      <c r="S18" t="n">
        <v>0</v>
      </c>
      <c r="T18" t="n">
        <v>0</v>
      </c>
      <c r="U18" t="n">
        <v>0</v>
      </c>
      <c r="V18" t="n">
        <v>0</v>
      </c>
      <c r="W18" t="n">
        <v>0</v>
      </c>
      <c r="X18" t="n">
        <v>87</v>
      </c>
      <c r="Y18" t="n">
        <v>0</v>
      </c>
      <c r="Z18" t="n">
        <v>87</v>
      </c>
      <c r="AA18" t="n">
        <v>87</v>
      </c>
      <c r="AB18" t="n">
        <v>0</v>
      </c>
      <c r="AC18" t="n">
        <v>87</v>
      </c>
      <c r="AD18" t="n">
        <v>0</v>
      </c>
      <c r="AW18" t="n">
        <v>0</v>
      </c>
    </row>
    <row r="19">
      <c r="A19" t="inlineStr">
        <is>
          <t>barley</t>
        </is>
      </c>
      <c r="B19" t="inlineStr">
        <is>
          <t>sown over 40 acres of land by the perch which lie in le middelfeld', 20 quarters.</t>
        </is>
      </c>
      <c r="C19" t="n">
        <v>0</v>
      </c>
      <c r="D19" t="n">
        <v>0</v>
      </c>
      <c r="E19" t="n">
        <v>20</v>
      </c>
      <c r="F19" t="n">
        <v>0</v>
      </c>
      <c r="G19" t="n">
        <v>20</v>
      </c>
      <c r="H19" t="n">
        <v>0</v>
      </c>
      <c r="I19" t="n">
        <v>0</v>
      </c>
      <c r="J19" t="n">
        <v>0</v>
      </c>
      <c r="K19" t="n">
        <v>0</v>
      </c>
      <c r="L19" t="n">
        <v>0</v>
      </c>
      <c r="M19" t="n">
        <v>0</v>
      </c>
      <c r="N19" t="n">
        <v>0</v>
      </c>
      <c r="O19" t="n">
        <v>0</v>
      </c>
      <c r="P19" t="n">
        <v>0</v>
      </c>
      <c r="Q19" t="n">
        <v>0</v>
      </c>
      <c r="R19" t="n">
        <v>0</v>
      </c>
      <c r="S19" t="n">
        <v>0</v>
      </c>
      <c r="T19" t="n">
        <v>0</v>
      </c>
      <c r="U19" t="n">
        <v>0</v>
      </c>
      <c r="V19" t="n">
        <v>0</v>
      </c>
      <c r="W19" t="n">
        <v>0</v>
      </c>
      <c r="X19" t="n">
        <v>20</v>
      </c>
      <c r="Y19" t="n">
        <v>0</v>
      </c>
      <c r="Z19" t="n">
        <v>20</v>
      </c>
      <c r="AA19" t="n">
        <v>20</v>
      </c>
      <c r="AB19" t="n">
        <v>0</v>
      </c>
      <c r="AC19" t="n">
        <v>20</v>
      </c>
      <c r="AD19" t="n">
        <v>0</v>
      </c>
      <c r="AW19" t="n">
        <v>0</v>
      </c>
    </row>
    <row r="20">
      <c r="A20" t="inlineStr">
        <is>
          <t>barley</t>
        </is>
      </c>
      <c r="B20" t="inlineStr">
        <is>
          <t>that is, 4 bushels an acre.</t>
        </is>
      </c>
      <c r="C20" t="n">
        <v>0</v>
      </c>
      <c r="D20" t="n">
        <v>0</v>
      </c>
      <c r="E20" t="n">
        <v>0</v>
      </c>
      <c r="F20" t="n">
        <v>0</v>
      </c>
      <c r="G20" t="n">
        <v>0</v>
      </c>
      <c r="H20" t="n">
        <v>0</v>
      </c>
      <c r="I20" t="n">
        <v>0</v>
      </c>
      <c r="J20" t="n">
        <v>0</v>
      </c>
      <c r="K20" t="n">
        <v>0</v>
      </c>
      <c r="L20" t="n">
        <v>0</v>
      </c>
      <c r="M20" t="n">
        <v>0</v>
      </c>
      <c r="N20" t="n">
        <v>0</v>
      </c>
      <c r="O20" t="n">
        <v>0</v>
      </c>
      <c r="P20" t="n">
        <v>0</v>
      </c>
      <c r="Q20" t="n">
        <v>0</v>
      </c>
      <c r="R20" t="n">
        <v>0</v>
      </c>
      <c r="S20" t="n">
        <v>0</v>
      </c>
      <c r="T20" t="n">
        <v>0</v>
      </c>
      <c r="U20" t="n">
        <v>0</v>
      </c>
      <c r="V20" t="n">
        <v>0</v>
      </c>
      <c r="W20" t="n">
        <v>0</v>
      </c>
      <c r="X20" t="n">
        <v>0</v>
      </c>
      <c r="Y20" t="n">
        <v>4</v>
      </c>
      <c r="Z20" t="n">
        <v>0.5</v>
      </c>
      <c r="AA20" t="n">
        <v>0.5</v>
      </c>
      <c r="AB20" t="n">
        <v>0</v>
      </c>
      <c r="AC20" t="n">
        <v>0</v>
      </c>
      <c r="AD20" t="n">
        <v>4</v>
      </c>
      <c r="AW20" t="n">
        <v>0</v>
      </c>
    </row>
    <row r="21">
      <c r="A21" t="inlineStr">
        <is>
          <t>barley</t>
        </is>
      </c>
      <c r="B21" t="inlineStr">
        <is>
          <t>malting, 54 quarters 2 bushels.</t>
        </is>
      </c>
      <c r="C21" t="n">
        <v>0</v>
      </c>
      <c r="D21" t="n">
        <v>0</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54</v>
      </c>
      <c r="Y21" t="n">
        <v>2</v>
      </c>
      <c r="Z21" t="n">
        <v>54.25</v>
      </c>
      <c r="AA21" t="n">
        <v>54.25</v>
      </c>
      <c r="AB21" t="n">
        <v>0</v>
      </c>
      <c r="AC21" t="n">
        <v>54</v>
      </c>
      <c r="AD21" t="n">
        <v>2</v>
      </c>
      <c r="AW21" t="n">
        <v>0</v>
      </c>
    </row>
    <row r="22">
      <c r="A22" t="inlineStr">
        <is>
          <t>barley</t>
        </is>
      </c>
      <c r="B22" t="inlineStr">
        <is>
          <t>sold at the audit, 12 quarters 6 bushels for £2 18 shilling 9pence.</t>
        </is>
      </c>
      <c r="C22" t="n">
        <v>0</v>
      </c>
      <c r="D22" t="n">
        <v>0</v>
      </c>
      <c r="E22" t="n">
        <v>0</v>
      </c>
      <c r="F22" t="n">
        <v>0</v>
      </c>
      <c r="G22" t="n">
        <v>0</v>
      </c>
      <c r="H22" t="n">
        <v>0</v>
      </c>
      <c r="I22" t="n">
        <v>0</v>
      </c>
      <c r="J22" t="n">
        <v>0</v>
      </c>
      <c r="K22" t="n">
        <v>0</v>
      </c>
      <c r="L22" t="n">
        <v>0</v>
      </c>
      <c r="M22" t="n">
        <v>0</v>
      </c>
      <c r="N22" t="n">
        <v>0</v>
      </c>
      <c r="O22" t="n">
        <v>0</v>
      </c>
      <c r="P22" t="n">
        <v>0</v>
      </c>
      <c r="Q22" t="n">
        <v>12</v>
      </c>
      <c r="R22" t="n">
        <v>6</v>
      </c>
      <c r="S22" t="n">
        <v>12.75</v>
      </c>
      <c r="T22" t="n">
        <v>0</v>
      </c>
      <c r="U22" t="n">
        <v>0</v>
      </c>
      <c r="V22" t="n">
        <v>0</v>
      </c>
      <c r="W22" t="n">
        <v>0</v>
      </c>
      <c r="X22" t="n">
        <v>12</v>
      </c>
      <c r="Y22" t="n">
        <v>6</v>
      </c>
      <c r="Z22" t="n">
        <v>12.75</v>
      </c>
      <c r="AA22" t="n">
        <v>12.75</v>
      </c>
      <c r="AB22" t="n">
        <v>0</v>
      </c>
      <c r="AC22" t="n">
        <v>12</v>
      </c>
      <c r="AD22" t="n">
        <v>6</v>
      </c>
      <c r="AW22" t="n">
        <v>0</v>
      </c>
    </row>
    <row r="23">
      <c r="A23" t="inlineStr">
        <is>
          <t>barley</t>
        </is>
      </c>
      <c r="B23" t="inlineStr">
        <is>
          <t>total as before.</t>
        </is>
      </c>
      <c r="C23" t="n">
        <v>0</v>
      </c>
      <c r="D23" t="n">
        <v>0</v>
      </c>
      <c r="E23" t="n">
        <v>0</v>
      </c>
      <c r="F23" t="n">
        <v>0</v>
      </c>
      <c r="G23" t="n">
        <v>0</v>
      </c>
      <c r="H23" t="n">
        <v>0</v>
      </c>
      <c r="I23" t="n">
        <v>0</v>
      </c>
      <c r="J23" t="n">
        <v>0</v>
      </c>
      <c r="K23" t="n">
        <v>0</v>
      </c>
      <c r="L23" t="n">
        <v>0</v>
      </c>
      <c r="M23" t="n">
        <v>0</v>
      </c>
      <c r="N23" t="n">
        <v>0</v>
      </c>
      <c r="O23" t="n">
        <v>0</v>
      </c>
      <c r="P23" t="n">
        <v>0</v>
      </c>
      <c r="Q23" t="n">
        <v>0</v>
      </c>
      <c r="R23" t="n">
        <v>0</v>
      </c>
      <c r="S23" t="n">
        <v>0</v>
      </c>
      <c r="T23" t="n">
        <v>0</v>
      </c>
      <c r="U23" t="n">
        <v>0</v>
      </c>
      <c r="V23" t="n">
        <v>0</v>
      </c>
      <c r="W23" t="n">
        <v>0</v>
      </c>
      <c r="X23" t="n">
        <v>0</v>
      </c>
      <c r="Y23" t="n">
        <v>0</v>
      </c>
      <c r="Z23" t="n">
        <v>0</v>
      </c>
      <c r="AA23" t="n">
        <v>0</v>
      </c>
      <c r="AB23" t="n">
        <v>0</v>
      </c>
      <c r="AC23" t="n">
        <v>0</v>
      </c>
      <c r="AD23" t="n">
        <v>0</v>
      </c>
      <c r="AW23" t="n">
        <v>0</v>
      </c>
    </row>
    <row r="24">
      <c r="A24" t="inlineStr">
        <is>
          <t>barley</t>
        </is>
      </c>
      <c r="B24" t="inlineStr">
        <is>
          <t>it balances.</t>
        </is>
      </c>
      <c r="C24" t="n">
        <v>0</v>
      </c>
      <c r="D24" t="n">
        <v>0</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n">
        <v>0</v>
      </c>
      <c r="Y24" t="n">
        <v>0</v>
      </c>
      <c r="Z24" t="n">
        <v>0</v>
      </c>
      <c r="AA24" t="n">
        <v>0</v>
      </c>
      <c r="AB24" t="n">
        <v>0</v>
      </c>
      <c r="AC24" t="n">
        <v>0</v>
      </c>
      <c r="AD24" t="n">
        <v>0</v>
      </c>
      <c r="AW24" t="n">
        <v>0</v>
      </c>
    </row>
    <row r="25">
      <c r="A25" t="inlineStr">
        <is>
          <t>barley</t>
        </is>
      </c>
      <c r="B25" t="inlineStr">
        <is>
          <t>total</t>
        </is>
      </c>
      <c r="C25" t="n">
        <v>0</v>
      </c>
      <c r="D25" t="n">
        <v>0</v>
      </c>
      <c r="E25" t="n">
        <v>0</v>
      </c>
      <c r="F25" t="n">
        <v>0</v>
      </c>
      <c r="G25" t="n">
        <v>0</v>
      </c>
      <c r="H25" t="n">
        <v>0</v>
      </c>
      <c r="I25" t="n">
        <v>0</v>
      </c>
      <c r="J25" t="n">
        <v>0</v>
      </c>
      <c r="K25" t="n">
        <v>0</v>
      </c>
      <c r="L25" t="n">
        <v>0</v>
      </c>
      <c r="M25" t="n">
        <v>0</v>
      </c>
      <c r="N25" t="n">
        <v>0</v>
      </c>
      <c r="O25" t="n">
        <v>0</v>
      </c>
      <c r="P25" t="n">
        <v>0</v>
      </c>
      <c r="Q25" t="n">
        <v>0</v>
      </c>
      <c r="R25" t="n">
        <v>0</v>
      </c>
      <c r="S25" t="n">
        <v>0</v>
      </c>
      <c r="T25" t="n">
        <v>0</v>
      </c>
      <c r="U25" t="n">
        <v>0</v>
      </c>
      <c r="V25" t="n">
        <v>0</v>
      </c>
      <c r="W25" t="n">
        <v>0</v>
      </c>
      <c r="AW25" t="n">
        <v>0</v>
      </c>
    </row>
    <row r="26">
      <c r="A26" t="inlineStr">
        <is>
          <t>dredge</t>
        </is>
      </c>
      <c r="B26" t="inlineStr">
        <is>
          <t>and for 29 quarters 4 bushels of dredge from the whole issue of the grange, threshed by piece-work.</t>
        </is>
      </c>
      <c r="C26" t="n">
        <v>0</v>
      </c>
      <c r="D26" t="n">
        <v>0</v>
      </c>
      <c r="E26" t="n">
        <v>0</v>
      </c>
      <c r="F26" t="n">
        <v>0</v>
      </c>
      <c r="G26" t="n">
        <v>0</v>
      </c>
      <c r="H26" t="n">
        <v>0</v>
      </c>
      <c r="I26" t="n">
        <v>0</v>
      </c>
      <c r="J26" t="n">
        <v>0</v>
      </c>
      <c r="K26" t="n">
        <v>0</v>
      </c>
      <c r="L26" t="n">
        <v>0</v>
      </c>
      <c r="M26" t="n">
        <v>0</v>
      </c>
      <c r="N26" t="n">
        <v>0</v>
      </c>
      <c r="O26" t="n">
        <v>0</v>
      </c>
      <c r="P26" t="n">
        <v>0</v>
      </c>
      <c r="Q26" t="n">
        <v>0</v>
      </c>
      <c r="R26" t="n">
        <v>0</v>
      </c>
      <c r="S26" t="n">
        <v>0</v>
      </c>
      <c r="T26" t="n">
        <v>29</v>
      </c>
      <c r="U26" t="n">
        <v>4</v>
      </c>
      <c r="V26" t="n">
        <v>29.5</v>
      </c>
      <c r="W26" t="n">
        <v>0</v>
      </c>
      <c r="X26" t="n">
        <v>29</v>
      </c>
      <c r="Y26" t="n">
        <v>4</v>
      </c>
      <c r="Z26" t="n">
        <v>29.5</v>
      </c>
      <c r="AA26" t="n">
        <v>29.5</v>
      </c>
      <c r="AB26" t="n">
        <v>0</v>
      </c>
      <c r="AC26" t="n">
        <v>29</v>
      </c>
      <c r="AD26" t="n">
        <v>4</v>
      </c>
      <c r="AW26" t="n">
        <v>0</v>
      </c>
    </row>
    <row r="27">
      <c r="A27" t="inlineStr">
        <is>
          <t>dredge</t>
        </is>
      </c>
      <c r="B27" t="inlineStr">
        <is>
          <t>12 quarters 4 bushels surcharged so that he answers for a 4-fold yield.</t>
        </is>
      </c>
      <c r="C27" t="n">
        <v>0</v>
      </c>
      <c r="D27" t="n">
        <v>0</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12</v>
      </c>
      <c r="Y27" t="n">
        <v>4</v>
      </c>
      <c r="Z27" t="n">
        <v>12.5</v>
      </c>
      <c r="AA27" t="n">
        <v>12.5</v>
      </c>
      <c r="AB27" t="n">
        <v>0</v>
      </c>
      <c r="AC27" t="n">
        <v>12</v>
      </c>
      <c r="AD27" t="n">
        <v>4</v>
      </c>
      <c r="AW27" t="n">
        <v>0</v>
      </c>
    </row>
    <row r="28">
      <c r="A28" t="inlineStr">
        <is>
          <t>dredge</t>
        </is>
      </c>
      <c r="B28" t="inlineStr">
        <is>
          <t>total, 42 quarters.</t>
        </is>
      </c>
      <c r="C28" t="n">
        <v>0</v>
      </c>
      <c r="D28" t="n">
        <v>0</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42</v>
      </c>
      <c r="Y28" t="n">
        <v>0</v>
      </c>
      <c r="Z28" t="n">
        <v>42</v>
      </c>
      <c r="AA28" t="n">
        <v>42</v>
      </c>
      <c r="AB28" t="n">
        <v>0</v>
      </c>
      <c r="AC28" t="n">
        <v>42</v>
      </c>
      <c r="AD28" t="n">
        <v>0</v>
      </c>
      <c r="AW28" t="n">
        <v>0</v>
      </c>
    </row>
    <row r="29">
      <c r="A29" t="inlineStr">
        <is>
          <t>dredge</t>
        </is>
      </c>
      <c r="B29" t="inlineStr">
        <is>
          <t>sown over 20.5 acres of land by the perch which lie in le malme, 10 quarters 2 bushels.</t>
        </is>
      </c>
      <c r="C29" t="n">
        <v>0</v>
      </c>
      <c r="D29" t="n">
        <v>0</v>
      </c>
      <c r="E29" t="n">
        <v>10</v>
      </c>
      <c r="F29" t="n">
        <v>2</v>
      </c>
      <c r="G29" t="n">
        <v>10.25</v>
      </c>
      <c r="H29" t="n">
        <v>0</v>
      </c>
      <c r="I29" t="n">
        <v>0</v>
      </c>
      <c r="J29" t="n">
        <v>0</v>
      </c>
      <c r="K29" t="n">
        <v>0</v>
      </c>
      <c r="L29" t="n">
        <v>0</v>
      </c>
      <c r="M29" t="n">
        <v>0</v>
      </c>
      <c r="N29" t="n">
        <v>0</v>
      </c>
      <c r="O29" t="n">
        <v>0</v>
      </c>
      <c r="P29" t="n">
        <v>0</v>
      </c>
      <c r="Q29" t="n">
        <v>0</v>
      </c>
      <c r="R29" t="n">
        <v>0</v>
      </c>
      <c r="S29" t="n">
        <v>0</v>
      </c>
      <c r="T29" t="n">
        <v>0</v>
      </c>
      <c r="U29" t="n">
        <v>0</v>
      </c>
      <c r="V29" t="n">
        <v>0</v>
      </c>
      <c r="W29" t="n">
        <v>0</v>
      </c>
      <c r="X29" t="n">
        <v>10</v>
      </c>
      <c r="Y29" t="n">
        <v>2</v>
      </c>
      <c r="Z29" t="n">
        <v>10.25</v>
      </c>
      <c r="AA29" t="n">
        <v>10.25</v>
      </c>
      <c r="AB29" t="n">
        <v>0</v>
      </c>
      <c r="AC29" t="n">
        <v>10</v>
      </c>
      <c r="AD29" t="n">
        <v>2</v>
      </c>
      <c r="AW29" t="n">
        <v>0</v>
      </c>
    </row>
    <row r="30">
      <c r="A30" t="inlineStr">
        <is>
          <t>dredge</t>
        </is>
      </c>
      <c r="B30" t="inlineStr">
        <is>
          <t>that is, 4 bushels an acre.</t>
        </is>
      </c>
      <c r="C30" t="n">
        <v>0</v>
      </c>
      <c r="D30" t="n">
        <v>0</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X30" t="n">
        <v>0</v>
      </c>
      <c r="Y30" t="n">
        <v>4</v>
      </c>
      <c r="Z30" t="n">
        <v>0.5</v>
      </c>
      <c r="AA30" t="n">
        <v>0.5</v>
      </c>
      <c r="AB30" t="n">
        <v>0</v>
      </c>
      <c r="AC30" t="n">
        <v>0</v>
      </c>
      <c r="AD30" t="n">
        <v>4</v>
      </c>
      <c r="AW30" t="n">
        <v>0</v>
      </c>
    </row>
    <row r="31">
      <c r="A31" t="inlineStr">
        <is>
          <t>dredge</t>
        </is>
      </c>
      <c r="B31" t="inlineStr">
        <is>
          <t>malting, 19 quarters 2 bushels.</t>
        </is>
      </c>
      <c r="C31" t="n">
        <v>0</v>
      </c>
      <c r="D31" t="n">
        <v>0</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19</v>
      </c>
      <c r="Y31" t="n">
        <v>2</v>
      </c>
      <c r="Z31" t="n">
        <v>19.25</v>
      </c>
      <c r="AA31" t="n">
        <v>19.25</v>
      </c>
      <c r="AB31" t="n">
        <v>0</v>
      </c>
      <c r="AC31" t="n">
        <v>19</v>
      </c>
      <c r="AD31" t="n">
        <v>2</v>
      </c>
      <c r="AW31" t="n">
        <v>0</v>
      </c>
    </row>
    <row r="32">
      <c r="A32" t="inlineStr">
        <is>
          <t>dredge</t>
        </is>
      </c>
      <c r="B32" t="inlineStr">
        <is>
          <t>sold at the audit, 12 quarters 4 bushels for £2 10 shilling.</t>
        </is>
      </c>
      <c r="C32" t="n">
        <v>0</v>
      </c>
      <c r="D32" t="n">
        <v>0</v>
      </c>
      <c r="E32" t="n">
        <v>0</v>
      </c>
      <c r="F32" t="n">
        <v>0</v>
      </c>
      <c r="G32" t="n">
        <v>0</v>
      </c>
      <c r="H32" t="n">
        <v>0</v>
      </c>
      <c r="I32" t="n">
        <v>0</v>
      </c>
      <c r="J32" t="n">
        <v>0</v>
      </c>
      <c r="K32" t="n">
        <v>0</v>
      </c>
      <c r="L32" t="n">
        <v>0</v>
      </c>
      <c r="M32" t="n">
        <v>0</v>
      </c>
      <c r="N32" t="n">
        <v>0</v>
      </c>
      <c r="O32" t="n">
        <v>0</v>
      </c>
      <c r="P32" t="n">
        <v>0</v>
      </c>
      <c r="Q32" t="n">
        <v>12</v>
      </c>
      <c r="R32" t="n">
        <v>4</v>
      </c>
      <c r="S32" t="n">
        <v>12.5</v>
      </c>
      <c r="T32" t="n">
        <v>0</v>
      </c>
      <c r="U32" t="n">
        <v>0</v>
      </c>
      <c r="V32" t="n">
        <v>0</v>
      </c>
      <c r="W32" t="n">
        <v>0</v>
      </c>
      <c r="X32" t="n">
        <v>12</v>
      </c>
      <c r="Y32" t="n">
        <v>4</v>
      </c>
      <c r="Z32" t="n">
        <v>12.5</v>
      </c>
      <c r="AA32" t="n">
        <v>12.5</v>
      </c>
      <c r="AB32" t="n">
        <v>0</v>
      </c>
      <c r="AC32" t="n">
        <v>12</v>
      </c>
      <c r="AD32" t="n">
        <v>4</v>
      </c>
      <c r="AW32" t="n">
        <v>0</v>
      </c>
    </row>
    <row r="33">
      <c r="A33" t="inlineStr">
        <is>
          <t>dredge</t>
        </is>
      </c>
      <c r="B33" t="inlineStr">
        <is>
          <t>total as before.</t>
        </is>
      </c>
      <c r="C33" t="n">
        <v>0</v>
      </c>
      <c r="D33" t="n">
        <v>0</v>
      </c>
      <c r="E33" t="n">
        <v>0</v>
      </c>
      <c r="F33" t="n">
        <v>0</v>
      </c>
      <c r="G33" t="n">
        <v>0</v>
      </c>
      <c r="H33" t="n">
        <v>0</v>
      </c>
      <c r="I33" t="n">
        <v>0</v>
      </c>
      <c r="J33" t="n">
        <v>0</v>
      </c>
      <c r="K33" t="n">
        <v>0</v>
      </c>
      <c r="L33" t="n">
        <v>0</v>
      </c>
      <c r="M33" t="n">
        <v>0</v>
      </c>
      <c r="N33" t="n">
        <v>0</v>
      </c>
      <c r="O33" t="n">
        <v>0</v>
      </c>
      <c r="P33" t="n">
        <v>0</v>
      </c>
      <c r="Q33" t="n">
        <v>0</v>
      </c>
      <c r="R33" t="n">
        <v>0</v>
      </c>
      <c r="S33" t="n">
        <v>0</v>
      </c>
      <c r="T33" t="n">
        <v>0</v>
      </c>
      <c r="U33" t="n">
        <v>0</v>
      </c>
      <c r="V33" t="n">
        <v>0</v>
      </c>
      <c r="W33" t="n">
        <v>0</v>
      </c>
      <c r="X33" t="n">
        <v>0</v>
      </c>
      <c r="Y33" t="n">
        <v>0</v>
      </c>
      <c r="Z33" t="n">
        <v>0</v>
      </c>
      <c r="AA33" t="n">
        <v>0</v>
      </c>
      <c r="AB33" t="n">
        <v>0</v>
      </c>
      <c r="AC33" t="n">
        <v>0</v>
      </c>
      <c r="AD33" t="n">
        <v>0</v>
      </c>
      <c r="AW33" t="n">
        <v>0</v>
      </c>
    </row>
    <row r="34">
      <c r="A34" t="inlineStr">
        <is>
          <t>dredge</t>
        </is>
      </c>
      <c r="B34" t="inlineStr">
        <is>
          <t>it balances.</t>
        </is>
      </c>
      <c r="C34" t="n">
        <v>0</v>
      </c>
      <c r="D34" t="n">
        <v>0</v>
      </c>
      <c r="E34" t="n">
        <v>0</v>
      </c>
      <c r="F34" t="n">
        <v>0</v>
      </c>
      <c r="G34" t="n">
        <v>0</v>
      </c>
      <c r="H34" t="n">
        <v>0</v>
      </c>
      <c r="I34" t="n">
        <v>0</v>
      </c>
      <c r="J34" t="n">
        <v>0</v>
      </c>
      <c r="K34" t="n">
        <v>0</v>
      </c>
      <c r="L34" t="n">
        <v>0</v>
      </c>
      <c r="M34" t="n">
        <v>0</v>
      </c>
      <c r="N34" t="n">
        <v>0</v>
      </c>
      <c r="O34" t="n">
        <v>0</v>
      </c>
      <c r="P34" t="n">
        <v>0</v>
      </c>
      <c r="Q34" t="n">
        <v>0</v>
      </c>
      <c r="R34" t="n">
        <v>0</v>
      </c>
      <c r="S34" t="n">
        <v>0</v>
      </c>
      <c r="T34" t="n">
        <v>0</v>
      </c>
      <c r="U34" t="n">
        <v>0</v>
      </c>
      <c r="V34" t="n">
        <v>0</v>
      </c>
      <c r="W34" t="n">
        <v>0</v>
      </c>
      <c r="X34" t="n">
        <v>0</v>
      </c>
      <c r="Y34" t="n">
        <v>0</v>
      </c>
      <c r="Z34" t="n">
        <v>0</v>
      </c>
      <c r="AA34" t="n">
        <v>0</v>
      </c>
      <c r="AB34" t="n">
        <v>0</v>
      </c>
      <c r="AC34" t="n">
        <v>0</v>
      </c>
      <c r="AD34" t="n">
        <v>0</v>
      </c>
      <c r="AW34" t="n">
        <v>0</v>
      </c>
    </row>
    <row r="35">
      <c r="A35" t="inlineStr">
        <is>
          <t>dredge</t>
        </is>
      </c>
      <c r="B35" t="inlineStr">
        <is>
          <t>total</t>
        </is>
      </c>
      <c r="C35" t="n">
        <v>0</v>
      </c>
      <c r="D35" t="n">
        <v>0</v>
      </c>
      <c r="E35" t="n">
        <v>0</v>
      </c>
      <c r="F35" t="n">
        <v>0</v>
      </c>
      <c r="G35" t="n">
        <v>0</v>
      </c>
      <c r="H35" t="n">
        <v>0</v>
      </c>
      <c r="I35" t="n">
        <v>0</v>
      </c>
      <c r="J35" t="n">
        <v>0</v>
      </c>
      <c r="K35" t="n">
        <v>0</v>
      </c>
      <c r="L35" t="n">
        <v>0</v>
      </c>
      <c r="M35" t="n">
        <v>0</v>
      </c>
      <c r="N35" t="n">
        <v>0</v>
      </c>
      <c r="O35" t="n">
        <v>0</v>
      </c>
      <c r="P35" t="n">
        <v>0</v>
      </c>
      <c r="Q35" t="n">
        <v>0</v>
      </c>
      <c r="R35" t="n">
        <v>0</v>
      </c>
      <c r="S35" t="n">
        <v>0</v>
      </c>
      <c r="T35" t="n">
        <v>0</v>
      </c>
      <c r="U35" t="n">
        <v>0</v>
      </c>
      <c r="V35" t="n">
        <v>0</v>
      </c>
      <c r="W35" t="n">
        <v>0</v>
      </c>
      <c r="AW35" t="n">
        <v>0</v>
      </c>
    </row>
    <row r="36">
      <c r="A36" t="inlineStr">
        <is>
          <t>oats</t>
        </is>
      </c>
      <c r="B36" t="inlineStr">
        <is>
          <t>and for 36 quarters of oats from the whole issue of the grange, threshed by piece-work.</t>
        </is>
      </c>
      <c r="C36" t="n">
        <v>0</v>
      </c>
      <c r="D36" t="n">
        <v>0</v>
      </c>
      <c r="E36" t="n">
        <v>0</v>
      </c>
      <c r="F36" t="n">
        <v>0</v>
      </c>
      <c r="G36" t="n">
        <v>0</v>
      </c>
      <c r="H36" t="n">
        <v>0</v>
      </c>
      <c r="I36" t="n">
        <v>0</v>
      </c>
      <c r="J36" t="n">
        <v>0</v>
      </c>
      <c r="K36" t="n">
        <v>0</v>
      </c>
      <c r="L36" t="n">
        <v>0</v>
      </c>
      <c r="M36" t="n">
        <v>0</v>
      </c>
      <c r="N36" t="n">
        <v>0</v>
      </c>
      <c r="O36" t="n">
        <v>0</v>
      </c>
      <c r="P36" t="n">
        <v>0</v>
      </c>
      <c r="Q36" t="n">
        <v>0</v>
      </c>
      <c r="R36" t="n">
        <v>0</v>
      </c>
      <c r="S36" t="n">
        <v>0</v>
      </c>
      <c r="T36" t="n">
        <v>36</v>
      </c>
      <c r="U36" t="n">
        <v>0</v>
      </c>
      <c r="V36" t="n">
        <v>36</v>
      </c>
      <c r="W36" t="n">
        <v>0</v>
      </c>
      <c r="X36" t="n">
        <v>36</v>
      </c>
      <c r="Y36" t="n">
        <v>0</v>
      </c>
      <c r="Z36" t="n">
        <v>36</v>
      </c>
      <c r="AA36" t="n">
        <v>36</v>
      </c>
      <c r="AB36" t="n">
        <v>0</v>
      </c>
      <c r="AC36" t="n">
        <v>36</v>
      </c>
      <c r="AD36" t="n">
        <v>0</v>
      </c>
      <c r="AW36" t="n">
        <v>0</v>
      </c>
    </row>
    <row r="37">
      <c r="A37" t="inlineStr">
        <is>
          <t>oats</t>
        </is>
      </c>
      <c r="B37" t="inlineStr">
        <is>
          <t>12 quarters from the same issue by estimation in sheaves.</t>
        </is>
      </c>
      <c r="C37" t="n">
        <v>0</v>
      </c>
      <c r="D37" t="n">
        <v>0</v>
      </c>
      <c r="E37" t="n">
        <v>0</v>
      </c>
      <c r="F37" t="n">
        <v>0</v>
      </c>
      <c r="G37" t="n">
        <v>0</v>
      </c>
      <c r="H37" t="n">
        <v>0</v>
      </c>
      <c r="I37" t="n">
        <v>0</v>
      </c>
      <c r="J37" t="n">
        <v>0</v>
      </c>
      <c r="K37" t="n">
        <v>0</v>
      </c>
      <c r="L37" t="n">
        <v>0</v>
      </c>
      <c r="M37" t="n">
        <v>0</v>
      </c>
      <c r="N37" t="n">
        <v>0</v>
      </c>
      <c r="O37" t="n">
        <v>0</v>
      </c>
      <c r="P37" t="n">
        <v>0</v>
      </c>
      <c r="Q37" t="n">
        <v>0</v>
      </c>
      <c r="R37" t="n">
        <v>0</v>
      </c>
      <c r="S37" t="n">
        <v>0</v>
      </c>
      <c r="T37" t="n">
        <v>0</v>
      </c>
      <c r="U37" t="n">
        <v>0</v>
      </c>
      <c r="V37" t="n">
        <v>0</v>
      </c>
      <c r="W37" t="n">
        <v>0</v>
      </c>
      <c r="X37" t="n">
        <v>12</v>
      </c>
      <c r="Y37" t="n">
        <v>0</v>
      </c>
      <c r="Z37" t="n">
        <v>12</v>
      </c>
      <c r="AA37" t="n">
        <v>12</v>
      </c>
      <c r="AB37" t="n">
        <v>0</v>
      </c>
      <c r="AC37" t="n">
        <v>12</v>
      </c>
      <c r="AD37" t="n">
        <v>0</v>
      </c>
      <c r="AW37" t="n">
        <v>0</v>
      </c>
    </row>
    <row r="38">
      <c r="A38" t="inlineStr">
        <is>
          <t>oats</t>
        </is>
      </c>
      <c r="B38" t="inlineStr">
        <is>
          <t>39 quarters 3 bushels from the vill according to custom at the purification (2 february).</t>
        </is>
      </c>
      <c r="C38" t="n">
        <v>0</v>
      </c>
      <c r="D38" t="n">
        <v>0</v>
      </c>
      <c r="E38" t="n">
        <v>0</v>
      </c>
      <c r="F38" t="n">
        <v>0</v>
      </c>
      <c r="G38" t="n">
        <v>0</v>
      </c>
      <c r="H38" t="n">
        <v>0</v>
      </c>
      <c r="I38" t="n">
        <v>0</v>
      </c>
      <c r="J38" t="n">
        <v>0</v>
      </c>
      <c r="K38" t="n">
        <v>0</v>
      </c>
      <c r="L38" t="n">
        <v>0</v>
      </c>
      <c r="M38" t="n">
        <v>0</v>
      </c>
      <c r="N38" t="n">
        <v>0</v>
      </c>
      <c r="O38" t="n">
        <v>0</v>
      </c>
      <c r="P38" t="n">
        <v>0</v>
      </c>
      <c r="Q38" t="n">
        <v>0</v>
      </c>
      <c r="R38" t="n">
        <v>0</v>
      </c>
      <c r="S38" t="n">
        <v>0</v>
      </c>
      <c r="T38" t="n">
        <v>0</v>
      </c>
      <c r="U38" t="n">
        <v>0</v>
      </c>
      <c r="V38" t="n">
        <v>0</v>
      </c>
      <c r="W38" t="n">
        <v>0</v>
      </c>
      <c r="X38" t="n">
        <v>39</v>
      </c>
      <c r="Y38" t="n">
        <v>3</v>
      </c>
      <c r="Z38" t="n">
        <v>39.38</v>
      </c>
      <c r="AA38" t="n">
        <v>39.38</v>
      </c>
      <c r="AB38" t="n">
        <v>0</v>
      </c>
      <c r="AC38" t="n">
        <v>39</v>
      </c>
      <c r="AD38" t="n">
        <v>3</v>
      </c>
      <c r="AW38" t="n">
        <v>0</v>
      </c>
    </row>
    <row r="39">
      <c r="A39" t="inlineStr">
        <is>
          <t>oats</t>
        </is>
      </c>
      <c r="B39" t="inlineStr">
        <is>
          <t>6 quarters surcharged so that he answers for a 3-fold yield.</t>
        </is>
      </c>
      <c r="C39" t="n">
        <v>0</v>
      </c>
      <c r="D39" t="n">
        <v>0</v>
      </c>
      <c r="E39" t="n">
        <v>0</v>
      </c>
      <c r="F39" t="n">
        <v>0</v>
      </c>
      <c r="G39" t="n">
        <v>0</v>
      </c>
      <c r="H39" t="n">
        <v>0</v>
      </c>
      <c r="I39" t="n">
        <v>0</v>
      </c>
      <c r="J39" t="n">
        <v>0</v>
      </c>
      <c r="K39" t="n">
        <v>0</v>
      </c>
      <c r="L39" t="n">
        <v>0</v>
      </c>
      <c r="M39" t="n">
        <v>0</v>
      </c>
      <c r="N39" t="n">
        <v>0</v>
      </c>
      <c r="O39" t="n">
        <v>0</v>
      </c>
      <c r="P39" t="n">
        <v>0</v>
      </c>
      <c r="Q39" t="n">
        <v>0</v>
      </c>
      <c r="R39" t="n">
        <v>0</v>
      </c>
      <c r="S39" t="n">
        <v>0</v>
      </c>
      <c r="T39" t="n">
        <v>0</v>
      </c>
      <c r="U39" t="n">
        <v>0</v>
      </c>
      <c r="V39" t="n">
        <v>0</v>
      </c>
      <c r="W39" t="n">
        <v>0</v>
      </c>
      <c r="X39" t="n">
        <v>6</v>
      </c>
      <c r="Y39" t="n">
        <v>0</v>
      </c>
      <c r="Z39" t="n">
        <v>6</v>
      </c>
      <c r="AA39" t="n">
        <v>6</v>
      </c>
      <c r="AB39" t="n">
        <v>0</v>
      </c>
      <c r="AC39" t="n">
        <v>6</v>
      </c>
      <c r="AD39" t="n">
        <v>0</v>
      </c>
      <c r="AW39" t="n">
        <v>0</v>
      </c>
    </row>
    <row r="40">
      <c r="A40" t="inlineStr">
        <is>
          <t>oats</t>
        </is>
      </c>
      <c r="B40" t="inlineStr">
        <is>
          <t>total, 93 quarters 3 bushels.</t>
        </is>
      </c>
      <c r="C40" t="n">
        <v>0</v>
      </c>
      <c r="D40" t="n">
        <v>0</v>
      </c>
      <c r="E40" t="n">
        <v>0</v>
      </c>
      <c r="F40" t="n">
        <v>0</v>
      </c>
      <c r="G40" t="n">
        <v>0</v>
      </c>
      <c r="H40" t="n">
        <v>0</v>
      </c>
      <c r="I40" t="n">
        <v>0</v>
      </c>
      <c r="J40" t="n">
        <v>0</v>
      </c>
      <c r="K40" t="n">
        <v>0</v>
      </c>
      <c r="L40" t="n">
        <v>0</v>
      </c>
      <c r="M40" t="n">
        <v>0</v>
      </c>
      <c r="N40" t="n">
        <v>0</v>
      </c>
      <c r="O40" t="n">
        <v>0</v>
      </c>
      <c r="P40" t="n">
        <v>0</v>
      </c>
      <c r="Q40" t="n">
        <v>0</v>
      </c>
      <c r="R40" t="n">
        <v>0</v>
      </c>
      <c r="S40" t="n">
        <v>0</v>
      </c>
      <c r="T40" t="n">
        <v>0</v>
      </c>
      <c r="U40" t="n">
        <v>0</v>
      </c>
      <c r="V40" t="n">
        <v>0</v>
      </c>
      <c r="W40" t="n">
        <v>0</v>
      </c>
      <c r="X40" t="n">
        <v>93</v>
      </c>
      <c r="Y40" t="n">
        <v>3</v>
      </c>
      <c r="Z40" t="n">
        <v>93.38</v>
      </c>
      <c r="AA40" t="n">
        <v>93.38</v>
      </c>
      <c r="AB40" t="n">
        <v>0</v>
      </c>
      <c r="AC40" t="n">
        <v>93</v>
      </c>
      <c r="AD40" t="n">
        <v>3</v>
      </c>
      <c r="AW40" t="n">
        <v>0</v>
      </c>
    </row>
    <row r="41">
      <c r="A41" t="inlineStr">
        <is>
          <t>oats</t>
        </is>
      </c>
      <c r="B41" t="inlineStr">
        <is>
          <t>sown over 34.5 acres of land by the perch which lie in le malme, 17 quarters 2 bushels.</t>
        </is>
      </c>
      <c r="C41" t="n">
        <v>0</v>
      </c>
      <c r="D41" t="n">
        <v>0</v>
      </c>
      <c r="E41" t="n">
        <v>17</v>
      </c>
      <c r="F41" t="n">
        <v>2</v>
      </c>
      <c r="G41" t="n">
        <v>17.25</v>
      </c>
      <c r="H41" t="n">
        <v>0</v>
      </c>
      <c r="I41" t="n">
        <v>0</v>
      </c>
      <c r="J41" t="n">
        <v>0</v>
      </c>
      <c r="K41" t="n">
        <v>0</v>
      </c>
      <c r="L41" t="n">
        <v>0</v>
      </c>
      <c r="M41" t="n">
        <v>0</v>
      </c>
      <c r="N41" t="n">
        <v>0</v>
      </c>
      <c r="O41" t="n">
        <v>0</v>
      </c>
      <c r="P41" t="n">
        <v>0</v>
      </c>
      <c r="Q41" t="n">
        <v>0</v>
      </c>
      <c r="R41" t="n">
        <v>0</v>
      </c>
      <c r="S41" t="n">
        <v>0</v>
      </c>
      <c r="T41" t="n">
        <v>0</v>
      </c>
      <c r="U41" t="n">
        <v>0</v>
      </c>
      <c r="V41" t="n">
        <v>0</v>
      </c>
      <c r="W41" t="n">
        <v>0</v>
      </c>
      <c r="X41" t="n">
        <v>17</v>
      </c>
      <c r="Y41" t="n">
        <v>2</v>
      </c>
      <c r="Z41" t="n">
        <v>17.25</v>
      </c>
      <c r="AA41" t="n">
        <v>17.25</v>
      </c>
      <c r="AB41" t="n">
        <v>0</v>
      </c>
      <c r="AC41" t="n">
        <v>17</v>
      </c>
      <c r="AD41" t="n">
        <v>2</v>
      </c>
      <c r="AW41" t="n">
        <v>0</v>
      </c>
    </row>
    <row r="42">
      <c r="A42" t="inlineStr">
        <is>
          <t>oats</t>
        </is>
      </c>
      <c r="B42" t="inlineStr">
        <is>
          <t>that is, 4 bushels an acre.</t>
        </is>
      </c>
      <c r="C42" t="n">
        <v>0</v>
      </c>
      <c r="D42" t="n">
        <v>0</v>
      </c>
      <c r="E42" t="n">
        <v>0</v>
      </c>
      <c r="F42" t="n">
        <v>0</v>
      </c>
      <c r="G42" t="n">
        <v>0</v>
      </c>
      <c r="H42" t="n">
        <v>0</v>
      </c>
      <c r="I42" t="n">
        <v>0</v>
      </c>
      <c r="J42" t="n">
        <v>0</v>
      </c>
      <c r="K42" t="n">
        <v>0</v>
      </c>
      <c r="L42" t="n">
        <v>0</v>
      </c>
      <c r="M42" t="n">
        <v>0</v>
      </c>
      <c r="N42" t="n">
        <v>0</v>
      </c>
      <c r="O42" t="n">
        <v>0</v>
      </c>
      <c r="P42" t="n">
        <v>0</v>
      </c>
      <c r="Q42" t="n">
        <v>0</v>
      </c>
      <c r="R42" t="n">
        <v>0</v>
      </c>
      <c r="S42" t="n">
        <v>0</v>
      </c>
      <c r="T42" t="n">
        <v>0</v>
      </c>
      <c r="U42" t="n">
        <v>0</v>
      </c>
      <c r="V42" t="n">
        <v>0</v>
      </c>
      <c r="W42" t="n">
        <v>0</v>
      </c>
      <c r="X42" t="n">
        <v>0</v>
      </c>
      <c r="Y42" t="n">
        <v>4</v>
      </c>
      <c r="Z42" t="n">
        <v>0.5</v>
      </c>
      <c r="AA42" t="n">
        <v>0.5</v>
      </c>
      <c r="AB42" t="n">
        <v>0</v>
      </c>
      <c r="AC42" t="n">
        <v>0</v>
      </c>
      <c r="AD42" t="n">
        <v>4</v>
      </c>
      <c r="AW42" t="n">
        <v>0</v>
      </c>
    </row>
    <row r="43">
      <c r="A43" t="inlineStr">
        <is>
          <t>oats</t>
        </is>
      </c>
      <c r="B43" t="inlineStr">
        <is>
          <t>default of various tenements in the lord's hands through the death of customary tenants by the pestilence, 11 quarters 2 bushels.</t>
        </is>
      </c>
      <c r="C43" t="n">
        <v>0</v>
      </c>
      <c r="D43" t="n">
        <v>0</v>
      </c>
      <c r="E43" t="n">
        <v>0</v>
      </c>
      <c r="F43" t="n">
        <v>0</v>
      </c>
      <c r="G43" t="n">
        <v>0</v>
      </c>
      <c r="H43" t="n">
        <v>0</v>
      </c>
      <c r="I43" t="n">
        <v>0</v>
      </c>
      <c r="J43" t="n">
        <v>0</v>
      </c>
      <c r="K43" t="n">
        <v>0</v>
      </c>
      <c r="L43" t="n">
        <v>0</v>
      </c>
      <c r="M43" t="n">
        <v>0</v>
      </c>
      <c r="N43" t="n">
        <v>0</v>
      </c>
      <c r="O43" t="n">
        <v>0</v>
      </c>
      <c r="P43" t="n">
        <v>0</v>
      </c>
      <c r="Q43" t="n">
        <v>0</v>
      </c>
      <c r="R43" t="n">
        <v>0</v>
      </c>
      <c r="S43" t="n">
        <v>0</v>
      </c>
      <c r="T43" t="n">
        <v>0</v>
      </c>
      <c r="U43" t="n">
        <v>0</v>
      </c>
      <c r="V43" t="n">
        <v>0</v>
      </c>
      <c r="W43" t="n">
        <v>0</v>
      </c>
      <c r="X43" t="n">
        <v>11</v>
      </c>
      <c r="Y43" t="n">
        <v>2</v>
      </c>
      <c r="Z43" t="n">
        <v>11.25</v>
      </c>
      <c r="AA43" t="n">
        <v>11.25</v>
      </c>
      <c r="AB43" t="n">
        <v>0</v>
      </c>
      <c r="AC43" t="n">
        <v>11</v>
      </c>
      <c r="AD43" t="n">
        <v>2</v>
      </c>
      <c r="AW43" t="n">
        <v>0</v>
      </c>
    </row>
    <row r="44">
      <c r="A44" t="inlineStr">
        <is>
          <t>oats</t>
        </is>
      </c>
      <c r="B44" t="inlineStr">
        <is>
          <t>that is, 6 bushels for the tenement of james fourhous, 1 qr 4 bushels for that of john wodefoghell', 1 qr 4 bushels for that of henry havecombe, 6 bushels for that of john peke, 1 qr 4 bushels for that of john havecombe, 6 bushels for that of william vage, 2 quarters 2 bushels for that of john atte wode, 6 bushels for that of william elyot, 6 bushels for that of james gybon, and 6 bushels for that of john herry.</t>
        </is>
      </c>
      <c r="C44" t="n">
        <v>0</v>
      </c>
      <c r="D44" t="n">
        <v>0</v>
      </c>
      <c r="E44" t="n">
        <v>0</v>
      </c>
      <c r="F44" t="n">
        <v>0</v>
      </c>
      <c r="G44" t="n">
        <v>0</v>
      </c>
      <c r="H44" t="n">
        <v>0</v>
      </c>
      <c r="I44" t="n">
        <v>0</v>
      </c>
      <c r="J44" t="n">
        <v>0</v>
      </c>
      <c r="K44" t="n">
        <v>0</v>
      </c>
      <c r="L44" t="n">
        <v>0</v>
      </c>
      <c r="M44" t="n">
        <v>0</v>
      </c>
      <c r="N44" t="n">
        <v>0</v>
      </c>
      <c r="O44" t="n">
        <v>0</v>
      </c>
      <c r="P44" t="n">
        <v>0</v>
      </c>
      <c r="Q44" t="n">
        <v>0</v>
      </c>
      <c r="R44" t="n">
        <v>0</v>
      </c>
      <c r="S44" t="n">
        <v>0</v>
      </c>
      <c r="T44" t="n">
        <v>0</v>
      </c>
      <c r="U44" t="n">
        <v>0</v>
      </c>
      <c r="V44" t="n">
        <v>0</v>
      </c>
      <c r="W44" t="n">
        <v>0</v>
      </c>
      <c r="AW44" t="n">
        <v>0</v>
      </c>
    </row>
    <row r="45">
      <c r="A45" t="inlineStr">
        <is>
          <t>oats</t>
        </is>
      </c>
      <c r="B45" t="inlineStr">
        <is>
          <t>meal made for the pottage of the manorial servants for the year, 4 quarters.</t>
        </is>
      </c>
      <c r="C45" t="n">
        <v>0</v>
      </c>
      <c r="D45" t="n">
        <v>0</v>
      </c>
      <c r="E45" t="n">
        <v>0</v>
      </c>
      <c r="F45" t="n">
        <v>0</v>
      </c>
      <c r="G45" t="n">
        <v>0</v>
      </c>
      <c r="H45" t="n">
        <v>0</v>
      </c>
      <c r="I45" t="n">
        <v>0</v>
      </c>
      <c r="J45" t="n">
        <v>0</v>
      </c>
      <c r="K45" t="n">
        <v>0</v>
      </c>
      <c r="L45" t="n">
        <v>0</v>
      </c>
      <c r="M45" t="n">
        <v>0</v>
      </c>
      <c r="N45" t="n">
        <v>0</v>
      </c>
      <c r="O45" t="n">
        <v>0</v>
      </c>
      <c r="P45" t="n">
        <v>0</v>
      </c>
      <c r="Q45" t="n">
        <v>0</v>
      </c>
      <c r="R45" t="n">
        <v>0</v>
      </c>
      <c r="S45" t="n">
        <v>0</v>
      </c>
      <c r="T45" t="n">
        <v>0</v>
      </c>
      <c r="U45" t="n">
        <v>0</v>
      </c>
      <c r="V45" t="n">
        <v>0</v>
      </c>
      <c r="W45" t="n">
        <v>0</v>
      </c>
      <c r="X45" t="n">
        <v>4</v>
      </c>
      <c r="Y45" t="n">
        <v>0</v>
      </c>
      <c r="Z45" t="n">
        <v>4</v>
      </c>
      <c r="AA45" t="n">
        <v>4</v>
      </c>
      <c r="AB45" t="n">
        <v>0</v>
      </c>
      <c r="AC45" t="n">
        <v>4</v>
      </c>
      <c r="AD45" t="n">
        <v>0</v>
      </c>
      <c r="AW45" t="n">
        <v>0</v>
      </c>
    </row>
    <row r="46">
      <c r="A46" t="inlineStr">
        <is>
          <t>oats</t>
        </is>
      </c>
      <c r="B46" t="inlineStr">
        <is>
          <t>fodder of the cart-horses at both sowings, 2 quarters.</t>
        </is>
      </c>
      <c r="C46" t="n">
        <v>0</v>
      </c>
      <c r="D46" t="n">
        <v>0</v>
      </c>
      <c r="E46" t="n">
        <v>0</v>
      </c>
      <c r="F46" t="n">
        <v>0</v>
      </c>
      <c r="G46" t="n">
        <v>0</v>
      </c>
      <c r="H46" t="n">
        <v>0</v>
      </c>
      <c r="I46" t="n">
        <v>0</v>
      </c>
      <c r="J46" t="n">
        <v>0</v>
      </c>
      <c r="K46" t="n">
        <v>0</v>
      </c>
      <c r="L46" t="n">
        <v>0</v>
      </c>
      <c r="M46" t="n">
        <v>0</v>
      </c>
      <c r="N46" t="n">
        <v>2</v>
      </c>
      <c r="O46" t="n">
        <v>0</v>
      </c>
      <c r="P46" t="n">
        <v>2</v>
      </c>
      <c r="Q46" t="n">
        <v>0</v>
      </c>
      <c r="R46" t="n">
        <v>0</v>
      </c>
      <c r="S46" t="n">
        <v>0</v>
      </c>
      <c r="T46" t="n">
        <v>0</v>
      </c>
      <c r="U46" t="n">
        <v>0</v>
      </c>
      <c r="V46" t="n">
        <v>0</v>
      </c>
      <c r="W46" t="n">
        <v>0</v>
      </c>
      <c r="X46" t="n">
        <v>2</v>
      </c>
      <c r="Y46" t="n">
        <v>0</v>
      </c>
      <c r="Z46" t="n">
        <v>2</v>
      </c>
      <c r="AA46" t="n">
        <v>2</v>
      </c>
      <c r="AB46" t="n">
        <v>0</v>
      </c>
      <c r="AC46" t="n">
        <v>2</v>
      </c>
      <c r="AD46" t="n">
        <v>0</v>
      </c>
      <c r="AW46" t="n">
        <v>0</v>
      </c>
    </row>
    <row r="47">
      <c r="A47" t="inlineStr">
        <is>
          <t>oats</t>
        </is>
      </c>
      <c r="B47" t="inlineStr">
        <is>
          <t>given to support the oxen, cows, calves and other cattle, ewes and hoggs in winter by reason of their feebleness, 10 quarters by estimation in sheaves.</t>
        </is>
      </c>
      <c r="C47" t="n">
        <v>0</v>
      </c>
      <c r="D47" t="n">
        <v>0</v>
      </c>
      <c r="E47" t="n">
        <v>0</v>
      </c>
      <c r="F47" t="n">
        <v>0</v>
      </c>
      <c r="G47" t="n">
        <v>0</v>
      </c>
      <c r="H47" t="n">
        <v>0</v>
      </c>
      <c r="I47" t="n">
        <v>0</v>
      </c>
      <c r="J47" t="n">
        <v>0</v>
      </c>
      <c r="K47" t="n">
        <v>0</v>
      </c>
      <c r="L47" t="n">
        <v>0</v>
      </c>
      <c r="M47" t="n">
        <v>0</v>
      </c>
      <c r="N47" t="n">
        <v>0</v>
      </c>
      <c r="O47" t="n">
        <v>0</v>
      </c>
      <c r="P47" t="n">
        <v>0</v>
      </c>
      <c r="Q47" t="n">
        <v>0</v>
      </c>
      <c r="R47" t="n">
        <v>0</v>
      </c>
      <c r="S47" t="n">
        <v>0</v>
      </c>
      <c r="T47" t="n">
        <v>0</v>
      </c>
      <c r="U47" t="n">
        <v>0</v>
      </c>
      <c r="V47" t="n">
        <v>0</v>
      </c>
      <c r="W47" t="n">
        <v>0</v>
      </c>
      <c r="X47" t="n">
        <v>10</v>
      </c>
      <c r="Y47" t="n">
        <v>0</v>
      </c>
      <c r="Z47" t="n">
        <v>10</v>
      </c>
      <c r="AA47" t="n">
        <v>10</v>
      </c>
      <c r="AB47" t="n">
        <v>0</v>
      </c>
      <c r="AC47" t="n">
        <v>10</v>
      </c>
      <c r="AD47" t="n">
        <v>0</v>
      </c>
      <c r="AW47" t="n">
        <v>0</v>
      </c>
    </row>
    <row r="48">
      <c r="A48" t="inlineStr">
        <is>
          <t>oats</t>
        </is>
      </c>
      <c r="B48" t="inlineStr">
        <is>
          <t>fodder of the horses of the steward holding the tourns of martinmas and hockday, by 2 sealed bills, 2 quarters 2 bushels.</t>
        </is>
      </c>
      <c r="C48" t="n">
        <v>0</v>
      </c>
      <c r="D48" t="n">
        <v>0</v>
      </c>
      <c r="E48" t="n">
        <v>0</v>
      </c>
      <c r="F48" t="n">
        <v>0</v>
      </c>
      <c r="G48" t="n">
        <v>0</v>
      </c>
      <c r="H48" t="n">
        <v>0</v>
      </c>
      <c r="I48" t="n">
        <v>0</v>
      </c>
      <c r="J48" t="n">
        <v>0</v>
      </c>
      <c r="K48" t="n">
        <v>0</v>
      </c>
      <c r="L48" t="n">
        <v>0</v>
      </c>
      <c r="M48" t="n">
        <v>0</v>
      </c>
      <c r="N48" t="n">
        <v>2</v>
      </c>
      <c r="O48" t="n">
        <v>2</v>
      </c>
      <c r="P48" t="n">
        <v>2.25</v>
      </c>
      <c r="Q48" t="n">
        <v>0</v>
      </c>
      <c r="R48" t="n">
        <v>0</v>
      </c>
      <c r="S48" t="n">
        <v>0</v>
      </c>
      <c r="T48" t="n">
        <v>0</v>
      </c>
      <c r="U48" t="n">
        <v>0</v>
      </c>
      <c r="V48" t="n">
        <v>0</v>
      </c>
      <c r="W48" t="n">
        <v>0</v>
      </c>
      <c r="X48" t="n">
        <v>2</v>
      </c>
      <c r="Y48" t="n">
        <v>2</v>
      </c>
      <c r="Z48" t="n">
        <v>2.25</v>
      </c>
      <c r="AA48" t="n">
        <v>2.25</v>
      </c>
      <c r="AB48" t="n">
        <v>0</v>
      </c>
      <c r="AC48" t="n">
        <v>2</v>
      </c>
      <c r="AD48" t="n">
        <v>2</v>
      </c>
      <c r="AW48" t="n">
        <v>0</v>
      </c>
    </row>
    <row r="49">
      <c r="A49" t="inlineStr">
        <is>
          <t>oats</t>
        </is>
      </c>
      <c r="B49" t="inlineStr">
        <is>
          <t>sold within, 34 quarters 5 bushels, of which 4 quarters 4 bushels sold to the lord's household..</t>
        </is>
      </c>
      <c r="C49" t="n">
        <v>0</v>
      </c>
      <c r="D49" t="n">
        <v>0</v>
      </c>
      <c r="E49" t="n">
        <v>0</v>
      </c>
      <c r="F49" t="n">
        <v>0</v>
      </c>
      <c r="G49" t="n">
        <v>0</v>
      </c>
      <c r="H49" t="n">
        <v>0</v>
      </c>
      <c r="I49" t="n">
        <v>0</v>
      </c>
      <c r="J49" t="n">
        <v>0</v>
      </c>
      <c r="K49" t="n">
        <v>0</v>
      </c>
      <c r="L49" t="n">
        <v>0</v>
      </c>
      <c r="M49" t="n">
        <v>0</v>
      </c>
      <c r="N49" t="n">
        <v>0</v>
      </c>
      <c r="O49" t="n">
        <v>0</v>
      </c>
      <c r="P49" t="n">
        <v>0</v>
      </c>
      <c r="Q49" t="n">
        <v>38</v>
      </c>
      <c r="R49" t="n">
        <v>9</v>
      </c>
      <c r="S49" t="n">
        <v>39.12</v>
      </c>
      <c r="T49" t="n">
        <v>0</v>
      </c>
      <c r="U49" t="n">
        <v>0</v>
      </c>
      <c r="V49" t="n">
        <v>0</v>
      </c>
      <c r="W49" t="n">
        <v>0</v>
      </c>
      <c r="X49" t="n">
        <v>4</v>
      </c>
      <c r="Y49" t="n">
        <v>4</v>
      </c>
      <c r="Z49" t="n">
        <v>4.5</v>
      </c>
      <c r="AA49" t="n">
        <v>34.62</v>
      </c>
      <c r="AB49" t="n">
        <v>-30.12</v>
      </c>
      <c r="AC49" t="n">
        <v>34</v>
      </c>
      <c r="AD49" t="n">
        <v>5</v>
      </c>
      <c r="AE49" t="n">
        <v>4</v>
      </c>
      <c r="AF49" t="n">
        <v>4</v>
      </c>
      <c r="AW49" t="n">
        <v>0</v>
      </c>
    </row>
    <row r="50">
      <c r="A50" t="inlineStr">
        <is>
          <t>oats</t>
        </is>
      </c>
      <c r="B50" t="inlineStr">
        <is>
          <t>sold at the audit,, 12 quarters for £1 4 shilling.</t>
        </is>
      </c>
      <c r="C50" t="n">
        <v>0</v>
      </c>
      <c r="D50" t="n">
        <v>0</v>
      </c>
      <c r="E50" t="n">
        <v>0</v>
      </c>
      <c r="F50" t="n">
        <v>0</v>
      </c>
      <c r="G50" t="n">
        <v>0</v>
      </c>
      <c r="H50" t="n">
        <v>0</v>
      </c>
      <c r="I50" t="n">
        <v>0</v>
      </c>
      <c r="J50" t="n">
        <v>0</v>
      </c>
      <c r="K50" t="n">
        <v>0</v>
      </c>
      <c r="L50" t="n">
        <v>0</v>
      </c>
      <c r="M50" t="n">
        <v>0</v>
      </c>
      <c r="N50" t="n">
        <v>0</v>
      </c>
      <c r="O50" t="n">
        <v>0</v>
      </c>
      <c r="P50" t="n">
        <v>0</v>
      </c>
      <c r="Q50" t="n">
        <v>12</v>
      </c>
      <c r="R50" t="n">
        <v>0</v>
      </c>
      <c r="S50" t="n">
        <v>12</v>
      </c>
      <c r="T50" t="n">
        <v>0</v>
      </c>
      <c r="U50" t="n">
        <v>0</v>
      </c>
      <c r="V50" t="n">
        <v>0</v>
      </c>
      <c r="W50" t="n">
        <v>0</v>
      </c>
      <c r="X50" t="n">
        <v>12</v>
      </c>
      <c r="Y50" t="n">
        <v>0</v>
      </c>
      <c r="Z50" t="n">
        <v>12</v>
      </c>
      <c r="AA50" t="n">
        <v>12</v>
      </c>
      <c r="AB50" t="n">
        <v>0</v>
      </c>
      <c r="AC50" t="n">
        <v>12</v>
      </c>
      <c r="AD50" t="n">
        <v>0</v>
      </c>
      <c r="AW50" t="n">
        <v>0</v>
      </c>
    </row>
    <row r="51">
      <c r="A51" t="inlineStr">
        <is>
          <t>oats</t>
        </is>
      </c>
      <c r="B51" t="inlineStr">
        <is>
          <t>total as before.</t>
        </is>
      </c>
      <c r="C51" t="n">
        <v>0</v>
      </c>
      <c r="D51" t="n">
        <v>0</v>
      </c>
      <c r="E51" t="n">
        <v>0</v>
      </c>
      <c r="F51" t="n">
        <v>0</v>
      </c>
      <c r="G51" t="n">
        <v>0</v>
      </c>
      <c r="H51" t="n">
        <v>0</v>
      </c>
      <c r="I51" t="n">
        <v>0</v>
      </c>
      <c r="J51" t="n">
        <v>0</v>
      </c>
      <c r="K51" t="n">
        <v>0</v>
      </c>
      <c r="L51" t="n">
        <v>0</v>
      </c>
      <c r="M51" t="n">
        <v>0</v>
      </c>
      <c r="N51" t="n">
        <v>0</v>
      </c>
      <c r="O51" t="n">
        <v>0</v>
      </c>
      <c r="P51" t="n">
        <v>0</v>
      </c>
      <c r="Q51" t="n">
        <v>0</v>
      </c>
      <c r="R51" t="n">
        <v>0</v>
      </c>
      <c r="S51" t="n">
        <v>0</v>
      </c>
      <c r="T51" t="n">
        <v>0</v>
      </c>
      <c r="U51" t="n">
        <v>0</v>
      </c>
      <c r="V51" t="n">
        <v>0</v>
      </c>
      <c r="W51" t="n">
        <v>0</v>
      </c>
      <c r="X51" t="n">
        <v>0</v>
      </c>
      <c r="Y51" t="n">
        <v>0</v>
      </c>
      <c r="Z51" t="n">
        <v>0</v>
      </c>
      <c r="AA51" t="n">
        <v>0</v>
      </c>
      <c r="AB51" t="n">
        <v>0</v>
      </c>
      <c r="AC51" t="n">
        <v>0</v>
      </c>
      <c r="AD51" t="n">
        <v>0</v>
      </c>
      <c r="AW51" t="n">
        <v>0</v>
      </c>
    </row>
    <row r="52">
      <c r="A52" t="inlineStr">
        <is>
          <t>oats</t>
        </is>
      </c>
      <c r="B52" t="inlineStr">
        <is>
          <t>it balances.</t>
        </is>
      </c>
      <c r="C52" t="n">
        <v>0</v>
      </c>
      <c r="D52" t="n">
        <v>0</v>
      </c>
      <c r="E52" t="n">
        <v>0</v>
      </c>
      <c r="F52" t="n">
        <v>0</v>
      </c>
      <c r="G52" t="n">
        <v>0</v>
      </c>
      <c r="H52" t="n">
        <v>0</v>
      </c>
      <c r="I52" t="n">
        <v>0</v>
      </c>
      <c r="J52" t="n">
        <v>0</v>
      </c>
      <c r="K52" t="n">
        <v>0</v>
      </c>
      <c r="L52" t="n">
        <v>0</v>
      </c>
      <c r="M52" t="n">
        <v>0</v>
      </c>
      <c r="N52" t="n">
        <v>0</v>
      </c>
      <c r="O52" t="n">
        <v>0</v>
      </c>
      <c r="P52" t="n">
        <v>0</v>
      </c>
      <c r="Q52" t="n">
        <v>0</v>
      </c>
      <c r="R52" t="n">
        <v>0</v>
      </c>
      <c r="S52" t="n">
        <v>0</v>
      </c>
      <c r="T52" t="n">
        <v>0</v>
      </c>
      <c r="U52" t="n">
        <v>0</v>
      </c>
      <c r="V52" t="n">
        <v>0</v>
      </c>
      <c r="W52" t="n">
        <v>0</v>
      </c>
      <c r="X52" t="n">
        <v>0</v>
      </c>
      <c r="Y52" t="n">
        <v>0</v>
      </c>
      <c r="Z52" t="n">
        <v>0</v>
      </c>
      <c r="AA52" t="n">
        <v>0</v>
      </c>
      <c r="AB52" t="n">
        <v>0</v>
      </c>
      <c r="AC52" t="n">
        <v>0</v>
      </c>
      <c r="AD52" t="n">
        <v>0</v>
      </c>
      <c r="AW52" t="n">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17"/>
  <sheetViews>
    <sheetView workbookViewId="0">
      <selection activeCell="A1" sqref="A1"/>
    </sheetView>
  </sheetViews>
  <sheetFormatPr baseColWidth="8" defaultRowHeight="15"/>
  <sheetData>
    <row r="1">
      <c r="A1" t="inlineStr">
        <is>
          <t>Gross Output</t>
        </is>
      </c>
      <c r="B1" t="inlineStr">
        <is>
          <t>Bought Only Aggregated</t>
        </is>
      </c>
      <c r="C1" t="inlineStr">
        <is>
          <t>Account Quarters</t>
        </is>
      </c>
      <c r="D1" t="inlineStr">
        <is>
          <t>Account Bushels</t>
        </is>
      </c>
      <c r="E1" t="inlineStr">
        <is>
          <t>Account Total Quarters</t>
        </is>
      </c>
      <c r="F1" t="inlineStr">
        <is>
          <t>Bought in Quarters</t>
        </is>
      </c>
      <c r="G1" t="inlineStr">
        <is>
          <t>Bought in Bushels</t>
        </is>
      </c>
      <c r="H1" t="inlineStr">
        <is>
          <t>Total Bought Quarters</t>
        </is>
      </c>
      <c r="I1" t="inlineStr">
        <is>
          <t>Sold Quarters</t>
        </is>
      </c>
      <c r="J1" t="inlineStr">
        <is>
          <t>Sold Bushels</t>
        </is>
      </c>
      <c r="K1" t="inlineStr">
        <is>
          <t>Sold Total Quarters</t>
        </is>
      </c>
      <c r="L1" t="inlineStr">
        <is>
          <t>Total Corn Quantity</t>
        </is>
      </c>
      <c r="M1" t="inlineStr">
        <is>
          <t>Difference Produced+Bought-Sold</t>
        </is>
      </c>
      <c r="N1" t="inlineStr">
        <is>
          <t>Weighted Average Price per Quarter</t>
        </is>
      </c>
      <c r="O1" t="inlineStr">
        <is>
          <t>Non-Weighted Average Price per Quarter</t>
        </is>
      </c>
      <c r="P1" t="inlineStr">
        <is>
          <t>Value of Total Production weighted</t>
        </is>
      </c>
      <c r="Q1" t="inlineStr">
        <is>
          <t>Value of Total Production unweighted</t>
        </is>
      </c>
    </row>
    <row r="2">
      <c r="A2" t="inlineStr">
        <is>
          <t>and he owes</t>
        </is>
      </c>
      <c r="B2" t="n">
        <v>0</v>
      </c>
      <c r="C2" t="n">
        <v>0</v>
      </c>
      <c r="D2" t="n">
        <v>0</v>
      </c>
      <c r="E2" t="n">
        <v>0</v>
      </c>
      <c r="F2" t="n">
        <v>0</v>
      </c>
      <c r="G2" t="n">
        <v>0</v>
      </c>
      <c r="H2" t="n">
        <v>0</v>
      </c>
      <c r="I2" t="n">
        <v>0</v>
      </c>
      <c r="J2" t="n">
        <v>0</v>
      </c>
      <c r="K2" t="n">
        <v>0</v>
      </c>
      <c r="L2" t="n">
        <v>0</v>
      </c>
      <c r="M2" t="n">
        <v>0</v>
      </c>
    </row>
    <row r="3">
      <c r="A3" t="inlineStr">
        <is>
          <t>wheat</t>
        </is>
      </c>
      <c r="B3" t="n">
        <v>0</v>
      </c>
      <c r="C3" t="n">
        <v>34</v>
      </c>
      <c r="D3" t="n">
        <v>0</v>
      </c>
      <c r="E3" t="n">
        <v>34</v>
      </c>
      <c r="F3" t="n">
        <v>0</v>
      </c>
      <c r="G3" t="n">
        <v>0</v>
      </c>
      <c r="H3" t="n">
        <v>0</v>
      </c>
      <c r="I3" t="n">
        <v>22</v>
      </c>
      <c r="J3" t="n">
        <v>2.5</v>
      </c>
      <c r="K3" t="n">
        <v>22.31</v>
      </c>
      <c r="L3" t="n">
        <v>34</v>
      </c>
      <c r="M3" t="n">
        <v>11.69</v>
      </c>
      <c r="N3" t="n">
        <v>0.4</v>
      </c>
      <c r="O3" t="n">
        <v>0.4</v>
      </c>
      <c r="P3" t="n">
        <v>13.6</v>
      </c>
      <c r="Q3" t="n">
        <v>13.6</v>
      </c>
    </row>
    <row r="4">
      <c r="A4" t="inlineStr">
        <is>
          <t>barley</t>
        </is>
      </c>
      <c r="B4" t="n">
        <v>0</v>
      </c>
      <c r="C4" t="n">
        <v>68</v>
      </c>
      <c r="D4" t="n">
        <v>2</v>
      </c>
      <c r="E4" t="n">
        <v>68.25</v>
      </c>
      <c r="F4" t="n">
        <v>0</v>
      </c>
      <c r="G4" t="n">
        <v>0</v>
      </c>
      <c r="H4" t="n">
        <v>0</v>
      </c>
      <c r="I4" t="n">
        <v>12</v>
      </c>
      <c r="J4" t="n">
        <v>6</v>
      </c>
      <c r="K4" t="n">
        <v>12.75</v>
      </c>
      <c r="L4" t="n">
        <v>68.25</v>
      </c>
      <c r="M4" t="n">
        <v>55.5</v>
      </c>
    </row>
    <row r="5">
      <c r="A5" t="inlineStr">
        <is>
          <t>dredge</t>
        </is>
      </c>
      <c r="B5" t="n">
        <v>0</v>
      </c>
      <c r="C5" t="n">
        <v>29</v>
      </c>
      <c r="D5" t="n">
        <v>4</v>
      </c>
      <c r="E5" t="n">
        <v>29.5</v>
      </c>
      <c r="F5" t="n">
        <v>0</v>
      </c>
      <c r="G5" t="n">
        <v>0</v>
      </c>
      <c r="H5" t="n">
        <v>0</v>
      </c>
      <c r="I5" t="n">
        <v>12</v>
      </c>
      <c r="J5" t="n">
        <v>4</v>
      </c>
      <c r="K5" t="n">
        <v>12.5</v>
      </c>
      <c r="L5" t="n">
        <v>29.5</v>
      </c>
      <c r="M5" t="n">
        <v>17</v>
      </c>
    </row>
    <row r="6">
      <c r="A6" t="inlineStr">
        <is>
          <t>oats</t>
        </is>
      </c>
      <c r="B6" t="n">
        <v>0</v>
      </c>
      <c r="C6" t="n">
        <v>36</v>
      </c>
      <c r="D6" t="n">
        <v>0</v>
      </c>
      <c r="E6" t="n">
        <v>36</v>
      </c>
      <c r="F6" t="n">
        <v>0</v>
      </c>
      <c r="G6" t="n">
        <v>0</v>
      </c>
      <c r="H6" t="n">
        <v>0</v>
      </c>
      <c r="I6" t="n">
        <v>38</v>
      </c>
      <c r="J6" t="n">
        <v>9</v>
      </c>
      <c r="K6" t="n">
        <v>39.12</v>
      </c>
      <c r="L6" t="n">
        <v>36</v>
      </c>
      <c r="M6" t="n">
        <v>-3.12</v>
      </c>
      <c r="N6" t="n">
        <v>0.13</v>
      </c>
      <c r="O6" t="n">
        <v>0.13</v>
      </c>
      <c r="P6" t="n">
        <v>4.8</v>
      </c>
      <c r="Q6" t="n">
        <v>4.8</v>
      </c>
    </row>
    <row r="7">
      <c r="A7" t="inlineStr">
        <is>
          <t>Mancorn</t>
        </is>
      </c>
      <c r="B7" t="n">
        <v>0</v>
      </c>
      <c r="C7" t="n">
        <v>0</v>
      </c>
      <c r="D7" t="n">
        <v>0</v>
      </c>
      <c r="E7" t="n">
        <v>0</v>
      </c>
      <c r="F7" t="n">
        <v>0</v>
      </c>
      <c r="G7" t="n">
        <v>0</v>
      </c>
      <c r="H7" t="n">
        <v>0</v>
      </c>
      <c r="I7" t="n">
        <v>0</v>
      </c>
      <c r="J7" t="n">
        <v>0</v>
      </c>
      <c r="K7" t="n">
        <v>0</v>
      </c>
      <c r="L7" t="n">
        <v>0</v>
      </c>
      <c r="M7" t="n">
        <v>0</v>
      </c>
    </row>
    <row r="8">
      <c r="A8" t="inlineStr">
        <is>
          <t>Maslin</t>
        </is>
      </c>
      <c r="B8" t="n">
        <v>0</v>
      </c>
      <c r="C8" t="n">
        <v>0</v>
      </c>
      <c r="D8" t="n">
        <v>0</v>
      </c>
      <c r="E8" t="n">
        <v>0</v>
      </c>
      <c r="F8" t="n">
        <v>0</v>
      </c>
      <c r="G8" t="n">
        <v>0</v>
      </c>
      <c r="H8" t="n">
        <v>0</v>
      </c>
      <c r="I8" t="n">
        <v>0</v>
      </c>
      <c r="J8" t="n">
        <v>0</v>
      </c>
      <c r="K8" t="n">
        <v>0</v>
      </c>
      <c r="L8" t="n">
        <v>0</v>
      </c>
      <c r="M8" t="n">
        <v>0</v>
      </c>
    </row>
    <row r="9">
      <c r="A9" t="inlineStr">
        <is>
          <t>First-grade malt</t>
        </is>
      </c>
      <c r="B9" t="n">
        <v>0</v>
      </c>
      <c r="C9" t="n">
        <v>0</v>
      </c>
      <c r="D9" t="n">
        <v>0</v>
      </c>
      <c r="E9" t="n">
        <v>0</v>
      </c>
      <c r="F9" t="n">
        <v>0</v>
      </c>
      <c r="G9" t="n">
        <v>0</v>
      </c>
      <c r="H9" t="n">
        <v>0</v>
      </c>
      <c r="I9" t="n">
        <v>0</v>
      </c>
      <c r="J9" t="n">
        <v>0</v>
      </c>
      <c r="K9" t="n">
        <v>0</v>
      </c>
      <c r="L9" t="n">
        <v>0</v>
      </c>
      <c r="M9" t="n">
        <v>0</v>
      </c>
    </row>
    <row r="10">
      <c r="A10" t="inlineStr">
        <is>
          <t>Second-grade malt</t>
        </is>
      </c>
      <c r="B10" t="n">
        <v>0</v>
      </c>
      <c r="C10" t="n">
        <v>0</v>
      </c>
      <c r="D10" t="n">
        <v>0</v>
      </c>
      <c r="E10" t="n">
        <v>0</v>
      </c>
      <c r="F10" t="n">
        <v>0</v>
      </c>
      <c r="G10" t="n">
        <v>0</v>
      </c>
      <c r="H10" t="n">
        <v>0</v>
      </c>
      <c r="I10" t="n">
        <v>0</v>
      </c>
      <c r="J10" t="n">
        <v>0</v>
      </c>
      <c r="K10" t="n">
        <v>0</v>
      </c>
      <c r="L10" t="n">
        <v>0</v>
      </c>
      <c r="M10" t="n">
        <v>0</v>
      </c>
    </row>
    <row r="11">
      <c r="A11" t="inlineStr">
        <is>
          <t>Peas</t>
        </is>
      </c>
      <c r="B11" t="n">
        <v>0</v>
      </c>
      <c r="C11" t="n">
        <v>0</v>
      </c>
      <c r="D11" t="n">
        <v>0</v>
      </c>
      <c r="E11" t="n">
        <v>0</v>
      </c>
      <c r="F11" t="n">
        <v>0</v>
      </c>
      <c r="G11" t="n">
        <v>0</v>
      </c>
      <c r="H11" t="n">
        <v>0</v>
      </c>
      <c r="I11" t="n">
        <v>0</v>
      </c>
      <c r="J11" t="n">
        <v>0</v>
      </c>
      <c r="K11" t="n">
        <v>0</v>
      </c>
      <c r="L11" t="n">
        <v>0</v>
      </c>
      <c r="M11" t="n">
        <v>0</v>
      </c>
    </row>
    <row r="12">
      <c r="A12" t="inlineStr">
        <is>
          <t>Oatmeal</t>
        </is>
      </c>
      <c r="B12" t="n">
        <v>0</v>
      </c>
      <c r="C12" t="n">
        <v>0</v>
      </c>
      <c r="D12" t="n">
        <v>0</v>
      </c>
      <c r="E12" t="n">
        <v>0</v>
      </c>
      <c r="F12" t="n">
        <v>0</v>
      </c>
      <c r="G12" t="n">
        <v>0</v>
      </c>
      <c r="H12" t="n">
        <v>0</v>
      </c>
      <c r="I12" t="n">
        <v>0</v>
      </c>
      <c r="J12" t="n">
        <v>0</v>
      </c>
      <c r="K12" t="n">
        <v>0</v>
      </c>
      <c r="L12" t="n">
        <v>0</v>
      </c>
      <c r="M12" t="n">
        <v>0</v>
      </c>
    </row>
    <row r="13">
      <c r="A13" t="inlineStr">
        <is>
          <t>Vetches</t>
        </is>
      </c>
      <c r="B13" t="n">
        <v>0</v>
      </c>
      <c r="C13" t="n">
        <v>0</v>
      </c>
      <c r="D13" t="n">
        <v>0</v>
      </c>
      <c r="E13" t="n">
        <v>0</v>
      </c>
      <c r="F13" t="n">
        <v>0</v>
      </c>
      <c r="G13" t="n">
        <v>0</v>
      </c>
      <c r="H13" t="n">
        <v>0</v>
      </c>
      <c r="I13" t="n">
        <v>0</v>
      </c>
      <c r="J13" t="n">
        <v>0</v>
      </c>
      <c r="K13" t="n">
        <v>0</v>
      </c>
      <c r="L13" t="n">
        <v>0</v>
      </c>
      <c r="M13" t="n">
        <v>0</v>
      </c>
    </row>
    <row r="14">
      <c r="A14" t="inlineStr">
        <is>
          <t>Rye</t>
        </is>
      </c>
      <c r="B14" t="n">
        <v>0</v>
      </c>
      <c r="C14" t="n">
        <v>0</v>
      </c>
      <c r="D14" t="n">
        <v>0</v>
      </c>
      <c r="E14" t="n">
        <v>0</v>
      </c>
      <c r="F14" t="n">
        <v>0</v>
      </c>
      <c r="G14" t="n">
        <v>0</v>
      </c>
      <c r="H14" t="n">
        <v>0</v>
      </c>
      <c r="I14" t="n">
        <v>0</v>
      </c>
      <c r="J14" t="n">
        <v>0</v>
      </c>
      <c r="K14" t="n">
        <v>0</v>
      </c>
      <c r="L14" t="n">
        <v>0</v>
      </c>
      <c r="M14" t="n">
        <v>0</v>
      </c>
    </row>
    <row r="15">
      <c r="A15" t="inlineStr">
        <is>
          <t>Malt</t>
        </is>
      </c>
      <c r="B15" t="n">
        <v>0</v>
      </c>
      <c r="C15" t="n">
        <v>0</v>
      </c>
      <c r="D15" t="n">
        <v>0</v>
      </c>
      <c r="E15" t="n">
        <v>0</v>
      </c>
      <c r="F15" t="n">
        <v>0</v>
      </c>
      <c r="G15" t="n">
        <v>0</v>
      </c>
      <c r="H15" t="n">
        <v>0</v>
      </c>
      <c r="I15" t="n">
        <v>0</v>
      </c>
      <c r="J15" t="n">
        <v>0</v>
      </c>
      <c r="K15" t="n">
        <v>0</v>
      </c>
      <c r="L15" t="n">
        <v>0</v>
      </c>
      <c r="M15" t="n">
        <v>0</v>
      </c>
      <c r="N15" t="n">
        <v>0.3</v>
      </c>
      <c r="O15" t="n">
        <v>0.3</v>
      </c>
      <c r="P15" t="n">
        <v>0</v>
      </c>
      <c r="Q15" t="n">
        <v>0</v>
      </c>
    </row>
    <row r="16">
      <c r="A16" t="inlineStr">
        <is>
          <t>Meal</t>
        </is>
      </c>
      <c r="B16" t="n">
        <v>0</v>
      </c>
      <c r="C16" t="n">
        <v>0</v>
      </c>
      <c r="D16" t="n">
        <v>0</v>
      </c>
      <c r="E16" t="n">
        <v>0</v>
      </c>
      <c r="F16" t="n">
        <v>0</v>
      </c>
      <c r="G16" t="n">
        <v>0</v>
      </c>
      <c r="H16" t="n">
        <v>0</v>
      </c>
      <c r="I16" t="n">
        <v>0</v>
      </c>
      <c r="J16" t="n">
        <v>0</v>
      </c>
      <c r="K16" t="n">
        <v>0</v>
      </c>
      <c r="L16" t="n">
        <v>0</v>
      </c>
      <c r="M16" t="n">
        <v>0</v>
      </c>
    </row>
    <row r="17">
      <c r="A17" t="inlineStr">
        <is>
          <t>Curall</t>
        </is>
      </c>
      <c r="B17" t="n">
        <v>0</v>
      </c>
      <c r="C17" t="n">
        <v>0</v>
      </c>
      <c r="D17" t="n">
        <v>0</v>
      </c>
      <c r="E17" t="n">
        <v>0</v>
      </c>
      <c r="F17" t="n">
        <v>0</v>
      </c>
      <c r="G17" t="n">
        <v>0</v>
      </c>
      <c r="H17" t="n">
        <v>0</v>
      </c>
      <c r="I17" t="n">
        <v>0</v>
      </c>
      <c r="J17" t="n">
        <v>0</v>
      </c>
      <c r="K17" t="n">
        <v>0</v>
      </c>
      <c r="L17" t="n">
        <v>0</v>
      </c>
      <c r="M17" t="n">
        <v>0</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0</t>
        </is>
      </c>
      <c r="N1" t="inlineStr">
        <is>
          <t>Bushels 0</t>
        </is>
      </c>
      <c r="O1" t="inlineStr">
        <is>
          <t>shilling a quarter 1</t>
        </is>
      </c>
      <c r="P1" t="inlineStr">
        <is>
          <t>pence a quarter 1</t>
        </is>
      </c>
      <c r="Q1" t="inlineStr">
        <is>
          <t>Quarters 1</t>
        </is>
      </c>
      <c r="R1" t="inlineStr">
        <is>
          <t>Bushels 1</t>
        </is>
      </c>
      <c r="S1" t="inlineStr">
        <is>
          <t>shilling a quarter 2</t>
        </is>
      </c>
      <c r="T1" t="inlineStr">
        <is>
          <t>pence a quarter 2</t>
        </is>
      </c>
      <c r="U1" t="inlineStr">
        <is>
          <t>Quarters 2</t>
        </is>
      </c>
      <c r="V1" t="inlineStr">
        <is>
          <t>Bushels 2</t>
        </is>
      </c>
      <c r="W1" t="inlineStr">
        <is>
          <t>shilling a quarter 3</t>
        </is>
      </c>
      <c r="X1" t="inlineStr">
        <is>
          <t>pence a quarter 3</t>
        </is>
      </c>
      <c r="Y1" t="inlineStr">
        <is>
          <t>Quarters 3</t>
        </is>
      </c>
      <c r="Z1" t="inlineStr">
        <is>
          <t>Bushels 3</t>
        </is>
      </c>
      <c r="AA1" t="inlineStr">
        <is>
          <t>shilling a quarter 4</t>
        </is>
      </c>
      <c r="AB1" t="inlineStr">
        <is>
          <t>pence a quarter 4</t>
        </is>
      </c>
      <c r="AC1" t="inlineStr">
        <is>
          <t>Quarters 4</t>
        </is>
      </c>
      <c r="AD1" t="inlineStr">
        <is>
          <t>Bushels 4</t>
        </is>
      </c>
      <c r="AE1" t="inlineStr">
        <is>
          <t>Quarters 5</t>
        </is>
      </c>
      <c r="AF1" t="inlineStr">
        <is>
          <t>Bushels 5</t>
        </is>
      </c>
      <c r="AG1" t="inlineStr">
        <is>
          <t>Quarters 6</t>
        </is>
      </c>
      <c r="AH1" t="inlineStr">
        <is>
          <t>Bushels 6</t>
        </is>
      </c>
      <c r="AI1" t="inlineStr">
        <is>
          <t>Quarters 7</t>
        </is>
      </c>
      <c r="AJ1" t="inlineStr">
        <is>
          <t>Bushels 7</t>
        </is>
      </c>
      <c r="AK1" t="inlineStr">
        <is>
          <t>Quarters 8</t>
        </is>
      </c>
      <c r="AL1" t="inlineStr">
        <is>
          <t>Bushels 8</t>
        </is>
      </c>
      <c r="AM1" t="inlineStr">
        <is>
          <t>Quarters 9</t>
        </is>
      </c>
      <c r="AN1" t="inlineStr">
        <is>
          <t>Bushels 9</t>
        </is>
      </c>
      <c r="AO1" t="inlineStr">
        <is>
          <t>£ a quarter 1</t>
        </is>
      </c>
      <c r="AP1" t="inlineStr">
        <is>
          <t>£ a quarter 2</t>
        </is>
      </c>
      <c r="AQ1" t="inlineStr">
        <is>
          <t>£ a quarter 3</t>
        </is>
      </c>
      <c r="AR1" t="inlineStr">
        <is>
          <t>£ a quarter 4</t>
        </is>
      </c>
      <c r="AS1" t="inlineStr">
        <is>
          <t>Quarters Sold</t>
        </is>
      </c>
      <c r="AT1" t="inlineStr">
        <is>
          <t>Weighted Average Price per Quarter</t>
        </is>
      </c>
      <c r="AU1" t="inlineStr">
        <is>
          <t>Non-Weighted Average Price per Quarter</t>
        </is>
      </c>
      <c r="AV1" t="inlineStr">
        <is>
          <t>Corn lowercase</t>
        </is>
      </c>
    </row>
    <row r="2">
      <c r="A2" t="inlineStr">
        <is>
          <t>sale of corn and malt</t>
        </is>
      </c>
      <c r="B2" t="inlineStr">
        <is>
          <t>and for £8 18 shilling 6pence' from 22 quarters 2.5 bushels of wheat sold, at 8 shilling a quarters, as made clear elsewhere.</t>
        </is>
      </c>
      <c r="C2" t="n">
        <v>8.93</v>
      </c>
      <c r="D2" t="n">
        <v>8</v>
      </c>
      <c r="E2" t="n">
        <v>18</v>
      </c>
      <c r="F2" t="n">
        <v>6</v>
      </c>
      <c r="G2" t="inlineStr">
        <is>
          <t>wheat</t>
        </is>
      </c>
      <c r="H2" t="n">
        <v>22</v>
      </c>
      <c r="I2" t="n">
        <v>2.5</v>
      </c>
      <c r="J2" t="n">
        <v>22.31</v>
      </c>
      <c r="K2" t="n">
        <v>22.31</v>
      </c>
      <c r="L2" t="n">
        <v>0</v>
      </c>
      <c r="M2" t="n">
        <v>22</v>
      </c>
      <c r="N2" t="n">
        <v>2.5</v>
      </c>
      <c r="O2" t="n">
        <v>8</v>
      </c>
      <c r="P2" t="n">
        <v>0</v>
      </c>
      <c r="AO2" t="n">
        <v>0.4</v>
      </c>
      <c r="AS2" t="n">
        <v>22.31</v>
      </c>
      <c r="AT2" t="n">
        <v>0.4</v>
      </c>
      <c r="AU2" t="n">
        <v>0.4</v>
      </c>
      <c r="AV2" t="inlineStr">
        <is>
          <t>wheat</t>
        </is>
      </c>
    </row>
    <row r="3">
      <c r="A3" t="inlineStr">
        <is>
          <t>sale of corn and malt</t>
        </is>
      </c>
      <c r="B3" t="inlineStr">
        <is>
          <t>£4 12 shilling 4pence from 34 quarters 5 bushels of oats sold, at 2 shilling 8pence a quarters, as made clear elsewhere, of which 4 quarters 4 bushels sold to the lord's household.</t>
        </is>
      </c>
      <c r="C3" t="n">
        <v>4.62</v>
      </c>
      <c r="D3" t="n">
        <v>4</v>
      </c>
      <c r="E3" t="n">
        <v>12</v>
      </c>
      <c r="F3" t="n">
        <v>4</v>
      </c>
      <c r="G3" t="inlineStr">
        <is>
          <t>oats</t>
        </is>
      </c>
      <c r="H3" t="n">
        <v>4</v>
      </c>
      <c r="I3" t="n">
        <v>4</v>
      </c>
      <c r="J3" t="n">
        <v>4.5</v>
      </c>
      <c r="K3" t="n">
        <v>34.62</v>
      </c>
      <c r="L3" t="n">
        <v>-30.12</v>
      </c>
      <c r="M3" t="n">
        <v>34</v>
      </c>
      <c r="N3" t="n">
        <v>5</v>
      </c>
      <c r="O3" t="n">
        <v>2</v>
      </c>
      <c r="P3" t="n">
        <v>8</v>
      </c>
      <c r="Q3" t="n">
        <v>4</v>
      </c>
      <c r="R3" t="n">
        <v>4</v>
      </c>
      <c r="AO3" t="n">
        <v>0.13</v>
      </c>
      <c r="AS3" t="n">
        <v>34.62</v>
      </c>
      <c r="AT3" t="n">
        <v>0.13</v>
      </c>
      <c r="AU3" t="n">
        <v>0.13</v>
      </c>
      <c r="AV3" t="inlineStr">
        <is>
          <t>oats</t>
        </is>
      </c>
    </row>
    <row r="4">
      <c r="A4" t="inlineStr">
        <is>
          <t>sale of corn and malt</t>
        </is>
      </c>
      <c r="B4" t="inlineStr">
        <is>
          <t>£24 7 shilling 4pence from 80 quarters 3 bushels 1 peck of malt sold, of which 71 quarters sold to the lord's household at esher, at 6.</t>
        </is>
      </c>
      <c r="C4" t="n">
        <v>24.37</v>
      </c>
      <c r="D4" t="n">
        <v>24</v>
      </c>
      <c r="E4" t="n">
        <v>7</v>
      </c>
      <c r="F4" t="n">
        <v>4</v>
      </c>
      <c r="G4" t="inlineStr">
        <is>
          <t>malt</t>
        </is>
      </c>
      <c r="H4" t="n">
        <v>71</v>
      </c>
      <c r="I4" t="n">
        <v>3</v>
      </c>
      <c r="J4" t="n">
        <v>71.38</v>
      </c>
      <c r="K4" t="n">
        <v>80.38</v>
      </c>
      <c r="L4" t="n">
        <v>-9</v>
      </c>
      <c r="M4" t="n">
        <v>80</v>
      </c>
      <c r="N4" t="n">
        <v>3</v>
      </c>
      <c r="Q4" t="n">
        <v>71</v>
      </c>
      <c r="R4" t="n">
        <v>0</v>
      </c>
      <c r="AO4" t="n">
        <v>0.3</v>
      </c>
      <c r="AS4" t="n">
        <v>80.38</v>
      </c>
      <c r="AT4" t="n">
        <v>0.3</v>
      </c>
      <c r="AU4" t="n">
        <v>0.3</v>
      </c>
      <c r="AV4" t="inlineStr">
        <is>
          <t>malt</t>
        </is>
      </c>
    </row>
    <row r="5">
      <c r="A5" t="inlineStr">
        <is>
          <t>sale of corn and malt</t>
        </is>
      </c>
      <c r="B5" t="inlineStr">
        <is>
          <t>a quarters, and 9 quarters 3 bushels 1 peck, at 6 shilling 8pence a quarters.</t>
        </is>
      </c>
      <c r="C5" t="n">
        <v>0.33</v>
      </c>
      <c r="D5" t="n">
        <v>0</v>
      </c>
      <c r="E5" t="n">
        <v>6</v>
      </c>
      <c r="F5" t="n">
        <v>8</v>
      </c>
      <c r="H5" t="n">
        <v>9</v>
      </c>
      <c r="I5" t="n">
        <v>3</v>
      </c>
      <c r="J5" t="n">
        <v>9.380000000000001</v>
      </c>
      <c r="K5" t="n">
        <v>9.380000000000001</v>
      </c>
      <c r="L5" t="n">
        <v>0</v>
      </c>
      <c r="M5" t="n">
        <v>9</v>
      </c>
      <c r="N5" t="n">
        <v>3</v>
      </c>
      <c r="O5" t="n">
        <v>6</v>
      </c>
      <c r="P5" t="n">
        <v>8</v>
      </c>
      <c r="AO5" t="n">
        <v>0.33</v>
      </c>
      <c r="AS5" t="n">
        <v>9.380000000000001</v>
      </c>
      <c r="AT5" t="n">
        <v>0.33</v>
      </c>
      <c r="AU5" t="n">
        <v>0.33</v>
      </c>
    </row>
    <row r="6">
      <c r="A6" t="inlineStr">
        <is>
          <t>sale of corn and malt</t>
        </is>
      </c>
      <c r="B6" t="inlineStr">
        <is>
          <t>total, £37 18 shilling 2pence.</t>
        </is>
      </c>
      <c r="C6" t="n">
        <v>37.91</v>
      </c>
      <c r="D6" t="n">
        <v>37</v>
      </c>
      <c r="E6" t="n">
        <v>18</v>
      </c>
      <c r="F6" t="n">
        <v>2</v>
      </c>
      <c r="H6" t="n">
        <v>0</v>
      </c>
      <c r="I6" t="n">
        <v>0</v>
      </c>
      <c r="J6" t="n">
        <v>0</v>
      </c>
      <c r="K6" t="n">
        <v>0</v>
      </c>
      <c r="L6" t="n">
        <v>0</v>
      </c>
      <c r="M6" t="n">
        <v>0</v>
      </c>
      <c r="N6" t="n">
        <v>0</v>
      </c>
      <c r="AO6" t="inlineStr">
        <is>
          <t>inf</t>
        </is>
      </c>
      <c r="AS6" t="n">
        <v>0</v>
      </c>
      <c r="AT6" t="inlineStr">
        <is>
          <t>inf</t>
        </is>
      </c>
      <c r="AU6" t="inlineStr">
        <is>
          <t>inf</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69"/>
  <sheetViews>
    <sheetView workbookViewId="0">
      <selection activeCell="A1" sqref="A1"/>
    </sheetView>
  </sheetViews>
  <sheetFormatPr baseColWidth="8" defaultRowHeight="15"/>
  <cols>
    <col width="34.453125" customWidth="1" min="1" max="1"/>
    <col width="8.81640625" customWidth="1" min="2" max="2"/>
    <col width="8.81640625" customWidth="1" min="6" max="6"/>
    <col width="8.81640625" customWidth="1" min="7" max="7"/>
    <col width="43" customWidth="1" min="8" max="8"/>
  </cols>
  <sheetData>
    <row r="1">
      <c r="A1" s="127" t="inlineStr">
        <is>
          <t>IVINGHOE EXPENSES</t>
        </is>
      </c>
      <c r="B1" s="128" t="n"/>
      <c r="C1" s="128" t="n"/>
      <c r="D1" s="128" t="n"/>
      <c r="E1" s="128" t="n"/>
      <c r="F1" s="128" t="n"/>
      <c r="G1" s="128" t="n"/>
      <c r="H1" s="128" t="n"/>
    </row>
    <row r="2" ht="31" customHeight="1">
      <c r="A2" s="129" t="inlineStr">
        <is>
          <t>Heading</t>
        </is>
      </c>
      <c r="B2" s="130" t="inlineStr">
        <is>
          <t>£</t>
        </is>
      </c>
      <c r="C2" s="131" t="inlineStr">
        <is>
          <t>s</t>
        </is>
      </c>
      <c r="D2" s="131" t="inlineStr">
        <is>
          <t>d</t>
        </is>
      </c>
      <c r="E2" s="132" t="n"/>
      <c r="F2" s="133" t="inlineStr">
        <is>
          <t>Total in £</t>
        </is>
      </c>
      <c r="G2" s="134" t="inlineStr">
        <is>
          <t>Error</t>
        </is>
      </c>
      <c r="H2" s="135" t="inlineStr">
        <is>
          <t>Notes</t>
        </is>
      </c>
    </row>
    <row r="3">
      <c r="A3" s="136" t="n"/>
      <c r="B3" s="128" t="n"/>
      <c r="C3" s="128" t="n"/>
      <c r="D3" s="128" t="n"/>
      <c r="E3" s="128" t="n"/>
      <c r="F3" s="128" t="n"/>
      <c r="G3" s="128" t="n"/>
      <c r="H3" s="128" t="n"/>
    </row>
    <row r="4">
      <c r="A4" s="137" t="inlineStr">
        <is>
          <t>Cost of ploughs</t>
        </is>
      </c>
      <c r="B4" s="128" t="n">
        <v>1</v>
      </c>
      <c r="C4" s="128" t="n">
        <v>0</v>
      </c>
      <c r="D4" s="128" t="n">
        <v>0</v>
      </c>
      <c r="E4" s="128" t="n"/>
      <c r="F4" s="128" t="n">
        <v>1</v>
      </c>
      <c r="G4" s="128" t="n"/>
      <c r="H4" s="128" t="n"/>
    </row>
    <row r="5">
      <c r="A5" s="136" t="inlineStr">
        <is>
          <t>Cost of ploughs</t>
        </is>
      </c>
      <c r="B5" s="128" t="n">
        <v>0</v>
      </c>
      <c r="C5" s="128" t="n">
        <v>12</v>
      </c>
      <c r="D5" s="128" t="n">
        <v>0</v>
      </c>
      <c r="E5" s="128" t="n"/>
      <c r="F5" s="128" t="n">
        <v>0.6</v>
      </c>
      <c r="G5" s="128" t="n"/>
      <c r="H5" s="128" t="n"/>
    </row>
    <row r="6">
      <c r="A6" s="136" t="inlineStr">
        <is>
          <t>Cost of ploughs</t>
        </is>
      </c>
      <c r="B6" s="128" t="n">
        <v>0</v>
      </c>
      <c r="C6" s="128" t="n">
        <v>2</v>
      </c>
      <c r="D6" s="128" t="n">
        <v>0</v>
      </c>
      <c r="E6" s="128" t="n"/>
      <c r="F6" s="128" t="n">
        <v>0.1</v>
      </c>
      <c r="G6" s="128" t="n"/>
      <c r="H6" s="128" t="n"/>
    </row>
    <row r="7">
      <c r="A7" s="136" t="inlineStr">
        <is>
          <t>Cost of ploughs</t>
        </is>
      </c>
      <c r="B7" s="128" t="n">
        <v>0</v>
      </c>
      <c r="C7" s="128" t="n">
        <v>1</v>
      </c>
      <c r="D7" s="128" t="n">
        <v>0</v>
      </c>
      <c r="E7" s="128" t="n"/>
      <c r="F7" s="128" t="n">
        <v>0.05</v>
      </c>
      <c r="G7" s="128" t="n"/>
      <c r="H7" s="128" t="n"/>
    </row>
    <row r="8">
      <c r="A8" s="136" t="inlineStr">
        <is>
          <t>Cost of ploughs</t>
        </is>
      </c>
      <c r="B8" s="128" t="n">
        <v>0</v>
      </c>
      <c r="C8" s="128" t="n">
        <v>2</v>
      </c>
      <c r="D8" s="128" t="n">
        <v>1</v>
      </c>
      <c r="E8" s="128" t="n"/>
      <c r="F8" s="128" t="n">
        <v>0.1</v>
      </c>
      <c r="G8" s="128" t="n"/>
      <c r="H8" s="128" t="n"/>
    </row>
    <row r="9">
      <c r="A9" s="136" t="inlineStr">
        <is>
          <t>Cost of ploughs</t>
        </is>
      </c>
      <c r="B9" s="128" t="n">
        <v>0</v>
      </c>
      <c r="C9" s="128" t="n">
        <v>5</v>
      </c>
      <c r="D9" s="128" t="n">
        <v>0</v>
      </c>
      <c r="E9" s="128" t="n"/>
      <c r="F9" s="128" t="n">
        <v>0.25</v>
      </c>
      <c r="G9" s="128" t="n"/>
      <c r="H9" s="128" t="n"/>
    </row>
    <row r="10">
      <c r="A10" s="136" t="inlineStr">
        <is>
          <t>Cost of ploughs</t>
        </is>
      </c>
      <c r="B10" s="128" t="n">
        <v>0</v>
      </c>
      <c r="C10" s="128" t="n">
        <v>2</v>
      </c>
      <c r="D10" s="128" t="n">
        <v>8</v>
      </c>
      <c r="E10" s="128" t="n"/>
      <c r="F10" s="128" t="n">
        <v>0.13</v>
      </c>
      <c r="G10" s="128" t="n"/>
      <c r="H10" s="128" t="n"/>
    </row>
    <row r="11">
      <c r="A11" s="136" t="inlineStr">
        <is>
          <t>Cost of ploughs</t>
        </is>
      </c>
      <c r="B11" s="128" t="n">
        <v>0</v>
      </c>
      <c r="C11" s="128" t="n">
        <v>1</v>
      </c>
      <c r="D11" s="128" t="n">
        <v>0</v>
      </c>
      <c r="E11" s="128" t="n"/>
      <c r="F11" s="128" t="n">
        <v>0.05</v>
      </c>
      <c r="G11" s="128" t="n"/>
      <c r="H11" s="128" t="n"/>
    </row>
    <row r="12">
      <c r="A12" s="136" t="inlineStr">
        <is>
          <t>Cost of ploughs</t>
        </is>
      </c>
      <c r="B12" s="128" t="n">
        <v>0</v>
      </c>
      <c r="C12" s="128" t="n">
        <v>1</v>
      </c>
      <c r="D12" s="128" t="n">
        <v>0</v>
      </c>
      <c r="E12" s="128" t="n"/>
      <c r="F12" s="128" t="n">
        <v>0.05</v>
      </c>
      <c r="G12" s="128" t="n"/>
      <c r="H12" s="128" t="n"/>
    </row>
    <row r="13">
      <c r="A13" s="136" t="inlineStr">
        <is>
          <t>Cost of ploughs</t>
        </is>
      </c>
      <c r="B13" s="128" t="n">
        <v>0</v>
      </c>
      <c r="C13" s="128" t="n">
        <v>2</v>
      </c>
      <c r="D13" s="128" t="n">
        <v>6</v>
      </c>
      <c r="E13" s="128" t="n"/>
      <c r="F13" s="128" t="n">
        <v>0.12</v>
      </c>
      <c r="G13" s="128" t="n"/>
      <c r="H13" s="128" t="n"/>
    </row>
    <row r="14">
      <c r="A14" s="136" t="inlineStr">
        <is>
          <t>Cost of ploughs</t>
        </is>
      </c>
      <c r="B14" s="128" t="n">
        <v>0</v>
      </c>
      <c r="C14" s="128" t="n">
        <v>7</v>
      </c>
      <c r="D14" s="128" t="n">
        <v>6</v>
      </c>
      <c r="E14" s="128" t="n"/>
      <c r="F14" s="128" t="n">
        <v>0.38</v>
      </c>
      <c r="G14" s="128" t="n"/>
      <c r="H14" s="128" t="n"/>
    </row>
    <row r="15">
      <c r="A15" s="136" t="inlineStr">
        <is>
          <t>Cost of ploughs</t>
        </is>
      </c>
      <c r="B15" s="128" t="n">
        <v>1</v>
      </c>
      <c r="C15" s="128" t="n">
        <v>0</v>
      </c>
      <c r="D15" s="128" t="n">
        <v>0</v>
      </c>
      <c r="E15" s="128" t="n"/>
      <c r="F15" s="128" t="n">
        <v>1</v>
      </c>
      <c r="G15" s="128" t="n"/>
      <c r="H15" s="128" t="n"/>
    </row>
    <row r="16">
      <c r="A16" s="136" t="inlineStr">
        <is>
          <t>Cost of ploughs</t>
        </is>
      </c>
      <c r="B16" s="128" t="n">
        <v>3</v>
      </c>
      <c r="C16" s="128" t="n">
        <v>16</v>
      </c>
      <c r="D16" s="128" t="n">
        <v>9</v>
      </c>
      <c r="E16" s="128" t="n"/>
      <c r="F16" s="128" t="n">
        <v>3.84</v>
      </c>
      <c r="G16" s="128" t="n"/>
      <c r="H16" s="128" t="n"/>
    </row>
    <row r="17">
      <c r="A17" s="138" t="inlineStr">
        <is>
          <t>Cost of ploughs total</t>
        </is>
      </c>
      <c r="B17" s="139" t="n"/>
      <c r="C17" s="139" t="n"/>
      <c r="D17" s="139" t="n"/>
      <c r="E17" s="139" t="n"/>
      <c r="F17" s="139" t="n">
        <v>3.83</v>
      </c>
      <c r="G17" s="139" t="n">
        <v>-0.01</v>
      </c>
      <c r="H17" s="139" t="n"/>
    </row>
    <row r="18">
      <c r="A18" s="136" t="n"/>
      <c r="B18" s="128" t="n"/>
      <c r="C18" s="128" t="n"/>
      <c r="D18" s="128" t="n"/>
      <c r="E18" s="128" t="n"/>
      <c r="F18" s="128" t="n"/>
      <c r="G18" s="128" t="n"/>
      <c r="H18" s="128" t="n"/>
    </row>
    <row r="19">
      <c r="A19" s="137" t="inlineStr">
        <is>
          <t>Cost of carts</t>
        </is>
      </c>
      <c r="B19" s="128" t="n">
        <v>0</v>
      </c>
      <c r="C19" s="128" t="n">
        <v>2</v>
      </c>
      <c r="D19" s="128" t="n">
        <v>8</v>
      </c>
      <c r="E19" s="128" t="n"/>
      <c r="F19" s="128" t="n">
        <v>0.13</v>
      </c>
      <c r="G19" s="128" t="n"/>
      <c r="H19" s="128" t="n"/>
    </row>
    <row r="20">
      <c r="A20" s="136" t="inlineStr">
        <is>
          <t>Cost of carts</t>
        </is>
      </c>
      <c r="B20" s="128" t="n">
        <v>0</v>
      </c>
      <c r="C20" s="128" t="n">
        <v>8</v>
      </c>
      <c r="D20" s="128" t="n">
        <v>0</v>
      </c>
      <c r="E20" s="128" t="n"/>
      <c r="F20" s="128" t="n">
        <v>0.4</v>
      </c>
      <c r="G20" s="128" t="n"/>
      <c r="H20" s="128" t="n"/>
    </row>
    <row r="21">
      <c r="A21" s="136" t="inlineStr">
        <is>
          <t>Cost of carts</t>
        </is>
      </c>
      <c r="B21" s="128" t="n">
        <v>0</v>
      </c>
      <c r="C21" s="128" t="n">
        <v>4</v>
      </c>
      <c r="D21" s="128" t="n">
        <v>0</v>
      </c>
      <c r="E21" s="128" t="n"/>
      <c r="F21" s="128" t="n">
        <v>0.2</v>
      </c>
      <c r="G21" s="128" t="n"/>
      <c r="H21" s="128" t="n"/>
    </row>
    <row r="22">
      <c r="A22" s="136" t="inlineStr">
        <is>
          <t>Cost of carts</t>
        </is>
      </c>
      <c r="B22" s="128" t="n">
        <v>0</v>
      </c>
      <c r="C22" s="128" t="n">
        <v>2</v>
      </c>
      <c r="D22" s="128" t="n">
        <v>8</v>
      </c>
      <c r="E22" s="128" t="n"/>
      <c r="F22" s="128" t="n">
        <v>0.13</v>
      </c>
      <c r="G22" s="128" t="n"/>
      <c r="H22" s="128" t="n"/>
    </row>
    <row r="23">
      <c r="A23" s="136" t="inlineStr">
        <is>
          <t>Cost of carts</t>
        </is>
      </c>
      <c r="B23" s="128" t="n">
        <v>0</v>
      </c>
      <c r="C23" s="128" t="n">
        <v>1</v>
      </c>
      <c r="D23" s="128" t="n">
        <v>0</v>
      </c>
      <c r="E23" s="128" t="n"/>
      <c r="F23" s="128" t="n">
        <v>0.05</v>
      </c>
      <c r="G23" s="128" t="n"/>
      <c r="H23" s="128" t="n"/>
    </row>
    <row r="24">
      <c r="A24" s="136" t="inlineStr">
        <is>
          <t>Cost of carts</t>
        </is>
      </c>
      <c r="B24" s="128" t="n">
        <v>0</v>
      </c>
      <c r="C24" s="128" t="n">
        <v>1</v>
      </c>
      <c r="D24" s="128" t="n">
        <v>0</v>
      </c>
      <c r="E24" s="128" t="n"/>
      <c r="F24" s="128" t="n">
        <v>0.05</v>
      </c>
      <c r="G24" s="128" t="n"/>
      <c r="H24" s="128" t="n"/>
    </row>
    <row r="25">
      <c r="A25" s="136" t="inlineStr">
        <is>
          <t>Cost of carts</t>
        </is>
      </c>
      <c r="B25" s="128" t="n">
        <v>0</v>
      </c>
      <c r="C25" s="128" t="n">
        <v>2</v>
      </c>
      <c r="D25" s="128" t="n">
        <v>0</v>
      </c>
      <c r="E25" s="128" t="n"/>
      <c r="F25" s="128" t="n">
        <v>0.1</v>
      </c>
      <c r="G25" s="128" t="n"/>
      <c r="H25" s="128" t="n"/>
    </row>
    <row r="26">
      <c r="A26" s="136" t="inlineStr">
        <is>
          <t>Cost of carts</t>
        </is>
      </c>
      <c r="B26" s="128" t="n">
        <v>0</v>
      </c>
      <c r="C26" s="128" t="n">
        <v>1</v>
      </c>
      <c r="D26" s="128" t="n">
        <v>0</v>
      </c>
      <c r="E26" s="128" t="n"/>
      <c r="F26" s="128" t="n">
        <v>0.05</v>
      </c>
      <c r="G26" s="128" t="n"/>
      <c r="H26" s="128" t="n"/>
    </row>
    <row r="27">
      <c r="A27" s="136" t="inlineStr">
        <is>
          <t>Cost of carts</t>
        </is>
      </c>
      <c r="B27" s="128" t="n">
        <v>0</v>
      </c>
      <c r="C27" s="128" t="n">
        <v>1</v>
      </c>
      <c r="D27" s="128" t="n">
        <v>0</v>
      </c>
      <c r="E27" s="128" t="n"/>
      <c r="F27" s="128" t="n">
        <v>0.05</v>
      </c>
      <c r="G27" s="128" t="n"/>
      <c r="H27" s="128" t="n"/>
    </row>
    <row r="28">
      <c r="A28" s="136" t="inlineStr">
        <is>
          <t>Cost of carts</t>
        </is>
      </c>
      <c r="B28" s="128" t="n">
        <v>0</v>
      </c>
      <c r="C28" s="128" t="n">
        <v>2</v>
      </c>
      <c r="D28" s="128" t="n">
        <v>0</v>
      </c>
      <c r="E28" s="128" t="n"/>
      <c r="F28" s="128" t="n">
        <v>0.1</v>
      </c>
      <c r="G28" s="128" t="n"/>
      <c r="H28" s="128" t="n"/>
    </row>
    <row r="29">
      <c r="A29" s="136" t="inlineStr">
        <is>
          <t>Cost of carts</t>
        </is>
      </c>
      <c r="B29" s="128" t="n">
        <v>0</v>
      </c>
      <c r="C29" s="128" t="n">
        <v>0</v>
      </c>
      <c r="D29" s="128" t="n">
        <v>0</v>
      </c>
      <c r="E29" s="128" t="n"/>
      <c r="F29" s="128" t="n">
        <v>0</v>
      </c>
      <c r="G29" s="128" t="n"/>
      <c r="H29" s="128" t="n"/>
    </row>
    <row r="30">
      <c r="A30" s="136" t="inlineStr">
        <is>
          <t>Cost of carts</t>
        </is>
      </c>
      <c r="B30" s="128" t="n">
        <v>0</v>
      </c>
      <c r="C30" s="128" t="n">
        <v>2</v>
      </c>
      <c r="D30" s="128" t="n">
        <v>4</v>
      </c>
      <c r="E30" s="128" t="n"/>
      <c r="F30" s="128" t="n">
        <v>0.12</v>
      </c>
      <c r="G30" s="128" t="n"/>
      <c r="H30" s="128" t="n"/>
    </row>
    <row r="31">
      <c r="A31" s="136" t="inlineStr">
        <is>
          <t>Cost of carts</t>
        </is>
      </c>
      <c r="B31" s="128" t="n">
        <v>0</v>
      </c>
      <c r="C31" s="128" t="n">
        <v>8</v>
      </c>
      <c r="D31" s="128" t="n">
        <v>0</v>
      </c>
      <c r="E31" s="128" t="n"/>
      <c r="F31" s="128" t="n">
        <v>0.4</v>
      </c>
      <c r="G31" s="128" t="n"/>
      <c r="H31" s="128" t="n"/>
    </row>
    <row r="32">
      <c r="A32" s="136" t="inlineStr">
        <is>
          <t>Cost of carts</t>
        </is>
      </c>
      <c r="B32" s="128" t="n">
        <v>0</v>
      </c>
      <c r="C32" s="128" t="n">
        <v>0</v>
      </c>
      <c r="D32" s="128" t="n">
        <v>6</v>
      </c>
      <c r="E32" s="128" t="n"/>
      <c r="F32" s="128" t="n">
        <v>0.03</v>
      </c>
      <c r="G32" s="128" t="n"/>
      <c r="H32" s="128" t="n"/>
    </row>
    <row r="33">
      <c r="A33" s="136" t="inlineStr">
        <is>
          <t>Cost of carts</t>
        </is>
      </c>
      <c r="B33" s="128" t="n">
        <v>0</v>
      </c>
      <c r="C33" s="128" t="n">
        <v>6</v>
      </c>
      <c r="D33" s="128" t="n">
        <v>8</v>
      </c>
      <c r="E33" s="128" t="n"/>
      <c r="F33" s="128" t="n">
        <v>0.33</v>
      </c>
      <c r="G33" s="128" t="n"/>
      <c r="H33" s="128" t="n"/>
    </row>
    <row r="34">
      <c r="A34" s="136" t="inlineStr">
        <is>
          <t>Cost of carts</t>
        </is>
      </c>
      <c r="B34" s="128" t="n">
        <v>0</v>
      </c>
      <c r="C34" s="128" t="n">
        <v>5</v>
      </c>
      <c r="D34" s="128" t="n">
        <v>6</v>
      </c>
      <c r="E34" s="128" t="n"/>
      <c r="F34" s="128" t="n">
        <v>0.28</v>
      </c>
      <c r="G34" s="128" t="n"/>
      <c r="H34" s="128" t="n"/>
    </row>
    <row r="35">
      <c r="A35" s="136" t="inlineStr">
        <is>
          <t>Cost of carts</t>
        </is>
      </c>
      <c r="B35" s="128" t="n">
        <v>0</v>
      </c>
      <c r="C35" s="128" t="n">
        <v>1</v>
      </c>
      <c r="D35" s="128" t="n">
        <v>0</v>
      </c>
      <c r="E35" s="128" t="n"/>
      <c r="F35" s="128" t="n">
        <v>0.05</v>
      </c>
      <c r="G35" s="128" t="n"/>
      <c r="H35" s="128" t="n"/>
    </row>
    <row r="36">
      <c r="A36" s="136" t="inlineStr">
        <is>
          <t>Cost of carts</t>
        </is>
      </c>
      <c r="B36" s="128" t="n">
        <v>0</v>
      </c>
      <c r="C36" s="128" t="n">
        <v>0</v>
      </c>
      <c r="D36" s="128" t="n">
        <v>4</v>
      </c>
      <c r="E36" s="128" t="n"/>
      <c r="F36" s="128" t="n">
        <v>0.02</v>
      </c>
      <c r="G36" s="128" t="n"/>
      <c r="H36" s="128" t="n"/>
    </row>
    <row r="37">
      <c r="A37" s="136" t="inlineStr">
        <is>
          <t>Cost of carts</t>
        </is>
      </c>
      <c r="B37" s="128" t="n">
        <v>0</v>
      </c>
      <c r="C37" s="128" t="n">
        <v>0</v>
      </c>
      <c r="D37" s="128" t="n">
        <v>10</v>
      </c>
      <c r="E37" s="128" t="n"/>
      <c r="F37" s="128" t="n">
        <v>0.04</v>
      </c>
      <c r="G37" s="128" t="n"/>
      <c r="H37" s="128" t="n"/>
    </row>
    <row r="38">
      <c r="A38" s="136" t="inlineStr">
        <is>
          <t>Cost of carts</t>
        </is>
      </c>
      <c r="B38" s="128" t="n">
        <v>2</v>
      </c>
      <c r="C38" s="128" t="n">
        <v>10</v>
      </c>
      <c r="D38" s="128" t="n">
        <v>6</v>
      </c>
      <c r="E38" s="128" t="n"/>
      <c r="F38" s="128" t="n">
        <v>2.52</v>
      </c>
      <c r="G38" s="128" t="n"/>
      <c r="H38" s="128" t="n"/>
    </row>
    <row r="39">
      <c r="A39" s="138" t="inlineStr">
        <is>
          <t>Cost of carts total</t>
        </is>
      </c>
      <c r="B39" s="139" t="n"/>
      <c r="C39" s="139" t="n"/>
      <c r="D39" s="139" t="n"/>
      <c r="E39" s="139" t="n"/>
      <c r="F39" s="139" t="n">
        <v>2.53</v>
      </c>
      <c r="G39" s="139" t="n">
        <v>0.01</v>
      </c>
      <c r="H39" s="139" t="n"/>
    </row>
    <row r="40">
      <c r="A40" s="136" t="n"/>
      <c r="B40" s="128" t="n"/>
      <c r="C40" s="128" t="n"/>
      <c r="D40" s="128" t="n"/>
      <c r="E40" s="128" t="n"/>
      <c r="F40" s="128" t="n"/>
      <c r="G40" s="128" t="n"/>
      <c r="H40" s="128" t="n"/>
    </row>
    <row r="41">
      <c r="A41" s="137" t="inlineStr">
        <is>
          <t>Threshing and winnowing</t>
        </is>
      </c>
      <c r="B41" s="128" t="n">
        <v>1</v>
      </c>
      <c r="C41" s="128" t="n">
        <v>6</v>
      </c>
      <c r="D41" s="128" t="n">
        <v>0</v>
      </c>
      <c r="E41" s="128" t="n"/>
      <c r="F41" s="128" t="n">
        <v>1.3</v>
      </c>
      <c r="G41" s="128" t="n"/>
      <c r="H41" s="128" t="n"/>
    </row>
    <row r="42">
      <c r="A42" s="136" t="inlineStr">
        <is>
          <t>Threshing and winnowing</t>
        </is>
      </c>
      <c r="B42" s="128" t="n">
        <v>0</v>
      </c>
      <c r="C42" s="128" t="n">
        <v>16</v>
      </c>
      <c r="D42" s="128" t="n">
        <v>3.5</v>
      </c>
      <c r="E42" s="128" t="n"/>
      <c r="F42" s="128" t="n">
        <v>0.8100000000000001</v>
      </c>
      <c r="G42" s="128" t="n"/>
      <c r="H42" s="128" t="n"/>
    </row>
    <row r="43">
      <c r="A43" s="136" t="inlineStr">
        <is>
          <t>Threshing and winnowing</t>
        </is>
      </c>
      <c r="B43" s="128" t="n">
        <v>0</v>
      </c>
      <c r="C43" s="128" t="n">
        <v>4</v>
      </c>
      <c r="D43" s="128" t="n">
        <v>6</v>
      </c>
      <c r="E43" s="128" t="n"/>
      <c r="F43" s="128" t="n">
        <v>0.23</v>
      </c>
      <c r="G43" s="128" t="n"/>
      <c r="H43" s="128" t="n"/>
    </row>
    <row r="44">
      <c r="A44" s="136" t="inlineStr">
        <is>
          <t>Threshing and winnowing</t>
        </is>
      </c>
      <c r="B44" s="128" t="n">
        <v>0</v>
      </c>
      <c r="C44" s="128" t="n">
        <v>6</v>
      </c>
      <c r="D44" s="128" t="n">
        <v>7.5</v>
      </c>
      <c r="E44" s="128" t="n"/>
      <c r="F44" s="128" t="n">
        <v>0.33</v>
      </c>
      <c r="G44" s="128" t="n"/>
      <c r="H44" s="128" t="n"/>
    </row>
    <row r="45">
      <c r="A45" s="136" t="inlineStr">
        <is>
          <t>Threshing and winnowing</t>
        </is>
      </c>
      <c r="B45" s="128" t="n">
        <v>2</v>
      </c>
      <c r="C45" s="128" t="n">
        <v>13</v>
      </c>
      <c r="D45" s="128" t="n">
        <v>5</v>
      </c>
      <c r="E45" s="128" t="n"/>
      <c r="F45" s="128" t="n">
        <v>2.67</v>
      </c>
      <c r="G45" s="128" t="n"/>
      <c r="H45" s="128" t="n"/>
    </row>
    <row r="46">
      <c r="A46" s="138" t="inlineStr">
        <is>
          <t>Threshing and winnowing total</t>
        </is>
      </c>
      <c r="B46" s="139" t="n"/>
      <c r="C46" s="139" t="n"/>
      <c r="D46" s="139" t="n"/>
      <c r="E46" s="139" t="n"/>
      <c r="F46" s="139" t="n">
        <v>2.67</v>
      </c>
      <c r="G46" s="139" t="n">
        <v>0</v>
      </c>
      <c r="H46" s="139" t="n"/>
    </row>
    <row r="47">
      <c r="A47" s="136" t="n"/>
      <c r="B47" s="128" t="n"/>
      <c r="C47" s="128" t="n"/>
      <c r="D47" s="128" t="n"/>
      <c r="E47" s="128" t="n"/>
      <c r="F47" s="128" t="n"/>
      <c r="G47" s="128" t="n"/>
      <c r="H47" s="128" t="n"/>
    </row>
    <row r="48">
      <c r="A48" s="137" t="inlineStr">
        <is>
          <t>Expenses of the steward</t>
        </is>
      </c>
      <c r="B48" s="128" t="n">
        <v>0</v>
      </c>
      <c r="C48" s="128" t="n">
        <v>12</v>
      </c>
      <c r="D48" s="128" t="n">
        <v>11.5</v>
      </c>
      <c r="E48" s="128" t="n"/>
      <c r="F48" s="128" t="n">
        <v>0.65</v>
      </c>
      <c r="G48" s="128" t="n"/>
      <c r="H48" s="128" t="n"/>
    </row>
    <row r="49">
      <c r="A49" s="136" t="inlineStr">
        <is>
          <t>Expenses of the steward</t>
        </is>
      </c>
      <c r="B49" s="128" t="n">
        <v>0</v>
      </c>
      <c r="C49" s="128" t="n">
        <v>12</v>
      </c>
      <c r="D49" s="128" t="n">
        <v>11.5</v>
      </c>
      <c r="E49" s="128" t="n"/>
      <c r="F49" s="128" t="n">
        <v>0.65</v>
      </c>
      <c r="G49" s="128" t="n"/>
      <c r="H49" s="128" t="n"/>
    </row>
    <row r="50">
      <c r="A50" s="138" t="inlineStr">
        <is>
          <t>Expenses of the steward total</t>
        </is>
      </c>
      <c r="B50" s="139" t="n"/>
      <c r="C50" s="139" t="n"/>
      <c r="D50" s="139" t="n"/>
      <c r="E50" s="139" t="n"/>
      <c r="F50" s="139" t="n">
        <v>0.65</v>
      </c>
      <c r="G50" s="139" t="n">
        <v>0</v>
      </c>
      <c r="H50" s="139" t="n"/>
    </row>
    <row r="51">
      <c r="A51" s="136" t="n"/>
      <c r="B51" s="128" t="n"/>
      <c r="C51" s="128" t="n"/>
      <c r="D51" s="128" t="n"/>
      <c r="E51" s="128" t="n"/>
      <c r="F51" s="128" t="n"/>
      <c r="G51" s="128" t="n"/>
      <c r="H51" s="128" t="n"/>
    </row>
    <row r="52">
      <c r="A52" s="136" t="inlineStr">
        <is>
          <t>Total of all expenses</t>
        </is>
      </c>
      <c r="B52" s="128" t="n">
        <v>70</v>
      </c>
      <c r="C52" s="128" t="n">
        <v>7</v>
      </c>
      <c r="D52" s="128" t="n">
        <v>2.5</v>
      </c>
      <c r="E52" s="128" t="n"/>
      <c r="F52" s="128" t="n">
        <v>70.36</v>
      </c>
      <c r="G52" s="128" t="n"/>
      <c r="H52" s="128" t="n"/>
    </row>
    <row r="53">
      <c r="A53" s="136" t="inlineStr">
        <is>
          <t>Total of all expenses</t>
        </is>
      </c>
      <c r="B53" s="128" t="n"/>
      <c r="C53" s="128" t="n"/>
      <c r="D53" s="128" t="n"/>
      <c r="E53" s="128" t="n"/>
      <c r="F53" s="128" t="n">
        <v>0</v>
      </c>
      <c r="G53" s="128" t="n">
        <v>-70.36</v>
      </c>
      <c r="H53" s="128" t="n"/>
    </row>
    <row r="54">
      <c r="A54" s="136" t="n"/>
      <c r="B54" s="128" t="n"/>
      <c r="C54" s="128" t="n"/>
      <c r="D54" s="128" t="n"/>
      <c r="E54" s="128" t="n"/>
      <c r="F54" s="128" t="n"/>
      <c r="G54" s="128" t="n"/>
      <c r="H54" s="128" t="n"/>
    </row>
    <row r="55">
      <c r="A55" s="137" t="inlineStr">
        <is>
          <t>And he owes</t>
        </is>
      </c>
      <c r="B55" s="128" t="n">
        <v>64</v>
      </c>
      <c r="C55" s="128" t="n">
        <v>7</v>
      </c>
      <c r="D55" s="128" t="n">
        <v>8.25</v>
      </c>
      <c r="E55" s="128" t="n"/>
      <c r="F55" s="128" t="n">
        <v>64.38</v>
      </c>
      <c r="G55" s="128" t="n"/>
      <c r="H55" s="128" t="n"/>
    </row>
    <row r="56">
      <c r="A56" s="136" t="inlineStr">
        <is>
          <t>And he owes</t>
        </is>
      </c>
      <c r="B56" s="128" t="n"/>
      <c r="C56" s="128" t="n"/>
      <c r="D56" s="128" t="n"/>
      <c r="E56" s="128" t="n"/>
      <c r="F56" s="128" t="n">
        <v>64.38</v>
      </c>
      <c r="G56" s="128" t="n"/>
      <c r="H56" s="128" t="n"/>
    </row>
    <row r="57">
      <c r="A57" s="138" t="inlineStr">
        <is>
          <t>And he owes total</t>
        </is>
      </c>
      <c r="B57" s="139" t="n">
        <v>1</v>
      </c>
      <c r="C57" s="139" t="n">
        <v>14</v>
      </c>
      <c r="D57" s="139" t="n">
        <v>0</v>
      </c>
      <c r="E57" s="139" t="n"/>
      <c r="F57" s="139" t="n">
        <v>1.7</v>
      </c>
      <c r="G57" s="139" t="n">
        <v>-62.68</v>
      </c>
      <c r="H57" s="139" t="n"/>
    </row>
    <row r="58">
      <c r="A58" s="136" t="n"/>
      <c r="B58" s="128" t="n"/>
      <c r="C58" s="128" t="n"/>
      <c r="D58" s="128" t="n"/>
      <c r="E58" s="128" t="n"/>
      <c r="F58" s="128" t="n"/>
      <c r="G58" s="128" t="n"/>
      <c r="H58" s="128" t="n"/>
    </row>
    <row r="59">
      <c r="A59" s="137" t="inlineStr">
        <is>
          <t>Cash deliveries</t>
        </is>
      </c>
      <c r="B59" s="128" t="n">
        <v>23</v>
      </c>
      <c r="C59" s="128" t="n">
        <v>6</v>
      </c>
      <c r="D59" s="128" t="n">
        <v>0</v>
      </c>
      <c r="E59" s="128" t="n"/>
      <c r="F59" s="128" t="n">
        <v>23.3</v>
      </c>
      <c r="G59" s="128" t="n"/>
      <c r="H59" s="128" t="n"/>
    </row>
    <row r="60">
      <c r="A60" s="136" t="inlineStr">
        <is>
          <t>Cash deliveries</t>
        </is>
      </c>
      <c r="B60" s="128" t="n">
        <v>23</v>
      </c>
      <c r="C60" s="128" t="n">
        <v>6</v>
      </c>
      <c r="D60" s="128" t="n">
        <v>0</v>
      </c>
      <c r="E60" s="128" t="n"/>
      <c r="F60" s="128" t="n">
        <v>23.3</v>
      </c>
      <c r="G60" s="128" t="n"/>
      <c r="H60" s="128" t="n"/>
    </row>
    <row r="61">
      <c r="A61" s="138" t="inlineStr">
        <is>
          <t>Cash deliveries total</t>
        </is>
      </c>
      <c r="B61" s="139" t="n"/>
      <c r="C61" s="139" t="n"/>
      <c r="D61" s="139" t="n"/>
      <c r="E61" s="139" t="n"/>
      <c r="F61" s="139" t="n">
        <v>23.3</v>
      </c>
      <c r="G61" s="139" t="n">
        <v>0</v>
      </c>
      <c r="H61" s="139" t="n"/>
    </row>
    <row r="62">
      <c r="A62" s="136" t="n"/>
      <c r="B62" s="128" t="n"/>
      <c r="C62" s="128" t="n"/>
      <c r="D62" s="128" t="n"/>
      <c r="E62" s="128" t="n"/>
      <c r="F62" s="128" t="n"/>
      <c r="G62" s="128" t="n"/>
      <c r="H62" s="128" t="n"/>
    </row>
    <row r="63">
      <c r="A63" s="137" t="inlineStr">
        <is>
          <t>Total of all allowances and cash deliveries</t>
        </is>
      </c>
      <c r="B63" s="128" t="n">
        <v>67</v>
      </c>
      <c r="C63" s="128" t="n">
        <v>13</v>
      </c>
      <c r="D63" s="128" t="n">
        <v>8.25</v>
      </c>
      <c r="E63" s="128" t="n"/>
      <c r="F63" s="128" t="n">
        <v>67.68000000000001</v>
      </c>
      <c r="G63" s="128" t="n"/>
      <c r="H63" s="128" t="n"/>
    </row>
    <row r="64">
      <c r="A64" s="138" t="inlineStr">
        <is>
          <t>Total of all allowances and cash deliveries total</t>
        </is>
      </c>
      <c r="B64" s="139" t="n"/>
      <c r="C64" s="139" t="n"/>
      <c r="D64" s="139" t="n"/>
      <c r="E64" s="139" t="n"/>
      <c r="F64" s="139" t="n">
        <v>0</v>
      </c>
      <c r="G64" s="139" t="n">
        <v>-67.68000000000001</v>
      </c>
      <c r="H64" s="139" t="n"/>
    </row>
    <row r="66">
      <c r="A66" s="38" t="inlineStr">
        <is>
          <t>Total of all expenses per account</t>
        </is>
      </c>
      <c r="B66" t="n">
        <v>70</v>
      </c>
      <c r="C66" t="n">
        <v>7</v>
      </c>
      <c r="D66" t="n">
        <v>2.5</v>
      </c>
      <c r="F66">
        <f>F52</f>
        <v/>
      </c>
    </row>
    <row r="67">
      <c r="A67" s="38" t="inlineStr">
        <is>
          <t>Total of all expenses (calculated here)</t>
        </is>
      </c>
      <c r="F67">
        <f>SUMIF(A1:A51,"* total",F1:F51)</f>
        <v/>
      </c>
    </row>
    <row r="68">
      <c r="A68" s="38" t="inlineStr">
        <is>
          <t>Total fixed investment</t>
        </is>
      </c>
    </row>
    <row r="69">
      <c r="A69" s="38" t="inlineStr">
        <is>
          <t>Total Demesne fixed investment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2024-09-06T15:22:17Z</dcterms:created>
  <dcterms:modified xmlns:dcterms="http://purl.org/dc/terms/" xmlns:xsi="http://www.w3.org/2001/XMLSchema-instance" xsi:type="dcterms:W3CDTF">2026-01-17T10:57:22Z</dcterms:modified>
  <cp:lastModifiedBy>Kowalski, Kuba</cp:lastModifiedBy>
</cp:coreProperties>
</file>
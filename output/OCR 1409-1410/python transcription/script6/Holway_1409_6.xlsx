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Adderbury Overview" sheetId="1" state="visible" r:id="rId1"/>
    <sheet xmlns:r="http://schemas.openxmlformats.org/officeDocument/2006/relationships" name="Holway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 xmlns:r="http://schemas.openxmlformats.org/officeDocument/2006/relationships" name="Expenses" sheetId="14" state="visible" r:id="rId14"/>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abSelected="1"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HOLWAY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3</v>
      </c>
      <c r="C7" t="n">
        <v>2</v>
      </c>
      <c r="H7" t="n">
        <v>2</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18</v>
      </c>
      <c r="C12" t="n">
        <v>6</v>
      </c>
      <c r="H12" t="n">
        <v>5</v>
      </c>
      <c r="I12" t="n">
        <v>1</v>
      </c>
      <c r="L12">
        <f>B12+C12-H12</f>
        <v/>
      </c>
      <c r="M12">
        <f>L12-B12</f>
        <v/>
      </c>
      <c r="N12">
        <f>C12</f>
        <v/>
      </c>
      <c r="O12" t="n">
        <v>0.75</v>
      </c>
      <c r="P12" s="72">
        <f>O12*K12</f>
        <v/>
      </c>
      <c r="R12" t="n">
        <v>3.75</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1.33</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14</v>
      </c>
      <c r="C27" t="n">
        <v>0</v>
      </c>
      <c r="H27" t="n">
        <v>0</v>
      </c>
      <c r="I27" t="n">
        <v>0</v>
      </c>
      <c r="L27">
        <f>B27+C27-H27</f>
        <v/>
      </c>
      <c r="M27">
        <f>L27-B27</f>
        <v/>
      </c>
      <c r="N27">
        <f>C27</f>
        <v/>
      </c>
      <c r="O27" t="n">
        <v>0</v>
      </c>
      <c r="P27" s="72">
        <f>O27*K27</f>
        <v/>
      </c>
      <c r="R27" t="n">
        <v>1.4</v>
      </c>
      <c r="S27">
        <f>O27*M27</f>
        <v/>
      </c>
      <c r="T27">
        <f>O27*N27</f>
        <v/>
      </c>
    </row>
    <row r="28">
      <c r="A28" t="inlineStr">
        <is>
          <t>Piglets</t>
        </is>
      </c>
      <c r="B28" t="n">
        <v>14</v>
      </c>
      <c r="C28" t="n">
        <v>15</v>
      </c>
      <c r="H28" t="n">
        <v>12</v>
      </c>
      <c r="I28" t="n">
        <v>1</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F292"/>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shilling a quarter 1</t>
        </is>
      </c>
      <c r="R1" t="inlineStr">
        <is>
          <t>pence a quarter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shilling a bushel 1</t>
        </is>
      </c>
      <c r="Z1" t="inlineStr">
        <is>
          <t>pence a bushel 1</t>
        </is>
      </c>
      <c r="AA1" t="inlineStr">
        <is>
          <t>shilling a bushel 2</t>
        </is>
      </c>
      <c r="AB1" t="inlineStr">
        <is>
          <t>pence a bushel 2</t>
        </is>
      </c>
      <c r="AC1" t="inlineStr">
        <is>
          <t>shilling a bushel 3</t>
        </is>
      </c>
      <c r="AD1" t="inlineStr">
        <is>
          <t>pence a bushel 3</t>
        </is>
      </c>
      <c r="AE1" t="inlineStr">
        <is>
          <t>shilling a bushel 4</t>
        </is>
      </c>
      <c r="AF1" t="inlineStr">
        <is>
          <t>pence a bushel 4</t>
        </is>
      </c>
    </row>
    <row r="2">
      <c r="A2" t="inlineStr">
        <is>
          <t>holway</t>
        </is>
      </c>
      <c r="B2" t="inlineStr">
        <is>
          <t>the account of richard monke, reeve there, for the sixth year of the translation of henry beaufort’, lord bishop of winchester, and the eleventh year of the reigh of king henry the fourth after the conquest of england.</t>
        </is>
      </c>
      <c r="C2" t="n">
        <v>0</v>
      </c>
      <c r="D2" t="n">
        <v>0</v>
      </c>
      <c r="E2" t="n">
        <v>0</v>
      </c>
      <c r="F2" t="n">
        <v>0</v>
      </c>
      <c r="H2" t="n">
        <v>0</v>
      </c>
      <c r="I2" t="n">
        <v>0</v>
      </c>
      <c r="J2" t="n">
        <v>0</v>
      </c>
      <c r="K2" t="n">
        <v>0</v>
      </c>
      <c r="L2" t="n">
        <v>0</v>
      </c>
      <c r="M2" t="n">
        <v>0</v>
      </c>
      <c r="N2" t="n">
        <v>0</v>
      </c>
    </row>
    <row r="3">
      <c r="A3" t="inlineStr">
        <is>
          <t>arrears</t>
        </is>
      </c>
      <c r="B3" t="inlineStr">
        <is>
          <t>the same answers for £6 of arrears from the last account of the preceding year,.</t>
        </is>
      </c>
      <c r="C3" t="n">
        <v>6</v>
      </c>
      <c r="D3" t="n">
        <v>6</v>
      </c>
      <c r="E3" t="n">
        <v>0</v>
      </c>
      <c r="F3" t="n">
        <v>0</v>
      </c>
      <c r="H3" t="n">
        <v>0</v>
      </c>
      <c r="I3" t="n">
        <v>0</v>
      </c>
      <c r="J3" t="n">
        <v>0</v>
      </c>
      <c r="K3" t="n">
        <v>0</v>
      </c>
      <c r="L3" t="n">
        <v>0</v>
      </c>
      <c r="M3" t="n">
        <v>0</v>
      </c>
      <c r="N3" t="n">
        <v>0</v>
      </c>
    </row>
    <row r="4">
      <c r="A4" t="inlineStr">
        <is>
          <t>arrears</t>
        </is>
      </c>
      <c r="B4" t="inlineStr">
        <is>
          <t>total, £6..</t>
        </is>
      </c>
      <c r="C4" t="n">
        <v>6</v>
      </c>
      <c r="D4" t="n">
        <v>6</v>
      </c>
      <c r="E4" t="n">
        <v>0</v>
      </c>
      <c r="F4" t="n">
        <v>0</v>
      </c>
      <c r="H4" t="n">
        <v>0</v>
      </c>
      <c r="I4" t="n">
        <v>0</v>
      </c>
      <c r="J4" t="n">
        <v>0</v>
      </c>
      <c r="K4" t="n">
        <v>0</v>
      </c>
      <c r="L4" t="n">
        <v>0</v>
      </c>
      <c r="M4" t="n">
        <v>0</v>
      </c>
      <c r="N4" t="n">
        <v>0</v>
      </c>
    </row>
    <row r="5">
      <c r="A5" t="inlineStr">
        <is>
          <t>rents of assize</t>
        </is>
      </c>
      <c r="B5" t="inlineStr">
        <is>
          <t>and for £25 2 shilling 11.5pence for all rents of assize at christmas.</t>
        </is>
      </c>
      <c r="C5" t="n">
        <v>25.15</v>
      </c>
      <c r="D5" t="n">
        <v>25</v>
      </c>
      <c r="E5" t="n">
        <v>2</v>
      </c>
      <c r="F5" t="n">
        <v>11.5</v>
      </c>
      <c r="H5" t="n">
        <v>0</v>
      </c>
      <c r="I5" t="n">
        <v>0</v>
      </c>
      <c r="J5" t="n">
        <v>0</v>
      </c>
      <c r="K5" t="n">
        <v>0</v>
      </c>
      <c r="L5" t="n">
        <v>0</v>
      </c>
      <c r="M5" t="n">
        <v>0</v>
      </c>
      <c r="N5" t="n">
        <v>0</v>
      </c>
    </row>
    <row r="6">
      <c r="A6" t="inlineStr">
        <is>
          <t>rents of assize</t>
        </is>
      </c>
      <c r="B6" t="inlineStr">
        <is>
          <t>£25 2 shilling 11.5d, at easter (23 march).</t>
        </is>
      </c>
      <c r="C6" t="n">
        <v>25.1</v>
      </c>
      <c r="D6" t="n">
        <v>25</v>
      </c>
      <c r="E6" t="n">
        <v>2</v>
      </c>
      <c r="F6" t="n">
        <v>0</v>
      </c>
      <c r="H6" t="n">
        <v>0</v>
      </c>
      <c r="I6" t="n">
        <v>0</v>
      </c>
      <c r="J6" t="n">
        <v>0</v>
      </c>
      <c r="K6" t="n">
        <v>0</v>
      </c>
      <c r="L6" t="n">
        <v>0</v>
      </c>
      <c r="M6" t="n">
        <v>0</v>
      </c>
      <c r="N6" t="n">
        <v>0</v>
      </c>
    </row>
    <row r="7">
      <c r="A7" t="inlineStr">
        <is>
          <t>rents of assize</t>
        </is>
      </c>
      <c r="B7" t="inlineStr">
        <is>
          <t>£25 2 shilling 11.5pence at the nativity of st john the baptist (24 june).</t>
        </is>
      </c>
      <c r="C7" t="n">
        <v>25.15</v>
      </c>
      <c r="D7" t="n">
        <v>25</v>
      </c>
      <c r="E7" t="n">
        <v>2</v>
      </c>
      <c r="F7" t="n">
        <v>11.5</v>
      </c>
      <c r="H7" t="n">
        <v>0</v>
      </c>
      <c r="I7" t="n">
        <v>0</v>
      </c>
      <c r="J7" t="n">
        <v>0</v>
      </c>
      <c r="K7" t="n">
        <v>0</v>
      </c>
      <c r="L7" t="n">
        <v>0</v>
      </c>
      <c r="M7" t="n">
        <v>0</v>
      </c>
      <c r="N7" t="n">
        <v>0</v>
      </c>
    </row>
    <row r="8">
      <c r="A8" t="inlineStr">
        <is>
          <t>rents of assize</t>
        </is>
      </c>
      <c r="B8" t="inlineStr">
        <is>
          <t>£25 2 shilling 11.75pence at michaelmas (29 september).</t>
        </is>
      </c>
      <c r="C8" t="n">
        <v>25.15</v>
      </c>
      <c r="D8" t="n">
        <v>25</v>
      </c>
      <c r="E8" t="n">
        <v>2</v>
      </c>
      <c r="F8" t="n">
        <v>11.75</v>
      </c>
      <c r="H8" t="n">
        <v>0</v>
      </c>
      <c r="I8" t="n">
        <v>0</v>
      </c>
      <c r="J8" t="n">
        <v>0</v>
      </c>
      <c r="K8" t="n">
        <v>0</v>
      </c>
      <c r="L8" t="n">
        <v>0</v>
      </c>
      <c r="M8" t="n">
        <v>0</v>
      </c>
      <c r="N8" t="n">
        <v>0</v>
      </c>
    </row>
    <row r="9">
      <c r="A9" t="inlineStr">
        <is>
          <t>rents of assize</t>
        </is>
      </c>
      <c r="B9" t="inlineStr">
        <is>
          <t>total, £100 11 shilling 10.25pence.</t>
        </is>
      </c>
      <c r="C9" t="n">
        <v>100.59</v>
      </c>
      <c r="D9" t="n">
        <v>100</v>
      </c>
      <c r="E9" t="n">
        <v>11</v>
      </c>
      <c r="F9" t="n">
        <v>10.25</v>
      </c>
      <c r="H9" t="n">
        <v>0</v>
      </c>
      <c r="I9" t="n">
        <v>0</v>
      </c>
      <c r="J9" t="n">
        <v>0</v>
      </c>
      <c r="K9" t="n">
        <v>0</v>
      </c>
      <c r="L9" t="n">
        <v>0</v>
      </c>
      <c r="M9" t="n">
        <v>0</v>
      </c>
      <c r="N9" t="n">
        <v>0</v>
      </c>
    </row>
    <row r="10">
      <c r="A10" t="inlineStr">
        <is>
          <t>increment of rent</t>
        </is>
      </c>
      <c r="B10" t="inlineStr">
        <is>
          <t>and for 1pence for the increment of rent of william hayward for 1 plot of land of the lord’s waste, 20 feet long and eight feet wide, at the west end of his tenement in the tithing outside the gate.</t>
        </is>
      </c>
      <c r="C10" t="n">
        <v>0</v>
      </c>
      <c r="D10" t="n">
        <v>0</v>
      </c>
      <c r="E10" t="n">
        <v>0</v>
      </c>
      <c r="F10" t="n">
        <v>1</v>
      </c>
      <c r="H10" t="n">
        <v>0</v>
      </c>
      <c r="I10" t="n">
        <v>0</v>
      </c>
      <c r="J10" t="n">
        <v>0</v>
      </c>
      <c r="K10" t="n">
        <v>0</v>
      </c>
      <c r="L10" t="n">
        <v>0</v>
      </c>
      <c r="M10" t="n">
        <v>0</v>
      </c>
      <c r="N10" t="n">
        <v>0</v>
      </c>
    </row>
    <row r="11">
      <c r="A11" t="inlineStr">
        <is>
          <t>increment of rent</t>
        </is>
      </c>
      <c r="B11" t="inlineStr">
        <is>
          <t>2pence for the increment of rent of john bole for 1 parcel of land of the lord's waste, containing .5 day-work, at shoreditch in the tithing of stoke st mary: 2pence for the increment of rent of richard splotte for 1 plot of land of the lord's waste, 30 feet long and 24 feet wide at the western end and 16 feet at the eastern end in the tithing outside the gate beside the cottage of william more.</t>
        </is>
      </c>
      <c r="C11" t="n">
        <v>0.01</v>
      </c>
      <c r="D11" t="n">
        <v>0</v>
      </c>
      <c r="E11" t="n">
        <v>0</v>
      </c>
      <c r="F11" t="n">
        <v>2</v>
      </c>
      <c r="H11" t="n">
        <v>0</v>
      </c>
      <c r="I11" t="n">
        <v>0</v>
      </c>
      <c r="J11" t="n">
        <v>0</v>
      </c>
      <c r="K11" t="n">
        <v>0</v>
      </c>
      <c r="L11" t="n">
        <v>0</v>
      </c>
      <c r="M11" t="n">
        <v>0</v>
      </c>
      <c r="N11" t="n">
        <v>0</v>
      </c>
    </row>
    <row r="12">
      <c r="A12" t="inlineStr">
        <is>
          <t>increment of rent</t>
        </is>
      </c>
      <c r="B12" t="inlineStr">
        <is>
          <t>total, 5pence	'.</t>
        </is>
      </c>
      <c r="C12" t="n">
        <v>0.02</v>
      </c>
      <c r="D12" t="n">
        <v>0</v>
      </c>
      <c r="E12" t="n">
        <v>0</v>
      </c>
      <c r="F12" t="n">
        <v>5</v>
      </c>
      <c r="H12" t="n">
        <v>0</v>
      </c>
      <c r="I12" t="n">
        <v>0</v>
      </c>
      <c r="J12" t="n">
        <v>0</v>
      </c>
      <c r="K12" t="n">
        <v>0</v>
      </c>
      <c r="L12" t="n">
        <v>0</v>
      </c>
      <c r="M12" t="n">
        <v>0</v>
      </c>
      <c r="N12" t="n">
        <v>0</v>
      </c>
    </row>
    <row r="13">
      <c r="A13" t="inlineStr">
        <is>
          <t>quittances of rent</t>
        </is>
      </c>
      <c r="B13" t="inlineStr">
        <is>
          <t>in quittances of rent of 13 workers, of whom 2 are ploughmen, who each work 3 days a week until lammas (1 august) and every day at harvest-time apart from saturday 16 shilling 3pence, or 1 shilling 3pence each.</t>
        </is>
      </c>
      <c r="C13" t="n">
        <v>0.8100000000000001</v>
      </c>
      <c r="D13" t="n">
        <v>0</v>
      </c>
      <c r="E13" t="n">
        <v>16</v>
      </c>
      <c r="F13" t="n">
        <v>3</v>
      </c>
      <c r="H13" t="n">
        <v>0</v>
      </c>
      <c r="I13" t="n">
        <v>0</v>
      </c>
      <c r="J13" t="n">
        <v>0</v>
      </c>
      <c r="K13" t="n">
        <v>0</v>
      </c>
      <c r="L13" t="n">
        <v>0</v>
      </c>
      <c r="M13" t="n">
        <v>0</v>
      </c>
      <c r="N13" t="n">
        <v>0</v>
      </c>
    </row>
    <row r="14">
      <c r="A14" t="inlineStr">
        <is>
          <t>quittances of rent</t>
        </is>
      </c>
      <c r="B14" t="inlineStr">
        <is>
          <t>1 smith for the year 1 shilling 3pence.</t>
        </is>
      </c>
      <c r="C14" t="n">
        <v>0.06</v>
      </c>
      <c r="D14" t="n">
        <v>0</v>
      </c>
      <c r="E14" t="n">
        <v>1</v>
      </c>
      <c r="F14" t="n">
        <v>3</v>
      </c>
      <c r="H14" t="n">
        <v>0</v>
      </c>
      <c r="I14" t="n">
        <v>0</v>
      </c>
      <c r="J14" t="n">
        <v>0</v>
      </c>
      <c r="K14" t="n">
        <v>0</v>
      </c>
      <c r="L14" t="n">
        <v>0</v>
      </c>
      <c r="M14" t="n">
        <v>0</v>
      </c>
      <c r="N14" t="n">
        <v>0</v>
      </c>
    </row>
    <row r="15">
      <c r="A15" t="inlineStr">
        <is>
          <t>quittances of rent</t>
        </is>
      </c>
      <c r="B15" t="inlineStr">
        <is>
          <t>1 beadle for the year 6pence.</t>
        </is>
      </c>
      <c r="C15" t="n">
        <v>0.03</v>
      </c>
      <c r="D15" t="n">
        <v>0</v>
      </c>
      <c r="E15" t="n">
        <v>0</v>
      </c>
      <c r="F15" t="n">
        <v>6</v>
      </c>
      <c r="H15" t="n">
        <v>0</v>
      </c>
      <c r="I15" t="n">
        <v>0</v>
      </c>
      <c r="J15" t="n">
        <v>0</v>
      </c>
      <c r="K15" t="n">
        <v>0</v>
      </c>
      <c r="L15" t="n">
        <v>0</v>
      </c>
      <c r="M15" t="n">
        <v>0</v>
      </c>
      <c r="N15" t="n">
        <v>0</v>
      </c>
    </row>
    <row r="16">
      <c r="A16" t="inlineStr">
        <is>
          <t>quittances of rent</t>
        </is>
      </c>
      <c r="B16" t="inlineStr">
        <is>
          <t>12 workers working 2 days a week until lammas and 3 days a week at harvest-time 3 shilling, or 3pence each.</t>
        </is>
      </c>
      <c r="C16" t="n">
        <v>0.16</v>
      </c>
      <c r="D16" t="n">
        <v>0</v>
      </c>
      <c r="E16" t="n">
        <v>3</v>
      </c>
      <c r="F16" t="n">
        <v>3</v>
      </c>
      <c r="H16" t="n">
        <v>0</v>
      </c>
      <c r="I16" t="n">
        <v>0</v>
      </c>
      <c r="J16" t="n">
        <v>0</v>
      </c>
      <c r="K16" t="n">
        <v>0</v>
      </c>
      <c r="L16" t="n">
        <v>0</v>
      </c>
      <c r="M16" t="n">
        <v>0</v>
      </c>
      <c r="N16" t="n">
        <v>0</v>
      </c>
    </row>
    <row r="17">
      <c r="A17" t="inlineStr">
        <is>
          <t>quittances of rent</t>
        </is>
      </c>
      <c r="B17" t="inlineStr">
        <is>
          <t>total, £1 1 shilling.</t>
        </is>
      </c>
      <c r="C17" t="n">
        <v>1.05</v>
      </c>
      <c r="D17" t="n">
        <v>1</v>
      </c>
      <c r="E17" t="n">
        <v>1</v>
      </c>
      <c r="F17" t="n">
        <v>0</v>
      </c>
      <c r="H17" t="n">
        <v>0</v>
      </c>
      <c r="I17" t="n">
        <v>0</v>
      </c>
      <c r="J17" t="n">
        <v>0</v>
      </c>
      <c r="K17" t="n">
        <v>0</v>
      </c>
      <c r="L17" t="n">
        <v>0</v>
      </c>
      <c r="M17" t="n">
        <v>0</v>
      </c>
      <c r="N17" t="n">
        <v>0</v>
      </c>
    </row>
    <row r="18">
      <c r="A18" t="inlineStr">
        <is>
          <t>defaults of rent</t>
        </is>
      </c>
      <c r="B18" t="inlineStr">
        <is>
          <t>in default of the land' formerly of swyst taken into demesne 1 shilling.</t>
        </is>
      </c>
      <c r="C18" t="n">
        <v>0.05</v>
      </c>
      <c r="D18" t="n">
        <v>0</v>
      </c>
      <c r="E18" t="n">
        <v>1</v>
      </c>
      <c r="F18" t="n">
        <v>0</v>
      </c>
      <c r="H18" t="n">
        <v>0</v>
      </c>
      <c r="I18" t="n">
        <v>0</v>
      </c>
      <c r="J18" t="n">
        <v>0</v>
      </c>
      <c r="K18" t="n">
        <v>0</v>
      </c>
      <c r="L18" t="n">
        <v>0</v>
      </c>
      <c r="M18" t="n">
        <v>0</v>
      </c>
      <c r="N18" t="n">
        <v>0</v>
      </c>
    </row>
    <row r="19">
      <c r="A19" t="inlineStr">
        <is>
          <t>defaults of rent</t>
        </is>
      </c>
      <c r="B19" t="inlineStr">
        <is>
          <t>that formerly of robert de ligh', 8 shilling 6pence for the year.</t>
        </is>
      </c>
      <c r="C19" t="n">
        <v>0.43</v>
      </c>
      <c r="D19" t="n">
        <v>0</v>
      </c>
      <c r="E19" t="n">
        <v>8</v>
      </c>
      <c r="F19" t="n">
        <v>6</v>
      </c>
      <c r="H19" t="n">
        <v>0</v>
      </c>
      <c r="I19" t="n">
        <v>0</v>
      </c>
      <c r="J19" t="n">
        <v>0</v>
      </c>
      <c r="K19" t="n">
        <v>0</v>
      </c>
      <c r="L19" t="n">
        <v>0</v>
      </c>
      <c r="M19" t="n">
        <v>0</v>
      </c>
      <c r="N19" t="n">
        <v>0</v>
      </c>
    </row>
    <row r="20">
      <c r="A20" t="inlineStr">
        <is>
          <t>defaults of rent</t>
        </is>
      </c>
      <c r="B20" t="inlineStr">
        <is>
          <t>the land of pixton given to baldwin son of gerard in exchange for corfe, nailsbourne and fulford by bishop richard £2 5 shilling.</t>
        </is>
      </c>
      <c r="C20" t="n">
        <v>2.25</v>
      </c>
      <c r="D20" t="n">
        <v>2</v>
      </c>
      <c r="E20" t="n">
        <v>5</v>
      </c>
      <c r="F20" t="n">
        <v>0</v>
      </c>
      <c r="H20" t="n">
        <v>0</v>
      </c>
      <c r="I20" t="n">
        <v>0</v>
      </c>
      <c r="J20" t="n">
        <v>0</v>
      </c>
      <c r="K20" t="n">
        <v>0</v>
      </c>
      <c r="L20" t="n">
        <v>0</v>
      </c>
      <c r="M20" t="n">
        <v>0</v>
      </c>
      <c r="N20" t="n">
        <v>0</v>
      </c>
    </row>
    <row r="21">
      <c r="A21" t="inlineStr">
        <is>
          <t>defaults of rent</t>
        </is>
      </c>
      <c r="B21" t="inlineStr">
        <is>
          <t>the land formerly of jordan de fydok' through bishop godfrey 4 shilling 11pence.</t>
        </is>
      </c>
      <c r="C21" t="n">
        <v>0.25</v>
      </c>
      <c r="D21" t="n">
        <v>0</v>
      </c>
      <c r="E21" t="n">
        <v>4</v>
      </c>
      <c r="F21" t="n">
        <v>11</v>
      </c>
      <c r="H21" t="n">
        <v>0</v>
      </c>
      <c r="I21" t="n">
        <v>0</v>
      </c>
      <c r="J21" t="n">
        <v>0</v>
      </c>
      <c r="K21" t="n">
        <v>0</v>
      </c>
      <c r="L21" t="n">
        <v>0</v>
      </c>
      <c r="M21" t="n">
        <v>0</v>
      </c>
      <c r="N21" t="n">
        <v>0</v>
      </c>
    </row>
    <row r="22">
      <c r="A22" t="inlineStr">
        <is>
          <t>defaults of rent</t>
        </is>
      </c>
      <c r="B22" t="inlineStr">
        <is>
          <t>the land of bridgwater stolen (ablat') by william breuere in the time of bishop godfrey 3 shilling.</t>
        </is>
      </c>
      <c r="C22" t="n">
        <v>0.15</v>
      </c>
      <c r="D22" t="n">
        <v>0</v>
      </c>
      <c r="E22" t="n">
        <v>3</v>
      </c>
      <c r="F22" t="n">
        <v>0</v>
      </c>
      <c r="H22" t="n">
        <v>0</v>
      </c>
      <c r="I22" t="n">
        <v>0</v>
      </c>
      <c r="J22" t="n">
        <v>0</v>
      </c>
      <c r="K22" t="n">
        <v>0</v>
      </c>
      <c r="L22" t="n">
        <v>0</v>
      </c>
      <c r="M22" t="n">
        <v>0</v>
      </c>
      <c r="N22" t="n">
        <v>0</v>
      </c>
    </row>
    <row r="23">
      <c r="A23" t="inlineStr">
        <is>
          <t>defaults of rent</t>
        </is>
      </c>
      <c r="B23" t="inlineStr">
        <is>
          <t>2 acres of land formerly of john gleofle de la flore taken into demesne, 6 shilling for the year.</t>
        </is>
      </c>
      <c r="C23" t="n">
        <v>0.3</v>
      </c>
      <c r="D23" t="n">
        <v>0</v>
      </c>
      <c r="E23" t="n">
        <v>6</v>
      </c>
      <c r="F23" t="n">
        <v>0</v>
      </c>
      <c r="H23" t="n">
        <v>0</v>
      </c>
      <c r="I23" t="n">
        <v>0</v>
      </c>
      <c r="J23" t="n">
        <v>0</v>
      </c>
      <c r="K23" t="n">
        <v>0</v>
      </c>
      <c r="L23" t="n">
        <v>0</v>
      </c>
      <c r="M23" t="n">
        <v>0</v>
      </c>
      <c r="N23" t="n">
        <v>0</v>
      </c>
    </row>
    <row r="24">
      <c r="A24" t="inlineStr">
        <is>
          <t>defaults of rent</t>
        </is>
      </c>
      <c r="B24" t="inlineStr">
        <is>
          <t>the land formerly of thomas codelake taken into demesne for 1 acre of meadow beside the fishpond, 6pence for the year.</t>
        </is>
      </c>
      <c r="C24" t="n">
        <v>0.03</v>
      </c>
      <c r="D24" t="n">
        <v>0</v>
      </c>
      <c r="E24" t="n">
        <v>0</v>
      </c>
      <c r="F24" t="n">
        <v>6</v>
      </c>
      <c r="H24" t="n">
        <v>0</v>
      </c>
      <c r="I24" t="n">
        <v>0</v>
      </c>
      <c r="J24" t="n">
        <v>0</v>
      </c>
      <c r="K24" t="n">
        <v>0</v>
      </c>
      <c r="L24" t="n">
        <v>0</v>
      </c>
      <c r="M24" t="n">
        <v>0</v>
      </c>
      <c r="N24" t="n">
        <v>0</v>
      </c>
    </row>
    <row r="25">
      <c r="A25" t="inlineStr">
        <is>
          <t>defaults of rent</t>
        </is>
      </c>
      <c r="B25" t="inlineStr">
        <is>
          <t>that of philip dawe taken into demesne for 1 acre of meadow there 1 shilling.</t>
        </is>
      </c>
      <c r="C25" t="n">
        <v>0.05</v>
      </c>
      <c r="D25" t="n">
        <v>0</v>
      </c>
      <c r="E25" t="n">
        <v>1</v>
      </c>
      <c r="F25" t="n">
        <v>0</v>
      </c>
      <c r="H25" t="n">
        <v>0</v>
      </c>
      <c r="I25" t="n">
        <v>0</v>
      </c>
      <c r="J25" t="n">
        <v>0</v>
      </c>
      <c r="K25" t="n">
        <v>0</v>
      </c>
      <c r="L25" t="n">
        <v>0</v>
      </c>
      <c r="M25" t="n">
        <v>0</v>
      </c>
      <c r="N25" t="n">
        <v>0</v>
      </c>
    </row>
    <row r="26">
      <c r="A26" t="inlineStr">
        <is>
          <t>defaults of rent</t>
        </is>
      </c>
      <c r="B26" t="inlineStr">
        <is>
          <t>1 acre of meadow of william atte burch' in rodmore taken into demesne 4pence.</t>
        </is>
      </c>
      <c r="C26" t="n">
        <v>0.02</v>
      </c>
      <c r="D26" t="n">
        <v>0</v>
      </c>
      <c r="E26" t="n">
        <v>0</v>
      </c>
      <c r="F26" t="n">
        <v>4</v>
      </c>
      <c r="H26" t="n">
        <v>0</v>
      </c>
      <c r="I26" t="n">
        <v>0</v>
      </c>
      <c r="J26" t="n">
        <v>0</v>
      </c>
      <c r="K26" t="n">
        <v>0</v>
      </c>
      <c r="L26" t="n">
        <v>0</v>
      </c>
      <c r="M26" t="n">
        <v>0</v>
      </c>
      <c r="N26" t="n">
        <v>0</v>
      </c>
    </row>
    <row r="27">
      <c r="A27" t="inlineStr">
        <is>
          <t>defaults of rent</t>
        </is>
      </c>
      <c r="B27" t="inlineStr">
        <is>
          <t>2 acres of meadow beside the fishpond formerly of thomas wallyng', 4 shilling for the year.</t>
        </is>
      </c>
      <c r="C27" t="n">
        <v>0.2</v>
      </c>
      <c r="D27" t="n">
        <v>0</v>
      </c>
      <c r="E27" t="n">
        <v>4</v>
      </c>
      <c r="F27" t="n">
        <v>0</v>
      </c>
      <c r="H27" t="n">
        <v>0</v>
      </c>
      <c r="I27" t="n">
        <v>0</v>
      </c>
      <c r="J27" t="n">
        <v>0</v>
      </c>
      <c r="K27" t="n">
        <v>0</v>
      </c>
      <c r="L27" t="n">
        <v>0</v>
      </c>
      <c r="M27" t="n">
        <v>0</v>
      </c>
      <c r="N27" t="n">
        <v>0</v>
      </c>
    </row>
    <row r="28">
      <c r="A28" t="inlineStr">
        <is>
          <t>defaults of rent</t>
        </is>
      </c>
      <c r="B28" t="inlineStr">
        <is>
          <t>that of nicholas atte walle taken into demesne for 2 acres of meadow 4 shilling.</t>
        </is>
      </c>
      <c r="C28" t="n">
        <v>0.2</v>
      </c>
      <c r="D28" t="n">
        <v>0</v>
      </c>
      <c r="E28" t="n">
        <v>4</v>
      </c>
      <c r="F28" t="n">
        <v>0</v>
      </c>
      <c r="H28" t="n">
        <v>0</v>
      </c>
      <c r="I28" t="n">
        <v>0</v>
      </c>
      <c r="J28" t="n">
        <v>0</v>
      </c>
      <c r="K28" t="n">
        <v>0</v>
      </c>
      <c r="L28" t="n">
        <v>0</v>
      </c>
      <c r="M28" t="n">
        <v>0</v>
      </c>
      <c r="N28" t="n">
        <v>0</v>
      </c>
    </row>
    <row r="29">
      <c r="A29" t="inlineStr">
        <is>
          <t>defaults of rent</t>
        </is>
      </c>
      <c r="B29" t="inlineStr">
        <is>
          <t>total, £3 18 shilling 3pence.</t>
        </is>
      </c>
      <c r="C29" t="n">
        <v>3.91</v>
      </c>
      <c r="D29" t="n">
        <v>3</v>
      </c>
      <c r="E29" t="n">
        <v>18</v>
      </c>
      <c r="F29" t="n">
        <v>3</v>
      </c>
      <c r="H29" t="n">
        <v>0</v>
      </c>
      <c r="I29" t="n">
        <v>0</v>
      </c>
      <c r="J29" t="n">
        <v>0</v>
      </c>
      <c r="K29" t="n">
        <v>0</v>
      </c>
      <c r="L29" t="n">
        <v>0</v>
      </c>
      <c r="M29" t="n">
        <v>0</v>
      </c>
      <c r="N29" t="n">
        <v>0</v>
      </c>
    </row>
    <row r="30">
      <c r="A30" t="inlineStr">
        <is>
          <t>total of quittances and defaults of rent</t>
        </is>
      </c>
      <c r="B30" t="inlineStr">
        <is>
          <t>total of quittances and defaults of rent, £4 19 shilling 3pence.</t>
        </is>
      </c>
      <c r="C30" t="n">
        <v>4.96</v>
      </c>
      <c r="D30" t="n">
        <v>4</v>
      </c>
      <c r="E30" t="n">
        <v>19</v>
      </c>
      <c r="F30" t="n">
        <v>3</v>
      </c>
      <c r="H30" t="n">
        <v>0</v>
      </c>
      <c r="I30" t="n">
        <v>0</v>
      </c>
      <c r="J30" t="n">
        <v>0</v>
      </c>
      <c r="K30" t="n">
        <v>0</v>
      </c>
      <c r="L30" t="n">
        <v>0</v>
      </c>
      <c r="M30" t="n">
        <v>0</v>
      </c>
      <c r="N30" t="n">
        <v>0</v>
      </c>
    </row>
    <row r="31">
      <c r="A31" t="inlineStr">
        <is>
          <t>total of rents remaining clear with the increment</t>
        </is>
      </c>
      <c r="B31" t="inlineStr">
        <is>
          <t>total of rents remaining clear with the increment, £95 13 shilling.</t>
        </is>
      </c>
      <c r="C31" t="n">
        <v>95.65000000000001</v>
      </c>
      <c r="D31" t="n">
        <v>95</v>
      </c>
      <c r="E31" t="n">
        <v>13</v>
      </c>
      <c r="F31" t="n">
        <v>0</v>
      </c>
      <c r="H31" t="n">
        <v>0</v>
      </c>
      <c r="I31" t="n">
        <v>0</v>
      </c>
      <c r="J31" t="n">
        <v>0</v>
      </c>
      <c r="K31" t="n">
        <v>0</v>
      </c>
      <c r="L31" t="n">
        <v>0</v>
      </c>
      <c r="M31" t="n">
        <v>0</v>
      </c>
      <c r="N31" t="n">
        <v>0</v>
      </c>
    </row>
    <row r="32">
      <c r="A32" t="inlineStr">
        <is>
          <t>farms</t>
        </is>
      </c>
      <c r="B32" t="inlineStr">
        <is>
          <t>nothing for the farm of the pasture in smetham and mersshelake because it is in the chief rents above, demised in the tenth year or john stratford', recently bishop, of winchester (1332-3).</t>
        </is>
      </c>
      <c r="C32" t="n">
        <v>0</v>
      </c>
      <c r="D32" t="n">
        <v>0</v>
      </c>
      <c r="E32" t="n">
        <v>0</v>
      </c>
      <c r="F32" t="n">
        <v>0</v>
      </c>
      <c r="H32" t="n">
        <v>0</v>
      </c>
      <c r="I32" t="n">
        <v>0</v>
      </c>
      <c r="J32" t="n">
        <v>0</v>
      </c>
      <c r="K32" t="n">
        <v>0</v>
      </c>
      <c r="L32" t="n">
        <v>0</v>
      </c>
      <c r="M32" t="n">
        <v>0</v>
      </c>
      <c r="N32" t="n">
        <v>0</v>
      </c>
    </row>
    <row r="33">
      <c r="A33" t="inlineStr">
        <is>
          <t>farms</t>
        </is>
      </c>
      <c r="B33" t="inlineStr">
        <is>
          <t>9 shilling from william atte rixe for 2 acres 1 rood of meadow beside la fiore.</t>
        </is>
      </c>
      <c r="C33" t="n">
        <v>0.45</v>
      </c>
      <c r="D33" t="n">
        <v>0</v>
      </c>
      <c r="E33" t="n">
        <v>9</v>
      </c>
      <c r="F33" t="n">
        <v>0</v>
      </c>
      <c r="H33" t="n">
        <v>0</v>
      </c>
      <c r="I33" t="n">
        <v>0</v>
      </c>
      <c r="J33" t="n">
        <v>0</v>
      </c>
      <c r="K33" t="n">
        <v>0</v>
      </c>
      <c r="L33" t="n">
        <v>0</v>
      </c>
      <c r="M33" t="n">
        <v>0</v>
      </c>
      <c r="N33" t="n">
        <v>0</v>
      </c>
    </row>
    <row r="34">
      <c r="A34" t="inlineStr">
        <is>
          <t>farms</t>
        </is>
      </c>
      <c r="B34" t="inlineStr">
        <is>
          <t>6 shilling for the farm of the fisheryt of tappyngwere for the year at 4 terms.</t>
        </is>
      </c>
      <c r="C34" t="n">
        <v>0.3</v>
      </c>
      <c r="D34" t="n">
        <v>0</v>
      </c>
      <c r="E34" t="n">
        <v>6</v>
      </c>
      <c r="F34" t="n">
        <v>0</v>
      </c>
      <c r="H34" t="n">
        <v>0</v>
      </c>
      <c r="I34" t="n">
        <v>0</v>
      </c>
      <c r="J34" t="n">
        <v>0</v>
      </c>
      <c r="K34" t="n">
        <v>0</v>
      </c>
      <c r="L34" t="n">
        <v>0</v>
      </c>
      <c r="M34" t="n">
        <v>0</v>
      </c>
      <c r="N34" t="n">
        <v>0</v>
      </c>
    </row>
    <row r="35">
      <c r="A35" t="inlineStr">
        <is>
          <t>farms</t>
        </is>
      </c>
      <c r="B35" t="inlineStr">
        <is>
          <t>8pence from 1 cottage pertaining to the said fishery.</t>
        </is>
      </c>
      <c r="C35" t="n">
        <v>0.03</v>
      </c>
      <c r="D35" t="n">
        <v>0</v>
      </c>
      <c r="E35" t="n">
        <v>0</v>
      </c>
      <c r="F35" t="n">
        <v>8</v>
      </c>
      <c r="H35" t="n">
        <v>0</v>
      </c>
      <c r="I35" t="n">
        <v>0</v>
      </c>
      <c r="J35" t="n">
        <v>0</v>
      </c>
      <c r="K35" t="n">
        <v>0</v>
      </c>
      <c r="L35" t="n">
        <v>0</v>
      </c>
      <c r="M35" t="n">
        <v>0</v>
      </c>
      <c r="N35" t="n">
        <v>0</v>
      </c>
    </row>
    <row r="36">
      <c r="A36" t="inlineStr">
        <is>
          <t>farms</t>
        </is>
      </c>
      <c r="B36" t="inlineStr">
        <is>
          <t>6 shilling 9pence from john baret for the farm of 9 acres of arable land in la rededoune demised to the aforesaid john for the term of his life.</t>
        </is>
      </c>
      <c r="C36" t="n">
        <v>0.34</v>
      </c>
      <c r="D36" t="n">
        <v>0</v>
      </c>
      <c r="E36" t="n">
        <v>6</v>
      </c>
      <c r="F36" t="n">
        <v>9</v>
      </c>
      <c r="H36" t="n">
        <v>0</v>
      </c>
      <c r="I36" t="n">
        <v>0</v>
      </c>
      <c r="J36" t="n">
        <v>0</v>
      </c>
      <c r="K36" t="n">
        <v>0</v>
      </c>
      <c r="L36" t="n">
        <v>0</v>
      </c>
      <c r="M36" t="n">
        <v>0</v>
      </c>
      <c r="N36" t="n">
        <v>0</v>
      </c>
    </row>
    <row r="37">
      <c r="A37" t="inlineStr">
        <is>
          <t>farms</t>
        </is>
      </c>
      <c r="B37" t="inlineStr">
        <is>
          <t>3 shilling for the farm of 4 acres of land of the lord's demesne in the field called rededoune demised to john peye for the term of his life.</t>
        </is>
      </c>
      <c r="C37" t="n">
        <v>0.15</v>
      </c>
      <c r="D37" t="n">
        <v>0</v>
      </c>
      <c r="E37" t="n">
        <v>3</v>
      </c>
      <c r="F37" t="n">
        <v>0</v>
      </c>
      <c r="H37" t="n">
        <v>0</v>
      </c>
      <c r="I37" t="n">
        <v>0</v>
      </c>
      <c r="J37" t="n">
        <v>0</v>
      </c>
      <c r="K37" t="n">
        <v>0</v>
      </c>
      <c r="L37" t="n">
        <v>0</v>
      </c>
      <c r="M37" t="n">
        <v>0</v>
      </c>
      <c r="N37" t="n">
        <v>0</v>
      </c>
    </row>
    <row r="38">
      <c r="A38" t="inlineStr">
        <is>
          <t>farms</t>
        </is>
      </c>
      <c r="B38" t="inlineStr">
        <is>
          <t>8pence for the farm of 1 acre of the lord's demesne enclosed on all sides beside rodmore demised to john lobbe for the term of his life, unless it can be demised for more within the aforesaid time.</t>
        </is>
      </c>
      <c r="C38" t="n">
        <v>0.03</v>
      </c>
      <c r="D38" t="n">
        <v>0</v>
      </c>
      <c r="E38" t="n">
        <v>0</v>
      </c>
      <c r="F38" t="n">
        <v>8</v>
      </c>
      <c r="H38" t="n">
        <v>0</v>
      </c>
      <c r="I38" t="n">
        <v>0</v>
      </c>
      <c r="J38" t="n">
        <v>0</v>
      </c>
      <c r="K38" t="n">
        <v>0</v>
      </c>
      <c r="L38" t="n">
        <v>0</v>
      </c>
      <c r="M38" t="n">
        <v>0</v>
      </c>
      <c r="N38" t="n">
        <v>0</v>
      </c>
    </row>
    <row r="39">
      <c r="A39" t="inlineStr">
        <is>
          <t>farms</t>
        </is>
      </c>
      <c r="B39" t="inlineStr">
        <is>
          <t>4 shilling 6pence from matilda, who was wife of robert derke, for the farm of 4.5 acres of uncultivated land (frisse) of the lord's demesne in the north part of la flore demised to the aforesaid matilda for the term of her life.</t>
        </is>
      </c>
      <c r="C39" t="n">
        <v>0.23</v>
      </c>
      <c r="D39" t="n">
        <v>0</v>
      </c>
      <c r="E39" t="n">
        <v>4</v>
      </c>
      <c r="F39" t="n">
        <v>6</v>
      </c>
      <c r="H39" t="n">
        <v>0</v>
      </c>
      <c r="I39" t="n">
        <v>0</v>
      </c>
      <c r="J39" t="n">
        <v>0</v>
      </c>
      <c r="K39" t="n">
        <v>0</v>
      </c>
      <c r="L39" t="n">
        <v>0</v>
      </c>
      <c r="M39" t="n">
        <v>0</v>
      </c>
      <c r="N39" t="n">
        <v>0</v>
      </c>
    </row>
    <row r="40">
      <c r="A40" t="inlineStr">
        <is>
          <t>farms</t>
        </is>
      </c>
      <c r="B40" t="inlineStr">
        <is>
          <t>5 shilling 8pence for the farm of 8.5 acres of arable land of the lord's demesne in grenecombe demised to william goude for 20 years, this year being the nineteenth, unless it can be demised for more within the aforesaid time.</t>
        </is>
      </c>
      <c r="C40" t="n">
        <v>0.28</v>
      </c>
      <c r="D40" t="n">
        <v>0</v>
      </c>
      <c r="E40" t="n">
        <v>5</v>
      </c>
      <c r="F40" t="n">
        <v>8</v>
      </c>
      <c r="H40" t="n">
        <v>0</v>
      </c>
      <c r="I40" t="n">
        <v>0</v>
      </c>
      <c r="J40" t="n">
        <v>0</v>
      </c>
      <c r="K40" t="n">
        <v>0</v>
      </c>
      <c r="L40" t="n">
        <v>0</v>
      </c>
      <c r="M40" t="n">
        <v>0</v>
      </c>
      <c r="N40" t="n">
        <v>0</v>
      </c>
    </row>
    <row r="41">
      <c r="A41" t="inlineStr">
        <is>
          <t>farms</t>
        </is>
      </c>
      <c r="B41" t="inlineStr">
        <is>
          <t>12 shilling from william portman for the farm of the pasturage of 10 oxen agisting with the lord's oxen from lammas until martinmas demised to the aforesaid william for the term of his life.</t>
        </is>
      </c>
      <c r="C41" t="n">
        <v>0.6</v>
      </c>
      <c r="D41" t="n">
        <v>0</v>
      </c>
      <c r="E41" t="n">
        <v>12</v>
      </c>
      <c r="F41" t="n">
        <v>0</v>
      </c>
      <c r="H41" t="n">
        <v>0</v>
      </c>
      <c r="I41" t="n">
        <v>0</v>
      </c>
      <c r="J41" t="n">
        <v>0</v>
      </c>
      <c r="K41" t="n">
        <v>0</v>
      </c>
      <c r="L41" t="n">
        <v>0</v>
      </c>
      <c r="M41" t="n">
        <v>0</v>
      </c>
      <c r="N41" t="n">
        <v>0</v>
      </c>
    </row>
    <row r="42">
      <c r="A42" t="inlineStr">
        <is>
          <t>farms</t>
        </is>
      </c>
      <c r="B42" t="inlineStr">
        <is>
          <t>1 shilling from the pasture of the barton of holway in summer, and so little because the winter pasture was not sold, so that it remained for the easement of the lord's stock.</t>
        </is>
      </c>
      <c r="C42" t="n">
        <v>0.05</v>
      </c>
      <c r="D42" t="n">
        <v>0</v>
      </c>
      <c r="E42" t="n">
        <v>1</v>
      </c>
      <c r="F42" t="n">
        <v>0</v>
      </c>
      <c r="H42" t="n">
        <v>0</v>
      </c>
      <c r="I42" t="n">
        <v>0</v>
      </c>
      <c r="J42" t="n">
        <v>0</v>
      </c>
      <c r="K42" t="n">
        <v>0</v>
      </c>
      <c r="L42" t="n">
        <v>0</v>
      </c>
      <c r="M42" t="n">
        <v>0</v>
      </c>
      <c r="N42" t="n">
        <v>0</v>
      </c>
    </row>
    <row r="43">
      <c r="A43" t="inlineStr">
        <is>
          <t>farms</t>
        </is>
      </c>
      <c r="B43" t="inlineStr">
        <is>
          <t>£1 from john payn for the pasture of the new enclosure of corfe demised to the aforesaid john payn for 7 years, this year being the second.</t>
        </is>
      </c>
      <c r="C43" t="n">
        <v>1</v>
      </c>
      <c r="D43" t="n">
        <v>1</v>
      </c>
      <c r="E43" t="n">
        <v>0</v>
      </c>
      <c r="F43" t="n">
        <v>0</v>
      </c>
      <c r="H43" t="n">
        <v>0</v>
      </c>
      <c r="I43" t="n">
        <v>0</v>
      </c>
      <c r="J43" t="n">
        <v>0</v>
      </c>
      <c r="K43" t="n">
        <v>0</v>
      </c>
      <c r="L43" t="n">
        <v>0</v>
      </c>
      <c r="M43" t="n">
        <v>0</v>
      </c>
      <c r="N43" t="n">
        <v>0</v>
      </c>
    </row>
    <row r="44">
      <c r="A44" t="inlineStr">
        <is>
          <t>farms</t>
        </is>
      </c>
      <c r="B44" t="inlineStr">
        <is>
          <t>£1 from richard monk' for the farm of the pasturage of 8 oxen agisting with the lord's oxen between hockday and martinmas demised to the aforesaid richard for the term of his life.</t>
        </is>
      </c>
      <c r="C44" t="n">
        <v>1</v>
      </c>
      <c r="D44" t="n">
        <v>1</v>
      </c>
      <c r="E44" t="n">
        <v>0</v>
      </c>
      <c r="F44" t="n">
        <v>0</v>
      </c>
      <c r="H44" t="n">
        <v>0</v>
      </c>
      <c r="I44" t="n">
        <v>0</v>
      </c>
      <c r="J44" t="n">
        <v>0</v>
      </c>
      <c r="K44" t="n">
        <v>0</v>
      </c>
      <c r="L44" t="n">
        <v>0</v>
      </c>
      <c r="M44" t="n">
        <v>0</v>
      </c>
      <c r="N44" t="n">
        <v>0</v>
      </c>
    </row>
    <row r="45">
      <c r="A45" t="inlineStr">
        <is>
          <t>farms</t>
        </is>
      </c>
      <c r="B45" t="inlineStr">
        <is>
          <t>total, £4 9 shilling 3pence.</t>
        </is>
      </c>
      <c r="C45" t="n">
        <v>4.46</v>
      </c>
      <c r="D45" t="n">
        <v>4</v>
      </c>
      <c r="E45" t="n">
        <v>9</v>
      </c>
      <c r="F45" t="n">
        <v>3</v>
      </c>
      <c r="H45" t="n">
        <v>0</v>
      </c>
      <c r="I45" t="n">
        <v>0</v>
      </c>
      <c r="J45" t="n">
        <v>0</v>
      </c>
      <c r="K45" t="n">
        <v>0</v>
      </c>
      <c r="L45" t="n">
        <v>0</v>
      </c>
      <c r="M45" t="n">
        <v>0</v>
      </c>
      <c r="N45" t="n">
        <v>0</v>
      </c>
    </row>
    <row r="46">
      <c r="A46" t="inlineStr">
        <is>
          <t>customary payments</t>
        </is>
      </c>
      <c r="B46" t="inlineStr">
        <is>
          <t>and for £1 11 shilling 3.5pence from the pannage of pigs, hoggets and piglets at martinmas this year.</t>
        </is>
      </c>
      <c r="C46" t="n">
        <v>1.56</v>
      </c>
      <c r="D46" t="n">
        <v>1</v>
      </c>
      <c r="E46" t="n">
        <v>11</v>
      </c>
      <c r="F46" t="n">
        <v>3.5</v>
      </c>
      <c r="H46" t="n">
        <v>0</v>
      </c>
      <c r="I46" t="n">
        <v>0</v>
      </c>
      <c r="J46" t="n">
        <v>0</v>
      </c>
      <c r="K46" t="n">
        <v>0</v>
      </c>
      <c r="L46" t="n">
        <v>0</v>
      </c>
      <c r="M46" t="n">
        <v>0</v>
      </c>
      <c r="N46" t="n">
        <v>0</v>
      </c>
    </row>
    <row r="47">
      <c r="A47" t="inlineStr">
        <is>
          <t>customary payments</t>
        </is>
      </c>
      <c r="B47" t="inlineStr">
        <is>
          <t>£1 13 shilling 1pence from the preceding year.</t>
        </is>
      </c>
      <c r="C47" t="n">
        <v>1.65</v>
      </c>
      <c r="D47" t="n">
        <v>1</v>
      </c>
      <c r="E47" t="n">
        <v>13</v>
      </c>
      <c r="F47" t="n">
        <v>1</v>
      </c>
      <c r="H47" t="n">
        <v>0</v>
      </c>
      <c r="I47" t="n">
        <v>0</v>
      </c>
      <c r="J47" t="n">
        <v>0</v>
      </c>
      <c r="K47" t="n">
        <v>0</v>
      </c>
      <c r="L47" t="n">
        <v>0</v>
      </c>
      <c r="M47" t="n">
        <v>0</v>
      </c>
      <c r="N47" t="n">
        <v>0</v>
      </c>
    </row>
    <row r="48">
      <c r="A48" t="inlineStr">
        <is>
          <t>customary payments</t>
        </is>
      </c>
      <c r="B48" t="inlineStr">
        <is>
          <t>£1 3 shilling 9pence from hundredpenny according to custom at christmas.</t>
        </is>
      </c>
      <c r="C48" t="n">
        <v>1.19</v>
      </c>
      <c r="D48" t="n">
        <v>1</v>
      </c>
      <c r="E48" t="n">
        <v>3</v>
      </c>
      <c r="F48" t="n">
        <v>9</v>
      </c>
      <c r="H48" t="n">
        <v>0</v>
      </c>
      <c r="I48" t="n">
        <v>0</v>
      </c>
      <c r="J48" t="n">
        <v>0</v>
      </c>
      <c r="K48" t="n">
        <v>0</v>
      </c>
      <c r="L48" t="n">
        <v>0</v>
      </c>
      <c r="M48" t="n">
        <v>0</v>
      </c>
      <c r="N48" t="n">
        <v>0</v>
      </c>
    </row>
    <row r="49">
      <c r="A49" t="inlineStr">
        <is>
          <t>customary payments</t>
        </is>
      </c>
      <c r="B49" t="inlineStr">
        <is>
          <t>17 shilling 6pence from woodway according to custom at the same feast.</t>
        </is>
      </c>
      <c r="C49" t="n">
        <v>0.88</v>
      </c>
      <c r="D49" t="n">
        <v>0</v>
      </c>
      <c r="E49" t="n">
        <v>17</v>
      </c>
      <c r="F49" t="n">
        <v>6</v>
      </c>
      <c r="H49" t="n">
        <v>0</v>
      </c>
      <c r="I49" t="n">
        <v>0</v>
      </c>
      <c r="J49" t="n">
        <v>0</v>
      </c>
      <c r="K49" t="n">
        <v>0</v>
      </c>
      <c r="L49" t="n">
        <v>0</v>
      </c>
      <c r="M49" t="n">
        <v>0</v>
      </c>
      <c r="N49" t="n">
        <v>0</v>
      </c>
    </row>
    <row r="50">
      <c r="A50" t="inlineStr">
        <is>
          <t>customary payments</t>
        </is>
      </c>
      <c r="B50" t="inlineStr">
        <is>
          <t>£2 from the fixed customary communal fine at hockday (hockedaiswhite).</t>
        </is>
      </c>
      <c r="C50" t="n">
        <v>2</v>
      </c>
      <c r="D50" t="n">
        <v>2</v>
      </c>
      <c r="E50" t="n">
        <v>0</v>
      </c>
      <c r="F50" t="n">
        <v>0</v>
      </c>
      <c r="H50" t="n">
        <v>0</v>
      </c>
      <c r="I50" t="n">
        <v>0</v>
      </c>
      <c r="J50" t="n">
        <v>0</v>
      </c>
      <c r="K50" t="n">
        <v>0</v>
      </c>
      <c r="L50" t="n">
        <v>0</v>
      </c>
      <c r="M50" t="n">
        <v>0</v>
      </c>
      <c r="N50" t="n">
        <v>0</v>
      </c>
    </row>
    <row r="51">
      <c r="A51" t="inlineStr">
        <is>
          <t>customary payments</t>
        </is>
      </c>
      <c r="B51" t="inlineStr">
        <is>
          <t>total, £5 12 shilling 6.5pence.</t>
        </is>
      </c>
      <c r="C51" t="n">
        <v>5.63</v>
      </c>
      <c r="D51" t="n">
        <v>5</v>
      </c>
      <c r="E51" t="n">
        <v>12</v>
      </c>
      <c r="F51" t="n">
        <v>6.5</v>
      </c>
      <c r="H51" t="n">
        <v>0</v>
      </c>
      <c r="I51" t="n">
        <v>0</v>
      </c>
      <c r="J51" t="n">
        <v>0</v>
      </c>
      <c r="K51" t="n">
        <v>0</v>
      </c>
      <c r="L51" t="n">
        <v>0</v>
      </c>
      <c r="M51" t="n">
        <v>0</v>
      </c>
      <c r="N51" t="n">
        <v>0</v>
      </c>
    </row>
    <row r="52">
      <c r="A52" t="inlineStr">
        <is>
          <t>issues of the manor</t>
        </is>
      </c>
      <c r="B52" t="inlineStr">
        <is>
          <t>and for £6 from 12 haycocks sold this year at various prices.</t>
        </is>
      </c>
      <c r="C52" t="n">
        <v>6</v>
      </c>
      <c r="D52" t="n">
        <v>6</v>
      </c>
      <c r="E52" t="n">
        <v>0</v>
      </c>
      <c r="F52" t="n">
        <v>0</v>
      </c>
      <c r="H52" t="n">
        <v>0</v>
      </c>
      <c r="I52" t="n">
        <v>0</v>
      </c>
      <c r="J52" t="n">
        <v>0</v>
      </c>
      <c r="K52" t="n">
        <v>0</v>
      </c>
      <c r="L52" t="n">
        <v>0</v>
      </c>
      <c r="M52" t="n">
        <v>0</v>
      </c>
      <c r="N52" t="n">
        <v>0</v>
      </c>
    </row>
    <row r="53">
      <c r="A53" t="inlineStr">
        <is>
          <t>issues of the manor</t>
        </is>
      </c>
      <c r="B53" t="inlineStr">
        <is>
          <t>nothing from the agistment of pigs in hamwode this year because there was no mast.</t>
        </is>
      </c>
      <c r="C53" t="n">
        <v>0</v>
      </c>
      <c r="D53" t="n">
        <v>0</v>
      </c>
      <c r="E53" t="n">
        <v>0</v>
      </c>
      <c r="F53" t="n">
        <v>0</v>
      </c>
      <c r="H53" t="n">
        <v>0</v>
      </c>
      <c r="I53" t="n">
        <v>0</v>
      </c>
      <c r="J53" t="n">
        <v>0</v>
      </c>
      <c r="K53" t="n">
        <v>0</v>
      </c>
      <c r="L53" t="n">
        <v>0</v>
      </c>
      <c r="M53" t="n">
        <v>0</v>
      </c>
      <c r="N53" t="n">
        <v>0</v>
      </c>
    </row>
    <row r="54">
      <c r="A54" t="inlineStr">
        <is>
          <t>issues of the manor</t>
        </is>
      </c>
      <c r="B54" t="inlineStr">
        <is>
          <t>nothing from the agistment of pigs in knollewode this year for the above reason.</t>
        </is>
      </c>
      <c r="C54" t="n">
        <v>0</v>
      </c>
      <c r="D54" t="n">
        <v>0</v>
      </c>
      <c r="E54" t="n">
        <v>0</v>
      </c>
      <c r="F54" t="n">
        <v>0</v>
      </c>
      <c r="H54" t="n">
        <v>0</v>
      </c>
      <c r="I54" t="n">
        <v>0</v>
      </c>
      <c r="J54" t="n">
        <v>0</v>
      </c>
      <c r="K54" t="n">
        <v>0</v>
      </c>
      <c r="L54" t="n">
        <v>0</v>
      </c>
      <c r="M54" t="n">
        <v>0</v>
      </c>
      <c r="N54" t="n">
        <v>0</v>
      </c>
    </row>
    <row r="55">
      <c r="A55" t="inlineStr">
        <is>
          <t>issues of the manor</t>
        </is>
      </c>
      <c r="B55" t="inlineStr">
        <is>
          <t>nothing from the agistment of pigs in haiwode this year for the above reason.</t>
        </is>
      </c>
      <c r="C55" t="n">
        <v>0</v>
      </c>
      <c r="D55" t="n">
        <v>0</v>
      </c>
      <c r="E55" t="n">
        <v>0</v>
      </c>
      <c r="F55" t="n">
        <v>0</v>
      </c>
      <c r="H55" t="n">
        <v>0</v>
      </c>
      <c r="I55" t="n">
        <v>0</v>
      </c>
      <c r="J55" t="n">
        <v>0</v>
      </c>
      <c r="K55" t="n">
        <v>0</v>
      </c>
      <c r="L55" t="n">
        <v>0</v>
      </c>
      <c r="M55" t="n">
        <v>0</v>
      </c>
      <c r="N55" t="n">
        <v>0</v>
      </c>
    </row>
    <row r="56">
      <c r="A56" t="inlineStr">
        <is>
          <t>issues of the manor</t>
        </is>
      </c>
      <c r="B56" t="inlineStr">
        <is>
          <t>nothing from the hire of carts this year by reason of the carriage of the new weir.</t>
        </is>
      </c>
      <c r="C56" t="n">
        <v>0</v>
      </c>
      <c r="D56" t="n">
        <v>0</v>
      </c>
      <c r="E56" t="n">
        <v>0</v>
      </c>
      <c r="F56" t="n">
        <v>0</v>
      </c>
      <c r="H56" t="n">
        <v>0</v>
      </c>
      <c r="I56" t="n">
        <v>0</v>
      </c>
      <c r="J56" t="n">
        <v>0</v>
      </c>
      <c r="K56" t="n">
        <v>0</v>
      </c>
      <c r="L56" t="n">
        <v>0</v>
      </c>
      <c r="M56" t="n">
        <v>0</v>
      </c>
      <c r="N56" t="n">
        <v>0</v>
      </c>
    </row>
    <row r="57">
      <c r="A57" t="inlineStr">
        <is>
          <t>issues of the manor</t>
        </is>
      </c>
      <c r="B57" t="inlineStr">
        <is>
          <t>4 shilling from ploughing with the lord's ploughs this year and so little for the abovesaid reason.</t>
        </is>
      </c>
      <c r="C57" t="n">
        <v>0.2</v>
      </c>
      <c r="D57" t="n">
        <v>0</v>
      </c>
      <c r="E57" t="n">
        <v>4</v>
      </c>
      <c r="F57" t="n">
        <v>0</v>
      </c>
      <c r="H57" t="n">
        <v>0</v>
      </c>
      <c r="I57" t="n">
        <v>0</v>
      </c>
      <c r="J57" t="n">
        <v>0</v>
      </c>
      <c r="K57" t="n">
        <v>0</v>
      </c>
      <c r="L57" t="n">
        <v>0</v>
      </c>
      <c r="M57" t="n">
        <v>0</v>
      </c>
      <c r="N57" t="n">
        <v>0</v>
      </c>
    </row>
    <row r="58">
      <c r="A58" t="inlineStr">
        <is>
          <t>issues of the manor</t>
        </is>
      </c>
      <c r="B58" t="inlineStr">
        <is>
          <t>8 shilling from underwood sold in knollewode this year.</t>
        </is>
      </c>
      <c r="C58" t="n">
        <v>0.4</v>
      </c>
      <c r="D58" t="n">
        <v>0</v>
      </c>
      <c r="E58" t="n">
        <v>8</v>
      </c>
      <c r="F58" t="n">
        <v>0</v>
      </c>
      <c r="H58" t="n">
        <v>0</v>
      </c>
      <c r="I58" t="n">
        <v>0</v>
      </c>
      <c r="J58" t="n">
        <v>0</v>
      </c>
      <c r="K58" t="n">
        <v>0</v>
      </c>
      <c r="L58" t="n">
        <v>0</v>
      </c>
      <c r="M58" t="n">
        <v>0</v>
      </c>
      <c r="N58" t="n">
        <v>0</v>
      </c>
    </row>
    <row r="59">
      <c r="A59" t="inlineStr">
        <is>
          <t>issues of the manor</t>
        </is>
      </c>
      <c r="B59" t="inlineStr">
        <is>
          <t>nothing from the sale of underwood in haydewode this year.</t>
        </is>
      </c>
      <c r="C59" t="n">
        <v>0</v>
      </c>
      <c r="D59" t="n">
        <v>0</v>
      </c>
      <c r="E59" t="n">
        <v>0</v>
      </c>
      <c r="F59" t="n">
        <v>0</v>
      </c>
      <c r="H59" t="n">
        <v>0</v>
      </c>
      <c r="I59" t="n">
        <v>0</v>
      </c>
      <c r="J59" t="n">
        <v>0</v>
      </c>
      <c r="K59" t="n">
        <v>0</v>
      </c>
      <c r="L59" t="n">
        <v>0</v>
      </c>
      <c r="M59" t="n">
        <v>0</v>
      </c>
      <c r="N59" t="n">
        <v>0</v>
      </c>
    </row>
    <row r="60">
      <c r="A60" t="inlineStr">
        <is>
          <t>issues of the manor</t>
        </is>
      </c>
      <c r="B60" t="inlineStr">
        <is>
          <t>nothing from the sale of underwood in iweliscombe this year.</t>
        </is>
      </c>
      <c r="C60" t="n">
        <v>0</v>
      </c>
      <c r="D60" t="n">
        <v>0</v>
      </c>
      <c r="E60" t="n">
        <v>0</v>
      </c>
      <c r="F60" t="n">
        <v>0</v>
      </c>
      <c r="H60" t="n">
        <v>0</v>
      </c>
      <c r="I60" t="n">
        <v>0</v>
      </c>
      <c r="J60" t="n">
        <v>0</v>
      </c>
      <c r="K60" t="n">
        <v>0</v>
      </c>
      <c r="L60" t="n">
        <v>0</v>
      </c>
      <c r="M60" t="n">
        <v>0</v>
      </c>
      <c r="N60" t="n">
        <v>0</v>
      </c>
    </row>
    <row r="61">
      <c r="A61" t="inlineStr">
        <is>
          <t>issues of the manor</t>
        </is>
      </c>
      <c r="B61" t="inlineStr">
        <is>
          <t>1 shilling from underwood sold in the new park this year.</t>
        </is>
      </c>
      <c r="C61" t="n">
        <v>0.05</v>
      </c>
      <c r="D61" t="n">
        <v>0</v>
      </c>
      <c r="E61" t="n">
        <v>1</v>
      </c>
      <c r="F61" t="n">
        <v>0</v>
      </c>
      <c r="H61" t="n">
        <v>0</v>
      </c>
      <c r="I61" t="n">
        <v>0</v>
      </c>
      <c r="J61" t="n">
        <v>0</v>
      </c>
      <c r="K61" t="n">
        <v>0</v>
      </c>
      <c r="L61" t="n">
        <v>0</v>
      </c>
      <c r="M61" t="n">
        <v>0</v>
      </c>
      <c r="N61" t="n">
        <v>0</v>
      </c>
    </row>
    <row r="62">
      <c r="A62" t="inlineStr">
        <is>
          <t>issues of the manor</t>
        </is>
      </c>
      <c r="B62" t="inlineStr">
        <is>
          <t>1 shilling 8pence from the hide sold of 1 ox in murrain.</t>
        </is>
      </c>
      <c r="C62" t="n">
        <v>0.08</v>
      </c>
      <c r="D62" t="n">
        <v>0</v>
      </c>
      <c r="E62" t="n">
        <v>1</v>
      </c>
      <c r="F62" t="n">
        <v>8</v>
      </c>
      <c r="H62" t="n">
        <v>0</v>
      </c>
      <c r="I62" t="n">
        <v>0</v>
      </c>
      <c r="J62" t="n">
        <v>0</v>
      </c>
      <c r="K62" t="n">
        <v>0</v>
      </c>
      <c r="L62" t="n">
        <v>0</v>
      </c>
      <c r="M62" t="n">
        <v>0</v>
      </c>
      <c r="N62" t="n">
        <v>0</v>
      </c>
    </row>
    <row r="63">
      <c r="A63" t="inlineStr">
        <is>
          <t>issues of the manor</t>
        </is>
      </c>
      <c r="B63" t="inlineStr">
        <is>
          <t>nothing from the issue of the tenement of john shordych because he fined.</t>
        </is>
      </c>
      <c r="C63" t="n">
        <v>0</v>
      </c>
      <c r="D63" t="n">
        <v>0</v>
      </c>
      <c r="E63" t="n">
        <v>0</v>
      </c>
      <c r="F63" t="n">
        <v>0</v>
      </c>
      <c r="H63" t="n">
        <v>0</v>
      </c>
      <c r="I63" t="n">
        <v>0</v>
      </c>
      <c r="J63" t="n">
        <v>0</v>
      </c>
      <c r="K63" t="n">
        <v>0</v>
      </c>
      <c r="L63" t="n">
        <v>0</v>
      </c>
      <c r="M63" t="n">
        <v>0</v>
      </c>
      <c r="N63" t="n">
        <v>0</v>
      </c>
    </row>
    <row r="64">
      <c r="A64" t="inlineStr">
        <is>
          <t>issues of the manor</t>
        </is>
      </c>
      <c r="B64" t="inlineStr">
        <is>
          <t>total, £6 14 shilling 8pence.</t>
        </is>
      </c>
      <c r="C64" t="n">
        <v>6.73</v>
      </c>
      <c r="D64" t="n">
        <v>6</v>
      </c>
      <c r="E64" t="n">
        <v>14</v>
      </c>
      <c r="F64" t="n">
        <v>8</v>
      </c>
      <c r="H64" t="n">
        <v>0</v>
      </c>
      <c r="I64" t="n">
        <v>0</v>
      </c>
      <c r="J64" t="n">
        <v>0</v>
      </c>
      <c r="K64" t="n">
        <v>0</v>
      </c>
      <c r="L64" t="n">
        <v>0</v>
      </c>
      <c r="M64" t="n">
        <v>0</v>
      </c>
      <c r="N64" t="n">
        <v>0</v>
      </c>
    </row>
    <row r="65">
      <c r="A65" t="inlineStr">
        <is>
          <t>annual recognizance</t>
        </is>
      </c>
      <c r="B65" t="inlineStr">
        <is>
          <t>nothing of the 3pence for the annual recognizance of richard hopere, the 3pence of john noreys, the 2pence of richard saundr', the 3pence of john pomis and the 2pence of richard uppehulle because they are dead.</t>
        </is>
      </c>
      <c r="C65" t="n">
        <v>0.01</v>
      </c>
      <c r="D65" t="n">
        <v>0</v>
      </c>
      <c r="E65" t="n">
        <v>0</v>
      </c>
      <c r="F65" t="n">
        <v>3</v>
      </c>
      <c r="H65" t="n">
        <v>0</v>
      </c>
      <c r="I65" t="n">
        <v>0</v>
      </c>
      <c r="J65" t="n">
        <v>0</v>
      </c>
      <c r="K65" t="n">
        <v>0</v>
      </c>
      <c r="L65" t="n">
        <v>0</v>
      </c>
      <c r="M65" t="n">
        <v>0</v>
      </c>
      <c r="N65" t="n">
        <v>0</v>
      </c>
    </row>
    <row r="66">
      <c r="A66" t="inlineStr">
        <is>
          <t>annual recognizance</t>
        </is>
      </c>
      <c r="B66" t="inlineStr">
        <is>
          <t>it is necessary that the abovesaid persons be charged for 1 shilling 1pence of annual recognizance because it has not been certified by the steward.</t>
        </is>
      </c>
      <c r="C66" t="n">
        <v>0.05</v>
      </c>
      <c r="D66" t="n">
        <v>0</v>
      </c>
      <c r="E66" t="n">
        <v>1</v>
      </c>
      <c r="F66" t="n">
        <v>1</v>
      </c>
      <c r="H66" t="n">
        <v>0</v>
      </c>
      <c r="I66" t="n">
        <v>0</v>
      </c>
      <c r="J66" t="n">
        <v>0</v>
      </c>
      <c r="K66" t="n">
        <v>0</v>
      </c>
      <c r="L66" t="n">
        <v>0</v>
      </c>
      <c r="M66" t="n">
        <v>0</v>
      </c>
      <c r="N66" t="n">
        <v>0</v>
      </c>
    </row>
    <row r="67">
      <c r="A67" t="inlineStr">
        <is>
          <t>annual recognizance</t>
        </is>
      </c>
      <c r="B67" t="inlineStr">
        <is>
          <t>and for 8pence for the annual recognizance of walter kempe, the lord's villein, so that he may dwell outside the lord's liberty as long as it pleases the lord and from to the tourn of hockday for the year and remain the llords villein as before.</t>
        </is>
      </c>
      <c r="C67" t="n">
        <v>0.03</v>
      </c>
      <c r="D67" t="n">
        <v>0</v>
      </c>
      <c r="E67" t="n">
        <v>0</v>
      </c>
      <c r="F67" t="n">
        <v>8</v>
      </c>
      <c r="H67" t="n">
        <v>0</v>
      </c>
      <c r="I67" t="n">
        <v>0</v>
      </c>
      <c r="J67" t="n">
        <v>0</v>
      </c>
      <c r="K67" t="n">
        <v>0</v>
      </c>
      <c r="L67" t="n">
        <v>0</v>
      </c>
      <c r="M67" t="n">
        <v>0</v>
      </c>
      <c r="N67" t="n">
        <v>0</v>
      </c>
    </row>
    <row r="68">
      <c r="A68" t="inlineStr">
        <is>
          <t>annual recognizance</t>
        </is>
      </c>
      <c r="B68" t="inlineStr">
        <is>
          <t>1 shilling 4pence from william, son of richard wodecok, so that he may dwell outside the lord's liberty this year.</t>
        </is>
      </c>
      <c r="C68" t="n">
        <v>0.07000000000000001</v>
      </c>
      <c r="D68" t="n">
        <v>0</v>
      </c>
      <c r="E68" t="n">
        <v>1</v>
      </c>
      <c r="F68" t="n">
        <v>4</v>
      </c>
      <c r="H68" t="n">
        <v>0</v>
      </c>
      <c r="I68" t="n">
        <v>0</v>
      </c>
      <c r="J68" t="n">
        <v>0</v>
      </c>
      <c r="K68" t="n">
        <v>0</v>
      </c>
      <c r="L68" t="n">
        <v>0</v>
      </c>
      <c r="M68" t="n">
        <v>0</v>
      </c>
      <c r="N68" t="n">
        <v>0</v>
      </c>
    </row>
    <row r="69">
      <c r="A69" t="inlineStr">
        <is>
          <t>annual recognizance</t>
        </is>
      </c>
      <c r="B69" t="inlineStr">
        <is>
          <t>total, 4 shilling 1pence.</t>
        </is>
      </c>
      <c r="C69" t="n">
        <v>0.2</v>
      </c>
      <c r="D69" t="n">
        <v>0</v>
      </c>
      <c r="E69" t="n">
        <v>4</v>
      </c>
      <c r="F69" t="n">
        <v>1</v>
      </c>
      <c r="H69" t="n">
        <v>0</v>
      </c>
      <c r="I69" t="n">
        <v>0</v>
      </c>
      <c r="J69" t="n">
        <v>0</v>
      </c>
      <c r="K69" t="n">
        <v>0</v>
      </c>
      <c r="L69" t="n">
        <v>0</v>
      </c>
      <c r="M69" t="n">
        <v>0</v>
      </c>
      <c r="N69" t="n">
        <v>0</v>
      </c>
    </row>
    <row r="70">
      <c r="A70" t="inlineStr">
        <is>
          <t>sales of pasture</t>
        </is>
      </c>
      <c r="B70" t="inlineStr">
        <is>
          <t>and for 6 shilling 8pence from winter pasturage in haydemede sold.</t>
        </is>
      </c>
      <c r="C70" t="n">
        <v>0.33</v>
      </c>
      <c r="D70" t="n">
        <v>0</v>
      </c>
      <c r="E70" t="n">
        <v>6</v>
      </c>
      <c r="F70" t="n">
        <v>8</v>
      </c>
      <c r="H70" t="n">
        <v>0</v>
      </c>
      <c r="I70" t="n">
        <v>0</v>
      </c>
      <c r="J70" t="n">
        <v>0</v>
      </c>
      <c r="K70" t="n">
        <v>0</v>
      </c>
      <c r="L70" t="n">
        <v>0</v>
      </c>
      <c r="M70" t="n">
        <v>0</v>
      </c>
      <c r="N70" t="n">
        <v>0</v>
      </c>
    </row>
    <row r="71">
      <c r="A71" t="inlineStr">
        <is>
          <t>sales of pasture</t>
        </is>
      </c>
      <c r="B71" t="inlineStr">
        <is>
          <t>nothing from winter and summer pasturage around the fishpond because it is demised for a fixed rent.</t>
        </is>
      </c>
      <c r="C71" t="n">
        <v>0</v>
      </c>
      <c r="D71" t="n">
        <v>0</v>
      </c>
      <c r="E71" t="n">
        <v>0</v>
      </c>
      <c r="F71" t="n">
        <v>0</v>
      </c>
      <c r="H71" t="n">
        <v>0</v>
      </c>
      <c r="I71" t="n">
        <v>0</v>
      </c>
      <c r="J71" t="n">
        <v>0</v>
      </c>
      <c r="K71" t="n">
        <v>0</v>
      </c>
      <c r="L71" t="n">
        <v>0</v>
      </c>
      <c r="M71" t="n">
        <v>0</v>
      </c>
      <c r="N71" t="n">
        <v>0</v>
      </c>
    </row>
    <row r="72">
      <c r="A72" t="inlineStr">
        <is>
          <t>sales of pasture</t>
        </is>
      </c>
      <c r="B72" t="inlineStr">
        <is>
          <t>nothing from winter and summer pasturage in la flore because it was sown with wheat.</t>
        </is>
      </c>
      <c r="C72" t="n">
        <v>0</v>
      </c>
      <c r="D72" t="n">
        <v>0</v>
      </c>
      <c r="E72" t="n">
        <v>0</v>
      </c>
      <c r="F72" t="n">
        <v>0</v>
      </c>
      <c r="G72" t="inlineStr">
        <is>
          <t>wheat</t>
        </is>
      </c>
      <c r="H72" t="n">
        <v>0</v>
      </c>
      <c r="I72" t="n">
        <v>0</v>
      </c>
      <c r="J72" t="n">
        <v>0</v>
      </c>
      <c r="K72" t="n">
        <v>0</v>
      </c>
      <c r="L72" t="n">
        <v>0</v>
      </c>
      <c r="M72" t="n">
        <v>0</v>
      </c>
      <c r="N72" t="n">
        <v>0</v>
      </c>
    </row>
    <row r="73">
      <c r="A73" t="inlineStr">
        <is>
          <t>sales of pasture</t>
        </is>
      </c>
      <c r="B73" t="inlineStr">
        <is>
          <t>6 shilling 8pence from winter pasturage in southmore sold.</t>
        </is>
      </c>
      <c r="C73" t="n">
        <v>0.33</v>
      </c>
      <c r="D73" t="n">
        <v>0</v>
      </c>
      <c r="E73" t="n">
        <v>6</v>
      </c>
      <c r="F73" t="n">
        <v>8</v>
      </c>
      <c r="H73" t="n">
        <v>0</v>
      </c>
      <c r="I73" t="n">
        <v>0</v>
      </c>
      <c r="J73" t="n">
        <v>0</v>
      </c>
      <c r="K73" t="n">
        <v>0</v>
      </c>
      <c r="L73" t="n">
        <v>0</v>
      </c>
      <c r="M73" t="n">
        <v>0</v>
      </c>
      <c r="N73" t="n">
        <v>0</v>
      </c>
    </row>
    <row r="74">
      <c r="A74" t="inlineStr">
        <is>
          <t>sales of pasture</t>
        </is>
      </c>
      <c r="B74" t="inlineStr">
        <is>
          <t>8 shilling 4pence from winter and summer pasturage in baldewynesinede sold.</t>
        </is>
      </c>
      <c r="C74" t="n">
        <v>0.42</v>
      </c>
      <c r="D74" t="n">
        <v>0</v>
      </c>
      <c r="E74" t="n">
        <v>8</v>
      </c>
      <c r="F74" t="n">
        <v>4</v>
      </c>
      <c r="H74" t="n">
        <v>0</v>
      </c>
      <c r="I74" t="n">
        <v>0</v>
      </c>
      <c r="J74" t="n">
        <v>0</v>
      </c>
      <c r="K74" t="n">
        <v>0</v>
      </c>
      <c r="L74" t="n">
        <v>0</v>
      </c>
      <c r="M74" t="n">
        <v>0</v>
      </c>
      <c r="N74" t="n">
        <v>0</v>
      </c>
    </row>
    <row r="75">
      <c r="A75" t="inlineStr">
        <is>
          <t>sales of pasture</t>
        </is>
      </c>
      <c r="B75" t="inlineStr">
        <is>
          <t>2 shilling 6pence from winter pasturage  in treschey ,nd bertonnefeld' sold.</t>
        </is>
      </c>
      <c r="C75" t="n">
        <v>0.12</v>
      </c>
      <c r="D75" t="n">
        <v>0</v>
      </c>
      <c r="E75" t="n">
        <v>2</v>
      </c>
      <c r="F75" t="n">
        <v>6</v>
      </c>
      <c r="H75" t="n">
        <v>0</v>
      </c>
      <c r="I75" t="n">
        <v>0</v>
      </c>
      <c r="J75" t="n">
        <v>0</v>
      </c>
      <c r="K75" t="n">
        <v>0</v>
      </c>
      <c r="L75" t="n">
        <v>0</v>
      </c>
      <c r="M75" t="n">
        <v>0</v>
      </c>
      <c r="N75" t="n">
        <v>0</v>
      </c>
    </row>
    <row r="76">
      <c r="A76" t="inlineStr">
        <is>
          <t>sales of pasture</t>
        </is>
      </c>
      <c r="B76" t="inlineStr">
        <is>
          <t>nothing from summer pasturage there because it was sown with oats: 1 shilling from the pasturage around the wheat sold this year.</t>
        </is>
      </c>
      <c r="C76" t="n">
        <v>0.05</v>
      </c>
      <c r="D76" t="n">
        <v>0</v>
      </c>
      <c r="E76" t="n">
        <v>1</v>
      </c>
      <c r="F76" t="n">
        <v>0</v>
      </c>
      <c r="G76" t="inlineStr">
        <is>
          <t>wheat, oats</t>
        </is>
      </c>
      <c r="H76" t="n">
        <v>0</v>
      </c>
      <c r="I76" t="n">
        <v>0</v>
      </c>
      <c r="J76" t="n">
        <v>0</v>
      </c>
      <c r="K76" t="n">
        <v>0</v>
      </c>
      <c r="L76" t="n">
        <v>0</v>
      </c>
      <c r="M76" t="n">
        <v>0</v>
      </c>
      <c r="N76" t="n">
        <v>0</v>
      </c>
    </row>
    <row r="77">
      <c r="A77" t="inlineStr">
        <is>
          <t>sales of pasture</t>
        </is>
      </c>
      <c r="B77" t="inlineStr">
        <is>
          <t>6pence from the pasturage around the oats sold this year.</t>
        </is>
      </c>
      <c r="C77" t="n">
        <v>0.03</v>
      </c>
      <c r="D77" t="n">
        <v>0</v>
      </c>
      <c r="E77" t="n">
        <v>0</v>
      </c>
      <c r="F77" t="n">
        <v>6</v>
      </c>
      <c r="G77" t="inlineStr">
        <is>
          <t>oats</t>
        </is>
      </c>
      <c r="H77" t="n">
        <v>0</v>
      </c>
      <c r="I77" t="n">
        <v>0</v>
      </c>
      <c r="J77" t="n">
        <v>0</v>
      </c>
      <c r="K77" t="n">
        <v>0</v>
      </c>
      <c r="L77" t="n">
        <v>0</v>
      </c>
      <c r="M77" t="n">
        <v>0</v>
      </c>
      <c r="N77" t="n">
        <v>0</v>
      </c>
    </row>
    <row r="78">
      <c r="A78" t="inlineStr">
        <is>
          <t>sales of pasture</t>
        </is>
      </c>
      <c r="B78" t="inlineStr">
        <is>
          <t>3 shilling from winter and summer pasturage in stokefeld' sold.</t>
        </is>
      </c>
      <c r="C78" t="n">
        <v>0.15</v>
      </c>
      <c r="D78" t="n">
        <v>0</v>
      </c>
      <c r="E78" t="n">
        <v>3</v>
      </c>
      <c r="F78" t="n">
        <v>0</v>
      </c>
      <c r="H78" t="n">
        <v>0</v>
      </c>
      <c r="I78" t="n">
        <v>0</v>
      </c>
      <c r="J78" t="n">
        <v>0</v>
      </c>
      <c r="K78" t="n">
        <v>0</v>
      </c>
      <c r="L78" t="n">
        <v>0</v>
      </c>
      <c r="M78" t="n">
        <v>0</v>
      </c>
      <c r="N78" t="n">
        <v>0</v>
      </c>
    </row>
    <row r="79">
      <c r="A79" t="inlineStr">
        <is>
          <t>sales of pasture</t>
        </is>
      </c>
      <c r="B79" t="inlineStr">
        <is>
          <t>nothing from winter and summer pasturage in holebrech and stokefeld' taunton to shoreditch.</t>
        </is>
      </c>
      <c r="C79" t="n">
        <v>0</v>
      </c>
      <c r="D79" t="n">
        <v>0</v>
      </c>
      <c r="E79" t="n">
        <v>0</v>
      </c>
      <c r="F79" t="n">
        <v>0</v>
      </c>
      <c r="H79" t="n">
        <v>0</v>
      </c>
      <c r="I79" t="n">
        <v>0</v>
      </c>
      <c r="J79" t="n">
        <v>0</v>
      </c>
      <c r="K79" t="n">
        <v>0</v>
      </c>
      <c r="L79" t="n">
        <v>0</v>
      </c>
      <c r="M79" t="n">
        <v>0</v>
      </c>
      <c r="N79" t="n">
        <v>0</v>
      </c>
    </row>
    <row r="80">
      <c r="A80" t="inlineStr">
        <is>
          <t>sales of pasture</t>
        </is>
      </c>
      <c r="B80" t="inlineStr">
        <is>
          <t>6pence from the pasturage of the way which leads from taithtnn to holway.</t>
        </is>
      </c>
      <c r="C80" t="n">
        <v>0.03</v>
      </c>
      <c r="D80" t="n">
        <v>0</v>
      </c>
      <c r="E80" t="n">
        <v>0</v>
      </c>
      <c r="F80" t="n">
        <v>6</v>
      </c>
      <c r="H80" t="n">
        <v>0</v>
      </c>
      <c r="I80" t="n">
        <v>0</v>
      </c>
      <c r="J80" t="n">
        <v>0</v>
      </c>
      <c r="K80" t="n">
        <v>0</v>
      </c>
      <c r="L80" t="n">
        <v>0</v>
      </c>
      <c r="M80" t="n">
        <v>0</v>
      </c>
      <c r="N80" t="n">
        <v>0</v>
      </c>
    </row>
    <row r="81">
      <c r="A81" t="inlineStr">
        <is>
          <t>sales of pasture</t>
        </is>
      </c>
      <c r="B81" t="inlineStr">
        <is>
          <t>nothing from the pasture within the barton because it is at farm above.</t>
        </is>
      </c>
      <c r="C81" t="n">
        <v>0</v>
      </c>
      <c r="D81" t="n">
        <v>0</v>
      </c>
      <c r="E81" t="n">
        <v>0</v>
      </c>
      <c r="F81" t="n">
        <v>0</v>
      </c>
      <c r="H81" t="n">
        <v>0</v>
      </c>
      <c r="I81" t="n">
        <v>0</v>
      </c>
      <c r="J81" t="n">
        <v>0</v>
      </c>
      <c r="K81" t="n">
        <v>0</v>
      </c>
      <c r="L81" t="n">
        <v>0</v>
      </c>
      <c r="M81" t="n">
        <v>0</v>
      </c>
      <c r="N81" t="n">
        <v>0</v>
      </c>
    </row>
    <row r="82">
      <c r="A82" t="inlineStr">
        <is>
          <t>sales of pasture</t>
        </is>
      </c>
      <c r="B82" t="inlineStr">
        <is>
          <t>53. because it was sown with wheat.</t>
        </is>
      </c>
      <c r="C82" t="n">
        <v>0</v>
      </c>
      <c r="D82" t="n">
        <v>0</v>
      </c>
      <c r="E82" t="n">
        <v>0</v>
      </c>
      <c r="F82" t="n">
        <v>0</v>
      </c>
      <c r="G82" t="inlineStr">
        <is>
          <t>wheat</t>
        </is>
      </c>
      <c r="H82" t="n">
        <v>0</v>
      </c>
      <c r="I82" t="n">
        <v>0</v>
      </c>
      <c r="J82" t="n">
        <v>0</v>
      </c>
      <c r="K82" t="n">
        <v>0</v>
      </c>
      <c r="L82" t="n">
        <v>0</v>
      </c>
      <c r="M82" t="n">
        <v>0</v>
      </c>
      <c r="N82" t="n">
        <v>0</v>
      </c>
    </row>
    <row r="83">
      <c r="A83" t="inlineStr">
        <is>
          <t>sales of pasture</t>
        </is>
      </c>
      <c r="B83" t="inlineStr">
        <is>
          <t>6pence from the pasturage of the way which lemadsysifiriotemr 10pence from the agistment of the green place of haydon called lesse.</t>
        </is>
      </c>
      <c r="C83" t="n">
        <v>0.03</v>
      </c>
      <c r="D83" t="n">
        <v>0</v>
      </c>
      <c r="E83" t="n">
        <v>0</v>
      </c>
      <c r="F83" t="n">
        <v>6</v>
      </c>
      <c r="H83" t="n">
        <v>0</v>
      </c>
      <c r="I83" t="n">
        <v>0</v>
      </c>
      <c r="J83" t="n">
        <v>0</v>
      </c>
      <c r="K83" t="n">
        <v>0</v>
      </c>
      <c r="L83" t="n">
        <v>0</v>
      </c>
      <c r="M83" t="n">
        <v>0</v>
      </c>
      <c r="N83" t="n">
        <v>0</v>
      </c>
    </row>
    <row r="84">
      <c r="A84" t="inlineStr">
        <is>
          <t>sales of pasture</t>
        </is>
      </c>
      <c r="B84" t="inlineStr">
        <is>
          <t>5 shilling fro and summer pasturage in hamwode sold.</t>
        </is>
      </c>
      <c r="C84" t="n">
        <v>0.25</v>
      </c>
      <c r="D84" t="n">
        <v>0</v>
      </c>
      <c r="E84" t="n">
        <v>5</v>
      </c>
      <c r="F84" t="n">
        <v>0</v>
      </c>
      <c r="H84" t="n">
        <v>0</v>
      </c>
      <c r="I84" t="n">
        <v>0</v>
      </c>
      <c r="J84" t="n">
        <v>0</v>
      </c>
      <c r="K84" t="n">
        <v>0</v>
      </c>
      <c r="L84" t="n">
        <v>0</v>
      </c>
      <c r="M84" t="n">
        <v>0</v>
      </c>
      <c r="N84" t="n">
        <v>0</v>
      </c>
    </row>
    <row r="85">
      <c r="A85" t="inlineStr">
        <is>
          <t>sales of pasture</t>
        </is>
      </c>
      <c r="B85" t="inlineStr">
        <is>
          <t>7 shilling 10pence from the agistment of the green place called lesse of holway sold.</t>
        </is>
      </c>
      <c r="C85" t="n">
        <v>0.39</v>
      </c>
      <c r="D85" t="n">
        <v>0</v>
      </c>
      <c r="E85" t="n">
        <v>7</v>
      </c>
      <c r="F85" t="n">
        <v>10</v>
      </c>
      <c r="H85" t="n">
        <v>0</v>
      </c>
      <c r="I85" t="n">
        <v>0</v>
      </c>
      <c r="J85" t="n">
        <v>0</v>
      </c>
      <c r="K85" t="n">
        <v>0</v>
      </c>
      <c r="L85" t="n">
        <v>0</v>
      </c>
      <c r="M85" t="n">
        <v>0</v>
      </c>
      <c r="N85" t="n">
        <v>0</v>
      </c>
    </row>
    <row r="86">
      <c r="A86" t="inlineStr">
        <is>
          <t>sales of pasture</t>
        </is>
      </c>
      <c r="B86" t="inlineStr">
        <is>
          <t>nothing from winter and summer pasturage in haydewod' because it was prohibited by reason of the underwood.</t>
        </is>
      </c>
      <c r="C86" t="n">
        <v>0</v>
      </c>
      <c r="D86" t="n">
        <v>0</v>
      </c>
      <c r="E86" t="n">
        <v>0</v>
      </c>
      <c r="F86" t="n">
        <v>0</v>
      </c>
      <c r="H86" t="n">
        <v>0</v>
      </c>
      <c r="I86" t="n">
        <v>0</v>
      </c>
      <c r="J86" t="n">
        <v>0</v>
      </c>
      <c r="K86" t="n">
        <v>0</v>
      </c>
      <c r="L86" t="n">
        <v>0</v>
      </c>
      <c r="M86" t="n">
        <v>0</v>
      </c>
      <c r="N86" t="n">
        <v>0</v>
      </c>
    </row>
    <row r="87">
      <c r="A87" t="inlineStr">
        <is>
          <t>sales of pasture</t>
        </is>
      </c>
      <c r="B87" t="inlineStr">
        <is>
          <t>£1 4 shilling from the pasturage of the meadow of wydemede sold after mowing.</t>
        </is>
      </c>
      <c r="C87" t="n">
        <v>1.2</v>
      </c>
      <c r="D87" t="n">
        <v>1</v>
      </c>
      <c r="E87" t="n">
        <v>4</v>
      </c>
      <c r="F87" t="n">
        <v>0</v>
      </c>
      <c r="H87" t="n">
        <v>0</v>
      </c>
      <c r="I87" t="n">
        <v>0</v>
      </c>
      <c r="J87" t="n">
        <v>0</v>
      </c>
      <c r="K87" t="n">
        <v>0</v>
      </c>
      <c r="L87" t="n">
        <v>0</v>
      </c>
      <c r="M87" t="n">
        <v>0</v>
      </c>
      <c r="N87" t="n">
        <v>0</v>
      </c>
    </row>
    <row r="88">
      <c r="A88" t="inlineStr">
        <is>
          <t>sales of pasture</t>
        </is>
      </c>
      <c r="B88" t="inlineStr">
        <is>
          <t>nothing from the' pasturage of the new enclosure of corfe because it is at farm above.</t>
        </is>
      </c>
      <c r="C88" t="n">
        <v>0</v>
      </c>
      <c r="D88" t="n">
        <v>0</v>
      </c>
      <c r="E88" t="n">
        <v>0</v>
      </c>
      <c r="F88" t="n">
        <v>0</v>
      </c>
      <c r="H88" t="n">
        <v>0</v>
      </c>
      <c r="I88" t="n">
        <v>0</v>
      </c>
      <c r="J88" t="n">
        <v>0</v>
      </c>
      <c r="K88" t="n">
        <v>0</v>
      </c>
      <c r="L88" t="n">
        <v>0</v>
      </c>
      <c r="M88" t="n">
        <v>0</v>
      </c>
      <c r="N88" t="n">
        <v>0</v>
      </c>
    </row>
    <row r="89">
      <c r="A89" t="inlineStr">
        <is>
          <t>sales of pasture</t>
        </is>
      </c>
      <c r="B89" t="inlineStr">
        <is>
          <t>nothing from winter and summer pasturage of the uncultivated land in stokefeld' because'it is demised for a fixed rent.</t>
        </is>
      </c>
      <c r="C89" t="n">
        <v>0</v>
      </c>
      <c r="D89" t="n">
        <v>0</v>
      </c>
      <c r="E89" t="n">
        <v>0</v>
      </c>
      <c r="F89" t="n">
        <v>0</v>
      </c>
      <c r="H89" t="n">
        <v>0</v>
      </c>
      <c r="I89" t="n">
        <v>0</v>
      </c>
      <c r="J89" t="n">
        <v>0</v>
      </c>
      <c r="K89" t="n">
        <v>0</v>
      </c>
      <c r="L89" t="n">
        <v>0</v>
      </c>
      <c r="M89" t="n">
        <v>0</v>
      </c>
      <c r="N89" t="n">
        <v>0</v>
      </c>
    </row>
    <row r="90">
      <c r="A90" t="inlineStr">
        <is>
          <t>sales of pasture</t>
        </is>
      </c>
      <c r="B90" t="inlineStr">
        <is>
          <t>nothing from the pasturage in mannescroft because it was sown with wheat.</t>
        </is>
      </c>
      <c r="C90" t="n">
        <v>0</v>
      </c>
      <c r="D90" t="n">
        <v>0</v>
      </c>
      <c r="E90" t="n">
        <v>0</v>
      </c>
      <c r="F90" t="n">
        <v>0</v>
      </c>
      <c r="G90" t="inlineStr">
        <is>
          <t>wheat</t>
        </is>
      </c>
      <c r="H90" t="n">
        <v>0</v>
      </c>
      <c r="I90" t="n">
        <v>0</v>
      </c>
      <c r="J90" t="n">
        <v>0</v>
      </c>
      <c r="K90" t="n">
        <v>0</v>
      </c>
      <c r="L90" t="n">
        <v>0</v>
      </c>
      <c r="M90" t="n">
        <v>0</v>
      </c>
      <c r="N90" t="n">
        <v>0</v>
      </c>
    </row>
    <row r="91">
      <c r="A91" t="inlineStr">
        <is>
          <t>sales of pasture</t>
        </is>
      </c>
      <c r="B91" t="inlineStr">
        <is>
          <t>nothing of the £1 for the pasturage of 8 oxen agisting with the lord's oxen between hockday and martinmas because it is at farm above.</t>
        </is>
      </c>
      <c r="C91" t="n">
        <v>1</v>
      </c>
      <c r="D91" t="n">
        <v>1</v>
      </c>
      <c r="E91" t="n">
        <v>0</v>
      </c>
      <c r="F91" t="n">
        <v>0</v>
      </c>
      <c r="H91" t="n">
        <v>0</v>
      </c>
      <c r="I91" t="n">
        <v>0</v>
      </c>
      <c r="J91" t="n">
        <v>0</v>
      </c>
      <c r="K91" t="n">
        <v>0</v>
      </c>
      <c r="L91" t="n">
        <v>0</v>
      </c>
      <c r="M91" t="n">
        <v>0</v>
      </c>
      <c r="N91" t="n">
        <v>0</v>
      </c>
    </row>
    <row r="92">
      <c r="A92" t="inlineStr">
        <is>
          <t>sales of pasture</t>
        </is>
      </c>
      <c r="B92" t="inlineStr">
        <is>
          <t>total, £3 11 shilling 6pence.</t>
        </is>
      </c>
      <c r="C92" t="n">
        <v>3.57</v>
      </c>
      <c r="D92" t="n">
        <v>3</v>
      </c>
      <c r="E92" t="n">
        <v>11</v>
      </c>
      <c r="F92" t="n">
        <v>6</v>
      </c>
      <c r="H92" t="n">
        <v>0</v>
      </c>
      <c r="I92" t="n">
        <v>0</v>
      </c>
      <c r="J92" t="n">
        <v>0</v>
      </c>
      <c r="K92" t="n">
        <v>0</v>
      </c>
      <c r="L92" t="n">
        <v>0</v>
      </c>
      <c r="M92" t="n">
        <v>0</v>
      </c>
      <c r="N92" t="n">
        <v>0</v>
      </c>
    </row>
    <row r="93">
      <c r="A93" t="inlineStr">
        <is>
          <t>sale of corn</t>
        </is>
      </c>
      <c r="B93" t="inlineStr">
        <is>
          <t>and for £35 18 shilling 0.75pence from 38 quarters 3 bushels of wheat sold, at 13 shilling 6pence a quarters.</t>
        </is>
      </c>
      <c r="C93" t="n">
        <v>35.9</v>
      </c>
      <c r="D93" t="n">
        <v>35</v>
      </c>
      <c r="E93" t="n">
        <v>18</v>
      </c>
      <c r="F93" t="n">
        <v>0.75</v>
      </c>
      <c r="G93" t="inlineStr">
        <is>
          <t>wheat</t>
        </is>
      </c>
      <c r="H93" t="n">
        <v>38</v>
      </c>
      <c r="I93" t="n">
        <v>3</v>
      </c>
      <c r="J93" t="n">
        <v>38.38</v>
      </c>
      <c r="K93" t="n">
        <v>38.38</v>
      </c>
      <c r="L93" t="n">
        <v>0</v>
      </c>
      <c r="M93" t="n">
        <v>38</v>
      </c>
      <c r="N93" t="n">
        <v>3</v>
      </c>
      <c r="Q93" t="n">
        <v>13</v>
      </c>
      <c r="R93" t="n">
        <v>6</v>
      </c>
    </row>
    <row r="94">
      <c r="A94" t="inlineStr">
        <is>
          <t>sale of corn</t>
        </is>
      </c>
      <c r="B94" t="inlineStr">
        <is>
          <t>£4 9 shilling 0.75pence from 23 quarters 6 bushels of oats sold to the customary tenants, at 3 shilling 9pence a quarters.</t>
        </is>
      </c>
      <c r="C94" t="n">
        <v>4.45</v>
      </c>
      <c r="D94" t="n">
        <v>4</v>
      </c>
      <c r="E94" t="n">
        <v>9</v>
      </c>
      <c r="F94" t="n">
        <v>0.75</v>
      </c>
      <c r="G94" t="inlineStr">
        <is>
          <t>oats</t>
        </is>
      </c>
      <c r="H94" t="n">
        <v>23</v>
      </c>
      <c r="I94" t="n">
        <v>6</v>
      </c>
      <c r="J94" t="n">
        <v>23.75</v>
      </c>
      <c r="K94" t="n">
        <v>23.75</v>
      </c>
      <c r="L94" t="n">
        <v>0</v>
      </c>
      <c r="M94" t="n">
        <v>23</v>
      </c>
      <c r="N94" t="n">
        <v>6</v>
      </c>
      <c r="Q94" t="n">
        <v>3</v>
      </c>
      <c r="R94" t="n">
        <v>9</v>
      </c>
    </row>
    <row r="95">
      <c r="A95" t="inlineStr">
        <is>
          <t>sale of corn</t>
        </is>
      </c>
      <c r="B95" t="inlineStr">
        <is>
          <t>total, £30 7 shilling 1.5pence.</t>
        </is>
      </c>
      <c r="C95" t="n">
        <v>30.36</v>
      </c>
      <c r="D95" t="n">
        <v>30</v>
      </c>
      <c r="E95" t="n">
        <v>7</v>
      </c>
      <c r="F95" t="n">
        <v>1.5</v>
      </c>
      <c r="H95" t="n">
        <v>0</v>
      </c>
      <c r="I95" t="n">
        <v>0</v>
      </c>
      <c r="J95" t="n">
        <v>0</v>
      </c>
      <c r="K95" t="n">
        <v>0</v>
      </c>
      <c r="L95" t="n">
        <v>0</v>
      </c>
      <c r="M95" t="n">
        <v>0</v>
      </c>
      <c r="N95" t="n">
        <v>0</v>
      </c>
    </row>
    <row r="96">
      <c r="A96" t="inlineStr">
        <is>
          <t>sale of stock</t>
        </is>
      </c>
      <c r="B96" t="inlineStr">
        <is>
          <t>and for 3 shilling 4pence from 1 plough-horse sold.</t>
        </is>
      </c>
      <c r="C96" t="n">
        <v>0.17</v>
      </c>
      <c r="D96" t="n">
        <v>0</v>
      </c>
      <c r="E96" t="n">
        <v>3</v>
      </c>
      <c r="F96" t="n">
        <v>4</v>
      </c>
      <c r="H96" t="n">
        <v>0</v>
      </c>
      <c r="I96" t="n">
        <v>0</v>
      </c>
      <c r="J96" t="n">
        <v>0</v>
      </c>
      <c r="K96" t="n">
        <v>0</v>
      </c>
      <c r="L96" t="n">
        <v>0</v>
      </c>
      <c r="M96" t="n">
        <v>0</v>
      </c>
      <c r="N96" t="n">
        <v>0</v>
      </c>
    </row>
    <row r="97">
      <c r="A97" t="inlineStr">
        <is>
          <t>sale of stock</t>
        </is>
      </c>
      <c r="B97" t="inlineStr">
        <is>
          <t>8 shilling 4pence from 1 plough-horse unfit (inhabit') for the lord's stock sold.</t>
        </is>
      </c>
      <c r="C97" t="n">
        <v>0.42</v>
      </c>
      <c r="D97" t="n">
        <v>0</v>
      </c>
      <c r="E97" t="n">
        <v>8</v>
      </c>
      <c r="F97" t="n">
        <v>4</v>
      </c>
      <c r="H97" t="n">
        <v>0</v>
      </c>
      <c r="I97" t="n">
        <v>0</v>
      </c>
      <c r="J97" t="n">
        <v>0</v>
      </c>
      <c r="K97" t="n">
        <v>0</v>
      </c>
      <c r="L97" t="n">
        <v>0</v>
      </c>
      <c r="M97" t="n">
        <v>0</v>
      </c>
      <c r="N97" t="n">
        <v>0</v>
      </c>
    </row>
    <row r="98">
      <c r="A98" t="inlineStr">
        <is>
          <t>sale of stock</t>
        </is>
      </c>
      <c r="B98" t="inlineStr">
        <is>
          <t>£3 15 shilling from 5 oxen unfit for the lord's stock sold, at 15 shilling each.</t>
        </is>
      </c>
      <c r="C98" t="n">
        <v>3.75</v>
      </c>
      <c r="D98" t="n">
        <v>3</v>
      </c>
      <c r="E98" t="n">
        <v>15</v>
      </c>
      <c r="F98" t="n">
        <v>0</v>
      </c>
      <c r="H98" t="n">
        <v>0</v>
      </c>
      <c r="I98" t="n">
        <v>0</v>
      </c>
      <c r="J98" t="n">
        <v>0</v>
      </c>
      <c r="K98" t="n">
        <v>0</v>
      </c>
      <c r="L98" t="n">
        <v>0</v>
      </c>
      <c r="M98" t="n">
        <v>0</v>
      </c>
      <c r="N98" t="n">
        <v>0</v>
      </c>
    </row>
    <row r="99">
      <c r="A99" t="inlineStr">
        <is>
          <t>sale of stock</t>
        </is>
      </c>
      <c r="B99" t="inlineStr">
        <is>
          <t>6 shilling from 1 cow from the heriot of john blake sold.</t>
        </is>
      </c>
      <c r="C99" t="n">
        <v>0.3</v>
      </c>
      <c r="D99" t="n">
        <v>0</v>
      </c>
      <c r="E99" t="n">
        <v>6</v>
      </c>
      <c r="F99" t="n">
        <v>0</v>
      </c>
      <c r="H99" t="n">
        <v>0</v>
      </c>
      <c r="I99" t="n">
        <v>0</v>
      </c>
      <c r="J99" t="n">
        <v>0</v>
      </c>
      <c r="K99" t="n">
        <v>0</v>
      </c>
      <c r="L99" t="n">
        <v>0</v>
      </c>
      <c r="M99" t="n">
        <v>0</v>
      </c>
      <c r="N99" t="n">
        <v>0</v>
      </c>
    </row>
    <row r="100">
      <c r="A100" t="inlineStr">
        <is>
          <t>sale of stock</t>
        </is>
      </c>
      <c r="B100" t="inlineStr">
        <is>
          <t>6 shilling 8pence from 1 cow from the heriot of alice pare.</t>
        </is>
      </c>
      <c r="C100" t="n">
        <v>0.33</v>
      </c>
      <c r="D100" t="n">
        <v>0</v>
      </c>
      <c r="E100" t="n">
        <v>6</v>
      </c>
      <c r="F100" t="n">
        <v>8</v>
      </c>
      <c r="H100" t="n">
        <v>0</v>
      </c>
      <c r="I100" t="n">
        <v>0</v>
      </c>
      <c r="J100" t="n">
        <v>0</v>
      </c>
      <c r="K100" t="n">
        <v>0</v>
      </c>
      <c r="L100" t="n">
        <v>0</v>
      </c>
      <c r="M100" t="n">
        <v>0</v>
      </c>
      <c r="N100" t="n">
        <v>0</v>
      </c>
    </row>
    <row r="101">
      <c r="A101" t="inlineStr">
        <is>
          <t>sale of stock</t>
        </is>
      </c>
      <c r="B101" t="inlineStr">
        <is>
          <t>£1 6 shilling 8pence from 2 steers from the heriot of john janyns sold.</t>
        </is>
      </c>
      <c r="C101" t="n">
        <v>1.33</v>
      </c>
      <c r="D101" t="n">
        <v>1</v>
      </c>
      <c r="E101" t="n">
        <v>6</v>
      </c>
      <c r="F101" t="n">
        <v>8</v>
      </c>
      <c r="H101" t="n">
        <v>0</v>
      </c>
      <c r="I101" t="n">
        <v>0</v>
      </c>
      <c r="J101" t="n">
        <v>0</v>
      </c>
      <c r="K101" t="n">
        <v>0</v>
      </c>
      <c r="L101" t="n">
        <v>0</v>
      </c>
      <c r="M101" t="n">
        <v>0</v>
      </c>
      <c r="N101" t="n">
        <v>0</v>
      </c>
    </row>
    <row r="102">
      <c r="A102" t="inlineStr">
        <is>
          <t>sale of stock</t>
        </is>
      </c>
      <c r="B102" t="inlineStr">
        <is>
          <t>£1 8 shilling from 14 hoggets sold, at 2 shilling each.</t>
        </is>
      </c>
      <c r="C102" t="n">
        <v>1.4</v>
      </c>
      <c r="D102" t="n">
        <v>1</v>
      </c>
      <c r="E102" t="n">
        <v>8</v>
      </c>
      <c r="F102" t="n">
        <v>0</v>
      </c>
      <c r="H102" t="n">
        <v>0</v>
      </c>
      <c r="I102" t="n">
        <v>0</v>
      </c>
      <c r="J102" t="n">
        <v>0</v>
      </c>
      <c r="K102" t="n">
        <v>0</v>
      </c>
      <c r="L102" t="n">
        <v>0</v>
      </c>
      <c r="M102" t="n">
        <v>0</v>
      </c>
      <c r="N102" t="n">
        <v>0</v>
      </c>
    </row>
    <row r="103">
      <c r="A103" t="inlineStr">
        <is>
          <t>sale of stock</t>
        </is>
      </c>
      <c r="B103" t="inlineStr">
        <is>
          <t>total, £7 14 shilling.</t>
        </is>
      </c>
      <c r="C103" t="n">
        <v>7.7</v>
      </c>
      <c r="D103" t="n">
        <v>7</v>
      </c>
      <c r="E103" t="n">
        <v>14</v>
      </c>
      <c r="F103" t="n">
        <v>0</v>
      </c>
      <c r="H103" t="n">
        <v>0</v>
      </c>
      <c r="I103" t="n">
        <v>0</v>
      </c>
      <c r="J103" t="n">
        <v>0</v>
      </c>
      <c r="K103" t="n">
        <v>0</v>
      </c>
      <c r="L103" t="n">
        <v>0</v>
      </c>
      <c r="M103" t="n">
        <v>0</v>
      </c>
      <c r="N103" t="n">
        <v>0</v>
      </c>
    </row>
    <row r="104">
      <c r="A104" t="inlineStr">
        <is>
          <t>sale of labour services (operum)</t>
        </is>
      </c>
      <c r="B104" t="inlineStr">
        <is>
          <t>and for 10 shilling 2.75pence for the threshing and winnowing of 20 quarters 4.5 bushels of wheat and 40 quarters 5 bushels of oats for need-earth (de neod') sold, at 4pence a quarters of wheat and 1pence of oats.</t>
        </is>
      </c>
      <c r="C104" t="n">
        <v>0.51</v>
      </c>
      <c r="D104" t="n">
        <v>0</v>
      </c>
      <c r="E104" t="n">
        <v>10</v>
      </c>
      <c r="F104" t="n">
        <v>2.75</v>
      </c>
      <c r="G104" t="inlineStr">
        <is>
          <t>wheat, oats</t>
        </is>
      </c>
      <c r="H104" t="n">
        <v>40</v>
      </c>
      <c r="I104" t="n">
        <v>5</v>
      </c>
      <c r="J104" t="n">
        <v>40.62</v>
      </c>
      <c r="K104" t="n">
        <v>20.56</v>
      </c>
      <c r="L104" t="n">
        <v>20.06</v>
      </c>
      <c r="M104" t="n">
        <v>20</v>
      </c>
      <c r="N104" t="n">
        <v>4.5</v>
      </c>
      <c r="O104" t="n">
        <v>40</v>
      </c>
      <c r="P104" t="n">
        <v>5</v>
      </c>
    </row>
    <row r="105">
      <c r="A105" t="inlineStr">
        <is>
          <t>sale of labour services (operum)</t>
        </is>
      </c>
      <c r="B105" t="inlineStr">
        <is>
          <t>£6 3 shilling 8.5pence for the ploughing and harrowing of 164.5 acres of land for need-earth sold at 9pence an acre.</t>
        </is>
      </c>
      <c r="C105" t="n">
        <v>6.19</v>
      </c>
      <c r="D105" t="n">
        <v>6</v>
      </c>
      <c r="E105" t="n">
        <v>3</v>
      </c>
      <c r="F105" t="n">
        <v>8.5</v>
      </c>
      <c r="H105" t="n">
        <v>0</v>
      </c>
      <c r="I105" t="n">
        <v>0</v>
      </c>
      <c r="J105" t="n">
        <v>0</v>
      </c>
      <c r="K105" t="n">
        <v>0</v>
      </c>
      <c r="L105" t="n">
        <v>0</v>
      </c>
      <c r="M105" t="n">
        <v>0</v>
      </c>
      <c r="N105" t="n">
        <v>0</v>
      </c>
    </row>
    <row r="106">
      <c r="A106" t="inlineStr">
        <is>
          <t>sale of labour services (operum)</t>
        </is>
      </c>
      <c r="B106" t="inlineStr">
        <is>
          <t>6 shilling 10.25pence for the labour services weeding 164 acres for need-earth sold, at 0.5pence an acre.</t>
        </is>
      </c>
      <c r="C106" t="n">
        <v>0.34</v>
      </c>
      <c r="D106" t="n">
        <v>0</v>
      </c>
      <c r="E106" t="n">
        <v>6</v>
      </c>
      <c r="F106" t="n">
        <v>10.25</v>
      </c>
      <c r="H106" t="n">
        <v>0</v>
      </c>
      <c r="I106" t="n">
        <v>0</v>
      </c>
      <c r="J106" t="n">
        <v>0</v>
      </c>
      <c r="K106" t="n">
        <v>0</v>
      </c>
      <c r="L106" t="n">
        <v>0</v>
      </c>
      <c r="M106" t="n">
        <v>0</v>
      </c>
      <c r="N106" t="n">
        <v>0</v>
      </c>
    </row>
    <row r="107">
      <c r="A107" t="inlineStr">
        <is>
          <t>sale of labour services (operum)</t>
        </is>
      </c>
      <c r="B107" t="inlineStr">
        <is>
          <t>£2 18 shilling 2pence for the reaping, binding and gathering in of 172 acres of corn for need-earth sold, of which 91 acres sold to thomas ayllewyn', margery ware, walter babbe, william whinhous, robert wynt', william hunklpath', thomas oulyng', roger atte castel, richard bryce, henry bost, christine wynt', richard passage, john bryce, richard clerk, alice fleke, william bat, john goly, agnes goude, william kynele, walter knolle, simon fleke, philip orchard', john orchard', nicholas grey, christine caucy, alice norton', john brice and john kene, at 5pence an acre, and 81 acres, at 3pence an acre.</t>
        </is>
      </c>
      <c r="C107" t="n">
        <v>2.91</v>
      </c>
      <c r="D107" t="n">
        <v>2</v>
      </c>
      <c r="E107" t="n">
        <v>18</v>
      </c>
      <c r="F107" t="n">
        <v>2</v>
      </c>
      <c r="H107" t="n">
        <v>0</v>
      </c>
      <c r="I107" t="n">
        <v>0</v>
      </c>
      <c r="J107" t="n">
        <v>0</v>
      </c>
      <c r="K107" t="n">
        <v>0</v>
      </c>
      <c r="L107" t="n">
        <v>0</v>
      </c>
      <c r="M107" t="n">
        <v>0</v>
      </c>
      <c r="N107" t="n">
        <v>0</v>
      </c>
    </row>
    <row r="108">
      <c r="A108" t="inlineStr">
        <is>
          <t>sale of labour services (operum)</t>
        </is>
      </c>
      <c r="B108" t="inlineStr">
        <is>
          <t>£13 10 shilling 9pence for 6,498 manual labour services sold at 0.5pence a labour service.</t>
        </is>
      </c>
      <c r="C108" t="n">
        <v>13.54</v>
      </c>
      <c r="D108" t="n">
        <v>13</v>
      </c>
      <c r="E108" t="n">
        <v>10</v>
      </c>
      <c r="F108" t="n">
        <v>9</v>
      </c>
      <c r="H108" t="n">
        <v>0</v>
      </c>
      <c r="I108" t="n">
        <v>0</v>
      </c>
      <c r="J108" t="n">
        <v>0</v>
      </c>
      <c r="K108" t="n">
        <v>0</v>
      </c>
      <c r="L108" t="n">
        <v>0</v>
      </c>
      <c r="M108" t="n">
        <v>0</v>
      </c>
      <c r="N108" t="n">
        <v>0</v>
      </c>
    </row>
    <row r="109">
      <c r="A109" t="inlineStr">
        <is>
          <t>sale of labour services (operum)</t>
        </is>
      </c>
      <c r="B109" t="inlineStr">
        <is>
          <t>£1 8 shilling 11pence from richard monk, john wallyng, matilda atte more and stephen hatherich' for release of their labour services as made clear in the preceding year's account.</t>
        </is>
      </c>
      <c r="C109" t="n">
        <v>1.45</v>
      </c>
      <c r="D109" t="n">
        <v>1</v>
      </c>
      <c r="E109" t="n">
        <v>8</v>
      </c>
      <c r="F109" t="n">
        <v>11</v>
      </c>
      <c r="H109" t="n">
        <v>0</v>
      </c>
      <c r="I109" t="n">
        <v>0</v>
      </c>
      <c r="J109" t="n">
        <v>0</v>
      </c>
      <c r="K109" t="n">
        <v>0</v>
      </c>
      <c r="L109" t="n">
        <v>0</v>
      </c>
      <c r="M109" t="n">
        <v>0</v>
      </c>
      <c r="N109" t="n">
        <v>0</v>
      </c>
    </row>
    <row r="110">
      <c r="A110" t="inlineStr">
        <is>
          <t>sale of labour services (operum)</t>
        </is>
      </c>
      <c r="B110" t="inlineStr">
        <is>
          <t>total, £24 18 shilling 7.5pence.</t>
        </is>
      </c>
      <c r="C110" t="n">
        <v>24.93</v>
      </c>
      <c r="D110" t="n">
        <v>24</v>
      </c>
      <c r="E110" t="n">
        <v>18</v>
      </c>
      <c r="F110" t="n">
        <v>7.5</v>
      </c>
      <c r="H110" t="n">
        <v>0</v>
      </c>
      <c r="I110" t="n">
        <v>0</v>
      </c>
      <c r="J110" t="n">
        <v>0</v>
      </c>
      <c r="K110" t="n">
        <v>0</v>
      </c>
      <c r="L110" t="n">
        <v>0</v>
      </c>
      <c r="M110" t="n">
        <v>0</v>
      </c>
      <c r="N110" t="n">
        <v>0</v>
      </c>
    </row>
    <row r="111">
      <c r="A111" t="inlineStr">
        <is>
          <t>entry and marriage fines</t>
        </is>
      </c>
      <c r="B111" t="inlineStr">
        <is>
          <t>and for £1 10 shilling from john brice to have 2 acres 3 roods of overland (overl') in the tithing of ruishton by surrender of matilda atte more.</t>
        </is>
      </c>
      <c r="C111" t="n">
        <v>1.5</v>
      </c>
      <c r="D111" t="n">
        <v>1</v>
      </c>
      <c r="E111" t="n">
        <v>10</v>
      </c>
      <c r="F111" t="n">
        <v>0</v>
      </c>
      <c r="H111" t="n">
        <v>0</v>
      </c>
      <c r="I111" t="n">
        <v>0</v>
      </c>
      <c r="J111" t="n">
        <v>0</v>
      </c>
      <c r="K111" t="n">
        <v>0</v>
      </c>
      <c r="L111" t="n">
        <v>0</v>
      </c>
      <c r="M111" t="n">
        <v>0</v>
      </c>
      <c r="N111" t="n">
        <v>0</v>
      </c>
    </row>
    <row r="112">
      <c r="A112" t="inlineStr">
        <is>
          <t>entry and marriage fines</t>
        </is>
      </c>
      <c r="B112" t="inlineStr">
        <is>
          <t>3 shilling 4pence from william hayward' to have 1 plot of land of the lord's waste, 20 feet long and 8 feet wide, at the west end of his tenement in the tithing outside the gate, rendering therefor an increment of rent of 1pence a year.</t>
        </is>
      </c>
      <c r="C112" t="n">
        <v>0.17</v>
      </c>
      <c r="D112" t="n">
        <v>0</v>
      </c>
      <c r="E112" t="n">
        <v>3</v>
      </c>
      <c r="F112" t="n">
        <v>4</v>
      </c>
      <c r="H112" t="n">
        <v>0</v>
      </c>
      <c r="I112" t="n">
        <v>0</v>
      </c>
      <c r="J112" t="n">
        <v>0</v>
      </c>
      <c r="K112" t="n">
        <v>0</v>
      </c>
      <c r="L112" t="n">
        <v>0</v>
      </c>
      <c r="M112" t="n">
        <v>0</v>
      </c>
      <c r="N112" t="n">
        <v>0</v>
      </c>
    </row>
    <row r="113">
      <c r="A113" t="inlineStr">
        <is>
          <t>entry and marriage fines</t>
        </is>
      </c>
      <c r="B113" t="inlineStr">
        <is>
          <t>6 shilling from william tonker' to have 1 cottage with a curtilage, containing 5 day-works of overland, in the tithing of holway by surrender of richard smyth.</t>
        </is>
      </c>
      <c r="C113" t="n">
        <v>0.3</v>
      </c>
      <c r="D113" t="n">
        <v>0</v>
      </c>
      <c r="E113" t="n">
        <v>6</v>
      </c>
      <c r="F113" t="n">
        <v>0</v>
      </c>
      <c r="H113" t="n">
        <v>0</v>
      </c>
      <c r="I113" t="n">
        <v>0</v>
      </c>
      <c r="J113" t="n">
        <v>0</v>
      </c>
      <c r="K113" t="n">
        <v>0</v>
      </c>
      <c r="L113" t="n">
        <v>0</v>
      </c>
      <c r="M113" t="n">
        <v>0</v>
      </c>
      <c r="N113" t="n">
        <v>0</v>
      </c>
    </row>
    <row r="114">
      <c r="A114" t="inlineStr">
        <is>
          <t>entry and marriage fines</t>
        </is>
      </c>
      <c r="B114" t="inlineStr">
        <is>
          <t>6 shilling 8pence from adam muleward' to recover 1 cottage with a curtilage, containing 5 day-works of overland, in the tithing of holway, which had been seized into the lord's hands because the aforesaid adam prosecuted william trot, the lord's tenant, in the king's court against the custom of this manor, notwithstanding that he was commanded by the lord's, steward that the aforesaid william should not be prosecuted.</t>
        </is>
      </c>
      <c r="C114" t="n">
        <v>0.33</v>
      </c>
      <c r="D114" t="n">
        <v>0</v>
      </c>
      <c r="E114" t="n">
        <v>6</v>
      </c>
      <c r="F114" t="n">
        <v>8</v>
      </c>
      <c r="H114" t="n">
        <v>0</v>
      </c>
      <c r="I114" t="n">
        <v>0</v>
      </c>
      <c r="J114" t="n">
        <v>0</v>
      </c>
      <c r="K114" t="n">
        <v>0</v>
      </c>
      <c r="L114" t="n">
        <v>0</v>
      </c>
      <c r="M114" t="n">
        <v>0</v>
      </c>
      <c r="N114" t="n">
        <v>0</v>
      </c>
    </row>
    <row r="115">
      <c r="A115" t="inlineStr">
        <is>
          <t>entry and marriage fines</t>
        </is>
      </c>
      <c r="B115" t="inlineStr">
        <is>
          <t>£2 from margaret, relict of robert janyns, to retain 1 messuage and 1, ferling of villein land, 1 messuage and 5 acres of villein land and 8 acres of overland moor in the tithing of chapel leigh, which belonged to the said robert her husband, on condition that she builds 1 messuage on the said 5 acres within three years.</t>
        </is>
      </c>
      <c r="C115" t="n">
        <v>2</v>
      </c>
      <c r="D115" t="n">
        <v>2</v>
      </c>
      <c r="E115" t="n">
        <v>0</v>
      </c>
      <c r="F115" t="n">
        <v>0</v>
      </c>
      <c r="H115" t="n">
        <v>0</v>
      </c>
      <c r="I115" t="n">
        <v>0</v>
      </c>
      <c r="J115" t="n">
        <v>0</v>
      </c>
      <c r="K115" t="n">
        <v>0</v>
      </c>
      <c r="L115" t="n">
        <v>0</v>
      </c>
      <c r="M115" t="n">
        <v>0</v>
      </c>
      <c r="N115" t="n">
        <v>0</v>
      </c>
    </row>
    <row r="116">
      <c r="A116" t="inlineStr">
        <is>
          <t>entry and marriage fines</t>
        </is>
      </c>
      <c r="B116" t="inlineStr">
        <is>
          <t>5 shilling from thomas kynele to have 9 acres of villein land, of which 5 lie in la southfeld', 3 in la myddelfeld' and 1 acre in northefeld', and 1 acre of overland called gropekimteleye in the tithing of henlade, in exchange with john bric3 for 9 acres of villein land, of which 3 acres lie in la southfeld' and 6 acres in la northefeld, and 1 acre of overland called redeacr' in the same tithing.</t>
        </is>
      </c>
      <c r="C116" t="n">
        <v>0.25</v>
      </c>
      <c r="D116" t="n">
        <v>0</v>
      </c>
      <c r="E116" t="n">
        <v>5</v>
      </c>
      <c r="F116" t="n">
        <v>0</v>
      </c>
      <c r="H116" t="n">
        <v>0</v>
      </c>
      <c r="I116" t="n">
        <v>0</v>
      </c>
      <c r="J116" t="n">
        <v>0</v>
      </c>
      <c r="K116" t="n">
        <v>0</v>
      </c>
      <c r="L116" t="n">
        <v>0</v>
      </c>
      <c r="M116" t="n">
        <v>0</v>
      </c>
      <c r="N116" t="n">
        <v>0</v>
      </c>
    </row>
    <row r="117">
      <c r="A117" t="inlineStr">
        <is>
          <t>entry and marriage fines</t>
        </is>
      </c>
      <c r="B117" t="inlineStr">
        <is>
          <t>3 shilling 4pence from john bric3 to have 9 acres of villein land, of which 3 acres lie in la southefeld' and 6 acres in la northefeld', and 1 acre of overland called redeacr' in the tithing of stoke st mary, in exchange with thomas kynele for 9 acres of villein land, of which 5 acres lie in la southefeld', 3 acres in la middelfulde and 1 acre in northfulde, and 1 acre of overland called gropekimteleye in the tithing of henlade.</t>
        </is>
      </c>
      <c r="C117" t="n">
        <v>0.17</v>
      </c>
      <c r="D117" t="n">
        <v>0</v>
      </c>
      <c r="E117" t="n">
        <v>3</v>
      </c>
      <c r="F117" t="n">
        <v>4</v>
      </c>
      <c r="H117" t="n">
        <v>0</v>
      </c>
      <c r="I117" t="n">
        <v>0</v>
      </c>
      <c r="J117" t="n">
        <v>0</v>
      </c>
      <c r="K117" t="n">
        <v>0</v>
      </c>
      <c r="L117" t="n">
        <v>0</v>
      </c>
      <c r="M117" t="n">
        <v>0</v>
      </c>
      <c r="N117" t="n">
        <v>0</v>
      </c>
    </row>
    <row r="118">
      <c r="A118" t="inlineStr">
        <is>
          <t>entry and marriage fines</t>
        </is>
      </c>
      <c r="B118" t="inlineStr">
        <is>
          <t>3 shilling 4pence from john bole the younger to have 1 parcel of land of the lord's waste, containing .5 day-work, at shoreditch in the tithing of stoke st mary, rendering therefor to the lord an increment of, rent of 2pence a year.</t>
        </is>
      </c>
      <c r="C118" t="n">
        <v>0.17</v>
      </c>
      <c r="D118" t="n">
        <v>0</v>
      </c>
      <c r="E118" t="n">
        <v>3</v>
      </c>
      <c r="F118" t="n">
        <v>4</v>
      </c>
      <c r="H118" t="n">
        <v>0</v>
      </c>
      <c r="I118" t="n">
        <v>0</v>
      </c>
      <c r="J118" t="n">
        <v>0</v>
      </c>
      <c r="K118" t="n">
        <v>0</v>
      </c>
      <c r="L118" t="n">
        <v>0</v>
      </c>
      <c r="M118" t="n">
        <v>0</v>
      </c>
      <c r="N118" t="n">
        <v>0</v>
      </c>
    </row>
    <row r="119">
      <c r="A119" t="inlineStr">
        <is>
          <t>entry and marriage fines</t>
        </is>
      </c>
      <c r="B119" t="inlineStr">
        <is>
          <t>8pence from richard marchaunt to have 1 acre of overland meadow which lies in the eastern part of chelleworthismede in the tithing of galmington, in exchange with john krempe for 1 acre of overland meadow which lies in the western part of chelleworthesmede in the tithing of galmington.</t>
        </is>
      </c>
      <c r="C119" t="n">
        <v>0.03</v>
      </c>
      <c r="D119" t="n">
        <v>0</v>
      </c>
      <c r="E119" t="n">
        <v>0</v>
      </c>
      <c r="F119" t="n">
        <v>8</v>
      </c>
      <c r="H119" t="n">
        <v>0</v>
      </c>
      <c r="I119" t="n">
        <v>0</v>
      </c>
      <c r="J119" t="n">
        <v>0</v>
      </c>
      <c r="K119" t="n">
        <v>0</v>
      </c>
      <c r="L119" t="n">
        <v>0</v>
      </c>
      <c r="M119" t="n">
        <v>0</v>
      </c>
      <c r="N119" t="n">
        <v>0</v>
      </c>
    </row>
    <row r="120">
      <c r="A120" t="inlineStr">
        <is>
          <t>entry and marriage fines</t>
        </is>
      </c>
      <c r="B120" t="inlineStr">
        <is>
          <t>8pence from john krempe to have 1 acre of overland meadow which lies in the western part of chelleworthismede in the tithing of galmington, in exchange with richard marchaunt for 1 acre of meadow which lies in the eastern part of chell' in the same.</t>
        </is>
      </c>
      <c r="C120" t="n">
        <v>0.03</v>
      </c>
      <c r="D120" t="n">
        <v>0</v>
      </c>
      <c r="E120" t="n">
        <v>0</v>
      </c>
      <c r="F120" t="n">
        <v>8</v>
      </c>
      <c r="H120" t="n">
        <v>0</v>
      </c>
      <c r="I120" t="n">
        <v>0</v>
      </c>
      <c r="J120" t="n">
        <v>0</v>
      </c>
      <c r="K120" t="n">
        <v>0</v>
      </c>
      <c r="L120" t="n">
        <v>0</v>
      </c>
      <c r="M120" t="n">
        <v>0</v>
      </c>
      <c r="N120" t="n">
        <v>0</v>
      </c>
    </row>
    <row r="121">
      <c r="A121" t="inlineStr">
        <is>
          <t>entry and marriage fines</t>
        </is>
      </c>
      <c r="B121" t="inlineStr">
        <is>
          <t>16 shilling 8pence from richard gydies to have 1 acre of villein land called bornham in the tithing of ruishton by surrender of christine wynt, appropriating the remainder fo the tenement of the said christine, that is, 1 messuage and a ferling of villein land and pasture for 2 cattle (averia) in russhtemore in the same tithing, when it should fall due.</t>
        </is>
      </c>
      <c r="C121" t="n">
        <v>0.83</v>
      </c>
      <c r="D121" t="n">
        <v>0</v>
      </c>
      <c r="E121" t="n">
        <v>16</v>
      </c>
      <c r="F121" t="n">
        <v>8</v>
      </c>
      <c r="H121" t="n">
        <v>0</v>
      </c>
      <c r="I121" t="n">
        <v>0</v>
      </c>
      <c r="J121" t="n">
        <v>0</v>
      </c>
      <c r="K121" t="n">
        <v>0</v>
      </c>
      <c r="L121" t="n">
        <v>0</v>
      </c>
      <c r="M121" t="n">
        <v>0</v>
      </c>
      <c r="N121" t="n">
        <v>0</v>
      </c>
    </row>
    <row r="122">
      <c r="A122" t="inlineStr">
        <is>
          <t>entry and marriage fines</t>
        </is>
      </c>
      <c r="B122" t="inlineStr">
        <is>
          <t>2 shilling from nicholas brodebare to have 1 cottage with a curtilage, containing 10 day-works of overland, in the tithing of woodlands by surrender of william elys.</t>
        </is>
      </c>
      <c r="C122" t="n">
        <v>0.1</v>
      </c>
      <c r="D122" t="n">
        <v>0</v>
      </c>
      <c r="E122" t="n">
        <v>2</v>
      </c>
      <c r="F122" t="n">
        <v>0</v>
      </c>
      <c r="H122" t="n">
        <v>0</v>
      </c>
      <c r="I122" t="n">
        <v>0</v>
      </c>
      <c r="J122" t="n">
        <v>0</v>
      </c>
      <c r="K122" t="n">
        <v>0</v>
      </c>
      <c r="L122" t="n">
        <v>0</v>
      </c>
      <c r="M122" t="n">
        <v>0</v>
      </c>
      <c r="N122" t="n">
        <v>0</v>
      </c>
    </row>
    <row r="123">
      <c r="A123" t="inlineStr">
        <is>
          <t>entry and marriage fines</t>
        </is>
      </c>
      <c r="B123" t="inlineStr">
        <is>
          <t>and for 13 shilling 4pence from michael glovere to have 1 cottage, 34.5 feet long and 27 feet wide, in the tithing outside the gate by surrender of matilda atte more.</t>
        </is>
      </c>
      <c r="C123" t="n">
        <v>0.67</v>
      </c>
      <c r="D123" t="n">
        <v>0</v>
      </c>
      <c r="E123" t="n">
        <v>13</v>
      </c>
      <c r="F123" t="n">
        <v>4</v>
      </c>
      <c r="H123" t="n">
        <v>0</v>
      </c>
      <c r="I123" t="n">
        <v>0</v>
      </c>
      <c r="J123" t="n">
        <v>0</v>
      </c>
      <c r="K123" t="n">
        <v>0</v>
      </c>
      <c r="L123" t="n">
        <v>0</v>
      </c>
      <c r="M123" t="n">
        <v>0</v>
      </c>
      <c r="N123" t="n">
        <v>0</v>
      </c>
    </row>
    <row r="124">
      <c r="A124" t="inlineStr">
        <is>
          <t>entry and marriage fines</t>
        </is>
      </c>
      <c r="B124" t="inlineStr">
        <is>
          <t>£1 6s 8pence from alice, who was wife of john combe, to retain 3 acres of overland in westauntonefeld and 1.5 acres, 3 roods and 9 day-works of meadow in the fishpond in the t. ,  holway, which belonged to the aforesaid john her husband.</t>
        </is>
      </c>
      <c r="C124" t="n">
        <v>1</v>
      </c>
      <c r="D124" t="n">
        <v>1</v>
      </c>
      <c r="E124" t="n">
        <v>0</v>
      </c>
      <c r="F124" t="n">
        <v>0</v>
      </c>
      <c r="H124" t="n">
        <v>0</v>
      </c>
      <c r="I124" t="n">
        <v>0</v>
      </c>
      <c r="J124" t="n">
        <v>0</v>
      </c>
      <c r="K124" t="n">
        <v>0</v>
      </c>
      <c r="L124" t="n">
        <v>0</v>
      </c>
      <c r="M124" t="n">
        <v>0</v>
      </c>
      <c r="N124" t="n">
        <v>0</v>
      </c>
    </row>
    <row r="125">
      <c r="A125" t="inlineStr">
        <is>
          <t>entry and marriage fines</t>
        </is>
      </c>
      <c r="B125" t="inlineStr">
        <is>
          <t>1 shilling from richard splot to have 1 plot of land of the lord's waste, 30 feet long and 24 feet wide at the western end  and 16 feet at the eastern end, in the tithing outside the gate beside the ceosttetrangeenodf william more, rendering therefor to the lord an increment of rent of 2pence a year.</t>
        </is>
      </c>
      <c r="C125" t="n">
        <v>0.06</v>
      </c>
      <c r="D125" t="n">
        <v>0</v>
      </c>
      <c r="E125" t="n">
        <v>1</v>
      </c>
      <c r="F125" t="n">
        <v>2</v>
      </c>
      <c r="H125" t="n">
        <v>0</v>
      </c>
      <c r="I125" t="n">
        <v>0</v>
      </c>
      <c r="J125" t="n">
        <v>0</v>
      </c>
      <c r="K125" t="n">
        <v>0</v>
      </c>
      <c r="L125" t="n">
        <v>0</v>
      </c>
      <c r="M125" t="n">
        <v>0</v>
      </c>
      <c r="N125" t="n">
        <v>0</v>
      </c>
    </row>
    <row r="126">
      <c r="A126" t="inlineStr">
        <is>
          <t>entry and marriage fines</t>
        </is>
      </c>
      <c r="B126" t="inlineStr">
        <is>
          <t>£165. 8pence from richard berker to have 3 cottages with curtilages, containing 3 day-works of overland, in the tithing outside the gate by surrender of john baret.</t>
        </is>
      </c>
      <c r="C126" t="n">
        <v>165</v>
      </c>
      <c r="D126" t="n">
        <v>165</v>
      </c>
      <c r="E126" t="n">
        <v>0</v>
      </c>
      <c r="F126" t="n">
        <v>0</v>
      </c>
      <c r="H126" t="n">
        <v>0</v>
      </c>
      <c r="I126" t="n">
        <v>0</v>
      </c>
      <c r="J126" t="n">
        <v>0</v>
      </c>
      <c r="K126" t="n">
        <v>0</v>
      </c>
      <c r="L126" t="n">
        <v>0</v>
      </c>
      <c r="M126" t="n">
        <v>0</v>
      </c>
      <c r="N126" t="n">
        <v>0</v>
      </c>
    </row>
    <row r="127">
      <c r="A127" t="inlineStr">
        <is>
          <t>entry and marriage fines</t>
        </is>
      </c>
      <c r="B127" t="inlineStr">
        <is>
          <t>6 shilling 8pence fromrichard berker' to have 1 acre of villein land in the tithing outside the gate in surrender of john ware.</t>
        </is>
      </c>
      <c r="C127" t="n">
        <v>0.33</v>
      </c>
      <c r="D127" t="n">
        <v>0</v>
      </c>
      <c r="E127" t="n">
        <v>6</v>
      </c>
      <c r="F127" t="n">
        <v>8</v>
      </c>
      <c r="H127" t="n">
        <v>0</v>
      </c>
      <c r="I127" t="n">
        <v>0</v>
      </c>
      <c r="J127" t="n">
        <v>0</v>
      </c>
      <c r="K127" t="n">
        <v>0</v>
      </c>
      <c r="L127" t="n">
        <v>0</v>
      </c>
      <c r="M127" t="n">
        <v>0</v>
      </c>
      <c r="N127" t="n">
        <v>0</v>
      </c>
    </row>
    <row r="128">
      <c r="A128" t="inlineStr">
        <is>
          <t>entry and marriage fines</t>
        </is>
      </c>
      <c r="B128" t="inlineStr">
        <is>
          <t>£2 13 shilling 4pence from matilda pare to have 1 messuage.5 virgate of villein land in the tithing of galmington which belonged to alice pare her mother. 4 shilling from alice mareys to retain 4.5 acres of overland in the tithing of stoke st mary which belonged to richard mareys her husband.</t>
        </is>
      </c>
      <c r="C128" t="n">
        <v>2.67</v>
      </c>
      <c r="D128" t="n">
        <v>2</v>
      </c>
      <c r="E128" t="n">
        <v>13</v>
      </c>
      <c r="F128" t="n">
        <v>4</v>
      </c>
      <c r="H128" t="n">
        <v>0</v>
      </c>
      <c r="I128" t="n">
        <v>0</v>
      </c>
      <c r="J128" t="n">
        <v>0</v>
      </c>
      <c r="K128" t="n">
        <v>0</v>
      </c>
      <c r="L128" t="n">
        <v>0</v>
      </c>
      <c r="M128" t="n">
        <v>0</v>
      </c>
      <c r="N128" t="n">
        <v>0</v>
      </c>
    </row>
    <row r="129">
      <c r="A129" t="inlineStr">
        <is>
          <t>entry and marriage fines</t>
        </is>
      </c>
      <c r="B129" t="inlineStr">
        <is>
          <t>4 shilling from thomas durburgh' to have alice mareys with her land, that is, 4.5 acres of overland in the tithing of stoke st mary.</t>
        </is>
      </c>
      <c r="C129" t="n">
        <v>0.2</v>
      </c>
      <c r="D129" t="n">
        <v>0</v>
      </c>
      <c r="E129" t="n">
        <v>4</v>
      </c>
      <c r="F129" t="n">
        <v>0</v>
      </c>
      <c r="H129" t="n">
        <v>0</v>
      </c>
      <c r="I129" t="n">
        <v>0</v>
      </c>
      <c r="J129" t="n">
        <v>0</v>
      </c>
      <c r="K129" t="n">
        <v>0</v>
      </c>
      <c r="L129" t="n">
        <v>0</v>
      </c>
      <c r="M129" t="n">
        <v>0</v>
      </c>
      <c r="N129" t="n">
        <v>0</v>
      </c>
    </row>
    <row r="130">
      <c r="A130" t="inlineStr">
        <is>
          <t>entry and marriage fines</t>
        </is>
      </c>
      <c r="B130" t="inlineStr">
        <is>
          <t>6 shilling 8pence from john shordych' to recover 1 messuage .5 virgate of villein land and 2 acres of overland and 6 acres of overland meadow in the tithing of stoke st mary, which the same john forfeited both for being in arrears with rents and services and for laying waste and destroying the same messuage and also for committing contempt of the lord, saving always the terms of the previous grant therefor, for the term of 11 years.</t>
        </is>
      </c>
      <c r="C130" t="n">
        <v>0.33</v>
      </c>
      <c r="D130" t="n">
        <v>0</v>
      </c>
      <c r="E130" t="n">
        <v>6</v>
      </c>
      <c r="F130" t="n">
        <v>8</v>
      </c>
      <c r="H130" t="n">
        <v>0</v>
      </c>
      <c r="I130" t="n">
        <v>0</v>
      </c>
      <c r="J130" t="n">
        <v>0</v>
      </c>
      <c r="K130" t="n">
        <v>0</v>
      </c>
      <c r="L130" t="n">
        <v>0</v>
      </c>
      <c r="M130" t="n">
        <v>0</v>
      </c>
      <c r="N130" t="n">
        <v>0</v>
      </c>
    </row>
    <row r="131">
      <c r="A131" t="inlineStr">
        <is>
          <t>entry and marriage fines</t>
        </is>
      </c>
      <c r="B131" t="inlineStr">
        <is>
          <t>6 shilling 8pence from ellen atte mulle to retain 1 cottage with a curtilage, containing 3 day-works of villein land, in the tithing outside the gate which belonged to henry atte mulle her husband.</t>
        </is>
      </c>
      <c r="C131" t="n">
        <v>0.33</v>
      </c>
      <c r="D131" t="n">
        <v>0</v>
      </c>
      <c r="E131" t="n">
        <v>6</v>
      </c>
      <c r="F131" t="n">
        <v>8</v>
      </c>
      <c r="H131" t="n">
        <v>0</v>
      </c>
      <c r="I131" t="n">
        <v>0</v>
      </c>
      <c r="J131" t="n">
        <v>0</v>
      </c>
      <c r="K131" t="n">
        <v>0</v>
      </c>
      <c r="L131" t="n">
        <v>0</v>
      </c>
      <c r="M131" t="n">
        <v>0</v>
      </c>
      <c r="N131" t="n">
        <v>0</v>
      </c>
    </row>
    <row r="132">
      <c r="A132" t="inlineStr">
        <is>
          <t>entry and marriage fines</t>
        </is>
      </c>
      <c r="B132" t="inlineStr">
        <is>
          <t>£1 10 shilling from william, son of roger fatte, to have 1 messuage and 8 acres of villein land in the tithing of woodlands which belonged to john blake, of which the same william fined before for .5 acre, to appropriate the remainder when it should fall due.</t>
        </is>
      </c>
      <c r="C132" t="n">
        <v>1.5</v>
      </c>
      <c r="D132" t="n">
        <v>1</v>
      </c>
      <c r="E132" t="n">
        <v>10</v>
      </c>
      <c r="F132" t="n">
        <v>0</v>
      </c>
      <c r="H132" t="n">
        <v>0</v>
      </c>
      <c r="I132" t="n">
        <v>0</v>
      </c>
      <c r="J132" t="n">
        <v>0</v>
      </c>
      <c r="K132" t="n">
        <v>0</v>
      </c>
      <c r="L132" t="n">
        <v>0</v>
      </c>
      <c r="M132" t="n">
        <v>0</v>
      </c>
      <c r="N132" t="n">
        <v>0</v>
      </c>
    </row>
    <row r="133">
      <c r="A133" t="inlineStr">
        <is>
          <t>entry and marriage fines</t>
        </is>
      </c>
      <c r="B133" t="inlineStr">
        <is>
          <t>£8 from alice portman to retain 5.5 acres of overland meadow in the fishpond, 2 acres of overland meadow in wyndike and 2 acres of overland meadow in poulesmer' in the tithing of holway, and 4 acres of overland meadow in the tithing of galmington, and 1 acre of villein land in the tithing outside the gate, which belonged to william portman her husband.</t>
        </is>
      </c>
      <c r="C133" t="n">
        <v>8</v>
      </c>
      <c r="D133" t="n">
        <v>8</v>
      </c>
      <c r="E133" t="n">
        <v>0</v>
      </c>
      <c r="F133" t="n">
        <v>0</v>
      </c>
      <c r="H133" t="n">
        <v>0</v>
      </c>
      <c r="I133" t="n">
        <v>0</v>
      </c>
      <c r="J133" t="n">
        <v>0</v>
      </c>
      <c r="K133" t="n">
        <v>0</v>
      </c>
      <c r="L133" t="n">
        <v>0</v>
      </c>
      <c r="M133" t="n">
        <v>0</v>
      </c>
      <c r="N133" t="n">
        <v>0</v>
      </c>
    </row>
    <row r="134">
      <c r="A134" t="inlineStr">
        <is>
          <t>entry and marriage fines</t>
        </is>
      </c>
      <c r="B134" t="inlineStr">
        <is>
          <t>3 shilling from william, son of adam boke, to have 1 day-work of villein land in the tithing outside the gate by surrender of john godeman.</t>
        </is>
      </c>
      <c r="C134" t="n">
        <v>0.15</v>
      </c>
      <c r="D134" t="n">
        <v>0</v>
      </c>
      <c r="E134" t="n">
        <v>3</v>
      </c>
      <c r="F134" t="n">
        <v>0</v>
      </c>
      <c r="H134" t="n">
        <v>0</v>
      </c>
      <c r="I134" t="n">
        <v>0</v>
      </c>
      <c r="J134" t="n">
        <v>0</v>
      </c>
      <c r="K134" t="n">
        <v>0</v>
      </c>
      <c r="L134" t="n">
        <v>0</v>
      </c>
      <c r="M134" t="n">
        <v>0</v>
      </c>
      <c r="N134" t="n">
        <v>0</v>
      </c>
    </row>
    <row r="135">
      <c r="A135" t="inlineStr">
        <is>
          <t>entry and marriage fines</t>
        </is>
      </c>
      <c r="B135" t="inlineStr">
        <is>
          <t>13 shilling 4pence from, william more to have 4.5 acres of overland in the tithing of holway, in exchange with william goky for 4.5 acres of overland in the tithing of stoke st mary.</t>
        </is>
      </c>
      <c r="C135" t="n">
        <v>0.67</v>
      </c>
      <c r="D135" t="n">
        <v>0</v>
      </c>
      <c r="E135" t="n">
        <v>13</v>
      </c>
      <c r="F135" t="n">
        <v>4</v>
      </c>
      <c r="H135" t="n">
        <v>0</v>
      </c>
      <c r="I135" t="n">
        <v>0</v>
      </c>
      <c r="J135" t="n">
        <v>0</v>
      </c>
      <c r="K135" t="n">
        <v>0</v>
      </c>
      <c r="L135" t="n">
        <v>0</v>
      </c>
      <c r="M135" t="n">
        <v>0</v>
      </c>
      <c r="N135" t="n">
        <v>0</v>
      </c>
    </row>
    <row r="136">
      <c r="A136" t="inlineStr">
        <is>
          <t>entry and marriage fines</t>
        </is>
      </c>
      <c r="B136" t="inlineStr">
        <is>
          <t>5 shilling from william goky to have 4.5 acres of overland in the tithing of stoke st mary, in exchange with william more for 4.5 acres of overland in the tithing of holway.</t>
        </is>
      </c>
      <c r="C136" t="n">
        <v>0.25</v>
      </c>
      <c r="D136" t="n">
        <v>0</v>
      </c>
      <c r="E136" t="n">
        <v>5</v>
      </c>
      <c r="F136" t="n">
        <v>0</v>
      </c>
      <c r="H136" t="n">
        <v>0</v>
      </c>
      <c r="I136" t="n">
        <v>0</v>
      </c>
      <c r="J136" t="n">
        <v>0</v>
      </c>
      <c r="K136" t="n">
        <v>0</v>
      </c>
      <c r="L136" t="n">
        <v>0</v>
      </c>
      <c r="M136" t="n">
        <v>0</v>
      </c>
      <c r="N136" t="n">
        <v>0</v>
      </c>
    </row>
    <row r="137">
      <c r="A137" t="inlineStr">
        <is>
          <t>entry and marriage fines</t>
        </is>
      </c>
      <c r="B137" t="inlineStr">
        <is>
          <t>16 shilling 8pence from william atte more to have 2.5 acres of overland in the tithing of holway by surrender of william goky.</t>
        </is>
      </c>
      <c r="C137" t="n">
        <v>0.83</v>
      </c>
      <c r="D137" t="n">
        <v>0</v>
      </c>
      <c r="E137" t="n">
        <v>16</v>
      </c>
      <c r="F137" t="n">
        <v>8</v>
      </c>
      <c r="H137" t="n">
        <v>0</v>
      </c>
      <c r="I137" t="n">
        <v>0</v>
      </c>
      <c r="J137" t="n">
        <v>0</v>
      </c>
      <c r="K137" t="n">
        <v>0</v>
      </c>
      <c r="L137" t="n">
        <v>0</v>
      </c>
      <c r="M137" t="n">
        <v>0</v>
      </c>
      <c r="N137" t="n">
        <v>0</v>
      </c>
    </row>
    <row r="138">
      <c r="A138" t="inlineStr">
        <is>
          <t>entry and marriage fines</t>
        </is>
      </c>
      <c r="B138" t="inlineStr">
        <is>
          <t>6 shilling 8pence from thomas, son of stephen atte weye, to have 1 cottage with a curtilage, containing 3 day-works of villein land, in the tithing outside the gate by surrender of ellen atte mulle.</t>
        </is>
      </c>
      <c r="C138" t="n">
        <v>0.33</v>
      </c>
      <c r="D138" t="n">
        <v>0</v>
      </c>
      <c r="E138" t="n">
        <v>6</v>
      </c>
      <c r="F138" t="n">
        <v>8</v>
      </c>
      <c r="H138" t="n">
        <v>0</v>
      </c>
      <c r="I138" t="n">
        <v>0</v>
      </c>
      <c r="J138" t="n">
        <v>0</v>
      </c>
      <c r="K138" t="n">
        <v>0</v>
      </c>
      <c r="L138" t="n">
        <v>0</v>
      </c>
      <c r="M138" t="n">
        <v>0</v>
      </c>
      <c r="N138" t="n">
        <v>0</v>
      </c>
    </row>
    <row r="139">
      <c r="A139" t="inlineStr">
        <is>
          <t>entry and marriage fines</t>
        </is>
      </c>
      <c r="B139" t="inlineStr">
        <is>
          <t>£2 from robert gysell' to have 5 acres of overland in the tithing of holway by surrender of william goky.</t>
        </is>
      </c>
      <c r="C139" t="n">
        <v>2</v>
      </c>
      <c r="D139" t="n">
        <v>2</v>
      </c>
      <c r="E139" t="n">
        <v>0</v>
      </c>
      <c r="F139" t="n">
        <v>0</v>
      </c>
      <c r="H139" t="n">
        <v>0</v>
      </c>
      <c r="I139" t="n">
        <v>0</v>
      </c>
      <c r="J139" t="n">
        <v>0</v>
      </c>
      <c r="K139" t="n">
        <v>0</v>
      </c>
      <c r="L139" t="n">
        <v>0</v>
      </c>
      <c r="M139" t="n">
        <v>0</v>
      </c>
      <c r="N139" t="n">
        <v>0</v>
      </c>
    </row>
    <row r="140">
      <c r="A140" t="inlineStr">
        <is>
          <t>entry and marriage fines</t>
        </is>
      </c>
      <c r="B140" t="inlineStr">
        <is>
          <t>3 shilling 4pence from john charde to have 4.5 acres of overland in the tithing of stoke st mary by surrender of william goky.</t>
        </is>
      </c>
      <c r="C140" t="n">
        <v>0.17</v>
      </c>
      <c r="D140" t="n">
        <v>0</v>
      </c>
      <c r="E140" t="n">
        <v>3</v>
      </c>
      <c r="F140" t="n">
        <v>4</v>
      </c>
      <c r="H140" t="n">
        <v>0</v>
      </c>
      <c r="I140" t="n">
        <v>0</v>
      </c>
      <c r="J140" t="n">
        <v>0</v>
      </c>
      <c r="K140" t="n">
        <v>0</v>
      </c>
      <c r="L140" t="n">
        <v>0</v>
      </c>
      <c r="M140" t="n">
        <v>0</v>
      </c>
      <c r="N140" t="n">
        <v>0</v>
      </c>
    </row>
    <row r="141">
      <c r="A141" t="inlineStr">
        <is>
          <t>entry and marriage fines</t>
        </is>
      </c>
      <c r="B141" t="inlineStr">
        <is>
          <t>13 shilling 4pence from richard monke to have the pasturage of 8 oxen agisting with the lord's oxen of holway between hockday and martinmas for the term of his life, rendering therefor to the lord the farm of £1 a year.</t>
        </is>
      </c>
      <c r="C141" t="n">
        <v>1</v>
      </c>
      <c r="D141" t="n">
        <v>1</v>
      </c>
      <c r="E141" t="n">
        <v>0</v>
      </c>
      <c r="F141" t="n">
        <v>0</v>
      </c>
      <c r="H141" t="n">
        <v>0</v>
      </c>
      <c r="I141" t="n">
        <v>0</v>
      </c>
      <c r="J141" t="n">
        <v>0</v>
      </c>
      <c r="K141" t="n">
        <v>0</v>
      </c>
      <c r="L141" t="n">
        <v>0</v>
      </c>
      <c r="M141" t="n">
        <v>0</v>
      </c>
      <c r="N141" t="n">
        <v>0</v>
      </c>
    </row>
    <row r="142">
      <c r="A142" t="inlineStr">
        <is>
          <t>entry and marriage fines</t>
        </is>
      </c>
      <c r="B142" t="inlineStr">
        <is>
          <t>total, £27 18 shilling.</t>
        </is>
      </c>
      <c r="C142" t="n">
        <v>27.9</v>
      </c>
      <c r="D142" t="n">
        <v>27</v>
      </c>
      <c r="E142" t="n">
        <v>18</v>
      </c>
      <c r="F142" t="n">
        <v>0</v>
      </c>
      <c r="H142" t="n">
        <v>0</v>
      </c>
      <c r="I142" t="n">
        <v>0</v>
      </c>
      <c r="J142" t="n">
        <v>0</v>
      </c>
      <c r="K142" t="n">
        <v>0</v>
      </c>
      <c r="L142" t="n">
        <v>0</v>
      </c>
      <c r="M142" t="n">
        <v>0</v>
      </c>
      <c r="N142" t="n">
        <v>0</v>
      </c>
    </row>
    <row r="143">
      <c r="A143" t="inlineStr">
        <is>
          <t>perquisites of court</t>
        </is>
      </c>
      <c r="B143" t="inlineStr">
        <is>
          <t>and for £1 10 shilling from the perquisites of the tourn of martinmas (11 november).</t>
        </is>
      </c>
      <c r="C143" t="n">
        <v>1.5</v>
      </c>
      <c r="D143" t="n">
        <v>1</v>
      </c>
      <c r="E143" t="n">
        <v>10</v>
      </c>
      <c r="F143" t="n">
        <v>0</v>
      </c>
      <c r="H143" t="n">
        <v>0</v>
      </c>
      <c r="I143" t="n">
        <v>0</v>
      </c>
      <c r="J143" t="n">
        <v>0</v>
      </c>
      <c r="K143" t="n">
        <v>0</v>
      </c>
      <c r="L143" t="n">
        <v>0</v>
      </c>
      <c r="M143" t="n">
        <v>0</v>
      </c>
      <c r="N143" t="n">
        <v>0</v>
      </c>
    </row>
    <row r="144">
      <c r="A144" t="inlineStr">
        <is>
          <t>perquisites of court</t>
        </is>
      </c>
      <c r="B144" t="inlineStr">
        <is>
          <t>£2 12 shilling 6pence from the perquisites of the courts held after the said tourn and before the tourn of hockday.</t>
        </is>
      </c>
      <c r="C144" t="n">
        <v>2.62</v>
      </c>
      <c r="D144" t="n">
        <v>2</v>
      </c>
      <c r="E144" t="n">
        <v>12</v>
      </c>
      <c r="F144" t="n">
        <v>6</v>
      </c>
      <c r="H144" t="n">
        <v>0</v>
      </c>
      <c r="I144" t="n">
        <v>0</v>
      </c>
      <c r="J144" t="n">
        <v>0</v>
      </c>
      <c r="K144" t="n">
        <v>0</v>
      </c>
      <c r="L144" t="n">
        <v>0</v>
      </c>
      <c r="M144" t="n">
        <v>0</v>
      </c>
      <c r="N144" t="n">
        <v>0</v>
      </c>
    </row>
    <row r="145">
      <c r="A145" t="inlineStr">
        <is>
          <t>perquisites of court</t>
        </is>
      </c>
      <c r="B145" t="inlineStr">
        <is>
          <t>6 shilling 11pence from the perquisites of the tourn of hockday (1 april).</t>
        </is>
      </c>
      <c r="C145" t="n">
        <v>0.35</v>
      </c>
      <c r="D145" t="n">
        <v>0</v>
      </c>
      <c r="E145" t="n">
        <v>6</v>
      </c>
      <c r="F145" t="n">
        <v>11</v>
      </c>
      <c r="H145" t="n">
        <v>0</v>
      </c>
      <c r="I145" t="n">
        <v>0</v>
      </c>
      <c r="J145" t="n">
        <v>0</v>
      </c>
      <c r="K145" t="n">
        <v>0</v>
      </c>
      <c r="L145" t="n">
        <v>0</v>
      </c>
      <c r="M145" t="n">
        <v>0</v>
      </c>
      <c r="N145" t="n">
        <v>0</v>
      </c>
    </row>
    <row r="146">
      <c r="A146" t="inlineStr">
        <is>
          <t>perquisites of court</t>
        </is>
      </c>
      <c r="B146" t="inlineStr">
        <is>
          <t>£4 9 shilling 3pence from the perquisites of the courts held after the said tourn.</t>
        </is>
      </c>
      <c r="C146" t="n">
        <v>4.46</v>
      </c>
      <c r="D146" t="n">
        <v>4</v>
      </c>
      <c r="E146" t="n">
        <v>9</v>
      </c>
      <c r="F146" t="n">
        <v>3</v>
      </c>
      <c r="H146" t="n">
        <v>0</v>
      </c>
      <c r="I146" t="n">
        <v>0</v>
      </c>
      <c r="J146" t="n">
        <v>0</v>
      </c>
      <c r="K146" t="n">
        <v>0</v>
      </c>
      <c r="L146" t="n">
        <v>0</v>
      </c>
      <c r="M146" t="n">
        <v>0</v>
      </c>
      <c r="N146" t="n">
        <v>0</v>
      </c>
    </row>
    <row r="147">
      <c r="A147" t="inlineStr">
        <is>
          <t>perquisites of court</t>
        </is>
      </c>
      <c r="B147" t="inlineStr">
        <is>
          <t>total, £8 18 shilling 8pence.</t>
        </is>
      </c>
      <c r="C147" t="n">
        <v>8.93</v>
      </c>
      <c r="D147" t="n">
        <v>8</v>
      </c>
      <c r="E147" t="n">
        <v>18</v>
      </c>
      <c r="F147" t="n">
        <v>8</v>
      </c>
      <c r="H147" t="n">
        <v>0</v>
      </c>
      <c r="I147" t="n">
        <v>0</v>
      </c>
      <c r="J147" t="n">
        <v>0</v>
      </c>
      <c r="K147" t="n">
        <v>0</v>
      </c>
      <c r="L147" t="n">
        <v>0</v>
      </c>
      <c r="M147" t="n">
        <v>0</v>
      </c>
      <c r="N147" t="n">
        <v>0</v>
      </c>
    </row>
    <row r="148">
      <c r="A148" t="inlineStr">
        <is>
          <t>heriots in cash</t>
        </is>
      </c>
      <c r="B148" t="inlineStr">
        <is>
          <t>and for 6pence from the heriot of richard smyth'.</t>
        </is>
      </c>
      <c r="C148" t="n">
        <v>0.03</v>
      </c>
      <c r="D148" t="n">
        <v>0</v>
      </c>
      <c r="E148" t="n">
        <v>0</v>
      </c>
      <c r="F148" t="n">
        <v>6</v>
      </c>
      <c r="H148" t="n">
        <v>0</v>
      </c>
      <c r="I148" t="n">
        <v>0</v>
      </c>
      <c r="J148" t="n">
        <v>0</v>
      </c>
      <c r="K148" t="n">
        <v>0</v>
      </c>
      <c r="L148" t="n">
        <v>0</v>
      </c>
      <c r="M148" t="n">
        <v>0</v>
      </c>
      <c r="N148" t="n">
        <v>0</v>
      </c>
    </row>
    <row r="149">
      <c r="A149" t="inlineStr">
        <is>
          <t>heriots in cash</t>
        </is>
      </c>
      <c r="B149" t="inlineStr">
        <is>
          <t>6pence from the heriot of william elys.</t>
        </is>
      </c>
      <c r="C149" t="n">
        <v>0.03</v>
      </c>
      <c r="D149" t="n">
        <v>0</v>
      </c>
      <c r="E149" t="n">
        <v>0</v>
      </c>
      <c r="F149" t="n">
        <v>6</v>
      </c>
      <c r="H149" t="n">
        <v>0</v>
      </c>
      <c r="I149" t="n">
        <v>0</v>
      </c>
      <c r="J149" t="n">
        <v>0</v>
      </c>
      <c r="K149" t="n">
        <v>0</v>
      </c>
      <c r="L149" t="n">
        <v>0</v>
      </c>
      <c r="M149" t="n">
        <v>0</v>
      </c>
      <c r="N149" t="n">
        <v>0</v>
      </c>
    </row>
    <row r="150">
      <c r="A150" t="inlineStr">
        <is>
          <t>heriots in cash</t>
        </is>
      </c>
      <c r="B150" t="inlineStr">
        <is>
          <t>6pence from the heriot of matilda atte mor'.</t>
        </is>
      </c>
      <c r="C150" t="n">
        <v>0.03</v>
      </c>
      <c r="D150" t="n">
        <v>0</v>
      </c>
      <c r="E150" t="n">
        <v>0</v>
      </c>
      <c r="F150" t="n">
        <v>6</v>
      </c>
      <c r="H150" t="n">
        <v>0</v>
      </c>
      <c r="I150" t="n">
        <v>0</v>
      </c>
      <c r="J150" t="n">
        <v>0</v>
      </c>
      <c r="K150" t="n">
        <v>0</v>
      </c>
      <c r="L150" t="n">
        <v>0</v>
      </c>
      <c r="M150" t="n">
        <v>0</v>
      </c>
      <c r="N150" t="n">
        <v>0</v>
      </c>
    </row>
    <row r="151">
      <c r="A151" t="inlineStr">
        <is>
          <t>heriots in cash</t>
        </is>
      </c>
      <c r="B151" t="inlineStr">
        <is>
          <t>1 shilling 6pence from the heriot of john baret.</t>
        </is>
      </c>
      <c r="C151" t="n">
        <v>0.08</v>
      </c>
      <c r="D151" t="n">
        <v>0</v>
      </c>
      <c r="E151" t="n">
        <v>1</v>
      </c>
      <c r="F151" t="n">
        <v>6</v>
      </c>
      <c r="H151" t="n">
        <v>0</v>
      </c>
      <c r="I151" t="n">
        <v>0</v>
      </c>
      <c r="J151" t="n">
        <v>0</v>
      </c>
      <c r="K151" t="n">
        <v>0</v>
      </c>
      <c r="L151" t="n">
        <v>0</v>
      </c>
      <c r="M151" t="n">
        <v>0</v>
      </c>
      <c r="N151" t="n">
        <v>0</v>
      </c>
    </row>
    <row r="152">
      <c r="A152" t="inlineStr">
        <is>
          <t>heriots in cash</t>
        </is>
      </c>
      <c r="B152" t="inlineStr">
        <is>
          <t>6pence from the heriot of henry atte mulle.</t>
        </is>
      </c>
      <c r="C152" t="n">
        <v>0.03</v>
      </c>
      <c r="D152" t="n">
        <v>0</v>
      </c>
      <c r="E152" t="n">
        <v>0</v>
      </c>
      <c r="F152" t="n">
        <v>6</v>
      </c>
      <c r="H152" t="n">
        <v>0</v>
      </c>
      <c r="I152" t="n">
        <v>0</v>
      </c>
      <c r="J152" t="n">
        <v>0</v>
      </c>
      <c r="K152" t="n">
        <v>0</v>
      </c>
      <c r="L152" t="n">
        <v>0</v>
      </c>
      <c r="M152" t="n">
        <v>0</v>
      </c>
      <c r="N152" t="n">
        <v>0</v>
      </c>
    </row>
    <row r="153">
      <c r="A153" t="inlineStr">
        <is>
          <t>heriots in cash</t>
        </is>
      </c>
      <c r="B153" t="inlineStr">
        <is>
          <t>6pence from the heriot of ellen atte mulle.</t>
        </is>
      </c>
      <c r="C153" t="n">
        <v>0.03</v>
      </c>
      <c r="D153" t="n">
        <v>0</v>
      </c>
      <c r="E153" t="n">
        <v>0</v>
      </c>
      <c r="F153" t="n">
        <v>6</v>
      </c>
      <c r="H153" t="n">
        <v>0</v>
      </c>
      <c r="I153" t="n">
        <v>0</v>
      </c>
      <c r="J153" t="n">
        <v>0</v>
      </c>
      <c r="K153" t="n">
        <v>0</v>
      </c>
      <c r="L153" t="n">
        <v>0</v>
      </c>
      <c r="M153" t="n">
        <v>0</v>
      </c>
      <c r="N153" t="n">
        <v>0</v>
      </c>
    </row>
    <row r="154">
      <c r="A154" t="inlineStr">
        <is>
          <t>heriots in cash</t>
        </is>
      </c>
      <c r="B154" t="inlineStr">
        <is>
          <t>total, 4 shilling.</t>
        </is>
      </c>
      <c r="C154" t="n">
        <v>0.2</v>
      </c>
      <c r="D154" t="n">
        <v>0</v>
      </c>
      <c r="E154" t="n">
        <v>4</v>
      </c>
      <c r="F154" t="n">
        <v>0</v>
      </c>
      <c r="H154" t="n">
        <v>0</v>
      </c>
      <c r="I154" t="n">
        <v>0</v>
      </c>
      <c r="J154" t="n">
        <v>0</v>
      </c>
      <c r="K154" t="n">
        <v>0</v>
      </c>
      <c r="L154" t="n">
        <v>0</v>
      </c>
      <c r="M154" t="n">
        <v>0</v>
      </c>
      <c r="N154" t="n">
        <v>0</v>
      </c>
    </row>
    <row r="155">
      <c r="A155" t="inlineStr">
        <is>
          <t>sales at the audit</t>
        </is>
      </c>
      <c r="B155" t="inlineStr">
        <is>
          <t>and for £6 8 shilling 91 pence from various sales at the audit as made clear elsewhere (ut patet extra).</t>
        </is>
      </c>
      <c r="C155" t="n">
        <v>6.78</v>
      </c>
      <c r="D155" t="n">
        <v>6</v>
      </c>
      <c r="E155" t="n">
        <v>8</v>
      </c>
      <c r="F155" t="n">
        <v>91</v>
      </c>
      <c r="H155" t="n">
        <v>0</v>
      </c>
      <c r="I155" t="n">
        <v>0</v>
      </c>
      <c r="J155" t="n">
        <v>0</v>
      </c>
      <c r="K155" t="n">
        <v>0</v>
      </c>
      <c r="L155" t="n">
        <v>0</v>
      </c>
      <c r="M155" t="n">
        <v>0</v>
      </c>
      <c r="N155" t="n">
        <v>0</v>
      </c>
    </row>
    <row r="156">
      <c r="A156" t="inlineStr">
        <is>
          <t>sales at the audit</t>
        </is>
      </c>
      <c r="B156" t="inlineStr">
        <is>
          <t>total, £6 8 shilling 9.5.d.</t>
        </is>
      </c>
      <c r="C156" t="n">
        <v>6.4</v>
      </c>
      <c r="D156" t="n">
        <v>6</v>
      </c>
      <c r="E156" t="n">
        <v>8</v>
      </c>
      <c r="F156" t="n">
        <v>0</v>
      </c>
      <c r="H156" t="n">
        <v>0</v>
      </c>
      <c r="I156" t="n">
        <v>0</v>
      </c>
      <c r="J156" t="n">
        <v>0</v>
      </c>
      <c r="K156" t="n">
        <v>0</v>
      </c>
      <c r="L156" t="n">
        <v>0</v>
      </c>
      <c r="M156" t="n">
        <v>0</v>
      </c>
      <c r="N156" t="n">
        <v>0</v>
      </c>
    </row>
    <row r="157">
      <c r="A157" t="inlineStr">
        <is>
          <t>total of all receipts with arrears</t>
        </is>
      </c>
      <c r="B157" t="inlineStr">
        <is>
          <t>total of all receipts with arrears, £228 14 shilling 3.25pence.</t>
        </is>
      </c>
      <c r="C157" t="n">
        <v>228.71</v>
      </c>
      <c r="D157" t="n">
        <v>228</v>
      </c>
      <c r="E157" t="n">
        <v>14</v>
      </c>
      <c r="F157" t="n">
        <v>3.25</v>
      </c>
      <c r="H157" t="n">
        <v>0</v>
      </c>
      <c r="I157" t="n">
        <v>0</v>
      </c>
      <c r="J157" t="n">
        <v>0</v>
      </c>
      <c r="K157" t="n">
        <v>0</v>
      </c>
      <c r="L157" t="n">
        <v>0</v>
      </c>
      <c r="M157" t="n">
        <v>0</v>
      </c>
      <c r="N157" t="n">
        <v>0</v>
      </c>
    </row>
    <row r="158">
      <c r="A158" t="inlineStr">
        <is>
          <t>cost of ploughs</t>
        </is>
      </c>
      <c r="B158" t="inlineStr">
        <is>
          <t>in iron and steel bought to maintain the ironwork of 2 ploughs for the year 13 shilling 4pence.</t>
        </is>
      </c>
      <c r="C158" t="n">
        <v>0.67</v>
      </c>
      <c r="D158" t="n">
        <v>0</v>
      </c>
      <c r="E158" t="n">
        <v>13</v>
      </c>
      <c r="F158" t="n">
        <v>4</v>
      </c>
      <c r="H158" t="n">
        <v>0</v>
      </c>
      <c r="I158" t="n">
        <v>0</v>
      </c>
      <c r="J158" t="n">
        <v>0</v>
      </c>
      <c r="K158" t="n">
        <v>0</v>
      </c>
      <c r="L158" t="n">
        <v>0</v>
      </c>
      <c r="M158" t="n">
        <v>0</v>
      </c>
      <c r="N158" t="n">
        <v>0</v>
      </c>
    </row>
    <row r="159">
      <c r="A159" t="inlineStr">
        <is>
          <t>cost of ploughs</t>
        </is>
      </c>
      <c r="B159" t="inlineStr">
        <is>
          <t>stipend of the smith forging the same for the year, who must provide the charcoal according to custom, 5 shilling.</t>
        </is>
      </c>
      <c r="C159" t="n">
        <v>0.25</v>
      </c>
      <c r="D159" t="n">
        <v>0</v>
      </c>
      <c r="E159" t="n">
        <v>5</v>
      </c>
      <c r="F159" t="n">
        <v>0</v>
      </c>
      <c r="H159" t="n">
        <v>0</v>
      </c>
      <c r="I159" t="n">
        <v>0</v>
      </c>
      <c r="J159" t="n">
        <v>0</v>
      </c>
      <c r="K159" t="n">
        <v>0</v>
      </c>
      <c r="L159" t="n">
        <v>0</v>
      </c>
      <c r="M159" t="n">
        <v>0</v>
      </c>
      <c r="N159" t="n">
        <v>0</v>
      </c>
    </row>
    <row r="160">
      <c r="A160" t="inlineStr">
        <is>
          <t>cost of ploughs</t>
        </is>
      </c>
      <c r="B160" t="inlineStr">
        <is>
          <t>2 new ploughshares bought 3 shilling 4pence.</t>
        </is>
      </c>
      <c r="C160" t="n">
        <v>0.17</v>
      </c>
      <c r="D160" t="n">
        <v>0</v>
      </c>
      <c r="E160" t="n">
        <v>3</v>
      </c>
      <c r="F160" t="n">
        <v>4</v>
      </c>
      <c r="H160" t="n">
        <v>0</v>
      </c>
      <c r="I160" t="n">
        <v>0</v>
      </c>
      <c r="J160" t="n">
        <v>0</v>
      </c>
      <c r="K160" t="n">
        <v>0</v>
      </c>
      <c r="L160" t="n">
        <v>0</v>
      </c>
      <c r="M160" t="n">
        <v>0</v>
      </c>
      <c r="N160" t="n">
        <v>0</v>
      </c>
    </row>
    <row r="161">
      <c r="A161" t="inlineStr">
        <is>
          <t>cost of ploughs</t>
        </is>
      </c>
      <c r="B161" t="inlineStr">
        <is>
          <t>2 plough feet bought 1 shilling 8pence.</t>
        </is>
      </c>
      <c r="C161" t="n">
        <v>0.08</v>
      </c>
      <c r="D161" t="n">
        <v>0</v>
      </c>
      <c r="E161" t="n">
        <v>1</v>
      </c>
      <c r="F161" t="n">
        <v>8</v>
      </c>
      <c r="H161" t="n">
        <v>0</v>
      </c>
      <c r="I161" t="n">
        <v>0</v>
      </c>
      <c r="J161" t="n">
        <v>0</v>
      </c>
      <c r="K161" t="n">
        <v>0</v>
      </c>
      <c r="L161" t="n">
        <v>0</v>
      </c>
      <c r="M161" t="n">
        <v>0</v>
      </c>
      <c r="N161" t="n">
        <v>0</v>
      </c>
    </row>
    <row r="162">
      <c r="A162" t="inlineStr">
        <is>
          <t>cost of ploughs</t>
        </is>
      </c>
      <c r="B162" t="inlineStr">
        <is>
          <t>2 ploughs made anew 8pence.</t>
        </is>
      </c>
      <c r="C162" t="n">
        <v>0.03</v>
      </c>
      <c r="D162" t="n">
        <v>0</v>
      </c>
      <c r="E162" t="n">
        <v>0</v>
      </c>
      <c r="F162" t="n">
        <v>8</v>
      </c>
      <c r="H162" t="n">
        <v>0</v>
      </c>
      <c r="I162" t="n">
        <v>0</v>
      </c>
      <c r="J162" t="n">
        <v>0</v>
      </c>
      <c r="K162" t="n">
        <v>0</v>
      </c>
      <c r="L162" t="n">
        <v>0</v>
      </c>
      <c r="M162" t="n">
        <v>0</v>
      </c>
      <c r="N162" t="n">
        <v>0</v>
      </c>
    </row>
    <row r="163">
      <c r="A163" t="inlineStr">
        <is>
          <t>cost of ploughs</t>
        </is>
      </c>
      <c r="B163" t="inlineStr">
        <is>
          <t>2 parts of the plough-harness (tysot') bought 4pence.</t>
        </is>
      </c>
      <c r="C163" t="n">
        <v>0.02</v>
      </c>
      <c r="D163" t="n">
        <v>0</v>
      </c>
      <c r="E163" t="n">
        <v>0</v>
      </c>
      <c r="F163" t="n">
        <v>4</v>
      </c>
      <c r="H163" t="n">
        <v>0</v>
      </c>
      <c r="I163" t="n">
        <v>0</v>
      </c>
      <c r="J163" t="n">
        <v>0</v>
      </c>
      <c r="K163" t="n">
        <v>0</v>
      </c>
      <c r="L163" t="n">
        <v>0</v>
      </c>
      <c r="M163" t="n">
        <v>0</v>
      </c>
      <c r="N163" t="n">
        <v>0</v>
      </c>
    </row>
    <row r="164">
      <c r="A164" t="inlineStr">
        <is>
          <t>cost of ploughs</t>
        </is>
      </c>
      <c r="B164" t="inlineStr">
        <is>
          <t>fitting the ploughs with share-beams and mould-boards for the year 8pence.</t>
        </is>
      </c>
      <c r="C164" t="n">
        <v>0.03</v>
      </c>
      <c r="D164" t="n">
        <v>0</v>
      </c>
      <c r="E164" t="n">
        <v>0</v>
      </c>
      <c r="F164" t="n">
        <v>8</v>
      </c>
      <c r="H164" t="n">
        <v>0</v>
      </c>
      <c r="I164" t="n">
        <v>0</v>
      </c>
      <c r="J164" t="n">
        <v>0</v>
      </c>
      <c r="K164" t="n">
        <v>0</v>
      </c>
      <c r="L164" t="n">
        <v>0</v>
      </c>
      <c r="M164" t="n">
        <v>0</v>
      </c>
      <c r="N164" t="n">
        <v>0</v>
      </c>
    </row>
    <row r="165">
      <c r="A165" t="inlineStr">
        <is>
          <t>cost of ploughs</t>
        </is>
      </c>
      <c r="B165" t="inlineStr">
        <is>
          <t>8 yokes made 8pence.</t>
        </is>
      </c>
      <c r="C165" t="n">
        <v>0.03</v>
      </c>
      <c r="D165" t="n">
        <v>0</v>
      </c>
      <c r="E165" t="n">
        <v>0</v>
      </c>
      <c r="F165" t="n">
        <v>8</v>
      </c>
      <c r="H165" t="n">
        <v>0</v>
      </c>
      <c r="I165" t="n">
        <v>0</v>
      </c>
      <c r="J165" t="n">
        <v>0</v>
      </c>
      <c r="K165" t="n">
        <v>0</v>
      </c>
      <c r="L165" t="n">
        <v>0</v>
      </c>
      <c r="M165" t="n">
        <v>0</v>
      </c>
      <c r="N165" t="n">
        <v>0</v>
      </c>
    </row>
    <row r="166">
      <c r="A166" t="inlineStr">
        <is>
          <t>cost of ploughs</t>
        </is>
      </c>
      <c r="B166" t="inlineStr">
        <is>
          <t>8 wooden halters made 6pence.</t>
        </is>
      </c>
      <c r="C166" t="n">
        <v>0.03</v>
      </c>
      <c r="D166" t="n">
        <v>0</v>
      </c>
      <c r="E166" t="n">
        <v>0</v>
      </c>
      <c r="F166" t="n">
        <v>6</v>
      </c>
      <c r="H166" t="n">
        <v>0</v>
      </c>
      <c r="I166" t="n">
        <v>0</v>
      </c>
      <c r="J166" t="n">
        <v>0</v>
      </c>
      <c r="K166" t="n">
        <v>0</v>
      </c>
      <c r="L166" t="n">
        <v>0</v>
      </c>
      <c r="M166" t="n">
        <v>0</v>
      </c>
      <c r="N166" t="n">
        <v>0</v>
      </c>
    </row>
    <row r="167">
      <c r="A167" t="inlineStr">
        <is>
          <t>cost of ploughs</t>
        </is>
      </c>
      <c r="B167" t="inlineStr">
        <is>
          <t>remaking 12 old broken metal plates with iron bought for the same 1 shilling 6pence.</t>
        </is>
      </c>
      <c r="C167" t="n">
        <v>0.08</v>
      </c>
      <c r="D167" t="n">
        <v>0</v>
      </c>
      <c r="E167" t="n">
        <v>1</v>
      </c>
      <c r="F167" t="n">
        <v>6</v>
      </c>
      <c r="H167" t="n">
        <v>0</v>
      </c>
      <c r="I167" t="n">
        <v>0</v>
      </c>
      <c r="J167" t="n">
        <v>0</v>
      </c>
      <c r="K167" t="n">
        <v>0</v>
      </c>
      <c r="L167" t="n">
        <v>0</v>
      </c>
      <c r="M167" t="n">
        <v>0</v>
      </c>
      <c r="N167" t="n">
        <v>0</v>
      </c>
    </row>
    <row r="168">
      <c r="A168" t="inlineStr">
        <is>
          <t>cost of ploughs</t>
        </is>
      </c>
      <c r="B168" t="inlineStr">
        <is>
          <t>3 parts of the plough-harness (fothistr') bought 6pence.</t>
        </is>
      </c>
      <c r="C168" t="n">
        <v>0.03</v>
      </c>
      <c r="D168" t="n">
        <v>0</v>
      </c>
      <c r="E168" t="n">
        <v>0</v>
      </c>
      <c r="F168" t="n">
        <v>6</v>
      </c>
      <c r="H168" t="n">
        <v>0</v>
      </c>
      <c r="I168" t="n">
        <v>0</v>
      </c>
      <c r="J168" t="n">
        <v>0</v>
      </c>
      <c r="K168" t="n">
        <v>0</v>
      </c>
      <c r="L168" t="n">
        <v>0</v>
      </c>
      <c r="M168" t="n">
        <v>0</v>
      </c>
      <c r="N168" t="n">
        <v>0</v>
      </c>
    </row>
    <row r="169">
      <c r="A169" t="inlineStr">
        <is>
          <t>cost of ploughs</t>
        </is>
      </c>
      <c r="B169" t="inlineStr">
        <is>
          <t>remaking broken iron bolts, rings and crooks with iron bought for the same 1 shilling 6pence.</t>
        </is>
      </c>
      <c r="C169" t="n">
        <v>0.08</v>
      </c>
      <c r="D169" t="n">
        <v>0</v>
      </c>
      <c r="E169" t="n">
        <v>1</v>
      </c>
      <c r="F169" t="n">
        <v>6</v>
      </c>
      <c r="H169" t="n">
        <v>0</v>
      </c>
      <c r="I169" t="n">
        <v>0</v>
      </c>
      <c r="J169" t="n">
        <v>0</v>
      </c>
      <c r="K169" t="n">
        <v>0</v>
      </c>
      <c r="L169" t="n">
        <v>0</v>
      </c>
      <c r="M169" t="n">
        <v>0</v>
      </c>
      <c r="N169" t="n">
        <v>0</v>
      </c>
    </row>
    <row r="170">
      <c r="A170" t="inlineStr">
        <is>
          <t>cost of ploughs</t>
        </is>
      </c>
      <c r="B170" t="inlineStr">
        <is>
          <t>reinforcing and lengthening the iron teeth of 2 harrows with iron bought for the same 8pence.</t>
        </is>
      </c>
      <c r="C170" t="n">
        <v>0.03</v>
      </c>
      <c r="D170" t="n">
        <v>0</v>
      </c>
      <c r="E170" t="n">
        <v>0</v>
      </c>
      <c r="F170" t="n">
        <v>8</v>
      </c>
      <c r="H170" t="n">
        <v>0</v>
      </c>
      <c r="I170" t="n">
        <v>0</v>
      </c>
      <c r="J170" t="n">
        <v>0</v>
      </c>
      <c r="K170" t="n">
        <v>0</v>
      </c>
      <c r="L170" t="n">
        <v>0</v>
      </c>
      <c r="M170" t="n">
        <v>0</v>
      </c>
      <c r="N170" t="n">
        <v>0</v>
      </c>
    </row>
    <row r="171">
      <c r="A171" t="inlineStr">
        <is>
          <t>cost of ploughs</t>
        </is>
      </c>
      <c r="B171" t="inlineStr">
        <is>
          <t>shoeing the front feet of 18 oxen, of which the hind feet of 4 were shod at the same time, 5 shilling 4pence, at 1.5pence a foot.</t>
        </is>
      </c>
      <c r="C171" t="n">
        <v>0.27</v>
      </c>
      <c r="D171" t="n">
        <v>0</v>
      </c>
      <c r="E171" t="n">
        <v>5</v>
      </c>
      <c r="F171" t="n">
        <v>4</v>
      </c>
      <c r="H171" t="n">
        <v>0</v>
      </c>
      <c r="I171" t="n">
        <v>0</v>
      </c>
      <c r="J171" t="n">
        <v>0</v>
      </c>
      <c r="K171" t="n">
        <v>0</v>
      </c>
      <c r="L171" t="n">
        <v>0</v>
      </c>
      <c r="M171" t="n">
        <v>0</v>
      </c>
      <c r="N171" t="n">
        <v>0</v>
      </c>
    </row>
    <row r="172">
      <c r="A172" t="inlineStr">
        <is>
          <t>cost of ploughs</t>
        </is>
      </c>
      <c r="B172" t="inlineStr">
        <is>
          <t>16 customary tenants having 16 ploughs ploughing and harrowing for 2 days at the winter sowing and 2 days at the lenten sowing 5 shilling 4pence, at .5pence a plough and .5pence a harrow.</t>
        </is>
      </c>
      <c r="C172" t="n">
        <v>0.27</v>
      </c>
      <c r="D172" t="n">
        <v>0</v>
      </c>
      <c r="E172" t="n">
        <v>5</v>
      </c>
      <c r="F172" t="n">
        <v>4</v>
      </c>
      <c r="H172" t="n">
        <v>0</v>
      </c>
      <c r="I172" t="n">
        <v>0</v>
      </c>
      <c r="J172" t="n">
        <v>0</v>
      </c>
      <c r="K172" t="n">
        <v>0</v>
      </c>
      <c r="L172" t="n">
        <v>0</v>
      </c>
      <c r="M172" t="n">
        <v>0</v>
      </c>
      <c r="N172" t="n">
        <v>0</v>
      </c>
    </row>
    <row r="173">
      <c r="A173" t="inlineStr">
        <is>
          <t>cost of ploughs</t>
        </is>
      </c>
      <c r="B173" t="inlineStr">
        <is>
          <t>food for 1 beadle and 1 smith at christmas and easter according to custom 4pence.</t>
        </is>
      </c>
      <c r="C173" t="n">
        <v>0.02</v>
      </c>
      <c r="D173" t="n">
        <v>0</v>
      </c>
      <c r="E173" t="n">
        <v>0</v>
      </c>
      <c r="F173" t="n">
        <v>4</v>
      </c>
      <c r="H173" t="n">
        <v>0</v>
      </c>
      <c r="I173" t="n">
        <v>0</v>
      </c>
      <c r="J173" t="n">
        <v>0</v>
      </c>
      <c r="K173" t="n">
        <v>0</v>
      </c>
      <c r="L173" t="n">
        <v>0</v>
      </c>
      <c r="M173" t="n">
        <v>0</v>
      </c>
      <c r="N173" t="n">
        <v>0</v>
      </c>
    </row>
    <row r="174">
      <c r="A174" t="inlineStr">
        <is>
          <t>cost of ploughs</t>
        </is>
      </c>
      <c r="B174" t="inlineStr">
        <is>
          <t>food for 25 workers, of whom 2 ploughmen worked in full, 2 shilling 1pence.</t>
        </is>
      </c>
      <c r="C174" t="n">
        <v>0.1</v>
      </c>
      <c r="D174" t="n">
        <v>0</v>
      </c>
      <c r="E174" t="n">
        <v>2</v>
      </c>
      <c r="F174" t="n">
        <v>1</v>
      </c>
      <c r="H174" t="n">
        <v>0</v>
      </c>
      <c r="I174" t="n">
        <v>0</v>
      </c>
      <c r="J174" t="n">
        <v>0</v>
      </c>
      <c r="K174" t="n">
        <v>0</v>
      </c>
      <c r="L174" t="n">
        <v>0</v>
      </c>
      <c r="M174" t="n">
        <v>0</v>
      </c>
      <c r="N174" t="n">
        <v>0</v>
      </c>
    </row>
    <row r="175">
      <c r="A175" t="inlineStr">
        <is>
          <t>cost of ploughs</t>
        </is>
      </c>
      <c r="B175" t="inlineStr">
        <is>
          <t>stipend of 2 drovers for the year 5 shilling.</t>
        </is>
      </c>
      <c r="C175" t="n">
        <v>0.25</v>
      </c>
      <c r="D175" t="n">
        <v>0</v>
      </c>
      <c r="E175" t="n">
        <v>5</v>
      </c>
      <c r="F175" t="n">
        <v>0</v>
      </c>
      <c r="H175" t="n">
        <v>0</v>
      </c>
      <c r="I175" t="n">
        <v>0</v>
      </c>
      <c r="J175" t="n">
        <v>0</v>
      </c>
      <c r="K175" t="n">
        <v>0</v>
      </c>
      <c r="L175" t="n">
        <v>0</v>
      </c>
      <c r="M175" t="n">
        <v>0</v>
      </c>
      <c r="N175" t="n">
        <v>0</v>
      </c>
    </row>
    <row r="176">
      <c r="A176" t="inlineStr">
        <is>
          <t>cost of ploughs</t>
        </is>
      </c>
      <c r="B176" t="inlineStr">
        <is>
          <t>total, £2 8 shilling 5pence.</t>
        </is>
      </c>
      <c r="C176" t="n">
        <v>2.42</v>
      </c>
      <c r="D176" t="n">
        <v>2</v>
      </c>
      <c r="E176" t="n">
        <v>8</v>
      </c>
      <c r="F176" t="n">
        <v>5</v>
      </c>
      <c r="H176" t="n">
        <v>0</v>
      </c>
      <c r="I176" t="n">
        <v>0</v>
      </c>
      <c r="J176" t="n">
        <v>0</v>
      </c>
      <c r="K176" t="n">
        <v>0</v>
      </c>
      <c r="L176" t="n">
        <v>0</v>
      </c>
      <c r="M176" t="n">
        <v>0</v>
      </c>
      <c r="N176" t="n">
        <v>0</v>
      </c>
    </row>
    <row r="177">
      <c r="A177" t="inlineStr">
        <is>
          <t>cost of carts</t>
        </is>
      </c>
      <c r="B177" t="inlineStr">
        <is>
          <t>in fitting the cart with axles at various times 8pence.</t>
        </is>
      </c>
      <c r="C177" t="n">
        <v>0.03</v>
      </c>
      <c r="D177" t="n">
        <v>0</v>
      </c>
      <c r="E177" t="n">
        <v>0</v>
      </c>
      <c r="F177" t="n">
        <v>8</v>
      </c>
      <c r="H177" t="n">
        <v>0</v>
      </c>
      <c r="I177" t="n">
        <v>0</v>
      </c>
      <c r="J177" t="n">
        <v>0</v>
      </c>
      <c r="K177" t="n">
        <v>0</v>
      </c>
      <c r="L177" t="n">
        <v>0</v>
      </c>
      <c r="M177" t="n">
        <v>0</v>
      </c>
      <c r="N177" t="n">
        <v>0</v>
      </c>
    </row>
    <row r="178">
      <c r="A178" t="inlineStr">
        <is>
          <t>cost of carts</t>
        </is>
      </c>
      <c r="B178" t="inlineStr">
        <is>
          <t>12 tacks with nails bought for the same 3 shilling 8pence, and this much by reason of the carriage of the new weir.</t>
        </is>
      </c>
      <c r="C178" t="n">
        <v>0.18</v>
      </c>
      <c r="D178" t="n">
        <v>0</v>
      </c>
      <c r="E178" t="n">
        <v>3</v>
      </c>
      <c r="F178" t="n">
        <v>8</v>
      </c>
      <c r="H178" t="n">
        <v>0</v>
      </c>
      <c r="I178" t="n">
        <v>0</v>
      </c>
      <c r="J178" t="n">
        <v>0</v>
      </c>
      <c r="K178" t="n">
        <v>0</v>
      </c>
      <c r="L178" t="n">
        <v>0</v>
      </c>
      <c r="M178" t="n">
        <v>0</v>
      </c>
      <c r="N178" t="n">
        <v>0</v>
      </c>
    </row>
    <row r="179">
      <c r="A179" t="inlineStr">
        <is>
          <t>cost of carts</t>
        </is>
      </c>
      <c r="B179" t="inlineStr">
        <is>
          <t>2 collars 1 shilling 4pence.</t>
        </is>
      </c>
      <c r="C179" t="n">
        <v>0.07000000000000001</v>
      </c>
      <c r="D179" t="n">
        <v>0</v>
      </c>
      <c r="E179" t="n">
        <v>1</v>
      </c>
      <c r="F179" t="n">
        <v>4</v>
      </c>
      <c r="H179" t="n">
        <v>0</v>
      </c>
      <c r="I179" t="n">
        <v>0</v>
      </c>
      <c r="J179" t="n">
        <v>0</v>
      </c>
      <c r="K179" t="n">
        <v>0</v>
      </c>
      <c r="L179" t="n">
        <v>0</v>
      </c>
      <c r="M179" t="n">
        <v>0</v>
      </c>
      <c r="N179" t="n">
        <v>0</v>
      </c>
    </row>
    <row r="180">
      <c r="A180" t="inlineStr">
        <is>
          <t>cost of carts</t>
        </is>
      </c>
      <c r="B180" t="inlineStr">
        <is>
          <t>2 pairs of traces bought 1 shilling 4pence.</t>
        </is>
      </c>
      <c r="C180" t="n">
        <v>0.07000000000000001</v>
      </c>
      <c r="D180" t="n">
        <v>0</v>
      </c>
      <c r="E180" t="n">
        <v>1</v>
      </c>
      <c r="F180" t="n">
        <v>4</v>
      </c>
      <c r="H180" t="n">
        <v>0</v>
      </c>
      <c r="I180" t="n">
        <v>0</v>
      </c>
      <c r="J180" t="n">
        <v>0</v>
      </c>
      <c r="K180" t="n">
        <v>0</v>
      </c>
      <c r="L180" t="n">
        <v>0</v>
      </c>
      <c r="M180" t="n">
        <v>0</v>
      </c>
      <c r="N180" t="n">
        <v>0</v>
      </c>
    </row>
    <row r="181">
      <c r="A181" t="inlineStr">
        <is>
          <t>cost of carts</t>
        </is>
      </c>
      <c r="B181" t="inlineStr">
        <is>
          <t>white leather bought to mend harnesses 10pence.</t>
        </is>
      </c>
      <c r="C181" t="n">
        <v>0.04</v>
      </c>
      <c r="D181" t="n">
        <v>0</v>
      </c>
      <c r="E181" t="n">
        <v>0</v>
      </c>
      <c r="F181" t="n">
        <v>10</v>
      </c>
      <c r="H181" t="n">
        <v>0</v>
      </c>
      <c r="I181" t="n">
        <v>0</v>
      </c>
      <c r="J181" t="n">
        <v>0</v>
      </c>
      <c r="K181" t="n">
        <v>0</v>
      </c>
      <c r="L181" t="n">
        <v>0</v>
      </c>
      <c r="M181" t="n">
        <v>0</v>
      </c>
      <c r="N181" t="n">
        <v>0</v>
      </c>
    </row>
    <row r="182">
      <c r="A182" t="inlineStr">
        <is>
          <t>cost of carts</t>
        </is>
      </c>
      <c r="B182" t="inlineStr">
        <is>
          <t>1 cart-rope bought 1 shilling 4pence.</t>
        </is>
      </c>
      <c r="C182" t="n">
        <v>0.07000000000000001</v>
      </c>
      <c r="D182" t="n">
        <v>0</v>
      </c>
      <c r="E182" t="n">
        <v>1</v>
      </c>
      <c r="F182" t="n">
        <v>4</v>
      </c>
      <c r="H182" t="n">
        <v>0</v>
      </c>
      <c r="I182" t="n">
        <v>0</v>
      </c>
      <c r="J182" t="n">
        <v>0</v>
      </c>
      <c r="K182" t="n">
        <v>0</v>
      </c>
      <c r="L182" t="n">
        <v>0</v>
      </c>
      <c r="M182" t="n">
        <v>0</v>
      </c>
      <c r="N182" t="n">
        <v>0</v>
      </c>
    </row>
    <row r="183">
      <c r="A183" t="inlineStr">
        <is>
          <t>cost of carts</t>
        </is>
      </c>
      <c r="B183" t="inlineStr">
        <is>
          <t>grease bought to grease the cart 6pence.</t>
        </is>
      </c>
      <c r="C183" t="n">
        <v>0.03</v>
      </c>
      <c r="D183" t="n">
        <v>0</v>
      </c>
      <c r="E183" t="n">
        <v>0</v>
      </c>
      <c r="F183" t="n">
        <v>6</v>
      </c>
      <c r="H183" t="n">
        <v>0</v>
      </c>
      <c r="I183" t="n">
        <v>0</v>
      </c>
      <c r="J183" t="n">
        <v>0</v>
      </c>
      <c r="K183" t="n">
        <v>0</v>
      </c>
      <c r="L183" t="n">
        <v>0</v>
      </c>
      <c r="M183" t="n">
        <v>0</v>
      </c>
      <c r="N183" t="n">
        <v>0</v>
      </c>
    </row>
    <row r="184">
      <c r="A184" t="inlineStr">
        <is>
          <t>cost of carts</t>
        </is>
      </c>
      <c r="B184" t="inlineStr">
        <is>
          <t>3 halters bought 3pence.</t>
        </is>
      </c>
      <c r="C184" t="n">
        <v>0.01</v>
      </c>
      <c r="D184" t="n">
        <v>0</v>
      </c>
      <c r="E184" t="n">
        <v>0</v>
      </c>
      <c r="F184" t="n">
        <v>3</v>
      </c>
      <c r="H184" t="n">
        <v>0</v>
      </c>
      <c r="I184" t="n">
        <v>0</v>
      </c>
      <c r="J184" t="n">
        <v>0</v>
      </c>
      <c r="K184" t="n">
        <v>0</v>
      </c>
      <c r="L184" t="n">
        <v>0</v>
      </c>
      <c r="M184" t="n">
        <v>0</v>
      </c>
      <c r="N184" t="n">
        <v>0</v>
      </c>
    </row>
    <row r="185">
      <c r="A185" t="inlineStr">
        <is>
          <t>cost of carts</t>
        </is>
      </c>
      <c r="B185" t="inlineStr">
        <is>
          <t>1 pair of cart-wheels (bridde3) 6 shilling 9pence.</t>
        </is>
      </c>
      <c r="C185" t="n">
        <v>0.34</v>
      </c>
      <c r="D185" t="n">
        <v>0</v>
      </c>
      <c r="E185" t="n">
        <v>6</v>
      </c>
      <c r="F185" t="n">
        <v>9</v>
      </c>
      <c r="H185" t="n">
        <v>0</v>
      </c>
      <c r="I185" t="n">
        <v>0</v>
      </c>
      <c r="J185" t="n">
        <v>0</v>
      </c>
      <c r="K185" t="n">
        <v>0</v>
      </c>
      <c r="L185" t="n">
        <v>0</v>
      </c>
      <c r="M185" t="n">
        <v>0</v>
      </c>
      <c r="N185" t="n">
        <v>0</v>
      </c>
    </row>
    <row r="186">
      <c r="A186" t="inlineStr">
        <is>
          <t>cost of carts</t>
        </is>
      </c>
      <c r="B186" t="inlineStr">
        <is>
          <t>remaking old broken strakes, clamps and dowels with iron bought for the same, to hoop the said cart-wheels, 14 shilling.</t>
        </is>
      </c>
      <c r="C186" t="n">
        <v>0.7</v>
      </c>
      <c r="D186" t="n">
        <v>0</v>
      </c>
      <c r="E186" t="n">
        <v>14</v>
      </c>
      <c r="F186" t="n">
        <v>0</v>
      </c>
      <c r="H186" t="n">
        <v>0</v>
      </c>
      <c r="I186" t="n">
        <v>0</v>
      </c>
      <c r="J186" t="n">
        <v>0</v>
      </c>
      <c r="K186" t="n">
        <v>0</v>
      </c>
      <c r="L186" t="n">
        <v>0</v>
      </c>
      <c r="M186" t="n">
        <v>0</v>
      </c>
      <c r="N186" t="n">
        <v>0</v>
      </c>
    </row>
    <row r="187">
      <c r="A187" t="inlineStr">
        <is>
          <t>cost of carts</t>
        </is>
      </c>
      <c r="B187" t="inlineStr">
        <is>
          <t>2 iron rungs (ronges) and 2 linch-pins bought anew 1 shilling 3pence.</t>
        </is>
      </c>
      <c r="C187" t="n">
        <v>0.06</v>
      </c>
      <c r="D187" t="n">
        <v>0</v>
      </c>
      <c r="E187" t="n">
        <v>1</v>
      </c>
      <c r="F187" t="n">
        <v>3</v>
      </c>
      <c r="H187" t="n">
        <v>0</v>
      </c>
      <c r="I187" t="n">
        <v>0</v>
      </c>
      <c r="J187" t="n">
        <v>0</v>
      </c>
      <c r="K187" t="n">
        <v>0</v>
      </c>
      <c r="L187" t="n">
        <v>0</v>
      </c>
      <c r="M187" t="n">
        <v>0</v>
      </c>
      <c r="N187" t="n">
        <v>0</v>
      </c>
    </row>
    <row r="188">
      <c r="A188" t="inlineStr">
        <is>
          <t>cost of carts</t>
        </is>
      </c>
      <c r="B188" t="inlineStr">
        <is>
          <t>shoeing 3 plough-horses for the year 6 shilling.</t>
        </is>
      </c>
      <c r="C188" t="n">
        <v>0.3</v>
      </c>
      <c r="D188" t="n">
        <v>0</v>
      </c>
      <c r="E188" t="n">
        <v>6</v>
      </c>
      <c r="F188" t="n">
        <v>0</v>
      </c>
      <c r="H188" t="n">
        <v>0</v>
      </c>
      <c r="I188" t="n">
        <v>0</v>
      </c>
      <c r="J188" t="n">
        <v>0</v>
      </c>
      <c r="K188" t="n">
        <v>0</v>
      </c>
      <c r="L188" t="n">
        <v>0</v>
      </c>
      <c r="M188" t="n">
        <v>0</v>
      </c>
      <c r="N188" t="n">
        <v>0</v>
      </c>
    </row>
    <row r="189">
      <c r="A189" t="inlineStr">
        <is>
          <t>cost of carts</t>
        </is>
      </c>
      <c r="B189" t="inlineStr">
        <is>
          <t>stipend of 1 carter for the year 3 shilling.</t>
        </is>
      </c>
      <c r="C189" t="n">
        <v>0.15</v>
      </c>
      <c r="D189" t="n">
        <v>0</v>
      </c>
      <c r="E189" t="n">
        <v>3</v>
      </c>
      <c r="F189" t="n">
        <v>0</v>
      </c>
      <c r="H189" t="n">
        <v>0</v>
      </c>
      <c r="I189" t="n">
        <v>0</v>
      </c>
      <c r="J189" t="n">
        <v>0</v>
      </c>
      <c r="K189" t="n">
        <v>0</v>
      </c>
      <c r="L189" t="n">
        <v>0</v>
      </c>
      <c r="M189" t="n">
        <v>0</v>
      </c>
      <c r="N189" t="n">
        <v>0</v>
      </c>
    </row>
    <row r="190">
      <c r="A190" t="inlineStr">
        <is>
          <t>cost of carts</t>
        </is>
      </c>
      <c r="B190" t="inlineStr">
        <is>
          <t>total, £2 11pence.</t>
        </is>
      </c>
      <c r="C190" t="n">
        <v>2.05</v>
      </c>
      <c r="D190" t="n">
        <v>2</v>
      </c>
      <c r="E190" t="n">
        <v>0</v>
      </c>
      <c r="F190" t="n">
        <v>11</v>
      </c>
      <c r="H190" t="n">
        <v>0</v>
      </c>
      <c r="I190" t="n">
        <v>0</v>
      </c>
      <c r="J190" t="n">
        <v>0</v>
      </c>
      <c r="K190" t="n">
        <v>0</v>
      </c>
      <c r="L190" t="n">
        <v>0</v>
      </c>
      <c r="M190" t="n">
        <v>0</v>
      </c>
      <c r="N190" t="n">
        <v>0</v>
      </c>
    </row>
    <row r="191">
      <c r="A191" t="inlineStr">
        <is>
          <t>purchase of corn and stock</t>
        </is>
      </c>
      <c r="B191" t="inlineStr">
        <is>
          <t>in 9quarters 5 bushels 3 pecks of rye bought £4 17 shilling 2.25pence, at 10s a quarters.</t>
        </is>
      </c>
      <c r="C191" t="n">
        <v>4.86</v>
      </c>
      <c r="D191" t="n">
        <v>4</v>
      </c>
      <c r="E191" t="n">
        <v>17</v>
      </c>
      <c r="F191" t="n">
        <v>2.25</v>
      </c>
      <c r="G191" t="inlineStr">
        <is>
          <t>rye</t>
        </is>
      </c>
      <c r="H191" t="n">
        <v>9</v>
      </c>
      <c r="I191" t="n">
        <v>5</v>
      </c>
      <c r="J191" t="n">
        <v>9.619999999999999</v>
      </c>
      <c r="K191" t="n">
        <v>9.619999999999999</v>
      </c>
      <c r="L191" t="n">
        <v>0</v>
      </c>
      <c r="M191" t="n">
        <v>9</v>
      </c>
      <c r="N191" t="n">
        <v>5</v>
      </c>
    </row>
    <row r="192">
      <c r="A192" t="inlineStr">
        <is>
          <t>purchase of corn and stock</t>
        </is>
      </c>
      <c r="B192" t="inlineStr">
        <is>
          <t>5 quarters. 3 bushels 3 pecks of peas bought £1 9 shilling 2pence at 5 shilling 4pence a quarters.</t>
        </is>
      </c>
      <c r="C192" t="n">
        <v>1.46</v>
      </c>
      <c r="D192" t="n">
        <v>1</v>
      </c>
      <c r="E192" t="n">
        <v>9</v>
      </c>
      <c r="F192" t="n">
        <v>2</v>
      </c>
      <c r="G192" t="inlineStr">
        <is>
          <t>peas</t>
        </is>
      </c>
      <c r="H192" t="n">
        <v>5</v>
      </c>
      <c r="I192" t="n">
        <v>3</v>
      </c>
      <c r="J192" t="n">
        <v>5.38</v>
      </c>
      <c r="K192" t="n">
        <v>5</v>
      </c>
      <c r="L192" t="n">
        <v>0.38</v>
      </c>
      <c r="M192" t="n">
        <v>5</v>
      </c>
      <c r="N192" t="n">
        <v>0</v>
      </c>
      <c r="O192" t="n">
        <v>0</v>
      </c>
      <c r="P192" t="n">
        <v>3</v>
      </c>
      <c r="Q192" t="n">
        <v>5</v>
      </c>
      <c r="R192" t="n">
        <v>4</v>
      </c>
    </row>
    <row r="193">
      <c r="A193" t="inlineStr">
        <is>
          <t>purchase of corn and stock</t>
        </is>
      </c>
      <c r="B193" t="inlineStr">
        <is>
          <t>2 plough-horses bought £1 12 shilling, at 16 shilling each.</t>
        </is>
      </c>
      <c r="C193" t="n">
        <v>1.6</v>
      </c>
      <c r="D193" t="n">
        <v>1</v>
      </c>
      <c r="E193" t="n">
        <v>12</v>
      </c>
      <c r="F193" t="n">
        <v>0</v>
      </c>
      <c r="H193" t="n">
        <v>0</v>
      </c>
      <c r="I193" t="n">
        <v>0</v>
      </c>
      <c r="J193" t="n">
        <v>0</v>
      </c>
      <c r="K193" t="n">
        <v>0</v>
      </c>
      <c r="L193" t="n">
        <v>0</v>
      </c>
      <c r="M193" t="n">
        <v>0</v>
      </c>
      <c r="N193" t="n">
        <v>0</v>
      </c>
    </row>
    <row r="194">
      <c r="A194" t="inlineStr">
        <is>
          <t>purchase of corn and stock</t>
        </is>
      </c>
      <c r="B194" t="inlineStr">
        <is>
          <t>6 oxen bought £5 17 shilling 4pence, at £1 each for 4, and 18 shilling 8pence each for 2..</t>
        </is>
      </c>
      <c r="C194" t="n">
        <v>5.87</v>
      </c>
      <c r="D194" t="n">
        <v>5</v>
      </c>
      <c r="E194" t="n">
        <v>17</v>
      </c>
      <c r="F194" t="n">
        <v>4</v>
      </c>
      <c r="H194" t="n">
        <v>0</v>
      </c>
      <c r="I194" t="n">
        <v>0</v>
      </c>
      <c r="J194" t="n">
        <v>0</v>
      </c>
      <c r="K194" t="n">
        <v>0</v>
      </c>
      <c r="L194" t="n">
        <v>0</v>
      </c>
      <c r="M194" t="n">
        <v>0</v>
      </c>
      <c r="N194" t="n">
        <v>0</v>
      </c>
    </row>
    <row r="195">
      <c r="A195" t="inlineStr">
        <is>
          <t>purchase of corn and stock</t>
        </is>
      </c>
      <c r="B195" t="inlineStr">
        <is>
          <t>total, £13 15 shilling 8.25pence.</t>
        </is>
      </c>
      <c r="C195" t="n">
        <v>13.78</v>
      </c>
      <c r="D195" t="n">
        <v>13</v>
      </c>
      <c r="E195" t="n">
        <v>15</v>
      </c>
      <c r="F195" t="n">
        <v>8.25</v>
      </c>
      <c r="H195" t="n">
        <v>0</v>
      </c>
      <c r="I195" t="n">
        <v>0</v>
      </c>
      <c r="J195" t="n">
        <v>0</v>
      </c>
      <c r="K195" t="n">
        <v>0</v>
      </c>
      <c r="L195" t="n">
        <v>0</v>
      </c>
      <c r="M195" t="n">
        <v>0</v>
      </c>
      <c r="N195" t="n">
        <v>0</v>
      </c>
    </row>
    <row r="196">
      <c r="A196" t="inlineStr">
        <is>
          <t>cost of buildings and necessaries</t>
        </is>
      </c>
      <c r="B196" t="inlineStr">
        <is>
          <t>in hiring 1 carpenter to make anew 1 gate within the barton of holway by piece-work by fixed agreement made with him 3 shilling.</t>
        </is>
      </c>
      <c r="C196" t="n">
        <v>0.15</v>
      </c>
      <c r="D196" t="n">
        <v>0</v>
      </c>
      <c r="E196" t="n">
        <v>3</v>
      </c>
      <c r="F196" t="n">
        <v>0</v>
      </c>
      <c r="H196" t="n">
        <v>0</v>
      </c>
      <c r="I196" t="n">
        <v>0</v>
      </c>
      <c r="J196" t="n">
        <v>0</v>
      </c>
      <c r="K196" t="n">
        <v>0</v>
      </c>
      <c r="L196" t="n">
        <v>0</v>
      </c>
      <c r="M196" t="n">
        <v>0</v>
      </c>
      <c r="N196" t="n">
        <v>0</v>
      </c>
    </row>
    <row r="197">
      <c r="A197" t="inlineStr">
        <is>
          <t>cost of buildings and necessaries</t>
        </is>
      </c>
      <c r="B197" t="inlineStr">
        <is>
          <t>iron staples and hooks and nails bought for the same 2 shilling 2pence.</t>
        </is>
      </c>
      <c r="C197" t="n">
        <v>0.11</v>
      </c>
      <c r="D197" t="n">
        <v>0</v>
      </c>
      <c r="E197" t="n">
        <v>2</v>
      </c>
      <c r="F197" t="n">
        <v>2</v>
      </c>
      <c r="H197" t="n">
        <v>0</v>
      </c>
      <c r="I197" t="n">
        <v>0</v>
      </c>
      <c r="J197" t="n">
        <v>0</v>
      </c>
      <c r="K197" t="n">
        <v>0</v>
      </c>
      <c r="L197" t="n">
        <v>0</v>
      </c>
      <c r="M197" t="n">
        <v>0</v>
      </c>
      <c r="N197" t="n">
        <v>0</v>
      </c>
    </row>
    <row r="198">
      <c r="A198" t="inlineStr">
        <is>
          <t>cost of buildings and necessaries</t>
        </is>
      </c>
      <c r="B198" t="inlineStr">
        <is>
          <t>mending 1 gate at rodmore 6pence.</t>
        </is>
      </c>
      <c r="C198" t="n">
        <v>0.03</v>
      </c>
      <c r="D198" t="n">
        <v>0</v>
      </c>
      <c r="E198" t="n">
        <v>0</v>
      </c>
      <c r="F198" t="n">
        <v>6</v>
      </c>
      <c r="H198" t="n">
        <v>0</v>
      </c>
      <c r="I198" t="n">
        <v>0</v>
      </c>
      <c r="J198" t="n">
        <v>0</v>
      </c>
      <c r="K198" t="n">
        <v>0</v>
      </c>
      <c r="L198" t="n">
        <v>0</v>
      </c>
      <c r="M198" t="n">
        <v>0</v>
      </c>
      <c r="N198" t="n">
        <v>0</v>
      </c>
    </row>
    <row r="199">
      <c r="A199" t="inlineStr">
        <is>
          <t>cost of buildings and necessaries</t>
        </is>
      </c>
      <c r="B199" t="inlineStr">
        <is>
          <t>1 sack bought for seed 1 shilling.</t>
        </is>
      </c>
      <c r="C199" t="n">
        <v>0.05</v>
      </c>
      <c r="D199" t="n">
        <v>0</v>
      </c>
      <c r="E199" t="n">
        <v>1</v>
      </c>
      <c r="F199" t="n">
        <v>0</v>
      </c>
      <c r="H199" t="n">
        <v>0</v>
      </c>
      <c r="I199" t="n">
        <v>0</v>
      </c>
      <c r="J199" t="n">
        <v>0</v>
      </c>
      <c r="K199" t="n">
        <v>0</v>
      </c>
      <c r="L199" t="n">
        <v>0</v>
      </c>
      <c r="M199" t="n">
        <v>0</v>
      </c>
      <c r="N199" t="n">
        <v>0</v>
      </c>
    </row>
    <row r="200">
      <c r="A200" t="inlineStr">
        <is>
          <t>cost of buildings and necessaries</t>
        </is>
      </c>
      <c r="B200" t="inlineStr">
        <is>
          <t>1 seed-basket bought 4pence.</t>
        </is>
      </c>
      <c r="C200" t="n">
        <v>0.02</v>
      </c>
      <c r="D200" t="n">
        <v>0</v>
      </c>
      <c r="E200" t="n">
        <v>0</v>
      </c>
      <c r="F200" t="n">
        <v>4</v>
      </c>
      <c r="H200" t="n">
        <v>0</v>
      </c>
      <c r="I200" t="n">
        <v>0</v>
      </c>
      <c r="J200" t="n">
        <v>0</v>
      </c>
      <c r="K200" t="n">
        <v>0</v>
      </c>
      <c r="L200" t="n">
        <v>0</v>
      </c>
      <c r="M200" t="n">
        <v>0</v>
      </c>
      <c r="N200" t="n">
        <v>0</v>
      </c>
    </row>
    <row r="201">
      <c r="A201" t="inlineStr">
        <is>
          <t>cost of buildings and necessaries</t>
        </is>
      </c>
      <c r="B201" t="inlineStr">
        <is>
          <t>hay and straw bought ot support the lord’s oxen and plough-horses in winter 10 shilling, and so much this year because the hay from the preceding year’s stock was so wet as to be useless for the lord’s stock, by witnesses.</t>
        </is>
      </c>
      <c r="C201" t="n">
        <v>0.5</v>
      </c>
      <c r="D201" t="n">
        <v>0</v>
      </c>
      <c r="E201" t="n">
        <v>10</v>
      </c>
      <c r="F201" t="n">
        <v>0</v>
      </c>
      <c r="H201" t="n">
        <v>0</v>
      </c>
      <c r="I201" t="n">
        <v>0</v>
      </c>
      <c r="J201" t="n">
        <v>0</v>
      </c>
      <c r="K201" t="n">
        <v>0</v>
      </c>
      <c r="L201" t="n">
        <v>0</v>
      </c>
      <c r="M201" t="n">
        <v>0</v>
      </c>
      <c r="N201" t="n">
        <v>0</v>
      </c>
    </row>
    <row r="202">
      <c r="A202" t="inlineStr">
        <is>
          <t>cost of buildings and necessaries</t>
        </is>
      </c>
      <c r="B202" t="inlineStr">
        <is>
          <t>total, 17 shilling.</t>
        </is>
      </c>
      <c r="C202" t="n">
        <v>0.85</v>
      </c>
      <c r="D202" t="n">
        <v>0</v>
      </c>
      <c r="E202" t="n">
        <v>17</v>
      </c>
      <c r="F202" t="n">
        <v>0</v>
      </c>
      <c r="H202" t="n">
        <v>0</v>
      </c>
      <c r="I202" t="n">
        <v>0</v>
      </c>
      <c r="J202" t="n">
        <v>0</v>
      </c>
      <c r="K202" t="n">
        <v>0</v>
      </c>
      <c r="L202" t="n">
        <v>0</v>
      </c>
      <c r="M202" t="n">
        <v>0</v>
      </c>
      <c r="N202" t="n">
        <v>0</v>
      </c>
    </row>
    <row r="203">
      <c r="A203" t="inlineStr">
        <is>
          <t>threshing and winnowing</t>
        </is>
      </c>
      <c r="B203" t="inlineStr">
        <is>
          <t>in threshing 51 quarters 1 bushels of wheat by piece-work 8 shilling 6.25pence, at 2pence a quarters.</t>
        </is>
      </c>
      <c r="C203" t="n">
        <v>0.43</v>
      </c>
      <c r="D203" t="n">
        <v>0</v>
      </c>
      <c r="E203" t="n">
        <v>8</v>
      </c>
      <c r="F203" t="n">
        <v>6.25</v>
      </c>
      <c r="G203" t="inlineStr">
        <is>
          <t>wheat</t>
        </is>
      </c>
      <c r="H203" t="n">
        <v>51</v>
      </c>
      <c r="I203" t="n">
        <v>1</v>
      </c>
      <c r="J203" t="n">
        <v>51.12</v>
      </c>
      <c r="K203" t="n">
        <v>51.12</v>
      </c>
      <c r="L203" t="n">
        <v>0</v>
      </c>
      <c r="M203" t="n">
        <v>51</v>
      </c>
      <c r="N203" t="n">
        <v>1</v>
      </c>
    </row>
    <row r="204">
      <c r="A204" t="inlineStr">
        <is>
          <t>threshing and winnowing</t>
        </is>
      </c>
      <c r="B204" t="inlineStr">
        <is>
          <t>threshing 1 quarters 4 bushels of peas by piece-work 2.25pence, at 1.5pence a quarters.</t>
        </is>
      </c>
      <c r="C204" t="n">
        <v>0.01</v>
      </c>
      <c r="D204" t="n">
        <v>0</v>
      </c>
      <c r="E204" t="n">
        <v>0</v>
      </c>
      <c r="F204" t="n">
        <v>2.25</v>
      </c>
      <c r="G204" t="inlineStr">
        <is>
          <t>peas</t>
        </is>
      </c>
      <c r="H204" t="n">
        <v>1</v>
      </c>
      <c r="I204" t="n">
        <v>4</v>
      </c>
      <c r="J204" t="n">
        <v>1.5</v>
      </c>
      <c r="K204" t="n">
        <v>1.5</v>
      </c>
      <c r="L204" t="n">
        <v>0</v>
      </c>
      <c r="M204" t="n">
        <v>1</v>
      </c>
      <c r="N204" t="n">
        <v>4</v>
      </c>
    </row>
    <row r="205">
      <c r="A205" t="inlineStr">
        <is>
          <t>threshing and winnowing</t>
        </is>
      </c>
      <c r="B205" t="inlineStr">
        <is>
          <t>winnowing the said corn by piece-work 1 shilling 5.5pence, at 1pence per 3 quarters.</t>
        </is>
      </c>
      <c r="C205" t="n">
        <v>0.07000000000000001</v>
      </c>
      <c r="D205" t="n">
        <v>0</v>
      </c>
      <c r="E205" t="n">
        <v>1</v>
      </c>
      <c r="F205" t="n">
        <v>5.5</v>
      </c>
      <c r="H205" t="n">
        <v>3</v>
      </c>
      <c r="I205" t="n">
        <v>0</v>
      </c>
      <c r="J205" t="n">
        <v>3</v>
      </c>
      <c r="K205" t="n">
        <v>3</v>
      </c>
      <c r="L205" t="n">
        <v>0</v>
      </c>
      <c r="M205" t="n">
        <v>3</v>
      </c>
      <c r="N205" t="n">
        <v>0</v>
      </c>
    </row>
    <row r="206">
      <c r="A206" t="inlineStr">
        <is>
          <t>threshing and winnowing</t>
        </is>
      </c>
      <c r="B206" t="inlineStr">
        <is>
          <t>threshing and winnowing 46 quarters 5 bushels, of oats by piece-work 3 shilling 10.5pence, at 1pence a quarters.</t>
        </is>
      </c>
      <c r="C206" t="n">
        <v>0.19</v>
      </c>
      <c r="D206" t="n">
        <v>0</v>
      </c>
      <c r="E206" t="n">
        <v>3</v>
      </c>
      <c r="F206" t="n">
        <v>10.5</v>
      </c>
      <c r="G206" t="inlineStr">
        <is>
          <t>oats</t>
        </is>
      </c>
      <c r="H206" t="n">
        <v>46</v>
      </c>
      <c r="I206" t="n">
        <v>5</v>
      </c>
      <c r="J206" t="n">
        <v>46.62</v>
      </c>
      <c r="K206" t="n">
        <v>46.62</v>
      </c>
      <c r="L206" t="n">
        <v>0</v>
      </c>
      <c r="M206" t="n">
        <v>46</v>
      </c>
      <c r="N206" t="n">
        <v>5</v>
      </c>
    </row>
    <row r="207">
      <c r="A207" t="inlineStr">
        <is>
          <t>threshing and winnowing</t>
        </is>
      </c>
      <c r="B207" t="inlineStr">
        <is>
          <t>total, 14 shilling 0.5pence.</t>
        </is>
      </c>
      <c r="C207" t="n">
        <v>0.7</v>
      </c>
      <c r="D207" t="n">
        <v>0</v>
      </c>
      <c r="E207" t="n">
        <v>14</v>
      </c>
      <c r="F207" t="n">
        <v>0.5</v>
      </c>
      <c r="H207" t="n">
        <v>0</v>
      </c>
      <c r="I207" t="n">
        <v>0</v>
      </c>
      <c r="J207" t="n">
        <v>0</v>
      </c>
      <c r="K207" t="n">
        <v>0</v>
      </c>
      <c r="L207" t="n">
        <v>0</v>
      </c>
      <c r="M207" t="n">
        <v>0</v>
      </c>
      <c r="N207" t="n">
        <v>0</v>
      </c>
    </row>
    <row r="208">
      <c r="A208" t="inlineStr">
        <is>
          <t>harvest-time</t>
        </is>
      </c>
      <c r="B208" t="inlineStr">
        <is>
          <t>in customary payment to the customary tenants mowing the lord's meadows 1 shilling 6pence.</t>
        </is>
      </c>
      <c r="C208" t="n">
        <v>0.08</v>
      </c>
      <c r="D208" t="n">
        <v>0</v>
      </c>
      <c r="E208" t="n">
        <v>1</v>
      </c>
      <c r="F208" t="n">
        <v>6</v>
      </c>
      <c r="H208" t="n">
        <v>0</v>
      </c>
      <c r="I208" t="n">
        <v>0</v>
      </c>
      <c r="J208" t="n">
        <v>0</v>
      </c>
      <c r="K208" t="n">
        <v>0</v>
      </c>
      <c r="L208" t="n">
        <v>0</v>
      </c>
      <c r="M208" t="n">
        <v>0</v>
      </c>
      <c r="N208" t="n">
        <v>0</v>
      </c>
    </row>
    <row r="209">
      <c r="A209" t="inlineStr">
        <is>
          <t>harvest-time</t>
        </is>
      </c>
      <c r="B209" t="inlineStr">
        <is>
          <t>customary payment to the customary tenants for their boon-reaping 2 shilling 8pence.</t>
        </is>
      </c>
      <c r="C209" t="n">
        <v>0.13</v>
      </c>
      <c r="D209" t="n">
        <v>0</v>
      </c>
      <c r="E209" t="n">
        <v>2</v>
      </c>
      <c r="F209" t="n">
        <v>8</v>
      </c>
      <c r="H209" t="n">
        <v>0</v>
      </c>
      <c r="I209" t="n">
        <v>0</v>
      </c>
      <c r="J209" t="n">
        <v>0</v>
      </c>
      <c r="K209" t="n">
        <v>0</v>
      </c>
      <c r="L209" t="n">
        <v>0</v>
      </c>
      <c r="M209" t="n">
        <v>0</v>
      </c>
      <c r="N209" t="n">
        <v>0</v>
      </c>
    </row>
    <row r="210">
      <c r="A210" t="inlineStr">
        <is>
          <t>harvest-time</t>
        </is>
      </c>
      <c r="B210" t="inlineStr">
        <is>
          <t>total, 4s: 2,d.</t>
        </is>
      </c>
      <c r="C210" t="n">
        <v>0</v>
      </c>
      <c r="D210" t="n">
        <v>0</v>
      </c>
      <c r="E210" t="n">
        <v>0</v>
      </c>
      <c r="F210" t="n">
        <v>0</v>
      </c>
      <c r="H210" t="n">
        <v>0</v>
      </c>
      <c r="I210" t="n">
        <v>0</v>
      </c>
      <c r="J210" t="n">
        <v>0</v>
      </c>
      <c r="K210" t="n">
        <v>0</v>
      </c>
      <c r="L210" t="n">
        <v>0</v>
      </c>
      <c r="M210" t="n">
        <v>0</v>
      </c>
      <c r="N210" t="n">
        <v>0</v>
      </c>
    </row>
    <row r="211">
      <c r="A211" t="inlineStr">
        <is>
          <t>total of all expenses</t>
        </is>
      </c>
      <c r="B211" t="inlineStr">
        <is>
          <t>total of all expenses, £20 2.75pence.</t>
        </is>
      </c>
      <c r="C211" t="n">
        <v>20.01</v>
      </c>
      <c r="D211" t="n">
        <v>20</v>
      </c>
      <c r="E211" t="n">
        <v>0</v>
      </c>
      <c r="F211" t="n">
        <v>2.75</v>
      </c>
      <c r="H211" t="n">
        <v>0</v>
      </c>
      <c r="I211" t="n">
        <v>0</v>
      </c>
      <c r="J211" t="n">
        <v>0</v>
      </c>
      <c r="K211" t="n">
        <v>0</v>
      </c>
      <c r="L211" t="n">
        <v>0</v>
      </c>
      <c r="M211" t="n">
        <v>0</v>
      </c>
      <c r="N211" t="n">
        <v>0</v>
      </c>
    </row>
    <row r="212">
      <c r="A212" t="inlineStr">
        <is>
          <t>and he owes</t>
        </is>
      </c>
      <c r="B212" t="inlineStr">
        <is>
          <t>and he owes, £208 14 shilling .5pence.</t>
        </is>
      </c>
      <c r="C212" t="n">
        <v>208.7</v>
      </c>
      <c r="D212" t="n">
        <v>208</v>
      </c>
      <c r="E212" t="n">
        <v>14</v>
      </c>
      <c r="F212" t="n">
        <v>0</v>
      </c>
      <c r="H212" t="n">
        <v>0</v>
      </c>
      <c r="I212" t="n">
        <v>0</v>
      </c>
      <c r="J212" t="n">
        <v>0</v>
      </c>
      <c r="K212" t="n">
        <v>0</v>
      </c>
      <c r="L212" t="n">
        <v>0</v>
      </c>
      <c r="M212" t="n">
        <v>0</v>
      </c>
      <c r="N212" t="n">
        <v>0</v>
      </c>
    </row>
    <row r="213">
      <c r="A213" t="inlineStr">
        <is>
          <t>allowances without writ</t>
        </is>
      </c>
      <c r="B213" t="inlineStr">
        <is>
          <t>in allowance to the same for £3 4 shilling 0.5pence for various surcharges and disallowances in the.</t>
        </is>
      </c>
      <c r="C213" t="n">
        <v>3.2</v>
      </c>
      <c r="D213" t="n">
        <v>3</v>
      </c>
      <c r="E213" t="n">
        <v>4</v>
      </c>
      <c r="F213" t="n">
        <v>0.5</v>
      </c>
      <c r="H213" t="n">
        <v>0</v>
      </c>
      <c r="I213" t="n">
        <v>0</v>
      </c>
      <c r="J213" t="n">
        <v>0</v>
      </c>
      <c r="K213" t="n">
        <v>0</v>
      </c>
      <c r="L213" t="n">
        <v>0</v>
      </c>
      <c r="M213" t="n">
        <v>0</v>
      </c>
      <c r="N213" t="n">
        <v>0</v>
      </c>
    </row>
    <row r="214">
      <c r="A214" t="inlineStr">
        <is>
          <t>allowances without writ</t>
        </is>
      </c>
      <c r="B214" t="inlineStr">
        <is>
          <t>present account, of which £2 15 shilling 6.5pence is for the storage of grain (in granur').</t>
        </is>
      </c>
      <c r="C214" t="n">
        <v>2.78</v>
      </c>
      <c r="D214" t="n">
        <v>2</v>
      </c>
      <c r="E214" t="n">
        <v>15</v>
      </c>
      <c r="F214" t="n">
        <v>6.5</v>
      </c>
      <c r="H214" t="n">
        <v>0</v>
      </c>
      <c r="I214" t="n">
        <v>0</v>
      </c>
      <c r="J214" t="n">
        <v>0</v>
      </c>
      <c r="K214" t="n">
        <v>0</v>
      </c>
      <c r="L214" t="n">
        <v>0</v>
      </c>
      <c r="M214" t="n">
        <v>0</v>
      </c>
      <c r="N214" t="n">
        <v>0</v>
      </c>
    </row>
    <row r="215">
      <c r="A215" t="inlineStr">
        <is>
          <t>allowances without writ</t>
        </is>
      </c>
      <c r="B215" t="inlineStr">
        <is>
          <t>total, £3 4 shilling 0.5pence.</t>
        </is>
      </c>
      <c r="C215" t="n">
        <v>3.2</v>
      </c>
      <c r="D215" t="n">
        <v>3</v>
      </c>
      <c r="E215" t="n">
        <v>4</v>
      </c>
      <c r="F215" t="n">
        <v>0.5</v>
      </c>
      <c r="H215" t="n">
        <v>0</v>
      </c>
      <c r="I215" t="n">
        <v>0</v>
      </c>
      <c r="J215" t="n">
        <v>0</v>
      </c>
      <c r="K215" t="n">
        <v>0</v>
      </c>
      <c r="L215" t="n">
        <v>0</v>
      </c>
      <c r="M215" t="n">
        <v>0</v>
      </c>
      <c r="N215" t="n">
        <v>0</v>
      </c>
    </row>
    <row r="216">
      <c r="A216" t="inlineStr">
        <is>
          <t>cash deliveries</t>
        </is>
      </c>
      <c r="B216" t="inlineStr">
        <is>
          <t>delivered to william dubbare, receiver of the castle, by tally, £200..</t>
        </is>
      </c>
      <c r="C216" t="n">
        <v>200</v>
      </c>
      <c r="D216" t="n">
        <v>200</v>
      </c>
      <c r="E216" t="n">
        <v>0</v>
      </c>
      <c r="F216" t="n">
        <v>0</v>
      </c>
      <c r="H216" t="n">
        <v>0</v>
      </c>
      <c r="I216" t="n">
        <v>0</v>
      </c>
      <c r="J216" t="n">
        <v>0</v>
      </c>
      <c r="K216" t="n">
        <v>0</v>
      </c>
      <c r="L216" t="n">
        <v>0</v>
      </c>
      <c r="M216" t="n">
        <v>0</v>
      </c>
      <c r="N216" t="n">
        <v>0</v>
      </c>
    </row>
    <row r="217">
      <c r="A217" t="inlineStr">
        <is>
          <t>cash deliveries</t>
        </is>
      </c>
      <c r="B217" t="inlineStr">
        <is>
          <t>total, £200..</t>
        </is>
      </c>
      <c r="C217" t="n">
        <v>200</v>
      </c>
      <c r="D217" t="n">
        <v>200</v>
      </c>
      <c r="E217" t="n">
        <v>0</v>
      </c>
      <c r="F217" t="n">
        <v>0</v>
      </c>
      <c r="H217" t="n">
        <v>0</v>
      </c>
      <c r="I217" t="n">
        <v>0</v>
      </c>
      <c r="J217" t="n">
        <v>0</v>
      </c>
      <c r="K217" t="n">
        <v>0</v>
      </c>
      <c r="L217" t="n">
        <v>0</v>
      </c>
      <c r="M217" t="n">
        <v>0</v>
      </c>
      <c r="N217" t="n">
        <v>0</v>
      </c>
    </row>
    <row r="218">
      <c r="A218" t="inlineStr">
        <is>
          <t>total of all allowances and cash deliveries</t>
        </is>
      </c>
      <c r="B218" t="inlineStr">
        <is>
          <t>total of all allowances and cash deliveries, £203 4 shilling 0.5pence.</t>
        </is>
      </c>
      <c r="C218" t="n">
        <v>203.2</v>
      </c>
      <c r="D218" t="n">
        <v>203</v>
      </c>
      <c r="E218" t="n">
        <v>4</v>
      </c>
      <c r="F218" t="n">
        <v>0.5</v>
      </c>
      <c r="H218" t="n">
        <v>0</v>
      </c>
      <c r="I218" t="n">
        <v>0</v>
      </c>
      <c r="J218" t="n">
        <v>0</v>
      </c>
      <c r="K218" t="n">
        <v>0</v>
      </c>
      <c r="L218" t="n">
        <v>0</v>
      </c>
      <c r="M218" t="n">
        <v>0</v>
      </c>
      <c r="N218" t="n">
        <v>0</v>
      </c>
    </row>
    <row r="219">
      <c r="A219" t="inlineStr">
        <is>
          <t>and he owes</t>
        </is>
      </c>
      <c r="B219" t="inlineStr">
        <is>
          <t>and he owes, £5 10 shilling.</t>
        </is>
      </c>
      <c r="C219" t="n">
        <v>5.5</v>
      </c>
      <c r="D219" t="n">
        <v>5</v>
      </c>
      <c r="E219" t="n">
        <v>10</v>
      </c>
      <c r="F219" t="n">
        <v>0</v>
      </c>
      <c r="H219" t="n">
        <v>0</v>
      </c>
      <c r="I219" t="n">
        <v>0</v>
      </c>
      <c r="J219" t="n">
        <v>0</v>
      </c>
      <c r="K219" t="n">
        <v>0</v>
      </c>
      <c r="L219" t="n">
        <v>0</v>
      </c>
      <c r="M219" t="n">
        <v>0</v>
      </c>
      <c r="N219" t="n">
        <v>0</v>
      </c>
    </row>
    <row r="220">
      <c r="A220" t="inlineStr">
        <is>
          <t>wheat</t>
        </is>
      </c>
      <c r="B220" t="inlineStr">
        <is>
          <t>richard monke, reeve there, answers for 51 quarters 1 bushels of wheat from the whole issue of the grange, threshed by piece-work, by 1 tally against john calwe, recently reeve.</t>
        </is>
      </c>
      <c r="C220" t="n">
        <v>0</v>
      </c>
      <c r="D220" t="n">
        <v>0</v>
      </c>
      <c r="E220" t="n">
        <v>0</v>
      </c>
      <c r="F220" t="n">
        <v>0</v>
      </c>
      <c r="G220" t="inlineStr">
        <is>
          <t>wheat</t>
        </is>
      </c>
      <c r="H220" t="n">
        <v>51</v>
      </c>
      <c r="I220" t="n">
        <v>1</v>
      </c>
      <c r="J220" t="n">
        <v>51.12</v>
      </c>
      <c r="K220" t="n">
        <v>51.12</v>
      </c>
      <c r="L220" t="n">
        <v>0</v>
      </c>
      <c r="M220" t="n">
        <v>51</v>
      </c>
      <c r="N220" t="n">
        <v>1</v>
      </c>
    </row>
    <row r="221">
      <c r="A221" t="inlineStr">
        <is>
          <t>wheat</t>
        </is>
      </c>
      <c r="B221" t="inlineStr">
        <is>
          <t>7 quarters 3 bushels surcharged so that he answers for a 5-fold yield of the grain this year..</t>
        </is>
      </c>
      <c r="C221" t="n">
        <v>0</v>
      </c>
      <c r="D221" t="n">
        <v>0</v>
      </c>
      <c r="E221" t="n">
        <v>0</v>
      </c>
      <c r="F221" t="n">
        <v>0</v>
      </c>
      <c r="H221" t="n">
        <v>7</v>
      </c>
      <c r="I221" t="n">
        <v>3</v>
      </c>
      <c r="J221" t="n">
        <v>7.38</v>
      </c>
      <c r="K221" t="n">
        <v>7.38</v>
      </c>
      <c r="L221" t="n">
        <v>0</v>
      </c>
      <c r="M221" t="n">
        <v>7</v>
      </c>
      <c r="N221" t="n">
        <v>3</v>
      </c>
    </row>
    <row r="222">
      <c r="A222" t="inlineStr">
        <is>
          <t>wheat</t>
        </is>
      </c>
      <c r="B222" t="inlineStr">
        <is>
          <t>total, 58 quarters 4 bushels.</t>
        </is>
      </c>
      <c r="C222" t="n">
        <v>0</v>
      </c>
      <c r="D222" t="n">
        <v>0</v>
      </c>
      <c r="E222" t="n">
        <v>0</v>
      </c>
      <c r="F222" t="n">
        <v>0</v>
      </c>
      <c r="H222" t="n">
        <v>58</v>
      </c>
      <c r="I222" t="n">
        <v>4</v>
      </c>
      <c r="J222" t="n">
        <v>58.5</v>
      </c>
      <c r="K222" t="n">
        <v>58.5</v>
      </c>
      <c r="L222" t="n">
        <v>0</v>
      </c>
      <c r="M222" t="n">
        <v>58</v>
      </c>
      <c r="N222" t="n">
        <v>4</v>
      </c>
    </row>
    <row r="223">
      <c r="A223" t="inlineStr">
        <is>
          <t>wheat</t>
        </is>
      </c>
      <c r="B223" t="inlineStr">
        <is>
          <t>sown over 68 acres in the fields of stokefeld', holebreche, mannescroft and la flore, 12 quarters 6 bushels.</t>
        </is>
      </c>
      <c r="C223" t="n">
        <v>0</v>
      </c>
      <c r="D223" t="n">
        <v>0</v>
      </c>
      <c r="E223" t="n">
        <v>0</v>
      </c>
      <c r="F223" t="n">
        <v>0</v>
      </c>
      <c r="H223" t="n">
        <v>12</v>
      </c>
      <c r="I223" t="n">
        <v>6</v>
      </c>
      <c r="J223" t="n">
        <v>12.75</v>
      </c>
      <c r="K223" t="n">
        <v>12.75</v>
      </c>
      <c r="L223" t="n">
        <v>0</v>
      </c>
      <c r="M223" t="n">
        <v>12</v>
      </c>
      <c r="N223" t="n">
        <v>6</v>
      </c>
    </row>
    <row r="224">
      <c r="A224" t="inlineStr">
        <is>
          <t>wheat</t>
        </is>
      </c>
      <c r="B224" t="inlineStr">
        <is>
          <t>that is, 1.5 bushels an acre..</t>
        </is>
      </c>
      <c r="C224" t="n">
        <v>0</v>
      </c>
      <c r="D224" t="n">
        <v>0</v>
      </c>
      <c r="E224" t="n">
        <v>0</v>
      </c>
      <c r="F224" t="n">
        <v>0</v>
      </c>
      <c r="H224" t="n">
        <v>0</v>
      </c>
      <c r="I224" t="n">
        <v>1.5</v>
      </c>
      <c r="J224" t="n">
        <v>0.19</v>
      </c>
      <c r="K224" t="n">
        <v>0.19</v>
      </c>
      <c r="L224" t="n">
        <v>0</v>
      </c>
      <c r="M224" t="n">
        <v>0</v>
      </c>
      <c r="N224" t="n">
        <v>1.5</v>
      </c>
    </row>
    <row r="225">
      <c r="A225" t="inlineStr">
        <is>
          <t>wheat</t>
        </is>
      </c>
      <c r="B225" t="inlineStr">
        <is>
          <t>sold within to the customary tenants, 28 quarters 3bushels.</t>
        </is>
      </c>
      <c r="C225" t="n">
        <v>0</v>
      </c>
      <c r="D225" t="n">
        <v>0</v>
      </c>
      <c r="E225" t="n">
        <v>0</v>
      </c>
      <c r="F225" t="n">
        <v>0</v>
      </c>
      <c r="H225" t="n">
        <v>28</v>
      </c>
      <c r="I225" t="n">
        <v>3</v>
      </c>
      <c r="J225" t="n">
        <v>28.38</v>
      </c>
      <c r="K225" t="n">
        <v>28.38</v>
      </c>
      <c r="L225" t="n">
        <v>0</v>
      </c>
      <c r="M225" t="n">
        <v>28</v>
      </c>
      <c r="N225" t="n">
        <v>3</v>
      </c>
    </row>
    <row r="226">
      <c r="A226" t="inlineStr">
        <is>
          <t>wheat</t>
        </is>
      </c>
      <c r="B226" t="inlineStr">
        <is>
          <t>sold at the audit, 7 quarters 3 bushels for £4 8 shilling.</t>
        </is>
      </c>
      <c r="C226" t="n">
        <v>4.4</v>
      </c>
      <c r="D226" t="n">
        <v>4</v>
      </c>
      <c r="E226" t="n">
        <v>8</v>
      </c>
      <c r="F226" t="n">
        <v>0</v>
      </c>
      <c r="H226" t="n">
        <v>7</v>
      </c>
      <c r="I226" t="n">
        <v>3</v>
      </c>
      <c r="J226" t="n">
        <v>7.38</v>
      </c>
      <c r="K226" t="n">
        <v>7.38</v>
      </c>
      <c r="L226" t="n">
        <v>0</v>
      </c>
      <c r="M226" t="n">
        <v>7</v>
      </c>
      <c r="N226" t="n">
        <v>3</v>
      </c>
    </row>
    <row r="227">
      <c r="A227" t="inlineStr">
        <is>
          <t>wheat</t>
        </is>
      </c>
      <c r="B227" t="inlineStr">
        <is>
          <t>total as before.</t>
        </is>
      </c>
      <c r="C227" t="n">
        <v>0</v>
      </c>
      <c r="D227" t="n">
        <v>0</v>
      </c>
      <c r="E227" t="n">
        <v>0</v>
      </c>
      <c r="F227" t="n">
        <v>0</v>
      </c>
      <c r="H227" t="n">
        <v>0</v>
      </c>
      <c r="I227" t="n">
        <v>0</v>
      </c>
      <c r="J227" t="n">
        <v>0</v>
      </c>
      <c r="K227" t="n">
        <v>0</v>
      </c>
      <c r="L227" t="n">
        <v>0</v>
      </c>
      <c r="M227" t="n">
        <v>0</v>
      </c>
      <c r="N227" t="n">
        <v>0</v>
      </c>
    </row>
    <row r="228">
      <c r="A228" t="inlineStr">
        <is>
          <t>wheat</t>
        </is>
      </c>
      <c r="B228" t="inlineStr">
        <is>
          <t>it balances.</t>
        </is>
      </c>
      <c r="C228" t="n">
        <v>0</v>
      </c>
      <c r="D228" t="n">
        <v>0</v>
      </c>
      <c r="E228" t="n">
        <v>0</v>
      </c>
      <c r="F228" t="n">
        <v>0</v>
      </c>
      <c r="H228" t="n">
        <v>0</v>
      </c>
      <c r="I228" t="n">
        <v>0</v>
      </c>
      <c r="J228" t="n">
        <v>0</v>
      </c>
      <c r="K228" t="n">
        <v>0</v>
      </c>
      <c r="L228" t="n">
        <v>0</v>
      </c>
      <c r="M228" t="n">
        <v>0</v>
      </c>
      <c r="N228" t="n">
        <v>0</v>
      </c>
    </row>
    <row r="229">
      <c r="A229" t="inlineStr">
        <is>
          <t>rye</t>
        </is>
      </c>
      <c r="B229" t="inlineStr">
        <is>
          <t>and for 9 quarters 5 bushels 3 pecks of rye bought.</t>
        </is>
      </c>
      <c r="C229" t="n">
        <v>0</v>
      </c>
      <c r="D229" t="n">
        <v>0</v>
      </c>
      <c r="E229" t="n">
        <v>0</v>
      </c>
      <c r="F229" t="n">
        <v>0</v>
      </c>
      <c r="G229" t="inlineStr">
        <is>
          <t>rye</t>
        </is>
      </c>
      <c r="H229" t="n">
        <v>9</v>
      </c>
      <c r="I229" t="n">
        <v>5</v>
      </c>
      <c r="J229" t="n">
        <v>9.619999999999999</v>
      </c>
      <c r="K229" t="n">
        <v>9.619999999999999</v>
      </c>
      <c r="L229" t="n">
        <v>0</v>
      </c>
      <c r="M229" t="n">
        <v>9</v>
      </c>
      <c r="N229" t="n">
        <v>5</v>
      </c>
    </row>
    <row r="230">
      <c r="A230" t="inlineStr">
        <is>
          <t>rye</t>
        </is>
      </c>
      <c r="B230" t="inlineStr">
        <is>
          <t>total, 9 quarters 5 bushels 3 pecks.</t>
        </is>
      </c>
      <c r="C230" t="n">
        <v>0</v>
      </c>
      <c r="D230" t="n">
        <v>0</v>
      </c>
      <c r="E230" t="n">
        <v>0</v>
      </c>
      <c r="F230" t="n">
        <v>0</v>
      </c>
      <c r="H230" t="n">
        <v>9</v>
      </c>
      <c r="I230" t="n">
        <v>5</v>
      </c>
      <c r="J230" t="n">
        <v>9.619999999999999</v>
      </c>
      <c r="K230" t="n">
        <v>9.619999999999999</v>
      </c>
      <c r="L230" t="n">
        <v>0</v>
      </c>
      <c r="M230" t="n">
        <v>9</v>
      </c>
      <c r="N230" t="n">
        <v>5</v>
      </c>
    </row>
    <row r="231">
      <c r="A231" t="inlineStr">
        <is>
          <t>rye</t>
        </is>
      </c>
      <c r="B231" t="inlineStr">
        <is>
          <t>customary payment to the customary tenants for their boon-reaping, 3 quarters 2 bushels mixed below for the liveries of the manorial servants, 6 quarters 3 bushels 3 pecks..</t>
        </is>
      </c>
      <c r="C231" t="n">
        <v>0</v>
      </c>
      <c r="D231" t="n">
        <v>0</v>
      </c>
      <c r="E231" t="n">
        <v>0</v>
      </c>
      <c r="F231" t="n">
        <v>0</v>
      </c>
      <c r="H231" t="n">
        <v>6</v>
      </c>
      <c r="I231" t="n">
        <v>3</v>
      </c>
      <c r="J231" t="n">
        <v>6.38</v>
      </c>
      <c r="K231" t="n">
        <v>3.25</v>
      </c>
      <c r="L231" t="n">
        <v>3.12</v>
      </c>
      <c r="M231" t="n">
        <v>3</v>
      </c>
      <c r="N231" t="n">
        <v>2</v>
      </c>
      <c r="O231" t="n">
        <v>6</v>
      </c>
      <c r="P231" t="n">
        <v>3</v>
      </c>
    </row>
    <row r="232">
      <c r="A232" t="inlineStr">
        <is>
          <t>rye</t>
        </is>
      </c>
      <c r="B232" t="inlineStr">
        <is>
          <t>total as before.</t>
        </is>
      </c>
      <c r="C232" t="n">
        <v>0</v>
      </c>
      <c r="D232" t="n">
        <v>0</v>
      </c>
      <c r="E232" t="n">
        <v>0</v>
      </c>
      <c r="F232" t="n">
        <v>0</v>
      </c>
      <c r="H232" t="n">
        <v>0</v>
      </c>
      <c r="I232" t="n">
        <v>0</v>
      </c>
      <c r="J232" t="n">
        <v>0</v>
      </c>
      <c r="K232" t="n">
        <v>0</v>
      </c>
      <c r="L232" t="n">
        <v>0</v>
      </c>
      <c r="M232" t="n">
        <v>0</v>
      </c>
      <c r="N232" t="n">
        <v>0</v>
      </c>
    </row>
    <row r="233">
      <c r="A233" t="inlineStr">
        <is>
          <t>rye</t>
        </is>
      </c>
      <c r="B233" t="inlineStr">
        <is>
          <t>it balances.</t>
        </is>
      </c>
      <c r="C233" t="n">
        <v>0</v>
      </c>
      <c r="D233" t="n">
        <v>0</v>
      </c>
      <c r="E233" t="n">
        <v>0</v>
      </c>
      <c r="F233" t="n">
        <v>0</v>
      </c>
      <c r="H233" t="n">
        <v>0</v>
      </c>
      <c r="I233" t="n">
        <v>0</v>
      </c>
      <c r="J233" t="n">
        <v>0</v>
      </c>
      <c r="K233" t="n">
        <v>0</v>
      </c>
      <c r="L233" t="n">
        <v>0</v>
      </c>
      <c r="M233" t="n">
        <v>0</v>
      </c>
      <c r="N233" t="n">
        <v>0</v>
      </c>
    </row>
    <row r="234">
      <c r="A234" t="inlineStr">
        <is>
          <t>and for 1 qr 4 bus. of peas from the whole issue of the grange, threshed by piece-work; 5 qrs 3 bus. 3 pecks bought.</t>
        </is>
      </c>
      <c r="B234" t="inlineStr">
        <is>
          <t>total, 6 quarters 7 bushels 3 pecks.</t>
        </is>
      </c>
      <c r="C234" t="n">
        <v>0</v>
      </c>
      <c r="D234" t="n">
        <v>0</v>
      </c>
      <c r="E234" t="n">
        <v>0</v>
      </c>
      <c r="F234" t="n">
        <v>0</v>
      </c>
      <c r="H234" t="n">
        <v>6</v>
      </c>
      <c r="I234" t="n">
        <v>7</v>
      </c>
      <c r="J234" t="n">
        <v>6.88</v>
      </c>
      <c r="K234" t="n">
        <v>6.88</v>
      </c>
      <c r="L234" t="n">
        <v>0</v>
      </c>
      <c r="M234" t="n">
        <v>6</v>
      </c>
      <c r="N234" t="n">
        <v>7</v>
      </c>
    </row>
    <row r="235">
      <c r="A235" t="inlineStr">
        <is>
          <t>and for 1 qr 4 bus. of peas from the whole issue of the grange, threshed by piece-work; 5 qrs 3 bus. 3 pecks bought.</t>
        </is>
      </c>
      <c r="B235" t="inlineStr">
        <is>
          <t>sown over 2 acres in the field of bertonfeld', 4 bushels.</t>
        </is>
      </c>
      <c r="C235" t="n">
        <v>0</v>
      </c>
      <c r="D235" t="n">
        <v>0</v>
      </c>
      <c r="E235" t="n">
        <v>0</v>
      </c>
      <c r="F235" t="n">
        <v>0</v>
      </c>
      <c r="H235" t="n">
        <v>0</v>
      </c>
      <c r="I235" t="n">
        <v>4</v>
      </c>
      <c r="J235" t="n">
        <v>0.5</v>
      </c>
      <c r="K235" t="n">
        <v>0.5</v>
      </c>
      <c r="L235" t="n">
        <v>0</v>
      </c>
      <c r="M235" t="n">
        <v>0</v>
      </c>
      <c r="N235" t="n">
        <v>4</v>
      </c>
    </row>
    <row r="236">
      <c r="A236" t="inlineStr">
        <is>
          <t>and for 1 qr 4 bus. of peas from the whole issue of the grange, threshed by piece-work; 5 qrs 3 bus. 3 pecks bought.</t>
        </is>
      </c>
      <c r="B236" t="inlineStr">
        <is>
          <t>that is, 2 bushels an acre.</t>
        </is>
      </c>
      <c r="C236" t="n">
        <v>0</v>
      </c>
      <c r="D236" t="n">
        <v>0</v>
      </c>
      <c r="E236" t="n">
        <v>0</v>
      </c>
      <c r="F236" t="n">
        <v>0</v>
      </c>
      <c r="H236" t="n">
        <v>0</v>
      </c>
      <c r="I236" t="n">
        <v>2</v>
      </c>
      <c r="J236" t="n">
        <v>0.25</v>
      </c>
      <c r="K236" t="n">
        <v>0.25</v>
      </c>
      <c r="L236" t="n">
        <v>0</v>
      </c>
      <c r="M236" t="n">
        <v>0</v>
      </c>
      <c r="N236" t="n">
        <v>2</v>
      </c>
    </row>
    <row r="237">
      <c r="A237" t="inlineStr">
        <is>
          <t>and for 1 qr 4 bus. of peas from the whole issue of the grange, threshed by piece-work; 5 qrs 3 bus. 3 pecks bought.</t>
        </is>
      </c>
      <c r="B237" t="inlineStr">
        <is>
          <t>mixed below for the liveries of the manorial servants, 6 quarters 3 bushels 3 pecks..</t>
        </is>
      </c>
      <c r="C237" t="n">
        <v>0</v>
      </c>
      <c r="D237" t="n">
        <v>0</v>
      </c>
      <c r="E237" t="n">
        <v>0</v>
      </c>
      <c r="F237" t="n">
        <v>0</v>
      </c>
      <c r="H237" t="n">
        <v>6</v>
      </c>
      <c r="I237" t="n">
        <v>3</v>
      </c>
      <c r="J237" t="n">
        <v>6.38</v>
      </c>
      <c r="K237" t="n">
        <v>6.38</v>
      </c>
      <c r="L237" t="n">
        <v>0</v>
      </c>
      <c r="M237" t="n">
        <v>6</v>
      </c>
      <c r="N237" t="n">
        <v>3</v>
      </c>
    </row>
    <row r="238">
      <c r="A238" t="inlineStr">
        <is>
          <t>and for 1 qr 4 bus. of peas from the whole issue of the grange, threshed by piece-work; 5 qrs 3 bus. 3 pecks bought.</t>
        </is>
      </c>
      <c r="B238" t="inlineStr">
        <is>
          <t>total as before.</t>
        </is>
      </c>
      <c r="C238" t="n">
        <v>0</v>
      </c>
      <c r="D238" t="n">
        <v>0</v>
      </c>
      <c r="E238" t="n">
        <v>0</v>
      </c>
      <c r="F238" t="n">
        <v>0</v>
      </c>
      <c r="H238" t="n">
        <v>0</v>
      </c>
      <c r="I238" t="n">
        <v>0</v>
      </c>
      <c r="J238" t="n">
        <v>0</v>
      </c>
      <c r="K238" t="n">
        <v>0</v>
      </c>
      <c r="L238" t="n">
        <v>0</v>
      </c>
      <c r="M238" t="n">
        <v>0</v>
      </c>
      <c r="N238" t="n">
        <v>0</v>
      </c>
    </row>
    <row r="239">
      <c r="A239" t="inlineStr">
        <is>
          <t>and for 1 qr 4 bus. of peas from the whole issue of the grange, threshed by piece-work; 5 qrs 3 bus. 3 pecks bought.</t>
        </is>
      </c>
      <c r="B239" t="inlineStr">
        <is>
          <t>it balances.</t>
        </is>
      </c>
      <c r="C239" t="n">
        <v>0</v>
      </c>
      <c r="D239" t="n">
        <v>0</v>
      </c>
      <c r="E239" t="n">
        <v>0</v>
      </c>
      <c r="F239" t="n">
        <v>0</v>
      </c>
      <c r="H239" t="n">
        <v>0</v>
      </c>
      <c r="I239" t="n">
        <v>0</v>
      </c>
      <c r="J239" t="n">
        <v>0</v>
      </c>
      <c r="K239" t="n">
        <v>0</v>
      </c>
      <c r="L239" t="n">
        <v>0</v>
      </c>
      <c r="M239" t="n">
        <v>0</v>
      </c>
      <c r="N239" t="n">
        <v>0</v>
      </c>
    </row>
    <row r="240">
      <c r="A240" t="inlineStr">
        <is>
          <t>oats</t>
        </is>
      </c>
      <c r="B240" t="inlineStr">
        <is>
          <t>and for 46 quarters 5 bushels of oats from the whole issue of the grange, threshed by piece- work, by 1 tally against the said john.</t>
        </is>
      </c>
      <c r="C240" t="n">
        <v>0</v>
      </c>
      <c r="D240" t="n">
        <v>0</v>
      </c>
      <c r="E240" t="n">
        <v>0</v>
      </c>
      <c r="F240" t="n">
        <v>0</v>
      </c>
      <c r="G240" t="inlineStr">
        <is>
          <t>oats</t>
        </is>
      </c>
      <c r="H240" t="n">
        <v>46</v>
      </c>
      <c r="I240" t="n">
        <v>5</v>
      </c>
      <c r="J240" t="n">
        <v>46.62</v>
      </c>
      <c r="K240" t="n">
        <v>46.62</v>
      </c>
      <c r="L240" t="n">
        <v>0</v>
      </c>
      <c r="M240" t="n">
        <v>46</v>
      </c>
      <c r="N240" t="n">
        <v>5</v>
      </c>
    </row>
    <row r="241">
      <c r="A241" t="inlineStr">
        <is>
          <t>oats</t>
        </is>
      </c>
      <c r="B241" t="inlineStr">
        <is>
          <t>11 quarters 7 bushels surcharged so that he answers for a 3-fold yie1pence.</t>
        </is>
      </c>
      <c r="C241" t="n">
        <v>0</v>
      </c>
      <c r="D241" t="n">
        <v>0</v>
      </c>
      <c r="E241" t="n">
        <v>0</v>
      </c>
      <c r="F241" t="n">
        <v>1</v>
      </c>
      <c r="H241" t="n">
        <v>11</v>
      </c>
      <c r="I241" t="n">
        <v>7</v>
      </c>
      <c r="J241" t="n">
        <v>11.88</v>
      </c>
      <c r="K241" t="n">
        <v>11.88</v>
      </c>
      <c r="L241" t="n">
        <v>0</v>
      </c>
      <c r="M241" t="n">
        <v>11</v>
      </c>
      <c r="N241" t="n">
        <v>7</v>
      </c>
    </row>
    <row r="242">
      <c r="A242" t="inlineStr">
        <is>
          <t>oats</t>
        </is>
      </c>
      <c r="B242" t="inlineStr">
        <is>
          <t>total, 58 quarters 4 bushels.</t>
        </is>
      </c>
      <c r="C242" t="n">
        <v>0</v>
      </c>
      <c r="D242" t="n">
        <v>0</v>
      </c>
      <c r="E242" t="n">
        <v>0</v>
      </c>
      <c r="F242" t="n">
        <v>0</v>
      </c>
      <c r="H242" t="n">
        <v>58</v>
      </c>
      <c r="I242" t="n">
        <v>4</v>
      </c>
      <c r="J242" t="n">
        <v>58.5</v>
      </c>
      <c r="K242" t="n">
        <v>58.5</v>
      </c>
      <c r="L242" t="n">
        <v>0</v>
      </c>
      <c r="M242" t="n">
        <v>58</v>
      </c>
      <c r="N242" t="n">
        <v>4</v>
      </c>
    </row>
    <row r="243">
      <c r="A243" t="inlineStr">
        <is>
          <t>oats</t>
        </is>
      </c>
      <c r="B243" t="inlineStr">
        <is>
          <t>sown over 61 acres in the fields of waterslade, treschey and bertonefeld', 22 quarters 7 bushels.</t>
        </is>
      </c>
      <c r="C243" t="n">
        <v>0</v>
      </c>
      <c r="D243" t="n">
        <v>0</v>
      </c>
      <c r="E243" t="n">
        <v>0</v>
      </c>
      <c r="F243" t="n">
        <v>0</v>
      </c>
      <c r="H243" t="n">
        <v>22</v>
      </c>
      <c r="I243" t="n">
        <v>7</v>
      </c>
      <c r="J243" t="n">
        <v>22.88</v>
      </c>
      <c r="K243" t="n">
        <v>22.88</v>
      </c>
      <c r="L243" t="n">
        <v>0</v>
      </c>
      <c r="M243" t="n">
        <v>22</v>
      </c>
      <c r="N243" t="n">
        <v>7</v>
      </c>
    </row>
    <row r="244">
      <c r="A244" t="inlineStr">
        <is>
          <t>oats</t>
        </is>
      </c>
      <c r="B244" t="inlineStr">
        <is>
          <t>that is, 3 bushels an acre.</t>
        </is>
      </c>
      <c r="C244" t="n">
        <v>0</v>
      </c>
      <c r="D244" t="n">
        <v>0</v>
      </c>
      <c r="E244" t="n">
        <v>0</v>
      </c>
      <c r="F244" t="n">
        <v>0</v>
      </c>
      <c r="H244" t="n">
        <v>0</v>
      </c>
      <c r="I244" t="n">
        <v>3</v>
      </c>
      <c r="J244" t="n">
        <v>0.38</v>
      </c>
      <c r="K244" t="n">
        <v>0.38</v>
      </c>
      <c r="L244" t="n">
        <v>0</v>
      </c>
      <c r="M244" t="n">
        <v>0</v>
      </c>
      <c r="N244" t="n">
        <v>3</v>
      </c>
    </row>
    <row r="245">
      <c r="A245" t="inlineStr">
        <is>
          <t>oats</t>
        </is>
      </c>
      <c r="B245" t="inlineStr">
        <is>
          <t>sold within to the customary tenants, 23 quarters 6 bushels.</t>
        </is>
      </c>
      <c r="C245" t="n">
        <v>0</v>
      </c>
      <c r="D245" t="n">
        <v>0</v>
      </c>
      <c r="E245" t="n">
        <v>0</v>
      </c>
      <c r="F245" t="n">
        <v>0</v>
      </c>
      <c r="H245" t="n">
        <v>23</v>
      </c>
      <c r="I245" t="n">
        <v>6</v>
      </c>
      <c r="J245" t="n">
        <v>23.75</v>
      </c>
      <c r="K245" t="n">
        <v>23.75</v>
      </c>
      <c r="L245" t="n">
        <v>0</v>
      </c>
      <c r="M245" t="n">
        <v>23</v>
      </c>
      <c r="N245" t="n">
        <v>6</v>
      </c>
    </row>
    <row r="246">
      <c r="A246" t="inlineStr">
        <is>
          <t>oats</t>
        </is>
      </c>
      <c r="B246" t="inlineStr">
        <is>
          <t>sold at the audit, 11 quarters 7 bushels for £1 15 shilling 7.5pence.</t>
        </is>
      </c>
      <c r="C246" t="n">
        <v>1.78</v>
      </c>
      <c r="D246" t="n">
        <v>1</v>
      </c>
      <c r="E246" t="n">
        <v>15</v>
      </c>
      <c r="F246" t="n">
        <v>7.5</v>
      </c>
      <c r="H246" t="n">
        <v>11</v>
      </c>
      <c r="I246" t="n">
        <v>7</v>
      </c>
      <c r="J246" t="n">
        <v>11.88</v>
      </c>
      <c r="K246" t="n">
        <v>11.88</v>
      </c>
      <c r="L246" t="n">
        <v>0</v>
      </c>
      <c r="M246" t="n">
        <v>11</v>
      </c>
      <c r="N246" t="n">
        <v>7</v>
      </c>
    </row>
    <row r="247">
      <c r="A247" t="inlineStr">
        <is>
          <t>oats</t>
        </is>
      </c>
      <c r="B247" t="inlineStr">
        <is>
          <t>total as before.</t>
        </is>
      </c>
      <c r="C247" t="n">
        <v>0</v>
      </c>
      <c r="D247" t="n">
        <v>0</v>
      </c>
      <c r="E247" t="n">
        <v>0</v>
      </c>
      <c r="F247" t="n">
        <v>0</v>
      </c>
      <c r="H247" t="n">
        <v>0</v>
      </c>
      <c r="I247" t="n">
        <v>0</v>
      </c>
      <c r="J247" t="n">
        <v>0</v>
      </c>
      <c r="K247" t="n">
        <v>0</v>
      </c>
      <c r="L247" t="n">
        <v>0</v>
      </c>
      <c r="M247" t="n">
        <v>0</v>
      </c>
      <c r="N247" t="n">
        <v>0</v>
      </c>
    </row>
    <row r="248">
      <c r="A248" t="inlineStr">
        <is>
          <t>oats</t>
        </is>
      </c>
      <c r="B248" t="inlineStr">
        <is>
          <t>it balances.</t>
        </is>
      </c>
      <c r="C248" t="n">
        <v>0</v>
      </c>
      <c r="D248" t="n">
        <v>0</v>
      </c>
      <c r="E248" t="n">
        <v>0</v>
      </c>
      <c r="F248" t="n">
        <v>0</v>
      </c>
      <c r="H248" t="n">
        <v>0</v>
      </c>
      <c r="I248" t="n">
        <v>0</v>
      </c>
      <c r="J248" t="n">
        <v>0</v>
      </c>
      <c r="K248" t="n">
        <v>0</v>
      </c>
      <c r="L248" t="n">
        <v>0</v>
      </c>
      <c r="M248" t="n">
        <v>0</v>
      </c>
      <c r="N248" t="n">
        <v>0</v>
      </c>
    </row>
    <row r="249">
      <c r="A249" t="inlineStr">
        <is>
          <t>liveries of the manorial servants</t>
        </is>
      </c>
      <c r="B249" t="inlineStr">
        <is>
          <t>and for 6 quarters 3 bushels 3 pecks of rye bought and 6 quarters 3 bushels 3 pecks of peas received above for the liveries of the manorial servants.</t>
        </is>
      </c>
      <c r="C249" t="n">
        <v>0</v>
      </c>
      <c r="D249" t="n">
        <v>0</v>
      </c>
      <c r="E249" t="n">
        <v>0</v>
      </c>
      <c r="F249" t="n">
        <v>0</v>
      </c>
      <c r="G249" t="inlineStr">
        <is>
          <t>peas, rye</t>
        </is>
      </c>
      <c r="H249" t="n">
        <v>6</v>
      </c>
      <c r="I249" t="n">
        <v>3</v>
      </c>
      <c r="J249" t="n">
        <v>6.38</v>
      </c>
      <c r="K249" t="n">
        <v>6.38</v>
      </c>
      <c r="L249" t="n">
        <v>0</v>
      </c>
      <c r="M249" t="n">
        <v>6</v>
      </c>
      <c r="N249" t="n">
        <v>3</v>
      </c>
      <c r="O249" t="n">
        <v>6</v>
      </c>
      <c r="P249" t="n">
        <v>3</v>
      </c>
    </row>
    <row r="250">
      <c r="A250" t="inlineStr">
        <is>
          <t>liveries of the manorial servants</t>
        </is>
      </c>
      <c r="B250" t="inlineStr">
        <is>
          <t>total, 12 quarters 7.5 bushels.</t>
        </is>
      </c>
      <c r="C250" t="n">
        <v>0</v>
      </c>
      <c r="D250" t="n">
        <v>0</v>
      </c>
      <c r="E250" t="n">
        <v>0</v>
      </c>
      <c r="F250" t="n">
        <v>0</v>
      </c>
      <c r="H250" t="n">
        <v>12</v>
      </c>
      <c r="I250" t="n">
        <v>7.5</v>
      </c>
      <c r="J250" t="n">
        <v>12.94</v>
      </c>
      <c r="K250" t="n">
        <v>12.94</v>
      </c>
      <c r="L250" t="n">
        <v>0</v>
      </c>
      <c r="M250" t="n">
        <v>12</v>
      </c>
      <c r="N250" t="n">
        <v>7.5</v>
      </c>
    </row>
    <row r="251">
      <c r="A251" t="inlineStr">
        <is>
          <t>liveries of the manorial servants</t>
        </is>
      </c>
      <c r="B251" t="inlineStr">
        <is>
          <t>all accounted for in liveries of 1 carter and 2 drovers, each of whom takes a quarter every 12 weeks.</t>
        </is>
      </c>
      <c r="C251" t="n">
        <v>0</v>
      </c>
      <c r="D251" t="n">
        <v>0</v>
      </c>
      <c r="E251" t="n">
        <v>0</v>
      </c>
      <c r="F251" t="n">
        <v>0</v>
      </c>
      <c r="H251" t="n">
        <v>0</v>
      </c>
      <c r="I251" t="n">
        <v>0</v>
      </c>
      <c r="J251" t="n">
        <v>0</v>
      </c>
      <c r="K251" t="n">
        <v>0</v>
      </c>
      <c r="L251" t="n">
        <v>0</v>
      </c>
      <c r="M251" t="n">
        <v>0</v>
      </c>
      <c r="N251" t="n">
        <v>0</v>
      </c>
    </row>
    <row r="252">
      <c r="A252" t="inlineStr">
        <is>
          <t>liveries of the manorial servants</t>
        </is>
      </c>
      <c r="B252" t="inlineStr">
        <is>
          <t>it balances.</t>
        </is>
      </c>
      <c r="C252" t="n">
        <v>0</v>
      </c>
      <c r="D252" t="n">
        <v>0</v>
      </c>
      <c r="E252" t="n">
        <v>0</v>
      </c>
      <c r="F252" t="n">
        <v>0</v>
      </c>
      <c r="H252" t="n">
        <v>0</v>
      </c>
      <c r="I252" t="n">
        <v>0</v>
      </c>
      <c r="J252" t="n">
        <v>0</v>
      </c>
      <c r="K252" t="n">
        <v>0</v>
      </c>
      <c r="L252" t="n">
        <v>0</v>
      </c>
      <c r="M252" t="n">
        <v>0</v>
      </c>
      <c r="N252" t="n">
        <v>0</v>
      </c>
    </row>
    <row r="253">
      <c r="A253" t="inlineStr">
        <is>
          <t>stock</t>
        </is>
      </c>
      <c r="B253" t="inlineStr">
        <is>
          <t>plough-horses: 3 remain.</t>
        </is>
      </c>
      <c r="C253" t="n">
        <v>0</v>
      </c>
      <c r="D253" t="n">
        <v>0</v>
      </c>
      <c r="E253" t="n">
        <v>0</v>
      </c>
      <c r="F253" t="n">
        <v>0</v>
      </c>
      <c r="H253" t="n">
        <v>0</v>
      </c>
      <c r="I253" t="n">
        <v>0</v>
      </c>
      <c r="J253" t="n">
        <v>0</v>
      </c>
      <c r="K253" t="n">
        <v>0</v>
      </c>
      <c r="L253" t="n">
        <v>0</v>
      </c>
      <c r="M253" t="n">
        <v>0</v>
      </c>
      <c r="N253" t="n">
        <v>0</v>
      </c>
    </row>
    <row r="254">
      <c r="A254" t="inlineStr">
        <is>
          <t>stock</t>
        </is>
      </c>
      <c r="B254" t="inlineStr">
        <is>
          <t>2 bought.</t>
        </is>
      </c>
      <c r="C254" t="n">
        <v>0</v>
      </c>
      <c r="D254" t="n">
        <v>0</v>
      </c>
      <c r="E254" t="n">
        <v>0</v>
      </c>
      <c r="F254" t="n">
        <v>0</v>
      </c>
      <c r="H254" t="n">
        <v>0</v>
      </c>
      <c r="I254" t="n">
        <v>0</v>
      </c>
      <c r="J254" t="n">
        <v>0</v>
      </c>
      <c r="K254" t="n">
        <v>0</v>
      </c>
      <c r="L254" t="n">
        <v>0</v>
      </c>
      <c r="M254" t="n">
        <v>0</v>
      </c>
      <c r="N254" t="n">
        <v>0</v>
      </c>
    </row>
    <row r="255">
      <c r="A255" t="inlineStr">
        <is>
          <t>stock</t>
        </is>
      </c>
      <c r="B255" t="inlineStr">
        <is>
          <t>total, 5. 2 sold within.</t>
        </is>
      </c>
      <c r="C255" t="n">
        <v>0</v>
      </c>
      <c r="D255" t="n">
        <v>0</v>
      </c>
      <c r="E255" t="n">
        <v>0</v>
      </c>
      <c r="F255" t="n">
        <v>0</v>
      </c>
      <c r="H255" t="n">
        <v>0</v>
      </c>
      <c r="I255" t="n">
        <v>0</v>
      </c>
      <c r="J255" t="n">
        <v>0</v>
      </c>
      <c r="K255" t="n">
        <v>0</v>
      </c>
      <c r="L255" t="n">
        <v>0</v>
      </c>
      <c r="M255" t="n">
        <v>0</v>
      </c>
      <c r="N255" t="n">
        <v>0</v>
      </c>
    </row>
    <row r="256">
      <c r="A256" t="inlineStr">
        <is>
          <t>stock</t>
        </is>
      </c>
      <c r="B256" t="inlineStr">
        <is>
          <t>total, 2. 3 remain.</t>
        </is>
      </c>
      <c r="C256" t="n">
        <v>0</v>
      </c>
      <c r="D256" t="n">
        <v>0</v>
      </c>
      <c r="E256" t="n">
        <v>0</v>
      </c>
      <c r="F256" t="n">
        <v>0</v>
      </c>
      <c r="H256" t="n">
        <v>0</v>
      </c>
      <c r="I256" t="n">
        <v>0</v>
      </c>
      <c r="J256" t="n">
        <v>0</v>
      </c>
      <c r="K256" t="n">
        <v>0</v>
      </c>
      <c r="L256" t="n">
        <v>0</v>
      </c>
      <c r="M256" t="n">
        <v>0</v>
      </c>
      <c r="N256" t="n">
        <v>0</v>
      </c>
    </row>
    <row r="257">
      <c r="A257" t="inlineStr">
        <is>
          <t>stock</t>
        </is>
      </c>
      <c r="B257" t="inlineStr">
        <is>
          <t>oxen: 18 remain.</t>
        </is>
      </c>
      <c r="C257" t="n">
        <v>0</v>
      </c>
      <c r="D257" t="n">
        <v>0</v>
      </c>
      <c r="E257" t="n">
        <v>0</v>
      </c>
      <c r="F257" t="n">
        <v>0</v>
      </c>
      <c r="H257" t="n">
        <v>0</v>
      </c>
      <c r="I257" t="n">
        <v>0</v>
      </c>
      <c r="J257" t="n">
        <v>0</v>
      </c>
      <c r="K257" t="n">
        <v>0</v>
      </c>
      <c r="L257" t="n">
        <v>0</v>
      </c>
      <c r="M257" t="n">
        <v>0</v>
      </c>
      <c r="N257" t="n">
        <v>0</v>
      </c>
    </row>
    <row r="258">
      <c r="A258" t="inlineStr">
        <is>
          <t>stock</t>
        </is>
      </c>
      <c r="B258" t="inlineStr">
        <is>
          <t>6 bought.</t>
        </is>
      </c>
      <c r="C258" t="n">
        <v>0</v>
      </c>
      <c r="D258" t="n">
        <v>0</v>
      </c>
      <c r="E258" t="n">
        <v>0</v>
      </c>
      <c r="F258" t="n">
        <v>0</v>
      </c>
      <c r="H258" t="n">
        <v>0</v>
      </c>
      <c r="I258" t="n">
        <v>0</v>
      </c>
      <c r="J258" t="n">
        <v>0</v>
      </c>
      <c r="K258" t="n">
        <v>0</v>
      </c>
      <c r="L258" t="n">
        <v>0</v>
      </c>
      <c r="M258" t="n">
        <v>0</v>
      </c>
      <c r="N258" t="n">
        <v>0</v>
      </c>
    </row>
    <row r="259">
      <c r="A259" t="inlineStr">
        <is>
          <t>stock</t>
        </is>
      </c>
      <c r="B259" t="inlineStr">
        <is>
          <t>total, 24. 1 in murrain.</t>
        </is>
      </c>
      <c r="C259" t="n">
        <v>0</v>
      </c>
      <c r="D259" t="n">
        <v>0</v>
      </c>
      <c r="E259" t="n">
        <v>0</v>
      </c>
      <c r="F259" t="n">
        <v>0</v>
      </c>
      <c r="H259" t="n">
        <v>0</v>
      </c>
      <c r="I259" t="n">
        <v>0</v>
      </c>
      <c r="J259" t="n">
        <v>0</v>
      </c>
      <c r="K259" t="n">
        <v>0</v>
      </c>
      <c r="L259" t="n">
        <v>0</v>
      </c>
      <c r="M259" t="n">
        <v>0</v>
      </c>
      <c r="N259" t="n">
        <v>0</v>
      </c>
    </row>
    <row r="260">
      <c r="A260" t="inlineStr">
        <is>
          <t>stock</t>
        </is>
      </c>
      <c r="B260" t="inlineStr">
        <is>
          <t>5 sold within, 1 of them a kebb.</t>
        </is>
      </c>
      <c r="C260" t="n">
        <v>0</v>
      </c>
      <c r="D260" t="n">
        <v>0</v>
      </c>
      <c r="E260" t="n">
        <v>0</v>
      </c>
      <c r="F260" t="n">
        <v>0</v>
      </c>
      <c r="H260" t="n">
        <v>0</v>
      </c>
      <c r="I260" t="n">
        <v>0</v>
      </c>
      <c r="J260" t="n">
        <v>0</v>
      </c>
      <c r="K260" t="n">
        <v>0</v>
      </c>
      <c r="L260" t="n">
        <v>0</v>
      </c>
      <c r="M260" t="n">
        <v>0</v>
      </c>
      <c r="N260" t="n">
        <v>0</v>
      </c>
    </row>
    <row r="261">
      <c r="A261" t="inlineStr">
        <is>
          <t>stock</t>
        </is>
      </c>
      <c r="B261" t="inlineStr">
        <is>
          <t>total, 6. 18 remain.</t>
        </is>
      </c>
      <c r="C261" t="n">
        <v>0</v>
      </c>
      <c r="D261" t="n">
        <v>0</v>
      </c>
      <c r="E261" t="n">
        <v>0</v>
      </c>
      <c r="F261" t="n">
        <v>0</v>
      </c>
      <c r="H261" t="n">
        <v>0</v>
      </c>
      <c r="I261" t="n">
        <v>0</v>
      </c>
      <c r="J261" t="n">
        <v>0</v>
      </c>
      <c r="K261" t="n">
        <v>0</v>
      </c>
      <c r="L261" t="n">
        <v>0</v>
      </c>
      <c r="M261" t="n">
        <v>0</v>
      </c>
      <c r="N261" t="n">
        <v>0</v>
      </c>
    </row>
    <row r="262">
      <c r="A262" t="inlineStr">
        <is>
          <t>stock</t>
        </is>
      </c>
      <c r="B262" t="inlineStr">
        <is>
          <t>cows: 1 from the heriot of john blake.</t>
        </is>
      </c>
      <c r="C262" t="n">
        <v>0</v>
      </c>
      <c r="D262" t="n">
        <v>0</v>
      </c>
      <c r="E262" t="n">
        <v>0</v>
      </c>
      <c r="F262" t="n">
        <v>0</v>
      </c>
      <c r="H262" t="n">
        <v>0</v>
      </c>
      <c r="I262" t="n">
        <v>0</v>
      </c>
      <c r="J262" t="n">
        <v>0</v>
      </c>
      <c r="K262" t="n">
        <v>0</v>
      </c>
      <c r="L262" t="n">
        <v>0</v>
      </c>
      <c r="M262" t="n">
        <v>0</v>
      </c>
      <c r="N262" t="n">
        <v>0</v>
      </c>
    </row>
    <row r="263">
      <c r="A263" t="inlineStr">
        <is>
          <t>stock</t>
        </is>
      </c>
      <c r="B263" t="inlineStr">
        <is>
          <t>1 from the heriot of alice pare.</t>
        </is>
      </c>
      <c r="C263" t="n">
        <v>0</v>
      </c>
      <c r="D263" t="n">
        <v>0</v>
      </c>
      <c r="E263" t="n">
        <v>0</v>
      </c>
      <c r="F263" t="n">
        <v>0</v>
      </c>
      <c r="H263" t="n">
        <v>0</v>
      </c>
      <c r="I263" t="n">
        <v>0</v>
      </c>
      <c r="J263" t="n">
        <v>0</v>
      </c>
      <c r="K263" t="n">
        <v>0</v>
      </c>
      <c r="L263" t="n">
        <v>0</v>
      </c>
      <c r="M263" t="n">
        <v>0</v>
      </c>
      <c r="N263" t="n">
        <v>0</v>
      </c>
    </row>
    <row r="264">
      <c r="A264" t="inlineStr">
        <is>
          <t>stock</t>
        </is>
      </c>
      <c r="B264" t="inlineStr">
        <is>
          <t>total, 2. sold within.</t>
        </is>
      </c>
      <c r="C264" t="n">
        <v>0</v>
      </c>
      <c r="D264" t="n">
        <v>0</v>
      </c>
      <c r="E264" t="n">
        <v>0</v>
      </c>
      <c r="F264" t="n">
        <v>0</v>
      </c>
      <c r="H264" t="n">
        <v>0</v>
      </c>
      <c r="I264" t="n">
        <v>0</v>
      </c>
      <c r="J264" t="n">
        <v>0</v>
      </c>
      <c r="K264" t="n">
        <v>0</v>
      </c>
      <c r="L264" t="n">
        <v>0</v>
      </c>
      <c r="M264" t="n">
        <v>0</v>
      </c>
      <c r="N264" t="n">
        <v>0</v>
      </c>
    </row>
    <row r="265">
      <c r="A265" t="inlineStr">
        <is>
          <t>stock</t>
        </is>
      </c>
      <c r="B265" t="inlineStr">
        <is>
          <t>none remain.</t>
        </is>
      </c>
      <c r="C265" t="n">
        <v>0</v>
      </c>
      <c r="D265" t="n">
        <v>0</v>
      </c>
      <c r="E265" t="n">
        <v>0</v>
      </c>
      <c r="F265" t="n">
        <v>0</v>
      </c>
      <c r="H265" t="n">
        <v>0</v>
      </c>
      <c r="I265" t="n">
        <v>0</v>
      </c>
      <c r="J265" t="n">
        <v>0</v>
      </c>
      <c r="K265" t="n">
        <v>0</v>
      </c>
      <c r="L265" t="n">
        <v>0</v>
      </c>
      <c r="M265" t="n">
        <v>0</v>
      </c>
      <c r="N265" t="n">
        <v>0</v>
      </c>
    </row>
    <row r="266">
      <c r="A266" t="inlineStr">
        <is>
          <t>stock</t>
        </is>
      </c>
      <c r="B266" t="inlineStr">
        <is>
          <t>steers: 2 from the heriot of robert janyns.</t>
        </is>
      </c>
      <c r="C266" t="n">
        <v>0</v>
      </c>
      <c r="D266" t="n">
        <v>0</v>
      </c>
      <c r="E266" t="n">
        <v>0</v>
      </c>
      <c r="F266" t="n">
        <v>0</v>
      </c>
      <c r="H266" t="n">
        <v>0</v>
      </c>
      <c r="I266" t="n">
        <v>0</v>
      </c>
      <c r="J266" t="n">
        <v>0</v>
      </c>
      <c r="K266" t="n">
        <v>0</v>
      </c>
      <c r="L266" t="n">
        <v>0</v>
      </c>
      <c r="M266" t="n">
        <v>0</v>
      </c>
      <c r="N266" t="n">
        <v>0</v>
      </c>
    </row>
    <row r="267">
      <c r="A267" t="inlineStr">
        <is>
          <t>stock</t>
        </is>
      </c>
      <c r="B267" t="inlineStr">
        <is>
          <t>sold within.</t>
        </is>
      </c>
      <c r="C267" t="n">
        <v>0</v>
      </c>
      <c r="D267" t="n">
        <v>0</v>
      </c>
      <c r="E267" t="n">
        <v>0</v>
      </c>
      <c r="F267" t="n">
        <v>0</v>
      </c>
      <c r="H267" t="n">
        <v>0</v>
      </c>
      <c r="I267" t="n">
        <v>0</v>
      </c>
      <c r="J267" t="n">
        <v>0</v>
      </c>
      <c r="K267" t="n">
        <v>0</v>
      </c>
      <c r="L267" t="n">
        <v>0</v>
      </c>
      <c r="M267" t="n">
        <v>0</v>
      </c>
      <c r="N267" t="n">
        <v>0</v>
      </c>
    </row>
    <row r="268">
      <c r="A268" t="inlineStr">
        <is>
          <t>stock</t>
        </is>
      </c>
      <c r="B268" t="inlineStr">
        <is>
          <t>none remain.</t>
        </is>
      </c>
      <c r="C268" t="n">
        <v>0</v>
      </c>
      <c r="D268" t="n">
        <v>0</v>
      </c>
      <c r="E268" t="n">
        <v>0</v>
      </c>
      <c r="F268" t="n">
        <v>0</v>
      </c>
      <c r="H268" t="n">
        <v>0</v>
      </c>
      <c r="I268" t="n">
        <v>0</v>
      </c>
      <c r="J268" t="n">
        <v>0</v>
      </c>
      <c r="K268" t="n">
        <v>0</v>
      </c>
      <c r="L268" t="n">
        <v>0</v>
      </c>
      <c r="M268" t="n">
        <v>0</v>
      </c>
      <c r="N268" t="n">
        <v>0</v>
      </c>
    </row>
    <row r="269">
      <c r="A269" t="inlineStr">
        <is>
          <t>stock</t>
        </is>
      </c>
      <c r="B269" t="inlineStr">
        <is>
          <t>sows: 1 remains.</t>
        </is>
      </c>
      <c r="C269" t="n">
        <v>0</v>
      </c>
      <c r="D269" t="n">
        <v>0</v>
      </c>
      <c r="E269" t="n">
        <v>0</v>
      </c>
      <c r="F269" t="n">
        <v>0</v>
      </c>
      <c r="H269" t="n">
        <v>0</v>
      </c>
      <c r="I269" t="n">
        <v>0</v>
      </c>
      <c r="J269" t="n">
        <v>0</v>
      </c>
      <c r="K269" t="n">
        <v>0</v>
      </c>
      <c r="L269" t="n">
        <v>0</v>
      </c>
      <c r="M269" t="n">
        <v>0</v>
      </c>
      <c r="N269" t="n">
        <v>0</v>
      </c>
    </row>
    <row r="270">
      <c r="A270" t="inlineStr">
        <is>
          <t>stock</t>
        </is>
      </c>
      <c r="B270" t="inlineStr">
        <is>
          <t>hoggets: 14 remain from the piglets.</t>
        </is>
      </c>
      <c r="C270" t="n">
        <v>0</v>
      </c>
      <c r="D270" t="n">
        <v>0</v>
      </c>
      <c r="E270" t="n">
        <v>0</v>
      </c>
      <c r="F270" t="n">
        <v>0</v>
      </c>
      <c r="H270" t="n">
        <v>0</v>
      </c>
      <c r="I270" t="n">
        <v>0</v>
      </c>
      <c r="J270" t="n">
        <v>0</v>
      </c>
      <c r="K270" t="n">
        <v>0</v>
      </c>
      <c r="L270" t="n">
        <v>0</v>
      </c>
      <c r="M270" t="n">
        <v>0</v>
      </c>
      <c r="N270" t="n">
        <v>0</v>
      </c>
    </row>
    <row r="271">
      <c r="A271" t="inlineStr">
        <is>
          <t>stock</t>
        </is>
      </c>
      <c r="B271" t="inlineStr">
        <is>
          <t>sold within.</t>
        </is>
      </c>
      <c r="C271" t="n">
        <v>0</v>
      </c>
      <c r="D271" t="n">
        <v>0</v>
      </c>
      <c r="E271" t="n">
        <v>0</v>
      </c>
      <c r="F271" t="n">
        <v>0</v>
      </c>
      <c r="H271" t="n">
        <v>0</v>
      </c>
      <c r="I271" t="n">
        <v>0</v>
      </c>
      <c r="J271" t="n">
        <v>0</v>
      </c>
      <c r="K271" t="n">
        <v>0</v>
      </c>
      <c r="L271" t="n">
        <v>0</v>
      </c>
      <c r="M271" t="n">
        <v>0</v>
      </c>
      <c r="N271" t="n">
        <v>0</v>
      </c>
    </row>
    <row r="272">
      <c r="A272" t="inlineStr">
        <is>
          <t>stock</t>
        </is>
      </c>
      <c r="B272" t="inlineStr">
        <is>
          <t>none remain.</t>
        </is>
      </c>
      <c r="C272" t="n">
        <v>0</v>
      </c>
      <c r="D272" t="n">
        <v>0</v>
      </c>
      <c r="E272" t="n">
        <v>0</v>
      </c>
      <c r="F272" t="n">
        <v>0</v>
      </c>
      <c r="H272" t="n">
        <v>0</v>
      </c>
      <c r="I272" t="n">
        <v>0</v>
      </c>
      <c r="J272" t="n">
        <v>0</v>
      </c>
      <c r="K272" t="n">
        <v>0</v>
      </c>
      <c r="L272" t="n">
        <v>0</v>
      </c>
      <c r="M272" t="n">
        <v>0</v>
      </c>
      <c r="N272" t="n">
        <v>0</v>
      </c>
    </row>
    <row r="273">
      <c r="A273" t="inlineStr">
        <is>
          <t>stock</t>
        </is>
      </c>
      <c r="B273" t="inlineStr">
        <is>
          <t>piglets: 15 from the offspring of the said sow.</t>
        </is>
      </c>
      <c r="C273" t="n">
        <v>0</v>
      </c>
      <c r="D273" t="n">
        <v>0</v>
      </c>
      <c r="E273" t="n">
        <v>0</v>
      </c>
      <c r="F273" t="n">
        <v>0</v>
      </c>
      <c r="H273" t="n">
        <v>0</v>
      </c>
      <c r="I273" t="n">
        <v>0</v>
      </c>
      <c r="J273" t="n">
        <v>0</v>
      </c>
      <c r="K273" t="n">
        <v>0</v>
      </c>
      <c r="L273" t="n">
        <v>0</v>
      </c>
      <c r="M273" t="n">
        <v>0</v>
      </c>
      <c r="N273" t="n">
        <v>0</v>
      </c>
    </row>
    <row r="274">
      <c r="A274" t="inlineStr">
        <is>
          <t>stock</t>
        </is>
      </c>
      <c r="B274" t="inlineStr">
        <is>
          <t>total, 15. 1 in tithe.</t>
        </is>
      </c>
      <c r="C274" t="n">
        <v>0</v>
      </c>
      <c r="D274" t="n">
        <v>0</v>
      </c>
      <c r="E274" t="n">
        <v>0</v>
      </c>
      <c r="F274" t="n">
        <v>0</v>
      </c>
      <c r="H274" t="n">
        <v>0</v>
      </c>
      <c r="I274" t="n">
        <v>0</v>
      </c>
      <c r="J274" t="n">
        <v>0</v>
      </c>
      <c r="K274" t="n">
        <v>0</v>
      </c>
      <c r="L274" t="n">
        <v>0</v>
      </c>
      <c r="M274" t="n">
        <v>0</v>
      </c>
      <c r="N274" t="n">
        <v>0</v>
      </c>
    </row>
    <row r="275">
      <c r="A275" t="inlineStr">
        <is>
          <t>stock</t>
        </is>
      </c>
      <c r="B275" t="inlineStr">
        <is>
          <t>14 remain.</t>
        </is>
      </c>
      <c r="C275" t="n">
        <v>0</v>
      </c>
      <c r="D275" t="n">
        <v>0</v>
      </c>
      <c r="E275" t="n">
        <v>0</v>
      </c>
      <c r="F275" t="n">
        <v>0</v>
      </c>
      <c r="H275" t="n">
        <v>0</v>
      </c>
      <c r="I275" t="n">
        <v>0</v>
      </c>
      <c r="J275" t="n">
        <v>0</v>
      </c>
      <c r="K275" t="n">
        <v>0</v>
      </c>
      <c r="L275" t="n">
        <v>0</v>
      </c>
      <c r="M275" t="n">
        <v>0</v>
      </c>
      <c r="N275" t="n">
        <v>0</v>
      </c>
    </row>
    <row r="276">
      <c r="A276" t="inlineStr">
        <is>
          <t>stock</t>
        </is>
      </c>
      <c r="B276" t="inlineStr">
        <is>
          <t>hides: 1 from an ox in murrain as made clear above.</t>
        </is>
      </c>
      <c r="C276" t="n">
        <v>0</v>
      </c>
      <c r="D276" t="n">
        <v>0</v>
      </c>
      <c r="E276" t="n">
        <v>0</v>
      </c>
      <c r="F276" t="n">
        <v>0</v>
      </c>
      <c r="H276" t="n">
        <v>0</v>
      </c>
      <c r="I276" t="n">
        <v>0</v>
      </c>
      <c r="J276" t="n">
        <v>0</v>
      </c>
      <c r="K276" t="n">
        <v>0</v>
      </c>
      <c r="L276" t="n">
        <v>0</v>
      </c>
      <c r="M276" t="n">
        <v>0</v>
      </c>
      <c r="N276" t="n">
        <v>0</v>
      </c>
    </row>
    <row r="277">
      <c r="A277" t="inlineStr">
        <is>
          <t>stock</t>
        </is>
      </c>
      <c r="B277" t="inlineStr">
        <is>
          <t>sold within.</t>
        </is>
      </c>
      <c r="C277" t="n">
        <v>0</v>
      </c>
      <c r="D277" t="n">
        <v>0</v>
      </c>
      <c r="E277" t="n">
        <v>0</v>
      </c>
      <c r="F277" t="n">
        <v>0</v>
      </c>
      <c r="H277" t="n">
        <v>0</v>
      </c>
      <c r="I277" t="n">
        <v>0</v>
      </c>
      <c r="J277" t="n">
        <v>0</v>
      </c>
      <c r="K277" t="n">
        <v>0</v>
      </c>
      <c r="L277" t="n">
        <v>0</v>
      </c>
      <c r="M277" t="n">
        <v>0</v>
      </c>
      <c r="N277" t="n">
        <v>0</v>
      </c>
    </row>
    <row r="278">
      <c r="A278" t="inlineStr">
        <is>
          <t>stock</t>
        </is>
      </c>
      <c r="B278" t="inlineStr">
        <is>
          <t>none remain.</t>
        </is>
      </c>
      <c r="C278" t="n">
        <v>0</v>
      </c>
      <c r="D278" t="n">
        <v>0</v>
      </c>
      <c r="E278" t="n">
        <v>0</v>
      </c>
      <c r="F278" t="n">
        <v>0</v>
      </c>
      <c r="H278" t="n">
        <v>0</v>
      </c>
      <c r="I278" t="n">
        <v>0</v>
      </c>
      <c r="J278" t="n">
        <v>0</v>
      </c>
      <c r="K278" t="n">
        <v>0</v>
      </c>
      <c r="L278" t="n">
        <v>0</v>
      </c>
      <c r="M278" t="n">
        <v>0</v>
      </c>
      <c r="N278" t="n">
        <v>0</v>
      </c>
    </row>
    <row r="279">
      <c r="A279" t="inlineStr">
        <is>
          <t>stock</t>
        </is>
      </c>
      <c r="B279" t="inlineStr">
        <is>
          <t>nothing of the labour services of the customary tenants here because sold within as made clear under the heading, sale of labour services.</t>
        </is>
      </c>
      <c r="C279" t="n">
        <v>0</v>
      </c>
      <c r="D279" t="n">
        <v>0</v>
      </c>
      <c r="E279" t="n">
        <v>0</v>
      </c>
      <c r="F279" t="n">
        <v>0</v>
      </c>
      <c r="H279" t="n">
        <v>0</v>
      </c>
      <c r="I279" t="n">
        <v>0</v>
      </c>
      <c r="J279" t="n">
        <v>0</v>
      </c>
      <c r="K279" t="n">
        <v>0</v>
      </c>
      <c r="L279" t="n">
        <v>0</v>
      </c>
      <c r="M279" t="n">
        <v>0</v>
      </c>
      <c r="N279" t="n">
        <v>0</v>
      </c>
    </row>
    <row r="280">
      <c r="A280" t="inlineStr">
        <is>
          <t>stock</t>
        </is>
      </c>
      <c r="B280" t="inlineStr">
        <is>
          <t>hay: 12 haycocks remain.</t>
        </is>
      </c>
      <c r="C280" t="n">
        <v>0</v>
      </c>
      <c r="D280" t="n">
        <v>0</v>
      </c>
      <c r="E280" t="n">
        <v>0</v>
      </c>
      <c r="F280" t="n">
        <v>0</v>
      </c>
      <c r="H280" t="n">
        <v>0</v>
      </c>
      <c r="I280" t="n">
        <v>0</v>
      </c>
      <c r="J280" t="n">
        <v>0</v>
      </c>
      <c r="K280" t="n">
        <v>0</v>
      </c>
      <c r="L280" t="n">
        <v>0</v>
      </c>
      <c r="M280" t="n">
        <v>0</v>
      </c>
      <c r="N280" t="n">
        <v>0</v>
      </c>
    </row>
    <row r="281">
      <c r="A281" t="inlineStr">
        <is>
          <t>stock</t>
        </is>
      </c>
      <c r="B281" t="inlineStr">
        <is>
          <t>14 from the issue of the meadow of haydemede.</t>
        </is>
      </c>
      <c r="C281" t="n">
        <v>0</v>
      </c>
      <c r="D281" t="n">
        <v>0</v>
      </c>
      <c r="E281" t="n">
        <v>0</v>
      </c>
      <c r="F281" t="n">
        <v>0</v>
      </c>
      <c r="H281" t="n">
        <v>0</v>
      </c>
      <c r="I281" t="n">
        <v>0</v>
      </c>
      <c r="J281" t="n">
        <v>0</v>
      </c>
      <c r="K281" t="n">
        <v>0</v>
      </c>
      <c r="L281" t="n">
        <v>0</v>
      </c>
      <c r="M281" t="n">
        <v>0</v>
      </c>
      <c r="N281" t="n">
        <v>0</v>
      </c>
    </row>
    <row r="282">
      <c r="A282" t="inlineStr">
        <is>
          <t>stock</t>
        </is>
      </c>
      <c r="B282" t="inlineStr">
        <is>
          <t>1 from the issue of the meadow of baldewynesmede.</t>
        </is>
      </c>
      <c r="C282" t="n">
        <v>0</v>
      </c>
      <c r="D282" t="n">
        <v>0</v>
      </c>
      <c r="E282" t="n">
        <v>0</v>
      </c>
      <c r="F282" t="n">
        <v>0</v>
      </c>
      <c r="H282" t="n">
        <v>0</v>
      </c>
      <c r="I282" t="n">
        <v>0</v>
      </c>
      <c r="J282" t="n">
        <v>0</v>
      </c>
      <c r="K282" t="n">
        <v>0</v>
      </c>
      <c r="L282" t="n">
        <v>0</v>
      </c>
      <c r="M282" t="n">
        <v>0</v>
      </c>
      <c r="N282" t="n">
        <v>0</v>
      </c>
    </row>
    <row r="283">
      <c r="A283" t="inlineStr">
        <is>
          <t>stock</t>
        </is>
      </c>
      <c r="B283" t="inlineStr">
        <is>
          <t>6 from the issue of the meadow of rodmore.</t>
        </is>
      </c>
      <c r="C283" t="n">
        <v>0</v>
      </c>
      <c r="D283" t="n">
        <v>0</v>
      </c>
      <c r="E283" t="n">
        <v>0</v>
      </c>
      <c r="F283" t="n">
        <v>0</v>
      </c>
      <c r="H283" t="n">
        <v>0</v>
      </c>
      <c r="I283" t="n">
        <v>0</v>
      </c>
      <c r="J283" t="n">
        <v>0</v>
      </c>
      <c r="K283" t="n">
        <v>0</v>
      </c>
      <c r="L283" t="n">
        <v>0</v>
      </c>
      <c r="M283" t="n">
        <v>0</v>
      </c>
      <c r="N283" t="n">
        <v>0</v>
      </c>
    </row>
    <row r="284">
      <c r="A284" t="inlineStr">
        <is>
          <t>stock</t>
        </is>
      </c>
      <c r="B284" t="inlineStr">
        <is>
          <t>7 from the issue of the meadow of wydemede.</t>
        </is>
      </c>
      <c r="C284" t="n">
        <v>0</v>
      </c>
      <c r="D284" t="n">
        <v>0</v>
      </c>
      <c r="E284" t="n">
        <v>0</v>
      </c>
      <c r="F284" t="n">
        <v>0</v>
      </c>
      <c r="H284" t="n">
        <v>0</v>
      </c>
      <c r="I284" t="n">
        <v>0</v>
      </c>
      <c r="J284" t="n">
        <v>0</v>
      </c>
      <c r="K284" t="n">
        <v>0</v>
      </c>
      <c r="L284" t="n">
        <v>0</v>
      </c>
      <c r="M284" t="n">
        <v>0</v>
      </c>
      <c r="N284" t="n">
        <v>0</v>
      </c>
    </row>
    <row r="285">
      <c r="A285" t="inlineStr">
        <is>
          <t>stock</t>
        </is>
      </c>
      <c r="B285" t="inlineStr">
        <is>
          <t>total, 40. 3 in tithe and not more because 12 remained.</t>
        </is>
      </c>
      <c r="C285" t="n">
        <v>0</v>
      </c>
      <c r="D285" t="n">
        <v>0</v>
      </c>
      <c r="E285" t="n">
        <v>0</v>
      </c>
      <c r="F285" t="n">
        <v>0</v>
      </c>
      <c r="H285" t="n">
        <v>0</v>
      </c>
      <c r="I285" t="n">
        <v>0</v>
      </c>
      <c r="J285" t="n">
        <v>0</v>
      </c>
      <c r="K285" t="n">
        <v>0</v>
      </c>
      <c r="L285" t="n">
        <v>0</v>
      </c>
      <c r="M285" t="n">
        <v>0</v>
      </c>
      <c r="N285" t="n">
        <v>0</v>
      </c>
    </row>
    <row r="286">
      <c r="A286" t="inlineStr">
        <is>
          <t>stock</t>
        </is>
      </c>
      <c r="B286" t="inlineStr">
        <is>
          <t>1 in customary payment to the steward.</t>
        </is>
      </c>
      <c r="C286" t="n">
        <v>0</v>
      </c>
      <c r="D286" t="n">
        <v>0</v>
      </c>
      <c r="E286" t="n">
        <v>0</v>
      </c>
      <c r="F286" t="n">
        <v>0</v>
      </c>
      <c r="H286" t="n">
        <v>0</v>
      </c>
      <c r="I286" t="n">
        <v>0</v>
      </c>
      <c r="J286" t="n">
        <v>0</v>
      </c>
      <c r="K286" t="n">
        <v>0</v>
      </c>
      <c r="L286" t="n">
        <v>0</v>
      </c>
      <c r="M286" t="n">
        <v>0</v>
      </c>
      <c r="N286" t="n">
        <v>0</v>
      </c>
    </row>
    <row r="287">
      <c r="A287" t="inlineStr">
        <is>
          <t>stock</t>
        </is>
      </c>
      <c r="B287" t="inlineStr">
        <is>
          <t>2 in customary payment to the hundred.</t>
        </is>
      </c>
      <c r="C287" t="n">
        <v>0</v>
      </c>
      <c r="D287" t="n">
        <v>0</v>
      </c>
      <c r="E287" t="n">
        <v>0</v>
      </c>
      <c r="F287" t="n">
        <v>0</v>
      </c>
      <c r="H287" t="n">
        <v>0</v>
      </c>
      <c r="I287" t="n">
        <v>0</v>
      </c>
      <c r="J287" t="n">
        <v>0</v>
      </c>
      <c r="K287" t="n">
        <v>0</v>
      </c>
      <c r="L287" t="n">
        <v>0</v>
      </c>
      <c r="M287" t="n">
        <v>0</v>
      </c>
      <c r="N287" t="n">
        <v>0</v>
      </c>
    </row>
    <row r="288">
      <c r="A288" t="inlineStr">
        <is>
          <t>stock</t>
        </is>
      </c>
      <c r="B288" t="inlineStr">
        <is>
          <t>10 in support of the lord's plough-horses and oxen in winter.</t>
        </is>
      </c>
      <c r="C288" t="n">
        <v>0</v>
      </c>
      <c r="D288" t="n">
        <v>0</v>
      </c>
      <c r="E288" t="n">
        <v>0</v>
      </c>
      <c r="F288" t="n">
        <v>0</v>
      </c>
      <c r="H288" t="n">
        <v>0</v>
      </c>
      <c r="I288" t="n">
        <v>0</v>
      </c>
      <c r="J288" t="n">
        <v>0</v>
      </c>
      <c r="K288" t="n">
        <v>0</v>
      </c>
      <c r="L288" t="n">
        <v>0</v>
      </c>
      <c r="M288" t="n">
        <v>0</v>
      </c>
      <c r="N288" t="n">
        <v>0</v>
      </c>
    </row>
    <row r="289">
      <c r="A289" t="inlineStr">
        <is>
          <t>stock</t>
        </is>
      </c>
      <c r="B289" t="inlineStr">
        <is>
          <t>12 sold within.</t>
        </is>
      </c>
      <c r="C289" t="n">
        <v>0</v>
      </c>
      <c r="D289" t="n">
        <v>0</v>
      </c>
      <c r="E289" t="n">
        <v>0</v>
      </c>
      <c r="F289" t="n">
        <v>0</v>
      </c>
      <c r="H289" t="n">
        <v>0</v>
      </c>
      <c r="I289" t="n">
        <v>0</v>
      </c>
      <c r="J289" t="n">
        <v>0</v>
      </c>
      <c r="K289" t="n">
        <v>0</v>
      </c>
      <c r="L289" t="n">
        <v>0</v>
      </c>
      <c r="M289" t="n">
        <v>0</v>
      </c>
      <c r="N289" t="n">
        <v>0</v>
      </c>
    </row>
    <row r="290">
      <c r="A290" t="inlineStr">
        <is>
          <t>stock</t>
        </is>
      </c>
      <c r="B290" t="inlineStr">
        <is>
          <t>total, 28. 12 haycocks remain,' containing by estimation 18 cart-loads..</t>
        </is>
      </c>
      <c r="C290" t="n">
        <v>0</v>
      </c>
      <c r="D290" t="n">
        <v>0</v>
      </c>
      <c r="E290" t="n">
        <v>0</v>
      </c>
      <c r="F290" t="n">
        <v>0</v>
      </c>
      <c r="H290" t="n">
        <v>0</v>
      </c>
      <c r="I290" t="n">
        <v>0</v>
      </c>
      <c r="J290" t="n">
        <v>0</v>
      </c>
      <c r="K290" t="n">
        <v>0</v>
      </c>
      <c r="L290" t="n">
        <v>0</v>
      </c>
      <c r="M290" t="n">
        <v>0</v>
      </c>
      <c r="N290" t="n">
        <v>0</v>
      </c>
    </row>
    <row r="291">
      <c r="A291" t="inlineStr">
        <is>
          <t>stock</t>
        </is>
      </c>
      <c r="B291" t="inlineStr">
        <is>
          <t>utensils: 2 ploughs with 2 coulters, 2 ploughshares, 2 drails, 6 iron chains, 8 yokes with 8 iron hasps, rings and staples, 1 cart with iron tyres, 2 iron rungs, 2 hurters and 2 finch-pins, 3 collars, 2 pairs of traces, 1 cart saddle with saddle-pads, a cart-frame and cart-rail, 1 cart-rope, 1 iron bushel measure, 1 basket for carrying corn, 1 dung-fork and 1 wheelbarrow remain.</t>
        </is>
      </c>
      <c r="C291" t="n">
        <v>0</v>
      </c>
      <c r="D291" t="n">
        <v>0</v>
      </c>
      <c r="E291" t="n">
        <v>0</v>
      </c>
      <c r="F291" t="n">
        <v>0</v>
      </c>
      <c r="H291" t="n">
        <v>0</v>
      </c>
      <c r="I291" t="n">
        <v>0</v>
      </c>
      <c r="J291" t="n">
        <v>0</v>
      </c>
      <c r="K291" t="n">
        <v>0</v>
      </c>
      <c r="L291" t="n">
        <v>0</v>
      </c>
      <c r="M291" t="n">
        <v>0</v>
      </c>
      <c r="N291" t="n">
        <v>0</v>
      </c>
    </row>
    <row r="292">
      <c r="A292" t="inlineStr">
        <is>
          <t>stock</t>
        </is>
      </c>
      <c r="B292" t="inlineStr">
        <is>
          <t>all this remains.</t>
        </is>
      </c>
      <c r="C292" t="n">
        <v>0</v>
      </c>
      <c r="D292" t="n">
        <v>0</v>
      </c>
      <c r="E292" t="n">
        <v>0</v>
      </c>
      <c r="F292" t="n">
        <v>0</v>
      </c>
      <c r="H292" t="n">
        <v>0</v>
      </c>
      <c r="I292" t="n">
        <v>0</v>
      </c>
      <c r="J292" t="n">
        <v>0</v>
      </c>
      <c r="K292" t="n">
        <v>0</v>
      </c>
      <c r="L292" t="n">
        <v>0</v>
      </c>
      <c r="M292" t="n">
        <v>0</v>
      </c>
      <c r="N29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5"/>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HOLWAY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Arrears</t>
        </is>
      </c>
      <c r="B3" s="128" t="n">
        <v>6</v>
      </c>
      <c r="C3" s="128" t="n">
        <v>0</v>
      </c>
      <c r="D3" s="128" t="n">
        <v>0</v>
      </c>
      <c r="E3" s="128" t="n"/>
      <c r="F3" s="128" t="n">
        <v>6</v>
      </c>
      <c r="G3" s="128" t="n"/>
      <c r="H3" s="128" t="inlineStr">
        <is>
          <t>The same answers for £6 of arrears from the last account of the preceding year,.</t>
        </is>
      </c>
      <c r="I3" s="128" t="n"/>
    </row>
    <row r="4">
      <c r="A4" s="136" t="inlineStr">
        <is>
          <t>Arrears</t>
        </is>
      </c>
      <c r="B4" s="128" t="n">
        <v>6</v>
      </c>
      <c r="C4" s="128" t="n">
        <v>0</v>
      </c>
      <c r="D4" s="128" t="n">
        <v>0</v>
      </c>
      <c r="E4" s="128" t="n"/>
      <c r="F4" s="128" t="n">
        <v>6</v>
      </c>
      <c r="G4" s="128" t="n"/>
      <c r="H4" s="128" t="inlineStr">
        <is>
          <t>Total, £6..</t>
        </is>
      </c>
      <c r="I4" s="128" t="n"/>
    </row>
    <row r="5">
      <c r="A5" s="138" t="inlineStr">
        <is>
          <t>Arrears total</t>
        </is>
      </c>
      <c r="B5" s="139" t="n"/>
      <c r="C5" s="139" t="n"/>
      <c r="D5" s="139" t="n"/>
      <c r="E5" s="139" t="n"/>
      <c r="F5" s="139" t="n">
        <v>6</v>
      </c>
      <c r="G5" s="139" t="n">
        <v>0</v>
      </c>
      <c r="H5" s="139" t="inlineStr">
        <is>
          <t>Total</t>
        </is>
      </c>
      <c r="I5" s="139" t="n"/>
    </row>
    <row r="6">
      <c r="A6" s="136" t="n"/>
      <c r="B6" s="128" t="n"/>
      <c r="C6" s="128" t="n"/>
      <c r="D6" s="128" t="n"/>
      <c r="E6" s="128" t="n"/>
      <c r="F6" s="128" t="n"/>
      <c r="G6" s="128" t="n"/>
      <c r="H6" s="128" t="n"/>
      <c r="I6" s="128" t="n"/>
    </row>
    <row r="7">
      <c r="A7" s="137" t="inlineStr">
        <is>
          <t>Rents of assize</t>
        </is>
      </c>
      <c r="B7" s="128" t="n">
        <v>25</v>
      </c>
      <c r="C7" s="128" t="n">
        <v>2</v>
      </c>
      <c r="D7" s="128" t="n">
        <v>11.5</v>
      </c>
      <c r="E7" s="128" t="n"/>
      <c r="F7" s="128" t="n">
        <v>25.15</v>
      </c>
      <c r="G7" s="128" t="n"/>
      <c r="H7" s="128" t="inlineStr">
        <is>
          <t>And for £25 2 shilling 11.5pence for all rents of assize at Christmas.</t>
        </is>
      </c>
      <c r="I7" s="128" t="n"/>
    </row>
    <row r="8">
      <c r="A8" s="136" t="inlineStr">
        <is>
          <t>Rents of assize</t>
        </is>
      </c>
      <c r="B8" s="128" t="n">
        <v>25</v>
      </c>
      <c r="C8" s="128" t="n">
        <v>2</v>
      </c>
      <c r="D8" s="128" t="n">
        <v>0</v>
      </c>
      <c r="E8" s="128" t="n"/>
      <c r="F8" s="128" t="n">
        <v>25.1</v>
      </c>
      <c r="G8" s="128" t="n"/>
      <c r="H8" s="128" t="inlineStr">
        <is>
          <t>£25 2 shilling 11.5d, at Easter (23 March).</t>
        </is>
      </c>
      <c r="I8" s="128" t="n"/>
    </row>
    <row r="9">
      <c r="A9" s="136" t="inlineStr">
        <is>
          <t>Rents of assize</t>
        </is>
      </c>
      <c r="B9" s="128" t="n">
        <v>25</v>
      </c>
      <c r="C9" s="128" t="n">
        <v>2</v>
      </c>
      <c r="D9" s="128" t="n">
        <v>11.5</v>
      </c>
      <c r="E9" s="128" t="n"/>
      <c r="F9" s="128" t="n">
        <v>25.15</v>
      </c>
      <c r="G9" s="128" t="n"/>
      <c r="H9" s="128" t="inlineStr">
        <is>
          <t>£25 2 shilling 11.5pence at the Nativity of St John the Baptist (24 June).</t>
        </is>
      </c>
      <c r="I9" s="128" t="n"/>
    </row>
    <row r="10">
      <c r="A10" s="136" t="inlineStr">
        <is>
          <t>Rents of assize</t>
        </is>
      </c>
      <c r="B10" s="128" t="n">
        <v>25</v>
      </c>
      <c r="C10" s="128" t="n">
        <v>2</v>
      </c>
      <c r="D10" s="128" t="n">
        <v>11.75</v>
      </c>
      <c r="E10" s="128" t="n"/>
      <c r="F10" s="128" t="n">
        <v>25.15</v>
      </c>
      <c r="G10" s="128" t="n"/>
      <c r="H10" s="128" t="inlineStr">
        <is>
          <t>£25 2 shilling 11.75pence at Michaelmas (29 September).</t>
        </is>
      </c>
      <c r="I10" s="128" t="n"/>
    </row>
    <row r="11">
      <c r="A11" s="136" t="inlineStr">
        <is>
          <t>Rents of assize</t>
        </is>
      </c>
      <c r="B11" s="128" t="n">
        <v>100</v>
      </c>
      <c r="C11" s="128" t="n">
        <v>11</v>
      </c>
      <c r="D11" s="128" t="n">
        <v>10.25</v>
      </c>
      <c r="E11" s="128" t="n"/>
      <c r="F11" s="128" t="n">
        <v>100.59</v>
      </c>
      <c r="G11" s="128" t="n"/>
      <c r="H11" s="128" t="inlineStr">
        <is>
          <t>Total, £100 11 shilling 10.25pence.</t>
        </is>
      </c>
      <c r="I11" s="128" t="n"/>
    </row>
    <row r="12">
      <c r="A12" s="138" t="inlineStr">
        <is>
          <t>Rents of assize total</t>
        </is>
      </c>
      <c r="B12" s="139" t="n"/>
      <c r="C12" s="139" t="n"/>
      <c r="D12" s="139" t="n"/>
      <c r="E12" s="139" t="n"/>
      <c r="F12" s="139" t="n">
        <v>100.55</v>
      </c>
      <c r="G12" s="139" t="n">
        <v>-0.04</v>
      </c>
      <c r="H12" s="139" t="inlineStr">
        <is>
          <t>Total</t>
        </is>
      </c>
      <c r="I12" s="139" t="n"/>
    </row>
    <row r="13">
      <c r="A13" s="136" t="n"/>
      <c r="B13" s="128" t="n"/>
      <c r="C13" s="128" t="n"/>
      <c r="D13" s="128" t="n"/>
      <c r="E13" s="128" t="n"/>
      <c r="F13" s="128" t="n"/>
      <c r="G13" s="128" t="n"/>
      <c r="H13" s="128" t="n"/>
      <c r="I13" s="128" t="n"/>
    </row>
    <row r="14">
      <c r="A14" s="137" t="inlineStr">
        <is>
          <t>Defaults of rent</t>
        </is>
      </c>
      <c r="B14" s="128" t="n">
        <v>0</v>
      </c>
      <c r="C14" s="128" t="n">
        <v>1</v>
      </c>
      <c r="D14" s="128" t="n">
        <v>0</v>
      </c>
      <c r="E14" s="128" t="n"/>
      <c r="F14" s="128" t="n">
        <v>0.05</v>
      </c>
      <c r="G14" s="128" t="n"/>
      <c r="H14" s="128" t="inlineStr">
        <is>
          <t>In default of the land' formerly of Swyst taken into demesne 1 shilling.</t>
        </is>
      </c>
      <c r="I14" s="128" t="n"/>
    </row>
    <row r="15">
      <c r="A15" s="136" t="inlineStr">
        <is>
          <t>Defaults of rent</t>
        </is>
      </c>
      <c r="B15" s="128" t="n">
        <v>0</v>
      </c>
      <c r="C15" s="128" t="n">
        <v>8</v>
      </c>
      <c r="D15" s="128" t="n">
        <v>6</v>
      </c>
      <c r="E15" s="128" t="n"/>
      <c r="F15" s="128" t="n">
        <v>0.43</v>
      </c>
      <c r="G15" s="128" t="n"/>
      <c r="H15" s="128" t="inlineStr">
        <is>
          <t>that formerly of Robert de Ligh', 8 shilling 6pence for the year.</t>
        </is>
      </c>
      <c r="I15" s="128" t="n"/>
    </row>
    <row r="16">
      <c r="A16" s="136" t="inlineStr">
        <is>
          <t>Defaults of rent</t>
        </is>
      </c>
      <c r="B16" s="128" t="n">
        <v>2</v>
      </c>
      <c r="C16" s="128" t="n">
        <v>5</v>
      </c>
      <c r="D16" s="128" t="n">
        <v>0</v>
      </c>
      <c r="E16" s="128" t="n"/>
      <c r="F16" s="128" t="n">
        <v>2.25</v>
      </c>
      <c r="G16" s="128" t="n"/>
      <c r="H16" s="128" t="inlineStr">
        <is>
          <t>the land of Pixton given to Baldwin son of Gerard in exchange for Corfe, Nailsbourne and Fulford by Bishop Richard £2 5 shilling.</t>
        </is>
      </c>
      <c r="I16" s="128" t="n"/>
    </row>
    <row r="17">
      <c r="A17" s="136" t="inlineStr">
        <is>
          <t>Defaults of rent</t>
        </is>
      </c>
      <c r="B17" s="128" t="n">
        <v>0</v>
      </c>
      <c r="C17" s="128" t="n">
        <v>4</v>
      </c>
      <c r="D17" s="128" t="n">
        <v>11</v>
      </c>
      <c r="E17" s="128" t="n"/>
      <c r="F17" s="128" t="n">
        <v>0.25</v>
      </c>
      <c r="G17" s="128" t="n"/>
      <c r="H17" s="128" t="inlineStr">
        <is>
          <t>the land formerly of Jordan de Fydok' through Bishop Godfrey 4 shilling 11pence.</t>
        </is>
      </c>
      <c r="I17" s="128" t="n"/>
    </row>
    <row r="18">
      <c r="A18" s="136" t="inlineStr">
        <is>
          <t>Defaults of rent</t>
        </is>
      </c>
      <c r="B18" s="128" t="n">
        <v>0</v>
      </c>
      <c r="C18" s="128" t="n">
        <v>3</v>
      </c>
      <c r="D18" s="128" t="n">
        <v>0</v>
      </c>
      <c r="E18" s="128" t="n"/>
      <c r="F18" s="128" t="n">
        <v>0.15</v>
      </c>
      <c r="G18" s="128" t="n"/>
      <c r="H18" s="128" t="inlineStr">
        <is>
          <t>the land of Bridgwater stolen (ablat') by William Breuere in the time of Bishop Godfrey 3 shilling.</t>
        </is>
      </c>
      <c r="I18" s="128" t="n"/>
    </row>
    <row r="19">
      <c r="A19" s="136" t="inlineStr">
        <is>
          <t>Defaults of rent</t>
        </is>
      </c>
      <c r="B19" s="128" t="n">
        <v>0</v>
      </c>
      <c r="C19" s="128" t="n">
        <v>6</v>
      </c>
      <c r="D19" s="128" t="n">
        <v>0</v>
      </c>
      <c r="E19" s="128" t="n"/>
      <c r="F19" s="128" t="n">
        <v>0.3</v>
      </c>
      <c r="G19" s="128" t="n"/>
      <c r="H19" s="128" t="inlineStr">
        <is>
          <t>2 acres of land formerly of John Gleofle de la Flore taken into demesne, 6 shilling for the year.</t>
        </is>
      </c>
      <c r="I19" s="128" t="n"/>
    </row>
    <row r="20">
      <c r="A20" s="136" t="inlineStr">
        <is>
          <t>Defaults of rent</t>
        </is>
      </c>
      <c r="B20" s="128" t="n">
        <v>0</v>
      </c>
      <c r="C20" s="128" t="n">
        <v>0</v>
      </c>
      <c r="D20" s="128" t="n">
        <v>6</v>
      </c>
      <c r="E20" s="128" t="n"/>
      <c r="F20" s="128" t="n">
        <v>0.03</v>
      </c>
      <c r="G20" s="128" t="n"/>
      <c r="H20" s="128" t="inlineStr">
        <is>
          <t>the land formerly of Thomas Codelake taken into demesne for 1 acre of meadow beside the fishpond, 6pence for the year.</t>
        </is>
      </c>
      <c r="I20" s="128" t="n"/>
    </row>
    <row r="21">
      <c r="A21" s="136" t="inlineStr">
        <is>
          <t>Defaults of rent</t>
        </is>
      </c>
      <c r="B21" s="128" t="n">
        <v>0</v>
      </c>
      <c r="C21" s="128" t="n">
        <v>1</v>
      </c>
      <c r="D21" s="128" t="n">
        <v>0</v>
      </c>
      <c r="E21" s="128" t="n"/>
      <c r="F21" s="128" t="n">
        <v>0.05</v>
      </c>
      <c r="G21" s="128" t="n"/>
      <c r="H21" s="128" t="inlineStr">
        <is>
          <t>that of Philip Dawe taken into demesne for 1 acre of meadow there 1 shilling.</t>
        </is>
      </c>
      <c r="I21" s="128" t="n"/>
    </row>
    <row r="22">
      <c r="A22" s="136" t="inlineStr">
        <is>
          <t>Defaults of rent</t>
        </is>
      </c>
      <c r="B22" s="128" t="n">
        <v>0</v>
      </c>
      <c r="C22" s="128" t="n">
        <v>0</v>
      </c>
      <c r="D22" s="128" t="n">
        <v>4</v>
      </c>
      <c r="E22" s="128" t="n"/>
      <c r="F22" s="128" t="n">
        <v>0.02</v>
      </c>
      <c r="G22" s="128" t="n"/>
      <c r="H22" s="128" t="inlineStr">
        <is>
          <t>1 acre of meadow of William atte Burch' in Rodmore taken into demesne 4pence.</t>
        </is>
      </c>
      <c r="I22" s="128" t="n"/>
    </row>
    <row r="23">
      <c r="A23" s="136" t="inlineStr">
        <is>
          <t>Defaults of rent</t>
        </is>
      </c>
      <c r="B23" s="128" t="n">
        <v>0</v>
      </c>
      <c r="C23" s="128" t="n">
        <v>4</v>
      </c>
      <c r="D23" s="128" t="n">
        <v>0</v>
      </c>
      <c r="E23" s="128" t="n"/>
      <c r="F23" s="128" t="n">
        <v>0.2</v>
      </c>
      <c r="G23" s="128" t="n"/>
      <c r="H23" s="128" t="inlineStr">
        <is>
          <t>2 acres of meadow beside the fishpond formerly of Thomas Wallyng', 4 shilling for the year.</t>
        </is>
      </c>
      <c r="I23" s="128" t="n"/>
    </row>
    <row r="24">
      <c r="A24" s="136" t="inlineStr">
        <is>
          <t>Defaults of rent</t>
        </is>
      </c>
      <c r="B24" s="128" t="n">
        <v>0</v>
      </c>
      <c r="C24" s="128" t="n">
        <v>4</v>
      </c>
      <c r="D24" s="128" t="n">
        <v>0</v>
      </c>
      <c r="E24" s="128" t="n"/>
      <c r="F24" s="128" t="n">
        <v>0.2</v>
      </c>
      <c r="G24" s="128" t="n"/>
      <c r="H24" s="128" t="inlineStr">
        <is>
          <t>that of Nicholas atte Walle taken into demesne for 2 acres of meadow 4 shilling.</t>
        </is>
      </c>
      <c r="I24" s="128" t="n"/>
    </row>
    <row r="25">
      <c r="A25" s="136" t="inlineStr">
        <is>
          <t>Defaults of rent</t>
        </is>
      </c>
      <c r="B25" s="128" t="n">
        <v>3</v>
      </c>
      <c r="C25" s="128" t="n">
        <v>18</v>
      </c>
      <c r="D25" s="128" t="n">
        <v>3</v>
      </c>
      <c r="E25" s="128" t="n"/>
      <c r="F25" s="128" t="n">
        <v>3.91</v>
      </c>
      <c r="G25" s="128" t="n"/>
      <c r="H25" s="128" t="inlineStr">
        <is>
          <t>Total, £3 18 shilling 3pence.</t>
        </is>
      </c>
      <c r="I25" s="128" t="n"/>
    </row>
    <row r="26">
      <c r="A26" s="138" t="inlineStr">
        <is>
          <t>Defaults of rent total</t>
        </is>
      </c>
      <c r="B26" s="139" t="n"/>
      <c r="C26" s="139" t="n"/>
      <c r="D26" s="139" t="n"/>
      <c r="E26" s="139" t="n"/>
      <c r="F26" s="139" t="n">
        <v>3.93</v>
      </c>
      <c r="G26" s="139" t="n">
        <v>0.02</v>
      </c>
      <c r="H26" s="139" t="inlineStr">
        <is>
          <t>Total</t>
        </is>
      </c>
      <c r="I26" s="139" t="n"/>
    </row>
    <row r="27">
      <c r="A27" s="136" t="n"/>
      <c r="B27" s="128" t="n"/>
      <c r="C27" s="128" t="n"/>
      <c r="D27" s="128" t="n"/>
      <c r="E27" s="128" t="n"/>
      <c r="F27" s="128" t="n"/>
      <c r="G27" s="128" t="n"/>
      <c r="H27" s="128" t="n"/>
      <c r="I27" s="128" t="n"/>
    </row>
    <row r="28">
      <c r="A28" s="137" t="inlineStr">
        <is>
          <t>Total of quittances and defaults of rent</t>
        </is>
      </c>
      <c r="B28" s="128" t="n">
        <v>4</v>
      </c>
      <c r="C28" s="128" t="n">
        <v>19</v>
      </c>
      <c r="D28" s="128" t="n">
        <v>3</v>
      </c>
      <c r="E28" s="128" t="n"/>
      <c r="F28" s="128" t="n">
        <v>4.96</v>
      </c>
      <c r="G28" s="128" t="n"/>
      <c r="H28" s="128" t="inlineStr">
        <is>
          <t>Total of quittances and defaults of rent, £4 19 shilling 3pence.</t>
        </is>
      </c>
      <c r="I28" s="128" t="n"/>
    </row>
    <row r="29">
      <c r="A29" s="136" t="n"/>
      <c r="B29" s="128" t="n"/>
      <c r="C29" s="128" t="n"/>
      <c r="D29" s="128" t="n"/>
      <c r="E29" s="128" t="n"/>
      <c r="F29" s="128" t="n"/>
      <c r="G29" s="128" t="n"/>
      <c r="H29" s="128" t="n"/>
      <c r="I29" s="128" t="n"/>
    </row>
    <row r="30">
      <c r="A30" s="137" t="inlineStr">
        <is>
          <t>Customary payments</t>
        </is>
      </c>
      <c r="B30" s="128" t="n"/>
      <c r="C30" s="128" t="n"/>
      <c r="D30" s="128" t="n"/>
      <c r="E30" s="128" t="n"/>
      <c r="F30" s="128" t="n">
        <v>7.28</v>
      </c>
      <c r="G30" s="128" t="n"/>
      <c r="H30" s="128" t="inlineStr">
        <is>
          <t>Total</t>
        </is>
      </c>
      <c r="I30" s="128" t="n"/>
    </row>
    <row r="31">
      <c r="A31" s="136" t="n"/>
      <c r="B31" s="128" t="n"/>
      <c r="C31" s="128" t="n"/>
      <c r="D31" s="128" t="n"/>
      <c r="E31" s="128" t="n"/>
      <c r="F31" s="128" t="n"/>
      <c r="G31" s="128" t="n"/>
      <c r="H31" s="128" t="n"/>
      <c r="I31" s="128" t="n"/>
    </row>
    <row r="32">
      <c r="A32" s="137" t="inlineStr">
        <is>
          <t>Issues of the manor</t>
        </is>
      </c>
      <c r="B32" s="128" t="n">
        <v>6</v>
      </c>
      <c r="C32" s="128" t="n">
        <v>0</v>
      </c>
      <c r="D32" s="128" t="n">
        <v>0</v>
      </c>
      <c r="E32" s="128" t="n"/>
      <c r="F32" s="128" t="n">
        <v>6</v>
      </c>
      <c r="G32" s="128" t="n"/>
      <c r="H32" s="128" t="inlineStr">
        <is>
          <t>And for £6 from 12 haycocks sold this year at various prices.</t>
        </is>
      </c>
      <c r="I32" s="128" t="n"/>
    </row>
    <row r="33">
      <c r="A33" s="136" t="inlineStr">
        <is>
          <t>Issues of the manor</t>
        </is>
      </c>
      <c r="B33" s="128" t="n">
        <v>0</v>
      </c>
      <c r="C33" s="128" t="n">
        <v>0</v>
      </c>
      <c r="D33" s="128" t="n">
        <v>0</v>
      </c>
      <c r="E33" s="128" t="n"/>
      <c r="F33" s="128" t="n">
        <v>0</v>
      </c>
      <c r="G33" s="128" t="n"/>
      <c r="H33" s="128" t="inlineStr">
        <is>
          <t>nothing from the agistment of pigs in Hamwode this year because there was no mast.</t>
        </is>
      </c>
      <c r="I33" s="128" t="n"/>
    </row>
    <row r="34">
      <c r="A34" s="136" t="inlineStr">
        <is>
          <t>Issues of the manor</t>
        </is>
      </c>
      <c r="B34" s="128" t="n">
        <v>0</v>
      </c>
      <c r="C34" s="128" t="n">
        <v>0</v>
      </c>
      <c r="D34" s="128" t="n">
        <v>0</v>
      </c>
      <c r="E34" s="128" t="n"/>
      <c r="F34" s="128" t="n">
        <v>0</v>
      </c>
      <c r="G34" s="128" t="n"/>
      <c r="H34" s="128" t="inlineStr">
        <is>
          <t>nothing from the agistment of pigs in Knollewode this year for the above reason.</t>
        </is>
      </c>
      <c r="I34" s="128" t="n"/>
    </row>
    <row r="35">
      <c r="A35" s="136" t="inlineStr">
        <is>
          <t>Issues of the manor</t>
        </is>
      </c>
      <c r="B35" s="128" t="n">
        <v>0</v>
      </c>
      <c r="C35" s="128" t="n">
        <v>0</v>
      </c>
      <c r="D35" s="128" t="n">
        <v>0</v>
      </c>
      <c r="E35" s="128" t="n"/>
      <c r="F35" s="128" t="n">
        <v>0</v>
      </c>
      <c r="G35" s="128" t="n"/>
      <c r="H35" s="128" t="inlineStr">
        <is>
          <t>nothing from the agistment of pigs in Haiwode this year for the above reason.</t>
        </is>
      </c>
      <c r="I35" s="128" t="n"/>
    </row>
    <row r="36">
      <c r="A36" s="136" t="inlineStr">
        <is>
          <t>Issues of the manor</t>
        </is>
      </c>
      <c r="B36" s="128" t="n">
        <v>0</v>
      </c>
      <c r="C36" s="128" t="n">
        <v>0</v>
      </c>
      <c r="D36" s="128" t="n">
        <v>0</v>
      </c>
      <c r="E36" s="128" t="n"/>
      <c r="F36" s="128" t="n">
        <v>0</v>
      </c>
      <c r="G36" s="128" t="n"/>
      <c r="H36" s="128" t="inlineStr">
        <is>
          <t>nothing from the hire of carts this year by reason of the carriage of the new weir.</t>
        </is>
      </c>
      <c r="I36" s="128" t="n"/>
    </row>
    <row r="37">
      <c r="A37" s="136" t="inlineStr">
        <is>
          <t>Issues of the manor</t>
        </is>
      </c>
      <c r="B37" s="128" t="n">
        <v>0</v>
      </c>
      <c r="C37" s="128" t="n">
        <v>4</v>
      </c>
      <c r="D37" s="128" t="n">
        <v>0</v>
      </c>
      <c r="E37" s="128" t="n"/>
      <c r="F37" s="128" t="n">
        <v>0.2</v>
      </c>
      <c r="G37" s="128" t="n"/>
      <c r="H37" s="128" t="inlineStr">
        <is>
          <t>4 shilling from ploughing with the lord's ploughs this year and so little for the abovesaid reason.</t>
        </is>
      </c>
      <c r="I37" s="128" t="n"/>
    </row>
    <row r="38">
      <c r="A38" s="136" t="inlineStr">
        <is>
          <t>Issues of the manor</t>
        </is>
      </c>
      <c r="B38" s="128" t="n">
        <v>0</v>
      </c>
      <c r="C38" s="128" t="n">
        <v>8</v>
      </c>
      <c r="D38" s="128" t="n">
        <v>0</v>
      </c>
      <c r="E38" s="128" t="n"/>
      <c r="F38" s="128" t="n">
        <v>0.4</v>
      </c>
      <c r="G38" s="128" t="n"/>
      <c r="H38" s="128" t="inlineStr">
        <is>
          <t>8 shilling from underwood sold in Knollewode this year.</t>
        </is>
      </c>
      <c r="I38" s="128" t="n"/>
    </row>
    <row r="39">
      <c r="A39" s="136" t="inlineStr">
        <is>
          <t>Issues of the manor</t>
        </is>
      </c>
      <c r="B39" s="128" t="n">
        <v>0</v>
      </c>
      <c r="C39" s="128" t="n">
        <v>0</v>
      </c>
      <c r="D39" s="128" t="n">
        <v>0</v>
      </c>
      <c r="E39" s="128" t="n"/>
      <c r="F39" s="128" t="n">
        <v>0</v>
      </c>
      <c r="G39" s="128" t="n"/>
      <c r="H39" s="128" t="inlineStr">
        <is>
          <t>nothing from the sale of underwood in Haydewode this year.</t>
        </is>
      </c>
      <c r="I39" s="128" t="n"/>
    </row>
    <row r="40">
      <c r="A40" s="136" t="inlineStr">
        <is>
          <t>Issues of the manor</t>
        </is>
      </c>
      <c r="B40" s="128" t="n">
        <v>0</v>
      </c>
      <c r="C40" s="128" t="n">
        <v>0</v>
      </c>
      <c r="D40" s="128" t="n">
        <v>0</v>
      </c>
      <c r="E40" s="128" t="n"/>
      <c r="F40" s="128" t="n">
        <v>0</v>
      </c>
      <c r="G40" s="128" t="n"/>
      <c r="H40" s="128" t="inlineStr">
        <is>
          <t>nothing from the sale of underwood in Iweliscombe this year.</t>
        </is>
      </c>
      <c r="I40" s="128" t="n"/>
    </row>
    <row r="41">
      <c r="A41" s="136" t="inlineStr">
        <is>
          <t>Issues of the manor</t>
        </is>
      </c>
      <c r="B41" s="128" t="n">
        <v>0</v>
      </c>
      <c r="C41" s="128" t="n">
        <v>1</v>
      </c>
      <c r="D41" s="128" t="n">
        <v>0</v>
      </c>
      <c r="E41" s="128" t="n"/>
      <c r="F41" s="128" t="n">
        <v>0.05</v>
      </c>
      <c r="G41" s="128" t="n"/>
      <c r="H41" s="128" t="inlineStr">
        <is>
          <t>1 shilling from underwood sold in the new park this year.</t>
        </is>
      </c>
      <c r="I41" s="128" t="n"/>
    </row>
    <row r="42">
      <c r="A42" s="136" t="inlineStr">
        <is>
          <t>Issues of the manor</t>
        </is>
      </c>
      <c r="B42" s="128" t="n">
        <v>0</v>
      </c>
      <c r="C42" s="128" t="n">
        <v>1</v>
      </c>
      <c r="D42" s="128" t="n">
        <v>8</v>
      </c>
      <c r="E42" s="128" t="n"/>
      <c r="F42" s="128" t="n">
        <v>0.08</v>
      </c>
      <c r="G42" s="128" t="n"/>
      <c r="H42" s="128" t="inlineStr">
        <is>
          <t>1 shilling 8pence from the hide sold of 1 ox in murrain.</t>
        </is>
      </c>
      <c r="I42" s="128" t="n"/>
    </row>
    <row r="43">
      <c r="A43" s="136" t="inlineStr">
        <is>
          <t>Issues of the manor</t>
        </is>
      </c>
      <c r="B43" s="128" t="n">
        <v>0</v>
      </c>
      <c r="C43" s="128" t="n">
        <v>0</v>
      </c>
      <c r="D43" s="128" t="n">
        <v>0</v>
      </c>
      <c r="E43" s="128" t="n"/>
      <c r="F43" s="128" t="n">
        <v>0</v>
      </c>
      <c r="G43" s="128" t="n"/>
      <c r="H43" s="128" t="inlineStr">
        <is>
          <t>nothing from the issue of the tenement of John Shordych because he fined.</t>
        </is>
      </c>
      <c r="I43" s="128" t="n"/>
    </row>
    <row r="44">
      <c r="A44" s="136" t="inlineStr">
        <is>
          <t>Issues of the manor</t>
        </is>
      </c>
      <c r="B44" s="128" t="n">
        <v>6</v>
      </c>
      <c r="C44" s="128" t="n">
        <v>14</v>
      </c>
      <c r="D44" s="128" t="n">
        <v>8</v>
      </c>
      <c r="E44" s="128" t="n"/>
      <c r="F44" s="128" t="n">
        <v>6.73</v>
      </c>
      <c r="G44" s="128" t="n"/>
      <c r="H44" s="128" t="inlineStr">
        <is>
          <t>Total, £6 14 shilling 8pence.</t>
        </is>
      </c>
      <c r="I44" s="128" t="n"/>
    </row>
    <row r="45">
      <c r="A45" s="138" t="inlineStr">
        <is>
          <t>Issues of the manor total</t>
        </is>
      </c>
      <c r="B45" s="139" t="n"/>
      <c r="C45" s="139" t="n"/>
      <c r="D45" s="139" t="n"/>
      <c r="E45" s="139" t="n"/>
      <c r="F45" s="139" t="n">
        <v>6.73</v>
      </c>
      <c r="G45" s="139" t="n">
        <v>0</v>
      </c>
      <c r="H45" s="139" t="inlineStr">
        <is>
          <t>Total</t>
        </is>
      </c>
      <c r="I45" s="139" t="n"/>
    </row>
    <row r="46">
      <c r="A46" s="136" t="n"/>
      <c r="B46" s="128" t="n"/>
      <c r="C46" s="128" t="n"/>
      <c r="D46" s="128" t="n"/>
      <c r="E46" s="128" t="n"/>
      <c r="F46" s="128" t="n"/>
      <c r="G46" s="128" t="n"/>
      <c r="H46" s="128" t="n"/>
      <c r="I46" s="128" t="n"/>
    </row>
    <row r="47">
      <c r="A47" s="137" t="inlineStr">
        <is>
          <t>Annual recognizance</t>
        </is>
      </c>
      <c r="B47" s="128" t="n">
        <v>0</v>
      </c>
      <c r="C47" s="128" t="n">
        <v>0</v>
      </c>
      <c r="D47" s="128" t="n">
        <v>3</v>
      </c>
      <c r="E47" s="128" t="n"/>
      <c r="F47" s="128" t="n">
        <v>0.01</v>
      </c>
      <c r="G47" s="128" t="n"/>
      <c r="H47" s="128" t="inlineStr">
        <is>
          <t>Nothing of the 3pence for the annual recognizance of Richard Hopere, the 3pence of John Noreys, the 2pence of Richard Saundr', the 3pence of John Pomis and the 2pence of Richard Uppehulle because they are dead.</t>
        </is>
      </c>
      <c r="I47" s="128" t="n"/>
    </row>
    <row r="48">
      <c r="A48" s="136" t="inlineStr">
        <is>
          <t>Annual recognizance</t>
        </is>
      </c>
      <c r="B48" s="128" t="n">
        <v>0</v>
      </c>
      <c r="C48" s="128" t="n">
        <v>1</v>
      </c>
      <c r="D48" s="128" t="n">
        <v>1</v>
      </c>
      <c r="E48" s="128" t="n"/>
      <c r="F48" s="128" t="n">
        <v>0.05</v>
      </c>
      <c r="G48" s="128" t="n"/>
      <c r="H48" s="128" t="inlineStr">
        <is>
          <t>It is necessary that the abovesaid persons be charged for 1 shilling 1pence of annual recognizance because it has not been certified by the steward.</t>
        </is>
      </c>
      <c r="I48" s="128" t="n"/>
    </row>
    <row r="49">
      <c r="A49" s="136" t="inlineStr">
        <is>
          <t>Annual recognizance</t>
        </is>
      </c>
      <c r="B49" s="128" t="n">
        <v>0</v>
      </c>
      <c r="C49" s="128" t="n">
        <v>0</v>
      </c>
      <c r="D49" s="128" t="n">
        <v>8</v>
      </c>
      <c r="E49" s="128" t="n"/>
      <c r="F49" s="128" t="n">
        <v>0.03</v>
      </c>
      <c r="G49" s="128" t="n"/>
      <c r="H49" s="128" t="inlineStr">
        <is>
          <t>And for 8pence for the annual recognizance of Walter Kempe, the lord's villein, so that he may dwell outside the lord's liberty as long as it pleases the lord and from to the tourn of Hockday for the year and remain the llords villein as before.</t>
        </is>
      </c>
      <c r="I49" s="128" t="n"/>
    </row>
    <row r="50">
      <c r="A50" s="136" t="inlineStr">
        <is>
          <t>Annual recognizance</t>
        </is>
      </c>
      <c r="B50" s="128" t="n">
        <v>0</v>
      </c>
      <c r="C50" s="128" t="n">
        <v>1</v>
      </c>
      <c r="D50" s="128" t="n">
        <v>4</v>
      </c>
      <c r="E50" s="128" t="n"/>
      <c r="F50" s="128" t="n">
        <v>0.07000000000000001</v>
      </c>
      <c r="G50" s="128" t="n"/>
      <c r="H50" s="128" t="inlineStr">
        <is>
          <t>1 shilling 4pence from William, son of Richard Wodecok, so that he may dwell outside the lord's liberty this year.</t>
        </is>
      </c>
      <c r="I50" s="128" t="n"/>
    </row>
    <row r="51">
      <c r="A51" s="136" t="inlineStr">
        <is>
          <t>Annual recognizance</t>
        </is>
      </c>
      <c r="B51" s="128" t="n">
        <v>0</v>
      </c>
      <c r="C51" s="128" t="n">
        <v>4</v>
      </c>
      <c r="D51" s="128" t="n">
        <v>1</v>
      </c>
      <c r="E51" s="128" t="n"/>
      <c r="F51" s="128" t="n">
        <v>0.2</v>
      </c>
      <c r="G51" s="128" t="n"/>
      <c r="H51" s="128" t="inlineStr">
        <is>
          <t>Total, 4 shilling 1pence.</t>
        </is>
      </c>
      <c r="I51" s="128" t="n"/>
    </row>
    <row r="52">
      <c r="A52" s="138" t="inlineStr">
        <is>
          <t>Annual recognizance total</t>
        </is>
      </c>
      <c r="B52" s="139" t="n"/>
      <c r="C52" s="139" t="n"/>
      <c r="D52" s="139" t="n"/>
      <c r="E52" s="139" t="n"/>
      <c r="F52" s="139" t="n">
        <v>0.16</v>
      </c>
      <c r="G52" s="139" t="n">
        <v>-0.04</v>
      </c>
      <c r="H52" s="139" t="inlineStr">
        <is>
          <t>Total</t>
        </is>
      </c>
      <c r="I52" s="139" t="n"/>
    </row>
    <row r="53">
      <c r="A53" s="136" t="n"/>
      <c r="B53" s="128" t="n"/>
      <c r="C53" s="128" t="n"/>
      <c r="D53" s="128" t="n"/>
      <c r="E53" s="128" t="n"/>
      <c r="F53" s="128" t="n"/>
      <c r="G53" s="128" t="n"/>
      <c r="H53" s="128" t="n"/>
      <c r="I53" s="128" t="n"/>
    </row>
    <row r="54">
      <c r="A54" s="137" t="inlineStr">
        <is>
          <t>Sale of corn</t>
        </is>
      </c>
      <c r="B54" s="128" t="n">
        <v>35</v>
      </c>
      <c r="C54" s="128" t="n">
        <v>18</v>
      </c>
      <c r="D54" s="128" t="n">
        <v>0.75</v>
      </c>
      <c r="E54" s="128" t="n"/>
      <c r="F54" s="128" t="n">
        <v>35.9</v>
      </c>
      <c r="G54" s="128" t="n"/>
      <c r="H54" s="128" t="inlineStr">
        <is>
          <t>And for £35 18 shilling 0.75pence from 38 quarters 3 bushels of wheat sold, at 13 shilling 6pence a qr.</t>
        </is>
      </c>
      <c r="I54" s="128" t="n"/>
    </row>
    <row r="55">
      <c r="A55" s="136" t="inlineStr">
        <is>
          <t>Sale of corn</t>
        </is>
      </c>
      <c r="B55" s="128" t="n">
        <v>4</v>
      </c>
      <c r="C55" s="128" t="n">
        <v>9</v>
      </c>
      <c r="D55" s="128" t="n">
        <v>0.75</v>
      </c>
      <c r="E55" s="128" t="n"/>
      <c r="F55" s="128" t="n">
        <v>4.45</v>
      </c>
      <c r="G55" s="128" t="n"/>
      <c r="H55" s="128" t="inlineStr">
        <is>
          <t>£4 9 shilling 0.75pence from 23 quarters 6 bushels of oats sold to the customary tenants, at 3 shilling 9pence a qr.</t>
        </is>
      </c>
      <c r="I55" s="128" t="n"/>
    </row>
    <row r="56">
      <c r="A56" s="136" t="inlineStr">
        <is>
          <t>Sale of corn</t>
        </is>
      </c>
      <c r="B56" s="128" t="n">
        <v>30</v>
      </c>
      <c r="C56" s="128" t="n">
        <v>7</v>
      </c>
      <c r="D56" s="128" t="n">
        <v>1.5</v>
      </c>
      <c r="E56" s="128" t="n"/>
      <c r="F56" s="128" t="n">
        <v>30.36</v>
      </c>
      <c r="G56" s="128" t="n"/>
      <c r="H56" s="128" t="inlineStr">
        <is>
          <t>Total, £30 7 shilling 1.5pence.</t>
        </is>
      </c>
      <c r="I56" s="128" t="n"/>
    </row>
    <row r="57">
      <c r="A57" s="138" t="inlineStr">
        <is>
          <t>Sale of corn total</t>
        </is>
      </c>
      <c r="B57" s="139" t="n"/>
      <c r="C57" s="139" t="n"/>
      <c r="D57" s="139" t="n"/>
      <c r="E57" s="139" t="n"/>
      <c r="F57" s="139" t="n">
        <v>40.35</v>
      </c>
      <c r="G57" s="139" t="n">
        <v>9.99</v>
      </c>
      <c r="H57" s="139" t="inlineStr">
        <is>
          <t>Total</t>
        </is>
      </c>
      <c r="I57" s="139" t="n"/>
    </row>
    <row r="58">
      <c r="A58" s="136" t="n"/>
      <c r="B58" s="128" t="n"/>
      <c r="C58" s="128" t="n"/>
      <c r="D58" s="128" t="n"/>
      <c r="E58" s="128" t="n"/>
      <c r="F58" s="128" t="n"/>
      <c r="G58" s="128" t="n"/>
      <c r="H58" s="128" t="n"/>
      <c r="I58" s="128" t="n"/>
    </row>
    <row r="59">
      <c r="A59" s="137" t="inlineStr">
        <is>
          <t>Sale of stock</t>
        </is>
      </c>
      <c r="B59" s="128" t="n">
        <v>0</v>
      </c>
      <c r="C59" s="128" t="n">
        <v>3</v>
      </c>
      <c r="D59" s="128" t="n">
        <v>4</v>
      </c>
      <c r="E59" s="128" t="n"/>
      <c r="F59" s="128" t="n">
        <v>0.17</v>
      </c>
      <c r="G59" s="128" t="n"/>
      <c r="H59" s="128" t="inlineStr">
        <is>
          <t>And for 3 shilling 4pence from 1 plough-horse sold.</t>
        </is>
      </c>
      <c r="I59" s="128" t="n"/>
    </row>
    <row r="60">
      <c r="A60" s="136" t="inlineStr">
        <is>
          <t>Sale of stock</t>
        </is>
      </c>
      <c r="B60" s="128" t="n">
        <v>0</v>
      </c>
      <c r="C60" s="128" t="n">
        <v>8</v>
      </c>
      <c r="D60" s="128" t="n">
        <v>4</v>
      </c>
      <c r="E60" s="128" t="n"/>
      <c r="F60" s="128" t="n">
        <v>0.42</v>
      </c>
      <c r="G60" s="128" t="n"/>
      <c r="H60" s="128" t="inlineStr">
        <is>
          <t>8 shilling 4pence from 1 plough-horse unfit (inhabit') for the lord's stock sold.</t>
        </is>
      </c>
      <c r="I60" s="128" t="n"/>
    </row>
    <row r="61">
      <c r="A61" s="136" t="inlineStr">
        <is>
          <t>Sale of stock</t>
        </is>
      </c>
      <c r="B61" s="128" t="n">
        <v>3</v>
      </c>
      <c r="C61" s="128" t="n">
        <v>15</v>
      </c>
      <c r="D61" s="128" t="n">
        <v>0</v>
      </c>
      <c r="E61" s="128" t="n"/>
      <c r="F61" s="128" t="n">
        <v>3.75</v>
      </c>
      <c r="G61" s="128" t="n"/>
      <c r="H61" s="128" t="inlineStr">
        <is>
          <t>£3 15 shilling from 5 oxen unfit for the lord's stock sold, at 15 shilling each.</t>
        </is>
      </c>
      <c r="I61" s="128" t="n"/>
    </row>
    <row r="62">
      <c r="A62" s="136" t="inlineStr">
        <is>
          <t>Sale of stock</t>
        </is>
      </c>
      <c r="B62" s="128" t="n">
        <v>0</v>
      </c>
      <c r="C62" s="128" t="n">
        <v>6</v>
      </c>
      <c r="D62" s="128" t="n">
        <v>0</v>
      </c>
      <c r="E62" s="128" t="n"/>
      <c r="F62" s="128" t="n">
        <v>0.3</v>
      </c>
      <c r="G62" s="128" t="n"/>
      <c r="H62" s="128" t="inlineStr">
        <is>
          <t>6 shilling from 1 cow from the heriot of John Blake sold.</t>
        </is>
      </c>
      <c r="I62" s="128" t="n"/>
    </row>
    <row r="63">
      <c r="A63" s="136" t="inlineStr">
        <is>
          <t>Sale of stock</t>
        </is>
      </c>
      <c r="B63" s="128" t="n">
        <v>0</v>
      </c>
      <c r="C63" s="128" t="n">
        <v>6</v>
      </c>
      <c r="D63" s="128" t="n">
        <v>8</v>
      </c>
      <c r="E63" s="128" t="n"/>
      <c r="F63" s="128" t="n">
        <v>0.33</v>
      </c>
      <c r="G63" s="128" t="n"/>
      <c r="H63" s="128" t="inlineStr">
        <is>
          <t>6 shilling 8pence from 1 cow from the heriot of Alice Pare.</t>
        </is>
      </c>
      <c r="I63" s="128" t="n"/>
    </row>
    <row r="64">
      <c r="A64" s="136" t="inlineStr">
        <is>
          <t>Sale of stock</t>
        </is>
      </c>
      <c r="B64" s="128" t="n">
        <v>1</v>
      </c>
      <c r="C64" s="128" t="n">
        <v>6</v>
      </c>
      <c r="D64" s="128" t="n">
        <v>8</v>
      </c>
      <c r="E64" s="128" t="n"/>
      <c r="F64" s="128" t="n">
        <v>1.33</v>
      </c>
      <c r="G64" s="128" t="n"/>
      <c r="H64" s="128" t="inlineStr">
        <is>
          <t>£1 6 shilling 8pence from 2 steers from the heriot of John Janyns sold.</t>
        </is>
      </c>
      <c r="I64" s="128" t="n"/>
    </row>
    <row r="65">
      <c r="A65" s="136" t="inlineStr">
        <is>
          <t>Sale of stock</t>
        </is>
      </c>
      <c r="B65" s="128" t="n">
        <v>1</v>
      </c>
      <c r="C65" s="128" t="n">
        <v>8</v>
      </c>
      <c r="D65" s="128" t="n">
        <v>0</v>
      </c>
      <c r="E65" s="128" t="n"/>
      <c r="F65" s="128" t="n">
        <v>1.4</v>
      </c>
      <c r="G65" s="128" t="n"/>
      <c r="H65" s="128" t="inlineStr">
        <is>
          <t>£1 8 shilling from 14 hoggets sold, at 2 shilling each.</t>
        </is>
      </c>
      <c r="I65" s="128" t="n"/>
    </row>
    <row r="66">
      <c r="A66" s="136" t="inlineStr">
        <is>
          <t>Sale of stock</t>
        </is>
      </c>
      <c r="B66" s="128" t="n">
        <v>7</v>
      </c>
      <c r="C66" s="128" t="n">
        <v>14</v>
      </c>
      <c r="D66" s="128" t="n">
        <v>0</v>
      </c>
      <c r="E66" s="128" t="n"/>
      <c r="F66" s="128" t="n">
        <v>7.7</v>
      </c>
      <c r="G66" s="128" t="n"/>
      <c r="H66" s="128" t="inlineStr">
        <is>
          <t>Total, £7 14 shilling.</t>
        </is>
      </c>
      <c r="I66" s="128" t="n"/>
    </row>
    <row r="67">
      <c r="A67" s="138" t="inlineStr">
        <is>
          <t>Sale of stock total</t>
        </is>
      </c>
      <c r="B67" s="139" t="n"/>
      <c r="C67" s="139" t="n"/>
      <c r="D67" s="139" t="n"/>
      <c r="E67" s="139" t="n"/>
      <c r="F67" s="139" t="n">
        <v>7.7</v>
      </c>
      <c r="G67" s="139" t="n">
        <v>0</v>
      </c>
      <c r="H67" s="139" t="inlineStr">
        <is>
          <t>Total</t>
        </is>
      </c>
      <c r="I67" s="139" t="n"/>
    </row>
    <row r="68">
      <c r="A68" s="136" t="n"/>
      <c r="B68" s="128" t="n"/>
      <c r="C68" s="128" t="n"/>
      <c r="D68" s="128" t="n"/>
      <c r="E68" s="128" t="n"/>
      <c r="F68" s="128" t="n"/>
      <c r="G68" s="128" t="n"/>
      <c r="H68" s="128" t="n"/>
      <c r="I68" s="128" t="n"/>
    </row>
    <row r="69">
      <c r="A69" s="137" t="inlineStr">
        <is>
          <t>Perquisites of court</t>
        </is>
      </c>
      <c r="B69" s="128" t="n">
        <v>1</v>
      </c>
      <c r="C69" s="128" t="n">
        <v>10</v>
      </c>
      <c r="D69" s="128" t="n">
        <v>0</v>
      </c>
      <c r="E69" s="128" t="n"/>
      <c r="F69" s="128" t="n">
        <v>1.5</v>
      </c>
      <c r="G69" s="128" t="n"/>
      <c r="H69" s="128" t="inlineStr">
        <is>
          <t>And for £1 10 shilling from the perquisites of the tourn of Martinmas (11 November).</t>
        </is>
      </c>
      <c r="I69" s="128" t="n"/>
    </row>
    <row r="70">
      <c r="A70" s="136" t="inlineStr">
        <is>
          <t>Perquisites of court</t>
        </is>
      </c>
      <c r="B70" s="128" t="n">
        <v>2</v>
      </c>
      <c r="C70" s="128" t="n">
        <v>12</v>
      </c>
      <c r="D70" s="128" t="n">
        <v>6</v>
      </c>
      <c r="E70" s="128" t="n"/>
      <c r="F70" s="128" t="n">
        <v>2.62</v>
      </c>
      <c r="G70" s="128" t="n"/>
      <c r="H70" s="128" t="inlineStr">
        <is>
          <t>£2 12 shilling 6pence from the perquisites of the courts held after the said tourn and before the tourn of Hockday.</t>
        </is>
      </c>
      <c r="I70" s="128" t="n"/>
    </row>
    <row r="71">
      <c r="A71" s="136" t="inlineStr">
        <is>
          <t>Perquisites of court</t>
        </is>
      </c>
      <c r="B71" s="128" t="n">
        <v>0</v>
      </c>
      <c r="C71" s="128" t="n">
        <v>6</v>
      </c>
      <c r="D71" s="128" t="n">
        <v>11</v>
      </c>
      <c r="E71" s="128" t="n"/>
      <c r="F71" s="128" t="n">
        <v>0.35</v>
      </c>
      <c r="G71" s="128" t="n"/>
      <c r="H71" s="128" t="inlineStr">
        <is>
          <t>6 shilling 11pence from the perquisites of the tourn of Hockday (1 April).</t>
        </is>
      </c>
      <c r="I71" s="128" t="n"/>
    </row>
    <row r="72">
      <c r="A72" s="136" t="inlineStr">
        <is>
          <t>Perquisites of court</t>
        </is>
      </c>
      <c r="B72" s="128" t="n">
        <v>4</v>
      </c>
      <c r="C72" s="128" t="n">
        <v>9</v>
      </c>
      <c r="D72" s="128" t="n">
        <v>3</v>
      </c>
      <c r="E72" s="128" t="n"/>
      <c r="F72" s="128" t="n">
        <v>4.46</v>
      </c>
      <c r="G72" s="128" t="n"/>
      <c r="H72" s="128" t="inlineStr">
        <is>
          <t>£4 9 shilling 3pence from the perquisites of the courts held after the said tourn.</t>
        </is>
      </c>
      <c r="I72" s="128" t="n"/>
    </row>
    <row r="73">
      <c r="A73" s="138" t="inlineStr">
        <is>
          <t>Perquisites of court total</t>
        </is>
      </c>
      <c r="B73" s="139" t="n">
        <v>8</v>
      </c>
      <c r="C73" s="139" t="n">
        <v>18</v>
      </c>
      <c r="D73" s="139" t="n">
        <v>8</v>
      </c>
      <c r="E73" s="139" t="n"/>
      <c r="F73" s="139" t="n">
        <v>8.93</v>
      </c>
      <c r="G73" s="139" t="n">
        <v>4.47</v>
      </c>
      <c r="H73" s="139" t="inlineStr">
        <is>
          <t>Total, £8 18 shilling 8pence.</t>
        </is>
      </c>
      <c r="I73" s="139" t="n"/>
    </row>
    <row r="74">
      <c r="A74" s="38" t="inlineStr">
        <is>
          <t>Total of all receipts recorded in accounts (calculated here)</t>
        </is>
      </c>
      <c r="F74">
        <f>SUMIF(A1:A73,"* total",F1:F73)-SUMIF(A1:A73,"Arrears total",F1:F73)</f>
        <v/>
      </c>
    </row>
    <row r="75">
      <c r="A75" s="38" t="inlineStr">
        <is>
          <t>Total of all receipts (calculated here) incl arrears</t>
        </is>
      </c>
      <c r="F75">
        <f>F74+SUMIF(A1:A73,"Arrears total",F1:F73)</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3"/>
  <sheetViews>
    <sheetView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Plough-horses: 3 remain.</t>
        </is>
      </c>
      <c r="C3" t="n">
        <v>0</v>
      </c>
      <c r="D3" t="n">
        <v>0</v>
      </c>
      <c r="E3" t="inlineStr">
        <is>
          <t>Plough-horses</t>
        </is>
      </c>
      <c r="F3" t="inlineStr">
        <is>
          <t>3</t>
        </is>
      </c>
    </row>
    <row r="4">
      <c r="A4" t="inlineStr">
        <is>
          <t>Stock</t>
        </is>
      </c>
      <c r="B4" t="inlineStr">
        <is>
          <t>2 bought.</t>
        </is>
      </c>
      <c r="C4" t="n">
        <v>0</v>
      </c>
      <c r="D4" t="n">
        <v>0</v>
      </c>
      <c r="E4" t="inlineStr">
        <is>
          <t>Plough-horses</t>
        </is>
      </c>
      <c r="G4" t="inlineStr">
        <is>
          <t>2</t>
        </is>
      </c>
    </row>
    <row r="5">
      <c r="A5" t="inlineStr">
        <is>
          <t>Stock</t>
        </is>
      </c>
      <c r="B5" t="inlineStr">
        <is>
          <t>Total, 5. 2 sold within.</t>
        </is>
      </c>
      <c r="C5" t="n">
        <v>0</v>
      </c>
      <c r="D5" t="n">
        <v>0</v>
      </c>
      <c r="E5" t="inlineStr">
        <is>
          <t>Plough-horses</t>
        </is>
      </c>
      <c r="I5" t="inlineStr">
        <is>
          <t>2</t>
        </is>
      </c>
    </row>
    <row r="6">
      <c r="A6" t="inlineStr">
        <is>
          <t>Stock</t>
        </is>
      </c>
      <c r="B6" t="inlineStr">
        <is>
          <t>Total, 2. 3 remain.</t>
        </is>
      </c>
      <c r="C6" t="n">
        <v>0</v>
      </c>
      <c r="D6" t="n">
        <v>0</v>
      </c>
      <c r="E6" t="inlineStr">
        <is>
          <t>Plough-horses</t>
        </is>
      </c>
    </row>
    <row r="7">
      <c r="A7" t="inlineStr">
        <is>
          <t>Stock</t>
        </is>
      </c>
      <c r="B7" t="inlineStr">
        <is>
          <t>Oxen: 18 remain.</t>
        </is>
      </c>
      <c r="C7" t="n">
        <v>0</v>
      </c>
      <c r="D7" t="n">
        <v>0</v>
      </c>
      <c r="E7" t="inlineStr">
        <is>
          <t>Oxen</t>
        </is>
      </c>
      <c r="F7" t="inlineStr">
        <is>
          <t>18</t>
        </is>
      </c>
    </row>
    <row r="8">
      <c r="A8" t="inlineStr">
        <is>
          <t>Stock</t>
        </is>
      </c>
      <c r="B8" t="inlineStr">
        <is>
          <t>6 bought.</t>
        </is>
      </c>
      <c r="C8" t="n">
        <v>0</v>
      </c>
      <c r="D8" t="n">
        <v>0</v>
      </c>
      <c r="E8" t="inlineStr">
        <is>
          <t>Oxen</t>
        </is>
      </c>
      <c r="G8" t="inlineStr">
        <is>
          <t>6</t>
        </is>
      </c>
    </row>
    <row r="9">
      <c r="A9" t="inlineStr">
        <is>
          <t>Stock</t>
        </is>
      </c>
      <c r="B9" t="inlineStr">
        <is>
          <t>Total, 24. 1 in murrain.</t>
        </is>
      </c>
      <c r="C9" t="n">
        <v>0</v>
      </c>
      <c r="D9" t="n">
        <v>0</v>
      </c>
      <c r="E9" t="inlineStr">
        <is>
          <t>Oxen</t>
        </is>
      </c>
      <c r="H9" t="inlineStr">
        <is>
          <t>1</t>
        </is>
      </c>
    </row>
    <row r="10">
      <c r="A10" t="inlineStr">
        <is>
          <t>Stock</t>
        </is>
      </c>
      <c r="B10" t="inlineStr">
        <is>
          <t>5 sold within, 1 of them a kebb.</t>
        </is>
      </c>
      <c r="C10" t="n">
        <v>0</v>
      </c>
      <c r="D10" t="n">
        <v>0</v>
      </c>
      <c r="E10" t="inlineStr">
        <is>
          <t>Oxen</t>
        </is>
      </c>
      <c r="I10" t="inlineStr">
        <is>
          <t>5</t>
        </is>
      </c>
    </row>
    <row r="11">
      <c r="A11" t="inlineStr">
        <is>
          <t>Stock</t>
        </is>
      </c>
      <c r="B11" t="inlineStr">
        <is>
          <t>Total, 6. 18 remain.</t>
        </is>
      </c>
      <c r="C11" t="n">
        <v>0</v>
      </c>
      <c r="D11" t="n">
        <v>0</v>
      </c>
      <c r="E11" t="inlineStr">
        <is>
          <t>Oxen</t>
        </is>
      </c>
    </row>
    <row r="12">
      <c r="A12" t="inlineStr">
        <is>
          <t>Stock</t>
        </is>
      </c>
      <c r="B12" t="inlineStr">
        <is>
          <t>Cows: 1 from the heriot of John Blake.</t>
        </is>
      </c>
      <c r="C12" t="n">
        <v>0</v>
      </c>
      <c r="D12" t="n">
        <v>0</v>
      </c>
      <c r="E12" t="inlineStr">
        <is>
          <t>Cows</t>
        </is>
      </c>
    </row>
    <row r="13">
      <c r="A13" t="inlineStr">
        <is>
          <t>Stock</t>
        </is>
      </c>
      <c r="B13" t="inlineStr">
        <is>
          <t>1 from the heriot of Alice Pare.</t>
        </is>
      </c>
      <c r="C13" t="n">
        <v>0</v>
      </c>
      <c r="D13" t="n">
        <v>0</v>
      </c>
      <c r="E13" t="inlineStr">
        <is>
          <t>Cows</t>
        </is>
      </c>
    </row>
    <row r="14">
      <c r="A14" t="inlineStr">
        <is>
          <t>Stock</t>
        </is>
      </c>
      <c r="B14" t="inlineStr">
        <is>
          <t>Total, 2. Sold within.</t>
        </is>
      </c>
      <c r="C14" t="n">
        <v>0</v>
      </c>
      <c r="D14" t="n">
        <v>0</v>
      </c>
      <c r="E14" t="inlineStr">
        <is>
          <t>Cows</t>
        </is>
      </c>
    </row>
    <row r="15">
      <c r="A15" t="inlineStr">
        <is>
          <t>Stock</t>
        </is>
      </c>
      <c r="B15" t="inlineStr">
        <is>
          <t>none remain.</t>
        </is>
      </c>
      <c r="C15" t="n">
        <v>0</v>
      </c>
      <c r="D15" t="n">
        <v>0</v>
      </c>
      <c r="E15" t="inlineStr">
        <is>
          <t>Cows</t>
        </is>
      </c>
    </row>
    <row r="16">
      <c r="A16" t="inlineStr">
        <is>
          <t>Stock</t>
        </is>
      </c>
      <c r="B16" t="inlineStr">
        <is>
          <t>Steers: 2 from the heriot of Robert Janyns.</t>
        </is>
      </c>
      <c r="C16" t="n">
        <v>0</v>
      </c>
      <c r="D16" t="n">
        <v>0</v>
      </c>
      <c r="E16" t="inlineStr">
        <is>
          <t>Steers</t>
        </is>
      </c>
    </row>
    <row r="17">
      <c r="A17" t="inlineStr">
        <is>
          <t>Stock</t>
        </is>
      </c>
      <c r="B17" t="inlineStr">
        <is>
          <t>sold within.</t>
        </is>
      </c>
      <c r="C17" t="n">
        <v>0</v>
      </c>
      <c r="D17" t="n">
        <v>0</v>
      </c>
      <c r="E17" t="inlineStr">
        <is>
          <t>Steers</t>
        </is>
      </c>
    </row>
    <row r="18">
      <c r="A18" t="inlineStr">
        <is>
          <t>Stock</t>
        </is>
      </c>
      <c r="B18" t="inlineStr">
        <is>
          <t>none remain.</t>
        </is>
      </c>
      <c r="C18" t="n">
        <v>0</v>
      </c>
      <c r="D18" t="n">
        <v>0</v>
      </c>
      <c r="E18" t="inlineStr">
        <is>
          <t>Steers</t>
        </is>
      </c>
    </row>
    <row r="19">
      <c r="A19" t="inlineStr">
        <is>
          <t>Stock</t>
        </is>
      </c>
      <c r="B19" t="inlineStr">
        <is>
          <t>Sows: 1 remains.</t>
        </is>
      </c>
      <c r="C19" t="n">
        <v>0</v>
      </c>
      <c r="D19" t="n">
        <v>0</v>
      </c>
      <c r="E19" t="inlineStr">
        <is>
          <t>Sows</t>
        </is>
      </c>
    </row>
    <row r="20">
      <c r="A20" t="inlineStr">
        <is>
          <t>Stock</t>
        </is>
      </c>
      <c r="B20" t="inlineStr">
        <is>
          <t>Hoggets: 14 remain from the piglets.</t>
        </is>
      </c>
      <c r="C20" t="n">
        <v>0</v>
      </c>
      <c r="D20" t="n">
        <v>0</v>
      </c>
      <c r="E20" t="inlineStr">
        <is>
          <t>Hoggets</t>
        </is>
      </c>
      <c r="F20" t="inlineStr">
        <is>
          <t>14</t>
        </is>
      </c>
    </row>
    <row r="21">
      <c r="A21" t="inlineStr">
        <is>
          <t>Stock</t>
        </is>
      </c>
      <c r="B21" t="inlineStr">
        <is>
          <t>sold within.</t>
        </is>
      </c>
      <c r="C21" t="n">
        <v>0</v>
      </c>
      <c r="D21" t="n">
        <v>0</v>
      </c>
      <c r="E21" t="inlineStr">
        <is>
          <t>Hoggets</t>
        </is>
      </c>
    </row>
    <row r="22">
      <c r="A22" t="inlineStr">
        <is>
          <t>Stock</t>
        </is>
      </c>
      <c r="B22" t="inlineStr">
        <is>
          <t>none remain.</t>
        </is>
      </c>
      <c r="C22" t="n">
        <v>0</v>
      </c>
      <c r="D22" t="n">
        <v>0</v>
      </c>
      <c r="E22" t="inlineStr">
        <is>
          <t>Hoggets</t>
        </is>
      </c>
    </row>
    <row r="23">
      <c r="A23" t="inlineStr">
        <is>
          <t>Stock</t>
        </is>
      </c>
      <c r="B23" t="inlineStr">
        <is>
          <t>Piglets: 15 from the offspring of the said sow.</t>
        </is>
      </c>
      <c r="C23" t="n">
        <v>0</v>
      </c>
      <c r="D23" t="n">
        <v>0</v>
      </c>
      <c r="E23" t="inlineStr">
        <is>
          <t>Piglets</t>
        </is>
      </c>
      <c r="G23" t="inlineStr">
        <is>
          <t>15</t>
        </is>
      </c>
    </row>
    <row r="24">
      <c r="A24" t="inlineStr">
        <is>
          <t>Stock</t>
        </is>
      </c>
      <c r="B24" t="inlineStr">
        <is>
          <t>Total, 15. 1 in tithe.</t>
        </is>
      </c>
      <c r="C24" t="n">
        <v>0</v>
      </c>
      <c r="D24" t="n">
        <v>0</v>
      </c>
      <c r="E24" t="inlineStr">
        <is>
          <t>Piglets</t>
        </is>
      </c>
    </row>
    <row r="25">
      <c r="A25" t="inlineStr">
        <is>
          <t>Stock</t>
        </is>
      </c>
      <c r="B25" t="inlineStr">
        <is>
          <t>14 remain.</t>
        </is>
      </c>
      <c r="C25" t="n">
        <v>0</v>
      </c>
      <c r="D25" t="n">
        <v>0</v>
      </c>
      <c r="E25" t="inlineStr">
        <is>
          <t>Piglets</t>
        </is>
      </c>
      <c r="F25" t="inlineStr">
        <is>
          <t>14</t>
        </is>
      </c>
    </row>
    <row r="26">
      <c r="A26" t="inlineStr">
        <is>
          <t>Stock</t>
        </is>
      </c>
      <c r="B26" t="inlineStr">
        <is>
          <t>Hides: 1 from an ox in murrain as made clear above.</t>
        </is>
      </c>
      <c r="C26" t="n">
        <v>0</v>
      </c>
      <c r="D26" t="n">
        <v>0</v>
      </c>
      <c r="E26" t="inlineStr">
        <is>
          <t>Piglets</t>
        </is>
      </c>
      <c r="H26" t="inlineStr">
        <is>
          <t>1</t>
        </is>
      </c>
    </row>
    <row r="27">
      <c r="A27" t="inlineStr">
        <is>
          <t>Stock</t>
        </is>
      </c>
      <c r="B27" t="inlineStr">
        <is>
          <t>sold within.</t>
        </is>
      </c>
      <c r="C27" t="n">
        <v>0</v>
      </c>
      <c r="D27" t="n">
        <v>0</v>
      </c>
      <c r="E27" t="inlineStr">
        <is>
          <t>Piglets</t>
        </is>
      </c>
    </row>
    <row r="28">
      <c r="A28" t="inlineStr">
        <is>
          <t>Stock</t>
        </is>
      </c>
      <c r="B28" t="inlineStr">
        <is>
          <t>none remain.</t>
        </is>
      </c>
      <c r="C28" t="n">
        <v>0</v>
      </c>
      <c r="D28" t="n">
        <v>0</v>
      </c>
      <c r="E28" t="inlineStr">
        <is>
          <t>Piglets</t>
        </is>
      </c>
    </row>
    <row r="29">
      <c r="A29" t="inlineStr">
        <is>
          <t>Stock</t>
        </is>
      </c>
      <c r="B29" t="inlineStr">
        <is>
          <t>Nothing of the labour services of the customary tenants here because sold within as made clear under the heading, sale of labour services.</t>
        </is>
      </c>
      <c r="C29" t="n">
        <v>0</v>
      </c>
      <c r="D29" t="n">
        <v>0</v>
      </c>
      <c r="E29" t="inlineStr">
        <is>
          <t>Piglets</t>
        </is>
      </c>
    </row>
    <row r="30">
      <c r="A30" t="inlineStr">
        <is>
          <t>Stock</t>
        </is>
      </c>
      <c r="B30" t="inlineStr">
        <is>
          <t>Hay: 12 haycocks remain.</t>
        </is>
      </c>
      <c r="C30" t="n">
        <v>0</v>
      </c>
      <c r="D30" t="n">
        <v>0</v>
      </c>
      <c r="E30" t="inlineStr">
        <is>
          <t>Piglets</t>
        </is>
      </c>
    </row>
    <row r="31">
      <c r="A31" t="inlineStr">
        <is>
          <t>Stock</t>
        </is>
      </c>
      <c r="B31" t="inlineStr">
        <is>
          <t>14 from the issue of the meadow of Haydemede.</t>
        </is>
      </c>
      <c r="C31" t="n">
        <v>0</v>
      </c>
      <c r="D31" t="n">
        <v>0</v>
      </c>
      <c r="E31" t="inlineStr">
        <is>
          <t>Piglets</t>
        </is>
      </c>
    </row>
    <row r="32">
      <c r="A32" t="inlineStr">
        <is>
          <t>Stock</t>
        </is>
      </c>
      <c r="B32" t="inlineStr">
        <is>
          <t>1 from the issue of the meadow of Baldewynesmede.</t>
        </is>
      </c>
      <c r="C32" t="n">
        <v>0</v>
      </c>
      <c r="D32" t="n">
        <v>0</v>
      </c>
      <c r="E32" t="inlineStr">
        <is>
          <t>Piglets</t>
        </is>
      </c>
    </row>
    <row r="33">
      <c r="A33" t="inlineStr">
        <is>
          <t>Stock</t>
        </is>
      </c>
      <c r="B33" t="inlineStr">
        <is>
          <t>6 from the issue of the meadow of Rodmore.</t>
        </is>
      </c>
      <c r="C33" t="n">
        <v>0</v>
      </c>
      <c r="D33" t="n">
        <v>0</v>
      </c>
      <c r="E33" t="inlineStr">
        <is>
          <t>Piglets</t>
        </is>
      </c>
    </row>
    <row r="34">
      <c r="A34" t="inlineStr">
        <is>
          <t>Stock</t>
        </is>
      </c>
      <c r="B34" t="inlineStr">
        <is>
          <t>7 from the issue of the meadow of Wydemede.</t>
        </is>
      </c>
      <c r="C34" t="n">
        <v>0</v>
      </c>
      <c r="D34" t="n">
        <v>0</v>
      </c>
      <c r="E34" t="inlineStr">
        <is>
          <t>Piglets</t>
        </is>
      </c>
    </row>
    <row r="35">
      <c r="A35" t="inlineStr">
        <is>
          <t>Stock</t>
        </is>
      </c>
      <c r="B35" t="inlineStr">
        <is>
          <t>Total, 40. 3 in tithe and not more because 12 remained.</t>
        </is>
      </c>
      <c r="C35" t="n">
        <v>0</v>
      </c>
      <c r="D35" t="n">
        <v>0</v>
      </c>
      <c r="E35" t="inlineStr">
        <is>
          <t>Piglets</t>
        </is>
      </c>
    </row>
    <row r="36">
      <c r="A36" t="inlineStr">
        <is>
          <t>Stock</t>
        </is>
      </c>
      <c r="B36" t="inlineStr">
        <is>
          <t>1 in customary payment to the steward.</t>
        </is>
      </c>
      <c r="C36" t="n">
        <v>0</v>
      </c>
      <c r="D36" t="n">
        <v>0</v>
      </c>
      <c r="E36" t="inlineStr">
        <is>
          <t>Piglets</t>
        </is>
      </c>
    </row>
    <row r="37">
      <c r="A37" t="inlineStr">
        <is>
          <t>Stock</t>
        </is>
      </c>
      <c r="B37" t="inlineStr">
        <is>
          <t>2 in customary payment to the hundred.</t>
        </is>
      </c>
      <c r="C37" t="n">
        <v>0</v>
      </c>
      <c r="D37" t="n">
        <v>0</v>
      </c>
      <c r="E37" t="inlineStr">
        <is>
          <t>Piglets</t>
        </is>
      </c>
    </row>
    <row r="38">
      <c r="A38" t="inlineStr">
        <is>
          <t>Stock</t>
        </is>
      </c>
      <c r="B38" t="inlineStr">
        <is>
          <t>10 in support of the lord's plough-horses and oxen in winter.</t>
        </is>
      </c>
      <c r="C38" t="n">
        <v>0</v>
      </c>
      <c r="D38" t="n">
        <v>0</v>
      </c>
      <c r="E38" t="inlineStr">
        <is>
          <t>Piglets</t>
        </is>
      </c>
    </row>
    <row r="39">
      <c r="A39" t="inlineStr">
        <is>
          <t>Stock</t>
        </is>
      </c>
      <c r="B39" t="inlineStr">
        <is>
          <t>12 sold within.</t>
        </is>
      </c>
      <c r="C39" t="n">
        <v>0</v>
      </c>
      <c r="D39" t="n">
        <v>0</v>
      </c>
      <c r="E39" t="inlineStr">
        <is>
          <t>Piglets</t>
        </is>
      </c>
      <c r="I39" t="inlineStr">
        <is>
          <t>12</t>
        </is>
      </c>
    </row>
    <row r="40">
      <c r="A40" t="inlineStr">
        <is>
          <t>Stock</t>
        </is>
      </c>
      <c r="B40" t="inlineStr">
        <is>
          <t>Total, 28. 12 haycocks remain,' containing by estimation 18 cart-loads..</t>
        </is>
      </c>
      <c r="C40" t="n">
        <v>0</v>
      </c>
      <c r="D40" t="n">
        <v>0</v>
      </c>
      <c r="E40" t="inlineStr">
        <is>
          <t>Piglets</t>
        </is>
      </c>
    </row>
    <row r="41">
      <c r="A41" t="inlineStr">
        <is>
          <t>Stock</t>
        </is>
      </c>
      <c r="B41" t="inlineStr">
        <is>
          <t>Utensils: 2 ploughs with 2 coulters, 2 ploughShares, 2 drails, 6 iron chains, 8 yokes with 8 iron hasps, rings and staples, 1 cart with iron tyres, 2 iron rungs, 2 hurters and 2 finch-pins, 3 collars, 2 pairs of traces, 1 cart saddle with saddle-pads, a cart-frame and cart-rail, 1 cart-rope, 1 iron bushel measure, 1 basket for carrying corn, 1 dung-fork and 1 wheelbarrow remain.</t>
        </is>
      </c>
      <c r="C41" t="n">
        <v>0</v>
      </c>
      <c r="D41" t="n">
        <v>0</v>
      </c>
      <c r="E41" t="inlineStr">
        <is>
          <t>Utensils</t>
        </is>
      </c>
      <c r="F41" t="inlineStr">
        <is>
          <t>1</t>
        </is>
      </c>
    </row>
    <row r="42">
      <c r="A42" t="inlineStr">
        <is>
          <t>Stock</t>
        </is>
      </c>
      <c r="B42" t="inlineStr">
        <is>
          <t>All this remains.</t>
        </is>
      </c>
      <c r="C42" t="n">
        <v>0</v>
      </c>
      <c r="D42" t="n">
        <v>0</v>
      </c>
      <c r="E42" t="inlineStr">
        <is>
          <t>Utensils</t>
        </is>
      </c>
    </row>
    <row r="43">
      <c r="A43" t="inlineStr">
        <is>
          <t>Stock</t>
        </is>
      </c>
      <c r="B43" t="inlineStr">
        <is>
          <t>Total</t>
        </is>
      </c>
      <c r="C43" t="n">
        <v>0</v>
      </c>
      <c r="D43" t="n">
        <v>0</v>
      </c>
      <c r="E43" t="inlineStr">
        <is>
          <t>Utensils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G27"/>
  <sheetViews>
    <sheetView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G2" t="n">
        <v>0</v>
      </c>
    </row>
    <row r="3">
      <c r="A3" t="inlineStr">
        <is>
          <t>wheat</t>
        </is>
      </c>
      <c r="B3" t="inlineStr">
        <is>
          <t>richard monke, reeve there, answers for 51 quarters 1 bushels of wheat from the whole issue of the grange, threshed by piece-work, by 1 tally against john calwe, recently reeve.</t>
        </is>
      </c>
      <c r="C3" t="n">
        <v>0</v>
      </c>
      <c r="D3" t="n">
        <v>0</v>
      </c>
      <c r="E3" t="n">
        <v>0</v>
      </c>
      <c r="F3" t="n">
        <v>0</v>
      </c>
      <c r="G3" t="n">
        <v>0</v>
      </c>
      <c r="H3" t="n">
        <v>0</v>
      </c>
      <c r="I3" t="n">
        <v>0</v>
      </c>
      <c r="J3" t="n">
        <v>0</v>
      </c>
      <c r="K3" t="n">
        <v>0</v>
      </c>
      <c r="L3" t="n">
        <v>0</v>
      </c>
      <c r="M3" t="n">
        <v>0</v>
      </c>
      <c r="N3" t="n">
        <v>0</v>
      </c>
      <c r="O3" t="n">
        <v>0</v>
      </c>
      <c r="P3" t="n">
        <v>0</v>
      </c>
      <c r="Q3" t="n">
        <v>0</v>
      </c>
      <c r="R3" t="n">
        <v>0</v>
      </c>
      <c r="S3" t="n">
        <v>0</v>
      </c>
      <c r="T3" t="n">
        <v>51</v>
      </c>
      <c r="U3" t="n">
        <v>1</v>
      </c>
      <c r="V3" t="n">
        <v>51.12</v>
      </c>
      <c r="W3" t="n">
        <v>0</v>
      </c>
      <c r="X3" t="n">
        <v>51</v>
      </c>
      <c r="Y3" t="n">
        <v>1</v>
      </c>
      <c r="Z3" t="n">
        <v>51.12</v>
      </c>
      <c r="AA3" t="n">
        <v>51.12</v>
      </c>
      <c r="AB3" t="n">
        <v>0</v>
      </c>
      <c r="AC3" t="n">
        <v>51</v>
      </c>
      <c r="AD3" t="n">
        <v>1</v>
      </c>
      <c r="AG3" t="n">
        <v>0</v>
      </c>
    </row>
    <row r="4">
      <c r="A4" t="inlineStr">
        <is>
          <t>wheat</t>
        </is>
      </c>
      <c r="B4" t="inlineStr">
        <is>
          <t>7 quarters 3 bushels surcharged so that he answers for a 5-fold yield of the grain this year..</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7</v>
      </c>
      <c r="Y4" t="n">
        <v>3</v>
      </c>
      <c r="Z4" t="n">
        <v>7.38</v>
      </c>
      <c r="AA4" t="n">
        <v>7.38</v>
      </c>
      <c r="AB4" t="n">
        <v>0</v>
      </c>
      <c r="AC4" t="n">
        <v>7</v>
      </c>
      <c r="AD4" t="n">
        <v>3</v>
      </c>
      <c r="AG4" t="n">
        <v>0</v>
      </c>
    </row>
    <row r="5">
      <c r="A5" t="inlineStr">
        <is>
          <t>wheat</t>
        </is>
      </c>
      <c r="B5" t="inlineStr">
        <is>
          <t>total, 58 quarters 4 bushels.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58</v>
      </c>
      <c r="Y5" t="n">
        <v>4</v>
      </c>
      <c r="Z5" t="n">
        <v>58.5</v>
      </c>
      <c r="AA5" t="n">
        <v>58.5</v>
      </c>
      <c r="AB5" t="n">
        <v>0</v>
      </c>
      <c r="AC5" t="n">
        <v>58</v>
      </c>
      <c r="AD5" t="n">
        <v>4</v>
      </c>
      <c r="AG5" t="n">
        <v>0</v>
      </c>
    </row>
    <row r="6">
      <c r="A6" t="inlineStr">
        <is>
          <t>wheat</t>
        </is>
      </c>
      <c r="B6" t="inlineStr">
        <is>
          <t>sown over 68 acres in the fields of stokefeld', holebreche, mannescroft and la flore, 12 quarters 6 bushels.</t>
        </is>
      </c>
      <c r="C6" t="n">
        <v>0</v>
      </c>
      <c r="D6" t="n">
        <v>0</v>
      </c>
      <c r="E6" t="n">
        <v>12</v>
      </c>
      <c r="F6" t="n">
        <v>6</v>
      </c>
      <c r="G6" t="n">
        <v>12.75</v>
      </c>
      <c r="H6" t="n">
        <v>0</v>
      </c>
      <c r="I6" t="n">
        <v>0</v>
      </c>
      <c r="J6" t="n">
        <v>0</v>
      </c>
      <c r="K6" t="n">
        <v>0</v>
      </c>
      <c r="L6" t="n">
        <v>0</v>
      </c>
      <c r="M6" t="n">
        <v>0</v>
      </c>
      <c r="N6" t="n">
        <v>0</v>
      </c>
      <c r="O6" t="n">
        <v>0</v>
      </c>
      <c r="P6" t="n">
        <v>0</v>
      </c>
      <c r="Q6" t="n">
        <v>0</v>
      </c>
      <c r="R6" t="n">
        <v>0</v>
      </c>
      <c r="S6" t="n">
        <v>0</v>
      </c>
      <c r="T6" t="n">
        <v>0</v>
      </c>
      <c r="U6" t="n">
        <v>0</v>
      </c>
      <c r="V6" t="n">
        <v>0</v>
      </c>
      <c r="W6" t="n">
        <v>0</v>
      </c>
      <c r="X6" t="n">
        <v>12</v>
      </c>
      <c r="Y6" t="n">
        <v>6</v>
      </c>
      <c r="Z6" t="n">
        <v>12.75</v>
      </c>
      <c r="AA6" t="n">
        <v>12.75</v>
      </c>
      <c r="AB6" t="n">
        <v>0</v>
      </c>
      <c r="AC6" t="n">
        <v>12</v>
      </c>
      <c r="AD6" t="n">
        <v>6</v>
      </c>
      <c r="AG6" t="n">
        <v>0</v>
      </c>
    </row>
    <row r="7">
      <c r="A7" t="inlineStr">
        <is>
          <t>wheat</t>
        </is>
      </c>
      <c r="B7" t="inlineStr">
        <is>
          <t>that is, 1.5 bushels an acre..</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1.5</v>
      </c>
      <c r="Z7" t="n">
        <v>0.19</v>
      </c>
      <c r="AA7" t="n">
        <v>0.19</v>
      </c>
      <c r="AB7" t="n">
        <v>0</v>
      </c>
      <c r="AC7" t="n">
        <v>0</v>
      </c>
      <c r="AD7" t="n">
        <v>1.5</v>
      </c>
      <c r="AG7" t="n">
        <v>0</v>
      </c>
    </row>
    <row r="8">
      <c r="A8" t="inlineStr">
        <is>
          <t>wheat</t>
        </is>
      </c>
      <c r="B8" t="inlineStr">
        <is>
          <t>sold within to the customary tenants, 28 quarters 3bushels.</t>
        </is>
      </c>
      <c r="C8" t="n">
        <v>0</v>
      </c>
      <c r="D8" t="n">
        <v>0</v>
      </c>
      <c r="E8" t="n">
        <v>0</v>
      </c>
      <c r="F8" t="n">
        <v>0</v>
      </c>
      <c r="G8" t="n">
        <v>0</v>
      </c>
      <c r="H8" t="n">
        <v>0</v>
      </c>
      <c r="I8" t="n">
        <v>0</v>
      </c>
      <c r="J8" t="n">
        <v>0</v>
      </c>
      <c r="K8" t="n">
        <v>0</v>
      </c>
      <c r="L8" t="n">
        <v>0</v>
      </c>
      <c r="M8" t="n">
        <v>0</v>
      </c>
      <c r="N8" t="n">
        <v>0</v>
      </c>
      <c r="O8" t="n">
        <v>0</v>
      </c>
      <c r="P8" t="n">
        <v>0</v>
      </c>
      <c r="Q8" t="n">
        <v>28</v>
      </c>
      <c r="R8" t="n">
        <v>0</v>
      </c>
      <c r="S8" t="n">
        <v>28</v>
      </c>
      <c r="T8" t="n">
        <v>0</v>
      </c>
      <c r="U8" t="n">
        <v>0</v>
      </c>
      <c r="V8" t="n">
        <v>0</v>
      </c>
      <c r="W8" t="n">
        <v>0</v>
      </c>
      <c r="X8" t="n">
        <v>28</v>
      </c>
      <c r="Y8" t="n">
        <v>3</v>
      </c>
      <c r="Z8" t="n">
        <v>28.38</v>
      </c>
      <c r="AA8" t="n">
        <v>28.38</v>
      </c>
      <c r="AB8" t="n">
        <v>0</v>
      </c>
      <c r="AC8" t="n">
        <v>28</v>
      </c>
      <c r="AD8" t="n">
        <v>3</v>
      </c>
      <c r="AG8" t="n">
        <v>0</v>
      </c>
    </row>
    <row r="9">
      <c r="A9" t="inlineStr">
        <is>
          <t>wheat</t>
        </is>
      </c>
      <c r="B9" t="inlineStr">
        <is>
          <t>sold at the audit, 7 quarters 3 bushels for £4 8 shilling.</t>
        </is>
      </c>
      <c r="C9" t="n">
        <v>0</v>
      </c>
      <c r="D9" t="n">
        <v>0</v>
      </c>
      <c r="E9" t="n">
        <v>0</v>
      </c>
      <c r="F9" t="n">
        <v>0</v>
      </c>
      <c r="G9" t="n">
        <v>0</v>
      </c>
      <c r="H9" t="n">
        <v>0</v>
      </c>
      <c r="I9" t="n">
        <v>0</v>
      </c>
      <c r="J9" t="n">
        <v>0</v>
      </c>
      <c r="K9" t="n">
        <v>0</v>
      </c>
      <c r="L9" t="n">
        <v>0</v>
      </c>
      <c r="M9" t="n">
        <v>0</v>
      </c>
      <c r="N9" t="n">
        <v>0</v>
      </c>
      <c r="O9" t="n">
        <v>0</v>
      </c>
      <c r="P9" t="n">
        <v>0</v>
      </c>
      <c r="Q9" t="n">
        <v>7</v>
      </c>
      <c r="R9" t="n">
        <v>3</v>
      </c>
      <c r="S9" t="n">
        <v>7.38</v>
      </c>
      <c r="T9" t="n">
        <v>0</v>
      </c>
      <c r="U9" t="n">
        <v>0</v>
      </c>
      <c r="V9" t="n">
        <v>0</v>
      </c>
      <c r="W9" t="n">
        <v>0</v>
      </c>
      <c r="X9" t="n">
        <v>7</v>
      </c>
      <c r="Y9" t="n">
        <v>3</v>
      </c>
      <c r="Z9" t="n">
        <v>7.38</v>
      </c>
      <c r="AA9" t="n">
        <v>7.38</v>
      </c>
      <c r="AB9" t="n">
        <v>0</v>
      </c>
      <c r="AC9" t="n">
        <v>7</v>
      </c>
      <c r="AD9" t="n">
        <v>3</v>
      </c>
      <c r="AG9" t="n">
        <v>0</v>
      </c>
    </row>
    <row r="10">
      <c r="A10" t="inlineStr">
        <is>
          <t>wheat</t>
        </is>
      </c>
      <c r="B10" t="inlineStr">
        <is>
          <t>total as before.</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G10" t="n">
        <v>0</v>
      </c>
    </row>
    <row r="11">
      <c r="A11" t="inlineStr">
        <is>
          <t>wheat</t>
        </is>
      </c>
      <c r="B11" t="inlineStr">
        <is>
          <t>it balances.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G11" t="n">
        <v>0</v>
      </c>
    </row>
    <row r="12">
      <c r="A12" t="inlineStr">
        <is>
          <t>wheat</t>
        </is>
      </c>
      <c r="B12" t="inlineStr">
        <is>
          <t>total</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AG12" t="n">
        <v>0</v>
      </c>
    </row>
    <row r="13">
      <c r="A13" t="inlineStr">
        <is>
          <t>rye</t>
        </is>
      </c>
      <c r="B13" t="inlineStr">
        <is>
          <t>and for 9 quarters 5 bushels 3 pecks of rye bought.</t>
        </is>
      </c>
      <c r="C13" t="n">
        <v>0</v>
      </c>
      <c r="D13" t="n">
        <v>0</v>
      </c>
      <c r="E13" t="n">
        <v>0</v>
      </c>
      <c r="F13" t="n">
        <v>0</v>
      </c>
      <c r="G13" t="n">
        <v>0</v>
      </c>
      <c r="H13" t="n">
        <v>9</v>
      </c>
      <c r="I13" t="n">
        <v>5</v>
      </c>
      <c r="J13" t="n">
        <v>9.619999999999999</v>
      </c>
      <c r="K13" t="n">
        <v>0</v>
      </c>
      <c r="L13" t="n">
        <v>0</v>
      </c>
      <c r="M13" t="n">
        <v>0</v>
      </c>
      <c r="N13" t="n">
        <v>0</v>
      </c>
      <c r="O13" t="n">
        <v>0</v>
      </c>
      <c r="P13" t="n">
        <v>0</v>
      </c>
      <c r="Q13" t="n">
        <v>0</v>
      </c>
      <c r="R13" t="n">
        <v>0</v>
      </c>
      <c r="S13" t="n">
        <v>0</v>
      </c>
      <c r="T13" t="n">
        <v>0</v>
      </c>
      <c r="U13" t="n">
        <v>0</v>
      </c>
      <c r="V13" t="n">
        <v>0</v>
      </c>
      <c r="W13" t="n">
        <v>0</v>
      </c>
      <c r="X13" t="n">
        <v>9</v>
      </c>
      <c r="Y13" t="n">
        <v>5</v>
      </c>
      <c r="Z13" t="n">
        <v>9.619999999999999</v>
      </c>
      <c r="AA13" t="n">
        <v>9.619999999999999</v>
      </c>
      <c r="AB13" t="n">
        <v>0</v>
      </c>
      <c r="AC13" t="n">
        <v>9</v>
      </c>
      <c r="AD13" t="n">
        <v>5</v>
      </c>
      <c r="AG13" t="n">
        <v>0</v>
      </c>
    </row>
    <row r="14">
      <c r="A14" t="inlineStr">
        <is>
          <t>rye</t>
        </is>
      </c>
      <c r="B14" t="inlineStr">
        <is>
          <t>total, 9 quarters 5 bushels 3 pecks.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9</v>
      </c>
      <c r="Y14" t="n">
        <v>5</v>
      </c>
      <c r="Z14" t="n">
        <v>9.619999999999999</v>
      </c>
      <c r="AA14" t="n">
        <v>9.619999999999999</v>
      </c>
      <c r="AB14" t="n">
        <v>0</v>
      </c>
      <c r="AC14" t="n">
        <v>9</v>
      </c>
      <c r="AD14" t="n">
        <v>5</v>
      </c>
      <c r="AG14" t="n">
        <v>0</v>
      </c>
    </row>
    <row r="15">
      <c r="A15" t="inlineStr">
        <is>
          <t>rye</t>
        </is>
      </c>
      <c r="B15" t="inlineStr">
        <is>
          <t>customary payment to the customary tenants for their boon-reaping, 3 quarters 2 bushels mixed below for the liveries of the manorial servants, 6 quarters 3 bushels 3 pecks..</t>
        </is>
      </c>
      <c r="C15" t="n">
        <v>0</v>
      </c>
      <c r="D15" t="n">
        <v>0</v>
      </c>
      <c r="E15" t="n">
        <v>0</v>
      </c>
      <c r="F15" t="n">
        <v>0</v>
      </c>
      <c r="G15" t="n">
        <v>0</v>
      </c>
      <c r="H15" t="n">
        <v>0</v>
      </c>
      <c r="I15" t="n">
        <v>0</v>
      </c>
      <c r="J15" t="n">
        <v>0</v>
      </c>
      <c r="K15" t="n">
        <v>0</v>
      </c>
      <c r="L15" t="n">
        <v>0</v>
      </c>
      <c r="M15" t="n">
        <v>0</v>
      </c>
      <c r="N15" t="n">
        <v>9</v>
      </c>
      <c r="O15" t="n">
        <v>5</v>
      </c>
      <c r="P15" t="n">
        <v>9.619999999999999</v>
      </c>
      <c r="Q15" t="n">
        <v>0</v>
      </c>
      <c r="R15" t="n">
        <v>0</v>
      </c>
      <c r="S15" t="n">
        <v>0</v>
      </c>
      <c r="T15" t="n">
        <v>0</v>
      </c>
      <c r="U15" t="n">
        <v>0</v>
      </c>
      <c r="V15" t="n">
        <v>0</v>
      </c>
      <c r="W15" t="n">
        <v>0</v>
      </c>
      <c r="X15" t="n">
        <v>6</v>
      </c>
      <c r="Y15" t="n">
        <v>3</v>
      </c>
      <c r="Z15" t="n">
        <v>6.38</v>
      </c>
      <c r="AA15" t="n">
        <v>3.25</v>
      </c>
      <c r="AB15" t="n">
        <v>3.12</v>
      </c>
      <c r="AC15" t="n">
        <v>3</v>
      </c>
      <c r="AD15" t="n">
        <v>2</v>
      </c>
      <c r="AE15" t="n">
        <v>6</v>
      </c>
      <c r="AF15" t="n">
        <v>3</v>
      </c>
      <c r="AG15" t="n">
        <v>0</v>
      </c>
    </row>
    <row r="16">
      <c r="A16" t="inlineStr">
        <is>
          <t>rye</t>
        </is>
      </c>
      <c r="B16" t="inlineStr">
        <is>
          <t>total as before.</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G16" t="n">
        <v>0</v>
      </c>
    </row>
    <row r="17">
      <c r="A17" t="inlineStr">
        <is>
          <t>rye</t>
        </is>
      </c>
      <c r="B17" t="inlineStr">
        <is>
          <t>it balances.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G17" t="n">
        <v>0</v>
      </c>
    </row>
    <row r="18">
      <c r="A18" t="inlineStr">
        <is>
          <t>rye</t>
        </is>
      </c>
      <c r="B18" t="inlineStr">
        <is>
          <t>total</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AG18" t="n">
        <v>0</v>
      </c>
    </row>
    <row r="19">
      <c r="A19" t="inlineStr">
        <is>
          <t>oats</t>
        </is>
      </c>
      <c r="B19" t="inlineStr">
        <is>
          <t>and for 46 quarters 5 bushels of oats from the whole issue of the grange, threshed by piece- work, by 1 tally against the said john.</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46</v>
      </c>
      <c r="U19" t="n">
        <v>5</v>
      </c>
      <c r="V19" t="n">
        <v>46.62</v>
      </c>
      <c r="W19" t="n">
        <v>0</v>
      </c>
      <c r="X19" t="n">
        <v>46</v>
      </c>
      <c r="Y19" t="n">
        <v>5</v>
      </c>
      <c r="Z19" t="n">
        <v>46.62</v>
      </c>
      <c r="AA19" t="n">
        <v>46.62</v>
      </c>
      <c r="AB19" t="n">
        <v>0</v>
      </c>
      <c r="AC19" t="n">
        <v>46</v>
      </c>
      <c r="AD19" t="n">
        <v>5</v>
      </c>
      <c r="AG19" t="n">
        <v>0</v>
      </c>
    </row>
    <row r="20">
      <c r="A20" t="inlineStr">
        <is>
          <t>oats</t>
        </is>
      </c>
      <c r="B20" t="inlineStr">
        <is>
          <t>11 quarters 7 bushels surcharged so that he answers for a 3-fold yie1pence.</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11</v>
      </c>
      <c r="Y20" t="n">
        <v>7</v>
      </c>
      <c r="Z20" t="n">
        <v>11.88</v>
      </c>
      <c r="AA20" t="n">
        <v>11.88</v>
      </c>
      <c r="AB20" t="n">
        <v>0</v>
      </c>
      <c r="AC20" t="n">
        <v>11</v>
      </c>
      <c r="AD20" t="n">
        <v>7</v>
      </c>
      <c r="AG20" t="n">
        <v>0</v>
      </c>
    </row>
    <row r="21">
      <c r="A21" t="inlineStr">
        <is>
          <t>oats</t>
        </is>
      </c>
      <c r="B21" t="inlineStr">
        <is>
          <t>total, 58 quarters 4 bushels.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58</v>
      </c>
      <c r="Y21" t="n">
        <v>4</v>
      </c>
      <c r="Z21" t="n">
        <v>58.5</v>
      </c>
      <c r="AA21" t="n">
        <v>58.5</v>
      </c>
      <c r="AB21" t="n">
        <v>0</v>
      </c>
      <c r="AC21" t="n">
        <v>58</v>
      </c>
      <c r="AD21" t="n">
        <v>4</v>
      </c>
      <c r="AG21" t="n">
        <v>0</v>
      </c>
    </row>
    <row r="22">
      <c r="A22" t="inlineStr">
        <is>
          <t>oats</t>
        </is>
      </c>
      <c r="B22" t="inlineStr">
        <is>
          <t>sown over 61 acres in the fields of waterslade, treschey and bertonefeld', 22 quarters 7 bushels.</t>
        </is>
      </c>
      <c r="C22" t="n">
        <v>0</v>
      </c>
      <c r="D22" t="n">
        <v>0</v>
      </c>
      <c r="E22" t="n">
        <v>22</v>
      </c>
      <c r="F22" t="n">
        <v>7</v>
      </c>
      <c r="G22" t="n">
        <v>22.88</v>
      </c>
      <c r="H22" t="n">
        <v>0</v>
      </c>
      <c r="I22" t="n">
        <v>0</v>
      </c>
      <c r="J22" t="n">
        <v>0</v>
      </c>
      <c r="K22" t="n">
        <v>0</v>
      </c>
      <c r="L22" t="n">
        <v>0</v>
      </c>
      <c r="M22" t="n">
        <v>0</v>
      </c>
      <c r="N22" t="n">
        <v>0</v>
      </c>
      <c r="O22" t="n">
        <v>0</v>
      </c>
      <c r="P22" t="n">
        <v>0</v>
      </c>
      <c r="Q22" t="n">
        <v>0</v>
      </c>
      <c r="R22" t="n">
        <v>0</v>
      </c>
      <c r="S22" t="n">
        <v>0</v>
      </c>
      <c r="T22" t="n">
        <v>0</v>
      </c>
      <c r="U22" t="n">
        <v>0</v>
      </c>
      <c r="V22" t="n">
        <v>0</v>
      </c>
      <c r="W22" t="n">
        <v>0</v>
      </c>
      <c r="X22" t="n">
        <v>22</v>
      </c>
      <c r="Y22" t="n">
        <v>7</v>
      </c>
      <c r="Z22" t="n">
        <v>22.88</v>
      </c>
      <c r="AA22" t="n">
        <v>22.88</v>
      </c>
      <c r="AB22" t="n">
        <v>0</v>
      </c>
      <c r="AC22" t="n">
        <v>22</v>
      </c>
      <c r="AD22" t="n">
        <v>7</v>
      </c>
      <c r="AG22" t="n">
        <v>0</v>
      </c>
    </row>
    <row r="23">
      <c r="A23" t="inlineStr">
        <is>
          <t>oats</t>
        </is>
      </c>
      <c r="B23" t="inlineStr">
        <is>
          <t>that is, 3 bushels an acre.</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3</v>
      </c>
      <c r="Z23" t="n">
        <v>0.38</v>
      </c>
      <c r="AA23" t="n">
        <v>0.38</v>
      </c>
      <c r="AB23" t="n">
        <v>0</v>
      </c>
      <c r="AC23" t="n">
        <v>0</v>
      </c>
      <c r="AD23" t="n">
        <v>3</v>
      </c>
      <c r="AG23" t="n">
        <v>0</v>
      </c>
    </row>
    <row r="24">
      <c r="A24" t="inlineStr">
        <is>
          <t>oats</t>
        </is>
      </c>
      <c r="B24" t="inlineStr">
        <is>
          <t>sold within to the customary tenants, 23 quarters 6 bushels.</t>
        </is>
      </c>
      <c r="C24" t="n">
        <v>0</v>
      </c>
      <c r="D24" t="n">
        <v>0</v>
      </c>
      <c r="E24" t="n">
        <v>0</v>
      </c>
      <c r="F24" t="n">
        <v>0</v>
      </c>
      <c r="G24" t="n">
        <v>0</v>
      </c>
      <c r="H24" t="n">
        <v>0</v>
      </c>
      <c r="I24" t="n">
        <v>0</v>
      </c>
      <c r="J24" t="n">
        <v>0</v>
      </c>
      <c r="K24" t="n">
        <v>0</v>
      </c>
      <c r="L24" t="n">
        <v>0</v>
      </c>
      <c r="M24" t="n">
        <v>0</v>
      </c>
      <c r="N24" t="n">
        <v>0</v>
      </c>
      <c r="O24" t="n">
        <v>0</v>
      </c>
      <c r="P24" t="n">
        <v>0</v>
      </c>
      <c r="Q24" t="n">
        <v>23</v>
      </c>
      <c r="R24" t="n">
        <v>6</v>
      </c>
      <c r="S24" t="n">
        <v>23.75</v>
      </c>
      <c r="T24" t="n">
        <v>0</v>
      </c>
      <c r="U24" t="n">
        <v>0</v>
      </c>
      <c r="V24" t="n">
        <v>0</v>
      </c>
      <c r="W24" t="n">
        <v>0</v>
      </c>
      <c r="X24" t="n">
        <v>23</v>
      </c>
      <c r="Y24" t="n">
        <v>6</v>
      </c>
      <c r="Z24" t="n">
        <v>23.75</v>
      </c>
      <c r="AA24" t="n">
        <v>23.75</v>
      </c>
      <c r="AB24" t="n">
        <v>0</v>
      </c>
      <c r="AC24" t="n">
        <v>23</v>
      </c>
      <c r="AD24" t="n">
        <v>6</v>
      </c>
      <c r="AG24" t="n">
        <v>0</v>
      </c>
    </row>
    <row r="25">
      <c r="A25" t="inlineStr">
        <is>
          <t>oats</t>
        </is>
      </c>
      <c r="B25" t="inlineStr">
        <is>
          <t>sold at the audit, 11 quarters 7 bushels for £1 15 shilling 7.5pence.</t>
        </is>
      </c>
      <c r="C25" t="n">
        <v>0</v>
      </c>
      <c r="D25" t="n">
        <v>0</v>
      </c>
      <c r="E25" t="n">
        <v>0</v>
      </c>
      <c r="F25" t="n">
        <v>0</v>
      </c>
      <c r="G25" t="n">
        <v>0</v>
      </c>
      <c r="H25" t="n">
        <v>0</v>
      </c>
      <c r="I25" t="n">
        <v>0</v>
      </c>
      <c r="J25" t="n">
        <v>0</v>
      </c>
      <c r="K25" t="n">
        <v>0</v>
      </c>
      <c r="L25" t="n">
        <v>0</v>
      </c>
      <c r="M25" t="n">
        <v>0</v>
      </c>
      <c r="N25" t="n">
        <v>0</v>
      </c>
      <c r="O25" t="n">
        <v>0</v>
      </c>
      <c r="P25" t="n">
        <v>0</v>
      </c>
      <c r="Q25" t="n">
        <v>11</v>
      </c>
      <c r="R25" t="n">
        <v>7</v>
      </c>
      <c r="S25" t="n">
        <v>11.88</v>
      </c>
      <c r="T25" t="n">
        <v>0</v>
      </c>
      <c r="U25" t="n">
        <v>0</v>
      </c>
      <c r="V25" t="n">
        <v>0</v>
      </c>
      <c r="W25" t="n">
        <v>0</v>
      </c>
      <c r="X25" t="n">
        <v>11</v>
      </c>
      <c r="Y25" t="n">
        <v>7</v>
      </c>
      <c r="Z25" t="n">
        <v>11.88</v>
      </c>
      <c r="AA25" t="n">
        <v>11.88</v>
      </c>
      <c r="AB25" t="n">
        <v>0</v>
      </c>
      <c r="AC25" t="n">
        <v>11</v>
      </c>
      <c r="AD25" t="n">
        <v>7</v>
      </c>
      <c r="AG25" t="n">
        <v>0</v>
      </c>
    </row>
    <row r="26">
      <c r="A26" t="inlineStr">
        <is>
          <t>oats</t>
        </is>
      </c>
      <c r="B26" t="inlineStr">
        <is>
          <t>total as before.</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G26" t="n">
        <v>0</v>
      </c>
    </row>
    <row r="27">
      <c r="A27" t="inlineStr">
        <is>
          <t>oats</t>
        </is>
      </c>
      <c r="B27" t="inlineStr">
        <is>
          <t>it balances.</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G27"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row>
    <row r="3">
      <c r="A3" t="inlineStr">
        <is>
          <t>wheat</t>
        </is>
      </c>
      <c r="B3" t="n">
        <v>0</v>
      </c>
      <c r="C3" t="n">
        <v>51</v>
      </c>
      <c r="D3" t="n">
        <v>1</v>
      </c>
      <c r="E3" t="n">
        <v>51.12</v>
      </c>
      <c r="F3" t="n">
        <v>0</v>
      </c>
      <c r="G3" t="n">
        <v>0</v>
      </c>
      <c r="H3" t="n">
        <v>0</v>
      </c>
      <c r="I3" t="n">
        <v>28</v>
      </c>
      <c r="J3" t="n">
        <v>3</v>
      </c>
      <c r="K3" t="n">
        <v>28</v>
      </c>
      <c r="L3" t="n">
        <v>51.12</v>
      </c>
      <c r="M3" t="n">
        <v>23.12</v>
      </c>
      <c r="N3" t="n">
        <v>0.68</v>
      </c>
      <c r="O3" t="n">
        <v>0.68</v>
      </c>
      <c r="P3" t="n">
        <v>34.51</v>
      </c>
      <c r="Q3" t="n">
        <v>34.51</v>
      </c>
    </row>
    <row r="4">
      <c r="A4" t="inlineStr">
        <is>
          <t>rye</t>
        </is>
      </c>
      <c r="B4" t="n">
        <v>0</v>
      </c>
      <c r="C4" t="n">
        <v>0</v>
      </c>
      <c r="D4" t="n">
        <v>0</v>
      </c>
      <c r="E4" t="n">
        <v>0</v>
      </c>
      <c r="F4" t="n">
        <v>0</v>
      </c>
      <c r="G4" t="n">
        <v>5</v>
      </c>
      <c r="H4" t="n">
        <v>0</v>
      </c>
      <c r="I4" t="n">
        <v>0</v>
      </c>
      <c r="J4" t="n">
        <v>0</v>
      </c>
      <c r="K4" t="n">
        <v>0</v>
      </c>
      <c r="L4" t="n">
        <v>0</v>
      </c>
      <c r="M4" t="n">
        <v>0</v>
      </c>
    </row>
    <row r="5">
      <c r="A5" t="inlineStr">
        <is>
          <t>oats</t>
        </is>
      </c>
      <c r="B5" t="n">
        <v>0</v>
      </c>
      <c r="C5" t="n">
        <v>46</v>
      </c>
      <c r="D5" t="n">
        <v>5</v>
      </c>
      <c r="E5" t="n">
        <v>46.62</v>
      </c>
      <c r="F5" t="n">
        <v>0</v>
      </c>
      <c r="G5" t="n">
        <v>0</v>
      </c>
      <c r="H5" t="n">
        <v>0</v>
      </c>
      <c r="I5" t="n">
        <v>23</v>
      </c>
      <c r="J5" t="n">
        <v>7</v>
      </c>
      <c r="K5" t="n">
        <v>23.75</v>
      </c>
      <c r="L5" t="n">
        <v>46.62</v>
      </c>
      <c r="M5" t="n">
        <v>22.88</v>
      </c>
      <c r="N5" t="n">
        <v>0.19</v>
      </c>
      <c r="O5" t="n">
        <v>0.19</v>
      </c>
      <c r="P5" t="n">
        <v>8.74</v>
      </c>
      <c r="Q5" t="n">
        <v>8.74</v>
      </c>
    </row>
    <row r="6">
      <c r="A6" t="inlineStr">
        <is>
          <t>Mancorn</t>
        </is>
      </c>
      <c r="B6" t="n">
        <v>0</v>
      </c>
      <c r="C6" t="n">
        <v>0</v>
      </c>
      <c r="D6" t="n">
        <v>0</v>
      </c>
      <c r="E6" t="n">
        <v>0</v>
      </c>
      <c r="F6" t="n">
        <v>0</v>
      </c>
      <c r="G6" t="n">
        <v>0</v>
      </c>
      <c r="H6" t="n">
        <v>0</v>
      </c>
      <c r="I6" t="n">
        <v>0</v>
      </c>
      <c r="J6" t="n">
        <v>0</v>
      </c>
      <c r="K6" t="n">
        <v>0</v>
      </c>
      <c r="L6" t="n">
        <v>0</v>
      </c>
      <c r="M6" t="n">
        <v>0</v>
      </c>
    </row>
    <row r="7">
      <c r="A7" t="inlineStr">
        <is>
          <t>Maslin</t>
        </is>
      </c>
      <c r="B7" t="n">
        <v>0</v>
      </c>
      <c r="C7" t="n">
        <v>0</v>
      </c>
      <c r="D7" t="n">
        <v>0</v>
      </c>
      <c r="E7" t="n">
        <v>0</v>
      </c>
      <c r="F7" t="n">
        <v>0</v>
      </c>
      <c r="G7" t="n">
        <v>0</v>
      </c>
      <c r="H7" t="n">
        <v>0</v>
      </c>
      <c r="I7" t="n">
        <v>0</v>
      </c>
      <c r="J7" t="n">
        <v>0</v>
      </c>
      <c r="K7" t="n">
        <v>0</v>
      </c>
      <c r="L7" t="n">
        <v>0</v>
      </c>
      <c r="M7" t="n">
        <v>0</v>
      </c>
    </row>
    <row r="8">
      <c r="A8" t="inlineStr">
        <is>
          <t>Barley</t>
        </is>
      </c>
      <c r="B8" t="n">
        <v>0</v>
      </c>
      <c r="C8" t="n">
        <v>0</v>
      </c>
      <c r="D8" t="n">
        <v>0</v>
      </c>
      <c r="E8" t="n">
        <v>0</v>
      </c>
      <c r="F8" t="n">
        <v>0</v>
      </c>
      <c r="G8" t="n">
        <v>0</v>
      </c>
      <c r="H8" t="n">
        <v>0</v>
      </c>
      <c r="I8" t="n">
        <v>0</v>
      </c>
      <c r="J8" t="n">
        <v>0</v>
      </c>
      <c r="K8" t="n">
        <v>0</v>
      </c>
      <c r="L8" t="n">
        <v>0</v>
      </c>
      <c r="M8" t="n">
        <v>0</v>
      </c>
    </row>
    <row r="9">
      <c r="A9" t="inlineStr">
        <is>
          <t>First-grade malt</t>
        </is>
      </c>
      <c r="B9" t="n">
        <v>0</v>
      </c>
      <c r="C9" t="n">
        <v>0</v>
      </c>
      <c r="D9" t="n">
        <v>0</v>
      </c>
      <c r="E9" t="n">
        <v>0</v>
      </c>
      <c r="F9" t="n">
        <v>0</v>
      </c>
      <c r="G9" t="n">
        <v>0</v>
      </c>
      <c r="H9" t="n">
        <v>0</v>
      </c>
      <c r="I9" t="n">
        <v>0</v>
      </c>
      <c r="J9" t="n">
        <v>0</v>
      </c>
      <c r="K9" t="n">
        <v>0</v>
      </c>
      <c r="L9" t="n">
        <v>0</v>
      </c>
      <c r="M9" t="n">
        <v>0</v>
      </c>
    </row>
    <row r="10">
      <c r="A10" t="inlineStr">
        <is>
          <t>Second-grade malt</t>
        </is>
      </c>
      <c r="B10" t="n">
        <v>0</v>
      </c>
      <c r="C10" t="n">
        <v>0</v>
      </c>
      <c r="D10" t="n">
        <v>0</v>
      </c>
      <c r="E10" t="n">
        <v>0</v>
      </c>
      <c r="F10" t="n">
        <v>0</v>
      </c>
      <c r="G10" t="n">
        <v>0</v>
      </c>
      <c r="H10" t="n">
        <v>0</v>
      </c>
      <c r="I10" t="n">
        <v>0</v>
      </c>
      <c r="J10" t="n">
        <v>0</v>
      </c>
      <c r="K10" t="n">
        <v>0</v>
      </c>
      <c r="L10" t="n">
        <v>0</v>
      </c>
      <c r="M10" t="n">
        <v>0</v>
      </c>
    </row>
    <row r="11">
      <c r="A11" t="inlineStr">
        <is>
          <t>Peas</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Vetches</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F4"/>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 a quarter 1</t>
        </is>
      </c>
      <c r="Z1" t="inlineStr">
        <is>
          <t>£ a quarter 2</t>
        </is>
      </c>
      <c r="AA1" t="inlineStr">
        <is>
          <t>£ a quarter 3</t>
        </is>
      </c>
      <c r="AB1" t="inlineStr">
        <is>
          <t>£ a quarter 4</t>
        </is>
      </c>
      <c r="AC1" t="inlineStr">
        <is>
          <t>Quarters Sold</t>
        </is>
      </c>
      <c r="AD1" t="inlineStr">
        <is>
          <t>Weighted Average Price per Quarter</t>
        </is>
      </c>
      <c r="AE1" t="inlineStr">
        <is>
          <t>Non-Weighted Average Price per Quarter</t>
        </is>
      </c>
      <c r="AF1" t="inlineStr">
        <is>
          <t>Corn lowercase</t>
        </is>
      </c>
    </row>
    <row r="2">
      <c r="A2" t="inlineStr">
        <is>
          <t>sale of corn</t>
        </is>
      </c>
      <c r="B2" t="inlineStr">
        <is>
          <t>and for £35 18 shilling 0.75pence from 38 quarters 3 bushels of wheat sold, at 13 shilling 6pence a quarters.</t>
        </is>
      </c>
      <c r="C2" t="n">
        <v>35.9</v>
      </c>
      <c r="D2" t="n">
        <v>35</v>
      </c>
      <c r="E2" t="n">
        <v>18</v>
      </c>
      <c r="F2" t="n">
        <v>0.75</v>
      </c>
      <c r="G2" t="inlineStr">
        <is>
          <t>wheat</t>
        </is>
      </c>
      <c r="H2" t="n">
        <v>38</v>
      </c>
      <c r="I2" t="n">
        <v>3</v>
      </c>
      <c r="J2" t="n">
        <v>38.38</v>
      </c>
      <c r="K2" t="n">
        <v>38.38</v>
      </c>
      <c r="L2" t="n">
        <v>0</v>
      </c>
      <c r="M2" t="n">
        <v>38</v>
      </c>
      <c r="N2" t="n">
        <v>3</v>
      </c>
      <c r="O2" t="n">
        <v>13</v>
      </c>
      <c r="P2" t="n">
        <v>6</v>
      </c>
      <c r="Y2" t="n">
        <v>0.68</v>
      </c>
      <c r="AC2" t="n">
        <v>38.38</v>
      </c>
      <c r="AD2" t="n">
        <v>0.68</v>
      </c>
      <c r="AE2" t="n">
        <v>0.68</v>
      </c>
      <c r="AF2" t="inlineStr">
        <is>
          <t>wheat</t>
        </is>
      </c>
    </row>
    <row r="3">
      <c r="A3" t="inlineStr">
        <is>
          <t>sale of corn</t>
        </is>
      </c>
      <c r="B3" t="inlineStr">
        <is>
          <t>£4 9 shilling 0.75pence from 23 quarters 6 bushels of oats sold to the customary tenants, at 3 shilling 9pence a quarters.</t>
        </is>
      </c>
      <c r="C3" t="n">
        <v>4.45</v>
      </c>
      <c r="D3" t="n">
        <v>4</v>
      </c>
      <c r="E3" t="n">
        <v>9</v>
      </c>
      <c r="F3" t="n">
        <v>0.75</v>
      </c>
      <c r="G3" t="inlineStr">
        <is>
          <t>oats</t>
        </is>
      </c>
      <c r="H3" t="n">
        <v>23</v>
      </c>
      <c r="I3" t="n">
        <v>6</v>
      </c>
      <c r="J3" t="n">
        <v>23.75</v>
      </c>
      <c r="K3" t="n">
        <v>23.75</v>
      </c>
      <c r="L3" t="n">
        <v>0</v>
      </c>
      <c r="M3" t="n">
        <v>23</v>
      </c>
      <c r="N3" t="n">
        <v>6</v>
      </c>
      <c r="O3" t="n">
        <v>3</v>
      </c>
      <c r="P3" t="n">
        <v>9</v>
      </c>
      <c r="Y3" t="n">
        <v>0.19</v>
      </c>
      <c r="AC3" t="n">
        <v>23.75</v>
      </c>
      <c r="AD3" t="n">
        <v>0.19</v>
      </c>
      <c r="AE3" t="n">
        <v>0.19</v>
      </c>
      <c r="AF3" t="inlineStr">
        <is>
          <t>oats</t>
        </is>
      </c>
    </row>
    <row r="4">
      <c r="A4" t="inlineStr">
        <is>
          <t>sale of corn</t>
        </is>
      </c>
      <c r="B4" t="inlineStr">
        <is>
          <t>total, £30 7 shilling 1.5pence.</t>
        </is>
      </c>
      <c r="C4" t="n">
        <v>30.36</v>
      </c>
      <c r="D4" t="n">
        <v>30</v>
      </c>
      <c r="E4" t="n">
        <v>7</v>
      </c>
      <c r="F4" t="n">
        <v>1.5</v>
      </c>
      <c r="H4" t="n">
        <v>0</v>
      </c>
      <c r="I4" t="n">
        <v>0</v>
      </c>
      <c r="J4" t="n">
        <v>0</v>
      </c>
      <c r="K4" t="n">
        <v>0</v>
      </c>
      <c r="L4" t="n">
        <v>0</v>
      </c>
      <c r="M4" t="n">
        <v>0</v>
      </c>
      <c r="N4" t="n">
        <v>0</v>
      </c>
      <c r="Y4" t="inlineStr">
        <is>
          <t>inf</t>
        </is>
      </c>
      <c r="AC4" t="n">
        <v>0</v>
      </c>
      <c r="AD4" t="inlineStr">
        <is>
          <t>inf</t>
        </is>
      </c>
      <c r="AE4" t="inlineStr">
        <is>
          <t>inf</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79"/>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HOLWAY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Notes</t>
        </is>
      </c>
    </row>
    <row r="3">
      <c r="A3" s="136" t="n"/>
      <c r="B3" s="128" t="n"/>
      <c r="C3" s="128" t="n"/>
      <c r="D3" s="128" t="n"/>
      <c r="E3" s="128" t="n"/>
      <c r="F3" s="128" t="n"/>
      <c r="G3" s="128" t="n"/>
      <c r="H3" s="128" t="n"/>
    </row>
    <row r="4">
      <c r="A4" s="137" t="inlineStr">
        <is>
          <t>Customary payments</t>
        </is>
      </c>
      <c r="B4" s="128" t="n">
        <v>1</v>
      </c>
      <c r="C4" s="128" t="n">
        <v>11</v>
      </c>
      <c r="D4" s="128" t="n">
        <v>3.5</v>
      </c>
      <c r="E4" s="128" t="n"/>
      <c r="F4" s="128" t="n">
        <v>1.56</v>
      </c>
      <c r="G4" s="128" t="n"/>
      <c r="H4" s="128" t="n"/>
    </row>
    <row r="5">
      <c r="A5" s="136" t="inlineStr">
        <is>
          <t>Customary payments</t>
        </is>
      </c>
      <c r="B5" s="128" t="n">
        <v>1</v>
      </c>
      <c r="C5" s="128" t="n">
        <v>13</v>
      </c>
      <c r="D5" s="128" t="n">
        <v>1</v>
      </c>
      <c r="E5" s="128" t="n"/>
      <c r="F5" s="128" t="n">
        <v>1.65</v>
      </c>
      <c r="G5" s="128" t="n"/>
      <c r="H5" s="128" t="n"/>
    </row>
    <row r="6">
      <c r="A6" s="136" t="inlineStr">
        <is>
          <t>Customary payments</t>
        </is>
      </c>
      <c r="B6" s="128" t="n">
        <v>1</v>
      </c>
      <c r="C6" s="128" t="n">
        <v>3</v>
      </c>
      <c r="D6" s="128" t="n">
        <v>9</v>
      </c>
      <c r="E6" s="128" t="n"/>
      <c r="F6" s="128" t="n">
        <v>1.19</v>
      </c>
      <c r="G6" s="128" t="n"/>
      <c r="H6" s="128" t="n"/>
    </row>
    <row r="7">
      <c r="A7" s="136" t="inlineStr">
        <is>
          <t>Customary payments</t>
        </is>
      </c>
      <c r="B7" s="128" t="n">
        <v>0</v>
      </c>
      <c r="C7" s="128" t="n">
        <v>17</v>
      </c>
      <c r="D7" s="128" t="n">
        <v>6</v>
      </c>
      <c r="E7" s="128" t="n"/>
      <c r="F7" s="128" t="n">
        <v>0.88</v>
      </c>
      <c r="G7" s="128" t="n"/>
      <c r="H7" s="128" t="n"/>
    </row>
    <row r="8">
      <c r="A8" s="136" t="inlineStr">
        <is>
          <t>Customary payments</t>
        </is>
      </c>
      <c r="B8" s="128" t="n">
        <v>2</v>
      </c>
      <c r="C8" s="128" t="n">
        <v>0</v>
      </c>
      <c r="D8" s="128" t="n">
        <v>0</v>
      </c>
      <c r="E8" s="128" t="n"/>
      <c r="F8" s="128" t="n">
        <v>2</v>
      </c>
      <c r="G8" s="128" t="n"/>
      <c r="H8" s="128" t="n"/>
    </row>
    <row r="9">
      <c r="A9" s="138" t="inlineStr">
        <is>
          <t>Customary payments total</t>
        </is>
      </c>
      <c r="B9" s="139" t="n">
        <v>5</v>
      </c>
      <c r="C9" s="139" t="n">
        <v>12</v>
      </c>
      <c r="D9" s="139" t="n">
        <v>6.5</v>
      </c>
      <c r="E9" s="139" t="n"/>
      <c r="F9" s="139" t="n">
        <v>5.63</v>
      </c>
      <c r="G9" s="139" t="n">
        <v>3.63</v>
      </c>
      <c r="H9" s="139" t="n"/>
    </row>
    <row r="10">
      <c r="A10" s="136" t="n"/>
      <c r="B10" s="128" t="n"/>
      <c r="C10" s="128" t="n"/>
      <c r="D10" s="128" t="n"/>
      <c r="E10" s="128" t="n"/>
      <c r="F10" s="128" t="n"/>
      <c r="G10" s="128" t="n"/>
      <c r="H10" s="128" t="n"/>
    </row>
    <row r="11">
      <c r="A11" s="137" t="inlineStr">
        <is>
          <t>Perquisites of court</t>
        </is>
      </c>
      <c r="B11" s="128" t="n"/>
      <c r="C11" s="128" t="n"/>
      <c r="D11" s="128" t="n"/>
      <c r="E11" s="128" t="n"/>
      <c r="F11" s="128" t="n">
        <v>8.93</v>
      </c>
      <c r="G11" s="128" t="n"/>
      <c r="H11" s="128" t="n"/>
    </row>
    <row r="12">
      <c r="A12" s="136" t="n"/>
      <c r="B12" s="128" t="n"/>
      <c r="C12" s="128" t="n"/>
      <c r="D12" s="128" t="n"/>
      <c r="E12" s="128" t="n"/>
      <c r="F12" s="128" t="n"/>
      <c r="G12" s="128" t="n"/>
      <c r="H12" s="128" t="n"/>
    </row>
    <row r="13">
      <c r="A13" s="137" t="inlineStr">
        <is>
          <t>Cost of ploughs</t>
        </is>
      </c>
      <c r="B13" s="128" t="n">
        <v>0</v>
      </c>
      <c r="C13" s="128" t="n">
        <v>13</v>
      </c>
      <c r="D13" s="128" t="n">
        <v>4</v>
      </c>
      <c r="E13" s="128" t="n"/>
      <c r="F13" s="128" t="n">
        <v>0.67</v>
      </c>
      <c r="G13" s="128" t="n"/>
      <c r="H13" s="128" t="n"/>
    </row>
    <row r="14">
      <c r="A14" s="136" t="inlineStr">
        <is>
          <t>Cost of ploughs</t>
        </is>
      </c>
      <c r="B14" s="128" t="n">
        <v>0</v>
      </c>
      <c r="C14" s="128" t="n">
        <v>5</v>
      </c>
      <c r="D14" s="128" t="n">
        <v>0</v>
      </c>
      <c r="E14" s="128" t="n"/>
      <c r="F14" s="128" t="n">
        <v>0.25</v>
      </c>
      <c r="G14" s="128" t="n"/>
      <c r="H14" s="128" t="n"/>
    </row>
    <row r="15">
      <c r="A15" s="136" t="inlineStr">
        <is>
          <t>Cost of ploughs</t>
        </is>
      </c>
      <c r="B15" s="128" t="n">
        <v>0</v>
      </c>
      <c r="C15" s="128" t="n">
        <v>3</v>
      </c>
      <c r="D15" s="128" t="n">
        <v>4</v>
      </c>
      <c r="E15" s="128" t="n"/>
      <c r="F15" s="128" t="n">
        <v>0.17</v>
      </c>
      <c r="G15" s="128" t="n"/>
      <c r="H15" s="128" t="n"/>
    </row>
    <row r="16">
      <c r="A16" s="136" t="inlineStr">
        <is>
          <t>Cost of ploughs</t>
        </is>
      </c>
      <c r="B16" s="128" t="n">
        <v>0</v>
      </c>
      <c r="C16" s="128" t="n">
        <v>1</v>
      </c>
      <c r="D16" s="128" t="n">
        <v>8</v>
      </c>
      <c r="E16" s="128" t="n"/>
      <c r="F16" s="128" t="n">
        <v>0.08</v>
      </c>
      <c r="G16" s="128" t="n"/>
      <c r="H16" s="128" t="n"/>
    </row>
    <row r="17">
      <c r="A17" s="136" t="inlineStr">
        <is>
          <t>Cost of ploughs</t>
        </is>
      </c>
      <c r="B17" s="128" t="n">
        <v>0</v>
      </c>
      <c r="C17" s="128" t="n">
        <v>0</v>
      </c>
      <c r="D17" s="128" t="n">
        <v>8</v>
      </c>
      <c r="E17" s="128" t="n"/>
      <c r="F17" s="128" t="n">
        <v>0.03</v>
      </c>
      <c r="G17" s="128" t="n"/>
      <c r="H17" s="128" t="n"/>
    </row>
    <row r="18">
      <c r="A18" s="136" t="inlineStr">
        <is>
          <t>Cost of ploughs</t>
        </is>
      </c>
      <c r="B18" s="128" t="n">
        <v>0</v>
      </c>
      <c r="C18" s="128" t="n">
        <v>0</v>
      </c>
      <c r="D18" s="128" t="n">
        <v>4</v>
      </c>
      <c r="E18" s="128" t="n"/>
      <c r="F18" s="128" t="n">
        <v>0.02</v>
      </c>
      <c r="G18" s="128" t="n"/>
      <c r="H18" s="128" t="n"/>
    </row>
    <row r="19">
      <c r="A19" s="136" t="inlineStr">
        <is>
          <t>Cost of ploughs</t>
        </is>
      </c>
      <c r="B19" s="128" t="n">
        <v>0</v>
      </c>
      <c r="C19" s="128" t="n">
        <v>0</v>
      </c>
      <c r="D19" s="128" t="n">
        <v>8</v>
      </c>
      <c r="E19" s="128" t="n"/>
      <c r="F19" s="128" t="n">
        <v>0.03</v>
      </c>
      <c r="G19" s="128" t="n"/>
      <c r="H19" s="128" t="n"/>
    </row>
    <row r="20">
      <c r="A20" s="136" t="inlineStr">
        <is>
          <t>Cost of ploughs</t>
        </is>
      </c>
      <c r="B20" s="128" t="n">
        <v>0</v>
      </c>
      <c r="C20" s="128" t="n">
        <v>0</v>
      </c>
      <c r="D20" s="128" t="n">
        <v>8</v>
      </c>
      <c r="E20" s="128" t="n"/>
      <c r="F20" s="128" t="n">
        <v>0.03</v>
      </c>
      <c r="G20" s="128" t="n"/>
      <c r="H20" s="128" t="n"/>
    </row>
    <row r="21">
      <c r="A21" s="136" t="inlineStr">
        <is>
          <t>Cost of ploughs</t>
        </is>
      </c>
      <c r="B21" s="128" t="n">
        <v>0</v>
      </c>
      <c r="C21" s="128" t="n">
        <v>0</v>
      </c>
      <c r="D21" s="128" t="n">
        <v>6</v>
      </c>
      <c r="E21" s="128" t="n"/>
      <c r="F21" s="128" t="n">
        <v>0.03</v>
      </c>
      <c r="G21" s="128" t="n"/>
      <c r="H21" s="128" t="n"/>
    </row>
    <row r="22">
      <c r="A22" s="136" t="inlineStr">
        <is>
          <t>Cost of ploughs</t>
        </is>
      </c>
      <c r="B22" s="128" t="n">
        <v>0</v>
      </c>
      <c r="C22" s="128" t="n">
        <v>1</v>
      </c>
      <c r="D22" s="128" t="n">
        <v>6</v>
      </c>
      <c r="E22" s="128" t="n"/>
      <c r="F22" s="128" t="n">
        <v>0.08</v>
      </c>
      <c r="G22" s="128" t="n"/>
      <c r="H22" s="128" t="n"/>
    </row>
    <row r="23">
      <c r="A23" s="136" t="inlineStr">
        <is>
          <t>Cost of ploughs</t>
        </is>
      </c>
      <c r="B23" s="128" t="n">
        <v>0</v>
      </c>
      <c r="C23" s="128" t="n">
        <v>0</v>
      </c>
      <c r="D23" s="128" t="n">
        <v>6</v>
      </c>
      <c r="E23" s="128" t="n"/>
      <c r="F23" s="128" t="n">
        <v>0.03</v>
      </c>
      <c r="G23" s="128" t="n"/>
      <c r="H23" s="128" t="n"/>
    </row>
    <row r="24">
      <c r="A24" s="136" t="inlineStr">
        <is>
          <t>Cost of ploughs</t>
        </is>
      </c>
      <c r="B24" s="128" t="n">
        <v>0</v>
      </c>
      <c r="C24" s="128" t="n">
        <v>1</v>
      </c>
      <c r="D24" s="128" t="n">
        <v>6</v>
      </c>
      <c r="E24" s="128" t="n"/>
      <c r="F24" s="128" t="n">
        <v>0.08</v>
      </c>
      <c r="G24" s="128" t="n"/>
      <c r="H24" s="128" t="n"/>
    </row>
    <row r="25">
      <c r="A25" s="136" t="inlineStr">
        <is>
          <t>Cost of ploughs</t>
        </is>
      </c>
      <c r="B25" s="128" t="n">
        <v>0</v>
      </c>
      <c r="C25" s="128" t="n">
        <v>0</v>
      </c>
      <c r="D25" s="128" t="n">
        <v>8</v>
      </c>
      <c r="E25" s="128" t="n"/>
      <c r="F25" s="128" t="n">
        <v>0.03</v>
      </c>
      <c r="G25" s="128" t="n"/>
      <c r="H25" s="128" t="n"/>
    </row>
    <row r="26">
      <c r="A26" s="136" t="inlineStr">
        <is>
          <t>Cost of ploughs</t>
        </is>
      </c>
      <c r="B26" s="128" t="n">
        <v>0</v>
      </c>
      <c r="C26" s="128" t="n">
        <v>5</v>
      </c>
      <c r="D26" s="128" t="n">
        <v>4</v>
      </c>
      <c r="E26" s="128" t="n"/>
      <c r="F26" s="128" t="n">
        <v>0.27</v>
      </c>
      <c r="G26" s="128" t="n"/>
      <c r="H26" s="128" t="n"/>
    </row>
    <row r="27">
      <c r="A27" s="136" t="inlineStr">
        <is>
          <t>Cost of ploughs</t>
        </is>
      </c>
      <c r="B27" s="128" t="n">
        <v>0</v>
      </c>
      <c r="C27" s="128" t="n">
        <v>5</v>
      </c>
      <c r="D27" s="128" t="n">
        <v>4</v>
      </c>
      <c r="E27" s="128" t="n"/>
      <c r="F27" s="128" t="n">
        <v>0.27</v>
      </c>
      <c r="G27" s="128" t="n"/>
      <c r="H27" s="128" t="n"/>
    </row>
    <row r="28">
      <c r="A28" s="136" t="inlineStr">
        <is>
          <t>Cost of ploughs</t>
        </is>
      </c>
      <c r="B28" s="128" t="n">
        <v>0</v>
      </c>
      <c r="C28" s="128" t="n">
        <v>0</v>
      </c>
      <c r="D28" s="128" t="n">
        <v>4</v>
      </c>
      <c r="E28" s="128" t="n"/>
      <c r="F28" s="128" t="n">
        <v>0.02</v>
      </c>
      <c r="G28" s="128" t="n"/>
      <c r="H28" s="128" t="n"/>
    </row>
    <row r="29">
      <c r="A29" s="136" t="inlineStr">
        <is>
          <t>Cost of ploughs</t>
        </is>
      </c>
      <c r="B29" s="128" t="n">
        <v>0</v>
      </c>
      <c r="C29" s="128" t="n">
        <v>2</v>
      </c>
      <c r="D29" s="128" t="n">
        <v>1</v>
      </c>
      <c r="E29" s="128" t="n"/>
      <c r="F29" s="128" t="n">
        <v>0.1</v>
      </c>
      <c r="G29" s="128" t="n"/>
      <c r="H29" s="128" t="n"/>
    </row>
    <row r="30">
      <c r="A30" s="136" t="inlineStr">
        <is>
          <t>Cost of ploughs</t>
        </is>
      </c>
      <c r="B30" s="128" t="n">
        <v>0</v>
      </c>
      <c r="C30" s="128" t="n">
        <v>5</v>
      </c>
      <c r="D30" s="128" t="n">
        <v>0</v>
      </c>
      <c r="E30" s="128" t="n"/>
      <c r="F30" s="128" t="n">
        <v>0.25</v>
      </c>
      <c r="G30" s="128" t="n"/>
      <c r="H30" s="128" t="n"/>
    </row>
    <row r="31">
      <c r="A31" s="136" t="inlineStr">
        <is>
          <t>Cost of ploughs</t>
        </is>
      </c>
      <c r="B31" s="128" t="n">
        <v>2</v>
      </c>
      <c r="C31" s="128" t="n">
        <v>8</v>
      </c>
      <c r="D31" s="128" t="n">
        <v>5</v>
      </c>
      <c r="E31" s="128" t="n"/>
      <c r="F31" s="128" t="n">
        <v>2.42</v>
      </c>
      <c r="G31" s="128" t="n"/>
      <c r="H31" s="128" t="n"/>
    </row>
    <row r="32">
      <c r="A32" s="138" t="inlineStr">
        <is>
          <t>Cost of ploughs total</t>
        </is>
      </c>
      <c r="B32" s="139" t="n"/>
      <c r="C32" s="139" t="n"/>
      <c r="D32" s="139" t="n"/>
      <c r="E32" s="139" t="n"/>
      <c r="F32" s="139" t="n">
        <v>2.44</v>
      </c>
      <c r="G32" s="139" t="n">
        <v>0.02</v>
      </c>
      <c r="H32" s="139" t="n"/>
    </row>
    <row r="33">
      <c r="A33" s="136" t="n"/>
      <c r="B33" s="128" t="n"/>
      <c r="C33" s="128" t="n"/>
      <c r="D33" s="128" t="n"/>
      <c r="E33" s="128" t="n"/>
      <c r="F33" s="128" t="n"/>
      <c r="G33" s="128" t="n"/>
      <c r="H33" s="128" t="n"/>
    </row>
    <row r="34">
      <c r="A34" s="137" t="inlineStr">
        <is>
          <t>Cost of carts</t>
        </is>
      </c>
      <c r="B34" s="128" t="n">
        <v>0</v>
      </c>
      <c r="C34" s="128" t="n">
        <v>0</v>
      </c>
      <c r="D34" s="128" t="n">
        <v>8</v>
      </c>
      <c r="E34" s="128" t="n"/>
      <c r="F34" s="128" t="n">
        <v>0.03</v>
      </c>
      <c r="G34" s="128" t="n"/>
      <c r="H34" s="128" t="n"/>
    </row>
    <row r="35">
      <c r="A35" s="136" t="inlineStr">
        <is>
          <t>Cost of carts</t>
        </is>
      </c>
      <c r="B35" s="128" t="n">
        <v>0</v>
      </c>
      <c r="C35" s="128" t="n">
        <v>3</v>
      </c>
      <c r="D35" s="128" t="n">
        <v>8</v>
      </c>
      <c r="E35" s="128" t="n"/>
      <c r="F35" s="128" t="n">
        <v>0.18</v>
      </c>
      <c r="G35" s="128" t="n"/>
      <c r="H35" s="128" t="n"/>
    </row>
    <row r="36">
      <c r="A36" s="136" t="inlineStr">
        <is>
          <t>Cost of carts</t>
        </is>
      </c>
      <c r="B36" s="128" t="n">
        <v>0</v>
      </c>
      <c r="C36" s="128" t="n">
        <v>1</v>
      </c>
      <c r="D36" s="128" t="n">
        <v>4</v>
      </c>
      <c r="E36" s="128" t="n"/>
      <c r="F36" s="128" t="n">
        <v>0.07000000000000001</v>
      </c>
      <c r="G36" s="128" t="n"/>
      <c r="H36" s="128" t="n"/>
    </row>
    <row r="37">
      <c r="A37" s="136" t="inlineStr">
        <is>
          <t>Cost of carts</t>
        </is>
      </c>
      <c r="B37" s="128" t="n">
        <v>0</v>
      </c>
      <c r="C37" s="128" t="n">
        <v>1</v>
      </c>
      <c r="D37" s="128" t="n">
        <v>4</v>
      </c>
      <c r="E37" s="128" t="n"/>
      <c r="F37" s="128" t="n">
        <v>0.07000000000000001</v>
      </c>
      <c r="G37" s="128" t="n"/>
      <c r="H37" s="128" t="n"/>
    </row>
    <row r="38">
      <c r="A38" s="136" t="inlineStr">
        <is>
          <t>Cost of carts</t>
        </is>
      </c>
      <c r="B38" s="128" t="n">
        <v>0</v>
      </c>
      <c r="C38" s="128" t="n">
        <v>0</v>
      </c>
      <c r="D38" s="128" t="n">
        <v>10</v>
      </c>
      <c r="E38" s="128" t="n"/>
      <c r="F38" s="128" t="n">
        <v>0.04</v>
      </c>
      <c r="G38" s="128" t="n"/>
      <c r="H38" s="128" t="n"/>
    </row>
    <row r="39">
      <c r="A39" s="136" t="inlineStr">
        <is>
          <t>Cost of carts</t>
        </is>
      </c>
      <c r="B39" s="128" t="n">
        <v>0</v>
      </c>
      <c r="C39" s="128" t="n">
        <v>1</v>
      </c>
      <c r="D39" s="128" t="n">
        <v>4</v>
      </c>
      <c r="E39" s="128" t="n"/>
      <c r="F39" s="128" t="n">
        <v>0.07000000000000001</v>
      </c>
      <c r="G39" s="128" t="n"/>
      <c r="H39" s="128" t="n"/>
    </row>
    <row r="40">
      <c r="A40" s="136" t="inlineStr">
        <is>
          <t>Cost of carts</t>
        </is>
      </c>
      <c r="B40" s="128" t="n">
        <v>0</v>
      </c>
      <c r="C40" s="128" t="n">
        <v>0</v>
      </c>
      <c r="D40" s="128" t="n">
        <v>6</v>
      </c>
      <c r="E40" s="128" t="n"/>
      <c r="F40" s="128" t="n">
        <v>0.03</v>
      </c>
      <c r="G40" s="128" t="n"/>
      <c r="H40" s="128" t="n"/>
    </row>
    <row r="41">
      <c r="A41" s="136" t="inlineStr">
        <is>
          <t>Cost of carts</t>
        </is>
      </c>
      <c r="B41" s="128" t="n">
        <v>0</v>
      </c>
      <c r="C41" s="128" t="n">
        <v>0</v>
      </c>
      <c r="D41" s="128" t="n">
        <v>3</v>
      </c>
      <c r="E41" s="128" t="n"/>
      <c r="F41" s="128" t="n">
        <v>0.01</v>
      </c>
      <c r="G41" s="128" t="n"/>
      <c r="H41" s="128" t="n"/>
    </row>
    <row r="42">
      <c r="A42" s="136" t="inlineStr">
        <is>
          <t>Cost of carts</t>
        </is>
      </c>
      <c r="B42" s="128" t="n">
        <v>0</v>
      </c>
      <c r="C42" s="128" t="n">
        <v>6</v>
      </c>
      <c r="D42" s="128" t="n">
        <v>9</v>
      </c>
      <c r="E42" s="128" t="n"/>
      <c r="F42" s="128" t="n">
        <v>0.34</v>
      </c>
      <c r="G42" s="128" t="n"/>
      <c r="H42" s="128" t="n"/>
    </row>
    <row r="43">
      <c r="A43" s="136" t="inlineStr">
        <is>
          <t>Cost of carts</t>
        </is>
      </c>
      <c r="B43" s="128" t="n">
        <v>0</v>
      </c>
      <c r="C43" s="128" t="n">
        <v>14</v>
      </c>
      <c r="D43" s="128" t="n">
        <v>0</v>
      </c>
      <c r="E43" s="128" t="n"/>
      <c r="F43" s="128" t="n">
        <v>0.7</v>
      </c>
      <c r="G43" s="128" t="n"/>
      <c r="H43" s="128" t="n"/>
    </row>
    <row r="44">
      <c r="A44" s="136" t="inlineStr">
        <is>
          <t>Cost of carts</t>
        </is>
      </c>
      <c r="B44" s="128" t="n">
        <v>0</v>
      </c>
      <c r="C44" s="128" t="n">
        <v>1</v>
      </c>
      <c r="D44" s="128" t="n">
        <v>3</v>
      </c>
      <c r="E44" s="128" t="n"/>
      <c r="F44" s="128" t="n">
        <v>0.06</v>
      </c>
      <c r="G44" s="128" t="n"/>
      <c r="H44" s="128" t="n"/>
    </row>
    <row r="45">
      <c r="A45" s="136" t="inlineStr">
        <is>
          <t>Cost of carts</t>
        </is>
      </c>
      <c r="B45" s="128" t="n">
        <v>0</v>
      </c>
      <c r="C45" s="128" t="n">
        <v>6</v>
      </c>
      <c r="D45" s="128" t="n">
        <v>0</v>
      </c>
      <c r="E45" s="128" t="n"/>
      <c r="F45" s="128" t="n">
        <v>0.3</v>
      </c>
      <c r="G45" s="128" t="n"/>
      <c r="H45" s="128" t="n"/>
    </row>
    <row r="46">
      <c r="A46" s="136" t="inlineStr">
        <is>
          <t>Cost of carts</t>
        </is>
      </c>
      <c r="B46" s="128" t="n">
        <v>0</v>
      </c>
      <c r="C46" s="128" t="n">
        <v>3</v>
      </c>
      <c r="D46" s="128" t="n">
        <v>0</v>
      </c>
      <c r="E46" s="128" t="n"/>
      <c r="F46" s="128" t="n">
        <v>0.15</v>
      </c>
      <c r="G46" s="128" t="n"/>
      <c r="H46" s="128" t="n"/>
    </row>
    <row r="47">
      <c r="A47" s="136" t="inlineStr">
        <is>
          <t>Cost of carts</t>
        </is>
      </c>
      <c r="B47" s="128" t="n">
        <v>2</v>
      </c>
      <c r="C47" s="128" t="n">
        <v>0</v>
      </c>
      <c r="D47" s="128" t="n">
        <v>11</v>
      </c>
      <c r="E47" s="128" t="n"/>
      <c r="F47" s="128" t="n">
        <v>2.05</v>
      </c>
      <c r="G47" s="128" t="n"/>
      <c r="H47" s="128" t="n"/>
    </row>
    <row r="48">
      <c r="A48" s="138" t="inlineStr">
        <is>
          <t>Cost of carts total</t>
        </is>
      </c>
      <c r="B48" s="139" t="n"/>
      <c r="C48" s="139" t="n"/>
      <c r="D48" s="139" t="n"/>
      <c r="E48" s="139" t="n"/>
      <c r="F48" s="139" t="n">
        <v>2.05</v>
      </c>
      <c r="G48" s="139" t="n">
        <v>0</v>
      </c>
      <c r="H48" s="139" t="n"/>
    </row>
    <row r="49">
      <c r="A49" s="136" t="n"/>
      <c r="B49" s="128" t="n"/>
      <c r="C49" s="128" t="n"/>
      <c r="D49" s="128" t="n"/>
      <c r="E49" s="128" t="n"/>
      <c r="F49" s="128" t="n"/>
      <c r="G49" s="128" t="n"/>
      <c r="H49" s="128" t="n"/>
    </row>
    <row r="50">
      <c r="A50" s="137" t="inlineStr">
        <is>
          <t>Threshing and winnowing</t>
        </is>
      </c>
      <c r="B50" s="128" t="n">
        <v>0</v>
      </c>
      <c r="C50" s="128" t="n">
        <v>8</v>
      </c>
      <c r="D50" s="128" t="n">
        <v>6.25</v>
      </c>
      <c r="E50" s="128" t="n"/>
      <c r="F50" s="128" t="n">
        <v>0.43</v>
      </c>
      <c r="G50" s="128" t="n"/>
      <c r="H50" s="128" t="n"/>
    </row>
    <row r="51">
      <c r="A51" s="136" t="inlineStr">
        <is>
          <t>Threshing and winnowing</t>
        </is>
      </c>
      <c r="B51" s="128" t="n">
        <v>0</v>
      </c>
      <c r="C51" s="128" t="n">
        <v>0</v>
      </c>
      <c r="D51" s="128" t="n">
        <v>2.25</v>
      </c>
      <c r="E51" s="128" t="n"/>
      <c r="F51" s="128" t="n">
        <v>0.01</v>
      </c>
      <c r="G51" s="128" t="n"/>
      <c r="H51" s="128" t="n"/>
    </row>
    <row r="52">
      <c r="A52" s="136" t="inlineStr">
        <is>
          <t>Threshing and winnowing</t>
        </is>
      </c>
      <c r="B52" s="128" t="n">
        <v>0</v>
      </c>
      <c r="C52" s="128" t="n">
        <v>1</v>
      </c>
      <c r="D52" s="128" t="n">
        <v>5.5</v>
      </c>
      <c r="E52" s="128" t="n"/>
      <c r="F52" s="128" t="n">
        <v>0.07000000000000001</v>
      </c>
      <c r="G52" s="128" t="n"/>
      <c r="H52" s="128" t="n"/>
    </row>
    <row r="53">
      <c r="A53" s="136" t="inlineStr">
        <is>
          <t>Threshing and winnowing</t>
        </is>
      </c>
      <c r="B53" s="128" t="n">
        <v>0</v>
      </c>
      <c r="C53" s="128" t="n">
        <v>3</v>
      </c>
      <c r="D53" s="128" t="n">
        <v>10.5</v>
      </c>
      <c r="E53" s="128" t="n"/>
      <c r="F53" s="128" t="n">
        <v>0.19</v>
      </c>
      <c r="G53" s="128" t="n"/>
      <c r="H53" s="128" t="n"/>
    </row>
    <row r="54">
      <c r="A54" s="136" t="inlineStr">
        <is>
          <t>Threshing and winnowing</t>
        </is>
      </c>
      <c r="B54" s="128" t="n">
        <v>0</v>
      </c>
      <c r="C54" s="128" t="n">
        <v>14</v>
      </c>
      <c r="D54" s="128" t="n">
        <v>0.5</v>
      </c>
      <c r="E54" s="128" t="n"/>
      <c r="F54" s="128" t="n">
        <v>0.7</v>
      </c>
      <c r="G54" s="128" t="n"/>
      <c r="H54" s="128" t="n"/>
    </row>
    <row r="55">
      <c r="A55" s="138" t="inlineStr">
        <is>
          <t>Threshing and winnowing total</t>
        </is>
      </c>
      <c r="B55" s="139" t="n"/>
      <c r="C55" s="139" t="n"/>
      <c r="D55" s="139" t="n"/>
      <c r="E55" s="139" t="n"/>
      <c r="F55" s="139" t="n">
        <v>0.7</v>
      </c>
      <c r="G55" s="139" t="n">
        <v>0</v>
      </c>
      <c r="H55" s="139" t="n"/>
    </row>
    <row r="56">
      <c r="A56" s="136" t="n"/>
      <c r="B56" s="128" t="n"/>
      <c r="C56" s="128" t="n"/>
      <c r="D56" s="128" t="n"/>
      <c r="E56" s="128" t="n"/>
      <c r="F56" s="128" t="n"/>
      <c r="G56" s="128" t="n"/>
      <c r="H56" s="128" t="n"/>
    </row>
    <row r="57">
      <c r="A57" s="137" t="inlineStr">
        <is>
          <t>Harvest-time</t>
        </is>
      </c>
      <c r="B57" s="128" t="n">
        <v>0</v>
      </c>
      <c r="C57" s="128" t="n">
        <v>1</v>
      </c>
      <c r="D57" s="128" t="n">
        <v>6</v>
      </c>
      <c r="E57" s="128" t="n"/>
      <c r="F57" s="128" t="n">
        <v>0.08</v>
      </c>
      <c r="G57" s="128" t="n"/>
      <c r="H57" s="128" t="n"/>
    </row>
    <row r="58">
      <c r="A58" s="136" t="inlineStr">
        <is>
          <t>Harvest-time</t>
        </is>
      </c>
      <c r="B58" s="128" t="n">
        <v>0</v>
      </c>
      <c r="C58" s="128" t="n">
        <v>2</v>
      </c>
      <c r="D58" s="128" t="n">
        <v>8</v>
      </c>
      <c r="E58" s="128" t="n"/>
      <c r="F58" s="128" t="n">
        <v>0.13</v>
      </c>
      <c r="G58" s="128" t="n"/>
      <c r="H58" s="128" t="n"/>
    </row>
    <row r="59">
      <c r="A59" s="136" t="inlineStr">
        <is>
          <t>Harvest-time</t>
        </is>
      </c>
      <c r="B59" s="128" t="n">
        <v>0</v>
      </c>
      <c r="C59" s="128" t="n">
        <v>0</v>
      </c>
      <c r="D59" s="128" t="n">
        <v>0</v>
      </c>
      <c r="E59" s="128" t="n"/>
      <c r="F59" s="128" t="n">
        <v>0</v>
      </c>
      <c r="G59" s="128" t="n"/>
      <c r="H59" s="128" t="n"/>
    </row>
    <row r="60">
      <c r="A60" s="138" t="inlineStr">
        <is>
          <t>Harvest-time total</t>
        </is>
      </c>
      <c r="B60" s="139" t="n"/>
      <c r="C60" s="139" t="n"/>
      <c r="D60" s="139" t="n"/>
      <c r="E60" s="139" t="n"/>
      <c r="F60" s="139" t="n">
        <v>0.21</v>
      </c>
      <c r="G60" s="139" t="n">
        <v>0.21</v>
      </c>
      <c r="H60" s="139" t="n"/>
    </row>
    <row r="61">
      <c r="A61" s="136" t="n"/>
      <c r="B61" s="128" t="n"/>
      <c r="C61" s="128" t="n"/>
      <c r="D61" s="128" t="n"/>
      <c r="E61" s="128" t="n"/>
      <c r="F61" s="128" t="n"/>
      <c r="G61" s="128" t="n"/>
      <c r="H61" s="128" t="n"/>
    </row>
    <row r="62">
      <c r="A62" s="136" t="inlineStr">
        <is>
          <t>Total of all expenses</t>
        </is>
      </c>
      <c r="B62" s="128" t="n">
        <v>20</v>
      </c>
      <c r="C62" s="128" t="n">
        <v>0</v>
      </c>
      <c r="D62" s="128" t="n">
        <v>2.75</v>
      </c>
      <c r="E62" s="128" t="n"/>
      <c r="F62" s="128" t="n">
        <v>20.01</v>
      </c>
      <c r="G62" s="128" t="n"/>
      <c r="H62" s="128" t="n"/>
    </row>
    <row r="63">
      <c r="A63" s="136" t="inlineStr">
        <is>
          <t>Total of all expenses</t>
        </is>
      </c>
      <c r="B63" s="128" t="n"/>
      <c r="C63" s="128" t="n"/>
      <c r="D63" s="128" t="n"/>
      <c r="E63" s="128" t="n"/>
      <c r="F63" s="128" t="n">
        <v>0</v>
      </c>
      <c r="G63" s="128" t="n">
        <v>-20.01</v>
      </c>
      <c r="H63" s="128" t="n"/>
    </row>
    <row r="64">
      <c r="A64" s="136" t="n"/>
      <c r="B64" s="128" t="n"/>
      <c r="C64" s="128" t="n"/>
      <c r="D64" s="128" t="n"/>
      <c r="E64" s="128" t="n"/>
      <c r="F64" s="128" t="n"/>
      <c r="G64" s="128" t="n"/>
      <c r="H64" s="128" t="n"/>
    </row>
    <row r="65">
      <c r="A65" s="137" t="inlineStr">
        <is>
          <t>And he owes</t>
        </is>
      </c>
      <c r="B65" s="128" t="n">
        <v>208</v>
      </c>
      <c r="C65" s="128" t="n">
        <v>14</v>
      </c>
      <c r="D65" s="128" t="n">
        <v>0</v>
      </c>
      <c r="E65" s="128" t="n"/>
      <c r="F65" s="128" t="n">
        <v>208.7</v>
      </c>
      <c r="G65" s="128" t="n"/>
      <c r="H65" s="128" t="n"/>
    </row>
    <row r="66">
      <c r="A66" s="136" t="inlineStr">
        <is>
          <t>And he owes</t>
        </is>
      </c>
      <c r="B66" s="128" t="n"/>
      <c r="C66" s="128" t="n"/>
      <c r="D66" s="128" t="n"/>
      <c r="E66" s="128" t="n"/>
      <c r="F66" s="128" t="n">
        <v>208.7</v>
      </c>
      <c r="G66" s="128" t="n"/>
      <c r="H66" s="128" t="n"/>
    </row>
    <row r="67">
      <c r="A67" s="138" t="inlineStr">
        <is>
          <t>And he owes total</t>
        </is>
      </c>
      <c r="B67" s="139" t="n">
        <v>5</v>
      </c>
      <c r="C67" s="139" t="n">
        <v>10</v>
      </c>
      <c r="D67" s="139" t="n">
        <v>0</v>
      </c>
      <c r="E67" s="139" t="n"/>
      <c r="F67" s="139" t="n">
        <v>5.5</v>
      </c>
      <c r="G67" s="139" t="n">
        <v>-203.2</v>
      </c>
      <c r="H67" s="139" t="n"/>
    </row>
    <row r="68">
      <c r="A68" s="136" t="n"/>
      <c r="B68" s="128" t="n"/>
      <c r="C68" s="128" t="n"/>
      <c r="D68" s="128" t="n"/>
      <c r="E68" s="128" t="n"/>
      <c r="F68" s="128" t="n"/>
      <c r="G68" s="128" t="n"/>
      <c r="H68" s="128" t="n"/>
    </row>
    <row r="69">
      <c r="A69" s="137" t="inlineStr">
        <is>
          <t>Cash deliveries</t>
        </is>
      </c>
      <c r="B69" s="128" t="n">
        <v>200</v>
      </c>
      <c r="C69" s="128" t="n">
        <v>0</v>
      </c>
      <c r="D69" s="128" t="n">
        <v>0</v>
      </c>
      <c r="E69" s="128" t="n"/>
      <c r="F69" s="128" t="n">
        <v>200</v>
      </c>
      <c r="G69" s="128" t="n"/>
      <c r="H69" s="128" t="n"/>
    </row>
    <row r="70">
      <c r="A70" s="136" t="inlineStr">
        <is>
          <t>Cash deliveries</t>
        </is>
      </c>
      <c r="B70" s="128" t="n">
        <v>200</v>
      </c>
      <c r="C70" s="128" t="n">
        <v>0</v>
      </c>
      <c r="D70" s="128" t="n">
        <v>0</v>
      </c>
      <c r="E70" s="128" t="n"/>
      <c r="F70" s="128" t="n">
        <v>200</v>
      </c>
      <c r="G70" s="128" t="n"/>
      <c r="H70" s="128" t="n"/>
    </row>
    <row r="71">
      <c r="A71" s="138" t="inlineStr">
        <is>
          <t>Cash deliveries total</t>
        </is>
      </c>
      <c r="B71" s="139" t="n"/>
      <c r="C71" s="139" t="n"/>
      <c r="D71" s="139" t="n"/>
      <c r="E71" s="139" t="n"/>
      <c r="F71" s="139" t="n">
        <v>200</v>
      </c>
      <c r="G71" s="139" t="n">
        <v>0</v>
      </c>
      <c r="H71" s="139" t="n"/>
    </row>
    <row r="72">
      <c r="A72" s="136" t="n"/>
      <c r="B72" s="128" t="n"/>
      <c r="C72" s="128" t="n"/>
      <c r="D72" s="128" t="n"/>
      <c r="E72" s="128" t="n"/>
      <c r="F72" s="128" t="n"/>
      <c r="G72" s="128" t="n"/>
      <c r="H72" s="128" t="n"/>
    </row>
    <row r="73">
      <c r="A73" s="137" t="inlineStr">
        <is>
          <t>Total of all allowances and cash deliveries</t>
        </is>
      </c>
      <c r="B73" s="128" t="n">
        <v>203</v>
      </c>
      <c r="C73" s="128" t="n">
        <v>4</v>
      </c>
      <c r="D73" s="128" t="n">
        <v>0.5</v>
      </c>
      <c r="E73" s="128" t="n"/>
      <c r="F73" s="128" t="n">
        <v>203.2</v>
      </c>
      <c r="G73" s="128" t="n"/>
      <c r="H73" s="128" t="n"/>
    </row>
    <row r="74">
      <c r="A74" s="138" t="inlineStr">
        <is>
          <t>Total of all allowances and cash deliveries total</t>
        </is>
      </c>
      <c r="B74" s="139" t="n"/>
      <c r="C74" s="139" t="n"/>
      <c r="D74" s="139" t="n"/>
      <c r="E74" s="139" t="n"/>
      <c r="F74" s="139" t="n">
        <v>0</v>
      </c>
      <c r="G74" s="139" t="n">
        <v>-203.2</v>
      </c>
      <c r="H74" s="139" t="n"/>
    </row>
    <row r="76">
      <c r="A76" s="38" t="inlineStr">
        <is>
          <t>Total of all expenses per account</t>
        </is>
      </c>
      <c r="B76" t="n">
        <v>20</v>
      </c>
      <c r="C76" t="n">
        <v>0</v>
      </c>
      <c r="D76" t="n">
        <v>2.75</v>
      </c>
      <c r="F76">
        <f>F62</f>
        <v/>
      </c>
    </row>
    <row r="77">
      <c r="A77" s="38" t="inlineStr">
        <is>
          <t>Total of all expenses (calculated here)</t>
        </is>
      </c>
      <c r="F77">
        <f>SUMIF(A1:A61,"* total",F1:F61)</f>
        <v/>
      </c>
    </row>
    <row r="78">
      <c r="A78" s="38" t="inlineStr">
        <is>
          <t>Total fixed investment</t>
        </is>
      </c>
    </row>
    <row r="79">
      <c r="A79" s="38" t="inlineStr">
        <is>
          <t>Total Demesne fixed investment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2026-01-17T10:57:21Z</dcterms:modified>
  <cp:lastModifiedBy>Kowalski, Kuba</cp:lastModifiedBy>
</cp:coreProperties>
</file>
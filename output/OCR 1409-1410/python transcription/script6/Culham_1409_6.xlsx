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Culham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CULHAM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4</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17</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250</v>
      </c>
      <c r="C19" t="n">
        <v>22</v>
      </c>
      <c r="H19" t="n">
        <v>0</v>
      </c>
      <c r="I19" t="n">
        <v>18</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16</v>
      </c>
      <c r="I53" t="n">
        <v>18</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5</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6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culham</t>
        </is>
      </c>
      <c r="B2" t="inlineStr">
        <is>
          <t>the account of walter douglas,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 because he withdrew quit from his account of the preceding year..</t>
        </is>
      </c>
      <c r="C3" t="n">
        <v>0</v>
      </c>
      <c r="D3" t="n">
        <v>0</v>
      </c>
      <c r="E3" t="n">
        <v>0</v>
      </c>
      <c r="F3" t="n">
        <v>0</v>
      </c>
      <c r="H3" t="n">
        <v>0</v>
      </c>
      <c r="I3" t="n">
        <v>0</v>
      </c>
      <c r="J3" t="n">
        <v>0</v>
      </c>
      <c r="K3" t="n">
        <v>0</v>
      </c>
      <c r="L3" t="n">
        <v>0</v>
      </c>
      <c r="M3" t="n">
        <v>0</v>
      </c>
      <c r="N3" t="n">
        <v>0</v>
      </c>
    </row>
    <row r="4">
      <c r="A4" t="inlineStr">
        <is>
          <t>rents</t>
        </is>
      </c>
      <c r="B4"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4" t="n">
        <v>14.67</v>
      </c>
      <c r="D4" t="n">
        <v>14</v>
      </c>
      <c r="E4" t="n">
        <v>13</v>
      </c>
      <c r="F4" t="n">
        <v>4</v>
      </c>
      <c r="H4" t="n">
        <v>0</v>
      </c>
      <c r="I4" t="n">
        <v>0</v>
      </c>
      <c r="J4" t="n">
        <v>0</v>
      </c>
      <c r="K4" t="n">
        <v>0</v>
      </c>
      <c r="L4" t="n">
        <v>0</v>
      </c>
      <c r="M4" t="n">
        <v>0</v>
      </c>
      <c r="N4" t="n">
        <v>0</v>
      </c>
    </row>
    <row r="5">
      <c r="A5" t="inlineStr">
        <is>
          <t>rents</t>
        </is>
      </c>
      <c r="B5" t="inlineStr">
        <is>
          <t>total, £14 13 shilling 4pence.</t>
        </is>
      </c>
      <c r="C5" t="n">
        <v>14.67</v>
      </c>
      <c r="D5" t="n">
        <v>14</v>
      </c>
      <c r="E5" t="n">
        <v>13</v>
      </c>
      <c r="F5" t="n">
        <v>4</v>
      </c>
      <c r="H5" t="n">
        <v>0</v>
      </c>
      <c r="I5" t="n">
        <v>0</v>
      </c>
      <c r="J5" t="n">
        <v>0</v>
      </c>
      <c r="K5" t="n">
        <v>0</v>
      </c>
      <c r="L5" t="n">
        <v>0</v>
      </c>
      <c r="M5" t="n">
        <v>0</v>
      </c>
      <c r="N5" t="n">
        <v>0</v>
      </c>
    </row>
    <row r="6">
      <c r="A6" t="inlineStr">
        <is>
          <t>issues of the manor</t>
        </is>
      </c>
      <c r="B6" t="inlineStr">
        <is>
          <t>and for 5 shilling 4pence from the skins sold of 16 wethers in murrain before shearing as made clear elsewhere, at 4pence a skin.</t>
        </is>
      </c>
      <c r="C6" t="n">
        <v>0.27</v>
      </c>
      <c r="D6" t="n">
        <v>0</v>
      </c>
      <c r="E6" t="n">
        <v>5</v>
      </c>
      <c r="F6" t="n">
        <v>4</v>
      </c>
      <c r="H6" t="n">
        <v>0</v>
      </c>
      <c r="I6" t="n">
        <v>0</v>
      </c>
      <c r="J6" t="n">
        <v>0</v>
      </c>
      <c r="K6" t="n">
        <v>0</v>
      </c>
      <c r="L6" t="n">
        <v>0</v>
      </c>
      <c r="M6" t="n">
        <v>0</v>
      </c>
      <c r="N6" t="n">
        <v>0</v>
      </c>
    </row>
    <row r="7">
      <c r="A7" t="inlineStr">
        <is>
          <t>issues of the manor</t>
        </is>
      </c>
      <c r="B7" t="inlineStr">
        <is>
          <t>5pence from the skins of 5 wethers in murrain after shearing, at 1pence a skin.</t>
        </is>
      </c>
      <c r="C7" t="n">
        <v>0.02</v>
      </c>
      <c r="D7" t="n">
        <v>0</v>
      </c>
      <c r="E7" t="n">
        <v>0</v>
      </c>
      <c r="F7" t="n">
        <v>5</v>
      </c>
      <c r="H7" t="n">
        <v>0</v>
      </c>
      <c r="I7" t="n">
        <v>0</v>
      </c>
      <c r="J7" t="n">
        <v>0</v>
      </c>
      <c r="K7" t="n">
        <v>0</v>
      </c>
      <c r="L7" t="n">
        <v>0</v>
      </c>
      <c r="M7" t="n">
        <v>0</v>
      </c>
      <c r="N7" t="n">
        <v>0</v>
      </c>
    </row>
    <row r="8">
      <c r="A8" t="inlineStr">
        <is>
          <t>issues of the manor</t>
        </is>
      </c>
      <c r="B8" t="inlineStr">
        <is>
          <t>total, 5 shilling 9pence.</t>
        </is>
      </c>
      <c r="C8" t="n">
        <v>0.29</v>
      </c>
      <c r="D8" t="n">
        <v>0</v>
      </c>
      <c r="E8" t="n">
        <v>5</v>
      </c>
      <c r="F8" t="n">
        <v>9</v>
      </c>
      <c r="H8" t="n">
        <v>0</v>
      </c>
      <c r="I8" t="n">
        <v>0</v>
      </c>
      <c r="J8" t="n">
        <v>0</v>
      </c>
      <c r="K8" t="n">
        <v>0</v>
      </c>
      <c r="L8" t="n">
        <v>0</v>
      </c>
      <c r="M8" t="n">
        <v>0</v>
      </c>
      <c r="N8" t="n">
        <v>0</v>
      </c>
    </row>
    <row r="9">
      <c r="A9" t="inlineStr">
        <is>
          <t>entry and marriage fines</t>
        </is>
      </c>
      <c r="B9" t="inlineStr">
        <is>
          <t>and for 3 shilling 0.5pence from tithingpenny at the tourn of martinmas.</t>
        </is>
      </c>
      <c r="C9" t="n">
        <v>0.15</v>
      </c>
      <c r="D9" t="n">
        <v>0</v>
      </c>
      <c r="E9" t="n">
        <v>3</v>
      </c>
      <c r="F9" t="n">
        <v>0.5</v>
      </c>
      <c r="H9" t="n">
        <v>0</v>
      </c>
      <c r="I9" t="n">
        <v>0</v>
      </c>
      <c r="J9" t="n">
        <v>0</v>
      </c>
      <c r="K9" t="n">
        <v>0</v>
      </c>
      <c r="L9" t="n">
        <v>0</v>
      </c>
      <c r="M9" t="n">
        <v>0</v>
      </c>
      <c r="N9" t="n">
        <v>0</v>
      </c>
    </row>
    <row r="10">
      <c r="A10" t="inlineStr">
        <is>
          <t>entry and marriage fines</t>
        </is>
      </c>
      <c r="B10" t="inlineStr">
        <is>
          <t>3 shilling 0.5pence from tithingpenny at the tourn of hockday.</t>
        </is>
      </c>
      <c r="C10" t="n">
        <v>0.15</v>
      </c>
      <c r="D10" t="n">
        <v>0</v>
      </c>
      <c r="E10" t="n">
        <v>3</v>
      </c>
      <c r="F10" t="n">
        <v>0.5</v>
      </c>
      <c r="H10" t="n">
        <v>0</v>
      </c>
      <c r="I10" t="n">
        <v>0</v>
      </c>
      <c r="J10" t="n">
        <v>0</v>
      </c>
      <c r="K10" t="n">
        <v>0</v>
      </c>
      <c r="L10" t="n">
        <v>0</v>
      </c>
      <c r="M10" t="n">
        <v>0</v>
      </c>
      <c r="N10" t="n">
        <v>0</v>
      </c>
    </row>
    <row r="11">
      <c r="A11" t="inlineStr">
        <is>
          <t>entry and marriage fines</t>
        </is>
      </c>
      <c r="B11" t="inlineStr">
        <is>
          <t>total, 6 shilling 1pence.</t>
        </is>
      </c>
      <c r="C11" t="n">
        <v>0.3</v>
      </c>
      <c r="D11" t="n">
        <v>0</v>
      </c>
      <c r="E11" t="n">
        <v>6</v>
      </c>
      <c r="F11" t="n">
        <v>1</v>
      </c>
      <c r="H11" t="n">
        <v>0</v>
      </c>
      <c r="I11" t="n">
        <v>0</v>
      </c>
      <c r="J11" t="n">
        <v>0</v>
      </c>
      <c r="K11" t="n">
        <v>0</v>
      </c>
      <c r="L11" t="n">
        <v>0</v>
      </c>
      <c r="M11" t="n">
        <v>0</v>
      </c>
      <c r="N11" t="n">
        <v>0</v>
      </c>
    </row>
    <row r="12">
      <c r="A12" t="inlineStr">
        <is>
          <t>total of all receipts</t>
        </is>
      </c>
      <c r="B12" t="inlineStr">
        <is>
          <t>total of all receipts, £15 5 shilling 2pence.</t>
        </is>
      </c>
      <c r="C12" t="n">
        <v>15.26</v>
      </c>
      <c r="D12" t="n">
        <v>15</v>
      </c>
      <c r="E12" t="n">
        <v>5</v>
      </c>
      <c r="F12" t="n">
        <v>2</v>
      </c>
      <c r="H12" t="n">
        <v>0</v>
      </c>
      <c r="I12" t="n">
        <v>0</v>
      </c>
      <c r="J12" t="n">
        <v>0</v>
      </c>
      <c r="K12" t="n">
        <v>0</v>
      </c>
      <c r="L12" t="n">
        <v>0</v>
      </c>
      <c r="M12" t="n">
        <v>0</v>
      </c>
      <c r="N12" t="n">
        <v>0</v>
      </c>
    </row>
    <row r="13">
      <c r="A13" t="inlineStr">
        <is>
          <t>purchase of stock</t>
        </is>
      </c>
      <c r="B13" t="inlineStr">
        <is>
          <t>in 22 wethers bought before shearing £2 4 shilling, at 2 shilling each.</t>
        </is>
      </c>
      <c r="C13" t="n">
        <v>2.2</v>
      </c>
      <c r="D13" t="n">
        <v>2</v>
      </c>
      <c r="E13" t="n">
        <v>4</v>
      </c>
      <c r="F13" t="n">
        <v>0</v>
      </c>
      <c r="H13" t="n">
        <v>0</v>
      </c>
      <c r="I13" t="n">
        <v>0</v>
      </c>
      <c r="J13" t="n">
        <v>0</v>
      </c>
      <c r="K13" t="n">
        <v>0</v>
      </c>
      <c r="L13" t="n">
        <v>0</v>
      </c>
      <c r="M13" t="n">
        <v>0</v>
      </c>
      <c r="N13" t="n">
        <v>0</v>
      </c>
    </row>
    <row r="14">
      <c r="A14" t="inlineStr">
        <is>
          <t>purchase of stock</t>
        </is>
      </c>
      <c r="B14" t="inlineStr">
        <is>
          <t>total, £2 4 shilling.</t>
        </is>
      </c>
      <c r="C14" t="n">
        <v>2.2</v>
      </c>
      <c r="D14" t="n">
        <v>2</v>
      </c>
      <c r="E14" t="n">
        <v>4</v>
      </c>
      <c r="F14" t="n">
        <v>0</v>
      </c>
      <c r="H14" t="n">
        <v>0</v>
      </c>
      <c r="I14" t="n">
        <v>0</v>
      </c>
      <c r="J14" t="n">
        <v>0</v>
      </c>
      <c r="K14" t="n">
        <v>0</v>
      </c>
      <c r="L14" t="n">
        <v>0</v>
      </c>
      <c r="M14" t="n">
        <v>0</v>
      </c>
      <c r="N14" t="n">
        <v>0</v>
      </c>
    </row>
    <row r="15">
      <c r="A15" t="inlineStr">
        <is>
          <t>cost of the fold</t>
        </is>
      </c>
      <c r="B15" t="inlineStr">
        <is>
          <t>in 3 gallons of tar bought 2 shilling.</t>
        </is>
      </c>
      <c r="C15" t="n">
        <v>0.1</v>
      </c>
      <c r="D15" t="n">
        <v>0</v>
      </c>
      <c r="E15" t="n">
        <v>2</v>
      </c>
      <c r="F15" t="n">
        <v>0</v>
      </c>
      <c r="H15" t="n">
        <v>0</v>
      </c>
      <c r="I15" t="n">
        <v>0</v>
      </c>
      <c r="J15" t="n">
        <v>0</v>
      </c>
      <c r="K15" t="n">
        <v>0</v>
      </c>
      <c r="L15" t="n">
        <v>0</v>
      </c>
      <c r="M15" t="n">
        <v>0</v>
      </c>
      <c r="N15" t="n">
        <v>0</v>
      </c>
    </row>
    <row r="16">
      <c r="A16" t="inlineStr">
        <is>
          <t>cost of the fold</t>
        </is>
      </c>
      <c r="B16" t="inlineStr">
        <is>
          <t>grease bought for the same 2 shilling 4pence.</t>
        </is>
      </c>
      <c r="C16" t="n">
        <v>0.12</v>
      </c>
      <c r="D16" t="n">
        <v>0</v>
      </c>
      <c r="E16" t="n">
        <v>2</v>
      </c>
      <c r="F16" t="n">
        <v>4</v>
      </c>
      <c r="H16" t="n">
        <v>0</v>
      </c>
      <c r="I16" t="n">
        <v>0</v>
      </c>
      <c r="J16" t="n">
        <v>0</v>
      </c>
      <c r="K16" t="n">
        <v>0</v>
      </c>
      <c r="L16" t="n">
        <v>0</v>
      </c>
      <c r="M16" t="n">
        <v>0</v>
      </c>
      <c r="N16" t="n">
        <v>0</v>
      </c>
    </row>
    <row r="17">
      <c r="A17" t="inlineStr">
        <is>
          <t>cost of the fold</t>
        </is>
      </c>
      <c r="B17" t="inlineStr">
        <is>
          <t>red ochre bought 6pence.</t>
        </is>
      </c>
      <c r="C17" t="n">
        <v>0.03</v>
      </c>
      <c r="D17" t="n">
        <v>0</v>
      </c>
      <c r="E17" t="n">
        <v>0</v>
      </c>
      <c r="F17" t="n">
        <v>6</v>
      </c>
      <c r="H17" t="n">
        <v>0</v>
      </c>
      <c r="I17" t="n">
        <v>0</v>
      </c>
      <c r="J17" t="n">
        <v>0</v>
      </c>
      <c r="K17" t="n">
        <v>0</v>
      </c>
      <c r="L17" t="n">
        <v>0</v>
      </c>
      <c r="M17" t="n">
        <v>0</v>
      </c>
      <c r="N17" t="n">
        <v>0</v>
      </c>
    </row>
    <row r="18">
      <c r="A18" t="inlineStr">
        <is>
          <t>cost of the fold</t>
        </is>
      </c>
      <c r="B18" t="inlineStr">
        <is>
          <t>washing and shearing 254 wethers this year 5 shilling.</t>
        </is>
      </c>
      <c r="C18" t="n">
        <v>0.25</v>
      </c>
      <c r="D18" t="n">
        <v>0</v>
      </c>
      <c r="E18" t="n">
        <v>5</v>
      </c>
      <c r="F18" t="n">
        <v>0</v>
      </c>
      <c r="H18" t="n">
        <v>0</v>
      </c>
      <c r="I18" t="n">
        <v>0</v>
      </c>
      <c r="J18" t="n">
        <v>0</v>
      </c>
      <c r="K18" t="n">
        <v>0</v>
      </c>
      <c r="L18" t="n">
        <v>0</v>
      </c>
      <c r="M18" t="n">
        <v>0</v>
      </c>
      <c r="N18" t="n">
        <v>0</v>
      </c>
    </row>
    <row r="19">
      <c r="A19" t="inlineStr">
        <is>
          <t>cost of the fold</t>
        </is>
      </c>
      <c r="B19" t="inlineStr">
        <is>
          <t>total, 9 shilling 10pence.</t>
        </is>
      </c>
      <c r="C19" t="n">
        <v>0.49</v>
      </c>
      <c r="D19" t="n">
        <v>0</v>
      </c>
      <c r="E19" t="n">
        <v>9</v>
      </c>
      <c r="F19" t="n">
        <v>10</v>
      </c>
      <c r="H19" t="n">
        <v>0</v>
      </c>
      <c r="I19" t="n">
        <v>0</v>
      </c>
      <c r="J19" t="n">
        <v>0</v>
      </c>
      <c r="K19" t="n">
        <v>0</v>
      </c>
      <c r="L19" t="n">
        <v>0</v>
      </c>
      <c r="M19" t="n">
        <v>0</v>
      </c>
      <c r="N19" t="n">
        <v>0</v>
      </c>
    </row>
    <row r="20">
      <c r="A20" t="inlineStr">
        <is>
          <t>total of all expenses</t>
        </is>
      </c>
      <c r="B20" t="inlineStr">
        <is>
          <t>total of all expenses, £2 13 shilling 10pence.</t>
        </is>
      </c>
      <c r="C20" t="n">
        <v>2.69</v>
      </c>
      <c r="D20" t="n">
        <v>2</v>
      </c>
      <c r="E20" t="n">
        <v>13</v>
      </c>
      <c r="F20" t="n">
        <v>10</v>
      </c>
      <c r="H20" t="n">
        <v>0</v>
      </c>
      <c r="I20" t="n">
        <v>0</v>
      </c>
      <c r="J20" t="n">
        <v>0</v>
      </c>
      <c r="K20" t="n">
        <v>0</v>
      </c>
      <c r="L20" t="n">
        <v>0</v>
      </c>
      <c r="M20" t="n">
        <v>0</v>
      </c>
      <c r="N20" t="n">
        <v>0</v>
      </c>
    </row>
    <row r="21">
      <c r="A21" t="inlineStr">
        <is>
          <t>and he owes</t>
        </is>
      </c>
      <c r="B21" t="inlineStr">
        <is>
          <t>and he owes, £12 11 shilling 4pence.</t>
        </is>
      </c>
      <c r="C21" t="n">
        <v>12.57</v>
      </c>
      <c r="D21" t="n">
        <v>12</v>
      </c>
      <c r="E21" t="n">
        <v>11</v>
      </c>
      <c r="F21" t="n">
        <v>4</v>
      </c>
      <c r="H21" t="n">
        <v>0</v>
      </c>
      <c r="I21" t="n">
        <v>0</v>
      </c>
      <c r="J21" t="n">
        <v>0</v>
      </c>
      <c r="K21" t="n">
        <v>0</v>
      </c>
      <c r="L21" t="n">
        <v>0</v>
      </c>
      <c r="M21" t="n">
        <v>0</v>
      </c>
      <c r="N21" t="n">
        <v>0</v>
      </c>
    </row>
    <row r="22">
      <c r="A22" t="inlineStr">
        <is>
          <t>allowances without writ</t>
        </is>
      </c>
      <c r="B22" t="inlineStr">
        <is>
          <t>in allowance to the same for 3 shilling 10pence for the costs made for the repair of buildings disallowed above.</t>
        </is>
      </c>
      <c r="C22" t="n">
        <v>0.19</v>
      </c>
      <c r="D22" t="n">
        <v>0</v>
      </c>
      <c r="E22" t="n">
        <v>3</v>
      </c>
      <c r="F22" t="n">
        <v>10</v>
      </c>
      <c r="H22" t="n">
        <v>0</v>
      </c>
      <c r="I22" t="n">
        <v>0</v>
      </c>
      <c r="J22" t="n">
        <v>0</v>
      </c>
      <c r="K22" t="n">
        <v>0</v>
      </c>
      <c r="L22" t="n">
        <v>0</v>
      </c>
      <c r="M22" t="n">
        <v>0</v>
      </c>
      <c r="N22" t="n">
        <v>0</v>
      </c>
    </row>
    <row r="23">
      <c r="A23" t="inlineStr">
        <is>
          <t>allowances without writ</t>
        </is>
      </c>
      <c r="B23" t="inlineStr">
        <is>
          <t>total, 3 shilling 10pence.</t>
        </is>
      </c>
      <c r="C23" t="n">
        <v>0.19</v>
      </c>
      <c r="D23" t="n">
        <v>0</v>
      </c>
      <c r="E23" t="n">
        <v>3</v>
      </c>
      <c r="F23" t="n">
        <v>10</v>
      </c>
      <c r="H23" t="n">
        <v>0</v>
      </c>
      <c r="I23" t="n">
        <v>0</v>
      </c>
      <c r="J23" t="n">
        <v>0</v>
      </c>
      <c r="K23" t="n">
        <v>0</v>
      </c>
      <c r="L23" t="n">
        <v>0</v>
      </c>
      <c r="M23" t="n">
        <v>0</v>
      </c>
      <c r="N23" t="n">
        <v>0</v>
      </c>
    </row>
    <row r="24">
      <c r="A24" t="inlineStr">
        <is>
          <t>cash deliveries</t>
        </is>
      </c>
      <c r="B24" t="inlineStr">
        <is>
          <t>delivered to john arnold', receiver of wolvesey, by 1 tally, £12 7 shilling 6pence.</t>
        </is>
      </c>
      <c r="C24" t="n">
        <v>12.38</v>
      </c>
      <c r="D24" t="n">
        <v>12</v>
      </c>
      <c r="E24" t="n">
        <v>7</v>
      </c>
      <c r="F24" t="n">
        <v>6</v>
      </c>
      <c r="H24" t="n">
        <v>0</v>
      </c>
      <c r="I24" t="n">
        <v>0</v>
      </c>
      <c r="J24" t="n">
        <v>0</v>
      </c>
      <c r="K24" t="n">
        <v>0</v>
      </c>
      <c r="L24" t="n">
        <v>0</v>
      </c>
      <c r="M24" t="n">
        <v>0</v>
      </c>
      <c r="N24" t="n">
        <v>0</v>
      </c>
    </row>
    <row r="25">
      <c r="A25" t="inlineStr">
        <is>
          <t>cash deliveries</t>
        </is>
      </c>
      <c r="B25" t="inlineStr">
        <is>
          <t>total, £12 7 shilling 6pence.</t>
        </is>
      </c>
      <c r="C25" t="n">
        <v>12.38</v>
      </c>
      <c r="D25" t="n">
        <v>12</v>
      </c>
      <c r="E25" t="n">
        <v>7</v>
      </c>
      <c r="F25" t="n">
        <v>6</v>
      </c>
      <c r="H25" t="n">
        <v>0</v>
      </c>
      <c r="I25" t="n">
        <v>0</v>
      </c>
      <c r="J25" t="n">
        <v>0</v>
      </c>
      <c r="K25" t="n">
        <v>0</v>
      </c>
      <c r="L25" t="n">
        <v>0</v>
      </c>
      <c r="M25" t="n">
        <v>0</v>
      </c>
      <c r="N25" t="n">
        <v>0</v>
      </c>
    </row>
    <row r="26">
      <c r="A26" t="inlineStr">
        <is>
          <t>total of all allowances and cash deliveries</t>
        </is>
      </c>
      <c r="B26" t="inlineStr">
        <is>
          <t>total of all allowances and cash deliveries, £12 11 shilling 4pence he is quit.</t>
        </is>
      </c>
      <c r="C26" t="n">
        <v>12.57</v>
      </c>
      <c r="D26" t="n">
        <v>12</v>
      </c>
      <c r="E26" t="n">
        <v>11</v>
      </c>
      <c r="F26" t="n">
        <v>4</v>
      </c>
      <c r="H26" t="n">
        <v>0</v>
      </c>
      <c r="I26" t="n">
        <v>0</v>
      </c>
      <c r="J26" t="n">
        <v>0</v>
      </c>
      <c r="K26" t="n">
        <v>0</v>
      </c>
      <c r="L26" t="n">
        <v>0</v>
      </c>
      <c r="M26" t="n">
        <v>0</v>
      </c>
      <c r="N26" t="n">
        <v>0</v>
      </c>
    </row>
    <row r="27">
      <c r="A27" t="inlineStr">
        <is>
          <t>wheat</t>
        </is>
      </c>
      <c r="B27" t="inlineStr">
        <is>
          <t>william' douglas, farmer there, answers for 4 quarters 4 bushels of wheat remaining, and it remains in the keeping of the said walter douglas, farmer there, to be handed back and restored at the end of 9 years, this year being the sixth.</t>
        </is>
      </c>
      <c r="C27" t="n">
        <v>0</v>
      </c>
      <c r="D27" t="n">
        <v>0</v>
      </c>
      <c r="E27" t="n">
        <v>0</v>
      </c>
      <c r="F27" t="n">
        <v>0</v>
      </c>
      <c r="G27" t="inlineStr">
        <is>
          <t>wheat</t>
        </is>
      </c>
      <c r="H27" t="n">
        <v>4</v>
      </c>
      <c r="I27" t="n">
        <v>4</v>
      </c>
      <c r="J27" t="n">
        <v>4.5</v>
      </c>
      <c r="K27" t="n">
        <v>4.5</v>
      </c>
      <c r="L27" t="n">
        <v>0</v>
      </c>
      <c r="M27" t="n">
        <v>4</v>
      </c>
      <c r="N27" t="n">
        <v>4</v>
      </c>
    </row>
    <row r="28">
      <c r="A28" t="inlineStr">
        <is>
          <t>mancorn</t>
        </is>
      </c>
      <c r="B28" t="inlineStr">
        <is>
          <t>and for 6 quarters of mancorn remaining..</t>
        </is>
      </c>
      <c r="C28" t="n">
        <v>0</v>
      </c>
      <c r="D28" t="n">
        <v>0</v>
      </c>
      <c r="E28" t="n">
        <v>0</v>
      </c>
      <c r="F28" t="n">
        <v>0</v>
      </c>
      <c r="G28" t="inlineStr">
        <is>
          <t>mancorn</t>
        </is>
      </c>
      <c r="H28" t="n">
        <v>6</v>
      </c>
      <c r="I28" t="n">
        <v>0</v>
      </c>
      <c r="J28" t="n">
        <v>6</v>
      </c>
      <c r="K28" t="n">
        <v>6</v>
      </c>
      <c r="L28" t="n">
        <v>0</v>
      </c>
      <c r="M28" t="n">
        <v>6</v>
      </c>
      <c r="N28" t="n">
        <v>0</v>
      </c>
    </row>
    <row r="29">
      <c r="A29" t="inlineStr">
        <is>
          <t>mancorn</t>
        </is>
      </c>
      <c r="B29" t="inlineStr">
        <is>
          <t>total, 6 quarters..</t>
        </is>
      </c>
      <c r="C29" t="n">
        <v>0</v>
      </c>
      <c r="D29" t="n">
        <v>0</v>
      </c>
      <c r="E29" t="n">
        <v>0</v>
      </c>
      <c r="F29" t="n">
        <v>0</v>
      </c>
      <c r="H29" t="n">
        <v>6</v>
      </c>
      <c r="I29" t="n">
        <v>0</v>
      </c>
      <c r="J29" t="n">
        <v>6</v>
      </c>
      <c r="K29" t="n">
        <v>6</v>
      </c>
      <c r="L29" t="n">
        <v>0</v>
      </c>
      <c r="M29" t="n">
        <v>6</v>
      </c>
      <c r="N29" t="n">
        <v>0</v>
      </c>
    </row>
    <row r="30">
      <c r="A30" t="inlineStr">
        <is>
          <t>mancorn</t>
        </is>
      </c>
      <c r="B30" t="inlineStr">
        <is>
          <t>6 quarters remain in the keeping of the said walter, to be restored and handed back as before.</t>
        </is>
      </c>
      <c r="C30" t="n">
        <v>0</v>
      </c>
      <c r="D30" t="n">
        <v>0</v>
      </c>
      <c r="E30" t="n">
        <v>0</v>
      </c>
      <c r="F30" t="n">
        <v>0</v>
      </c>
      <c r="H30" t="n">
        <v>6</v>
      </c>
      <c r="I30" t="n">
        <v>0</v>
      </c>
      <c r="J30" t="n">
        <v>6</v>
      </c>
      <c r="K30" t="n">
        <v>6</v>
      </c>
      <c r="L30" t="n">
        <v>0</v>
      </c>
      <c r="M30" t="n">
        <v>6</v>
      </c>
      <c r="N30" t="n">
        <v>0</v>
      </c>
    </row>
    <row r="31">
      <c r="A31" t="inlineStr">
        <is>
          <t>barley</t>
        </is>
      </c>
      <c r="B31" t="inlineStr">
        <is>
          <t>and for 20 quarters of barley remaining..</t>
        </is>
      </c>
      <c r="C31" t="n">
        <v>0</v>
      </c>
      <c r="D31" t="n">
        <v>0</v>
      </c>
      <c r="E31" t="n">
        <v>0</v>
      </c>
      <c r="F31" t="n">
        <v>0</v>
      </c>
      <c r="G31" t="inlineStr">
        <is>
          <t>barley</t>
        </is>
      </c>
      <c r="H31" t="n">
        <v>20</v>
      </c>
      <c r="I31" t="n">
        <v>0</v>
      </c>
      <c r="J31" t="n">
        <v>20</v>
      </c>
      <c r="K31" t="n">
        <v>20</v>
      </c>
      <c r="L31" t="n">
        <v>0</v>
      </c>
      <c r="M31" t="n">
        <v>20</v>
      </c>
      <c r="N31" t="n">
        <v>0</v>
      </c>
    </row>
    <row r="32">
      <c r="A32" t="inlineStr">
        <is>
          <t>barley</t>
        </is>
      </c>
      <c r="B32" t="inlineStr">
        <is>
          <t>total, 20 quarters..</t>
        </is>
      </c>
      <c r="C32" t="n">
        <v>0</v>
      </c>
      <c r="D32" t="n">
        <v>0</v>
      </c>
      <c r="E32" t="n">
        <v>0</v>
      </c>
      <c r="F32" t="n">
        <v>0</v>
      </c>
      <c r="H32" t="n">
        <v>20</v>
      </c>
      <c r="I32" t="n">
        <v>0</v>
      </c>
      <c r="J32" t="n">
        <v>20</v>
      </c>
      <c r="K32" t="n">
        <v>20</v>
      </c>
      <c r="L32" t="n">
        <v>0</v>
      </c>
      <c r="M32" t="n">
        <v>20</v>
      </c>
      <c r="N32" t="n">
        <v>0</v>
      </c>
    </row>
    <row r="33">
      <c r="A33" t="inlineStr">
        <is>
          <t>barley</t>
        </is>
      </c>
      <c r="B33" t="inlineStr">
        <is>
          <t>20 quarters remain in the keeping of the said walter, to be handed back and restored at the end of his farm as before.</t>
        </is>
      </c>
      <c r="C33" t="n">
        <v>0</v>
      </c>
      <c r="D33" t="n">
        <v>0</v>
      </c>
      <c r="E33" t="n">
        <v>0</v>
      </c>
      <c r="F33" t="n">
        <v>0</v>
      </c>
      <c r="H33" t="n">
        <v>20</v>
      </c>
      <c r="I33" t="n">
        <v>0</v>
      </c>
      <c r="J33" t="n">
        <v>20</v>
      </c>
      <c r="K33" t="n">
        <v>20</v>
      </c>
      <c r="L33" t="n">
        <v>0</v>
      </c>
      <c r="M33" t="n">
        <v>20</v>
      </c>
      <c r="N33" t="n">
        <v>0</v>
      </c>
    </row>
    <row r="34">
      <c r="A34" t="inlineStr">
        <is>
          <t>dredge</t>
        </is>
      </c>
      <c r="B34" t="inlineStr">
        <is>
          <t>and for 15 quarters 4 bushels of dredge remaining..</t>
        </is>
      </c>
      <c r="C34" t="n">
        <v>0</v>
      </c>
      <c r="D34" t="n">
        <v>0</v>
      </c>
      <c r="E34" t="n">
        <v>0</v>
      </c>
      <c r="F34" t="n">
        <v>0</v>
      </c>
      <c r="G34" t="inlineStr">
        <is>
          <t>dredge</t>
        </is>
      </c>
      <c r="H34" t="n">
        <v>15</v>
      </c>
      <c r="I34" t="n">
        <v>4</v>
      </c>
      <c r="J34" t="n">
        <v>15.5</v>
      </c>
      <c r="K34" t="n">
        <v>15.5</v>
      </c>
      <c r="L34" t="n">
        <v>0</v>
      </c>
      <c r="M34" t="n">
        <v>15</v>
      </c>
      <c r="N34" t="n">
        <v>4</v>
      </c>
    </row>
    <row r="35">
      <c r="A35" t="inlineStr">
        <is>
          <t>dredge</t>
        </is>
      </c>
      <c r="B35" t="inlineStr">
        <is>
          <t>total, 15 quarters 4 bushels.</t>
        </is>
      </c>
      <c r="C35" t="n">
        <v>0</v>
      </c>
      <c r="D35" t="n">
        <v>0</v>
      </c>
      <c r="E35" t="n">
        <v>0</v>
      </c>
      <c r="F35" t="n">
        <v>0</v>
      </c>
      <c r="H35" t="n">
        <v>15</v>
      </c>
      <c r="I35" t="n">
        <v>4</v>
      </c>
      <c r="J35" t="n">
        <v>15.5</v>
      </c>
      <c r="K35" t="n">
        <v>15.5</v>
      </c>
      <c r="L35" t="n">
        <v>0</v>
      </c>
      <c r="M35" t="n">
        <v>15</v>
      </c>
      <c r="N35" t="n">
        <v>4</v>
      </c>
    </row>
    <row r="36">
      <c r="A36" t="inlineStr">
        <is>
          <t>dredge</t>
        </is>
      </c>
      <c r="B36" t="inlineStr">
        <is>
          <t>15 quarters 4 bushels remain in the keeping of the said walter, to be handed back and restored at the end of his farm as before.</t>
        </is>
      </c>
      <c r="C36" t="n">
        <v>0</v>
      </c>
      <c r="D36" t="n">
        <v>0</v>
      </c>
      <c r="E36" t="n">
        <v>0</v>
      </c>
      <c r="F36" t="n">
        <v>0</v>
      </c>
      <c r="H36" t="n">
        <v>15</v>
      </c>
      <c r="I36" t="n">
        <v>4</v>
      </c>
      <c r="J36" t="n">
        <v>15.5</v>
      </c>
      <c r="K36" t="n">
        <v>15.5</v>
      </c>
      <c r="L36" t="n">
        <v>0</v>
      </c>
      <c r="M36" t="n">
        <v>15</v>
      </c>
      <c r="N36" t="n">
        <v>4</v>
      </c>
    </row>
    <row r="37">
      <c r="A37" t="inlineStr">
        <is>
          <t>oats</t>
        </is>
      </c>
      <c r="B37" t="inlineStr">
        <is>
          <t>and for 10 quarters of oats remaining..</t>
        </is>
      </c>
      <c r="C37" t="n">
        <v>0</v>
      </c>
      <c r="D37" t="n">
        <v>0</v>
      </c>
      <c r="E37" t="n">
        <v>0</v>
      </c>
      <c r="F37" t="n">
        <v>0</v>
      </c>
      <c r="G37" t="inlineStr">
        <is>
          <t>oats</t>
        </is>
      </c>
      <c r="H37" t="n">
        <v>10</v>
      </c>
      <c r="I37" t="n">
        <v>0</v>
      </c>
      <c r="J37" t="n">
        <v>10</v>
      </c>
      <c r="K37" t="n">
        <v>10</v>
      </c>
      <c r="L37" t="n">
        <v>0</v>
      </c>
      <c r="M37" t="n">
        <v>10</v>
      </c>
      <c r="N37" t="n">
        <v>0</v>
      </c>
    </row>
    <row r="38">
      <c r="A38" t="inlineStr">
        <is>
          <t>oats</t>
        </is>
      </c>
      <c r="B38" t="inlineStr">
        <is>
          <t>total, 10 quarters..</t>
        </is>
      </c>
      <c r="C38" t="n">
        <v>0</v>
      </c>
      <c r="D38" t="n">
        <v>0</v>
      </c>
      <c r="E38" t="n">
        <v>0</v>
      </c>
      <c r="F38" t="n">
        <v>0</v>
      </c>
      <c r="H38" t="n">
        <v>10</v>
      </c>
      <c r="I38" t="n">
        <v>0</v>
      </c>
      <c r="J38" t="n">
        <v>10</v>
      </c>
      <c r="K38" t="n">
        <v>10</v>
      </c>
      <c r="L38" t="n">
        <v>0</v>
      </c>
      <c r="M38" t="n">
        <v>10</v>
      </c>
      <c r="N38" t="n">
        <v>0</v>
      </c>
    </row>
    <row r="39">
      <c r="A39" t="inlineStr">
        <is>
          <t>oats</t>
        </is>
      </c>
      <c r="B39" t="inlineStr">
        <is>
          <t>10 quarters remain in the keeping of the said walter, to be handed back and restored at the end of his farm.</t>
        </is>
      </c>
      <c r="C39" t="n">
        <v>0</v>
      </c>
      <c r="D39" t="n">
        <v>0</v>
      </c>
      <c r="E39" t="n">
        <v>0</v>
      </c>
      <c r="F39" t="n">
        <v>0</v>
      </c>
      <c r="H39" t="n">
        <v>10</v>
      </c>
      <c r="I39" t="n">
        <v>0</v>
      </c>
      <c r="J39" t="n">
        <v>10</v>
      </c>
      <c r="K39" t="n">
        <v>10</v>
      </c>
      <c r="L39" t="n">
        <v>0</v>
      </c>
      <c r="M39" t="n">
        <v>10</v>
      </c>
      <c r="N39" t="n">
        <v>0</v>
      </c>
    </row>
    <row r="40">
      <c r="A40" t="inlineStr">
        <is>
          <t>stock</t>
        </is>
      </c>
      <c r="B40" t="inlineStr">
        <is>
          <t>plough-horses: 4 remain.</t>
        </is>
      </c>
      <c r="C40" t="n">
        <v>0</v>
      </c>
      <c r="D40" t="n">
        <v>0</v>
      </c>
      <c r="E40" t="n">
        <v>0</v>
      </c>
      <c r="F40" t="n">
        <v>0</v>
      </c>
      <c r="H40" t="n">
        <v>0</v>
      </c>
      <c r="I40" t="n">
        <v>0</v>
      </c>
      <c r="J40" t="n">
        <v>0</v>
      </c>
      <c r="K40" t="n">
        <v>0</v>
      </c>
      <c r="L40" t="n">
        <v>0</v>
      </c>
      <c r="M40" t="n">
        <v>0</v>
      </c>
      <c r="N40" t="n">
        <v>0</v>
      </c>
    </row>
    <row r="41">
      <c r="A41" t="inlineStr">
        <is>
          <t>stock</t>
        </is>
      </c>
      <c r="B41" t="inlineStr">
        <is>
          <t>total, 4. 4 remain, worth 8 shilling each, in the keeping of the said walter, to be handed back at the end of his farm or the value of the same as before..</t>
        </is>
      </c>
      <c r="C41" t="n">
        <v>0.4</v>
      </c>
      <c r="D41" t="n">
        <v>0</v>
      </c>
      <c r="E41" t="n">
        <v>8</v>
      </c>
      <c r="F41" t="n">
        <v>0</v>
      </c>
      <c r="H41" t="n">
        <v>0</v>
      </c>
      <c r="I41" t="n">
        <v>0</v>
      </c>
      <c r="J41" t="n">
        <v>0</v>
      </c>
      <c r="K41" t="n">
        <v>0</v>
      </c>
      <c r="L41" t="n">
        <v>0</v>
      </c>
      <c r="M41" t="n">
        <v>0</v>
      </c>
      <c r="N41" t="n">
        <v>0</v>
      </c>
    </row>
    <row r="42">
      <c r="A42" t="inlineStr">
        <is>
          <t>stock</t>
        </is>
      </c>
      <c r="B42" t="inlineStr">
        <is>
          <t>cows: 17 remain.</t>
        </is>
      </c>
      <c r="C42" t="n">
        <v>0</v>
      </c>
      <c r="D42" t="n">
        <v>0</v>
      </c>
      <c r="E42" t="n">
        <v>0</v>
      </c>
      <c r="F42" t="n">
        <v>0</v>
      </c>
      <c r="H42" t="n">
        <v>0</v>
      </c>
      <c r="I42" t="n">
        <v>0</v>
      </c>
      <c r="J42" t="n">
        <v>0</v>
      </c>
      <c r="K42" t="n">
        <v>0</v>
      </c>
      <c r="L42" t="n">
        <v>0</v>
      </c>
      <c r="M42" t="n">
        <v>0</v>
      </c>
      <c r="N42" t="n">
        <v>0</v>
      </c>
    </row>
    <row r="43">
      <c r="A43" t="inlineStr">
        <is>
          <t>stock</t>
        </is>
      </c>
      <c r="B43" t="inlineStr">
        <is>
          <t>total, 17. 17 remain, worth 10 shilling each, in the keeping of the said walter, to be handed back and restored at the end of his farm or the value of the same as before.</t>
        </is>
      </c>
      <c r="C43" t="n">
        <v>0.5</v>
      </c>
      <c r="D43" t="n">
        <v>0</v>
      </c>
      <c r="E43" t="n">
        <v>10</v>
      </c>
      <c r="F43" t="n">
        <v>0</v>
      </c>
      <c r="H43" t="n">
        <v>0</v>
      </c>
      <c r="I43" t="n">
        <v>0</v>
      </c>
      <c r="J43" t="n">
        <v>0</v>
      </c>
      <c r="K43" t="n">
        <v>0</v>
      </c>
      <c r="L43" t="n">
        <v>0</v>
      </c>
      <c r="M43" t="n">
        <v>0</v>
      </c>
      <c r="N43" t="n">
        <v>0</v>
      </c>
    </row>
    <row r="44">
      <c r="A44" t="inlineStr">
        <is>
          <t>stock</t>
        </is>
      </c>
      <c r="B44" t="inlineStr">
        <is>
          <t>wethers: 250 remain.</t>
        </is>
      </c>
      <c r="C44" t="n">
        <v>0</v>
      </c>
      <c r="D44" t="n">
        <v>0</v>
      </c>
      <c r="E44" t="n">
        <v>0</v>
      </c>
      <c r="F44" t="n">
        <v>0</v>
      </c>
      <c r="H44" t="n">
        <v>0</v>
      </c>
      <c r="I44" t="n">
        <v>0</v>
      </c>
      <c r="J44" t="n">
        <v>0</v>
      </c>
      <c r="K44" t="n">
        <v>0</v>
      </c>
      <c r="L44" t="n">
        <v>0</v>
      </c>
      <c r="M44" t="n">
        <v>0</v>
      </c>
      <c r="N44" t="n">
        <v>0</v>
      </c>
    </row>
    <row r="45">
      <c r="A45" t="inlineStr">
        <is>
          <t>stock</t>
        </is>
      </c>
      <c r="B45" t="inlineStr">
        <is>
          <t>22 bought before shearing.</t>
        </is>
      </c>
      <c r="C45" t="n">
        <v>0</v>
      </c>
      <c r="D45" t="n">
        <v>0</v>
      </c>
      <c r="E45" t="n">
        <v>0</v>
      </c>
      <c r="F45" t="n">
        <v>0</v>
      </c>
      <c r="H45" t="n">
        <v>0</v>
      </c>
      <c r="I45" t="n">
        <v>0</v>
      </c>
      <c r="J45" t="n">
        <v>0</v>
      </c>
      <c r="K45" t="n">
        <v>0</v>
      </c>
      <c r="L45" t="n">
        <v>0</v>
      </c>
      <c r="M45" t="n">
        <v>0</v>
      </c>
      <c r="N45" t="n">
        <v>0</v>
      </c>
    </row>
    <row r="46">
      <c r="A46" t="inlineStr">
        <is>
          <t>stock</t>
        </is>
      </c>
      <c r="B46" t="inlineStr">
        <is>
          <t>total, 272. 18 in murrain before shearing and 5 after shearing.</t>
        </is>
      </c>
      <c r="C46" t="n">
        <v>0</v>
      </c>
      <c r="D46" t="n">
        <v>0</v>
      </c>
      <c r="E46" t="n">
        <v>0</v>
      </c>
      <c r="F46" t="n">
        <v>0</v>
      </c>
      <c r="H46" t="n">
        <v>0</v>
      </c>
      <c r="I46" t="n">
        <v>0</v>
      </c>
      <c r="J46" t="n">
        <v>0</v>
      </c>
      <c r="K46" t="n">
        <v>0</v>
      </c>
      <c r="L46" t="n">
        <v>0</v>
      </c>
      <c r="M46" t="n">
        <v>0</v>
      </c>
      <c r="N46" t="n">
        <v>0</v>
      </c>
    </row>
    <row r="47">
      <c r="A47" t="inlineStr">
        <is>
          <t>stock</t>
        </is>
      </c>
      <c r="B47" t="inlineStr">
        <is>
          <t>total, 23. 249 remain.</t>
        </is>
      </c>
      <c r="C47" t="n">
        <v>0</v>
      </c>
      <c r="D47" t="n">
        <v>0</v>
      </c>
      <c r="E47" t="n">
        <v>0</v>
      </c>
      <c r="F47" t="n">
        <v>0</v>
      </c>
      <c r="H47" t="n">
        <v>0</v>
      </c>
      <c r="I47" t="n">
        <v>0</v>
      </c>
      <c r="J47" t="n">
        <v>0</v>
      </c>
      <c r="K47" t="n">
        <v>0</v>
      </c>
      <c r="L47" t="n">
        <v>0</v>
      </c>
      <c r="M47" t="n">
        <v>0</v>
      </c>
      <c r="N47" t="n">
        <v>0</v>
      </c>
    </row>
    <row r="48">
      <c r="A48" t="inlineStr">
        <is>
          <t>stock</t>
        </is>
      </c>
      <c r="B48" t="inlineStr">
        <is>
          <t>coarse wool: 254 fleeces from wethers produced at the shearing this year, answering for an average of 1 lb a fleece, plus 4 cloves 4 lb in all.</t>
        </is>
      </c>
      <c r="C48" t="n">
        <v>0</v>
      </c>
      <c r="D48" t="n">
        <v>0</v>
      </c>
      <c r="E48" t="n">
        <v>0</v>
      </c>
      <c r="F48" t="n">
        <v>0</v>
      </c>
      <c r="H48" t="n">
        <v>0</v>
      </c>
      <c r="I48" t="n">
        <v>0</v>
      </c>
      <c r="J48" t="n">
        <v>0</v>
      </c>
      <c r="K48" t="n">
        <v>0</v>
      </c>
      <c r="L48" t="n">
        <v>0</v>
      </c>
      <c r="M48" t="n">
        <v>0</v>
      </c>
      <c r="N48" t="n">
        <v>0</v>
      </c>
    </row>
    <row r="49">
      <c r="A49" t="inlineStr">
        <is>
          <t>stock</t>
        </is>
      </c>
      <c r="B49" t="inlineStr">
        <is>
          <t>total, 254. 23 in tithe.</t>
        </is>
      </c>
      <c r="C49" t="n">
        <v>0</v>
      </c>
      <c r="D49" t="n">
        <v>0</v>
      </c>
      <c r="E49" t="n">
        <v>0</v>
      </c>
      <c r="F49" t="n">
        <v>0</v>
      </c>
      <c r="H49" t="n">
        <v>0</v>
      </c>
      <c r="I49" t="n">
        <v>0</v>
      </c>
      <c r="J49" t="n">
        <v>0</v>
      </c>
      <c r="K49" t="n">
        <v>0</v>
      </c>
      <c r="L49" t="n">
        <v>0</v>
      </c>
      <c r="M49" t="n">
        <v>0</v>
      </c>
      <c r="N49" t="n">
        <v>0</v>
      </c>
    </row>
    <row r="50">
      <c r="A50" t="inlineStr">
        <is>
          <t>stock</t>
        </is>
      </c>
      <c r="B50" t="inlineStr">
        <is>
          <t>1 in agreement with the shepherd.</t>
        </is>
      </c>
      <c r="C50" t="n">
        <v>0</v>
      </c>
      <c r="D50" t="n">
        <v>0</v>
      </c>
      <c r="E50" t="n">
        <v>0</v>
      </c>
      <c r="F50" t="n">
        <v>0</v>
      </c>
      <c r="H50" t="n">
        <v>0</v>
      </c>
      <c r="I50" t="n">
        <v>0</v>
      </c>
      <c r="J50" t="n">
        <v>0</v>
      </c>
      <c r="K50" t="n">
        <v>0</v>
      </c>
      <c r="L50" t="n">
        <v>0</v>
      </c>
      <c r="M50" t="n">
        <v>0</v>
      </c>
      <c r="N50" t="n">
        <v>0</v>
      </c>
    </row>
    <row r="51">
      <c r="A51" t="inlineStr">
        <is>
          <t>stock</t>
        </is>
      </c>
      <c r="B51" t="inlineStr">
        <is>
          <t>230 delivered to wargrave, weighing 38 cloves.</t>
        </is>
      </c>
      <c r="C51" t="n">
        <v>0</v>
      </c>
      <c r="D51" t="n">
        <v>0</v>
      </c>
      <c r="E51" t="n">
        <v>0</v>
      </c>
      <c r="F51" t="n">
        <v>0</v>
      </c>
      <c r="H51" t="n">
        <v>0</v>
      </c>
      <c r="I51" t="n">
        <v>0</v>
      </c>
      <c r="J51" t="n">
        <v>0</v>
      </c>
      <c r="K51" t="n">
        <v>0</v>
      </c>
      <c r="L51" t="n">
        <v>0</v>
      </c>
      <c r="M51" t="n">
        <v>0</v>
      </c>
      <c r="N51" t="n">
        <v>0</v>
      </c>
    </row>
    <row r="52">
      <c r="A52" t="inlineStr">
        <is>
          <t>stock</t>
        </is>
      </c>
      <c r="B52" t="inlineStr">
        <is>
          <t>total as before.</t>
        </is>
      </c>
      <c r="C52" t="n">
        <v>0</v>
      </c>
      <c r="D52" t="n">
        <v>0</v>
      </c>
      <c r="E52" t="n">
        <v>0</v>
      </c>
      <c r="F52" t="n">
        <v>0</v>
      </c>
      <c r="H52" t="n">
        <v>0</v>
      </c>
      <c r="I52" t="n">
        <v>0</v>
      </c>
      <c r="J52" t="n">
        <v>0</v>
      </c>
      <c r="K52" t="n">
        <v>0</v>
      </c>
      <c r="L52" t="n">
        <v>0</v>
      </c>
      <c r="M52" t="n">
        <v>0</v>
      </c>
      <c r="N52" t="n">
        <v>0</v>
      </c>
    </row>
    <row r="53">
      <c r="A53" t="inlineStr">
        <is>
          <t>stock</t>
        </is>
      </c>
      <c r="B53" t="inlineStr">
        <is>
          <t>it balances.</t>
        </is>
      </c>
      <c r="C53" t="n">
        <v>0</v>
      </c>
      <c r="D53" t="n">
        <v>0</v>
      </c>
      <c r="E53" t="n">
        <v>0</v>
      </c>
      <c r="F53" t="n">
        <v>0</v>
      </c>
      <c r="H53" t="n">
        <v>0</v>
      </c>
      <c r="I53" t="n">
        <v>0</v>
      </c>
      <c r="J53" t="n">
        <v>0</v>
      </c>
      <c r="K53" t="n">
        <v>0</v>
      </c>
      <c r="L53" t="n">
        <v>0</v>
      </c>
      <c r="M53" t="n">
        <v>0</v>
      </c>
      <c r="N53" t="n">
        <v>0</v>
      </c>
    </row>
    <row r="54">
      <c r="A54" t="inlineStr">
        <is>
          <t>stock</t>
        </is>
      </c>
      <c r="B54" t="inlineStr">
        <is>
          <t>woolskins: 18 from wethers in murrain before shearing as made clear above.</t>
        </is>
      </c>
      <c r="C54" t="n">
        <v>0</v>
      </c>
      <c r="D54" t="n">
        <v>0</v>
      </c>
      <c r="E54" t="n">
        <v>0</v>
      </c>
      <c r="F54" t="n">
        <v>0</v>
      </c>
      <c r="H54" t="n">
        <v>0</v>
      </c>
      <c r="I54" t="n">
        <v>0</v>
      </c>
      <c r="J54" t="n">
        <v>0</v>
      </c>
      <c r="K54" t="n">
        <v>0</v>
      </c>
      <c r="L54" t="n">
        <v>0</v>
      </c>
      <c r="M54" t="n">
        <v>0</v>
      </c>
      <c r="N54" t="n">
        <v>0</v>
      </c>
    </row>
    <row r="55">
      <c r="A55" t="inlineStr">
        <is>
          <t>stock</t>
        </is>
      </c>
      <c r="B55" t="inlineStr">
        <is>
          <t>total, 18. 2 in tithe.</t>
        </is>
      </c>
      <c r="C55" t="n">
        <v>0</v>
      </c>
      <c r="D55" t="n">
        <v>0</v>
      </c>
      <c r="E55" t="n">
        <v>0</v>
      </c>
      <c r="F55" t="n">
        <v>0</v>
      </c>
      <c r="H55" t="n">
        <v>0</v>
      </c>
      <c r="I55" t="n">
        <v>0</v>
      </c>
      <c r="J55" t="n">
        <v>0</v>
      </c>
      <c r="K55" t="n">
        <v>0</v>
      </c>
      <c r="L55" t="n">
        <v>0</v>
      </c>
      <c r="M55" t="n">
        <v>0</v>
      </c>
      <c r="N55" t="n">
        <v>0</v>
      </c>
    </row>
    <row r="56">
      <c r="A56" t="inlineStr">
        <is>
          <t>stock</t>
        </is>
      </c>
      <c r="B56" t="inlineStr">
        <is>
          <t>16 sold within.</t>
        </is>
      </c>
      <c r="C56" t="n">
        <v>0</v>
      </c>
      <c r="D56" t="n">
        <v>0</v>
      </c>
      <c r="E56" t="n">
        <v>0</v>
      </c>
      <c r="F56" t="n">
        <v>0</v>
      </c>
      <c r="H56" t="n">
        <v>0</v>
      </c>
      <c r="I56" t="n">
        <v>0</v>
      </c>
      <c r="J56" t="n">
        <v>0</v>
      </c>
      <c r="K56" t="n">
        <v>0</v>
      </c>
      <c r="L56" t="n">
        <v>0</v>
      </c>
      <c r="M56" t="n">
        <v>0</v>
      </c>
      <c r="N56" t="n">
        <v>0</v>
      </c>
    </row>
    <row r="57">
      <c r="A57" t="inlineStr">
        <is>
          <t>stock</t>
        </is>
      </c>
      <c r="B57" t="inlineStr">
        <is>
          <t>total as before.</t>
        </is>
      </c>
      <c r="C57" t="n">
        <v>0</v>
      </c>
      <c r="D57" t="n">
        <v>0</v>
      </c>
      <c r="E57" t="n">
        <v>0</v>
      </c>
      <c r="F57" t="n">
        <v>0</v>
      </c>
      <c r="H57" t="n">
        <v>0</v>
      </c>
      <c r="I57" t="n">
        <v>0</v>
      </c>
      <c r="J57" t="n">
        <v>0</v>
      </c>
      <c r="K57" t="n">
        <v>0</v>
      </c>
      <c r="L57" t="n">
        <v>0</v>
      </c>
      <c r="M57" t="n">
        <v>0</v>
      </c>
      <c r="N57" t="n">
        <v>0</v>
      </c>
    </row>
    <row r="58">
      <c r="A58" t="inlineStr">
        <is>
          <t>stock</t>
        </is>
      </c>
      <c r="B58" t="inlineStr">
        <is>
          <t>none remain.</t>
        </is>
      </c>
      <c r="C58" t="n">
        <v>0</v>
      </c>
      <c r="D58" t="n">
        <v>0</v>
      </c>
      <c r="E58" t="n">
        <v>0</v>
      </c>
      <c r="F58" t="n">
        <v>0</v>
      </c>
      <c r="H58" t="n">
        <v>0</v>
      </c>
      <c r="I58" t="n">
        <v>0</v>
      </c>
      <c r="J58" t="n">
        <v>0</v>
      </c>
      <c r="K58" t="n">
        <v>0</v>
      </c>
      <c r="L58" t="n">
        <v>0</v>
      </c>
      <c r="M58" t="n">
        <v>0</v>
      </c>
      <c r="N58" t="n">
        <v>0</v>
      </c>
    </row>
    <row r="59">
      <c r="A59" t="inlineStr">
        <is>
          <t>stock</t>
        </is>
      </c>
      <c r="B59" t="inlineStr">
        <is>
          <t>bare skins: 5 from wethers in murrain after shearing as made clear above.</t>
        </is>
      </c>
      <c r="C59" t="n">
        <v>0</v>
      </c>
      <c r="D59" t="n">
        <v>0</v>
      </c>
      <c r="E59" t="n">
        <v>0</v>
      </c>
      <c r="F59" t="n">
        <v>0</v>
      </c>
      <c r="H59" t="n">
        <v>0</v>
      </c>
      <c r="I59" t="n">
        <v>0</v>
      </c>
      <c r="J59" t="n">
        <v>0</v>
      </c>
      <c r="K59" t="n">
        <v>0</v>
      </c>
      <c r="L59" t="n">
        <v>0</v>
      </c>
      <c r="M59" t="n">
        <v>0</v>
      </c>
      <c r="N59" t="n">
        <v>0</v>
      </c>
    </row>
    <row r="60">
      <c r="A60" t="inlineStr">
        <is>
          <t>stock</t>
        </is>
      </c>
      <c r="B60" t="inlineStr">
        <is>
          <t>sold within.</t>
        </is>
      </c>
      <c r="C60" t="n">
        <v>0</v>
      </c>
      <c r="D60" t="n">
        <v>0</v>
      </c>
      <c r="E60" t="n">
        <v>0</v>
      </c>
      <c r="F60" t="n">
        <v>0</v>
      </c>
      <c r="H60" t="n">
        <v>0</v>
      </c>
      <c r="I60" t="n">
        <v>0</v>
      </c>
      <c r="J60" t="n">
        <v>0</v>
      </c>
      <c r="K60" t="n">
        <v>0</v>
      </c>
      <c r="L60" t="n">
        <v>0</v>
      </c>
      <c r="M60" t="n">
        <v>0</v>
      </c>
      <c r="N60" t="n">
        <v>0</v>
      </c>
    </row>
    <row r="61">
      <c r="A61" t="inlineStr">
        <is>
          <t>stock</t>
        </is>
      </c>
      <c r="B61" t="inlineStr">
        <is>
          <t>none remain.</t>
        </is>
      </c>
      <c r="C61" t="n">
        <v>0</v>
      </c>
      <c r="D61" t="n">
        <v>0</v>
      </c>
      <c r="E61" t="n">
        <v>0</v>
      </c>
      <c r="F61" t="n">
        <v>0</v>
      </c>
      <c r="H61" t="n">
        <v>0</v>
      </c>
      <c r="I61" t="n">
        <v>0</v>
      </c>
      <c r="J61" t="n">
        <v>0</v>
      </c>
      <c r="K61" t="n">
        <v>0</v>
      </c>
      <c r="L61" t="n">
        <v>0</v>
      </c>
      <c r="M61" t="n">
        <v>0</v>
      </c>
      <c r="N61" t="n">
        <v>0</v>
      </c>
    </row>
    <row r="62">
      <c r="A62" t="inlineStr">
        <is>
          <t>stock</t>
        </is>
      </c>
      <c r="B62" t="inlineStr">
        <is>
          <t>utensils: 1 plough with 1 coulter and ploughshare and all other equipment for 6 plough-horses, 2 wooden harrows and 1 fork for sheaves.</t>
        </is>
      </c>
      <c r="C62" t="n">
        <v>0</v>
      </c>
      <c r="D62" t="n">
        <v>0</v>
      </c>
      <c r="E62" t="n">
        <v>0</v>
      </c>
      <c r="F62" t="n">
        <v>0</v>
      </c>
      <c r="H62" t="n">
        <v>0</v>
      </c>
      <c r="I62" t="n">
        <v>0</v>
      </c>
      <c r="J62" t="n">
        <v>0</v>
      </c>
      <c r="K62" t="n">
        <v>0</v>
      </c>
      <c r="L62" t="n">
        <v>0</v>
      </c>
      <c r="M62" t="n">
        <v>0</v>
      </c>
      <c r="N62" t="n">
        <v>0</v>
      </c>
    </row>
    <row r="63">
      <c r="A63" t="inlineStr">
        <is>
          <t>stock</t>
        </is>
      </c>
      <c r="B63" t="inlineStr">
        <is>
          <t>1 plain cart for sheaves with a frame and cart-rail, 1 cart with unshod wheels with a tumbrel for dung, 1 cart-saddle and 6 halters.</t>
        </is>
      </c>
      <c r="C63" t="n">
        <v>0</v>
      </c>
      <c r="D63" t="n">
        <v>0</v>
      </c>
      <c r="E63" t="n">
        <v>0</v>
      </c>
      <c r="F63" t="n">
        <v>0</v>
      </c>
      <c r="H63" t="n">
        <v>0</v>
      </c>
      <c r="I63" t="n">
        <v>0</v>
      </c>
      <c r="J63" t="n">
        <v>0</v>
      </c>
      <c r="K63" t="n">
        <v>0</v>
      </c>
      <c r="L63" t="n">
        <v>0</v>
      </c>
      <c r="M63" t="n">
        <v>0</v>
      </c>
      <c r="N63" t="n">
        <v>0</v>
      </c>
    </row>
    <row r="64">
      <c r="A64" t="inlineStr">
        <is>
          <t>stock</t>
        </is>
      </c>
      <c r="B64" t="inlineStr">
        <is>
          <t>1 brass pan of 6 gallons, 1 tripod, 1 wooden winnowing-fan, 1 basket for carrying corn, 1 dung-fork, 1 shovel with iron, 1 fodder-rack for cattle, 1 riddle, 1 trough for the dairy, 1 cheese mould and 5 tables for putting the cheese on remain.</t>
        </is>
      </c>
      <c r="C64" t="n">
        <v>0</v>
      </c>
      <c r="D64" t="n">
        <v>0</v>
      </c>
      <c r="E64" t="n">
        <v>0</v>
      </c>
      <c r="F64" t="n">
        <v>0</v>
      </c>
      <c r="H64" t="n">
        <v>0</v>
      </c>
      <c r="I64" t="n">
        <v>0</v>
      </c>
      <c r="J64" t="n">
        <v>0</v>
      </c>
      <c r="K64" t="n">
        <v>0</v>
      </c>
      <c r="L64" t="n">
        <v>0</v>
      </c>
      <c r="M64" t="n">
        <v>0</v>
      </c>
      <c r="N64" t="n">
        <v>0</v>
      </c>
    </row>
    <row r="65">
      <c r="A65" t="inlineStr">
        <is>
          <t>stock</t>
        </is>
      </c>
      <c r="B65" t="inlineStr">
        <is>
          <t>this same stock, both live and dead, demised to the aforesaid walter is to be handed back and restored at the end of his term in as good condition as he received it.</t>
        </is>
      </c>
      <c r="C65" t="n">
        <v>0</v>
      </c>
      <c r="D65" t="n">
        <v>0</v>
      </c>
      <c r="E65" t="n">
        <v>0</v>
      </c>
      <c r="F65" t="n">
        <v>0</v>
      </c>
      <c r="H65" t="n">
        <v>0</v>
      </c>
      <c r="I65" t="n">
        <v>0</v>
      </c>
      <c r="J65" t="n">
        <v>0</v>
      </c>
      <c r="K65" t="n">
        <v>0</v>
      </c>
      <c r="L65" t="n">
        <v>0</v>
      </c>
      <c r="M65" t="n">
        <v>0</v>
      </c>
      <c r="N6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CULHAM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0</v>
      </c>
      <c r="D3" s="128" t="n">
        <v>0</v>
      </c>
      <c r="E3" s="128" t="n"/>
      <c r="F3" s="128" t="n">
        <v>0</v>
      </c>
      <c r="G3" s="128" t="n"/>
      <c r="H3" s="128" t="inlineStr">
        <is>
          <t>None because he withdrew quit from his account of the preceding year..</t>
        </is>
      </c>
      <c r="I3" s="128" t="n"/>
    </row>
    <row r="4">
      <c r="A4" s="138" t="inlineStr">
        <is>
          <t>Arrears total</t>
        </is>
      </c>
      <c r="B4" s="139" t="n"/>
      <c r="C4" s="139" t="n"/>
      <c r="D4" s="139" t="n"/>
      <c r="E4" s="139" t="n"/>
      <c r="F4" s="139" t="n">
        <v>0</v>
      </c>
      <c r="G4" s="139" t="n">
        <v>0</v>
      </c>
      <c r="H4" s="139" t="inlineStr">
        <is>
          <t>Total</t>
        </is>
      </c>
      <c r="I4" s="139" t="n"/>
    </row>
    <row r="5">
      <c r="A5" s="136" t="n"/>
      <c r="B5" s="128" t="n"/>
      <c r="C5" s="128" t="n"/>
      <c r="D5" s="128" t="n"/>
      <c r="E5" s="128" t="n"/>
      <c r="F5" s="128" t="n"/>
      <c r="G5" s="128" t="n"/>
      <c r="H5" s="128" t="n"/>
      <c r="I5" s="128" t="n"/>
    </row>
    <row r="6">
      <c r="A6" s="137" t="inlineStr">
        <is>
          <t>Rents</t>
        </is>
      </c>
      <c r="B6" s="128" t="n">
        <v>14</v>
      </c>
      <c r="C6" s="128" t="n">
        <v>13</v>
      </c>
      <c r="D6" s="128" t="n">
        <v>4</v>
      </c>
      <c r="E6" s="128" t="n"/>
      <c r="F6" s="128" t="n">
        <v>14.67</v>
      </c>
      <c r="G6" s="128" t="n"/>
      <c r="H6" s="128"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I6" s="128" t="n"/>
    </row>
    <row r="7">
      <c r="A7" s="136" t="inlineStr">
        <is>
          <t>Rents</t>
        </is>
      </c>
      <c r="B7" s="128" t="n">
        <v>14</v>
      </c>
      <c r="C7" s="128" t="n">
        <v>13</v>
      </c>
      <c r="D7" s="128" t="n">
        <v>4</v>
      </c>
      <c r="E7" s="128" t="n"/>
      <c r="F7" s="128" t="n">
        <v>14.67</v>
      </c>
      <c r="G7" s="128" t="n"/>
      <c r="H7" s="128" t="inlineStr">
        <is>
          <t>Total, £14 13 shilling 4pence.</t>
        </is>
      </c>
      <c r="I7" s="128" t="n"/>
    </row>
    <row r="8">
      <c r="A8" s="138" t="inlineStr">
        <is>
          <t>Rents total</t>
        </is>
      </c>
      <c r="B8" s="139" t="n"/>
      <c r="C8" s="139" t="n"/>
      <c r="D8" s="139" t="n"/>
      <c r="E8" s="139" t="n"/>
      <c r="F8" s="139" t="n">
        <v>14.67</v>
      </c>
      <c r="G8" s="139" t="n">
        <v>0</v>
      </c>
      <c r="H8" s="139" t="inlineStr">
        <is>
          <t>Total</t>
        </is>
      </c>
      <c r="I8" s="139" t="n"/>
    </row>
    <row r="9">
      <c r="A9" s="136" t="n"/>
      <c r="B9" s="128" t="n"/>
      <c r="C9" s="128" t="n"/>
      <c r="D9" s="128" t="n"/>
      <c r="E9" s="128" t="n"/>
      <c r="F9" s="128" t="n"/>
      <c r="G9" s="128" t="n"/>
      <c r="H9" s="128" t="n"/>
      <c r="I9" s="128" t="n"/>
    </row>
    <row r="10">
      <c r="A10" s="137" t="inlineStr">
        <is>
          <t>Issues of the manor</t>
        </is>
      </c>
      <c r="B10" s="128" t="n">
        <v>0</v>
      </c>
      <c r="C10" s="128" t="n">
        <v>5</v>
      </c>
      <c r="D10" s="128" t="n">
        <v>4</v>
      </c>
      <c r="E10" s="128" t="n"/>
      <c r="F10" s="128" t="n">
        <v>0.27</v>
      </c>
      <c r="G10" s="128" t="n"/>
      <c r="H10" s="128" t="inlineStr">
        <is>
          <t>And for 5 shilling 4pence from the skins sold of 16 wethers in murrain before shearing as made clear elsewhere, at 4pence a skin.</t>
        </is>
      </c>
      <c r="I10" s="128" t="n"/>
    </row>
    <row r="11">
      <c r="A11" s="136" t="inlineStr">
        <is>
          <t>Issues of the manor</t>
        </is>
      </c>
      <c r="B11" s="128" t="n">
        <v>0</v>
      </c>
      <c r="C11" s="128" t="n">
        <v>0</v>
      </c>
      <c r="D11" s="128" t="n">
        <v>5</v>
      </c>
      <c r="E11" s="128" t="n"/>
      <c r="F11" s="128" t="n">
        <v>0.02</v>
      </c>
      <c r="G11" s="128" t="n"/>
      <c r="H11" s="128" t="inlineStr">
        <is>
          <t>5pence from the skins of 5 wethers in murrain after shearing, at 1pence a skin.</t>
        </is>
      </c>
      <c r="I11" s="128" t="n"/>
    </row>
    <row r="12">
      <c r="A12" s="136" t="inlineStr">
        <is>
          <t>Issues of the manor</t>
        </is>
      </c>
      <c r="B12" s="128" t="n">
        <v>0</v>
      </c>
      <c r="C12" s="128" t="n">
        <v>5</v>
      </c>
      <c r="D12" s="128" t="n">
        <v>9</v>
      </c>
      <c r="E12" s="128" t="n"/>
      <c r="F12" s="128" t="n">
        <v>0.29</v>
      </c>
      <c r="G12" s="128" t="n"/>
      <c r="H12" s="128" t="inlineStr">
        <is>
          <t>Total, 5 shilling 9pence.</t>
        </is>
      </c>
      <c r="I12" s="128" t="n"/>
    </row>
    <row r="13">
      <c r="A13" s="138" t="inlineStr">
        <is>
          <t>Issues of the manor total</t>
        </is>
      </c>
      <c r="B13" s="139" t="n"/>
      <c r="C13" s="139" t="n"/>
      <c r="D13" s="139" t="n"/>
      <c r="E13" s="139" t="n"/>
      <c r="F13" s="139" t="n">
        <v>0.29</v>
      </c>
      <c r="G13" s="139" t="n">
        <v>0</v>
      </c>
      <c r="H13" s="139" t="inlineStr">
        <is>
          <t>Total</t>
        </is>
      </c>
      <c r="I13" s="139" t="n"/>
    </row>
    <row r="14">
      <c r="A14" s="136" t="n"/>
      <c r="B14" s="128" t="n"/>
      <c r="C14" s="128" t="n"/>
      <c r="D14" s="128" t="n"/>
      <c r="E14" s="128" t="n"/>
      <c r="F14" s="128" t="n"/>
      <c r="G14" s="128" t="n"/>
      <c r="H14" s="128" t="n"/>
      <c r="I14" s="128" t="n"/>
    </row>
    <row r="15">
      <c r="A15" s="137" t="inlineStr">
        <is>
          <t>Entry and marriage fines</t>
        </is>
      </c>
      <c r="B15" s="128" t="n">
        <v>0</v>
      </c>
      <c r="C15" s="128" t="n">
        <v>3</v>
      </c>
      <c r="D15" s="128" t="n">
        <v>0.5</v>
      </c>
      <c r="E15" s="128" t="n"/>
      <c r="F15" s="128" t="n">
        <v>0.15</v>
      </c>
      <c r="G15" s="128" t="n"/>
      <c r="H15" s="128" t="inlineStr">
        <is>
          <t>And for 3 shilling 0.5pence from tithingpenny at the tourn of Martinmas.</t>
        </is>
      </c>
      <c r="I15" s="128" t="n"/>
    </row>
    <row r="16">
      <c r="A16" s="136" t="inlineStr">
        <is>
          <t>Entry and marriage fines</t>
        </is>
      </c>
      <c r="B16" s="128" t="n">
        <v>0</v>
      </c>
      <c r="C16" s="128" t="n">
        <v>3</v>
      </c>
      <c r="D16" s="128" t="n">
        <v>0.5</v>
      </c>
      <c r="E16" s="128" t="n"/>
      <c r="F16" s="128" t="n">
        <v>0.15</v>
      </c>
      <c r="G16" s="128" t="n"/>
      <c r="H16" s="128" t="inlineStr">
        <is>
          <t>3 shilling 0.5pence from tithingpenny at the tourn of Hockday.</t>
        </is>
      </c>
      <c r="I16" s="128" t="n"/>
    </row>
    <row r="17">
      <c r="A17" s="136" t="inlineStr">
        <is>
          <t>Entry and marriage fines</t>
        </is>
      </c>
      <c r="B17" s="128" t="n">
        <v>0</v>
      </c>
      <c r="C17" s="128" t="n">
        <v>6</v>
      </c>
      <c r="D17" s="128" t="n">
        <v>1</v>
      </c>
      <c r="E17" s="128" t="n"/>
      <c r="F17" s="128" t="n">
        <v>0.3</v>
      </c>
      <c r="G17" s="128" t="n"/>
      <c r="H17" s="128" t="inlineStr">
        <is>
          <t>Total, 6 shilling 1pence.</t>
        </is>
      </c>
      <c r="I17" s="128" t="n"/>
    </row>
    <row r="18">
      <c r="A18" s="138" t="inlineStr">
        <is>
          <t>Entry and marriage fines total</t>
        </is>
      </c>
      <c r="B18" s="139" t="n"/>
      <c r="C18" s="139" t="n"/>
      <c r="D18" s="139" t="n"/>
      <c r="E18" s="139" t="n"/>
      <c r="F18" s="139" t="n">
        <v>0.3</v>
      </c>
      <c r="G18" s="139" t="n">
        <v>0</v>
      </c>
      <c r="H18" s="139" t="inlineStr">
        <is>
          <t>Total</t>
        </is>
      </c>
      <c r="I18" s="139" t="n"/>
    </row>
    <row r="19">
      <c r="A19" s="136" t="n"/>
      <c r="B19" s="128" t="n"/>
      <c r="C19" s="128" t="n"/>
      <c r="D19" s="128" t="n"/>
      <c r="E19" s="128" t="n"/>
      <c r="F19" s="128" t="n"/>
      <c r="G19" s="128" t="n"/>
      <c r="H19" s="128" t="n"/>
      <c r="I19" s="128" t="n"/>
    </row>
    <row r="20">
      <c r="A20" s="136" t="inlineStr">
        <is>
          <t>Total of all receipts</t>
        </is>
      </c>
      <c r="B20" s="128" t="n">
        <v>15</v>
      </c>
      <c r="C20" s="128" t="n">
        <v>5</v>
      </c>
      <c r="D20" s="128" t="n">
        <v>2</v>
      </c>
      <c r="E20" s="128" t="n"/>
      <c r="F20" s="128" t="n">
        <v>15.26</v>
      </c>
      <c r="G20" s="128" t="n"/>
      <c r="H20" s="128" t="inlineStr">
        <is>
          <t>Total of all receipts, £15 5 shilling 2pence.</t>
        </is>
      </c>
      <c r="I20" s="128" t="n"/>
    </row>
    <row r="21">
      <c r="A21" s="38" t="inlineStr">
        <is>
          <t>Total of all receipts recorded in accounts (calculated here)</t>
        </is>
      </c>
      <c r="F21">
        <f>SUMIF(A1:A20,"* total",F1:F20)-SUMIF(A1:A20,"Arrears total",F1:F20)</f>
        <v/>
      </c>
    </row>
    <row r="22">
      <c r="A22" s="38" t="inlineStr">
        <is>
          <t>Total of all receipts (calculated here) incl arrears</t>
        </is>
      </c>
      <c r="F22">
        <f>F21+SUMIF(A1:A20,"Arrears total",F1:F20)</f>
        <v/>
      </c>
      <c r="G22">
        <f>F20-F22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4 remain.</t>
        </is>
      </c>
      <c r="C3" t="n">
        <v>0</v>
      </c>
      <c r="D3" t="n">
        <v>0</v>
      </c>
      <c r="E3" t="inlineStr">
        <is>
          <t>Plough-horses</t>
        </is>
      </c>
      <c r="F3" t="inlineStr">
        <is>
          <t>4</t>
        </is>
      </c>
    </row>
    <row r="4">
      <c r="A4" t="inlineStr">
        <is>
          <t>Stock</t>
        </is>
      </c>
      <c r="B4" t="inlineStr">
        <is>
          <t>Total, 4. 4 remain, worth 8 shilling each, in the keeping of the said Walter, to be handed back at the end of his farm or the value of the same as before..</t>
        </is>
      </c>
      <c r="C4" t="n">
        <v>0</v>
      </c>
      <c r="D4" t="n">
        <v>0</v>
      </c>
      <c r="E4" t="inlineStr">
        <is>
          <t>Plough-horses</t>
        </is>
      </c>
    </row>
    <row r="5">
      <c r="A5" t="inlineStr">
        <is>
          <t>Stock</t>
        </is>
      </c>
      <c r="B5" t="inlineStr">
        <is>
          <t>Cows: 17 remain.</t>
        </is>
      </c>
      <c r="C5" t="n">
        <v>0</v>
      </c>
      <c r="D5" t="n">
        <v>0</v>
      </c>
      <c r="E5" t="inlineStr">
        <is>
          <t>Cows</t>
        </is>
      </c>
      <c r="F5" t="inlineStr">
        <is>
          <t>17</t>
        </is>
      </c>
    </row>
    <row r="6">
      <c r="A6" t="inlineStr">
        <is>
          <t>Stock</t>
        </is>
      </c>
      <c r="B6" t="inlineStr">
        <is>
          <t>Total, 17. 17 remain, worth 10 shilling each, in the keeping of the said Walter, to be handed back and restored at the end of his farm or the value of the same as before.</t>
        </is>
      </c>
      <c r="C6" t="n">
        <v>0</v>
      </c>
      <c r="D6" t="n">
        <v>0</v>
      </c>
      <c r="E6" t="inlineStr">
        <is>
          <t>Cows</t>
        </is>
      </c>
    </row>
    <row r="7">
      <c r="A7" t="inlineStr">
        <is>
          <t>Stock</t>
        </is>
      </c>
      <c r="B7" t="inlineStr">
        <is>
          <t>Wethers: 250 remain.</t>
        </is>
      </c>
      <c r="C7" t="n">
        <v>0</v>
      </c>
      <c r="D7" t="n">
        <v>0</v>
      </c>
      <c r="E7" t="inlineStr">
        <is>
          <t>Wethers</t>
        </is>
      </c>
      <c r="F7" t="inlineStr">
        <is>
          <t>250</t>
        </is>
      </c>
    </row>
    <row r="8">
      <c r="A8" t="inlineStr">
        <is>
          <t>Stock</t>
        </is>
      </c>
      <c r="B8" t="inlineStr">
        <is>
          <t>22 bought before shearing.</t>
        </is>
      </c>
      <c r="C8" t="n">
        <v>0</v>
      </c>
      <c r="D8" t="n">
        <v>0</v>
      </c>
      <c r="E8" t="inlineStr">
        <is>
          <t>Wethers</t>
        </is>
      </c>
      <c r="G8" t="inlineStr">
        <is>
          <t>22</t>
        </is>
      </c>
    </row>
    <row r="9">
      <c r="A9" t="inlineStr">
        <is>
          <t>Stock</t>
        </is>
      </c>
      <c r="B9" t="inlineStr">
        <is>
          <t>Total, 272. 18 in murrain before shearing and 5 after shearing.</t>
        </is>
      </c>
      <c r="C9" t="n">
        <v>0</v>
      </c>
      <c r="D9" t="n">
        <v>0</v>
      </c>
      <c r="E9" t="inlineStr">
        <is>
          <t>Wethers</t>
        </is>
      </c>
      <c r="H9" t="inlineStr">
        <is>
          <t>18</t>
        </is>
      </c>
    </row>
    <row r="10">
      <c r="A10" t="inlineStr">
        <is>
          <t>Stock</t>
        </is>
      </c>
      <c r="B10" t="inlineStr">
        <is>
          <t>Total, 23. 249 remain.</t>
        </is>
      </c>
      <c r="C10" t="n">
        <v>0</v>
      </c>
      <c r="D10" t="n">
        <v>0</v>
      </c>
      <c r="E10" t="inlineStr">
        <is>
          <t>Wethers</t>
        </is>
      </c>
    </row>
    <row r="11">
      <c r="A11" t="inlineStr">
        <is>
          <t>Stock</t>
        </is>
      </c>
      <c r="B11" t="inlineStr">
        <is>
          <t>Coarse wool: 254 fleeces from wethers produced at the shearing this year, answering for an average of 1 lb a fleece, plus 4 cloves 4 lb in all.</t>
        </is>
      </c>
      <c r="C11" t="n">
        <v>0</v>
      </c>
      <c r="D11" t="n">
        <v>0</v>
      </c>
      <c r="E11" t="inlineStr">
        <is>
          <t>Coarse wool</t>
        </is>
      </c>
    </row>
    <row r="12">
      <c r="A12" t="inlineStr">
        <is>
          <t>Stock</t>
        </is>
      </c>
      <c r="B12" t="inlineStr">
        <is>
          <t>Total, 254. 23 in tithe.</t>
        </is>
      </c>
      <c r="C12" t="n">
        <v>0</v>
      </c>
      <c r="D12" t="n">
        <v>0</v>
      </c>
      <c r="E12" t="inlineStr">
        <is>
          <t>Coarse wool</t>
        </is>
      </c>
    </row>
    <row r="13">
      <c r="A13" t="inlineStr">
        <is>
          <t>Stock</t>
        </is>
      </c>
      <c r="B13" t="inlineStr">
        <is>
          <t>1 in agreement with the shepherd.</t>
        </is>
      </c>
      <c r="C13" t="n">
        <v>0</v>
      </c>
      <c r="D13" t="n">
        <v>0</v>
      </c>
      <c r="E13" t="inlineStr">
        <is>
          <t>Coarse wool</t>
        </is>
      </c>
    </row>
    <row r="14">
      <c r="A14" t="inlineStr">
        <is>
          <t>Stock</t>
        </is>
      </c>
      <c r="B14" t="inlineStr">
        <is>
          <t>230 delivered to Wargrave, weighing 38 cloves.</t>
        </is>
      </c>
      <c r="C14" t="n">
        <v>0</v>
      </c>
      <c r="D14" t="n">
        <v>0</v>
      </c>
      <c r="E14" t="inlineStr">
        <is>
          <t>Coarse wool</t>
        </is>
      </c>
    </row>
    <row r="15">
      <c r="A15" t="inlineStr">
        <is>
          <t>Stock</t>
        </is>
      </c>
      <c r="B15" t="inlineStr">
        <is>
          <t>Total as before.</t>
        </is>
      </c>
      <c r="C15" t="n">
        <v>0</v>
      </c>
      <c r="D15" t="n">
        <v>0</v>
      </c>
      <c r="E15" t="inlineStr">
        <is>
          <t>Coarse wool</t>
        </is>
      </c>
    </row>
    <row r="16">
      <c r="A16" t="inlineStr">
        <is>
          <t>Stock</t>
        </is>
      </c>
      <c r="B16" t="inlineStr">
        <is>
          <t>It balances.</t>
        </is>
      </c>
      <c r="C16" t="n">
        <v>0</v>
      </c>
      <c r="D16" t="n">
        <v>0</v>
      </c>
      <c r="E16" t="inlineStr">
        <is>
          <t>Coarse wool</t>
        </is>
      </c>
    </row>
    <row r="17">
      <c r="A17" t="inlineStr">
        <is>
          <t>Stock</t>
        </is>
      </c>
      <c r="B17" t="inlineStr">
        <is>
          <t>Woolskins: 18 from wethers in murrain before shearing as made clear above.</t>
        </is>
      </c>
      <c r="C17" t="n">
        <v>0</v>
      </c>
      <c r="D17" t="n">
        <v>0</v>
      </c>
      <c r="E17" t="inlineStr">
        <is>
          <t>Woolskins</t>
        </is>
      </c>
      <c r="H17" t="inlineStr">
        <is>
          <t>18</t>
        </is>
      </c>
    </row>
    <row r="18">
      <c r="A18" t="inlineStr">
        <is>
          <t>Stock</t>
        </is>
      </c>
      <c r="B18" t="inlineStr">
        <is>
          <t>Total, 18. 2 in tithe.</t>
        </is>
      </c>
      <c r="C18" t="n">
        <v>0</v>
      </c>
      <c r="D18" t="n">
        <v>0</v>
      </c>
      <c r="E18" t="inlineStr">
        <is>
          <t>Woolskins</t>
        </is>
      </c>
    </row>
    <row r="19">
      <c r="A19" t="inlineStr">
        <is>
          <t>Stock</t>
        </is>
      </c>
      <c r="B19" t="inlineStr">
        <is>
          <t>16 sold within.</t>
        </is>
      </c>
      <c r="C19" t="n">
        <v>0</v>
      </c>
      <c r="D19" t="n">
        <v>0</v>
      </c>
      <c r="E19" t="inlineStr">
        <is>
          <t>Woolskins</t>
        </is>
      </c>
      <c r="I19" t="inlineStr">
        <is>
          <t>16</t>
        </is>
      </c>
    </row>
    <row r="20">
      <c r="A20" t="inlineStr">
        <is>
          <t>Stock</t>
        </is>
      </c>
      <c r="B20" t="inlineStr">
        <is>
          <t>Total as before.</t>
        </is>
      </c>
      <c r="C20" t="n">
        <v>0</v>
      </c>
      <c r="D20" t="n">
        <v>0</v>
      </c>
      <c r="E20" t="inlineStr">
        <is>
          <t>Woolskins</t>
        </is>
      </c>
    </row>
    <row r="21">
      <c r="A21" t="inlineStr">
        <is>
          <t>Stock</t>
        </is>
      </c>
      <c r="B21" t="inlineStr">
        <is>
          <t>None remain.</t>
        </is>
      </c>
      <c r="C21" t="n">
        <v>0</v>
      </c>
      <c r="D21" t="n">
        <v>0</v>
      </c>
      <c r="E21" t="inlineStr">
        <is>
          <t>Woolskins</t>
        </is>
      </c>
    </row>
    <row r="22">
      <c r="A22" t="inlineStr">
        <is>
          <t>Stock</t>
        </is>
      </c>
      <c r="B22" t="inlineStr">
        <is>
          <t>Bare skins: 5 from wethers in murrain after shearing as made clear above.</t>
        </is>
      </c>
      <c r="C22" t="n">
        <v>0</v>
      </c>
      <c r="D22" t="n">
        <v>0</v>
      </c>
      <c r="E22" t="inlineStr">
        <is>
          <t>Bareskins</t>
        </is>
      </c>
      <c r="H22" t="inlineStr">
        <is>
          <t>5</t>
        </is>
      </c>
    </row>
    <row r="23">
      <c r="A23" t="inlineStr">
        <is>
          <t>Stock</t>
        </is>
      </c>
      <c r="B23" t="inlineStr">
        <is>
          <t>sold within.</t>
        </is>
      </c>
      <c r="C23" t="n">
        <v>0</v>
      </c>
      <c r="D23" t="n">
        <v>0</v>
      </c>
      <c r="E23" t="inlineStr">
        <is>
          <t>Bareskins</t>
        </is>
      </c>
    </row>
    <row r="24">
      <c r="A24" t="inlineStr">
        <is>
          <t>Stock</t>
        </is>
      </c>
      <c r="B24" t="inlineStr">
        <is>
          <t>none remain.</t>
        </is>
      </c>
      <c r="C24" t="n">
        <v>0</v>
      </c>
      <c r="D24" t="n">
        <v>0</v>
      </c>
      <c r="E24" t="inlineStr">
        <is>
          <t>Bareskins</t>
        </is>
      </c>
    </row>
    <row r="25">
      <c r="A25" t="inlineStr">
        <is>
          <t>Stock</t>
        </is>
      </c>
      <c r="B25" t="inlineStr">
        <is>
          <t>Utensils: 1 plough with 1 coulter and ploughshare and all other equipment for 6 plough-horses, 2 wooden harrows and 1 fork for sheaves.</t>
        </is>
      </c>
      <c r="C25" t="n">
        <v>0</v>
      </c>
      <c r="D25" t="n">
        <v>0</v>
      </c>
      <c r="E25" t="inlineStr">
        <is>
          <t>Utensils</t>
        </is>
      </c>
    </row>
    <row r="26">
      <c r="A26" t="inlineStr">
        <is>
          <t>Stock</t>
        </is>
      </c>
      <c r="B26" t="inlineStr">
        <is>
          <t>1 plain cart for sheaves with a frame and cart-rail, 1 cart with unshod wheels with a tumbrel for dung, 1 cart-saddle and 6 halters.</t>
        </is>
      </c>
      <c r="C26" t="n">
        <v>0</v>
      </c>
      <c r="D26" t="n">
        <v>0</v>
      </c>
      <c r="E26" t="inlineStr">
        <is>
          <t>Utensils</t>
        </is>
      </c>
    </row>
    <row r="27">
      <c r="A27" t="inlineStr">
        <is>
          <t>Stock</t>
        </is>
      </c>
      <c r="B27" t="inlineStr">
        <is>
          <t>1 brass pan of 6 gallons, 1 tripod, 1 wooden winnowing-fan, 1 basket for carrying corn, 1 dung-fork, 1 shovel with iron, 1 fodder-rack for cattle, 1 riddle, 1 trough for the dairy, 1 cheese mould and 5 tables for putting the cheese on remain.</t>
        </is>
      </c>
      <c r="C27" t="n">
        <v>0</v>
      </c>
      <c r="D27" t="n">
        <v>0</v>
      </c>
      <c r="E27" t="inlineStr">
        <is>
          <t>Utensils</t>
        </is>
      </c>
      <c r="F27" t="inlineStr">
        <is>
          <t>1</t>
        </is>
      </c>
    </row>
    <row r="28">
      <c r="A28" t="inlineStr">
        <is>
          <t>Stock</t>
        </is>
      </c>
      <c r="B28" t="inlineStr">
        <is>
          <t>This same stock, both live and dead, demised to the aforesaid Walter is to be handed back and restored at the end of his term in as good condition as he received it.</t>
        </is>
      </c>
      <c r="C28" t="n">
        <v>0</v>
      </c>
      <c r="D28" t="n">
        <v>0</v>
      </c>
      <c r="E28" t="inlineStr">
        <is>
          <t>Utensils</t>
        </is>
      </c>
    </row>
    <row r="29">
      <c r="A29" t="inlineStr">
        <is>
          <t>Stock</t>
        </is>
      </c>
      <c r="B29" t="inlineStr">
        <is>
          <t>Total</t>
        </is>
      </c>
      <c r="C29" t="n">
        <v>0</v>
      </c>
      <c r="D29" t="n">
        <v>0</v>
      </c>
      <c r="E29"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9"/>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william' douglas, farmer there, answers for 4 quarters 4 bushels of wheat remaining, and it remains in the keeping of the said walter douglas, farmer there, to be handed back and restored at the end of 9 years, this year being the sixth.</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4</v>
      </c>
      <c r="Z3" t="n">
        <v>4.5</v>
      </c>
      <c r="AA3" t="n">
        <v>4.5</v>
      </c>
      <c r="AB3" t="n">
        <v>0</v>
      </c>
      <c r="AC3" t="n">
        <v>4</v>
      </c>
      <c r="AD3" t="n">
        <v>4</v>
      </c>
      <c r="AE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E4" t="n">
        <v>0</v>
      </c>
    </row>
    <row r="5">
      <c r="A5" t="inlineStr">
        <is>
          <t>mancorn</t>
        </is>
      </c>
      <c r="B5" t="inlineStr">
        <is>
          <t>and for 6 quarters of mancorn remaining..</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E5" t="n">
        <v>0</v>
      </c>
    </row>
    <row r="6">
      <c r="A6" t="inlineStr">
        <is>
          <t>mancorn</t>
        </is>
      </c>
      <c r="B6" t="inlineStr">
        <is>
          <t>total, 6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v>
      </c>
      <c r="Y6" t="n">
        <v>0</v>
      </c>
      <c r="Z6" t="n">
        <v>6</v>
      </c>
      <c r="AA6" t="n">
        <v>6</v>
      </c>
      <c r="AB6" t="n">
        <v>0</v>
      </c>
      <c r="AC6" t="n">
        <v>6</v>
      </c>
      <c r="AD6" t="n">
        <v>0</v>
      </c>
      <c r="AE6" t="n">
        <v>0</v>
      </c>
    </row>
    <row r="7">
      <c r="A7" t="inlineStr">
        <is>
          <t>mancorn</t>
        </is>
      </c>
      <c r="B7" t="inlineStr">
        <is>
          <t>6 quarters remain in the keeping of the said walter,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E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E8" t="n">
        <v>0</v>
      </c>
    </row>
    <row r="9">
      <c r="A9" t="inlineStr">
        <is>
          <t>barley</t>
        </is>
      </c>
      <c r="B9" t="inlineStr">
        <is>
          <t>and for 20 quarters of barley remaining..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20</v>
      </c>
      <c r="Y9" t="n">
        <v>0</v>
      </c>
      <c r="Z9" t="n">
        <v>20</v>
      </c>
      <c r="AA9" t="n">
        <v>20</v>
      </c>
      <c r="AB9" t="n">
        <v>0</v>
      </c>
      <c r="AC9" t="n">
        <v>20</v>
      </c>
      <c r="AD9" t="n">
        <v>0</v>
      </c>
      <c r="AE9" t="n">
        <v>0</v>
      </c>
    </row>
    <row r="10">
      <c r="A10" t="inlineStr">
        <is>
          <t>barley</t>
        </is>
      </c>
      <c r="B10" t="inlineStr">
        <is>
          <t>total, 20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20</v>
      </c>
      <c r="Y10" t="n">
        <v>0</v>
      </c>
      <c r="Z10" t="n">
        <v>20</v>
      </c>
      <c r="AA10" t="n">
        <v>20</v>
      </c>
      <c r="AB10" t="n">
        <v>0</v>
      </c>
      <c r="AC10" t="n">
        <v>20</v>
      </c>
      <c r="AD10" t="n">
        <v>0</v>
      </c>
      <c r="AE10" t="n">
        <v>0</v>
      </c>
    </row>
    <row r="11">
      <c r="A11" t="inlineStr">
        <is>
          <t>barley</t>
        </is>
      </c>
      <c r="B11" t="inlineStr">
        <is>
          <t>20 quarters remain in the keeping of the said walter, to be handed back and restored at the end of his farm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20</v>
      </c>
      <c r="Y11" t="n">
        <v>0</v>
      </c>
      <c r="Z11" t="n">
        <v>20</v>
      </c>
      <c r="AA11" t="n">
        <v>20</v>
      </c>
      <c r="AB11" t="n">
        <v>0</v>
      </c>
      <c r="AC11" t="n">
        <v>20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E12" t="n">
        <v>0</v>
      </c>
    </row>
    <row r="13">
      <c r="A13" t="inlineStr">
        <is>
          <t>dredge</t>
        </is>
      </c>
      <c r="B13" t="inlineStr">
        <is>
          <t>and for 15 quarters 4 bushels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15</v>
      </c>
      <c r="Y13" t="n">
        <v>4</v>
      </c>
      <c r="Z13" t="n">
        <v>15.5</v>
      </c>
      <c r="AA13" t="n">
        <v>15.5</v>
      </c>
      <c r="AB13" t="n">
        <v>0</v>
      </c>
      <c r="AC13" t="n">
        <v>15</v>
      </c>
      <c r="AD13" t="n">
        <v>4</v>
      </c>
      <c r="AE13" t="n">
        <v>0</v>
      </c>
    </row>
    <row r="14">
      <c r="A14" t="inlineStr">
        <is>
          <t>dredge</t>
        </is>
      </c>
      <c r="B14" t="inlineStr">
        <is>
          <t>total, 15 quarters 4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15</v>
      </c>
      <c r="Y14" t="n">
        <v>4</v>
      </c>
      <c r="Z14" t="n">
        <v>15.5</v>
      </c>
      <c r="AA14" t="n">
        <v>15.5</v>
      </c>
      <c r="AB14" t="n">
        <v>0</v>
      </c>
      <c r="AC14" t="n">
        <v>15</v>
      </c>
      <c r="AD14" t="n">
        <v>4</v>
      </c>
      <c r="AE14" t="n">
        <v>0</v>
      </c>
    </row>
    <row r="15">
      <c r="A15" t="inlineStr">
        <is>
          <t>dredge</t>
        </is>
      </c>
      <c r="B15" t="inlineStr">
        <is>
          <t>15 quarters 4 bushels remain in the keeping of the said walter, to be handed back and restored at the end of his farm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15</v>
      </c>
      <c r="Y15" t="n">
        <v>4</v>
      </c>
      <c r="Z15" t="n">
        <v>15.5</v>
      </c>
      <c r="AA15" t="n">
        <v>15.5</v>
      </c>
      <c r="AB15" t="n">
        <v>0</v>
      </c>
      <c r="AC15" t="n">
        <v>15</v>
      </c>
      <c r="AD15" t="n">
        <v>4</v>
      </c>
      <c r="AE15" t="n">
        <v>0</v>
      </c>
    </row>
    <row r="16">
      <c r="A16" t="inlineStr">
        <is>
          <t>dredge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E16" t="n">
        <v>0</v>
      </c>
    </row>
    <row r="17">
      <c r="A17" t="inlineStr">
        <is>
          <t>oats</t>
        </is>
      </c>
      <c r="B17" t="inlineStr">
        <is>
          <t>and for 10 quarters of oats remaining..</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n">
        <v>0</v>
      </c>
    </row>
    <row r="18">
      <c r="A18" t="inlineStr">
        <is>
          <t>oats</t>
        </is>
      </c>
      <c r="B18" t="inlineStr">
        <is>
          <t>total, 10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10</v>
      </c>
      <c r="Y18" t="n">
        <v>0</v>
      </c>
      <c r="Z18" t="n">
        <v>10</v>
      </c>
      <c r="AA18" t="n">
        <v>10</v>
      </c>
      <c r="AB18" t="n">
        <v>0</v>
      </c>
      <c r="AC18" t="n">
        <v>10</v>
      </c>
      <c r="AD18" t="n">
        <v>0</v>
      </c>
      <c r="AE18" t="n">
        <v>0</v>
      </c>
    </row>
    <row r="19">
      <c r="A19" t="inlineStr">
        <is>
          <t>oats</t>
        </is>
      </c>
      <c r="B19" t="inlineStr">
        <is>
          <t>10 quarters remain in the keeping of the said walter, to be handed back and restored at the end of his farm.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10</v>
      </c>
      <c r="Y19" t="n">
        <v>0</v>
      </c>
      <c r="Z19" t="n">
        <v>10</v>
      </c>
      <c r="AA19" t="n">
        <v>10</v>
      </c>
      <c r="AB19" t="n">
        <v>0</v>
      </c>
      <c r="AC19" t="n">
        <v>10</v>
      </c>
      <c r="AD19" t="n">
        <v>0</v>
      </c>
      <c r="AE1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mancorn</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dredge</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CULHAM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Purchase of stock</t>
        </is>
      </c>
      <c r="B4" s="128" t="n">
        <v>2</v>
      </c>
      <c r="C4" s="128" t="n">
        <v>4</v>
      </c>
      <c r="D4" s="128" t="n">
        <v>0</v>
      </c>
      <c r="E4" s="128" t="n"/>
      <c r="F4" s="128" t="n">
        <v>2.2</v>
      </c>
      <c r="G4" s="128" t="n"/>
      <c r="H4" s="128" t="n"/>
    </row>
    <row r="5">
      <c r="A5" s="136" t="inlineStr">
        <is>
          <t>Purchase of stock</t>
        </is>
      </c>
      <c r="B5" s="128" t="n">
        <v>2</v>
      </c>
      <c r="C5" s="128" t="n">
        <v>4</v>
      </c>
      <c r="D5" s="128" t="n">
        <v>0</v>
      </c>
      <c r="E5" s="128" t="n"/>
      <c r="F5" s="128" t="n">
        <v>2.2</v>
      </c>
      <c r="G5" s="128" t="n"/>
      <c r="H5" s="128" t="n"/>
    </row>
    <row r="6">
      <c r="A6" s="138" t="inlineStr">
        <is>
          <t>Purchase of stock total</t>
        </is>
      </c>
      <c r="B6" s="139" t="n"/>
      <c r="C6" s="139" t="n"/>
      <c r="D6" s="139" t="n"/>
      <c r="E6" s="139" t="n"/>
      <c r="F6" s="139" t="n">
        <v>2.2</v>
      </c>
      <c r="G6" s="139" t="n">
        <v>0</v>
      </c>
      <c r="H6" s="139" t="n"/>
    </row>
    <row r="7">
      <c r="A7" s="136" t="n"/>
      <c r="B7" s="128" t="n"/>
      <c r="C7" s="128" t="n"/>
      <c r="D7" s="128" t="n"/>
      <c r="E7" s="128" t="n"/>
      <c r="F7" s="128" t="n"/>
      <c r="G7" s="128" t="n"/>
      <c r="H7" s="128" t="n"/>
    </row>
    <row r="8">
      <c r="A8" s="136" t="inlineStr">
        <is>
          <t>Total of all expenses</t>
        </is>
      </c>
      <c r="B8" s="128" t="n">
        <v>2</v>
      </c>
      <c r="C8" s="128" t="n">
        <v>13</v>
      </c>
      <c r="D8" s="128" t="n">
        <v>10</v>
      </c>
      <c r="E8" s="128" t="n"/>
      <c r="F8" s="128" t="n">
        <v>2.69</v>
      </c>
      <c r="G8" s="128" t="n"/>
      <c r="H8" s="128" t="n"/>
    </row>
    <row r="9">
      <c r="A9" s="136" t="inlineStr">
        <is>
          <t>Total of all expenses</t>
        </is>
      </c>
      <c r="B9" s="128" t="n"/>
      <c r="C9" s="128" t="n"/>
      <c r="D9" s="128" t="n"/>
      <c r="E9" s="128" t="n"/>
      <c r="F9" s="128" t="n">
        <v>0</v>
      </c>
      <c r="G9" s="128" t="n">
        <v>-2.69</v>
      </c>
      <c r="H9" s="128" t="n"/>
    </row>
    <row r="10">
      <c r="A10" s="136" t="n"/>
      <c r="B10" s="128" t="n"/>
      <c r="C10" s="128" t="n"/>
      <c r="D10" s="128" t="n"/>
      <c r="E10" s="128" t="n"/>
      <c r="F10" s="128" t="n"/>
      <c r="G10" s="128" t="n"/>
      <c r="H10" s="128" t="n"/>
    </row>
    <row r="11">
      <c r="A11" s="137" t="inlineStr">
        <is>
          <t>And he owes</t>
        </is>
      </c>
      <c r="B11" s="128" t="n">
        <v>12</v>
      </c>
      <c r="C11" s="128" t="n">
        <v>11</v>
      </c>
      <c r="D11" s="128" t="n">
        <v>4</v>
      </c>
      <c r="E11" s="128" t="n"/>
      <c r="F11" s="128" t="n">
        <v>12.57</v>
      </c>
      <c r="G11" s="128" t="n"/>
      <c r="H11" s="128" t="n"/>
    </row>
    <row r="12">
      <c r="A12" s="138" t="inlineStr">
        <is>
          <t>And he owes total</t>
        </is>
      </c>
      <c r="B12" s="139" t="n"/>
      <c r="C12" s="139" t="n"/>
      <c r="D12" s="139" t="n"/>
      <c r="E12" s="139" t="n"/>
      <c r="F12" s="139" t="n">
        <v>12.57</v>
      </c>
      <c r="G12" s="139" t="n">
        <v>0</v>
      </c>
      <c r="H12" s="139" t="n"/>
    </row>
    <row r="13">
      <c r="A13" s="136" t="n"/>
      <c r="B13" s="128" t="n"/>
      <c r="C13" s="128" t="n"/>
      <c r="D13" s="128" t="n"/>
      <c r="E13" s="128" t="n"/>
      <c r="F13" s="128" t="n"/>
      <c r="G13" s="128" t="n"/>
      <c r="H13" s="128" t="n"/>
    </row>
    <row r="14">
      <c r="A14" s="137" t="inlineStr">
        <is>
          <t>Cash deliveries</t>
        </is>
      </c>
      <c r="B14" s="128" t="n">
        <v>12</v>
      </c>
      <c r="C14" s="128" t="n">
        <v>7</v>
      </c>
      <c r="D14" s="128" t="n">
        <v>6</v>
      </c>
      <c r="E14" s="128" t="n"/>
      <c r="F14" s="128" t="n">
        <v>12.38</v>
      </c>
      <c r="G14" s="128" t="n"/>
      <c r="H14" s="128" t="n"/>
    </row>
    <row r="15">
      <c r="A15" s="136" t="inlineStr">
        <is>
          <t>Cash deliveries</t>
        </is>
      </c>
      <c r="B15" s="128" t="n">
        <v>12</v>
      </c>
      <c r="C15" s="128" t="n">
        <v>7</v>
      </c>
      <c r="D15" s="128" t="n">
        <v>6</v>
      </c>
      <c r="E15" s="128" t="n"/>
      <c r="F15" s="128" t="n">
        <v>12.38</v>
      </c>
      <c r="G15" s="128" t="n"/>
      <c r="H15" s="128" t="n"/>
    </row>
    <row r="16">
      <c r="A16" s="138" t="inlineStr">
        <is>
          <t>Cash deliveries total</t>
        </is>
      </c>
      <c r="B16" s="139" t="n"/>
      <c r="C16" s="139" t="n"/>
      <c r="D16" s="139" t="n"/>
      <c r="E16" s="139" t="n"/>
      <c r="F16" s="139" t="n">
        <v>12.38</v>
      </c>
      <c r="G16" s="139" t="n">
        <v>0</v>
      </c>
      <c r="H16" s="139" t="n"/>
    </row>
    <row r="17">
      <c r="A17" s="136" t="n"/>
      <c r="B17" s="128" t="n"/>
      <c r="C17" s="128" t="n"/>
      <c r="D17" s="128" t="n"/>
      <c r="E17" s="128" t="n"/>
      <c r="F17" s="128" t="n"/>
      <c r="G17" s="128" t="n"/>
      <c r="H17" s="128" t="n"/>
    </row>
    <row r="18">
      <c r="A18" s="137" t="inlineStr">
        <is>
          <t>Total of all allowances and cash deliveries</t>
        </is>
      </c>
      <c r="B18" s="128" t="n">
        <v>12</v>
      </c>
      <c r="C18" s="128" t="n">
        <v>11</v>
      </c>
      <c r="D18" s="128" t="n">
        <v>4</v>
      </c>
      <c r="E18" s="128" t="n"/>
      <c r="F18" s="128" t="n">
        <v>12.57</v>
      </c>
      <c r="G18" s="128" t="n"/>
      <c r="H18" s="128" t="n"/>
    </row>
    <row r="20">
      <c r="A20" s="38" t="inlineStr">
        <is>
          <t>Total of all expenses per account</t>
        </is>
      </c>
      <c r="B20" t="n">
        <v>2</v>
      </c>
      <c r="C20" t="n">
        <v>13</v>
      </c>
      <c r="D20" t="n">
        <v>10</v>
      </c>
      <c r="F20">
        <f>F8</f>
        <v/>
      </c>
    </row>
    <row r="21">
      <c r="A21" s="38" t="inlineStr">
        <is>
          <t>Total of all expenses (calculated here)</t>
        </is>
      </c>
      <c r="F21">
        <f>SUMIF(A1:A7,"* total",F1:F7)</f>
        <v/>
      </c>
    </row>
    <row r="22">
      <c r="A22" s="38" t="inlineStr">
        <is>
          <t>Total fixed investment</t>
        </is>
      </c>
    </row>
    <row r="23">
      <c r="A23"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2026-01-17T10:57:18Z</dcterms:modified>
  <cp:lastModifiedBy>Kowalski, Kuba</cp:lastModifiedBy>
</cp:coreProperties>
</file>
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Burghclere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BURGHCLERE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23</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282</v>
      </c>
      <c r="C19" t="n">
        <v>0</v>
      </c>
      <c r="H19" t="n">
        <v>19</v>
      </c>
      <c r="I19" t="n">
        <v>13</v>
      </c>
      <c r="L19">
        <f>B19+C19-H19</f>
        <v/>
      </c>
      <c r="M19">
        <f>L19-B19</f>
        <v/>
      </c>
      <c r="N19">
        <f>C19</f>
        <v/>
      </c>
      <c r="O19" t="n">
        <v>0.08315789473684211</v>
      </c>
      <c r="P19" s="72">
        <f>O19*K19</f>
        <v/>
      </c>
      <c r="R19" t="n">
        <v>1.58</v>
      </c>
      <c r="S19">
        <f>O19*M19</f>
        <v/>
      </c>
      <c r="T19">
        <f>O19*N19</f>
        <v/>
      </c>
    </row>
    <row r="20">
      <c r="A20" t="inlineStr">
        <is>
          <t>Rams</t>
        </is>
      </c>
      <c r="B20" t="n">
        <v>10</v>
      </c>
      <c r="C20" t="n">
        <v>0</v>
      </c>
      <c r="H20" t="n">
        <v>0</v>
      </c>
      <c r="I20" t="n">
        <v>5</v>
      </c>
      <c r="L20">
        <f>B20+C20-H20</f>
        <v/>
      </c>
      <c r="M20">
        <f>L20-B20</f>
        <v/>
      </c>
      <c r="N20">
        <f>C20</f>
        <v/>
      </c>
      <c r="O20" t="n">
        <v>0</v>
      </c>
      <c r="P20" s="72">
        <f>O20*K20</f>
        <v/>
      </c>
      <c r="R20" t="n">
        <v>0</v>
      </c>
      <c r="S20">
        <f>O20*M20</f>
        <v/>
      </c>
      <c r="T20">
        <f>O20*N20</f>
        <v/>
      </c>
    </row>
    <row r="21">
      <c r="A21" t="inlineStr">
        <is>
          <t>Ewes</t>
        </is>
      </c>
      <c r="B21" t="n">
        <v>388</v>
      </c>
      <c r="C21" t="n">
        <v>0</v>
      </c>
      <c r="H21" t="n">
        <v>20</v>
      </c>
      <c r="I21" t="n">
        <v>98</v>
      </c>
      <c r="L21">
        <f>B21+C21-H21</f>
        <v/>
      </c>
      <c r="M21">
        <f>L21-B21</f>
        <v/>
      </c>
      <c r="N21">
        <f>C21</f>
        <v/>
      </c>
      <c r="O21" t="n">
        <v>0.0475</v>
      </c>
      <c r="P21" s="72">
        <f>O21*K21</f>
        <v/>
      </c>
      <c r="Q21" t="n">
        <v>0</v>
      </c>
      <c r="R21" t="n">
        <v>0.95</v>
      </c>
      <c r="S21">
        <f>O21*M21</f>
        <v/>
      </c>
      <c r="T21">
        <f>O21*N21</f>
        <v/>
      </c>
    </row>
    <row r="22">
      <c r="A22" t="inlineStr">
        <is>
          <t>Hoggs</t>
        </is>
      </c>
      <c r="B22" t="n">
        <v>0</v>
      </c>
      <c r="C22" t="n">
        <v>196</v>
      </c>
      <c r="H22" t="n">
        <v>0</v>
      </c>
      <c r="I22" t="n">
        <v>0</v>
      </c>
      <c r="L22">
        <f>B22+C22-H22</f>
        <v/>
      </c>
      <c r="M22">
        <f>L22-B22</f>
        <v/>
      </c>
      <c r="N22">
        <f>C22</f>
        <v/>
      </c>
      <c r="O22" t="n">
        <v>0</v>
      </c>
      <c r="P22" s="72">
        <f>O22*K22</f>
        <v/>
      </c>
      <c r="R22" t="n">
        <v>0</v>
      </c>
      <c r="S22">
        <f>O22*M22</f>
        <v/>
      </c>
      <c r="T22">
        <f>O22*N22</f>
        <v/>
      </c>
    </row>
    <row r="23">
      <c r="A23" t="inlineStr">
        <is>
          <t>Lambs</t>
        </is>
      </c>
      <c r="B23" t="n">
        <v>0</v>
      </c>
      <c r="C23" t="n">
        <v>237</v>
      </c>
      <c r="H23" t="n">
        <v>167</v>
      </c>
      <c r="I23" t="n">
        <v>52</v>
      </c>
      <c r="L23">
        <f>B23+C23-H23</f>
        <v/>
      </c>
      <c r="M23">
        <f>L23-B23</f>
        <v/>
      </c>
      <c r="N23">
        <f>C23</f>
        <v/>
      </c>
      <c r="O23" t="n">
        <v>0.05383233532934132</v>
      </c>
      <c r="P23" s="72">
        <f>O23*K23</f>
        <v/>
      </c>
      <c r="R23" t="n">
        <v>8.99</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105</v>
      </c>
      <c r="I53" t="n">
        <v>5</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4</v>
      </c>
    </row>
    <row r="60">
      <c r="A60" t="inlineStr">
        <is>
          <t>Lambskins</t>
        </is>
      </c>
      <c r="B60" t="n">
        <v>0</v>
      </c>
      <c r="C60" t="n">
        <v>0</v>
      </c>
      <c r="H60" t="n">
        <v>46</v>
      </c>
      <c r="I60" t="n">
        <v>52</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1</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F25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burghclere</t>
        </is>
      </c>
      <c r="B2" t="inlineStr">
        <is>
          <t>the account of john seuare and richard le new, fanners, and john haller, collector of rents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£25 15 shilling 7pence of arrears from the last account of the preceding year.</t>
        </is>
      </c>
      <c r="C3" t="n">
        <v>25.78</v>
      </c>
      <c r="D3" t="n">
        <v>25</v>
      </c>
      <c r="E3" t="n">
        <v>15</v>
      </c>
      <c r="F3" t="n">
        <v>7</v>
      </c>
      <c r="H3" t="n">
        <v>0</v>
      </c>
      <c r="I3" t="n">
        <v>0</v>
      </c>
      <c r="J3" t="n">
        <v>0</v>
      </c>
      <c r="K3" t="n">
        <v>0</v>
      </c>
      <c r="L3" t="n">
        <v>0</v>
      </c>
      <c r="M3" t="n">
        <v>0</v>
      </c>
      <c r="N3" t="n">
        <v>0</v>
      </c>
    </row>
    <row r="4">
      <c r="A4" t="inlineStr">
        <is>
          <t>arrears</t>
        </is>
      </c>
      <c r="B4" t="inlineStr">
        <is>
          <t>total, £25 15 shilling 7pence.</t>
        </is>
      </c>
      <c r="C4" t="n">
        <v>25.78</v>
      </c>
      <c r="D4" t="n">
        <v>25</v>
      </c>
      <c r="E4" t="n">
        <v>15</v>
      </c>
      <c r="F4" t="n">
        <v>7</v>
      </c>
      <c r="H4" t="n">
        <v>0</v>
      </c>
      <c r="I4" t="n">
        <v>0</v>
      </c>
      <c r="J4" t="n">
        <v>0</v>
      </c>
      <c r="K4" t="n">
        <v>0</v>
      </c>
      <c r="L4" t="n">
        <v>0</v>
      </c>
      <c r="M4" t="n">
        <v>0</v>
      </c>
      <c r="N4" t="n">
        <v>0</v>
      </c>
    </row>
    <row r="5">
      <c r="A5" t="inlineStr">
        <is>
          <t>rents of assize</t>
        </is>
      </c>
      <c r="B5" t="inlineStr">
        <is>
          <t>and for £2 19 shilling 7pence for all rents of assize there at christmas.</t>
        </is>
      </c>
      <c r="C5" t="n">
        <v>2.98</v>
      </c>
      <c r="D5" t="n">
        <v>2</v>
      </c>
      <c r="E5" t="n">
        <v>19</v>
      </c>
      <c r="F5" t="n">
        <v>7</v>
      </c>
      <c r="H5" t="n">
        <v>0</v>
      </c>
      <c r="I5" t="n">
        <v>0</v>
      </c>
      <c r="J5" t="n">
        <v>0</v>
      </c>
      <c r="K5" t="n">
        <v>0</v>
      </c>
      <c r="L5" t="n">
        <v>0</v>
      </c>
      <c r="M5" t="n">
        <v>0</v>
      </c>
      <c r="N5" t="n">
        <v>0</v>
      </c>
    </row>
    <row r="6">
      <c r="A6" t="inlineStr">
        <is>
          <t>rents of assize</t>
        </is>
      </c>
      <c r="B6" t="inlineStr">
        <is>
          <t>£2 19 shilling 7.25pence at easter (23 march).</t>
        </is>
      </c>
      <c r="C6" t="n">
        <v>2.98</v>
      </c>
      <c r="D6" t="n">
        <v>2</v>
      </c>
      <c r="E6" t="n">
        <v>19</v>
      </c>
      <c r="F6" t="n">
        <v>7.25</v>
      </c>
      <c r="H6" t="n">
        <v>0</v>
      </c>
      <c r="I6" t="n">
        <v>0</v>
      </c>
      <c r="J6" t="n">
        <v>0</v>
      </c>
      <c r="K6" t="n">
        <v>0</v>
      </c>
      <c r="L6" t="n">
        <v>0</v>
      </c>
      <c r="M6" t="n">
        <v>0</v>
      </c>
      <c r="N6" t="n">
        <v>0</v>
      </c>
    </row>
    <row r="7">
      <c r="A7" t="inlineStr">
        <is>
          <t>rents of assize</t>
        </is>
      </c>
      <c r="B7" t="inlineStr">
        <is>
          <t>£2 19 shilling 7.25pence at the nativity of the blessed john the baptist (24 june).</t>
        </is>
      </c>
      <c r="C7" t="n">
        <v>2.98</v>
      </c>
      <c r="D7" t="n">
        <v>2</v>
      </c>
      <c r="E7" t="n">
        <v>19</v>
      </c>
      <c r="F7" t="n">
        <v>7.25</v>
      </c>
      <c r="H7" t="n">
        <v>0</v>
      </c>
      <c r="I7" t="n">
        <v>0</v>
      </c>
      <c r="J7" t="n">
        <v>0</v>
      </c>
      <c r="K7" t="n">
        <v>0</v>
      </c>
      <c r="L7" t="n">
        <v>0</v>
      </c>
      <c r="M7" t="n">
        <v>0</v>
      </c>
      <c r="N7" t="n">
        <v>0</v>
      </c>
    </row>
    <row r="8">
      <c r="A8" t="inlineStr">
        <is>
          <t>rents of assize</t>
        </is>
      </c>
      <c r="B8" t="inlineStr">
        <is>
          <t>£17 8 shilling 10pence at michaelmas (29 september).</t>
        </is>
      </c>
      <c r="C8" t="n">
        <v>17.44</v>
      </c>
      <c r="D8" t="n">
        <v>17</v>
      </c>
      <c r="E8" t="n">
        <v>8</v>
      </c>
      <c r="F8" t="n">
        <v>10</v>
      </c>
      <c r="H8" t="n">
        <v>0</v>
      </c>
      <c r="I8" t="n">
        <v>0</v>
      </c>
      <c r="J8" t="n">
        <v>0</v>
      </c>
      <c r="K8" t="n">
        <v>0</v>
      </c>
      <c r="L8" t="n">
        <v>0</v>
      </c>
      <c r="M8" t="n">
        <v>0</v>
      </c>
      <c r="N8" t="n">
        <v>0</v>
      </c>
    </row>
    <row r="9">
      <c r="A9" t="inlineStr">
        <is>
          <t>rents of assize</t>
        </is>
      </c>
      <c r="B9" t="inlineStr">
        <is>
          <t>1pence for the increment of rent of john smyth' of whitway for 1 plot of the lord's waste.</t>
        </is>
      </c>
      <c r="C9" t="n">
        <v>0</v>
      </c>
      <c r="D9" t="n">
        <v>0</v>
      </c>
      <c r="E9" t="n">
        <v>0</v>
      </c>
      <c r="F9" t="n">
        <v>1</v>
      </c>
      <c r="H9" t="n">
        <v>0</v>
      </c>
      <c r="I9" t="n">
        <v>0</v>
      </c>
      <c r="J9" t="n">
        <v>0</v>
      </c>
      <c r="K9" t="n">
        <v>0</v>
      </c>
      <c r="L9" t="n">
        <v>0</v>
      </c>
      <c r="M9" t="n">
        <v>0</v>
      </c>
      <c r="N9" t="n">
        <v>0</v>
      </c>
    </row>
    <row r="10">
      <c r="A10" t="inlineStr">
        <is>
          <t>rents of assize</t>
        </is>
      </c>
      <c r="B10" t="inlineStr">
        <is>
          <t>total, £26 7 shilling 8.5pence.</t>
        </is>
      </c>
      <c r="C10" t="n">
        <v>26.39</v>
      </c>
      <c r="D10" t="n">
        <v>26</v>
      </c>
      <c r="E10" t="n">
        <v>7</v>
      </c>
      <c r="F10" t="n">
        <v>8.5</v>
      </c>
      <c r="H10" t="n">
        <v>0</v>
      </c>
      <c r="I10" t="n">
        <v>0</v>
      </c>
      <c r="J10" t="n">
        <v>0</v>
      </c>
      <c r="K10" t="n">
        <v>0</v>
      </c>
      <c r="L10" t="n">
        <v>0</v>
      </c>
      <c r="M10" t="n">
        <v>0</v>
      </c>
      <c r="N10" t="n">
        <v>0</v>
      </c>
    </row>
    <row r="11">
      <c r="A11" t="inlineStr">
        <is>
          <t>quittances of rent</t>
        </is>
      </c>
      <c r="B11" t="inlineStr">
        <is>
          <t>in quittance of rent of 1 reeve, nothing, because there is none.</t>
        </is>
      </c>
      <c r="C11" t="n">
        <v>0</v>
      </c>
      <c r="D11" t="n">
        <v>0</v>
      </c>
      <c r="E11" t="n">
        <v>0</v>
      </c>
      <c r="F11" t="n">
        <v>0</v>
      </c>
      <c r="H11" t="n">
        <v>0</v>
      </c>
      <c r="I11" t="n">
        <v>0</v>
      </c>
      <c r="J11" t="n">
        <v>0</v>
      </c>
      <c r="K11" t="n">
        <v>0</v>
      </c>
      <c r="L11" t="n">
        <v>0</v>
      </c>
      <c r="M11" t="n">
        <v>0</v>
      </c>
      <c r="N11" t="n">
        <v>0</v>
      </c>
    </row>
    <row r="12">
      <c r="A12" t="inlineStr">
        <is>
          <t>quittances of rent</t>
        </is>
      </c>
      <c r="B12" t="inlineStr">
        <is>
          <t>1 collector of rents for the year 4 shilling 8pence.</t>
        </is>
      </c>
      <c r="C12" t="n">
        <v>0.23</v>
      </c>
      <c r="D12" t="n">
        <v>0</v>
      </c>
      <c r="E12" t="n">
        <v>4</v>
      </c>
      <c r="F12" t="n">
        <v>8</v>
      </c>
      <c r="H12" t="n">
        <v>0</v>
      </c>
      <c r="I12" t="n">
        <v>0</v>
      </c>
      <c r="J12" t="n">
        <v>0</v>
      </c>
      <c r="K12" t="n">
        <v>0</v>
      </c>
      <c r="L12" t="n">
        <v>0</v>
      </c>
      <c r="M12" t="n">
        <v>0</v>
      </c>
      <c r="N12" t="n">
        <v>0</v>
      </c>
    </row>
    <row r="13">
      <c r="A13" t="inlineStr">
        <is>
          <t>quittances of rent</t>
        </is>
      </c>
      <c r="B13" t="inlineStr">
        <is>
          <t>1 farmer who collects the estreats and makes all the summonses to the court, by fixed agreement made with the steward, 4 shilling 8pence.</t>
        </is>
      </c>
      <c r="C13" t="n">
        <v>0.23</v>
      </c>
      <c r="D13" t="n">
        <v>0</v>
      </c>
      <c r="E13" t="n">
        <v>4</v>
      </c>
      <c r="F13" t="n">
        <v>8</v>
      </c>
      <c r="H13" t="n">
        <v>0</v>
      </c>
      <c r="I13" t="n">
        <v>0</v>
      </c>
      <c r="J13" t="n">
        <v>0</v>
      </c>
      <c r="K13" t="n">
        <v>0</v>
      </c>
      <c r="L13" t="n">
        <v>0</v>
      </c>
      <c r="M13" t="n">
        <v>0</v>
      </c>
      <c r="N13" t="n">
        <v>0</v>
      </c>
    </row>
    <row r="14">
      <c r="A14" t="inlineStr">
        <is>
          <t>quittances of rent</t>
        </is>
      </c>
      <c r="B14" t="inlineStr">
        <is>
          <t>1 keeper of ewes for the year 3 shilling, because the lord paid him and not the farmer by agreement.</t>
        </is>
      </c>
      <c r="C14" t="n">
        <v>0.15</v>
      </c>
      <c r="D14" t="n">
        <v>0</v>
      </c>
      <c r="E14" t="n">
        <v>3</v>
      </c>
      <c r="F14" t="n">
        <v>0</v>
      </c>
      <c r="H14" t="n">
        <v>0</v>
      </c>
      <c r="I14" t="n">
        <v>0</v>
      </c>
      <c r="J14" t="n">
        <v>0</v>
      </c>
      <c r="K14" t="n">
        <v>0</v>
      </c>
      <c r="L14" t="n">
        <v>0</v>
      </c>
      <c r="M14" t="n">
        <v>0</v>
      </c>
      <c r="N14" t="n">
        <v>0</v>
      </c>
    </row>
    <row r="15">
      <c r="A15" t="inlineStr">
        <is>
          <t>quittances of rent</t>
        </is>
      </c>
      <c r="B15" t="inlineStr">
        <is>
          <t>1 hayward, nothing, because the farmer does that office.</t>
        </is>
      </c>
      <c r="C15" t="n">
        <v>0</v>
      </c>
      <c r="D15" t="n">
        <v>0</v>
      </c>
      <c r="E15" t="n">
        <v>0</v>
      </c>
      <c r="F15" t="n">
        <v>0</v>
      </c>
      <c r="H15" t="n">
        <v>0</v>
      </c>
      <c r="I15" t="n">
        <v>0</v>
      </c>
      <c r="J15" t="n">
        <v>0</v>
      </c>
      <c r="K15" t="n">
        <v>0</v>
      </c>
      <c r="L15" t="n">
        <v>0</v>
      </c>
      <c r="M15" t="n">
        <v>0</v>
      </c>
      <c r="N15" t="n">
        <v>0</v>
      </c>
    </row>
    <row r="16">
      <c r="A16" t="inlineStr">
        <is>
          <t>quittances of rent</t>
        </is>
      </c>
      <c r="B16" t="inlineStr">
        <is>
          <t>6 ploughmen, nothing, because it pertains to the farmer.</t>
        </is>
      </c>
      <c r="C16" t="n">
        <v>0</v>
      </c>
      <c r="D16" t="n">
        <v>0</v>
      </c>
      <c r="E16" t="n">
        <v>0</v>
      </c>
      <c r="F16" t="n">
        <v>0</v>
      </c>
      <c r="H16" t="n">
        <v>0</v>
      </c>
      <c r="I16" t="n">
        <v>0</v>
      </c>
      <c r="J16" t="n">
        <v>0</v>
      </c>
      <c r="K16" t="n">
        <v>0</v>
      </c>
      <c r="L16" t="n">
        <v>0</v>
      </c>
      <c r="M16" t="n">
        <v>0</v>
      </c>
      <c r="N16" t="n">
        <v>0</v>
      </c>
    </row>
    <row r="17">
      <c r="A17" t="inlineStr">
        <is>
          <t>quittances of rent</t>
        </is>
      </c>
      <c r="B17" t="inlineStr">
        <is>
          <t>total, 12 shilling 4pence.</t>
        </is>
      </c>
      <c r="C17" t="n">
        <v>0.62</v>
      </c>
      <c r="D17" t="n">
        <v>0</v>
      </c>
      <c r="E17" t="n">
        <v>12</v>
      </c>
      <c r="F17" t="n">
        <v>4</v>
      </c>
      <c r="H17" t="n">
        <v>0</v>
      </c>
      <c r="I17" t="n">
        <v>0</v>
      </c>
      <c r="J17" t="n">
        <v>0</v>
      </c>
      <c r="K17" t="n">
        <v>0</v>
      </c>
      <c r="L17" t="n">
        <v>0</v>
      </c>
      <c r="M17" t="n">
        <v>0</v>
      </c>
      <c r="N17" t="n">
        <v>0</v>
      </c>
    </row>
    <row r="18">
      <c r="A18" t="inlineStr">
        <is>
          <t>defaults of rent</t>
        </is>
      </c>
      <c r="B18" t="inlineStr">
        <is>
          <t>in default of 335 acres of land drawn into demesne, £1 7 shilling for the year.</t>
        </is>
      </c>
      <c r="C18" t="n">
        <v>1.35</v>
      </c>
      <c r="D18" t="n">
        <v>1</v>
      </c>
      <c r="E18" t="n">
        <v>7</v>
      </c>
      <c r="F18" t="n">
        <v>0</v>
      </c>
      <c r="H18" t="n">
        <v>0</v>
      </c>
      <c r="I18" t="n">
        <v>0</v>
      </c>
      <c r="J18" t="n">
        <v>0</v>
      </c>
      <c r="K18" t="n">
        <v>0</v>
      </c>
      <c r="L18" t="n">
        <v>0</v>
      </c>
      <c r="M18" t="n">
        <v>0</v>
      </c>
      <c r="N18" t="n">
        <v>0</v>
      </c>
    </row>
    <row r="19">
      <c r="A19" t="inlineStr">
        <is>
          <t>defaults of rent</t>
        </is>
      </c>
      <c r="B19" t="inlineStr">
        <is>
          <t>the land of aillewyn drawn into demesne, 3 shilling for the year.</t>
        </is>
      </c>
      <c r="C19" t="n">
        <v>0.15</v>
      </c>
      <c r="D19" t="n">
        <v>0</v>
      </c>
      <c r="E19" t="n">
        <v>3</v>
      </c>
      <c r="F19" t="n">
        <v>0</v>
      </c>
      <c r="H19" t="n">
        <v>0</v>
      </c>
      <c r="I19" t="n">
        <v>0</v>
      </c>
      <c r="J19" t="n">
        <v>0</v>
      </c>
      <c r="K19" t="n">
        <v>0</v>
      </c>
      <c r="L19" t="n">
        <v>0</v>
      </c>
      <c r="M19" t="n">
        <v>0</v>
      </c>
      <c r="N19" t="n">
        <v>0</v>
      </c>
    </row>
    <row r="20">
      <c r="A20" t="inlineStr">
        <is>
          <t>defaults of rent</t>
        </is>
      </c>
      <c r="B20" t="inlineStr">
        <is>
          <t>10 acres of land of roger manypetite drawn into demesne, 1 shilling 8pence for the year.</t>
        </is>
      </c>
      <c r="C20" t="n">
        <v>0.08</v>
      </c>
      <c r="D20" t="n">
        <v>0</v>
      </c>
      <c r="E20" t="n">
        <v>1</v>
      </c>
      <c r="F20" t="n">
        <v>8</v>
      </c>
      <c r="H20" t="n">
        <v>0</v>
      </c>
      <c r="I20" t="n">
        <v>0</v>
      </c>
      <c r="J20" t="n">
        <v>0</v>
      </c>
      <c r="K20" t="n">
        <v>0</v>
      </c>
      <c r="L20" t="n">
        <v>0</v>
      </c>
      <c r="M20" t="n">
        <v>0</v>
      </c>
      <c r="N20" t="n">
        <v>0</v>
      </c>
    </row>
    <row r="21">
      <c r="A21" t="inlineStr">
        <is>
          <t>defaults of rent</t>
        </is>
      </c>
      <c r="B21" t="inlineStr">
        <is>
          <t>the land of osmond doust drawn into demesne, 2 shilling 6pence for the year.</t>
        </is>
      </c>
      <c r="C21" t="n">
        <v>0.12</v>
      </c>
      <c r="D21" t="n">
        <v>0</v>
      </c>
      <c r="E21" t="n">
        <v>2</v>
      </c>
      <c r="F21" t="n">
        <v>6</v>
      </c>
      <c r="H21" t="n">
        <v>0</v>
      </c>
      <c r="I21" t="n">
        <v>0</v>
      </c>
      <c r="J21" t="n">
        <v>0</v>
      </c>
      <c r="K21" t="n">
        <v>0</v>
      </c>
      <c r="L21" t="n">
        <v>0</v>
      </c>
      <c r="M21" t="n">
        <v>0</v>
      </c>
      <c r="N21" t="n">
        <v>0</v>
      </c>
    </row>
    <row r="22">
      <c r="A22" t="inlineStr">
        <is>
          <t>defaults of rent</t>
        </is>
      </c>
      <c r="B22" t="inlineStr">
        <is>
          <t>the land of simon clerc' drawn into demesne, 1 shilling 8pence for the year.</t>
        </is>
      </c>
      <c r="C22" t="n">
        <v>0.08</v>
      </c>
      <c r="D22" t="n">
        <v>0</v>
      </c>
      <c r="E22" t="n">
        <v>1</v>
      </c>
      <c r="F22" t="n">
        <v>8</v>
      </c>
      <c r="H22" t="n">
        <v>0</v>
      </c>
      <c r="I22" t="n">
        <v>0</v>
      </c>
      <c r="J22" t="n">
        <v>0</v>
      </c>
      <c r="K22" t="n">
        <v>0</v>
      </c>
      <c r="L22" t="n">
        <v>0</v>
      </c>
      <c r="M22" t="n">
        <v>0</v>
      </c>
      <c r="N22" t="n">
        <v>0</v>
      </c>
    </row>
    <row r="23">
      <c r="A23" t="inlineStr">
        <is>
          <t>defaults of rent</t>
        </is>
      </c>
      <c r="B23" t="inlineStr">
        <is>
          <t>the land of aillewyn drawn into demesne, 1 shilling for the year.</t>
        </is>
      </c>
      <c r="C23" t="n">
        <v>0.05</v>
      </c>
      <c r="D23" t="n">
        <v>0</v>
      </c>
      <c r="E23" t="n">
        <v>1</v>
      </c>
      <c r="F23" t="n">
        <v>0</v>
      </c>
      <c r="H23" t="n">
        <v>0</v>
      </c>
      <c r="I23" t="n">
        <v>0</v>
      </c>
      <c r="J23" t="n">
        <v>0</v>
      </c>
      <c r="K23" t="n">
        <v>0</v>
      </c>
      <c r="L23" t="n">
        <v>0</v>
      </c>
      <c r="M23" t="n">
        <v>0</v>
      </c>
      <c r="N23" t="n">
        <v>0</v>
      </c>
    </row>
    <row r="24">
      <c r="A24" t="inlineStr">
        <is>
          <t>defaults of rent</t>
        </is>
      </c>
      <c r="B24" t="inlineStr">
        <is>
          <t>1 plot of purpresture formerly of john le newe drawn into the park of highclere, id. this year.</t>
        </is>
      </c>
      <c r="C24" t="n">
        <v>0</v>
      </c>
      <c r="D24" t="n">
        <v>0</v>
      </c>
      <c r="E24" t="n">
        <v>0</v>
      </c>
      <c r="F24" t="n">
        <v>0</v>
      </c>
      <c r="H24" t="n">
        <v>0</v>
      </c>
      <c r="I24" t="n">
        <v>0</v>
      </c>
      <c r="J24" t="n">
        <v>0</v>
      </c>
      <c r="K24" t="n">
        <v>0</v>
      </c>
      <c r="L24" t="n">
        <v>0</v>
      </c>
      <c r="M24" t="n">
        <v>0</v>
      </c>
      <c r="N24" t="n">
        <v>0</v>
      </c>
    </row>
    <row r="25">
      <c r="A25" t="inlineStr">
        <is>
          <t>defaults of rent</t>
        </is>
      </c>
      <c r="B25" t="inlineStr">
        <is>
          <t>.5 acre of purpresture formerly of richard le whyte drawn into the aforesaid park 3pence.</t>
        </is>
      </c>
      <c r="C25" t="n">
        <v>0.01</v>
      </c>
      <c r="D25" t="n">
        <v>0</v>
      </c>
      <c r="E25" t="n">
        <v>0</v>
      </c>
      <c r="F25" t="n">
        <v>3</v>
      </c>
      <c r="H25" t="n">
        <v>0</v>
      </c>
      <c r="I25" t="n">
        <v>0</v>
      </c>
      <c r="J25" t="n">
        <v>0</v>
      </c>
      <c r="K25" t="n">
        <v>0</v>
      </c>
      <c r="L25" t="n">
        <v>0</v>
      </c>
      <c r="M25" t="n">
        <v>0</v>
      </c>
      <c r="N25" t="n">
        <v>0</v>
      </c>
    </row>
    <row r="26">
      <c r="A26" t="inlineStr">
        <is>
          <t>defaults of rent</t>
        </is>
      </c>
      <c r="B26" t="inlineStr">
        <is>
          <t>the land of osmond doust drawn into demesne, 1 shilling for the year.</t>
        </is>
      </c>
      <c r="C26" t="n">
        <v>0.05</v>
      </c>
      <c r="D26" t="n">
        <v>0</v>
      </c>
      <c r="E26" t="n">
        <v>1</v>
      </c>
      <c r="F26" t="n">
        <v>0</v>
      </c>
      <c r="H26" t="n">
        <v>0</v>
      </c>
      <c r="I26" t="n">
        <v>0</v>
      </c>
      <c r="J26" t="n">
        <v>0</v>
      </c>
      <c r="K26" t="n">
        <v>0</v>
      </c>
      <c r="L26" t="n">
        <v>0</v>
      </c>
      <c r="M26" t="n">
        <v>0</v>
      </c>
      <c r="N26" t="n">
        <v>0</v>
      </c>
    </row>
    <row r="27">
      <c r="A27" t="inlineStr">
        <is>
          <t>defaults of rent</t>
        </is>
      </c>
      <c r="B27" t="inlineStr">
        <is>
          <t>1 plot of purpresture formerly of john le eir', containing 20 acres of land, drawn into the aforesaid park 8 shilling.</t>
        </is>
      </c>
      <c r="C27" t="n">
        <v>0.4</v>
      </c>
      <c r="D27" t="n">
        <v>0</v>
      </c>
      <c r="E27" t="n">
        <v>8</v>
      </c>
      <c r="F27" t="n">
        <v>0</v>
      </c>
      <c r="H27" t="n">
        <v>0</v>
      </c>
      <c r="I27" t="n">
        <v>0</v>
      </c>
      <c r="J27" t="n">
        <v>0</v>
      </c>
      <c r="K27" t="n">
        <v>0</v>
      </c>
      <c r="L27" t="n">
        <v>0</v>
      </c>
      <c r="M27" t="n">
        <v>0</v>
      </c>
      <c r="N27" t="n">
        <v>0</v>
      </c>
    </row>
    <row r="28">
      <c r="A28" t="inlineStr">
        <is>
          <t>defaults of rent</t>
        </is>
      </c>
      <c r="B28" t="inlineStr">
        <is>
          <t>total, £2 6 shilling 2pence.</t>
        </is>
      </c>
      <c r="C28" t="n">
        <v>2.31</v>
      </c>
      <c r="D28" t="n">
        <v>2</v>
      </c>
      <c r="E28" t="n">
        <v>6</v>
      </c>
      <c r="F28" t="n">
        <v>2</v>
      </c>
      <c r="H28" t="n">
        <v>0</v>
      </c>
      <c r="I28" t="n">
        <v>0</v>
      </c>
      <c r="J28" t="n">
        <v>0</v>
      </c>
      <c r="K28" t="n">
        <v>0</v>
      </c>
      <c r="L28" t="n">
        <v>0</v>
      </c>
      <c r="M28" t="n">
        <v>0</v>
      </c>
      <c r="N28" t="n">
        <v>0</v>
      </c>
    </row>
    <row r="29">
      <c r="A29" t="inlineStr">
        <is>
          <t>defaults through the first pestilence, this being the sixty-second year</t>
        </is>
      </c>
      <c r="B29" t="inlineStr">
        <is>
          <t>in default of 18 acres of purpresture in la wasshe formerly of john goion' in the lord's hands through the death of the same 9 shilling.</t>
        </is>
      </c>
      <c r="C29" t="n">
        <v>0.45</v>
      </c>
      <c r="D29" t="n">
        <v>0</v>
      </c>
      <c r="E29" t="n">
        <v>9</v>
      </c>
      <c r="F29" t="n">
        <v>0</v>
      </c>
      <c r="H29" t="n">
        <v>0</v>
      </c>
      <c r="I29" t="n">
        <v>0</v>
      </c>
      <c r="J29" t="n">
        <v>0</v>
      </c>
      <c r="K29" t="n">
        <v>0</v>
      </c>
      <c r="L29" t="n">
        <v>0</v>
      </c>
      <c r="M29" t="n">
        <v>0</v>
      </c>
      <c r="N29" t="n">
        <v>0</v>
      </c>
    </row>
    <row r="30">
      <c r="A30" t="inlineStr">
        <is>
          <t>defaults through the first pestilence, this being the sixty-second year</t>
        </is>
      </c>
      <c r="B30" t="inlineStr">
        <is>
          <t>1 cotland formerly of john ewer because in the lord's hands 3 shilling.</t>
        </is>
      </c>
      <c r="C30" t="n">
        <v>0.15</v>
      </c>
      <c r="D30" t="n">
        <v>0</v>
      </c>
      <c r="E30" t="n">
        <v>3</v>
      </c>
      <c r="F30" t="n">
        <v>0</v>
      </c>
      <c r="H30" t="n">
        <v>0</v>
      </c>
      <c r="I30" t="n">
        <v>0</v>
      </c>
      <c r="J30" t="n">
        <v>0</v>
      </c>
      <c r="K30" t="n">
        <v>0</v>
      </c>
      <c r="L30" t="n">
        <v>0</v>
      </c>
      <c r="M30" t="n">
        <v>0</v>
      </c>
      <c r="N30" t="n">
        <v>0</v>
      </c>
    </row>
    <row r="31">
      <c r="A31" t="inlineStr">
        <is>
          <t>defaults through the first pestilence, this being the sixty-second year</t>
        </is>
      </c>
      <c r="B31" t="inlineStr">
        <is>
          <t>3 cotlands of richard malot, walter malot and john frenche, 1 acre of purpresture at hareberd', 1 small purpresture beside the well of burghclere and 1 small purpresture at bikemer' 9 shilling 9pence.</t>
        </is>
      </c>
      <c r="C31" t="n">
        <v>0.49</v>
      </c>
      <c r="D31" t="n">
        <v>0</v>
      </c>
      <c r="E31" t="n">
        <v>9</v>
      </c>
      <c r="F31" t="n">
        <v>9</v>
      </c>
      <c r="H31" t="n">
        <v>0</v>
      </c>
      <c r="I31" t="n">
        <v>0</v>
      </c>
      <c r="J31" t="n">
        <v>0</v>
      </c>
      <c r="K31" t="n">
        <v>0</v>
      </c>
      <c r="L31" t="n">
        <v>0</v>
      </c>
      <c r="M31" t="n">
        <v>0</v>
      </c>
      <c r="N31" t="n">
        <v>0</v>
      </c>
    </row>
    <row r="32">
      <c r="A32" t="inlineStr">
        <is>
          <t>defaults through the first pestilence, this being the sixty-second year</t>
        </is>
      </c>
      <c r="B32" t="inlineStr">
        <is>
          <t>1 cotland of roger rutlond' in the lord's hands for the same 3 shilling.</t>
        </is>
      </c>
      <c r="C32" t="n">
        <v>0.15</v>
      </c>
      <c r="D32" t="n">
        <v>0</v>
      </c>
      <c r="E32" t="n">
        <v>3</v>
      </c>
      <c r="F32" t="n">
        <v>0</v>
      </c>
      <c r="H32" t="n">
        <v>0</v>
      </c>
      <c r="I32" t="n">
        <v>0</v>
      </c>
      <c r="J32" t="n">
        <v>0</v>
      </c>
      <c r="K32" t="n">
        <v>0</v>
      </c>
      <c r="L32" t="n">
        <v>0</v>
      </c>
      <c r="M32" t="n">
        <v>0</v>
      </c>
      <c r="N32" t="n">
        <v>0</v>
      </c>
    </row>
    <row r="33">
      <c r="A33" t="inlineStr">
        <is>
          <t>defaults through the first pestilence, this being the sixty-second year</t>
        </is>
      </c>
      <c r="B33" t="inlineStr">
        <is>
          <t>1 cotland of william atte tounesende in the lord's hands for the same 3 shilling.</t>
        </is>
      </c>
      <c r="C33" t="n">
        <v>0.15</v>
      </c>
      <c r="D33" t="n">
        <v>0</v>
      </c>
      <c r="E33" t="n">
        <v>3</v>
      </c>
      <c r="F33" t="n">
        <v>0</v>
      </c>
      <c r="H33" t="n">
        <v>0</v>
      </c>
      <c r="I33" t="n">
        <v>0</v>
      </c>
      <c r="J33" t="n">
        <v>0</v>
      </c>
      <c r="K33" t="n">
        <v>0</v>
      </c>
      <c r="L33" t="n">
        <v>0</v>
      </c>
      <c r="M33" t="n">
        <v>0</v>
      </c>
      <c r="N33" t="n">
        <v>0</v>
      </c>
    </row>
    <row r="34">
      <c r="A34" t="inlineStr">
        <is>
          <t>defaults through the first pestilence, this being the sixty-second year</t>
        </is>
      </c>
      <c r="B34" t="inlineStr">
        <is>
          <t>1 cotland formerly of john webbe 6pence.</t>
        </is>
      </c>
      <c r="C34" t="n">
        <v>0.03</v>
      </c>
      <c r="D34" t="n">
        <v>0</v>
      </c>
      <c r="E34" t="n">
        <v>0</v>
      </c>
      <c r="F34" t="n">
        <v>6</v>
      </c>
      <c r="H34" t="n">
        <v>0</v>
      </c>
      <c r="I34" t="n">
        <v>0</v>
      </c>
      <c r="J34" t="n">
        <v>0</v>
      </c>
      <c r="K34" t="n">
        <v>0</v>
      </c>
      <c r="L34" t="n">
        <v>0</v>
      </c>
      <c r="M34" t="n">
        <v>0</v>
      </c>
      <c r="N34" t="n">
        <v>0</v>
      </c>
    </row>
    <row r="35">
      <c r="A35" t="inlineStr">
        <is>
          <t>defaults through the first pestilence, this being the sixty-second year</t>
        </is>
      </c>
      <c r="B35" t="inlineStr">
        <is>
          <t>1 cotland formerly of john bike 1 shilling.</t>
        </is>
      </c>
      <c r="C35" t="n">
        <v>0.05</v>
      </c>
      <c r="D35" t="n">
        <v>0</v>
      </c>
      <c r="E35" t="n">
        <v>1</v>
      </c>
      <c r="F35" t="n">
        <v>0</v>
      </c>
      <c r="H35" t="n">
        <v>0</v>
      </c>
      <c r="I35" t="n">
        <v>0</v>
      </c>
      <c r="J35" t="n">
        <v>0</v>
      </c>
      <c r="K35" t="n">
        <v>0</v>
      </c>
      <c r="L35" t="n">
        <v>0</v>
      </c>
      <c r="M35" t="n">
        <v>0</v>
      </c>
      <c r="N35" t="n">
        <v>0</v>
      </c>
    </row>
    <row r="36">
      <c r="A36" t="inlineStr">
        <is>
          <t>defaults through the first pestilence, this being the sixty-second year</t>
        </is>
      </c>
      <c r="B36" t="inlineStr">
        <is>
          <t>the purpresture formerly of simon cutell' in the lord's hands for the same 4pence.</t>
        </is>
      </c>
      <c r="C36" t="n">
        <v>0.02</v>
      </c>
      <c r="D36" t="n">
        <v>0</v>
      </c>
      <c r="E36" t="n">
        <v>0</v>
      </c>
      <c r="F36" t="n">
        <v>4</v>
      </c>
      <c r="H36" t="n">
        <v>0</v>
      </c>
      <c r="I36" t="n">
        <v>0</v>
      </c>
      <c r="J36" t="n">
        <v>0</v>
      </c>
      <c r="K36" t="n">
        <v>0</v>
      </c>
      <c r="L36" t="n">
        <v>0</v>
      </c>
      <c r="M36" t="n">
        <v>0</v>
      </c>
      <c r="N36" t="n">
        <v>0</v>
      </c>
    </row>
    <row r="37">
      <c r="A37" t="inlineStr">
        <is>
          <t>defaults through the first pestilence, this being the sixty-second year</t>
        </is>
      </c>
      <c r="B37" t="inlineStr">
        <is>
          <t>4 acres of land formerly of john bikemere in the lord's hands 2 shilling, because they lie in la wasshe and noone wished to lease them.</t>
        </is>
      </c>
      <c r="C37" t="n">
        <v>0.1</v>
      </c>
      <c r="D37" t="n">
        <v>0</v>
      </c>
      <c r="E37" t="n">
        <v>2</v>
      </c>
      <c r="F37" t="n">
        <v>0</v>
      </c>
      <c r="H37" t="n">
        <v>0</v>
      </c>
      <c r="I37" t="n">
        <v>0</v>
      </c>
      <c r="J37" t="n">
        <v>0</v>
      </c>
      <c r="K37" t="n">
        <v>0</v>
      </c>
      <c r="L37" t="n">
        <v>0</v>
      </c>
      <c r="M37" t="n">
        <v>0</v>
      </c>
      <c r="N37" t="n">
        <v>0</v>
      </c>
    </row>
    <row r="38">
      <c r="A38" t="inlineStr">
        <is>
          <t>defaults through the first pestilence, this being the sixty-second year</t>
        </is>
      </c>
      <c r="B38" t="inlineStr">
        <is>
          <t>2.5 acres of the land of prat in the lord's hands 1 shilling 2.5pence.</t>
        </is>
      </c>
      <c r="C38" t="n">
        <v>0.06</v>
      </c>
      <c r="D38" t="n">
        <v>0</v>
      </c>
      <c r="E38" t="n">
        <v>1</v>
      </c>
      <c r="F38" t="n">
        <v>2.5</v>
      </c>
      <c r="H38" t="n">
        <v>0</v>
      </c>
      <c r="I38" t="n">
        <v>0</v>
      </c>
      <c r="J38" t="n">
        <v>0</v>
      </c>
      <c r="K38" t="n">
        <v>0</v>
      </c>
      <c r="L38" t="n">
        <v>0</v>
      </c>
      <c r="M38" t="n">
        <v>0</v>
      </c>
      <c r="N38" t="n">
        <v>0</v>
      </c>
    </row>
    <row r="39">
      <c r="A39" t="inlineStr">
        <is>
          <t>defaults through the first pestilence, this being the sixty-second year</t>
        </is>
      </c>
      <c r="B39" t="inlineStr">
        <is>
          <t>3 acres of purpresture formerly of nicholas newton' in the lord's hands for the same 1 shilling 6pence.</t>
        </is>
      </c>
      <c r="C39" t="n">
        <v>0.08</v>
      </c>
      <c r="D39" t="n">
        <v>0</v>
      </c>
      <c r="E39" t="n">
        <v>1</v>
      </c>
      <c r="F39" t="n">
        <v>6</v>
      </c>
      <c r="H39" t="n">
        <v>0</v>
      </c>
      <c r="I39" t="n">
        <v>0</v>
      </c>
      <c r="J39" t="n">
        <v>0</v>
      </c>
      <c r="K39" t="n">
        <v>0</v>
      </c>
      <c r="L39" t="n">
        <v>0</v>
      </c>
      <c r="M39" t="n">
        <v>0</v>
      </c>
      <c r="N39" t="n">
        <v>0</v>
      </c>
    </row>
    <row r="40">
      <c r="A40" t="inlineStr">
        <is>
          <t>defaults through the first pestilence, this being the sixty-second year</t>
        </is>
      </c>
      <c r="B40" t="inlineStr">
        <is>
          <t>1 plot of land formerly of no atte lane 3pence.</t>
        </is>
      </c>
      <c r="C40" t="n">
        <v>0.01</v>
      </c>
      <c r="D40" t="n">
        <v>0</v>
      </c>
      <c r="E40" t="n">
        <v>0</v>
      </c>
      <c r="F40" t="n">
        <v>3</v>
      </c>
      <c r="H40" t="n">
        <v>0</v>
      </c>
      <c r="I40" t="n">
        <v>0</v>
      </c>
      <c r="J40" t="n">
        <v>0</v>
      </c>
      <c r="K40" t="n">
        <v>0</v>
      </c>
      <c r="L40" t="n">
        <v>0</v>
      </c>
      <c r="M40" t="n">
        <v>0</v>
      </c>
      <c r="N40" t="n">
        <v>0</v>
      </c>
    </row>
    <row r="41">
      <c r="A41" t="inlineStr">
        <is>
          <t>defaults through the first pestilence, this being the sixty-second year</t>
        </is>
      </c>
      <c r="B41" t="inlineStr">
        <is>
          <t>1 cotland of richard robynet in the lord's hands for the same 6pence.</t>
        </is>
      </c>
      <c r="C41" t="n">
        <v>0.03</v>
      </c>
      <c r="D41" t="n">
        <v>0</v>
      </c>
      <c r="E41" t="n">
        <v>0</v>
      </c>
      <c r="F41" t="n">
        <v>6</v>
      </c>
      <c r="H41" t="n">
        <v>0</v>
      </c>
      <c r="I41" t="n">
        <v>0</v>
      </c>
      <c r="J41" t="n">
        <v>0</v>
      </c>
      <c r="K41" t="n">
        <v>0</v>
      </c>
      <c r="L41" t="n">
        <v>0</v>
      </c>
      <c r="M41" t="n">
        <v>0</v>
      </c>
      <c r="N41" t="n">
        <v>0</v>
      </c>
    </row>
    <row r="42">
      <c r="A42" t="inlineStr">
        <is>
          <t>defaults through the first pestilence, this being the sixty-second year</t>
        </is>
      </c>
      <c r="B42" t="inlineStr">
        <is>
          <t>1 cotland of christine wilkes in the lord's hands for the same 3 shilling.</t>
        </is>
      </c>
      <c r="C42" t="n">
        <v>0.15</v>
      </c>
      <c r="D42" t="n">
        <v>0</v>
      </c>
      <c r="E42" t="n">
        <v>3</v>
      </c>
      <c r="F42" t="n">
        <v>0</v>
      </c>
      <c r="H42" t="n">
        <v>0</v>
      </c>
      <c r="I42" t="n">
        <v>0</v>
      </c>
      <c r="J42" t="n">
        <v>0</v>
      </c>
      <c r="K42" t="n">
        <v>0</v>
      </c>
      <c r="L42" t="n">
        <v>0</v>
      </c>
      <c r="M42" t="n">
        <v>0</v>
      </c>
      <c r="N42" t="n">
        <v>0</v>
      </c>
    </row>
    <row r="43">
      <c r="A43" t="inlineStr">
        <is>
          <t>defaults through the first pestilence, this being the sixty-second year</t>
        </is>
      </c>
      <c r="B43" t="inlineStr">
        <is>
          <t>1 plot of land of the lord's waste at whitway which belonged to robert lag' in the lord's hands 2pence.</t>
        </is>
      </c>
      <c r="C43" t="n">
        <v>0.01</v>
      </c>
      <c r="D43" t="n">
        <v>0</v>
      </c>
      <c r="E43" t="n">
        <v>0</v>
      </c>
      <c r="F43" t="n">
        <v>2</v>
      </c>
      <c r="H43" t="n">
        <v>0</v>
      </c>
      <c r="I43" t="n">
        <v>0</v>
      </c>
      <c r="J43" t="n">
        <v>0</v>
      </c>
      <c r="K43" t="n">
        <v>0</v>
      </c>
      <c r="L43" t="n">
        <v>0</v>
      </c>
      <c r="M43" t="n">
        <v>0</v>
      </c>
      <c r="N43" t="n">
        <v>0</v>
      </c>
    </row>
    <row r="44">
      <c r="A44" t="inlineStr">
        <is>
          <t>defaults through the first pestilence, this being the sixty-second year</t>
        </is>
      </c>
      <c r="B44" t="inlineStr">
        <is>
          <t>1 cotland and 10 acres of villein land formerly of stephen gruery in the land's hands 3 shilling.</t>
        </is>
      </c>
      <c r="C44" t="n">
        <v>0.15</v>
      </c>
      <c r="D44" t="n">
        <v>0</v>
      </c>
      <c r="E44" t="n">
        <v>3</v>
      </c>
      <c r="F44" t="n">
        <v>0</v>
      </c>
      <c r="H44" t="n">
        <v>0</v>
      </c>
      <c r="I44" t="n">
        <v>0</v>
      </c>
      <c r="J44" t="n">
        <v>0</v>
      </c>
      <c r="K44" t="n">
        <v>0</v>
      </c>
      <c r="L44" t="n">
        <v>0</v>
      </c>
      <c r="M44" t="n">
        <v>0</v>
      </c>
      <c r="N44" t="n">
        <v>0</v>
      </c>
    </row>
    <row r="45">
      <c r="A45" t="inlineStr">
        <is>
          <t>defaults through the first pestilence, this being the sixty-second year</t>
        </is>
      </c>
      <c r="B45" t="inlineStr">
        <is>
          <t>1 messuage and 1 cotland of villein land and 1 plot annexed to the said cotland in which was situated 1 water-mill, and 1 croft of purpresture at bolueslade, containing 3.5 acres, which belonged to william coppemore, removed from the demesne, in the lord's hands for the same 14 shilling 9pence.</t>
        </is>
      </c>
      <c r="C45" t="n">
        <v>0.74</v>
      </c>
      <c r="D45" t="n">
        <v>0</v>
      </c>
      <c r="E45" t="n">
        <v>14</v>
      </c>
      <c r="F45" t="n">
        <v>9</v>
      </c>
      <c r="H45" t="n">
        <v>0</v>
      </c>
      <c r="I45" t="n">
        <v>0</v>
      </c>
      <c r="J45" t="n">
        <v>0</v>
      </c>
      <c r="K45" t="n">
        <v>0</v>
      </c>
      <c r="L45" t="n">
        <v>0</v>
      </c>
      <c r="M45" t="n">
        <v>0</v>
      </c>
      <c r="N45" t="n">
        <v>0</v>
      </c>
    </row>
    <row r="46">
      <c r="A46" t="inlineStr">
        <is>
          <t>defaults through the first pestilence, this being the sixty-second year</t>
        </is>
      </c>
      <c r="B46" t="inlineStr">
        <is>
          <t>1 half-virgate of land formerly of alexander wilteshire in the lord's hands for the same 2 shilling 4pence.</t>
        </is>
      </c>
      <c r="C46" t="n">
        <v>0.12</v>
      </c>
      <c r="D46" t="n">
        <v>0</v>
      </c>
      <c r="E46" t="n">
        <v>2</v>
      </c>
      <c r="F46" t="n">
        <v>4</v>
      </c>
      <c r="H46" t="n">
        <v>0</v>
      </c>
      <c r="I46" t="n">
        <v>0</v>
      </c>
      <c r="J46" t="n">
        <v>0</v>
      </c>
      <c r="K46" t="n">
        <v>0</v>
      </c>
      <c r="L46" t="n">
        <v>0</v>
      </c>
      <c r="M46" t="n">
        <v>0</v>
      </c>
      <c r="N46" t="n">
        <v>0</v>
      </c>
    </row>
    <row r="47">
      <c r="A47" t="inlineStr">
        <is>
          <t>defaults through the first pestilence, this being the sixty-second year</t>
        </is>
      </c>
      <c r="B47" t="inlineStr">
        <is>
          <t>1 half-virgate of land formerly of john lag' in the lord's hands for the same 2 shilling 4pence.</t>
        </is>
      </c>
      <c r="C47" t="n">
        <v>0.12</v>
      </c>
      <c r="D47" t="n">
        <v>0</v>
      </c>
      <c r="E47" t="n">
        <v>2</v>
      </c>
      <c r="F47" t="n">
        <v>4</v>
      </c>
      <c r="H47" t="n">
        <v>0</v>
      </c>
      <c r="I47" t="n">
        <v>0</v>
      </c>
      <c r="J47" t="n">
        <v>0</v>
      </c>
      <c r="K47" t="n">
        <v>0</v>
      </c>
      <c r="L47" t="n">
        <v>0</v>
      </c>
      <c r="M47" t="n">
        <v>0</v>
      </c>
      <c r="N47" t="n">
        <v>0</v>
      </c>
    </row>
    <row r="48">
      <c r="A48" t="inlineStr">
        <is>
          <t>defaults through the first pestilence, this being the sixty-second year</t>
        </is>
      </c>
      <c r="B48" t="inlineStr">
        <is>
          <t>3.5 acres of purpresture at les colerewes formerly of stephen mody in the lord's hands through the death of the same 1 shilling 9pence, because it lies in common and noone wished to lease it.</t>
        </is>
      </c>
      <c r="C48" t="n">
        <v>0.09</v>
      </c>
      <c r="D48" t="n">
        <v>0</v>
      </c>
      <c r="E48" t="n">
        <v>1</v>
      </c>
      <c r="F48" t="n">
        <v>9</v>
      </c>
      <c r="H48" t="n">
        <v>0</v>
      </c>
      <c r="I48" t="n">
        <v>0</v>
      </c>
      <c r="J48" t="n">
        <v>0</v>
      </c>
      <c r="K48" t="n">
        <v>0</v>
      </c>
      <c r="L48" t="n">
        <v>0</v>
      </c>
      <c r="M48" t="n">
        <v>0</v>
      </c>
      <c r="N48" t="n">
        <v>0</v>
      </c>
    </row>
    <row r="49">
      <c r="A49" t="inlineStr">
        <is>
          <t>defaults through the first pestilence, this being the sixty-second year</t>
        </is>
      </c>
      <c r="B49" t="inlineStr">
        <is>
          <t>total, £3 2 shilling 4.5pence.</t>
        </is>
      </c>
      <c r="C49" t="n">
        <v>3.12</v>
      </c>
      <c r="D49" t="n">
        <v>3</v>
      </c>
      <c r="E49" t="n">
        <v>2</v>
      </c>
      <c r="F49" t="n">
        <v>4.5</v>
      </c>
      <c r="H49" t="n">
        <v>0</v>
      </c>
      <c r="I49" t="n">
        <v>0</v>
      </c>
      <c r="J49" t="n">
        <v>0</v>
      </c>
      <c r="K49" t="n">
        <v>0</v>
      </c>
      <c r="L49" t="n">
        <v>0</v>
      </c>
      <c r="M49" t="n">
        <v>0</v>
      </c>
      <c r="N49" t="n">
        <v>0</v>
      </c>
    </row>
    <row r="50">
      <c r="A50" t="inlineStr">
        <is>
          <t>total of quittances and defaults of rent</t>
        </is>
      </c>
      <c r="B50" t="inlineStr">
        <is>
          <t>total of quittances and defaults of rent, £6 10.5pence.</t>
        </is>
      </c>
      <c r="C50" t="n">
        <v>6.04</v>
      </c>
      <c r="D50" t="n">
        <v>6</v>
      </c>
      <c r="E50" t="n">
        <v>0</v>
      </c>
      <c r="F50" t="n">
        <v>10.5</v>
      </c>
      <c r="H50" t="n">
        <v>0</v>
      </c>
      <c r="I50" t="n">
        <v>0</v>
      </c>
      <c r="J50" t="n">
        <v>0</v>
      </c>
      <c r="K50" t="n">
        <v>0</v>
      </c>
      <c r="L50" t="n">
        <v>0</v>
      </c>
      <c r="M50" t="n">
        <v>0</v>
      </c>
      <c r="N50" t="n">
        <v>0</v>
      </c>
    </row>
    <row r="51">
      <c r="A51" t="inlineStr">
        <is>
          <t>total of rents remaining clear</t>
        </is>
      </c>
      <c r="B51" t="inlineStr">
        <is>
          <t>total of rents remaining clear, £20 6 shilling 10pence.</t>
        </is>
      </c>
      <c r="C51" t="n">
        <v>20.34</v>
      </c>
      <c r="D51" t="n">
        <v>20</v>
      </c>
      <c r="E51" t="n">
        <v>6</v>
      </c>
      <c r="F51" t="n">
        <v>10</v>
      </c>
      <c r="H51" t="n">
        <v>0</v>
      </c>
      <c r="I51" t="n">
        <v>0</v>
      </c>
      <c r="J51" t="n">
        <v>0</v>
      </c>
      <c r="K51" t="n">
        <v>0</v>
      </c>
      <c r="L51" t="n">
        <v>0</v>
      </c>
      <c r="M51" t="n">
        <v>0</v>
      </c>
      <c r="N51" t="n">
        <v>0</v>
      </c>
    </row>
    <row r="52">
      <c r="A52" t="inlineStr">
        <is>
          <t>release of labour services</t>
        </is>
      </c>
      <c r="B52" t="inlineStr">
        <is>
          <t>and for 7 shilling from the heirs of richard le eire for the release of the labour services of 1 virgate of land for the year.</t>
        </is>
      </c>
      <c r="C52" t="n">
        <v>0.35</v>
      </c>
      <c r="D52" t="n">
        <v>0</v>
      </c>
      <c r="E52" t="n">
        <v>7</v>
      </c>
      <c r="F52" t="n">
        <v>0</v>
      </c>
      <c r="H52" t="n">
        <v>0</v>
      </c>
      <c r="I52" t="n">
        <v>0</v>
      </c>
      <c r="J52" t="n">
        <v>0</v>
      </c>
      <c r="K52" t="n">
        <v>0</v>
      </c>
      <c r="L52" t="n">
        <v>0</v>
      </c>
      <c r="M52" t="n">
        <v>0</v>
      </c>
      <c r="N52" t="n">
        <v>0</v>
      </c>
    </row>
    <row r="53">
      <c r="A53" t="inlineStr">
        <is>
          <t>release of labour services</t>
        </is>
      </c>
      <c r="B53" t="inlineStr">
        <is>
          <t>1 shilling from richard gerarde of adbury, john durant of the same, philip le newe, nicholas molendinar', john lount of the same and joan, who was wife of john semer', each of whom in turn was accustomed to be reeve or the lord's ploughman at burghclere, each for 3 years, for no longer being liable for those offices but quit by the aforesaid rent.</t>
        </is>
      </c>
      <c r="C53" t="n">
        <v>0.05</v>
      </c>
      <c r="D53" t="n">
        <v>0</v>
      </c>
      <c r="E53" t="n">
        <v>1</v>
      </c>
      <c r="F53" t="n">
        <v>0</v>
      </c>
      <c r="H53" t="n">
        <v>0</v>
      </c>
      <c r="I53" t="n">
        <v>0</v>
      </c>
      <c r="J53" t="n">
        <v>0</v>
      </c>
      <c r="K53" t="n">
        <v>0</v>
      </c>
      <c r="L53" t="n">
        <v>0</v>
      </c>
      <c r="M53" t="n">
        <v>0</v>
      </c>
      <c r="N53" t="n">
        <v>0</v>
      </c>
    </row>
    <row r="54">
      <c r="A54" t="inlineStr">
        <is>
          <t>release of labour services</t>
        </is>
      </c>
      <c r="B54" t="inlineStr">
        <is>
          <t>£2 9 shilling for all the labour services of 7 virgates of land, sold to the same whilst it pleases the lord, except the labour services of washing and shearing, of carrying when the lord should come or sojourn at highclere, of enclosing the park of the same, and of 1 boon-work, at 7 shilling from each customary tenant for each virgate, and not more because the farmer and collector of rents will be quit of their labour services and 1 virgate of land is commuted for a fixed cash sum as made clear above.</t>
        </is>
      </c>
      <c r="C54" t="n">
        <v>2.45</v>
      </c>
      <c r="D54" t="n">
        <v>2</v>
      </c>
      <c r="E54" t="n">
        <v>9</v>
      </c>
      <c r="F54" t="n">
        <v>0</v>
      </c>
      <c r="H54" t="n">
        <v>0</v>
      </c>
      <c r="I54" t="n">
        <v>0</v>
      </c>
      <c r="J54" t="n">
        <v>0</v>
      </c>
      <c r="K54" t="n">
        <v>0</v>
      </c>
      <c r="L54" t="n">
        <v>0</v>
      </c>
      <c r="M54" t="n">
        <v>0</v>
      </c>
      <c r="N54" t="n">
        <v>0</v>
      </c>
    </row>
    <row r="55">
      <c r="A55" t="inlineStr">
        <is>
          <t>release of labour services</t>
        </is>
      </c>
      <c r="B55" t="inlineStr">
        <is>
          <t>£6 for all the labour services of 24 half-virgates, released and sold to the same whilst it pleases the lord, except the labour services which were excepted above, at 5 shilling for each half-virgate, and not more because 5 half-virgates of land are in the lord's hands as made clear above.</t>
        </is>
      </c>
      <c r="C55" t="n">
        <v>6</v>
      </c>
      <c r="D55" t="n">
        <v>6</v>
      </c>
      <c r="E55" t="n">
        <v>0</v>
      </c>
      <c r="F55" t="n">
        <v>0</v>
      </c>
      <c r="H55" t="n">
        <v>0</v>
      </c>
      <c r="I55" t="n">
        <v>0</v>
      </c>
      <c r="J55" t="n">
        <v>0</v>
      </c>
      <c r="K55" t="n">
        <v>0</v>
      </c>
      <c r="L55" t="n">
        <v>0</v>
      </c>
      <c r="M55" t="n">
        <v>0</v>
      </c>
      <c r="N55" t="n">
        <v>0</v>
      </c>
    </row>
    <row r="56">
      <c r="A56" t="inlineStr">
        <is>
          <t>release of labour services</t>
        </is>
      </c>
      <c r="B56" t="inlineStr">
        <is>
          <t>£1 1 shilling from 1 cotland (cotsetl'), 2 cotlands (cod') and 3 half-cotlands for their labour services, sold to the same whilst it pleases the lord, except for those excepted above, at 4 shilling for each cotland (cotsetl') and cotland (coil') and 3 shilling for a half-cotland, and not more because 4 cotlands and 3 half-cotlands are commuted for a fixed cash sum as made clear under the heading, issues of the manor, and 6 cotlands (cotsetl'), 4 cotlands (cod') and 3 half-cotlands are in the lord's hands.</t>
        </is>
      </c>
      <c r="C56" t="n">
        <v>1.05</v>
      </c>
      <c r="D56" t="n">
        <v>1</v>
      </c>
      <c r="E56" t="n">
        <v>1</v>
      </c>
      <c r="F56" t="n">
        <v>0</v>
      </c>
      <c r="H56" t="n">
        <v>0</v>
      </c>
      <c r="I56" t="n">
        <v>0</v>
      </c>
      <c r="J56" t="n">
        <v>0</v>
      </c>
      <c r="K56" t="n">
        <v>0</v>
      </c>
      <c r="L56" t="n">
        <v>0</v>
      </c>
      <c r="M56" t="n">
        <v>0</v>
      </c>
      <c r="N56" t="n">
        <v>0</v>
      </c>
    </row>
    <row r="57">
      <c r="A57" t="inlineStr">
        <is>
          <t>release of labour services</t>
        </is>
      </c>
      <c r="B57" t="inlineStr">
        <is>
          <t>total, £9 18 shilling.</t>
        </is>
      </c>
      <c r="C57" t="n">
        <v>9.9</v>
      </c>
      <c r="D57" t="n">
        <v>9</v>
      </c>
      <c r="E57" t="n">
        <v>18</v>
      </c>
      <c r="F57" t="n">
        <v>0</v>
      </c>
      <c r="H57" t="n">
        <v>0</v>
      </c>
      <c r="I57" t="n">
        <v>0</v>
      </c>
      <c r="J57" t="n">
        <v>0</v>
      </c>
      <c r="K57" t="n">
        <v>0</v>
      </c>
      <c r="L57" t="n">
        <v>0</v>
      </c>
      <c r="M57" t="n">
        <v>0</v>
      </c>
      <c r="N57" t="n">
        <v>0</v>
      </c>
    </row>
    <row r="58">
      <c r="A58" t="inlineStr">
        <is>
          <t>issues of the manor</t>
        </is>
      </c>
      <c r="B58" t="inlineStr">
        <is>
          <t>and for 6 shilling from the pannage of the pigs of the customary tenants at martinmas, that is, for 50 pigs, at 1pence each, and 44 piglets, at .5pence each, and this through henry, lord bishop of winchester, because henceforth the men of wolstret will only give 1pence instead of 2pence, which they and the other tenants were accustomed to pay for the common of garston', which same common is let for a fixed rent.</t>
        </is>
      </c>
      <c r="C58" t="n">
        <v>0.3</v>
      </c>
      <c r="D58" t="n">
        <v>0</v>
      </c>
      <c r="E58" t="n">
        <v>6</v>
      </c>
      <c r="F58" t="n">
        <v>1</v>
      </c>
      <c r="H58" t="n">
        <v>0</v>
      </c>
      <c r="I58" t="n">
        <v>0</v>
      </c>
      <c r="J58" t="n">
        <v>0</v>
      </c>
      <c r="K58" t="n">
        <v>0</v>
      </c>
      <c r="L58" t="n">
        <v>0</v>
      </c>
      <c r="M58" t="n">
        <v>0</v>
      </c>
      <c r="N58" t="n">
        <v>0</v>
      </c>
    </row>
    <row r="59">
      <c r="A59" t="inlineStr">
        <is>
          <t>issues of the manor</t>
        </is>
      </c>
      <c r="B59" t="inlineStr">
        <is>
          <t>nothing from the pasturage in hareberd' and eldehull' and the pasturage in lovecombe because it is grazed by the lord's sheep.</t>
        </is>
      </c>
      <c r="C59" t="n">
        <v>0</v>
      </c>
      <c r="D59" t="n">
        <v>0</v>
      </c>
      <c r="E59" t="n">
        <v>0</v>
      </c>
      <c r="F59" t="n">
        <v>0</v>
      </c>
      <c r="H59" t="n">
        <v>0</v>
      </c>
      <c r="I59" t="n">
        <v>0</v>
      </c>
      <c r="J59" t="n">
        <v>0</v>
      </c>
      <c r="K59" t="n">
        <v>0</v>
      </c>
      <c r="L59" t="n">
        <v>0</v>
      </c>
      <c r="M59" t="n">
        <v>0</v>
      </c>
      <c r="N59" t="n">
        <v>0</v>
      </c>
    </row>
    <row r="60">
      <c r="A60" t="inlineStr">
        <is>
          <t>issues of the manor</t>
        </is>
      </c>
      <c r="B60" t="inlineStr">
        <is>
          <t>5 shilling from the men of earlstone at michaelmas according to custom for herbage.</t>
        </is>
      </c>
      <c r="C60" t="n">
        <v>0.25</v>
      </c>
      <c r="D60" t="n">
        <v>0</v>
      </c>
      <c r="E60" t="n">
        <v>5</v>
      </c>
      <c r="F60" t="n">
        <v>0</v>
      </c>
      <c r="H60" t="n">
        <v>0</v>
      </c>
      <c r="I60" t="n">
        <v>0</v>
      </c>
      <c r="J60" t="n">
        <v>0</v>
      </c>
      <c r="K60" t="n">
        <v>0</v>
      </c>
      <c r="L60" t="n">
        <v>0</v>
      </c>
      <c r="M60" t="n">
        <v>0</v>
      </c>
      <c r="N60" t="n">
        <v>0</v>
      </c>
    </row>
    <row r="61">
      <c r="A61" t="inlineStr">
        <is>
          <t>issues of the manor</t>
        </is>
      </c>
      <c r="B61" t="inlineStr">
        <is>
          <t>nothing from the issue of the quarry this year.</t>
        </is>
      </c>
      <c r="C61" t="n">
        <v>0</v>
      </c>
      <c r="D61" t="n">
        <v>0</v>
      </c>
      <c r="E61" t="n">
        <v>0</v>
      </c>
      <c r="F61" t="n">
        <v>0</v>
      </c>
      <c r="H61" t="n">
        <v>0</v>
      </c>
      <c r="I61" t="n">
        <v>0</v>
      </c>
      <c r="J61" t="n">
        <v>0</v>
      </c>
      <c r="K61" t="n">
        <v>0</v>
      </c>
      <c r="L61" t="n">
        <v>0</v>
      </c>
      <c r="M61" t="n">
        <v>0</v>
      </c>
      <c r="N61" t="n">
        <v>0</v>
      </c>
    </row>
    <row r="62">
      <c r="A62" t="inlineStr">
        <is>
          <t>issues of the manor</t>
        </is>
      </c>
      <c r="B62" t="inlineStr">
        <is>
          <t>3 shilling from the men of adbury for not making charcoal at christmas.</t>
        </is>
      </c>
      <c r="C62" t="n">
        <v>0.15</v>
      </c>
      <c r="D62" t="n">
        <v>0</v>
      </c>
      <c r="E62" t="n">
        <v>3</v>
      </c>
      <c r="F62" t="n">
        <v>0</v>
      </c>
      <c r="H62" t="n">
        <v>0</v>
      </c>
      <c r="I62" t="n">
        <v>0</v>
      </c>
      <c r="J62" t="n">
        <v>0</v>
      </c>
      <c r="K62" t="n">
        <v>0</v>
      </c>
      <c r="L62" t="n">
        <v>0</v>
      </c>
      <c r="M62" t="n">
        <v>0</v>
      </c>
      <c r="N62" t="n">
        <v>0</v>
      </c>
    </row>
    <row r="63">
      <c r="A63" t="inlineStr">
        <is>
          <t>issues of the manor</t>
        </is>
      </c>
      <c r="B63" t="inlineStr">
        <is>
          <t>3 shilling from the free tenants in earlstone for release from ploughing at michaelmas, because the villeins will plough at the winter sowing and fallow.</t>
        </is>
      </c>
      <c r="C63" t="n">
        <v>0.15</v>
      </c>
      <c r="D63" t="n">
        <v>0</v>
      </c>
      <c r="E63" t="n">
        <v>3</v>
      </c>
      <c r="F63" t="n">
        <v>0</v>
      </c>
      <c r="H63" t="n">
        <v>0</v>
      </c>
      <c r="I63" t="n">
        <v>0</v>
      </c>
      <c r="J63" t="n">
        <v>0</v>
      </c>
      <c r="K63" t="n">
        <v>0</v>
      </c>
      <c r="L63" t="n">
        <v>0</v>
      </c>
      <c r="M63" t="n">
        <v>0</v>
      </c>
      <c r="N63" t="n">
        <v>0</v>
      </c>
    </row>
    <row r="64">
      <c r="A64" t="inlineStr">
        <is>
          <t>issues of the manor</t>
        </is>
      </c>
      <c r="B64" t="inlineStr">
        <is>
          <t>2 shilling from honey according to custom at michaelmas for land which john gerard' holds.</t>
        </is>
      </c>
      <c r="C64" t="n">
        <v>0.1</v>
      </c>
      <c r="D64" t="n">
        <v>0</v>
      </c>
      <c r="E64" t="n">
        <v>2</v>
      </c>
      <c r="F64" t="n">
        <v>0</v>
      </c>
      <c r="H64" t="n">
        <v>0</v>
      </c>
      <c r="I64" t="n">
        <v>0</v>
      </c>
      <c r="J64" t="n">
        <v>0</v>
      </c>
      <c r="K64" t="n">
        <v>0</v>
      </c>
      <c r="L64" t="n">
        <v>0</v>
      </c>
      <c r="M64" t="n">
        <v>0</v>
      </c>
      <c r="N64" t="n">
        <v>0</v>
      </c>
    </row>
    <row r="65">
      <c r="A65" t="inlineStr">
        <is>
          <t>issues of the manor</t>
        </is>
      </c>
      <c r="B65" t="inlineStr">
        <is>
          <t>18 shilling 6pence from the woolskins sold of 12 wethers and 93 rams and ewes in murrain before shearing, at 3pence a skin of wethers, and 2pence of rams and ewes.</t>
        </is>
      </c>
      <c r="C65" t="n">
        <v>0.93</v>
      </c>
      <c r="D65" t="n">
        <v>0</v>
      </c>
      <c r="E65" t="n">
        <v>18</v>
      </c>
      <c r="F65" t="n">
        <v>6</v>
      </c>
      <c r="H65" t="n">
        <v>0</v>
      </c>
      <c r="I65" t="n">
        <v>0</v>
      </c>
      <c r="J65" t="n">
        <v>0</v>
      </c>
      <c r="K65" t="n">
        <v>0</v>
      </c>
      <c r="L65" t="n">
        <v>0</v>
      </c>
      <c r="M65" t="n">
        <v>0</v>
      </c>
      <c r="N65" t="n">
        <v>0</v>
      </c>
    </row>
    <row r="66">
      <c r="A66" t="inlineStr">
        <is>
          <t>issues of the manor</t>
        </is>
      </c>
      <c r="B66" t="inlineStr">
        <is>
          <t>1 shilling from the bare skins sold of 12 wethers and ewes in murrain after shearing.</t>
        </is>
      </c>
      <c r="C66" t="n">
        <v>0.05</v>
      </c>
      <c r="D66" t="n">
        <v>0</v>
      </c>
      <c r="E66" t="n">
        <v>1</v>
      </c>
      <c r="F66" t="n">
        <v>0</v>
      </c>
      <c r="H66" t="n">
        <v>0</v>
      </c>
      <c r="I66" t="n">
        <v>0</v>
      </c>
      <c r="J66" t="n">
        <v>0</v>
      </c>
      <c r="K66" t="n">
        <v>0</v>
      </c>
      <c r="L66" t="n">
        <v>0</v>
      </c>
      <c r="M66" t="n">
        <v>0</v>
      </c>
      <c r="N66" t="n">
        <v>0</v>
      </c>
    </row>
    <row r="67">
      <c r="A67" t="inlineStr">
        <is>
          <t>issues of the manor</t>
        </is>
      </c>
      <c r="B67" t="inlineStr">
        <is>
          <t>1 shilling 11pence from the skins sold of 46 lambs in murrain before weaning.</t>
        </is>
      </c>
      <c r="C67" t="n">
        <v>0.1</v>
      </c>
      <c r="D67" t="n">
        <v>0</v>
      </c>
      <c r="E67" t="n">
        <v>1</v>
      </c>
      <c r="F67" t="n">
        <v>11</v>
      </c>
      <c r="H67" t="n">
        <v>0</v>
      </c>
      <c r="I67" t="n">
        <v>0</v>
      </c>
      <c r="J67" t="n">
        <v>0</v>
      </c>
      <c r="K67" t="n">
        <v>0</v>
      </c>
      <c r="L67" t="n">
        <v>0</v>
      </c>
      <c r="M67" t="n">
        <v>0</v>
      </c>
      <c r="N67" t="n">
        <v>0</v>
      </c>
    </row>
    <row r="68">
      <c r="A68" t="inlineStr">
        <is>
          <t>issues of the manor</t>
        </is>
      </c>
      <c r="B68" t="inlineStr">
        <is>
          <t>.5pence from the rotted skin of 1 lamb in murrain after tithe and before weaning.</t>
        </is>
      </c>
      <c r="C68" t="n">
        <v>0.02</v>
      </c>
      <c r="D68" t="n">
        <v>0</v>
      </c>
      <c r="E68" t="n">
        <v>0</v>
      </c>
      <c r="F68" t="n">
        <v>5</v>
      </c>
      <c r="H68" t="n">
        <v>0</v>
      </c>
      <c r="I68" t="n">
        <v>0</v>
      </c>
      <c r="J68" t="n">
        <v>0</v>
      </c>
      <c r="K68" t="n">
        <v>0</v>
      </c>
      <c r="L68" t="n">
        <v>0</v>
      </c>
      <c r="M68" t="n">
        <v>0</v>
      </c>
      <c r="N68" t="n">
        <v>0</v>
      </c>
    </row>
    <row r="69">
      <c r="A69" t="inlineStr">
        <is>
          <t>issues of the manor</t>
        </is>
      </c>
      <c r="B69" t="inlineStr">
        <is>
          <t>nothing from the sale of geese and capons this year because they were handed over with the farm.</t>
        </is>
      </c>
      <c r="C69" t="n">
        <v>0</v>
      </c>
      <c r="D69" t="n">
        <v>0</v>
      </c>
      <c r="E69" t="n">
        <v>0</v>
      </c>
      <c r="F69" t="n">
        <v>0</v>
      </c>
      <c r="H69" t="n">
        <v>0</v>
      </c>
      <c r="I69" t="n">
        <v>0</v>
      </c>
      <c r="J69" t="n">
        <v>0</v>
      </c>
      <c r="K69" t="n">
        <v>0</v>
      </c>
      <c r="L69" t="n">
        <v>0</v>
      </c>
      <c r="M69" t="n">
        <v>0</v>
      </c>
      <c r="N69" t="n">
        <v>0</v>
      </c>
    </row>
    <row r="70">
      <c r="A70" t="inlineStr">
        <is>
          <t>issues of the manor</t>
        </is>
      </c>
      <c r="B70" t="inlineStr">
        <is>
          <t>16 shilling 8pence from 100 cocks and hens from churchscot sold as made clear elsewhere, 57 of them to the lord's household, at 2pence each.</t>
        </is>
      </c>
      <c r="C70" t="n">
        <v>0.83</v>
      </c>
      <c r="D70" t="n">
        <v>0</v>
      </c>
      <c r="E70" t="n">
        <v>16</v>
      </c>
      <c r="F70" t="n">
        <v>8</v>
      </c>
      <c r="H70" t="n">
        <v>0</v>
      </c>
      <c r="I70" t="n">
        <v>0</v>
      </c>
      <c r="J70" t="n">
        <v>0</v>
      </c>
      <c r="K70" t="n">
        <v>0</v>
      </c>
      <c r="L70" t="n">
        <v>0</v>
      </c>
      <c r="M70" t="n">
        <v>0</v>
      </c>
      <c r="N70" t="n">
        <v>0</v>
      </c>
    </row>
    <row r="71">
      <c r="A71" t="inlineStr">
        <is>
          <t>issues of the manor</t>
        </is>
      </c>
      <c r="B71" t="inlineStr">
        <is>
          <t>3 shilling 11.5c1. from 954 hens' eggs sold as made clear elsewhere, at 5pence a 100.</t>
        </is>
      </c>
      <c r="C71" t="n">
        <v>0.17</v>
      </c>
      <c r="D71" t="n">
        <v>0</v>
      </c>
      <c r="E71" t="n">
        <v>3</v>
      </c>
      <c r="F71" t="n">
        <v>5</v>
      </c>
      <c r="H71" t="n">
        <v>0</v>
      </c>
      <c r="I71" t="n">
        <v>0</v>
      </c>
      <c r="J71" t="n">
        <v>0</v>
      </c>
      <c r="K71" t="n">
        <v>0</v>
      </c>
      <c r="L71" t="n">
        <v>0</v>
      </c>
      <c r="M71" t="n">
        <v>0</v>
      </c>
      <c r="N71" t="n">
        <v>0</v>
      </c>
    </row>
    <row r="72">
      <c r="A72" t="inlineStr">
        <is>
          <t>issues of the manor</t>
        </is>
      </c>
      <c r="B72" t="inlineStr">
        <is>
          <t>£1 16 shilling 8pence from the labour services of 4 cotlands and 3 half-cotlands sold to the men of adbury, except the labour services of washing and shearing and the harvest boon-work, which were done for the lord this year and will be done every year, at 6 shilling 8pence for each cotland and 3 shilling 4pence for a half-cotland.</t>
        </is>
      </c>
      <c r="C72" t="n">
        <v>1.83</v>
      </c>
      <c r="D72" t="n">
        <v>1</v>
      </c>
      <c r="E72" t="n">
        <v>16</v>
      </c>
      <c r="F72" t="n">
        <v>8</v>
      </c>
      <c r="H72" t="n">
        <v>0</v>
      </c>
      <c r="I72" t="n">
        <v>0</v>
      </c>
      <c r="J72" t="n">
        <v>0</v>
      </c>
      <c r="K72" t="n">
        <v>0</v>
      </c>
      <c r="L72" t="n">
        <v>0</v>
      </c>
      <c r="M72" t="n">
        <v>0</v>
      </c>
      <c r="N72" t="n">
        <v>0</v>
      </c>
    </row>
    <row r="73">
      <c r="A73" t="inlineStr">
        <is>
          <t>issues of the manor</t>
        </is>
      </c>
      <c r="B73" t="inlineStr">
        <is>
          <t>total, £4 17 shilling 9pence.</t>
        </is>
      </c>
      <c r="C73" t="n">
        <v>4.89</v>
      </c>
      <c r="D73" t="n">
        <v>4</v>
      </c>
      <c r="E73" t="n">
        <v>17</v>
      </c>
      <c r="F73" t="n">
        <v>9</v>
      </c>
      <c r="H73" t="n">
        <v>0</v>
      </c>
      <c r="I73" t="n">
        <v>0</v>
      </c>
      <c r="J73" t="n">
        <v>0</v>
      </c>
      <c r="K73" t="n">
        <v>0</v>
      </c>
      <c r="L73" t="n">
        <v>0</v>
      </c>
      <c r="M73" t="n">
        <v>0</v>
      </c>
      <c r="N73" t="n">
        <v>0</v>
      </c>
    </row>
    <row r="74">
      <c r="A74" t="inlineStr">
        <is>
          <t>issues of the lands and tenements in the lord's hands through the pestilence</t>
        </is>
      </c>
      <c r="B74" t="inlineStr">
        <is>
          <t>and for 1 shilling from the issue of 1 cotland formerly of john ewer this year.</t>
        </is>
      </c>
      <c r="C74" t="n">
        <v>0.05</v>
      </c>
      <c r="D74" t="n">
        <v>0</v>
      </c>
      <c r="E74" t="n">
        <v>1</v>
      </c>
      <c r="F74" t="n">
        <v>0</v>
      </c>
      <c r="H74" t="n">
        <v>0</v>
      </c>
      <c r="I74" t="n">
        <v>0</v>
      </c>
      <c r="J74" t="n">
        <v>0</v>
      </c>
      <c r="K74" t="n">
        <v>0</v>
      </c>
      <c r="L74" t="n">
        <v>0</v>
      </c>
      <c r="M74" t="n">
        <v>0</v>
      </c>
      <c r="N74" t="n">
        <v>0</v>
      </c>
    </row>
    <row r="75">
      <c r="A75" t="inlineStr">
        <is>
          <t>issues of the lands and tenements in the lord's hands through the pestilence</t>
        </is>
      </c>
      <c r="B75" t="inlineStr">
        <is>
          <t>9 shilling 9pence from 3 cotlands of richard malot, walter malot and john frensche.</t>
        </is>
      </c>
      <c r="C75" t="n">
        <v>0.49</v>
      </c>
      <c r="D75" t="n">
        <v>0</v>
      </c>
      <c r="E75" t="n">
        <v>9</v>
      </c>
      <c r="F75" t="n">
        <v>9</v>
      </c>
      <c r="H75" t="n">
        <v>0</v>
      </c>
      <c r="I75" t="n">
        <v>0</v>
      </c>
      <c r="J75" t="n">
        <v>0</v>
      </c>
      <c r="K75" t="n">
        <v>0</v>
      </c>
      <c r="L75" t="n">
        <v>0</v>
      </c>
      <c r="M75" t="n">
        <v>0</v>
      </c>
      <c r="N75" t="n">
        <v>0</v>
      </c>
    </row>
    <row r="76">
      <c r="A76" t="inlineStr">
        <is>
          <t>issues of the lands and tenements in the lord's hands through the pestilence</t>
        </is>
      </c>
      <c r="B76" t="inlineStr">
        <is>
          <t>3 shilling from 1 cotland of roger rutlond'.</t>
        </is>
      </c>
      <c r="C76" t="n">
        <v>0.15</v>
      </c>
      <c r="D76" t="n">
        <v>0</v>
      </c>
      <c r="E76" t="n">
        <v>3</v>
      </c>
      <c r="F76" t="n">
        <v>0</v>
      </c>
      <c r="H76" t="n">
        <v>0</v>
      </c>
      <c r="I76" t="n">
        <v>0</v>
      </c>
      <c r="J76" t="n">
        <v>0</v>
      </c>
      <c r="K76" t="n">
        <v>0</v>
      </c>
      <c r="L76" t="n">
        <v>0</v>
      </c>
      <c r="M76" t="n">
        <v>0</v>
      </c>
      <c r="N76" t="n">
        <v>0</v>
      </c>
    </row>
    <row r="77">
      <c r="A77" t="inlineStr">
        <is>
          <t>issues of the lands and tenements in the lord's hands through the pestilence</t>
        </is>
      </c>
      <c r="B77" t="inlineStr">
        <is>
          <t>3 shilling from 1 cotland of william atte tounesende.</t>
        </is>
      </c>
      <c r="C77" t="n">
        <v>0.15</v>
      </c>
      <c r="D77" t="n">
        <v>0</v>
      </c>
      <c r="E77" t="n">
        <v>3</v>
      </c>
      <c r="F77" t="n">
        <v>0</v>
      </c>
      <c r="H77" t="n">
        <v>0</v>
      </c>
      <c r="I77" t="n">
        <v>0</v>
      </c>
      <c r="J77" t="n">
        <v>0</v>
      </c>
      <c r="K77" t="n">
        <v>0</v>
      </c>
      <c r="L77" t="n">
        <v>0</v>
      </c>
      <c r="M77" t="n">
        <v>0</v>
      </c>
      <c r="N77" t="n">
        <v>0</v>
      </c>
    </row>
    <row r="78">
      <c r="A78" t="inlineStr">
        <is>
          <t>issues of the lands and tenements in the lord's hands through the pestilence</t>
        </is>
      </c>
      <c r="B78" t="inlineStr">
        <is>
          <t>6pence from 1 cotland of john webbe.</t>
        </is>
      </c>
      <c r="C78" t="n">
        <v>0.03</v>
      </c>
      <c r="D78" t="n">
        <v>0</v>
      </c>
      <c r="E78" t="n">
        <v>0</v>
      </c>
      <c r="F78" t="n">
        <v>6</v>
      </c>
      <c r="H78" t="n">
        <v>0</v>
      </c>
      <c r="I78" t="n">
        <v>0</v>
      </c>
      <c r="J78" t="n">
        <v>0</v>
      </c>
      <c r="K78" t="n">
        <v>0</v>
      </c>
      <c r="L78" t="n">
        <v>0</v>
      </c>
      <c r="M78" t="n">
        <v>0</v>
      </c>
      <c r="N78" t="n">
        <v>0</v>
      </c>
    </row>
    <row r="79">
      <c r="A79" t="inlineStr">
        <is>
          <t>issues of the lands and tenements in the lord's hands through the pestilence</t>
        </is>
      </c>
      <c r="B79" t="inlineStr">
        <is>
          <t>2 shilling from 1 cotland of john bike.</t>
        </is>
      </c>
      <c r="C79" t="n">
        <v>0.1</v>
      </c>
      <c r="D79" t="n">
        <v>0</v>
      </c>
      <c r="E79" t="n">
        <v>2</v>
      </c>
      <c r="F79" t="n">
        <v>0</v>
      </c>
      <c r="H79" t="n">
        <v>0</v>
      </c>
      <c r="I79" t="n">
        <v>0</v>
      </c>
      <c r="J79" t="n">
        <v>0</v>
      </c>
      <c r="K79" t="n">
        <v>0</v>
      </c>
      <c r="L79" t="n">
        <v>0</v>
      </c>
      <c r="M79" t="n">
        <v>0</v>
      </c>
      <c r="N79" t="n">
        <v>0</v>
      </c>
    </row>
    <row r="80">
      <c r="A80" t="inlineStr">
        <is>
          <t>issues of the lands and tenements in the lord's hands through the pestilence</t>
        </is>
      </c>
      <c r="B80" t="inlineStr">
        <is>
          <t>4pence from the land of simon cute11'.</t>
        </is>
      </c>
      <c r="C80" t="n">
        <v>0.02</v>
      </c>
      <c r="D80" t="n">
        <v>0</v>
      </c>
      <c r="E80" t="n">
        <v>0</v>
      </c>
      <c r="F80" t="n">
        <v>4</v>
      </c>
      <c r="H80" t="n">
        <v>0</v>
      </c>
      <c r="I80" t="n">
        <v>0</v>
      </c>
      <c r="J80" t="n">
        <v>0</v>
      </c>
      <c r="K80" t="n">
        <v>0</v>
      </c>
      <c r="L80" t="n">
        <v>0</v>
      </c>
      <c r="M80" t="n">
        <v>0</v>
      </c>
      <c r="N80" t="n">
        <v>0</v>
      </c>
    </row>
    <row r="81">
      <c r="A81" t="inlineStr">
        <is>
          <t>issues of the lands and tenements in the lord's hands through the pestilence</t>
        </is>
      </c>
      <c r="B81" t="inlineStr">
        <is>
          <t>nothing from the land of john bikemere.</t>
        </is>
      </c>
      <c r="C81" t="n">
        <v>0</v>
      </c>
      <c r="D81" t="n">
        <v>0</v>
      </c>
      <c r="E81" t="n">
        <v>0</v>
      </c>
      <c r="F81" t="n">
        <v>0</v>
      </c>
      <c r="H81" t="n">
        <v>0</v>
      </c>
      <c r="I81" t="n">
        <v>0</v>
      </c>
      <c r="J81" t="n">
        <v>0</v>
      </c>
      <c r="K81" t="n">
        <v>0</v>
      </c>
      <c r="L81" t="n">
        <v>0</v>
      </c>
      <c r="M81" t="n">
        <v>0</v>
      </c>
      <c r="N81" t="n">
        <v>0</v>
      </c>
    </row>
    <row r="82">
      <c r="A82" t="inlineStr">
        <is>
          <t>issues of the lands and tenements in the lord's hands through the pestilence</t>
        </is>
      </c>
      <c r="B82" t="inlineStr">
        <is>
          <t>1 shilling 6pence from the land of john prat.</t>
        </is>
      </c>
      <c r="C82" t="n">
        <v>0.08</v>
      </c>
      <c r="D82" t="n">
        <v>0</v>
      </c>
      <c r="E82" t="n">
        <v>1</v>
      </c>
      <c r="F82" t="n">
        <v>6</v>
      </c>
      <c r="H82" t="n">
        <v>0</v>
      </c>
      <c r="I82" t="n">
        <v>0</v>
      </c>
      <c r="J82" t="n">
        <v>0</v>
      </c>
      <c r="K82" t="n">
        <v>0</v>
      </c>
      <c r="L82" t="n">
        <v>0</v>
      </c>
      <c r="M82" t="n">
        <v>0</v>
      </c>
      <c r="N82" t="n">
        <v>0</v>
      </c>
    </row>
    <row r="83">
      <c r="A83" t="inlineStr">
        <is>
          <t>issues of the lands and tenements in the lord's hands through the pestilence</t>
        </is>
      </c>
      <c r="B83" t="inlineStr">
        <is>
          <t>1 shilling 6pence from the land of nicholas newenton'.</t>
        </is>
      </c>
      <c r="C83" t="n">
        <v>0.08</v>
      </c>
      <c r="D83" t="n">
        <v>0</v>
      </c>
      <c r="E83" t="n">
        <v>1</v>
      </c>
      <c r="F83" t="n">
        <v>6</v>
      </c>
      <c r="H83" t="n">
        <v>0</v>
      </c>
      <c r="I83" t="n">
        <v>0</v>
      </c>
      <c r="J83" t="n">
        <v>0</v>
      </c>
      <c r="K83" t="n">
        <v>0</v>
      </c>
      <c r="L83" t="n">
        <v>0</v>
      </c>
      <c r="M83" t="n">
        <v>0</v>
      </c>
      <c r="N83" t="n">
        <v>0</v>
      </c>
    </row>
    <row r="84">
      <c r="A84" t="inlineStr">
        <is>
          <t>issues of the lands and tenements in the lord's hands through the pestilence</t>
        </is>
      </c>
      <c r="B84" t="inlineStr">
        <is>
          <t>3pence from 1 plot of land formerly of no atte lane.</t>
        </is>
      </c>
      <c r="C84" t="n">
        <v>0.01</v>
      </c>
      <c r="D84" t="n">
        <v>0</v>
      </c>
      <c r="E84" t="n">
        <v>0</v>
      </c>
      <c r="F84" t="n">
        <v>3</v>
      </c>
      <c r="H84" t="n">
        <v>0</v>
      </c>
      <c r="I84" t="n">
        <v>0</v>
      </c>
      <c r="J84" t="n">
        <v>0</v>
      </c>
      <c r="K84" t="n">
        <v>0</v>
      </c>
      <c r="L84" t="n">
        <v>0</v>
      </c>
      <c r="M84" t="n">
        <v>0</v>
      </c>
      <c r="N84" t="n">
        <v>0</v>
      </c>
    </row>
    <row r="85">
      <c r="A85" t="inlineStr">
        <is>
          <t>issues of the lands and tenements in the lord's hands through the pestilence</t>
        </is>
      </c>
      <c r="B85" t="inlineStr">
        <is>
          <t>6pence from 1 cotland of richard robyn.</t>
        </is>
      </c>
      <c r="C85" t="n">
        <v>0.03</v>
      </c>
      <c r="D85" t="n">
        <v>0</v>
      </c>
      <c r="E85" t="n">
        <v>0</v>
      </c>
      <c r="F85" t="n">
        <v>6</v>
      </c>
      <c r="H85" t="n">
        <v>0</v>
      </c>
      <c r="I85" t="n">
        <v>0</v>
      </c>
      <c r="J85" t="n">
        <v>0</v>
      </c>
      <c r="K85" t="n">
        <v>0</v>
      </c>
      <c r="L85" t="n">
        <v>0</v>
      </c>
      <c r="M85" t="n">
        <v>0</v>
      </c>
      <c r="N85" t="n">
        <v>0</v>
      </c>
    </row>
    <row r="86">
      <c r="A86" t="inlineStr">
        <is>
          <t>issues of the lands and tenements in the lord's hands through the pestilence</t>
        </is>
      </c>
      <c r="B86" t="inlineStr">
        <is>
          <t>3 shilling from i cotland of christine wilkes.</t>
        </is>
      </c>
      <c r="C86" t="n">
        <v>0.15</v>
      </c>
      <c r="D86" t="n">
        <v>0</v>
      </c>
      <c r="E86" t="n">
        <v>3</v>
      </c>
      <c r="F86" t="n">
        <v>0</v>
      </c>
      <c r="H86" t="n">
        <v>0</v>
      </c>
      <c r="I86" t="n">
        <v>0</v>
      </c>
      <c r="J86" t="n">
        <v>0</v>
      </c>
      <c r="K86" t="n">
        <v>0</v>
      </c>
      <c r="L86" t="n">
        <v>0</v>
      </c>
      <c r="M86" t="n">
        <v>0</v>
      </c>
      <c r="N86" t="n">
        <v>0</v>
      </c>
    </row>
    <row r="87">
      <c r="A87" t="inlineStr">
        <is>
          <t>issues of the lands and tenements in the lord's hands through the pestilence</t>
        </is>
      </c>
      <c r="B87" t="inlineStr">
        <is>
          <t>nothing from the land of robert lag'.</t>
        </is>
      </c>
      <c r="C87" t="n">
        <v>0</v>
      </c>
      <c r="D87" t="n">
        <v>0</v>
      </c>
      <c r="E87" t="n">
        <v>0</v>
      </c>
      <c r="F87" t="n">
        <v>0</v>
      </c>
      <c r="H87" t="n">
        <v>0</v>
      </c>
      <c r="I87" t="n">
        <v>0</v>
      </c>
      <c r="J87" t="n">
        <v>0</v>
      </c>
      <c r="K87" t="n">
        <v>0</v>
      </c>
      <c r="L87" t="n">
        <v>0</v>
      </c>
      <c r="M87" t="n">
        <v>0</v>
      </c>
      <c r="N87" t="n">
        <v>0</v>
      </c>
    </row>
    <row r="88">
      <c r="A88" t="inlineStr">
        <is>
          <t>issues of the lands and tenements in the lord's hands through the pestilence</t>
        </is>
      </c>
      <c r="B88" t="inlineStr">
        <is>
          <t>1 shilling from 1 cotland of stephen druery.</t>
        </is>
      </c>
      <c r="C88" t="n">
        <v>0.05</v>
      </c>
      <c r="D88" t="n">
        <v>0</v>
      </c>
      <c r="E88" t="n">
        <v>1</v>
      </c>
      <c r="F88" t="n">
        <v>0</v>
      </c>
      <c r="H88" t="n">
        <v>0</v>
      </c>
      <c r="I88" t="n">
        <v>0</v>
      </c>
      <c r="J88" t="n">
        <v>0</v>
      </c>
      <c r="K88" t="n">
        <v>0</v>
      </c>
      <c r="L88" t="n">
        <v>0</v>
      </c>
      <c r="M88" t="n">
        <v>0</v>
      </c>
      <c r="N88" t="n">
        <v>0</v>
      </c>
    </row>
    <row r="89">
      <c r="A89" t="inlineStr">
        <is>
          <t>issues of the lands and tenements in the lord's hands through the pestilence</t>
        </is>
      </c>
      <c r="B89" t="inlineStr">
        <is>
          <t>14 shilling 9pence from the lands formerly of william coppemore, let to walter stubbe until someone should come to fine for them.</t>
        </is>
      </c>
      <c r="C89" t="n">
        <v>0.74</v>
      </c>
      <c r="D89" t="n">
        <v>0</v>
      </c>
      <c r="E89" t="n">
        <v>14</v>
      </c>
      <c r="F89" t="n">
        <v>9</v>
      </c>
      <c r="H89" t="n">
        <v>0</v>
      </c>
      <c r="I89" t="n">
        <v>0</v>
      </c>
      <c r="J89" t="n">
        <v>0</v>
      </c>
      <c r="K89" t="n">
        <v>0</v>
      </c>
      <c r="L89" t="n">
        <v>0</v>
      </c>
      <c r="M89" t="n">
        <v>0</v>
      </c>
      <c r="N89" t="n">
        <v>0</v>
      </c>
    </row>
    <row r="90">
      <c r="A90" t="inlineStr">
        <is>
          <t>issues of the lands and tenements in the lord's hands through the pestilence</t>
        </is>
      </c>
      <c r="B90" t="inlineStr">
        <is>
          <t>5 shilling 8pence from 1 half-virgate of land of john lag', let to thomas wynkeworthe until.</t>
        </is>
      </c>
      <c r="C90" t="n">
        <v>0.28</v>
      </c>
      <c r="D90" t="n">
        <v>0</v>
      </c>
      <c r="E90" t="n">
        <v>5</v>
      </c>
      <c r="F90" t="n">
        <v>8</v>
      </c>
      <c r="H90" t="n">
        <v>0</v>
      </c>
      <c r="I90" t="n">
        <v>0</v>
      </c>
      <c r="J90" t="n">
        <v>0</v>
      </c>
      <c r="K90" t="n">
        <v>0</v>
      </c>
      <c r="L90" t="n">
        <v>0</v>
      </c>
      <c r="M90" t="n">
        <v>0</v>
      </c>
      <c r="N90" t="n">
        <v>0</v>
      </c>
    </row>
    <row r="91">
      <c r="A91" t="inlineStr">
        <is>
          <t>issues of the lands and tenements in the lord's hands through the pestilence</t>
        </is>
      </c>
      <c r="B91" t="inlineStr">
        <is>
          <t>4 shilling 4pence from walter cutell' for 1 messuage and .5 virgate of land called cartereslond', on top of the ancient rent of 2 shilling 4pence.</t>
        </is>
      </c>
      <c r="C91" t="n">
        <v>0.22</v>
      </c>
      <c r="D91" t="n">
        <v>0</v>
      </c>
      <c r="E91" t="n">
        <v>4</v>
      </c>
      <c r="F91" t="n">
        <v>4</v>
      </c>
      <c r="H91" t="n">
        <v>0</v>
      </c>
      <c r="I91" t="n">
        <v>0</v>
      </c>
      <c r="J91" t="n">
        <v>0</v>
      </c>
      <c r="K91" t="n">
        <v>0</v>
      </c>
      <c r="L91" t="n">
        <v>0</v>
      </c>
      <c r="M91" t="n">
        <v>0</v>
      </c>
      <c r="N91" t="n">
        <v>0</v>
      </c>
    </row>
    <row r="92">
      <c r="A92" t="inlineStr">
        <is>
          <t>issues of the lands and tenements in the lord's hands through the pestilence</t>
        </is>
      </c>
      <c r="B92" t="inlineStr">
        <is>
          <t>5 shilling 8pence from 1 messuage and 1 half-virgate of land formerly of alexander wilteshire, let to walter randolf until.</t>
        </is>
      </c>
      <c r="C92" t="n">
        <v>0.28</v>
      </c>
      <c r="D92" t="n">
        <v>0</v>
      </c>
      <c r="E92" t="n">
        <v>5</v>
      </c>
      <c r="F92" t="n">
        <v>8</v>
      </c>
      <c r="H92" t="n">
        <v>0</v>
      </c>
      <c r="I92" t="n">
        <v>0</v>
      </c>
      <c r="J92" t="n">
        <v>0</v>
      </c>
      <c r="K92" t="n">
        <v>0</v>
      </c>
      <c r="L92" t="n">
        <v>0</v>
      </c>
      <c r="M92" t="n">
        <v>0</v>
      </c>
      <c r="N92" t="n">
        <v>0</v>
      </c>
    </row>
    <row r="93">
      <c r="A93" t="inlineStr">
        <is>
          <t>issues of the lands and tenements in the lord's hands through the pestilence</t>
        </is>
      </c>
      <c r="B93" t="inlineStr">
        <is>
          <t>total, £2 17 shilling 9pence.</t>
        </is>
      </c>
      <c r="C93" t="n">
        <v>2.89</v>
      </c>
      <c r="D93" t="n">
        <v>2</v>
      </c>
      <c r="E93" t="n">
        <v>17</v>
      </c>
      <c r="F93" t="n">
        <v>9</v>
      </c>
      <c r="H93" t="n">
        <v>0</v>
      </c>
      <c r="I93" t="n">
        <v>0</v>
      </c>
      <c r="J93" t="n">
        <v>0</v>
      </c>
      <c r="K93" t="n">
        <v>0</v>
      </c>
      <c r="L93" t="n">
        <v>0</v>
      </c>
      <c r="M93" t="n">
        <v>0</v>
      </c>
      <c r="N93" t="n">
        <v>0</v>
      </c>
    </row>
    <row r="94">
      <c r="A94" t="inlineStr">
        <is>
          <t>sale of stock</t>
        </is>
      </c>
      <c r="B94" t="inlineStr">
        <is>
          <t>and for 6 shilling 8pence from 1 cow from the heriot of william baynton' sold.</t>
        </is>
      </c>
      <c r="C94" t="n">
        <v>0.33</v>
      </c>
      <c r="D94" t="n">
        <v>0</v>
      </c>
      <c r="E94" t="n">
        <v>6</v>
      </c>
      <c r="F94" t="n">
        <v>8</v>
      </c>
      <c r="H94" t="n">
        <v>0</v>
      </c>
      <c r="I94" t="n">
        <v>0</v>
      </c>
      <c r="J94" t="n">
        <v>0</v>
      </c>
      <c r="K94" t="n">
        <v>0</v>
      </c>
      <c r="L94" t="n">
        <v>0</v>
      </c>
      <c r="M94" t="n">
        <v>0</v>
      </c>
      <c r="N94" t="n">
        <v>0</v>
      </c>
    </row>
    <row r="95">
      <c r="A95" t="inlineStr">
        <is>
          <t>sale of stock</t>
        </is>
      </c>
      <c r="B95" t="inlineStr">
        <is>
          <t>£1 11 shilling 8pence from 19 kebb wethers sold before shearing, at 1 shilling 8pence each, and sold so dearly this year on account of the dearness and scarcity of sheep in the vale of the white horse.</t>
        </is>
      </c>
      <c r="C95" t="n">
        <v>1.58</v>
      </c>
      <c r="D95" t="n">
        <v>1</v>
      </c>
      <c r="E95" t="n">
        <v>11</v>
      </c>
      <c r="F95" t="n">
        <v>8</v>
      </c>
      <c r="H95" t="n">
        <v>0</v>
      </c>
      <c r="I95" t="n">
        <v>0</v>
      </c>
      <c r="J95" t="n">
        <v>0</v>
      </c>
      <c r="K95" t="n">
        <v>0</v>
      </c>
      <c r="L95" t="n">
        <v>0</v>
      </c>
      <c r="M95" t="n">
        <v>0</v>
      </c>
      <c r="N95" t="n">
        <v>0</v>
      </c>
    </row>
    <row r="96">
      <c r="A96" t="inlineStr">
        <is>
          <t>sale of stock</t>
        </is>
      </c>
      <c r="B96" t="inlineStr">
        <is>
          <t>1 shilling from one kebb ewe from the heriot of richard norman sold before shearing by the steward.</t>
        </is>
      </c>
      <c r="C96" t="n">
        <v>0.05</v>
      </c>
      <c r="D96" t="n">
        <v>0</v>
      </c>
      <c r="E96" t="n">
        <v>1</v>
      </c>
      <c r="F96" t="n">
        <v>0</v>
      </c>
      <c r="H96" t="n">
        <v>0</v>
      </c>
      <c r="I96" t="n">
        <v>0</v>
      </c>
      <c r="J96" t="n">
        <v>0</v>
      </c>
      <c r="K96" t="n">
        <v>0</v>
      </c>
      <c r="L96" t="n">
        <v>0</v>
      </c>
      <c r="M96" t="n">
        <v>0</v>
      </c>
      <c r="N96" t="n">
        <v>0</v>
      </c>
    </row>
    <row r="97">
      <c r="A97" t="inlineStr">
        <is>
          <t>sale of stock</t>
        </is>
      </c>
      <c r="B97" t="inlineStr">
        <is>
          <t>19 shilling from 19 kebb ewes sold after shearing for fear of murrain, at 1 shilling each.</t>
        </is>
      </c>
      <c r="C97" t="n">
        <v>0.95</v>
      </c>
      <c r="D97" t="n">
        <v>0</v>
      </c>
      <c r="E97" t="n">
        <v>19</v>
      </c>
      <c r="F97" t="n">
        <v>0</v>
      </c>
      <c r="H97" t="n">
        <v>0</v>
      </c>
      <c r="I97" t="n">
        <v>0</v>
      </c>
      <c r="J97" t="n">
        <v>0</v>
      </c>
      <c r="K97" t="n">
        <v>0</v>
      </c>
      <c r="L97" t="n">
        <v>0</v>
      </c>
      <c r="M97" t="n">
        <v>0</v>
      </c>
      <c r="N97" t="n">
        <v>0</v>
      </c>
    </row>
    <row r="98">
      <c r="A98" t="inlineStr">
        <is>
          <t>sale of stock</t>
        </is>
      </c>
      <c r="B98" t="inlineStr">
        <is>
          <t>£8 19 shilling 10pence from 166 lambs sold to the reeve of ecchinswell before shearing, at 1 shilling 1 pence each.</t>
        </is>
      </c>
      <c r="C98" t="n">
        <v>8.99</v>
      </c>
      <c r="D98" t="n">
        <v>8</v>
      </c>
      <c r="E98" t="n">
        <v>19</v>
      </c>
      <c r="F98" t="n">
        <v>10</v>
      </c>
      <c r="H98" t="n">
        <v>0</v>
      </c>
      <c r="I98" t="n">
        <v>0</v>
      </c>
      <c r="J98" t="n">
        <v>0</v>
      </c>
      <c r="K98" t="n">
        <v>0</v>
      </c>
      <c r="L98" t="n">
        <v>0</v>
      </c>
      <c r="M98" t="n">
        <v>0</v>
      </c>
      <c r="N98" t="n">
        <v>0</v>
      </c>
    </row>
    <row r="99">
      <c r="A99" t="inlineStr">
        <is>
          <t>sale of stock</t>
        </is>
      </c>
      <c r="B99" t="inlineStr">
        <is>
          <t>6pence from 1 lamb removed and sold before shearing because unfit for the stock as made clear elsewhere.</t>
        </is>
      </c>
      <c r="C99" t="n">
        <v>0.03</v>
      </c>
      <c r="D99" t="n">
        <v>0</v>
      </c>
      <c r="E99" t="n">
        <v>0</v>
      </c>
      <c r="F99" t="n">
        <v>6</v>
      </c>
      <c r="H99" t="n">
        <v>0</v>
      </c>
      <c r="I99" t="n">
        <v>0</v>
      </c>
      <c r="J99" t="n">
        <v>0</v>
      </c>
      <c r="K99" t="n">
        <v>0</v>
      </c>
      <c r="L99" t="n">
        <v>0</v>
      </c>
      <c r="M99" t="n">
        <v>0</v>
      </c>
      <c r="N99" t="n">
        <v>0</v>
      </c>
    </row>
    <row r="100">
      <c r="A100" t="inlineStr">
        <is>
          <t>sale of stock</t>
        </is>
      </c>
      <c r="B100" t="inlineStr">
        <is>
          <t>total, £11 18 shilling 8pence.</t>
        </is>
      </c>
      <c r="C100" t="n">
        <v>11.93</v>
      </c>
      <c r="D100" t="n">
        <v>11</v>
      </c>
      <c r="E100" t="n">
        <v>18</v>
      </c>
      <c r="F100" t="n">
        <v>8</v>
      </c>
      <c r="H100" t="n">
        <v>0</v>
      </c>
      <c r="I100" t="n">
        <v>0</v>
      </c>
      <c r="J100" t="n">
        <v>0</v>
      </c>
      <c r="K100" t="n">
        <v>0</v>
      </c>
      <c r="L100" t="n">
        <v>0</v>
      </c>
      <c r="M100" t="n">
        <v>0</v>
      </c>
      <c r="N100" t="n">
        <v>0</v>
      </c>
    </row>
    <row r="101">
      <c r="A101" t="inlineStr">
        <is>
          <t>entry and marriage fines</t>
        </is>
      </c>
      <c r="B101" t="inlineStr">
        <is>
          <t>and for £1 6 shilling 8pence from tithingpenny at the tourns of martinmas and hockday.</t>
        </is>
      </c>
      <c r="C101" t="n">
        <v>1.33</v>
      </c>
      <c r="D101" t="n">
        <v>1</v>
      </c>
      <c r="E101" t="n">
        <v>6</v>
      </c>
      <c r="F101" t="n">
        <v>8</v>
      </c>
      <c r="H101" t="n">
        <v>0</v>
      </c>
      <c r="I101" t="n">
        <v>0</v>
      </c>
      <c r="J101" t="n">
        <v>0</v>
      </c>
      <c r="K101" t="n">
        <v>0</v>
      </c>
      <c r="L101" t="n">
        <v>0</v>
      </c>
      <c r="M101" t="n">
        <v>0</v>
      </c>
      <c r="N101" t="n">
        <v>0</v>
      </c>
    </row>
    <row r="102">
      <c r="A102" t="inlineStr">
        <is>
          <t>entry and marriage fines</t>
        </is>
      </c>
      <c r="B102" t="inlineStr">
        <is>
          <t>1 shilling from henry tegulyne to have 3 acres of purpresture called le colemersshe in the tithing of burghclere which belonged to stephen mody and which came into the lord's hands as his escheat because noone of the kin of the said stephen took steps to fine for the same although a proclamation was made according to the custom of the manor.</t>
        </is>
      </c>
      <c r="C102" t="n">
        <v>0.05</v>
      </c>
      <c r="D102" t="n">
        <v>0</v>
      </c>
      <c r="E102" t="n">
        <v>1</v>
      </c>
      <c r="F102" t="n">
        <v>0</v>
      </c>
      <c r="H102" t="n">
        <v>0</v>
      </c>
      <c r="I102" t="n">
        <v>0</v>
      </c>
      <c r="J102" t="n">
        <v>0</v>
      </c>
      <c r="K102" t="n">
        <v>0</v>
      </c>
      <c r="L102" t="n">
        <v>0</v>
      </c>
      <c r="M102" t="n">
        <v>0</v>
      </c>
      <c r="N102" t="n">
        <v>0</v>
      </c>
    </row>
    <row r="103">
      <c r="A103" t="inlineStr">
        <is>
          <t>entry and marriage fines</t>
        </is>
      </c>
      <c r="B103" t="inlineStr">
        <is>
          <t>2 shilling from john seuar' the younger of earlstone to have 1 cottage, 10.5 acres, 1 rood and a third part of one rood of purpresture called ipres in the tithing of burghclere by surrender of john cokene.</t>
        </is>
      </c>
      <c r="C103" t="n">
        <v>0.1</v>
      </c>
      <c r="D103" t="n">
        <v>0</v>
      </c>
      <c r="E103" t="n">
        <v>2</v>
      </c>
      <c r="F103" t="n">
        <v>0</v>
      </c>
      <c r="H103" t="n">
        <v>0</v>
      </c>
      <c r="I103" t="n">
        <v>0</v>
      </c>
      <c r="J103" t="n">
        <v>0</v>
      </c>
      <c r="K103" t="n">
        <v>0</v>
      </c>
      <c r="L103" t="n">
        <v>0</v>
      </c>
      <c r="M103" t="n">
        <v>0</v>
      </c>
      <c r="N103" t="n">
        <v>0</v>
      </c>
    </row>
    <row r="104">
      <c r="A104" t="inlineStr">
        <is>
          <t>entry and marriage fines</t>
        </is>
      </c>
      <c r="B104" t="inlineStr">
        <is>
          <t>1 shilling 4pence from john goion' to have 3 small pightles (pudell') called hechecroftes, containing 2 acres and 1 rood of purpresture in the tithing of burghclere, by surrender of john caffyng'.</t>
        </is>
      </c>
      <c r="C104" t="n">
        <v>0.07000000000000001</v>
      </c>
      <c r="D104" t="n">
        <v>0</v>
      </c>
      <c r="E104" t="n">
        <v>1</v>
      </c>
      <c r="F104" t="n">
        <v>4</v>
      </c>
      <c r="H104" t="n">
        <v>0</v>
      </c>
      <c r="I104" t="n">
        <v>0</v>
      </c>
      <c r="J104" t="n">
        <v>0</v>
      </c>
      <c r="K104" t="n">
        <v>0</v>
      </c>
      <c r="L104" t="n">
        <v>0</v>
      </c>
      <c r="M104" t="n">
        <v>0</v>
      </c>
      <c r="N104" t="n">
        <v>0</v>
      </c>
    </row>
    <row r="105">
      <c r="A105" t="inlineStr">
        <is>
          <t>entry and marriage fines</t>
        </is>
      </c>
      <c r="B105" t="inlineStr">
        <is>
          <t>6 shilling 8pence from john goion' to have 1 messuage and 16.5 acres 1 rood of purpresture in north burghclere which belonged to john wylot smyth' and which came into the lord's hands as his escheat because the said john smyth' forfeited it for laying waste and destroying the same.</t>
        </is>
      </c>
      <c r="C105" t="n">
        <v>0.33</v>
      </c>
      <c r="D105" t="n">
        <v>0</v>
      </c>
      <c r="E105" t="n">
        <v>6</v>
      </c>
      <c r="F105" t="n">
        <v>8</v>
      </c>
      <c r="H105" t="n">
        <v>0</v>
      </c>
      <c r="I105" t="n">
        <v>0</v>
      </c>
      <c r="J105" t="n">
        <v>0</v>
      </c>
      <c r="K105" t="n">
        <v>0</v>
      </c>
      <c r="L105" t="n">
        <v>0</v>
      </c>
      <c r="M105" t="n">
        <v>0</v>
      </c>
      <c r="N105" t="n">
        <v>0</v>
      </c>
    </row>
    <row r="106">
      <c r="A106" t="inlineStr">
        <is>
          <t>entry and marriage fines</t>
        </is>
      </c>
      <c r="B106" t="inlineStr">
        <is>
          <t>6 shilling 8pence from john atte noke because he has not fully repaired nor rebuilt anew 1 cotland of villein land in adbury which was destroyed by fire in the first year of the present lord 0405), as he agreed with the steward under penalty of £5 at the tourn of hockday in the fifth year (1409).</t>
        </is>
      </c>
      <c r="C106" t="n">
        <v>5</v>
      </c>
      <c r="D106" t="n">
        <v>5</v>
      </c>
      <c r="E106" t="n">
        <v>0</v>
      </c>
      <c r="F106" t="n">
        <v>0</v>
      </c>
      <c r="H106" t="n">
        <v>0</v>
      </c>
      <c r="I106" t="n">
        <v>0</v>
      </c>
      <c r="J106" t="n">
        <v>0</v>
      </c>
      <c r="K106" t="n">
        <v>0</v>
      </c>
      <c r="L106" t="n">
        <v>0</v>
      </c>
      <c r="M106" t="n">
        <v>0</v>
      </c>
      <c r="N106" t="n">
        <v>0</v>
      </c>
    </row>
    <row r="107">
      <c r="A107" t="inlineStr">
        <is>
          <t>entry and marriage fines</t>
        </is>
      </c>
      <c r="B107" t="inlineStr">
        <is>
          <t>1 shilling from john smyth' of whitway to have 1 messuage and .5 virgate of villein land and 12 acres of purpresture in north burghclere by surrender of richard norman, on condition that he builds within two years.</t>
        </is>
      </c>
      <c r="C107" t="n">
        <v>0.05</v>
      </c>
      <c r="D107" t="n">
        <v>0</v>
      </c>
      <c r="E107" t="n">
        <v>1</v>
      </c>
      <c r="F107" t="n">
        <v>0</v>
      </c>
      <c r="H107" t="n">
        <v>0</v>
      </c>
      <c r="I107" t="n">
        <v>0</v>
      </c>
      <c r="J107" t="n">
        <v>0</v>
      </c>
      <c r="K107" t="n">
        <v>0</v>
      </c>
      <c r="L107" t="n">
        <v>0</v>
      </c>
      <c r="M107" t="n">
        <v>0</v>
      </c>
      <c r="N107" t="n">
        <v>0</v>
      </c>
    </row>
    <row r="108">
      <c r="A108" t="inlineStr">
        <is>
          <t>entry and marriage fines</t>
        </is>
      </c>
      <c r="B108" t="inlineStr">
        <is>
          <t>6pence from john smyth' of whitway to have a piece of the lord's waste, 40 feet long and 30 feet wide, in the high street there, for building 1 forge on the same, paying therefor an increment of rent of 1 pence a year.</t>
        </is>
      </c>
      <c r="C108" t="n">
        <v>0.03</v>
      </c>
      <c r="D108" t="n">
        <v>0</v>
      </c>
      <c r="E108" t="n">
        <v>0</v>
      </c>
      <c r="F108" t="n">
        <v>6</v>
      </c>
      <c r="H108" t="n">
        <v>0</v>
      </c>
      <c r="I108" t="n">
        <v>0</v>
      </c>
      <c r="J108" t="n">
        <v>0</v>
      </c>
      <c r="K108" t="n">
        <v>0</v>
      </c>
      <c r="L108" t="n">
        <v>0</v>
      </c>
      <c r="M108" t="n">
        <v>0</v>
      </c>
      <c r="N108" t="n">
        <v>0</v>
      </c>
    </row>
    <row r="109">
      <c r="A109" t="inlineStr">
        <is>
          <t>entry and marriage fines</t>
        </is>
      </c>
      <c r="B109" t="inlineStr">
        <is>
          <t>3 shilling 4pence from christine cokene for marrying herself outside.</t>
        </is>
      </c>
      <c r="C109" t="n">
        <v>0.17</v>
      </c>
      <c r="D109" t="n">
        <v>0</v>
      </c>
      <c r="E109" t="n">
        <v>3</v>
      </c>
      <c r="F109" t="n">
        <v>4</v>
      </c>
      <c r="H109" t="n">
        <v>0</v>
      </c>
      <c r="I109" t="n">
        <v>0</v>
      </c>
      <c r="J109" t="n">
        <v>0</v>
      </c>
      <c r="K109" t="n">
        <v>0</v>
      </c>
      <c r="L109" t="n">
        <v>0</v>
      </c>
      <c r="M109" t="n">
        <v>0</v>
      </c>
      <c r="N109" t="n">
        <v>0</v>
      </c>
    </row>
    <row r="110">
      <c r="A110" t="inlineStr">
        <is>
          <t>entry and marriage fines</t>
        </is>
      </c>
      <c r="B110" t="inlineStr">
        <is>
          <t>3 shilling 4pence from matilda purchill' for marrying herself outside.</t>
        </is>
      </c>
      <c r="C110" t="n">
        <v>0.17</v>
      </c>
      <c r="D110" t="n">
        <v>0</v>
      </c>
      <c r="E110" t="n">
        <v>3</v>
      </c>
      <c r="F110" t="n">
        <v>4</v>
      </c>
      <c r="H110" t="n">
        <v>0</v>
      </c>
      <c r="I110" t="n">
        <v>0</v>
      </c>
      <c r="J110" t="n">
        <v>0</v>
      </c>
      <c r="K110" t="n">
        <v>0</v>
      </c>
      <c r="L110" t="n">
        <v>0</v>
      </c>
      <c r="M110" t="n">
        <v>0</v>
      </c>
      <c r="N110" t="n">
        <v>0</v>
      </c>
    </row>
    <row r="111">
      <c r="A111" t="inlineStr">
        <is>
          <t>entry and marriage fines</t>
        </is>
      </c>
      <c r="B111" t="inlineStr">
        <is>
          <t>total, £2 12 shilling 6pence.</t>
        </is>
      </c>
      <c r="C111" t="n">
        <v>2.62</v>
      </c>
      <c r="D111" t="n">
        <v>2</v>
      </c>
      <c r="E111" t="n">
        <v>12</v>
      </c>
      <c r="F111" t="n">
        <v>6</v>
      </c>
      <c r="H111" t="n">
        <v>0</v>
      </c>
      <c r="I111" t="n">
        <v>0</v>
      </c>
      <c r="J111" t="n">
        <v>0</v>
      </c>
      <c r="K111" t="n">
        <v>0</v>
      </c>
      <c r="L111" t="n">
        <v>0</v>
      </c>
      <c r="M111" t="n">
        <v>0</v>
      </c>
      <c r="N111" t="n">
        <v>0</v>
      </c>
    </row>
    <row r="112">
      <c r="A112" t="inlineStr">
        <is>
          <t>perquisites of court</t>
        </is>
      </c>
      <c r="B112" t="inlineStr">
        <is>
          <t>and for 2 shilling 6pence from the perquisites of the tourn of martinmas (11 november).</t>
        </is>
      </c>
      <c r="C112" t="n">
        <v>0.12</v>
      </c>
      <c r="D112" t="n">
        <v>0</v>
      </c>
      <c r="E112" t="n">
        <v>2</v>
      </c>
      <c r="F112" t="n">
        <v>6</v>
      </c>
      <c r="H112" t="n">
        <v>0</v>
      </c>
      <c r="I112" t="n">
        <v>0</v>
      </c>
      <c r="J112" t="n">
        <v>0</v>
      </c>
      <c r="K112" t="n">
        <v>0</v>
      </c>
      <c r="L112" t="n">
        <v>0</v>
      </c>
      <c r="M112" t="n">
        <v>0</v>
      </c>
      <c r="N112" t="n">
        <v>0</v>
      </c>
    </row>
    <row r="113">
      <c r="A113" t="inlineStr">
        <is>
          <t>perquisites of court</t>
        </is>
      </c>
      <c r="B113" t="inlineStr">
        <is>
          <t>2 shilling 10pence from the perquisites of the courts held between the two toums.</t>
        </is>
      </c>
      <c r="C113" t="n">
        <v>0.14</v>
      </c>
      <c r="D113" t="n">
        <v>0</v>
      </c>
      <c r="E113" t="n">
        <v>2</v>
      </c>
      <c r="F113" t="n">
        <v>10</v>
      </c>
      <c r="H113" t="n">
        <v>0</v>
      </c>
      <c r="I113" t="n">
        <v>0</v>
      </c>
      <c r="J113" t="n">
        <v>0</v>
      </c>
      <c r="K113" t="n">
        <v>0</v>
      </c>
      <c r="L113" t="n">
        <v>0</v>
      </c>
      <c r="M113" t="n">
        <v>0</v>
      </c>
      <c r="N113" t="n">
        <v>0</v>
      </c>
    </row>
    <row r="114">
      <c r="A114" t="inlineStr">
        <is>
          <t>perquisites of court</t>
        </is>
      </c>
      <c r="B114" t="inlineStr">
        <is>
          <t>1 shilling from the perquisites of the tourn of hockday (1 april).</t>
        </is>
      </c>
      <c r="C114" t="n">
        <v>0.05</v>
      </c>
      <c r="D114" t="n">
        <v>0</v>
      </c>
      <c r="E114" t="n">
        <v>1</v>
      </c>
      <c r="F114" t="n">
        <v>0</v>
      </c>
      <c r="H114" t="n">
        <v>0</v>
      </c>
      <c r="I114" t="n">
        <v>0</v>
      </c>
      <c r="J114" t="n">
        <v>0</v>
      </c>
      <c r="K114" t="n">
        <v>0</v>
      </c>
      <c r="L114" t="n">
        <v>0</v>
      </c>
      <c r="M114" t="n">
        <v>0</v>
      </c>
      <c r="N114" t="n">
        <v>0</v>
      </c>
    </row>
    <row r="115">
      <c r="A115" t="inlineStr">
        <is>
          <t>perquisites of court</t>
        </is>
      </c>
      <c r="B115" t="inlineStr">
        <is>
          <t>3 shilling from the perquisites of the courts held after the said tourn.</t>
        </is>
      </c>
      <c r="C115" t="n">
        <v>0.15</v>
      </c>
      <c r="D115" t="n">
        <v>0</v>
      </c>
      <c r="E115" t="n">
        <v>3</v>
      </c>
      <c r="F115" t="n">
        <v>0</v>
      </c>
      <c r="H115" t="n">
        <v>0</v>
      </c>
      <c r="I115" t="n">
        <v>0</v>
      </c>
      <c r="J115" t="n">
        <v>0</v>
      </c>
      <c r="K115" t="n">
        <v>0</v>
      </c>
      <c r="L115" t="n">
        <v>0</v>
      </c>
      <c r="M115" t="n">
        <v>0</v>
      </c>
      <c r="N115" t="n">
        <v>0</v>
      </c>
    </row>
    <row r="116">
      <c r="A116" t="inlineStr">
        <is>
          <t>perquisites of court</t>
        </is>
      </c>
      <c r="B116" t="inlineStr">
        <is>
          <t>total, 9 shilling 4pence.</t>
        </is>
      </c>
      <c r="C116" t="n">
        <v>0.47</v>
      </c>
      <c r="D116" t="n">
        <v>0</v>
      </c>
      <c r="E116" t="n">
        <v>9</v>
      </c>
      <c r="F116" t="n">
        <v>4</v>
      </c>
      <c r="H116" t="n">
        <v>0</v>
      </c>
      <c r="I116" t="n">
        <v>0</v>
      </c>
      <c r="J116" t="n">
        <v>0</v>
      </c>
      <c r="K116" t="n">
        <v>0</v>
      </c>
      <c r="L116" t="n">
        <v>0</v>
      </c>
      <c r="M116" t="n">
        <v>0</v>
      </c>
      <c r="N116" t="n">
        <v>0</v>
      </c>
    </row>
    <row r="117">
      <c r="A117" t="inlineStr">
        <is>
          <t>farm</t>
        </is>
      </c>
      <c r="B117" t="inlineStr">
        <is>
          <t>and for £18 for the farm of the demesne lands, let to john seuare and richard le new for 7 years, this year being the fourth, to be paid in equal portions at the 4 principal terms.</t>
        </is>
      </c>
      <c r="C117" t="n">
        <v>18</v>
      </c>
      <c r="D117" t="n">
        <v>18</v>
      </c>
      <c r="E117" t="n">
        <v>0</v>
      </c>
      <c r="F117" t="n">
        <v>0</v>
      </c>
      <c r="H117" t="n">
        <v>0</v>
      </c>
      <c r="I117" t="n">
        <v>0</v>
      </c>
      <c r="J117" t="n">
        <v>0</v>
      </c>
      <c r="K117" t="n">
        <v>0</v>
      </c>
      <c r="L117" t="n">
        <v>0</v>
      </c>
      <c r="M117" t="n">
        <v>0</v>
      </c>
      <c r="N117" t="n">
        <v>0</v>
      </c>
    </row>
    <row r="118">
      <c r="A118" t="inlineStr">
        <is>
          <t>farm</t>
        </is>
      </c>
      <c r="B118" t="inlineStr">
        <is>
          <t>total, £18..</t>
        </is>
      </c>
      <c r="C118" t="n">
        <v>18</v>
      </c>
      <c r="D118" t="n">
        <v>18</v>
      </c>
      <c r="E118" t="n">
        <v>0</v>
      </c>
      <c r="F118" t="n">
        <v>0</v>
      </c>
      <c r="H118" t="n">
        <v>0</v>
      </c>
      <c r="I118" t="n">
        <v>0</v>
      </c>
      <c r="J118" t="n">
        <v>0</v>
      </c>
      <c r="K118" t="n">
        <v>0</v>
      </c>
      <c r="L118" t="n">
        <v>0</v>
      </c>
      <c r="M118" t="n">
        <v>0</v>
      </c>
      <c r="N118" t="n">
        <v>0</v>
      </c>
    </row>
    <row r="119">
      <c r="A119" t="inlineStr">
        <is>
          <t>total of all receipts with arrears</t>
        </is>
      </c>
      <c r="B119" t="inlineStr">
        <is>
          <t>total of all receipts with arrears, £96 16 shilling 5pence.</t>
        </is>
      </c>
      <c r="C119" t="n">
        <v>96.81999999999999</v>
      </c>
      <c r="D119" t="n">
        <v>96</v>
      </c>
      <c r="E119" t="n">
        <v>16</v>
      </c>
      <c r="F119" t="n">
        <v>5</v>
      </c>
      <c r="H119" t="n">
        <v>0</v>
      </c>
      <c r="I119" t="n">
        <v>0</v>
      </c>
      <c r="J119" t="n">
        <v>0</v>
      </c>
      <c r="K119" t="n">
        <v>0</v>
      </c>
      <c r="L119" t="n">
        <v>0</v>
      </c>
      <c r="M119" t="n">
        <v>0</v>
      </c>
      <c r="N119" t="n">
        <v>0</v>
      </c>
    </row>
    <row r="120">
      <c r="A120" t="inlineStr">
        <is>
          <t>cost of ploughs</t>
        </is>
      </c>
      <c r="B120" t="inlineStr">
        <is>
          <t>nothing for the costs of ploughs and carts because they pertain to the farmers.</t>
        </is>
      </c>
      <c r="C120" t="n">
        <v>0</v>
      </c>
      <c r="D120" t="n">
        <v>0</v>
      </c>
      <c r="E120" t="n">
        <v>0</v>
      </c>
      <c r="F120" t="n">
        <v>0</v>
      </c>
      <c r="H120" t="n">
        <v>0</v>
      </c>
      <c r="I120" t="n">
        <v>0</v>
      </c>
      <c r="J120" t="n">
        <v>0</v>
      </c>
      <c r="K120" t="n">
        <v>0</v>
      </c>
      <c r="L120" t="n">
        <v>0</v>
      </c>
      <c r="M120" t="n">
        <v>0</v>
      </c>
      <c r="N120" t="n">
        <v>0</v>
      </c>
    </row>
    <row r="121">
      <c r="A121" t="inlineStr">
        <is>
          <t>purchase of stock</t>
        </is>
      </c>
      <c r="B121" t="inlineStr">
        <is>
          <t>in 196 hoggs bought from the reeve of ecchinswell before shearing £16 6 shilling 8pence, at 1 shilling 8pence each.</t>
        </is>
      </c>
      <c r="C121" t="n">
        <v>16.33</v>
      </c>
      <c r="D121" t="n">
        <v>16</v>
      </c>
      <c r="E121" t="n">
        <v>6</v>
      </c>
      <c r="F121" t="n">
        <v>8</v>
      </c>
      <c r="H121" t="n">
        <v>0</v>
      </c>
      <c r="I121" t="n">
        <v>0</v>
      </c>
      <c r="J121" t="n">
        <v>0</v>
      </c>
      <c r="K121" t="n">
        <v>0</v>
      </c>
      <c r="L121" t="n">
        <v>0</v>
      </c>
      <c r="M121" t="n">
        <v>0</v>
      </c>
      <c r="N121" t="n">
        <v>0</v>
      </c>
    </row>
    <row r="122">
      <c r="A122" t="inlineStr">
        <is>
          <t>purchase of stock</t>
        </is>
      </c>
      <c r="B122" t="inlineStr">
        <is>
          <t>total, £16 6 shilling 8pence.</t>
        </is>
      </c>
      <c r="C122" t="n">
        <v>16.33</v>
      </c>
      <c r="D122" t="n">
        <v>16</v>
      </c>
      <c r="E122" t="n">
        <v>6</v>
      </c>
      <c r="F122" t="n">
        <v>8</v>
      </c>
      <c r="H122" t="n">
        <v>0</v>
      </c>
      <c r="I122" t="n">
        <v>0</v>
      </c>
      <c r="J122" t="n">
        <v>0</v>
      </c>
      <c r="K122" t="n">
        <v>0</v>
      </c>
      <c r="L122" t="n">
        <v>0</v>
      </c>
      <c r="M122" t="n">
        <v>0</v>
      </c>
      <c r="N122" t="n">
        <v>0</v>
      </c>
    </row>
    <row r="123">
      <c r="A123" t="inlineStr">
        <is>
          <t>cost of the sheepcote</t>
        </is>
      </c>
      <c r="B123" t="inlineStr">
        <is>
          <t>in tar bought for greasing the lord's sheep 5 shilling.</t>
        </is>
      </c>
      <c r="C123" t="n">
        <v>0.25</v>
      </c>
      <c r="D123" t="n">
        <v>0</v>
      </c>
      <c r="E123" t="n">
        <v>5</v>
      </c>
      <c r="F123" t="n">
        <v>0</v>
      </c>
      <c r="H123" t="n">
        <v>0</v>
      </c>
      <c r="I123" t="n">
        <v>0</v>
      </c>
      <c r="J123" t="n">
        <v>0</v>
      </c>
      <c r="K123" t="n">
        <v>0</v>
      </c>
      <c r="L123" t="n">
        <v>0</v>
      </c>
      <c r="M123" t="n">
        <v>0</v>
      </c>
      <c r="N123" t="n">
        <v>0</v>
      </c>
    </row>
    <row r="124">
      <c r="A124" t="inlineStr">
        <is>
          <t>cost of the sheepcote</t>
        </is>
      </c>
      <c r="B124" t="inlineStr">
        <is>
          <t>grease bought for the same 6 shilling 8pence.</t>
        </is>
      </c>
      <c r="C124" t="n">
        <v>0.33</v>
      </c>
      <c r="D124" t="n">
        <v>0</v>
      </c>
      <c r="E124" t="n">
        <v>6</v>
      </c>
      <c r="F124" t="n">
        <v>8</v>
      </c>
      <c r="H124" t="n">
        <v>0</v>
      </c>
      <c r="I124" t="n">
        <v>0</v>
      </c>
      <c r="J124" t="n">
        <v>0</v>
      </c>
      <c r="K124" t="n">
        <v>0</v>
      </c>
      <c r="L124" t="n">
        <v>0</v>
      </c>
      <c r="M124" t="n">
        <v>0</v>
      </c>
      <c r="N124" t="n">
        <v>0</v>
      </c>
    </row>
    <row r="125">
      <c r="A125" t="inlineStr">
        <is>
          <t>cost of the sheepcote</t>
        </is>
      </c>
      <c r="B125" t="inlineStr">
        <is>
          <t>red ochre bought 1 shilling.</t>
        </is>
      </c>
      <c r="C125" t="n">
        <v>0.05</v>
      </c>
      <c r="D125" t="n">
        <v>0</v>
      </c>
      <c r="E125" t="n">
        <v>1</v>
      </c>
      <c r="F125" t="n">
        <v>0</v>
      </c>
      <c r="H125" t="n">
        <v>0</v>
      </c>
      <c r="I125" t="n">
        <v>0</v>
      </c>
      <c r="J125" t="n">
        <v>0</v>
      </c>
      <c r="K125" t="n">
        <v>0</v>
      </c>
      <c r="L125" t="n">
        <v>0</v>
      </c>
      <c r="M125" t="n">
        <v>0</v>
      </c>
      <c r="N125" t="n">
        <v>0</v>
      </c>
    </row>
    <row r="126">
      <c r="A126" t="inlineStr">
        <is>
          <t>cost of the sheepcote</t>
        </is>
      </c>
      <c r="B126" t="inlineStr">
        <is>
          <t>50 hurdles made from the lord's withies 4 shilling 2pence.</t>
        </is>
      </c>
      <c r="C126" t="n">
        <v>0.21</v>
      </c>
      <c r="D126" t="n">
        <v>0</v>
      </c>
      <c r="E126" t="n">
        <v>4</v>
      </c>
      <c r="F126" t="n">
        <v>2</v>
      </c>
      <c r="H126" t="n">
        <v>0</v>
      </c>
      <c r="I126" t="n">
        <v>0</v>
      </c>
      <c r="J126" t="n">
        <v>0</v>
      </c>
      <c r="K126" t="n">
        <v>0</v>
      </c>
      <c r="L126" t="n">
        <v>0</v>
      </c>
      <c r="M126" t="n">
        <v>0</v>
      </c>
      <c r="N126" t="n">
        <v>0</v>
      </c>
    </row>
    <row r="127">
      <c r="A127" t="inlineStr">
        <is>
          <t>cost of the sheepcote</t>
        </is>
      </c>
      <c r="B127" t="inlineStr">
        <is>
          <t>collecting stubble for wattling the fold this year 1 shilling 2pence.</t>
        </is>
      </c>
      <c r="C127" t="n">
        <v>0.06</v>
      </c>
      <c r="D127" t="n">
        <v>0</v>
      </c>
      <c r="E127" t="n">
        <v>1</v>
      </c>
      <c r="F127" t="n">
        <v>2</v>
      </c>
      <c r="H127" t="n">
        <v>0</v>
      </c>
      <c r="I127" t="n">
        <v>0</v>
      </c>
      <c r="J127" t="n">
        <v>0</v>
      </c>
      <c r="K127" t="n">
        <v>0</v>
      </c>
      <c r="L127" t="n">
        <v>0</v>
      </c>
      <c r="M127" t="n">
        <v>0</v>
      </c>
      <c r="N127" t="n">
        <v>0</v>
      </c>
    </row>
    <row r="128">
      <c r="A128" t="inlineStr">
        <is>
          <t>cost of the sheepcote</t>
        </is>
      </c>
      <c r="B128" t="inlineStr">
        <is>
          <t>collecting withies for the same 4pence.</t>
        </is>
      </c>
      <c r="C128" t="n">
        <v>0.02</v>
      </c>
      <c r="D128" t="n">
        <v>0</v>
      </c>
      <c r="E128" t="n">
        <v>0</v>
      </c>
      <c r="F128" t="n">
        <v>4</v>
      </c>
      <c r="H128" t="n">
        <v>0</v>
      </c>
      <c r="I128" t="n">
        <v>0</v>
      </c>
      <c r="J128" t="n">
        <v>0</v>
      </c>
      <c r="K128" t="n">
        <v>0</v>
      </c>
      <c r="L128" t="n">
        <v>0</v>
      </c>
      <c r="M128" t="n">
        <v>0</v>
      </c>
      <c r="N128" t="n">
        <v>0</v>
      </c>
    </row>
    <row r="129">
      <c r="A129" t="inlineStr">
        <is>
          <t>cost of the sheepcote</t>
        </is>
      </c>
      <c r="B129" t="inlineStr">
        <is>
          <t>mending and strengthening the cratches and fodder-racks 6pence.</t>
        </is>
      </c>
      <c r="C129" t="n">
        <v>0.03</v>
      </c>
      <c r="D129" t="n">
        <v>0</v>
      </c>
      <c r="E129" t="n">
        <v>0</v>
      </c>
      <c r="F129" t="n">
        <v>6</v>
      </c>
      <c r="H129" t="n">
        <v>0</v>
      </c>
      <c r="I129" t="n">
        <v>0</v>
      </c>
      <c r="J129" t="n">
        <v>0</v>
      </c>
      <c r="K129" t="n">
        <v>0</v>
      </c>
      <c r="L129" t="n">
        <v>0</v>
      </c>
      <c r="M129" t="n">
        <v>0</v>
      </c>
      <c r="N129" t="n">
        <v>0</v>
      </c>
    </row>
    <row r="130">
      <c r="A130" t="inlineStr">
        <is>
          <t>cost of the sheepcote</t>
        </is>
      </c>
      <c r="B130" t="inlineStr">
        <is>
          <t>hiring 1 thatcher to roof the sheepcote for 7 days 2 shilling 4pence, taking 4pence a day.</t>
        </is>
      </c>
      <c r="C130" t="n">
        <v>0.12</v>
      </c>
      <c r="D130" t="n">
        <v>0</v>
      </c>
      <c r="E130" t="n">
        <v>2</v>
      </c>
      <c r="F130" t="n">
        <v>4</v>
      </c>
      <c r="H130" t="n">
        <v>0</v>
      </c>
      <c r="I130" t="n">
        <v>0</v>
      </c>
      <c r="J130" t="n">
        <v>0</v>
      </c>
      <c r="K130" t="n">
        <v>0</v>
      </c>
      <c r="L130" t="n">
        <v>0</v>
      </c>
      <c r="M130" t="n">
        <v>0</v>
      </c>
      <c r="N130" t="n">
        <v>0</v>
      </c>
    </row>
    <row r="131">
      <c r="A131" t="inlineStr">
        <is>
          <t>cost of the sheepcote</t>
        </is>
      </c>
      <c r="B131" t="inlineStr">
        <is>
          <t>2 of his mates for the same time 2 shilling 11pence, taking between them 5pence a day.</t>
        </is>
      </c>
      <c r="C131" t="n">
        <v>0.15</v>
      </c>
      <c r="D131" t="n">
        <v>0</v>
      </c>
      <c r="E131" t="n">
        <v>2</v>
      </c>
      <c r="F131" t="n">
        <v>11</v>
      </c>
      <c r="H131" t="n">
        <v>0</v>
      </c>
      <c r="I131" t="n">
        <v>0</v>
      </c>
      <c r="J131" t="n">
        <v>0</v>
      </c>
      <c r="K131" t="n">
        <v>0</v>
      </c>
      <c r="L131" t="n">
        <v>0</v>
      </c>
      <c r="M131" t="n">
        <v>0</v>
      </c>
      <c r="N131" t="n">
        <v>0</v>
      </c>
    </row>
    <row r="132">
      <c r="A132" t="inlineStr">
        <is>
          <t>cost of the sheepcote</t>
        </is>
      </c>
      <c r="B132" t="inlineStr">
        <is>
          <t>4 cart-loads of straw bought for the same 4 shilling.</t>
        </is>
      </c>
      <c r="C132" t="n">
        <v>0.2</v>
      </c>
      <c r="D132" t="n">
        <v>0</v>
      </c>
      <c r="E132" t="n">
        <v>4</v>
      </c>
      <c r="F132" t="n">
        <v>0</v>
      </c>
      <c r="H132" t="n">
        <v>0</v>
      </c>
      <c r="I132" t="n">
        <v>0</v>
      </c>
      <c r="J132" t="n">
        <v>0</v>
      </c>
      <c r="K132" t="n">
        <v>0</v>
      </c>
      <c r="L132" t="n">
        <v>0</v>
      </c>
      <c r="M132" t="n">
        <v>0</v>
      </c>
      <c r="N132" t="n">
        <v>0</v>
      </c>
    </row>
    <row r="133">
      <c r="A133" t="inlineStr">
        <is>
          <t>cost of the sheepcote</t>
        </is>
      </c>
      <c r="B133" t="inlineStr">
        <is>
          <t>carrying the said straw to the sheepcote 1 shilling given to the shepherds for the price of 1 bushels of wheat as a reward made to them by the steward for their assiduous labour 1 shilling 3pence.</t>
        </is>
      </c>
      <c r="C133" t="n">
        <v>0.06</v>
      </c>
      <c r="D133" t="n">
        <v>0</v>
      </c>
      <c r="E133" t="n">
        <v>1</v>
      </c>
      <c r="F133" t="n">
        <v>3</v>
      </c>
      <c r="G133" t="inlineStr">
        <is>
          <t>wheat</t>
        </is>
      </c>
      <c r="H133" t="n">
        <v>0</v>
      </c>
      <c r="I133" t="n">
        <v>1</v>
      </c>
      <c r="J133" t="n">
        <v>0.12</v>
      </c>
      <c r="K133" t="n">
        <v>0.12</v>
      </c>
      <c r="L133" t="n">
        <v>0</v>
      </c>
      <c r="M133" t="n">
        <v>0</v>
      </c>
      <c r="N133" t="n">
        <v>1</v>
      </c>
    </row>
    <row r="134">
      <c r="A134" t="inlineStr">
        <is>
          <t>cost of the sheepcote</t>
        </is>
      </c>
      <c r="B134" t="inlineStr">
        <is>
          <t>total, £1 10 shilling 4pence.</t>
        </is>
      </c>
      <c r="C134" t="n">
        <v>1.52</v>
      </c>
      <c r="D134" t="n">
        <v>1</v>
      </c>
      <c r="E134" t="n">
        <v>10</v>
      </c>
      <c r="F134" t="n">
        <v>4</v>
      </c>
      <c r="H134" t="n">
        <v>0</v>
      </c>
      <c r="I134" t="n">
        <v>0</v>
      </c>
      <c r="J134" t="n">
        <v>0</v>
      </c>
      <c r="K134" t="n">
        <v>0</v>
      </c>
      <c r="L134" t="n">
        <v>0</v>
      </c>
      <c r="M134" t="n">
        <v>0</v>
      </c>
      <c r="N134" t="n">
        <v>0</v>
      </c>
    </row>
    <row r="135">
      <c r="A135" t="inlineStr">
        <is>
          <t>wages</t>
        </is>
      </c>
      <c r="B135" t="inlineStr">
        <is>
          <t>in wages of william fauconer, bailiff, in part payment of his wages, £2 10 shilling, and he takes the rest elsewhere.</t>
        </is>
      </c>
      <c r="C135" t="n">
        <v>2.5</v>
      </c>
      <c r="D135" t="n">
        <v>2</v>
      </c>
      <c r="E135" t="n">
        <v>10</v>
      </c>
      <c r="F135" t="n">
        <v>0</v>
      </c>
      <c r="H135" t="n">
        <v>0</v>
      </c>
      <c r="I135" t="n">
        <v>0</v>
      </c>
      <c r="J135" t="n">
        <v>0</v>
      </c>
      <c r="K135" t="n">
        <v>0</v>
      </c>
      <c r="L135" t="n">
        <v>0</v>
      </c>
      <c r="M135" t="n">
        <v>0</v>
      </c>
      <c r="N135" t="n">
        <v>0</v>
      </c>
    </row>
    <row r="136">
      <c r="A136" t="inlineStr">
        <is>
          <t>wages</t>
        </is>
      </c>
      <c r="B136" t="inlineStr">
        <is>
          <t>total, £2 10 shilling.</t>
        </is>
      </c>
      <c r="C136" t="n">
        <v>2.5</v>
      </c>
      <c r="D136" t="n">
        <v>2</v>
      </c>
      <c r="E136" t="n">
        <v>10</v>
      </c>
      <c r="F136" t="n">
        <v>0</v>
      </c>
      <c r="H136" t="n">
        <v>0</v>
      </c>
      <c r="I136" t="n">
        <v>0</v>
      </c>
      <c r="J136" t="n">
        <v>0</v>
      </c>
      <c r="K136" t="n">
        <v>0</v>
      </c>
      <c r="L136" t="n">
        <v>0</v>
      </c>
      <c r="M136" t="n">
        <v>0</v>
      </c>
      <c r="N136" t="n">
        <v>0</v>
      </c>
    </row>
    <row r="137">
      <c r="A137" t="inlineStr">
        <is>
          <t>necessary expenses</t>
        </is>
      </c>
      <c r="B137" t="inlineStr">
        <is>
          <t>in carrying the wool of this manor to wolvesey this year 1 shilling 8pence.</t>
        </is>
      </c>
      <c r="C137" t="n">
        <v>0.08</v>
      </c>
      <c r="D137" t="n">
        <v>0</v>
      </c>
      <c r="E137" t="n">
        <v>1</v>
      </c>
      <c r="F137" t="n">
        <v>8</v>
      </c>
      <c r="H137" t="n">
        <v>0</v>
      </c>
      <c r="I137" t="n">
        <v>0</v>
      </c>
      <c r="J137" t="n">
        <v>0</v>
      </c>
      <c r="K137" t="n">
        <v>0</v>
      </c>
      <c r="L137" t="n">
        <v>0</v>
      </c>
      <c r="M137" t="n">
        <v>0</v>
      </c>
      <c r="N137" t="n">
        <v>0</v>
      </c>
    </row>
    <row r="138">
      <c r="A138" t="inlineStr">
        <is>
          <t>necessary expenses</t>
        </is>
      </c>
      <c r="B138" t="inlineStr">
        <is>
          <t>making well 48 female hoggs 1 shilling 4pence, at 1pence for each 3..</t>
        </is>
      </c>
      <c r="C138" t="n">
        <v>0.07000000000000001</v>
      </c>
      <c r="D138" t="n">
        <v>0</v>
      </c>
      <c r="E138" t="n">
        <v>1</v>
      </c>
      <c r="F138" t="n">
        <v>4</v>
      </c>
      <c r="H138" t="n">
        <v>0</v>
      </c>
      <c r="I138" t="n">
        <v>0</v>
      </c>
      <c r="J138" t="n">
        <v>0</v>
      </c>
      <c r="K138" t="n">
        <v>0</v>
      </c>
      <c r="L138" t="n">
        <v>0</v>
      </c>
      <c r="M138" t="n">
        <v>0</v>
      </c>
      <c r="N138" t="n">
        <v>0</v>
      </c>
    </row>
    <row r="139">
      <c r="A139" t="inlineStr">
        <is>
          <t>necessary expenses</t>
        </is>
      </c>
      <c r="B139" t="inlineStr">
        <is>
          <t>total, 3 shilling.</t>
        </is>
      </c>
      <c r="C139" t="n">
        <v>0.15</v>
      </c>
      <c r="D139" t="n">
        <v>0</v>
      </c>
      <c r="E139" t="n">
        <v>3</v>
      </c>
      <c r="F139" t="n">
        <v>0</v>
      </c>
      <c r="H139" t="n">
        <v>0</v>
      </c>
      <c r="I139" t="n">
        <v>0</v>
      </c>
      <c r="J139" t="n">
        <v>0</v>
      </c>
      <c r="K139" t="n">
        <v>0</v>
      </c>
      <c r="L139" t="n">
        <v>0</v>
      </c>
      <c r="M139" t="n">
        <v>0</v>
      </c>
      <c r="N139" t="n">
        <v>0</v>
      </c>
    </row>
    <row r="140">
      <c r="A140" t="inlineStr">
        <is>
          <t>total of all expenses</t>
        </is>
      </c>
      <c r="B140" t="inlineStr">
        <is>
          <t>total of all expenses, £20 10 shilling.</t>
        </is>
      </c>
      <c r="C140" t="n">
        <v>20.5</v>
      </c>
      <c r="D140" t="n">
        <v>20</v>
      </c>
      <c r="E140" t="n">
        <v>10</v>
      </c>
      <c r="F140" t="n">
        <v>0</v>
      </c>
      <c r="H140" t="n">
        <v>0</v>
      </c>
      <c r="I140" t="n">
        <v>0</v>
      </c>
      <c r="J140" t="n">
        <v>0</v>
      </c>
      <c r="K140" t="n">
        <v>0</v>
      </c>
      <c r="L140" t="n">
        <v>0</v>
      </c>
      <c r="M140" t="n">
        <v>0</v>
      </c>
      <c r="N140" t="n">
        <v>0</v>
      </c>
    </row>
    <row r="141">
      <c r="A141" t="inlineStr">
        <is>
          <t>and he owes</t>
        </is>
      </c>
      <c r="B141" t="inlineStr">
        <is>
          <t>and he owes, £76 6 shilling 5pence.</t>
        </is>
      </c>
      <c r="C141" t="n">
        <v>76.31999999999999</v>
      </c>
      <c r="D141" t="n">
        <v>76</v>
      </c>
      <c r="E141" t="n">
        <v>6</v>
      </c>
      <c r="F141" t="n">
        <v>5</v>
      </c>
      <c r="H141" t="n">
        <v>0</v>
      </c>
      <c r="I141" t="n">
        <v>0</v>
      </c>
      <c r="J141" t="n">
        <v>0</v>
      </c>
      <c r="K141" t="n">
        <v>0</v>
      </c>
      <c r="L141" t="n">
        <v>0</v>
      </c>
      <c r="M141" t="n">
        <v>0</v>
      </c>
      <c r="N141" t="n">
        <v>0</v>
      </c>
    </row>
    <row r="142">
      <c r="A142" t="inlineStr">
        <is>
          <t>allowances without writ</t>
        </is>
      </c>
      <c r="B142" t="inlineStr">
        <is>
          <t>in allowance to the same for 16 shilling for various surcharges and disallowances made.</t>
        </is>
      </c>
      <c r="C142" t="n">
        <v>0.8</v>
      </c>
      <c r="D142" t="n">
        <v>0</v>
      </c>
      <c r="E142" t="n">
        <v>16</v>
      </c>
      <c r="F142" t="n">
        <v>0</v>
      </c>
      <c r="H142" t="n">
        <v>0</v>
      </c>
      <c r="I142" t="n">
        <v>0</v>
      </c>
      <c r="J142" t="n">
        <v>0</v>
      </c>
      <c r="K142" t="n">
        <v>0</v>
      </c>
      <c r="L142" t="n">
        <v>0</v>
      </c>
      <c r="M142" t="n">
        <v>0</v>
      </c>
      <c r="N142" t="n">
        <v>0</v>
      </c>
    </row>
    <row r="143">
      <c r="A143" t="inlineStr">
        <is>
          <t>allowances without writ</t>
        </is>
      </c>
      <c r="B143" t="inlineStr">
        <is>
          <t>against him in the present account.</t>
        </is>
      </c>
      <c r="C143" t="n">
        <v>0</v>
      </c>
      <c r="D143" t="n">
        <v>0</v>
      </c>
      <c r="E143" t="n">
        <v>0</v>
      </c>
      <c r="F143" t="n">
        <v>0</v>
      </c>
      <c r="H143" t="n">
        <v>0</v>
      </c>
      <c r="I143" t="n">
        <v>0</v>
      </c>
      <c r="J143" t="n">
        <v>0</v>
      </c>
      <c r="K143" t="n">
        <v>0</v>
      </c>
      <c r="L143" t="n">
        <v>0</v>
      </c>
      <c r="M143" t="n">
        <v>0</v>
      </c>
      <c r="N143" t="n">
        <v>0</v>
      </c>
    </row>
    <row r="144">
      <c r="A144" t="inlineStr">
        <is>
          <t>allowances without writ</t>
        </is>
      </c>
      <c r="B144" t="inlineStr">
        <is>
          <t>total, 16 shilling.</t>
        </is>
      </c>
      <c r="C144" t="n">
        <v>0.8</v>
      </c>
      <c r="D144" t="n">
        <v>0</v>
      </c>
      <c r="E144" t="n">
        <v>16</v>
      </c>
      <c r="F144" t="n">
        <v>0</v>
      </c>
      <c r="H144" t="n">
        <v>0</v>
      </c>
      <c r="I144" t="n">
        <v>0</v>
      </c>
      <c r="J144" t="n">
        <v>0</v>
      </c>
      <c r="K144" t="n">
        <v>0</v>
      </c>
      <c r="L144" t="n">
        <v>0</v>
      </c>
      <c r="M144" t="n">
        <v>0</v>
      </c>
      <c r="N144" t="n">
        <v>0</v>
      </c>
    </row>
    <row r="145">
      <c r="A145" t="inlineStr">
        <is>
          <t>allowances by writ</t>
        </is>
      </c>
      <c r="B145" t="inlineStr">
        <is>
          <t>in allowance to the same for 8 shilling 6pence delivered to john reede, treasurer of the lord's household, as the price of 51 ens for the provision of the said household, just as is 'made clear by the evidence of t hhe same john.</t>
        </is>
      </c>
      <c r="C145" t="n">
        <v>0.43</v>
      </c>
      <c r="D145" t="n">
        <v>0</v>
      </c>
      <c r="E145" t="n">
        <v>8</v>
      </c>
      <c r="F145" t="n">
        <v>6</v>
      </c>
      <c r="H145" t="n">
        <v>0</v>
      </c>
      <c r="I145" t="n">
        <v>0</v>
      </c>
      <c r="J145" t="n">
        <v>0</v>
      </c>
      <c r="K145" t="n">
        <v>0</v>
      </c>
      <c r="L145" t="n">
        <v>0</v>
      </c>
      <c r="M145" t="n">
        <v>0</v>
      </c>
      <c r="N145" t="n">
        <v>0</v>
      </c>
    </row>
    <row r="146">
      <c r="A146" t="inlineStr">
        <is>
          <t>allowances by writ</t>
        </is>
      </c>
      <c r="B146" t="inlineStr">
        <is>
          <t>total, 8 shilling 6pence.</t>
        </is>
      </c>
      <c r="C146" t="n">
        <v>0.43</v>
      </c>
      <c r="D146" t="n">
        <v>0</v>
      </c>
      <c r="E146" t="n">
        <v>8</v>
      </c>
      <c r="F146" t="n">
        <v>6</v>
      </c>
      <c r="H146" t="n">
        <v>0</v>
      </c>
      <c r="I146" t="n">
        <v>0</v>
      </c>
      <c r="J146" t="n">
        <v>0</v>
      </c>
      <c r="K146" t="n">
        <v>0</v>
      </c>
      <c r="L146" t="n">
        <v>0</v>
      </c>
      <c r="M146" t="n">
        <v>0</v>
      </c>
      <c r="N146" t="n">
        <v>0</v>
      </c>
    </row>
    <row r="147">
      <c r="A147" t="inlineStr">
        <is>
          <t>cash deliveries</t>
        </is>
      </c>
      <c r="B147" t="inlineStr">
        <is>
          <t>delivered to john arnald', receiver of wolvesey, by 2 tallies, £39 4 shilling 6pence.</t>
        </is>
      </c>
      <c r="C147" t="n">
        <v>39.23</v>
      </c>
      <c r="D147" t="n">
        <v>39</v>
      </c>
      <c r="E147" t="n">
        <v>4</v>
      </c>
      <c r="F147" t="n">
        <v>6</v>
      </c>
      <c r="H147" t="n">
        <v>0</v>
      </c>
      <c r="I147" t="n">
        <v>0</v>
      </c>
      <c r="J147" t="n">
        <v>0</v>
      </c>
      <c r="K147" t="n">
        <v>0</v>
      </c>
      <c r="L147" t="n">
        <v>0</v>
      </c>
      <c r="M147" t="n">
        <v>0</v>
      </c>
      <c r="N147" t="n">
        <v>0</v>
      </c>
    </row>
    <row r="148">
      <c r="A148" t="inlineStr">
        <is>
          <t>cash deliveries</t>
        </is>
      </c>
      <c r="B148" t="inlineStr">
        <is>
          <t>total, £39 4 shilling 6pence.</t>
        </is>
      </c>
      <c r="C148" t="n">
        <v>39.23</v>
      </c>
      <c r="D148" t="n">
        <v>39</v>
      </c>
      <c r="E148" t="n">
        <v>4</v>
      </c>
      <c r="F148" t="n">
        <v>6</v>
      </c>
      <c r="H148" t="n">
        <v>0</v>
      </c>
      <c r="I148" t="n">
        <v>0</v>
      </c>
      <c r="J148" t="n">
        <v>0</v>
      </c>
      <c r="K148" t="n">
        <v>0</v>
      </c>
      <c r="L148" t="n">
        <v>0</v>
      </c>
      <c r="M148" t="n">
        <v>0</v>
      </c>
      <c r="N148" t="n">
        <v>0</v>
      </c>
    </row>
    <row r="149">
      <c r="A149" t="inlineStr">
        <is>
          <t>total of all allowances and cash deliveries</t>
        </is>
      </c>
      <c r="B149" t="inlineStr">
        <is>
          <t>total of all allowances and cash deliveries, £40 9 shilling.</t>
        </is>
      </c>
      <c r="C149" t="n">
        <v>40.45</v>
      </c>
      <c r="D149" t="n">
        <v>40</v>
      </c>
      <c r="E149" t="n">
        <v>9</v>
      </c>
      <c r="F149" t="n">
        <v>0</v>
      </c>
      <c r="H149" t="n">
        <v>0</v>
      </c>
      <c r="I149" t="n">
        <v>0</v>
      </c>
      <c r="J149" t="n">
        <v>0</v>
      </c>
      <c r="K149" t="n">
        <v>0</v>
      </c>
      <c r="L149" t="n">
        <v>0</v>
      </c>
      <c r="M149" t="n">
        <v>0</v>
      </c>
      <c r="N149" t="n">
        <v>0</v>
      </c>
    </row>
    <row r="150">
      <c r="A150" t="inlineStr">
        <is>
          <t>and he owes clear</t>
        </is>
      </c>
      <c r="B150" t="inlineStr">
        <is>
          <t>and he owes clear, £35 17 shilling 5pence.</t>
        </is>
      </c>
      <c r="C150" t="n">
        <v>35.87</v>
      </c>
      <c r="D150" t="n">
        <v>35</v>
      </c>
      <c r="E150" t="n">
        <v>17</v>
      </c>
      <c r="F150" t="n">
        <v>5</v>
      </c>
      <c r="H150" t="n">
        <v>0</v>
      </c>
      <c r="I150" t="n">
        <v>0</v>
      </c>
      <c r="J150" t="n">
        <v>0</v>
      </c>
      <c r="K150" t="n">
        <v>0</v>
      </c>
      <c r="L150" t="n">
        <v>0</v>
      </c>
      <c r="M150" t="n">
        <v>0</v>
      </c>
      <c r="N150" t="n">
        <v>0</v>
      </c>
    </row>
    <row r="151">
      <c r="A151" t="inlineStr">
        <is>
          <t>and he owes clear</t>
        </is>
      </c>
      <c r="B151" t="inlineStr">
        <is>
          <t>afterwards the same was allowed £20 to pay percival soudan for a certain annuity granted to him by the lord's letter of warranty which is dated 4 november of the twelfth year of the reign of king henry (1410), by quittance of the recipient.</t>
        </is>
      </c>
      <c r="C151" t="n">
        <v>20</v>
      </c>
      <c r="D151" t="n">
        <v>20</v>
      </c>
      <c r="E151" t="n">
        <v>0</v>
      </c>
      <c r="F151" t="n">
        <v>0</v>
      </c>
      <c r="H151" t="n">
        <v>0</v>
      </c>
      <c r="I151" t="n">
        <v>0</v>
      </c>
      <c r="J151" t="n">
        <v>0</v>
      </c>
      <c r="K151" t="n">
        <v>0</v>
      </c>
      <c r="L151" t="n">
        <v>0</v>
      </c>
      <c r="M151" t="n">
        <v>0</v>
      </c>
      <c r="N151" t="n">
        <v>0</v>
      </c>
    </row>
    <row r="152">
      <c r="A152" t="inlineStr">
        <is>
          <t>and he owes clear</t>
        </is>
      </c>
      <c r="B152" t="inlineStr">
        <is>
          <t>total, £20..</t>
        </is>
      </c>
      <c r="C152" t="n">
        <v>20</v>
      </c>
      <c r="D152" t="n">
        <v>20</v>
      </c>
      <c r="E152" t="n">
        <v>0</v>
      </c>
      <c r="F152" t="n">
        <v>0</v>
      </c>
      <c r="H152" t="n">
        <v>0</v>
      </c>
      <c r="I152" t="n">
        <v>0</v>
      </c>
      <c r="J152" t="n">
        <v>0</v>
      </c>
      <c r="K152" t="n">
        <v>0</v>
      </c>
      <c r="L152" t="n">
        <v>0</v>
      </c>
      <c r="M152" t="n">
        <v>0</v>
      </c>
      <c r="N152" t="n">
        <v>0</v>
      </c>
    </row>
    <row r="153">
      <c r="A153" t="inlineStr">
        <is>
          <t>and thus he owes</t>
        </is>
      </c>
      <c r="B153" t="inlineStr">
        <is>
          <t>and thus he owes, £15 17 shilling 5pence, of which £1 11pence is in the hands of the escheator.</t>
        </is>
      </c>
      <c r="C153" t="n">
        <v>15.87</v>
      </c>
      <c r="D153" t="n">
        <v>15</v>
      </c>
      <c r="E153" t="n">
        <v>17</v>
      </c>
      <c r="F153" t="n">
        <v>5</v>
      </c>
      <c r="H153" t="n">
        <v>0</v>
      </c>
      <c r="I153" t="n">
        <v>0</v>
      </c>
      <c r="J153" t="n">
        <v>0</v>
      </c>
      <c r="K153" t="n">
        <v>0</v>
      </c>
      <c r="L153" t="n">
        <v>0</v>
      </c>
      <c r="M153" t="n">
        <v>0</v>
      </c>
      <c r="N153" t="n">
        <v>0</v>
      </c>
    </row>
    <row r="154">
      <c r="A154" t="inlineStr">
        <is>
          <t>wheat</t>
        </is>
      </c>
      <c r="B154" t="inlineStr">
        <is>
          <t>john seuare and richard le newe, farmers there, answer for 22 quarters of wheat remaining.</t>
        </is>
      </c>
      <c r="C154" t="n">
        <v>0</v>
      </c>
      <c r="D154" t="n">
        <v>0</v>
      </c>
      <c r="E154" t="n">
        <v>0</v>
      </c>
      <c r="F154" t="n">
        <v>0</v>
      </c>
      <c r="G154" t="inlineStr">
        <is>
          <t>wheat</t>
        </is>
      </c>
      <c r="H154" t="n">
        <v>22</v>
      </c>
      <c r="I154" t="n">
        <v>0</v>
      </c>
      <c r="J154" t="n">
        <v>22</v>
      </c>
      <c r="K154" t="n">
        <v>22</v>
      </c>
      <c r="L154" t="n">
        <v>0</v>
      </c>
      <c r="M154" t="n">
        <v>22</v>
      </c>
      <c r="N154" t="n">
        <v>0</v>
      </c>
    </row>
    <row r="155">
      <c r="A155" t="inlineStr">
        <is>
          <t>wheat</t>
        </is>
      </c>
      <c r="B155" t="inlineStr">
        <is>
          <t>total, 22 quarters..</t>
        </is>
      </c>
      <c r="C155" t="n">
        <v>0</v>
      </c>
      <c r="D155" t="n">
        <v>0</v>
      </c>
      <c r="E155" t="n">
        <v>0</v>
      </c>
      <c r="F155" t="n">
        <v>0</v>
      </c>
      <c r="H155" t="n">
        <v>22</v>
      </c>
      <c r="I155" t="n">
        <v>0</v>
      </c>
      <c r="J155" t="n">
        <v>22</v>
      </c>
      <c r="K155" t="n">
        <v>22</v>
      </c>
      <c r="L155" t="n">
        <v>0</v>
      </c>
      <c r="M155" t="n">
        <v>22</v>
      </c>
      <c r="N155" t="n">
        <v>0</v>
      </c>
    </row>
    <row r="156">
      <c r="A156" t="inlineStr">
        <is>
          <t>wheat</t>
        </is>
      </c>
      <c r="B156" t="inlineStr">
        <is>
          <t>22 quarters remain, worth 4 shilling a quarters, in the hands of the aforesaid farmers, to be handed back and restored at the end of their term of 7 years, this year being the fourth, or the value of the same at the lord's will.</t>
        </is>
      </c>
      <c r="C156" t="n">
        <v>0.2</v>
      </c>
      <c r="D156" t="n">
        <v>0</v>
      </c>
      <c r="E156" t="n">
        <v>4</v>
      </c>
      <c r="F156" t="n">
        <v>0</v>
      </c>
      <c r="H156" t="n">
        <v>22</v>
      </c>
      <c r="I156" t="n">
        <v>0</v>
      </c>
      <c r="J156" t="n">
        <v>22</v>
      </c>
      <c r="K156" t="n">
        <v>22</v>
      </c>
      <c r="L156" t="n">
        <v>0</v>
      </c>
      <c r="M156" t="n">
        <v>22</v>
      </c>
      <c r="N156" t="n">
        <v>0</v>
      </c>
      <c r="Q156" t="n">
        <v>4</v>
      </c>
      <c r="R156" t="n">
        <v>0</v>
      </c>
    </row>
    <row r="157">
      <c r="A157" t="inlineStr">
        <is>
          <t>beremancorn</t>
        </is>
      </c>
      <c r="B157" t="inlineStr">
        <is>
          <t>and for 4 quarters 4 bushels of beremancorn remaining..</t>
        </is>
      </c>
      <c r="C157" t="n">
        <v>0</v>
      </c>
      <c r="D157" t="n">
        <v>0</v>
      </c>
      <c r="E157" t="n">
        <v>0</v>
      </c>
      <c r="F157" t="n">
        <v>0</v>
      </c>
      <c r="G157" t="inlineStr">
        <is>
          <t>mancorn</t>
        </is>
      </c>
      <c r="H157" t="n">
        <v>4</v>
      </c>
      <c r="I157" t="n">
        <v>4</v>
      </c>
      <c r="J157" t="n">
        <v>4.5</v>
      </c>
      <c r="K157" t="n">
        <v>4.5</v>
      </c>
      <c r="L157" t="n">
        <v>0</v>
      </c>
      <c r="M157" t="n">
        <v>4</v>
      </c>
      <c r="N157" t="n">
        <v>4</v>
      </c>
    </row>
    <row r="158">
      <c r="A158" t="inlineStr">
        <is>
          <t>beremancorn</t>
        </is>
      </c>
      <c r="B158" t="inlineStr">
        <is>
          <t>total, 4 quarters 4 bushels.</t>
        </is>
      </c>
      <c r="C158" t="n">
        <v>0</v>
      </c>
      <c r="D158" t="n">
        <v>0</v>
      </c>
      <c r="E158" t="n">
        <v>0</v>
      </c>
      <c r="F158" t="n">
        <v>0</v>
      </c>
      <c r="H158" t="n">
        <v>4</v>
      </c>
      <c r="I158" t="n">
        <v>4</v>
      </c>
      <c r="J158" t="n">
        <v>4.5</v>
      </c>
      <c r="K158" t="n">
        <v>4.5</v>
      </c>
      <c r="L158" t="n">
        <v>0</v>
      </c>
      <c r="M158" t="n">
        <v>4</v>
      </c>
      <c r="N158" t="n">
        <v>4</v>
      </c>
    </row>
    <row r="159">
      <c r="A159" t="inlineStr">
        <is>
          <t>beremancorn</t>
        </is>
      </c>
      <c r="B159" t="inlineStr">
        <is>
          <t>4 quarters 4 bushels remain, worth 3 shilling a quarters, in the hands of the aforesaid farmers, to be handed back and restored at the end of the abovesaid term as before.</t>
        </is>
      </c>
      <c r="C159" t="n">
        <v>0.15</v>
      </c>
      <c r="D159" t="n">
        <v>0</v>
      </c>
      <c r="E159" t="n">
        <v>3</v>
      </c>
      <c r="F159" t="n">
        <v>0</v>
      </c>
      <c r="H159" t="n">
        <v>4</v>
      </c>
      <c r="I159" t="n">
        <v>4</v>
      </c>
      <c r="J159" t="n">
        <v>4.5</v>
      </c>
      <c r="K159" t="n">
        <v>4.5</v>
      </c>
      <c r="L159" t="n">
        <v>0</v>
      </c>
      <c r="M159" t="n">
        <v>4</v>
      </c>
      <c r="N159" t="n">
        <v>4</v>
      </c>
      <c r="Q159" t="n">
        <v>3</v>
      </c>
      <c r="R159" t="n">
        <v>0</v>
      </c>
    </row>
    <row r="160">
      <c r="A160" t="inlineStr">
        <is>
          <t>barley</t>
        </is>
      </c>
      <c r="B160" t="inlineStr">
        <is>
          <t>and for 16 quarters of barley remaining..</t>
        </is>
      </c>
      <c r="C160" t="n">
        <v>0</v>
      </c>
      <c r="D160" t="n">
        <v>0</v>
      </c>
      <c r="E160" t="n">
        <v>0</v>
      </c>
      <c r="F160" t="n">
        <v>0</v>
      </c>
      <c r="G160" t="inlineStr">
        <is>
          <t>barley</t>
        </is>
      </c>
      <c r="H160" t="n">
        <v>16</v>
      </c>
      <c r="I160" t="n">
        <v>0</v>
      </c>
      <c r="J160" t="n">
        <v>16</v>
      </c>
      <c r="K160" t="n">
        <v>16</v>
      </c>
      <c r="L160" t="n">
        <v>0</v>
      </c>
      <c r="M160" t="n">
        <v>16</v>
      </c>
      <c r="N160" t="n">
        <v>0</v>
      </c>
    </row>
    <row r="161">
      <c r="A161" t="inlineStr">
        <is>
          <t>barley</t>
        </is>
      </c>
      <c r="B161" t="inlineStr">
        <is>
          <t>total, 16 quarters..</t>
        </is>
      </c>
      <c r="C161" t="n">
        <v>0</v>
      </c>
      <c r="D161" t="n">
        <v>0</v>
      </c>
      <c r="E161" t="n">
        <v>0</v>
      </c>
      <c r="F161" t="n">
        <v>0</v>
      </c>
      <c r="H161" t="n">
        <v>16</v>
      </c>
      <c r="I161" t="n">
        <v>0</v>
      </c>
      <c r="J161" t="n">
        <v>16</v>
      </c>
      <c r="K161" t="n">
        <v>16</v>
      </c>
      <c r="L161" t="n">
        <v>0</v>
      </c>
      <c r="M161" t="n">
        <v>16</v>
      </c>
      <c r="N161" t="n">
        <v>0</v>
      </c>
    </row>
    <row r="162">
      <c r="A162" t="inlineStr">
        <is>
          <t>barley</t>
        </is>
      </c>
      <c r="B162" t="inlineStr">
        <is>
          <t>16 quarters remain, worth 3 shilling a quarters, in the hands of the aforesaid farmers, to be handed back and restored as before.</t>
        </is>
      </c>
      <c r="C162" t="n">
        <v>0.15</v>
      </c>
      <c r="D162" t="n">
        <v>0</v>
      </c>
      <c r="E162" t="n">
        <v>3</v>
      </c>
      <c r="F162" t="n">
        <v>0</v>
      </c>
      <c r="H162" t="n">
        <v>16</v>
      </c>
      <c r="I162" t="n">
        <v>0</v>
      </c>
      <c r="J162" t="n">
        <v>16</v>
      </c>
      <c r="K162" t="n">
        <v>16</v>
      </c>
      <c r="L162" t="n">
        <v>0</v>
      </c>
      <c r="M162" t="n">
        <v>16</v>
      </c>
      <c r="N162" t="n">
        <v>0</v>
      </c>
      <c r="Q162" t="n">
        <v>3</v>
      </c>
      <c r="R162" t="n">
        <v>0</v>
      </c>
    </row>
    <row r="163">
      <c r="A163" t="inlineStr">
        <is>
          <t>pulses</t>
        </is>
      </c>
      <c r="B163" t="inlineStr">
        <is>
          <t>and for 6 bushels of pulses remaining..</t>
        </is>
      </c>
      <c r="C163" t="n">
        <v>0</v>
      </c>
      <c r="D163" t="n">
        <v>0</v>
      </c>
      <c r="E163" t="n">
        <v>0</v>
      </c>
      <c r="F163" t="n">
        <v>0</v>
      </c>
      <c r="H163" t="n">
        <v>0</v>
      </c>
      <c r="I163" t="n">
        <v>6</v>
      </c>
      <c r="J163" t="n">
        <v>0.75</v>
      </c>
      <c r="K163" t="n">
        <v>0.75</v>
      </c>
      <c r="L163" t="n">
        <v>0</v>
      </c>
      <c r="M163" t="n">
        <v>0</v>
      </c>
      <c r="N163" t="n">
        <v>6</v>
      </c>
    </row>
    <row r="164">
      <c r="A164" t="inlineStr">
        <is>
          <t>pulses</t>
        </is>
      </c>
      <c r="B164" t="inlineStr">
        <is>
          <t>total, 6 bushels.</t>
        </is>
      </c>
      <c r="C164" t="n">
        <v>0</v>
      </c>
      <c r="D164" t="n">
        <v>0</v>
      </c>
      <c r="E164" t="n">
        <v>0</v>
      </c>
      <c r="F164" t="n">
        <v>0</v>
      </c>
      <c r="H164" t="n">
        <v>0</v>
      </c>
      <c r="I164" t="n">
        <v>6</v>
      </c>
      <c r="J164" t="n">
        <v>0.75</v>
      </c>
      <c r="K164" t="n">
        <v>0.75</v>
      </c>
      <c r="L164" t="n">
        <v>0</v>
      </c>
      <c r="M164" t="n">
        <v>0</v>
      </c>
      <c r="N164" t="n">
        <v>6</v>
      </c>
    </row>
    <row r="165">
      <c r="A165" t="inlineStr">
        <is>
          <t>pulses</t>
        </is>
      </c>
      <c r="B165" t="inlineStr">
        <is>
          <t>6 bushels remain, worth 3 shilling, in the hands of the aforesaid farmers, to be handed back and restored as before.</t>
        </is>
      </c>
      <c r="C165" t="n">
        <v>0.15</v>
      </c>
      <c r="D165" t="n">
        <v>0</v>
      </c>
      <c r="E165" t="n">
        <v>3</v>
      </c>
      <c r="F165" t="n">
        <v>0</v>
      </c>
      <c r="H165" t="n">
        <v>0</v>
      </c>
      <c r="I165" t="n">
        <v>6</v>
      </c>
      <c r="J165" t="n">
        <v>0.75</v>
      </c>
      <c r="K165" t="n">
        <v>0.75</v>
      </c>
      <c r="L165" t="n">
        <v>0</v>
      </c>
      <c r="M165" t="n">
        <v>0</v>
      </c>
      <c r="N165" t="n">
        <v>6</v>
      </c>
    </row>
    <row r="166">
      <c r="A166" t="inlineStr">
        <is>
          <t>oats</t>
        </is>
      </c>
      <c r="B166" t="inlineStr">
        <is>
          <t>and for 40 quarters of oats remaining..</t>
        </is>
      </c>
      <c r="C166" t="n">
        <v>0</v>
      </c>
      <c r="D166" t="n">
        <v>0</v>
      </c>
      <c r="E166" t="n">
        <v>0</v>
      </c>
      <c r="F166" t="n">
        <v>0</v>
      </c>
      <c r="G166" t="inlineStr">
        <is>
          <t>oats</t>
        </is>
      </c>
      <c r="H166" t="n">
        <v>40</v>
      </c>
      <c r="I166" t="n">
        <v>0</v>
      </c>
      <c r="J166" t="n">
        <v>40</v>
      </c>
      <c r="K166" t="n">
        <v>40</v>
      </c>
      <c r="L166" t="n">
        <v>0</v>
      </c>
      <c r="M166" t="n">
        <v>40</v>
      </c>
      <c r="N166" t="n">
        <v>0</v>
      </c>
    </row>
    <row r="167">
      <c r="A167" t="inlineStr">
        <is>
          <t>oats</t>
        </is>
      </c>
      <c r="B167" t="inlineStr">
        <is>
          <t>total, 40 quarters..</t>
        </is>
      </c>
      <c r="C167" t="n">
        <v>0</v>
      </c>
      <c r="D167" t="n">
        <v>0</v>
      </c>
      <c r="E167" t="n">
        <v>0</v>
      </c>
      <c r="F167" t="n">
        <v>0</v>
      </c>
      <c r="H167" t="n">
        <v>40</v>
      </c>
      <c r="I167" t="n">
        <v>0</v>
      </c>
      <c r="J167" t="n">
        <v>40</v>
      </c>
      <c r="K167" t="n">
        <v>40</v>
      </c>
      <c r="L167" t="n">
        <v>0</v>
      </c>
      <c r="M167" t="n">
        <v>40</v>
      </c>
      <c r="N167" t="n">
        <v>0</v>
      </c>
    </row>
    <row r="168">
      <c r="A168" t="inlineStr">
        <is>
          <t>oats</t>
        </is>
      </c>
      <c r="B168" t="inlineStr">
        <is>
          <t>40 quarters remain, of which 7 quarters 7 bushels by estimation in sheaves are for the fodder of oxen, worth 2 shilling a quarters, in the hands of the aforesaid farmers, to be handed back and restored as before.</t>
        </is>
      </c>
      <c r="C168" t="n">
        <v>0.1</v>
      </c>
      <c r="D168" t="n">
        <v>0</v>
      </c>
      <c r="E168" t="n">
        <v>2</v>
      </c>
      <c r="F168" t="n">
        <v>0</v>
      </c>
      <c r="H168" t="n">
        <v>7</v>
      </c>
      <c r="I168" t="n">
        <v>7</v>
      </c>
      <c r="J168" t="n">
        <v>7.88</v>
      </c>
      <c r="K168" t="n">
        <v>40</v>
      </c>
      <c r="L168" t="n">
        <v>-32.12</v>
      </c>
      <c r="M168" t="n">
        <v>40</v>
      </c>
      <c r="N168" t="n">
        <v>0</v>
      </c>
      <c r="O168" t="n">
        <v>7</v>
      </c>
      <c r="P168" t="n">
        <v>7</v>
      </c>
      <c r="Q168" t="n">
        <v>2</v>
      </c>
      <c r="R168" t="n">
        <v>0</v>
      </c>
    </row>
    <row r="169">
      <c r="A169" t="inlineStr">
        <is>
          <t>fallow land</t>
        </is>
      </c>
      <c r="B169" t="inlineStr">
        <is>
          <t>and for 221 acres of fallow land remaining..</t>
        </is>
      </c>
      <c r="C169" t="n">
        <v>0</v>
      </c>
      <c r="D169" t="n">
        <v>0</v>
      </c>
      <c r="E169" t="n">
        <v>0</v>
      </c>
      <c r="F169" t="n">
        <v>0</v>
      </c>
      <c r="H169" t="n">
        <v>0</v>
      </c>
      <c r="I169" t="n">
        <v>0</v>
      </c>
      <c r="J169" t="n">
        <v>0</v>
      </c>
      <c r="K169" t="n">
        <v>0</v>
      </c>
      <c r="L169" t="n">
        <v>0</v>
      </c>
      <c r="M169" t="n">
        <v>0</v>
      </c>
      <c r="N169" t="n">
        <v>0</v>
      </c>
    </row>
    <row r="170">
      <c r="A170" t="inlineStr">
        <is>
          <t>fallow land</t>
        </is>
      </c>
      <c r="B170" t="inlineStr">
        <is>
          <t>total, 221 acres..</t>
        </is>
      </c>
      <c r="C170" t="n">
        <v>0</v>
      </c>
      <c r="D170" t="n">
        <v>0</v>
      </c>
      <c r="E170" t="n">
        <v>0</v>
      </c>
      <c r="F170" t="n">
        <v>0</v>
      </c>
      <c r="H170" t="n">
        <v>0</v>
      </c>
      <c r="I170" t="n">
        <v>0</v>
      </c>
      <c r="J170" t="n">
        <v>0</v>
      </c>
      <c r="K170" t="n">
        <v>0</v>
      </c>
      <c r="L170" t="n">
        <v>0</v>
      </c>
      <c r="M170" t="n">
        <v>0</v>
      </c>
      <c r="N170" t="n">
        <v>0</v>
      </c>
    </row>
    <row r="171">
      <c r="A171" t="inlineStr">
        <is>
          <t>fallow land</t>
        </is>
      </c>
      <c r="B171" t="inlineStr">
        <is>
          <t>221 acres remain, of which 70 are manured by folding, worth 41 pence an acre, in the hands of the said farmers, to be handed back and restored as before.</t>
        </is>
      </c>
      <c r="C171" t="n">
        <v>0.17</v>
      </c>
      <c r="D171" t="n">
        <v>0</v>
      </c>
      <c r="E171" t="n">
        <v>0</v>
      </c>
      <c r="F171" t="n">
        <v>41</v>
      </c>
      <c r="H171" t="n">
        <v>0</v>
      </c>
      <c r="I171" t="n">
        <v>0</v>
      </c>
      <c r="J171" t="n">
        <v>0</v>
      </c>
      <c r="K171" t="n">
        <v>0</v>
      </c>
      <c r="L171" t="n">
        <v>0</v>
      </c>
      <c r="M171" t="n">
        <v>0</v>
      </c>
      <c r="N171" t="n">
        <v>0</v>
      </c>
    </row>
    <row r="172">
      <c r="A172" t="inlineStr">
        <is>
          <t>stock</t>
        </is>
      </c>
      <c r="B172" t="inlineStr">
        <is>
          <t>horses: 3 remain.</t>
        </is>
      </c>
      <c r="C172" t="n">
        <v>0</v>
      </c>
      <c r="D172" t="n">
        <v>0</v>
      </c>
      <c r="E172" t="n">
        <v>0</v>
      </c>
      <c r="F172" t="n">
        <v>0</v>
      </c>
      <c r="H172" t="n">
        <v>0</v>
      </c>
      <c r="I172" t="n">
        <v>0</v>
      </c>
      <c r="J172" t="n">
        <v>0</v>
      </c>
      <c r="K172" t="n">
        <v>0</v>
      </c>
      <c r="L172" t="n">
        <v>0</v>
      </c>
      <c r="M172" t="n">
        <v>0</v>
      </c>
      <c r="N172" t="n">
        <v>0</v>
      </c>
    </row>
    <row r="173">
      <c r="A173" t="inlineStr">
        <is>
          <t>stock</t>
        </is>
      </c>
      <c r="B173" t="inlineStr">
        <is>
          <t>total, 3. 3 remain, worth 6 shilling 8pence each, in the hands of the said farmers, to be handed back and restored at the end of the aforesaid term or the value of the same at the choice of the lord.</t>
        </is>
      </c>
      <c r="C173" t="n">
        <v>0.33</v>
      </c>
      <c r="D173" t="n">
        <v>0</v>
      </c>
      <c r="E173" t="n">
        <v>6</v>
      </c>
      <c r="F173" t="n">
        <v>8</v>
      </c>
      <c r="H173" t="n">
        <v>0</v>
      </c>
      <c r="I173" t="n">
        <v>0</v>
      </c>
      <c r="J173" t="n">
        <v>0</v>
      </c>
      <c r="K173" t="n">
        <v>0</v>
      </c>
      <c r="L173" t="n">
        <v>0</v>
      </c>
      <c r="M173" t="n">
        <v>0</v>
      </c>
      <c r="N173" t="n">
        <v>0</v>
      </c>
    </row>
    <row r="174">
      <c r="A174" t="inlineStr">
        <is>
          <t>stock</t>
        </is>
      </c>
      <c r="B174" t="inlineStr">
        <is>
          <t>oxen: 23 remain.</t>
        </is>
      </c>
      <c r="C174" t="n">
        <v>0</v>
      </c>
      <c r="D174" t="n">
        <v>0</v>
      </c>
      <c r="E174" t="n">
        <v>0</v>
      </c>
      <c r="F174" t="n">
        <v>0</v>
      </c>
      <c r="H174" t="n">
        <v>0</v>
      </c>
      <c r="I174" t="n">
        <v>0</v>
      </c>
      <c r="J174" t="n">
        <v>0</v>
      </c>
      <c r="K174" t="n">
        <v>0</v>
      </c>
      <c r="L174" t="n">
        <v>0</v>
      </c>
      <c r="M174" t="n">
        <v>0</v>
      </c>
      <c r="N174" t="n">
        <v>0</v>
      </c>
    </row>
    <row r="175">
      <c r="A175" t="inlineStr">
        <is>
          <t>stock</t>
        </is>
      </c>
      <c r="B175" t="inlineStr">
        <is>
          <t>total, 23. 23 remain, worth 12 shilling each, in the hands of the said farmers, to be handed back at the end of the aforesaid term or the value of the same at the choice of the lord.</t>
        </is>
      </c>
      <c r="C175" t="n">
        <v>0.6</v>
      </c>
      <c r="D175" t="n">
        <v>0</v>
      </c>
      <c r="E175" t="n">
        <v>12</v>
      </c>
      <c r="F175" t="n">
        <v>0</v>
      </c>
      <c r="H175" t="n">
        <v>0</v>
      </c>
      <c r="I175" t="n">
        <v>0</v>
      </c>
      <c r="J175" t="n">
        <v>0</v>
      </c>
      <c r="K175" t="n">
        <v>0</v>
      </c>
      <c r="L175" t="n">
        <v>0</v>
      </c>
      <c r="M175" t="n">
        <v>0</v>
      </c>
      <c r="N175" t="n">
        <v>0</v>
      </c>
    </row>
    <row r="176">
      <c r="A176" t="inlineStr">
        <is>
          <t>stock</t>
        </is>
      </c>
      <c r="B176" t="inlineStr">
        <is>
          <t>cows: 1 from the heriot of william baynton'.</t>
        </is>
      </c>
      <c r="C176" t="n">
        <v>0</v>
      </c>
      <c r="D176" t="n">
        <v>0</v>
      </c>
      <c r="E176" t="n">
        <v>0</v>
      </c>
      <c r="F176" t="n">
        <v>0</v>
      </c>
      <c r="H176" t="n">
        <v>0</v>
      </c>
      <c r="I176" t="n">
        <v>0</v>
      </c>
      <c r="J176" t="n">
        <v>0</v>
      </c>
      <c r="K176" t="n">
        <v>0</v>
      </c>
      <c r="L176" t="n">
        <v>0</v>
      </c>
      <c r="M176" t="n">
        <v>0</v>
      </c>
      <c r="N176" t="n">
        <v>0</v>
      </c>
    </row>
    <row r="177">
      <c r="A177" t="inlineStr">
        <is>
          <t>stock</t>
        </is>
      </c>
      <c r="B177" t="inlineStr">
        <is>
          <t>sold within.</t>
        </is>
      </c>
      <c r="C177" t="n">
        <v>0</v>
      </c>
      <c r="D177" t="n">
        <v>0</v>
      </c>
      <c r="E177" t="n">
        <v>0</v>
      </c>
      <c r="F177" t="n">
        <v>0</v>
      </c>
      <c r="H177" t="n">
        <v>0</v>
      </c>
      <c r="I177" t="n">
        <v>0</v>
      </c>
      <c r="J177" t="n">
        <v>0</v>
      </c>
      <c r="K177" t="n">
        <v>0</v>
      </c>
      <c r="L177" t="n">
        <v>0</v>
      </c>
      <c r="M177" t="n">
        <v>0</v>
      </c>
      <c r="N177" t="n">
        <v>0</v>
      </c>
    </row>
    <row r="178">
      <c r="A178" t="inlineStr">
        <is>
          <t>stock</t>
        </is>
      </c>
      <c r="B178" t="inlineStr">
        <is>
          <t>none remain.</t>
        </is>
      </c>
      <c r="C178" t="n">
        <v>0</v>
      </c>
      <c r="D178" t="n">
        <v>0</v>
      </c>
      <c r="E178" t="n">
        <v>0</v>
      </c>
      <c r="F178" t="n">
        <v>0</v>
      </c>
      <c r="H178" t="n">
        <v>0</v>
      </c>
      <c r="I178" t="n">
        <v>0</v>
      </c>
      <c r="J178" t="n">
        <v>0</v>
      </c>
      <c r="K178" t="n">
        <v>0</v>
      </c>
      <c r="L178" t="n">
        <v>0</v>
      </c>
      <c r="M178" t="n">
        <v>0</v>
      </c>
      <c r="N178" t="n">
        <v>0</v>
      </c>
    </row>
    <row r="179">
      <c r="A179" t="inlineStr">
        <is>
          <t>stock</t>
        </is>
      </c>
      <c r="B179" t="inlineStr">
        <is>
          <t>wethers: 282 remain.</t>
        </is>
      </c>
      <c r="C179" t="n">
        <v>0</v>
      </c>
      <c r="D179" t="n">
        <v>0</v>
      </c>
      <c r="E179" t="n">
        <v>0</v>
      </c>
      <c r="F179" t="n">
        <v>0</v>
      </c>
      <c r="H179" t="n">
        <v>0</v>
      </c>
      <c r="I179" t="n">
        <v>0</v>
      </c>
      <c r="J179" t="n">
        <v>0</v>
      </c>
      <c r="K179" t="n">
        <v>0</v>
      </c>
      <c r="L179" t="n">
        <v>0</v>
      </c>
      <c r="M179" t="n">
        <v>0</v>
      </c>
      <c r="N179" t="n">
        <v>0</v>
      </c>
    </row>
    <row r="180">
      <c r="A180" t="inlineStr">
        <is>
          <t>stock</t>
        </is>
      </c>
      <c r="B180" t="inlineStr">
        <is>
          <t>67 added from hoggs below after shearing.</t>
        </is>
      </c>
      <c r="C180" t="n">
        <v>0</v>
      </c>
      <c r="D180" t="n">
        <v>0</v>
      </c>
      <c r="E180" t="n">
        <v>0</v>
      </c>
      <c r="F180" t="n">
        <v>0</v>
      </c>
      <c r="H180" t="n">
        <v>0</v>
      </c>
      <c r="I180" t="n">
        <v>0</v>
      </c>
      <c r="J180" t="n">
        <v>0</v>
      </c>
      <c r="K180" t="n">
        <v>0</v>
      </c>
      <c r="L180" t="n">
        <v>0</v>
      </c>
      <c r="M180" t="n">
        <v>0</v>
      </c>
      <c r="N180" t="n">
        <v>0</v>
      </c>
    </row>
    <row r="181">
      <c r="A181" t="inlineStr">
        <is>
          <t>stock</t>
        </is>
      </c>
      <c r="B181" t="inlineStr">
        <is>
          <t>total, 349. 13 in murrain before shearing and 4 after shearing.</t>
        </is>
      </c>
      <c r="C181" t="n">
        <v>0</v>
      </c>
      <c r="D181" t="n">
        <v>0</v>
      </c>
      <c r="E181" t="n">
        <v>0</v>
      </c>
      <c r="F181" t="n">
        <v>0</v>
      </c>
      <c r="H181" t="n">
        <v>0</v>
      </c>
      <c r="I181" t="n">
        <v>0</v>
      </c>
      <c r="J181" t="n">
        <v>0</v>
      </c>
      <c r="K181" t="n">
        <v>0</v>
      </c>
      <c r="L181" t="n">
        <v>0</v>
      </c>
      <c r="M181" t="n">
        <v>0</v>
      </c>
      <c r="N181" t="n">
        <v>0</v>
      </c>
    </row>
    <row r="182">
      <c r="A182" t="inlineStr">
        <is>
          <t>stock</t>
        </is>
      </c>
      <c r="B182" t="inlineStr">
        <is>
          <t>19 kebbs sold within before shearing.</t>
        </is>
      </c>
      <c r="C182" t="n">
        <v>0</v>
      </c>
      <c r="D182" t="n">
        <v>0</v>
      </c>
      <c r="E182" t="n">
        <v>0</v>
      </c>
      <c r="F182" t="n">
        <v>0</v>
      </c>
      <c r="H182" t="n">
        <v>0</v>
      </c>
      <c r="I182" t="n">
        <v>0</v>
      </c>
      <c r="J182" t="n">
        <v>0</v>
      </c>
      <c r="K182" t="n">
        <v>0</v>
      </c>
      <c r="L182" t="n">
        <v>0</v>
      </c>
      <c r="M182" t="n">
        <v>0</v>
      </c>
      <c r="N182" t="n">
        <v>0</v>
      </c>
    </row>
    <row r="183">
      <c r="A183" t="inlineStr">
        <is>
          <t>stock</t>
        </is>
      </c>
      <c r="B183" t="inlineStr">
        <is>
          <t>total, 36. 313 remain.</t>
        </is>
      </c>
      <c r="C183" t="n">
        <v>0</v>
      </c>
      <c r="D183" t="n">
        <v>0</v>
      </c>
      <c r="E183" t="n">
        <v>0</v>
      </c>
      <c r="F183" t="n">
        <v>0</v>
      </c>
      <c r="H183" t="n">
        <v>0</v>
      </c>
      <c r="I183" t="n">
        <v>0</v>
      </c>
      <c r="J183" t="n">
        <v>0</v>
      </c>
      <c r="K183" t="n">
        <v>0</v>
      </c>
      <c r="L183" t="n">
        <v>0</v>
      </c>
      <c r="M183" t="n">
        <v>0</v>
      </c>
      <c r="N183" t="n">
        <v>0</v>
      </c>
    </row>
    <row r="184">
      <c r="A184" t="inlineStr">
        <is>
          <t>stock</t>
        </is>
      </c>
      <c r="B184" t="inlineStr">
        <is>
          <t>rams: 10 remain.</t>
        </is>
      </c>
      <c r="C184" t="n">
        <v>0</v>
      </c>
      <c r="D184" t="n">
        <v>0</v>
      </c>
      <c r="E184" t="n">
        <v>0</v>
      </c>
      <c r="F184" t="n">
        <v>0</v>
      </c>
      <c r="H184" t="n">
        <v>0</v>
      </c>
      <c r="I184" t="n">
        <v>0</v>
      </c>
      <c r="J184" t="n">
        <v>0</v>
      </c>
      <c r="K184" t="n">
        <v>0</v>
      </c>
      <c r="L184" t="n">
        <v>0</v>
      </c>
      <c r="M184" t="n">
        <v>0</v>
      </c>
      <c r="N184" t="n">
        <v>0</v>
      </c>
    </row>
    <row r="185">
      <c r="A185" t="inlineStr">
        <is>
          <t>stock</t>
        </is>
      </c>
      <c r="B185" t="inlineStr">
        <is>
          <t>5 added from hoggs below after shearing.</t>
        </is>
      </c>
      <c r="C185" t="n">
        <v>0</v>
      </c>
      <c r="D185" t="n">
        <v>0</v>
      </c>
      <c r="E185" t="n">
        <v>0</v>
      </c>
      <c r="F185" t="n">
        <v>0</v>
      </c>
      <c r="H185" t="n">
        <v>0</v>
      </c>
      <c r="I185" t="n">
        <v>0</v>
      </c>
      <c r="J185" t="n">
        <v>0</v>
      </c>
      <c r="K185" t="n">
        <v>0</v>
      </c>
      <c r="L185" t="n">
        <v>0</v>
      </c>
      <c r="M185" t="n">
        <v>0</v>
      </c>
      <c r="N185" t="n">
        <v>0</v>
      </c>
    </row>
    <row r="186">
      <c r="A186" t="inlineStr">
        <is>
          <t>stock</t>
        </is>
      </c>
      <c r="B186" t="inlineStr">
        <is>
          <t>total, 15. 5 in murrain before shearing.</t>
        </is>
      </c>
      <c r="C186" t="n">
        <v>0</v>
      </c>
      <c r="D186" t="n">
        <v>0</v>
      </c>
      <c r="E186" t="n">
        <v>0</v>
      </c>
      <c r="F186" t="n">
        <v>0</v>
      </c>
      <c r="H186" t="n">
        <v>0</v>
      </c>
      <c r="I186" t="n">
        <v>0</v>
      </c>
      <c r="J186" t="n">
        <v>0</v>
      </c>
      <c r="K186" t="n">
        <v>0</v>
      </c>
      <c r="L186" t="n">
        <v>0</v>
      </c>
      <c r="M186" t="n">
        <v>0</v>
      </c>
      <c r="N186" t="n">
        <v>0</v>
      </c>
    </row>
    <row r="187">
      <c r="A187" t="inlineStr">
        <is>
          <t>stock</t>
        </is>
      </c>
      <c r="B187" t="inlineStr">
        <is>
          <t>total, 5. 10 remain.</t>
        </is>
      </c>
      <c r="C187" t="n">
        <v>0</v>
      </c>
      <c r="D187" t="n">
        <v>0</v>
      </c>
      <c r="E187" t="n">
        <v>0</v>
      </c>
      <c r="F187" t="n">
        <v>0</v>
      </c>
      <c r="H187" t="n">
        <v>0</v>
      </c>
      <c r="I187" t="n">
        <v>0</v>
      </c>
      <c r="J187" t="n">
        <v>0</v>
      </c>
      <c r="K187" t="n">
        <v>0</v>
      </c>
      <c r="L187" t="n">
        <v>0</v>
      </c>
      <c r="M187" t="n">
        <v>0</v>
      </c>
      <c r="N187" t="n">
        <v>0</v>
      </c>
    </row>
    <row r="188">
      <c r="A188" t="inlineStr">
        <is>
          <t>stock</t>
        </is>
      </c>
      <c r="B188" t="inlineStr">
        <is>
          <t>ewes: 388 remain.</t>
        </is>
      </c>
      <c r="C188" t="n">
        <v>0</v>
      </c>
      <c r="D188" t="n">
        <v>0</v>
      </c>
      <c r="E188" t="n">
        <v>0</v>
      </c>
      <c r="F188" t="n">
        <v>0</v>
      </c>
      <c r="H188" t="n">
        <v>0</v>
      </c>
      <c r="I188" t="n">
        <v>0</v>
      </c>
      <c r="J188" t="n">
        <v>0</v>
      </c>
      <c r="K188" t="n">
        <v>0</v>
      </c>
      <c r="L188" t="n">
        <v>0</v>
      </c>
      <c r="M188" t="n">
        <v>0</v>
      </c>
      <c r="N188" t="n">
        <v>0</v>
      </c>
    </row>
    <row r="189">
      <c r="A189" t="inlineStr">
        <is>
          <t>stock</t>
        </is>
      </c>
      <c r="B189" t="inlineStr">
        <is>
          <t>124 added from hoggs below after shearing.</t>
        </is>
      </c>
      <c r="C189" t="n">
        <v>0</v>
      </c>
      <c r="D189" t="n">
        <v>0</v>
      </c>
      <c r="E189" t="n">
        <v>0</v>
      </c>
      <c r="F189" t="n">
        <v>0</v>
      </c>
      <c r="H189" t="n">
        <v>0</v>
      </c>
      <c r="I189" t="n">
        <v>0</v>
      </c>
      <c r="J189" t="n">
        <v>0</v>
      </c>
      <c r="K189" t="n">
        <v>0</v>
      </c>
      <c r="L189" t="n">
        <v>0</v>
      </c>
      <c r="M189" t="n">
        <v>0</v>
      </c>
      <c r="N189" t="n">
        <v>0</v>
      </c>
    </row>
    <row r="190">
      <c r="A190" t="inlineStr">
        <is>
          <t>stock</t>
        </is>
      </c>
      <c r="B190" t="inlineStr">
        <is>
          <t>1 from the heriot of richard norman before shearing.</t>
        </is>
      </c>
      <c r="C190" t="n">
        <v>0</v>
      </c>
      <c r="D190" t="n">
        <v>0</v>
      </c>
      <c r="E190" t="n">
        <v>0</v>
      </c>
      <c r="F190" t="n">
        <v>0</v>
      </c>
      <c r="H190" t="n">
        <v>0</v>
      </c>
      <c r="I190" t="n">
        <v>0</v>
      </c>
      <c r="J190" t="n">
        <v>0</v>
      </c>
      <c r="K190" t="n">
        <v>0</v>
      </c>
      <c r="L190" t="n">
        <v>0</v>
      </c>
      <c r="M190" t="n">
        <v>0</v>
      </c>
      <c r="N190" t="n">
        <v>0</v>
      </c>
    </row>
    <row r="191">
      <c r="A191" t="inlineStr">
        <is>
          <t>stock</t>
        </is>
      </c>
      <c r="B191" t="inlineStr">
        <is>
          <t>total, 513. 98 in murrain before shearing and lambing and 8 after shearing.</t>
        </is>
      </c>
      <c r="C191" t="n">
        <v>0</v>
      </c>
      <c r="D191" t="n">
        <v>0</v>
      </c>
      <c r="E191" t="n">
        <v>0</v>
      </c>
      <c r="F191" t="n">
        <v>0</v>
      </c>
      <c r="H191" t="n">
        <v>0</v>
      </c>
      <c r="I191" t="n">
        <v>0</v>
      </c>
      <c r="J191" t="n">
        <v>0</v>
      </c>
      <c r="K191" t="n">
        <v>0</v>
      </c>
      <c r="L191" t="n">
        <v>0</v>
      </c>
      <c r="M191" t="n">
        <v>0</v>
      </c>
      <c r="N191" t="n">
        <v>0</v>
      </c>
    </row>
    <row r="192">
      <c r="A192" t="inlineStr">
        <is>
          <t>stock</t>
        </is>
      </c>
      <c r="B192" t="inlineStr">
        <is>
          <t>19 kebbs sold within after shearing.</t>
        </is>
      </c>
      <c r="C192" t="n">
        <v>0</v>
      </c>
      <c r="D192" t="n">
        <v>0</v>
      </c>
      <c r="E192" t="n">
        <v>0</v>
      </c>
      <c r="F192" t="n">
        <v>0</v>
      </c>
      <c r="H192" t="n">
        <v>0</v>
      </c>
      <c r="I192" t="n">
        <v>0</v>
      </c>
      <c r="J192" t="n">
        <v>0</v>
      </c>
      <c r="K192" t="n">
        <v>0</v>
      </c>
      <c r="L192" t="n">
        <v>0</v>
      </c>
      <c r="M192" t="n">
        <v>0</v>
      </c>
      <c r="N192" t="n">
        <v>0</v>
      </c>
    </row>
    <row r="193">
      <c r="A193" t="inlineStr">
        <is>
          <t>stock</t>
        </is>
      </c>
      <c r="B193" t="inlineStr">
        <is>
          <t>1 from the heriot sold before shearing.</t>
        </is>
      </c>
      <c r="C193" t="n">
        <v>0</v>
      </c>
      <c r="D193" t="n">
        <v>0</v>
      </c>
      <c r="E193" t="n">
        <v>0</v>
      </c>
      <c r="F193" t="n">
        <v>0</v>
      </c>
      <c r="H193" t="n">
        <v>0</v>
      </c>
      <c r="I193" t="n">
        <v>0</v>
      </c>
      <c r="J193" t="n">
        <v>0</v>
      </c>
      <c r="K193" t="n">
        <v>0</v>
      </c>
      <c r="L193" t="n">
        <v>0</v>
      </c>
      <c r="M193" t="n">
        <v>0</v>
      </c>
      <c r="N193" t="n">
        <v>0</v>
      </c>
    </row>
    <row r="194">
      <c r="A194" t="inlineStr">
        <is>
          <t>stock</t>
        </is>
      </c>
      <c r="B194" t="inlineStr">
        <is>
          <t>total, 125.' 387 remain.</t>
        </is>
      </c>
      <c r="C194" t="n">
        <v>0</v>
      </c>
      <c r="D194" t="n">
        <v>0</v>
      </c>
      <c r="E194" t="n">
        <v>0</v>
      </c>
      <c r="F194" t="n">
        <v>0</v>
      </c>
      <c r="H194" t="n">
        <v>0</v>
      </c>
      <c r="I194" t="n">
        <v>0</v>
      </c>
      <c r="J194" t="n">
        <v>0</v>
      </c>
      <c r="K194" t="n">
        <v>0</v>
      </c>
      <c r="L194" t="n">
        <v>0</v>
      </c>
      <c r="M194" t="n">
        <v>0</v>
      </c>
      <c r="N194" t="n">
        <v>0</v>
      </c>
    </row>
    <row r="195">
      <c r="A195" t="inlineStr">
        <is>
          <t>stock</t>
        </is>
      </c>
      <c r="B195" t="inlineStr">
        <is>
          <t>hoggs: 196 bought before shearing from the reeve of ecchinswell.</t>
        </is>
      </c>
      <c r="C195" t="n">
        <v>0</v>
      </c>
      <c r="D195" t="n">
        <v>0</v>
      </c>
      <c r="E195" t="n">
        <v>0</v>
      </c>
      <c r="F195" t="n">
        <v>0</v>
      </c>
      <c r="H195" t="n">
        <v>0</v>
      </c>
      <c r="I195" t="n">
        <v>0</v>
      </c>
      <c r="J195" t="n">
        <v>0</v>
      </c>
      <c r="K195" t="n">
        <v>0</v>
      </c>
      <c r="L195" t="n">
        <v>0</v>
      </c>
      <c r="M195" t="n">
        <v>0</v>
      </c>
      <c r="N195" t="n">
        <v>0</v>
      </c>
    </row>
    <row r="196">
      <c r="A196" t="inlineStr">
        <is>
          <t>stock</t>
        </is>
      </c>
      <c r="B196" t="inlineStr">
        <is>
          <t>total, 196. 67 added above to wethers after shearing, 5 to rams and 124 to ewes.</t>
        </is>
      </c>
      <c r="C196" t="n">
        <v>0</v>
      </c>
      <c r="D196" t="n">
        <v>0</v>
      </c>
      <c r="E196" t="n">
        <v>0</v>
      </c>
      <c r="F196" t="n">
        <v>0</v>
      </c>
      <c r="H196" t="n">
        <v>0</v>
      </c>
      <c r="I196" t="n">
        <v>0</v>
      </c>
      <c r="J196" t="n">
        <v>0</v>
      </c>
      <c r="K196" t="n">
        <v>0</v>
      </c>
      <c r="L196" t="n">
        <v>0</v>
      </c>
      <c r="M196" t="n">
        <v>0</v>
      </c>
      <c r="N196" t="n">
        <v>0</v>
      </c>
    </row>
    <row r="197">
      <c r="A197" t="inlineStr">
        <is>
          <t>stock</t>
        </is>
      </c>
      <c r="B197" t="inlineStr">
        <is>
          <t>total as before.</t>
        </is>
      </c>
      <c r="C197" t="n">
        <v>0</v>
      </c>
      <c r="D197" t="n">
        <v>0</v>
      </c>
      <c r="E197" t="n">
        <v>0</v>
      </c>
      <c r="F197" t="n">
        <v>0</v>
      </c>
      <c r="H197" t="n">
        <v>0</v>
      </c>
      <c r="I197" t="n">
        <v>0</v>
      </c>
      <c r="J197" t="n">
        <v>0</v>
      </c>
      <c r="K197" t="n">
        <v>0</v>
      </c>
      <c r="L197" t="n">
        <v>0</v>
      </c>
      <c r="M197" t="n">
        <v>0</v>
      </c>
      <c r="N197" t="n">
        <v>0</v>
      </c>
    </row>
    <row r="198">
      <c r="A198" t="inlineStr">
        <is>
          <t>stock</t>
        </is>
      </c>
      <c r="B198" t="inlineStr">
        <is>
          <t>none remain.</t>
        </is>
      </c>
      <c r="C198" t="n">
        <v>0</v>
      </c>
      <c r="D198" t="n">
        <v>0</v>
      </c>
      <c r="E198" t="n">
        <v>0</v>
      </c>
      <c r="F198" t="n">
        <v>0</v>
      </c>
      <c r="H198" t="n">
        <v>0</v>
      </c>
      <c r="I198" t="n">
        <v>0</v>
      </c>
      <c r="J198" t="n">
        <v>0</v>
      </c>
      <c r="K198" t="n">
        <v>0</v>
      </c>
      <c r="L198" t="n">
        <v>0</v>
      </c>
      <c r="M198" t="n">
        <v>0</v>
      </c>
      <c r="N198" t="n">
        <v>0</v>
      </c>
    </row>
    <row r="199">
      <c r="A199" t="inlineStr">
        <is>
          <t>stock</t>
        </is>
      </c>
      <c r="B199" t="inlineStr">
        <is>
          <t>lambs: 237 offspring this year and not more because 98 ewes died before lambing and 53 were sterile this year.</t>
        </is>
      </c>
      <c r="C199" t="n">
        <v>0</v>
      </c>
      <c r="D199" t="n">
        <v>0</v>
      </c>
      <c r="E199" t="n">
        <v>0</v>
      </c>
      <c r="F199" t="n">
        <v>0</v>
      </c>
      <c r="H199" t="n">
        <v>0</v>
      </c>
      <c r="I199" t="n">
        <v>0</v>
      </c>
      <c r="J199" t="n">
        <v>0</v>
      </c>
      <c r="K199" t="n">
        <v>0</v>
      </c>
      <c r="L199" t="n">
        <v>0</v>
      </c>
      <c r="M199" t="n">
        <v>0</v>
      </c>
      <c r="N199" t="n">
        <v>0</v>
      </c>
    </row>
    <row r="200">
      <c r="A200" t="inlineStr">
        <is>
          <t>stock</t>
        </is>
      </c>
      <c r="B200" t="inlineStr">
        <is>
          <t>total, 237. 51 in murrain before weaning.</t>
        </is>
      </c>
      <c r="C200" t="n">
        <v>0</v>
      </c>
      <c r="D200" t="n">
        <v>0</v>
      </c>
      <c r="E200" t="n">
        <v>0</v>
      </c>
      <c r="F200" t="n">
        <v>0</v>
      </c>
      <c r="H200" t="n">
        <v>0</v>
      </c>
      <c r="I200" t="n">
        <v>0</v>
      </c>
      <c r="J200" t="n">
        <v>0</v>
      </c>
      <c r="K200" t="n">
        <v>0</v>
      </c>
      <c r="L200" t="n">
        <v>0</v>
      </c>
      <c r="M200" t="n">
        <v>0</v>
      </c>
      <c r="N200" t="n">
        <v>0</v>
      </c>
    </row>
    <row r="201">
      <c r="A201" t="inlineStr">
        <is>
          <t>stock</t>
        </is>
      </c>
      <c r="B201" t="inlineStr">
        <is>
          <t>18 in tithe.</t>
        </is>
      </c>
      <c r="C201" t="n">
        <v>0</v>
      </c>
      <c r="D201" t="n">
        <v>0</v>
      </c>
      <c r="E201" t="n">
        <v>0</v>
      </c>
      <c r="F201" t="n">
        <v>0</v>
      </c>
      <c r="H201" t="n">
        <v>0</v>
      </c>
      <c r="I201" t="n">
        <v>0</v>
      </c>
      <c r="J201" t="n">
        <v>0</v>
      </c>
      <c r="K201" t="n">
        <v>0</v>
      </c>
      <c r="L201" t="n">
        <v>0</v>
      </c>
      <c r="M201" t="n">
        <v>0</v>
      </c>
      <c r="N201" t="n">
        <v>0</v>
      </c>
    </row>
    <row r="202">
      <c r="A202" t="inlineStr">
        <is>
          <t>stock</t>
        </is>
      </c>
      <c r="B202" t="inlineStr">
        <is>
          <t>1 in murrain after tithe and before weaning.</t>
        </is>
      </c>
      <c r="C202" t="n">
        <v>0</v>
      </c>
      <c r="D202" t="n">
        <v>0</v>
      </c>
      <c r="E202" t="n">
        <v>0</v>
      </c>
      <c r="F202" t="n">
        <v>0</v>
      </c>
      <c r="H202" t="n">
        <v>0</v>
      </c>
      <c r="I202" t="n">
        <v>0</v>
      </c>
      <c r="J202" t="n">
        <v>0</v>
      </c>
      <c r="K202" t="n">
        <v>0</v>
      </c>
      <c r="L202" t="n">
        <v>0</v>
      </c>
      <c r="M202" t="n">
        <v>0</v>
      </c>
      <c r="N202" t="n">
        <v>0</v>
      </c>
    </row>
    <row r="203">
      <c r="A203" t="inlineStr">
        <is>
          <t>stock</t>
        </is>
      </c>
      <c r="B203" t="inlineStr">
        <is>
          <t>166 sold to the reeve of ecchinswell before shearing.</t>
        </is>
      </c>
      <c r="C203" t="n">
        <v>0</v>
      </c>
      <c r="D203" t="n">
        <v>0</v>
      </c>
      <c r="E203" t="n">
        <v>0</v>
      </c>
      <c r="F203" t="n">
        <v>0</v>
      </c>
      <c r="H203" t="n">
        <v>0</v>
      </c>
      <c r="I203" t="n">
        <v>0</v>
      </c>
      <c r="J203" t="n">
        <v>0</v>
      </c>
      <c r="K203" t="n">
        <v>0</v>
      </c>
      <c r="L203" t="n">
        <v>0</v>
      </c>
      <c r="M203" t="n">
        <v>0</v>
      </c>
      <c r="N203" t="n">
        <v>0</v>
      </c>
    </row>
    <row r="204">
      <c r="A204" t="inlineStr">
        <is>
          <t>stock</t>
        </is>
      </c>
      <c r="B204" t="inlineStr">
        <is>
          <t>1 removed and sold before shearing because unfit for the stock.</t>
        </is>
      </c>
      <c r="C204" t="n">
        <v>0</v>
      </c>
      <c r="D204" t="n">
        <v>0</v>
      </c>
      <c r="E204" t="n">
        <v>0</v>
      </c>
      <c r="F204" t="n">
        <v>0</v>
      </c>
      <c r="H204" t="n">
        <v>0</v>
      </c>
      <c r="I204" t="n">
        <v>0</v>
      </c>
      <c r="J204" t="n">
        <v>0</v>
      </c>
      <c r="K204" t="n">
        <v>0</v>
      </c>
      <c r="L204" t="n">
        <v>0</v>
      </c>
      <c r="M204" t="n">
        <v>0</v>
      </c>
      <c r="N204" t="n">
        <v>0</v>
      </c>
    </row>
    <row r="205">
      <c r="A205" t="inlineStr">
        <is>
          <t>stock</t>
        </is>
      </c>
      <c r="B205" t="inlineStr">
        <is>
          <t>total as before.</t>
        </is>
      </c>
      <c r="C205" t="n">
        <v>0</v>
      </c>
      <c r="D205" t="n">
        <v>0</v>
      </c>
      <c r="E205" t="n">
        <v>0</v>
      </c>
      <c r="F205" t="n">
        <v>0</v>
      </c>
      <c r="H205" t="n">
        <v>0</v>
      </c>
      <c r="I205" t="n">
        <v>0</v>
      </c>
      <c r="J205" t="n">
        <v>0</v>
      </c>
      <c r="K205" t="n">
        <v>0</v>
      </c>
      <c r="L205" t="n">
        <v>0</v>
      </c>
      <c r="M205" t="n">
        <v>0</v>
      </c>
      <c r="N205" t="n">
        <v>0</v>
      </c>
    </row>
    <row r="206">
      <c r="A206" t="inlineStr">
        <is>
          <t>stock</t>
        </is>
      </c>
      <c r="B206" t="inlineStr">
        <is>
          <t>none remain.</t>
        </is>
      </c>
      <c r="C206" t="n">
        <v>0</v>
      </c>
      <c r="D206" t="n">
        <v>0</v>
      </c>
      <c r="E206" t="n">
        <v>0</v>
      </c>
      <c r="F206" t="n">
        <v>0</v>
      </c>
      <c r="H206" t="n">
        <v>0</v>
      </c>
      <c r="I206" t="n">
        <v>0</v>
      </c>
      <c r="J206" t="n">
        <v>0</v>
      </c>
      <c r="K206" t="n">
        <v>0</v>
      </c>
      <c r="L206" t="n">
        <v>0</v>
      </c>
      <c r="M206" t="n">
        <v>0</v>
      </c>
      <c r="N206" t="n">
        <v>0</v>
      </c>
    </row>
    <row r="207">
      <c r="A207" t="inlineStr">
        <is>
          <t>stock</t>
        </is>
      </c>
      <c r="B207" t="inlineStr">
        <is>
          <t>geese: 1 gander and 4 breeding geese remain.</t>
        </is>
      </c>
      <c r="C207" t="n">
        <v>0</v>
      </c>
      <c r="D207" t="n">
        <v>0</v>
      </c>
      <c r="E207" t="n">
        <v>0</v>
      </c>
      <c r="F207" t="n">
        <v>0</v>
      </c>
      <c r="H207" t="n">
        <v>0</v>
      </c>
      <c r="I207" t="n">
        <v>0</v>
      </c>
      <c r="J207" t="n">
        <v>0</v>
      </c>
      <c r="K207" t="n">
        <v>0</v>
      </c>
      <c r="L207" t="n">
        <v>0</v>
      </c>
      <c r="M207" t="n">
        <v>0</v>
      </c>
      <c r="N207" t="n">
        <v>0</v>
      </c>
    </row>
    <row r="208">
      <c r="A208" t="inlineStr">
        <is>
          <t>stock</t>
        </is>
      </c>
      <c r="B208" t="inlineStr">
        <is>
          <t>total, 5. 1 gander and 4 breeding geese, worth 2 shilling 6pence, remain in the hands of the said farmers, to be handed back and restored as before.</t>
        </is>
      </c>
      <c r="C208" t="n">
        <v>0.12</v>
      </c>
      <c r="D208" t="n">
        <v>0</v>
      </c>
      <c r="E208" t="n">
        <v>2</v>
      </c>
      <c r="F208" t="n">
        <v>6</v>
      </c>
      <c r="H208" t="n">
        <v>0</v>
      </c>
      <c r="I208" t="n">
        <v>0</v>
      </c>
      <c r="J208" t="n">
        <v>0</v>
      </c>
      <c r="K208" t="n">
        <v>0</v>
      </c>
      <c r="L208" t="n">
        <v>0</v>
      </c>
      <c r="M208" t="n">
        <v>0</v>
      </c>
      <c r="N208" t="n">
        <v>0</v>
      </c>
    </row>
    <row r="209">
      <c r="A209" t="inlineStr">
        <is>
          <t>stock</t>
        </is>
      </c>
      <c r="B209" t="inlineStr">
        <is>
          <t>cocks and hens: 1 cock and 5 hens remain.</t>
        </is>
      </c>
      <c r="C209" t="n">
        <v>0</v>
      </c>
      <c r="D209" t="n">
        <v>0</v>
      </c>
      <c r="E209" t="n">
        <v>0</v>
      </c>
      <c r="F209" t="n">
        <v>0</v>
      </c>
      <c r="H209" t="n">
        <v>0</v>
      </c>
      <c r="I209" t="n">
        <v>0</v>
      </c>
      <c r="J209" t="n">
        <v>0</v>
      </c>
      <c r="K209" t="n">
        <v>0</v>
      </c>
      <c r="L209" t="n">
        <v>0</v>
      </c>
      <c r="M209" t="n">
        <v>0</v>
      </c>
      <c r="N209" t="n">
        <v>0</v>
      </c>
    </row>
    <row r="210">
      <c r="A210" t="inlineStr">
        <is>
          <t>stock</t>
        </is>
      </c>
      <c r="B210" t="inlineStr">
        <is>
          <t>172 from the churchscot of the customary tenants at martinmas.</t>
        </is>
      </c>
      <c r="C210" t="n">
        <v>0</v>
      </c>
      <c r="D210" t="n">
        <v>0</v>
      </c>
      <c r="E210" t="n">
        <v>0</v>
      </c>
      <c r="F210" t="n">
        <v>0</v>
      </c>
      <c r="H210" t="n">
        <v>0</v>
      </c>
      <c r="I210" t="n">
        <v>0</v>
      </c>
      <c r="J210" t="n">
        <v>0</v>
      </c>
      <c r="K210" t="n">
        <v>0</v>
      </c>
      <c r="L210" t="n">
        <v>0</v>
      </c>
      <c r="M210" t="n">
        <v>0</v>
      </c>
      <c r="N210" t="n">
        <v>0</v>
      </c>
    </row>
    <row r="211">
      <c r="A211" t="inlineStr">
        <is>
          <t>stock</t>
        </is>
      </c>
      <c r="B211" t="inlineStr">
        <is>
          <t>total, 178. 12 in default of 1 cotland of william atte tounesende and 2 cotlands of william malot and richard malot because in the lord's hands.</t>
        </is>
      </c>
      <c r="C211" t="n">
        <v>0</v>
      </c>
      <c r="D211" t="n">
        <v>0</v>
      </c>
      <c r="E211" t="n">
        <v>0</v>
      </c>
      <c r="F211" t="n">
        <v>0</v>
      </c>
      <c r="H211" t="n">
        <v>0</v>
      </c>
      <c r="I211" t="n">
        <v>0</v>
      </c>
      <c r="J211" t="n">
        <v>0</v>
      </c>
      <c r="K211" t="n">
        <v>0</v>
      </c>
      <c r="L211" t="n">
        <v>0</v>
      </c>
      <c r="M211" t="n">
        <v>0</v>
      </c>
      <c r="N211" t="n">
        <v>0</v>
      </c>
    </row>
    <row r="212">
      <c r="A212" t="inlineStr">
        <is>
          <t>stock</t>
        </is>
      </c>
      <c r="B212" t="inlineStr">
        <is>
          <t>4 in default of 1 cotland of richard robyn and afterwards of william irlonde in the lord's hands.</t>
        </is>
      </c>
      <c r="C212" t="n">
        <v>0</v>
      </c>
      <c r="D212" t="n">
        <v>0</v>
      </c>
      <c r="E212" t="n">
        <v>0</v>
      </c>
      <c r="F212" t="n">
        <v>0</v>
      </c>
      <c r="H212" t="n">
        <v>0</v>
      </c>
      <c r="I212" t="n">
        <v>0</v>
      </c>
      <c r="J212" t="n">
        <v>0</v>
      </c>
      <c r="K212" t="n">
        <v>0</v>
      </c>
      <c r="L212" t="n">
        <v>0</v>
      </c>
      <c r="M212" t="n">
        <v>0</v>
      </c>
      <c r="N212" t="n">
        <v>0</v>
      </c>
    </row>
    <row r="213">
      <c r="A213" t="inlineStr">
        <is>
          <t>stock</t>
        </is>
      </c>
      <c r="B213" t="inlineStr">
        <is>
          <t>2 in default of 1 plot of purpresture formerly of richard malot in the lord's hands.</t>
        </is>
      </c>
      <c r="C213" t="n">
        <v>0</v>
      </c>
      <c r="D213" t="n">
        <v>0</v>
      </c>
      <c r="E213" t="n">
        <v>0</v>
      </c>
      <c r="F213" t="n">
        <v>0</v>
      </c>
      <c r="H213" t="n">
        <v>0</v>
      </c>
      <c r="I213" t="n">
        <v>0</v>
      </c>
      <c r="J213" t="n">
        <v>0</v>
      </c>
      <c r="K213" t="n">
        <v>0</v>
      </c>
      <c r="L213" t="n">
        <v>0</v>
      </c>
      <c r="M213" t="n">
        <v>0</v>
      </c>
      <c r="N213" t="n">
        <v>0</v>
      </c>
    </row>
    <row r="214">
      <c r="A214" t="inlineStr">
        <is>
          <t>stock</t>
        </is>
      </c>
      <c r="B214" t="inlineStr">
        <is>
          <t>24 in default of 1 cotland of stephen baynton', 1 cotland of roger rutlond', 1 cotland of stephen druery, 1 cotland of john frensche, .5 cotland of stephen mody and 1 cotland of john coppes because in the lord's hands.</t>
        </is>
      </c>
      <c r="C214" t="n">
        <v>0</v>
      </c>
      <c r="D214" t="n">
        <v>0</v>
      </c>
      <c r="E214" t="n">
        <v>0</v>
      </c>
      <c r="F214" t="n">
        <v>0</v>
      </c>
      <c r="H214" t="n">
        <v>0</v>
      </c>
      <c r="I214" t="n">
        <v>0</v>
      </c>
      <c r="J214" t="n">
        <v>0</v>
      </c>
      <c r="K214" t="n">
        <v>0</v>
      </c>
      <c r="L214" t="n">
        <v>0</v>
      </c>
      <c r="M214" t="n">
        <v>0</v>
      </c>
      <c r="N214" t="n">
        <v>0</v>
      </c>
    </row>
    <row r="215">
      <c r="A215" t="inlineStr">
        <is>
          <t>stock</t>
        </is>
      </c>
      <c r="B215" t="inlineStr">
        <is>
          <t>20 in quittance of the churchscot of william mascall', thomas mascall', john tastard', nicholas thorold', william lunt, edith longeman, edith philippes, john hurt, john phesaunt, john cokene, william gerard' and eleanor baynton' because widowers and widows.</t>
        </is>
      </c>
      <c r="C215" t="n">
        <v>0</v>
      </c>
      <c r="D215" t="n">
        <v>0</v>
      </c>
      <c r="E215" t="n">
        <v>0</v>
      </c>
      <c r="F215" t="n">
        <v>0</v>
      </c>
      <c r="H215" t="n">
        <v>0</v>
      </c>
      <c r="I215" t="n">
        <v>0</v>
      </c>
      <c r="J215" t="n">
        <v>0</v>
      </c>
      <c r="K215" t="n">
        <v>0</v>
      </c>
      <c r="L215" t="n">
        <v>0</v>
      </c>
      <c r="M215" t="n">
        <v>0</v>
      </c>
      <c r="N215" t="n">
        <v>0</v>
      </c>
    </row>
    <row r="216">
      <c r="A216" t="inlineStr">
        <is>
          <t>stock</t>
        </is>
      </c>
      <c r="B216" t="inlineStr">
        <is>
          <t>2 in default of 1 plot of purpresture formerly of john druery because in the lord's hands through the death of the same.</t>
        </is>
      </c>
      <c r="C216" t="n">
        <v>0</v>
      </c>
      <c r="D216" t="n">
        <v>0</v>
      </c>
      <c r="E216" t="n">
        <v>0</v>
      </c>
      <c r="F216" t="n">
        <v>0</v>
      </c>
      <c r="H216" t="n">
        <v>0</v>
      </c>
      <c r="I216" t="n">
        <v>0</v>
      </c>
      <c r="J216" t="n">
        <v>0</v>
      </c>
      <c r="K216" t="n">
        <v>0</v>
      </c>
      <c r="L216" t="n">
        <v>0</v>
      </c>
      <c r="M216" t="n">
        <v>0</v>
      </c>
      <c r="N216" t="n">
        <v>0</v>
      </c>
    </row>
    <row r="217">
      <c r="A217" t="inlineStr">
        <is>
          <t>stock</t>
        </is>
      </c>
      <c r="B217" t="inlineStr">
        <is>
          <t>8 in default of 2 half-cotlands of john webbe and john bike because in the lord's hands.</t>
        </is>
      </c>
      <c r="C217" t="n">
        <v>0</v>
      </c>
      <c r="D217" t="n">
        <v>0</v>
      </c>
      <c r="E217" t="n">
        <v>0</v>
      </c>
      <c r="F217" t="n">
        <v>0</v>
      </c>
      <c r="H217" t="n">
        <v>0</v>
      </c>
      <c r="I217" t="n">
        <v>0</v>
      </c>
      <c r="J217" t="n">
        <v>0</v>
      </c>
      <c r="K217" t="n">
        <v>0</v>
      </c>
      <c r="L217" t="n">
        <v>0</v>
      </c>
      <c r="M217" t="n">
        <v>0</v>
      </c>
      <c r="N217" t="n">
        <v>0</v>
      </c>
    </row>
    <row r="218">
      <c r="A218" t="inlineStr">
        <is>
          <t>stock</t>
        </is>
      </c>
      <c r="B218" t="inlineStr">
        <is>
          <t>100 sold within, 57 of them to the lord's househo1pence.</t>
        </is>
      </c>
      <c r="C218" t="n">
        <v>0</v>
      </c>
      <c r="D218" t="n">
        <v>0</v>
      </c>
      <c r="E218" t="n">
        <v>0</v>
      </c>
      <c r="F218" t="n">
        <v>1</v>
      </c>
      <c r="H218" t="n">
        <v>0</v>
      </c>
      <c r="I218" t="n">
        <v>0</v>
      </c>
      <c r="J218" t="n">
        <v>0</v>
      </c>
      <c r="K218" t="n">
        <v>0</v>
      </c>
      <c r="L218" t="n">
        <v>0</v>
      </c>
      <c r="M218" t="n">
        <v>0</v>
      </c>
      <c r="N218" t="n">
        <v>0</v>
      </c>
    </row>
    <row r="219">
      <c r="A219" t="inlineStr">
        <is>
          <t>stock</t>
        </is>
      </c>
      <c r="B219" t="inlineStr">
        <is>
          <t>total, 172. 1 cock and 5 hens, worth 1 shilling, remain in the hands of the said farmers, to be handed back as before.</t>
        </is>
      </c>
      <c r="C219" t="n">
        <v>0.05</v>
      </c>
      <c r="D219" t="n">
        <v>0</v>
      </c>
      <c r="E219" t="n">
        <v>1</v>
      </c>
      <c r="F219" t="n">
        <v>0</v>
      </c>
      <c r="H219" t="n">
        <v>0</v>
      </c>
      <c r="I219" t="n">
        <v>0</v>
      </c>
      <c r="J219" t="n">
        <v>0</v>
      </c>
      <c r="K219" t="n">
        <v>0</v>
      </c>
      <c r="L219" t="n">
        <v>0</v>
      </c>
      <c r="M219" t="n">
        <v>0</v>
      </c>
      <c r="N219" t="n">
        <v>0</v>
      </c>
    </row>
    <row r="220">
      <c r="A220" t="inlineStr">
        <is>
          <t>stock</t>
        </is>
      </c>
      <c r="B220" t="inlineStr">
        <is>
          <t>eggs: nothing of the 800 eggs laid because they pertain to the farmers.</t>
        </is>
      </c>
      <c r="C220" t="n">
        <v>0</v>
      </c>
      <c r="D220" t="n">
        <v>0</v>
      </c>
      <c r="E220" t="n">
        <v>0</v>
      </c>
      <c r="F220" t="n">
        <v>0</v>
      </c>
      <c r="H220" t="n">
        <v>0</v>
      </c>
      <c r="I220" t="n">
        <v>0</v>
      </c>
      <c r="J220" t="n">
        <v>0</v>
      </c>
      <c r="K220" t="n">
        <v>0</v>
      </c>
      <c r="L220" t="n">
        <v>0</v>
      </c>
      <c r="M220" t="n">
        <v>0</v>
      </c>
      <c r="N220" t="n">
        <v>0</v>
      </c>
    </row>
    <row r="221">
      <c r="A221" t="inlineStr">
        <is>
          <t>stock</t>
        </is>
      </c>
      <c r="B221" t="inlineStr">
        <is>
          <t>1,100 from the customary tenants at easter according to custom.</t>
        </is>
      </c>
      <c r="C221" t="n">
        <v>0</v>
      </c>
      <c r="D221" t="n">
        <v>0</v>
      </c>
      <c r="E221" t="n">
        <v>0</v>
      </c>
      <c r="F221" t="n">
        <v>0</v>
      </c>
      <c r="H221" t="n">
        <v>0</v>
      </c>
      <c r="I221" t="n">
        <v>0</v>
      </c>
      <c r="J221" t="n">
        <v>0</v>
      </c>
      <c r="K221" t="n">
        <v>0</v>
      </c>
      <c r="L221" t="n">
        <v>0</v>
      </c>
      <c r="M221" t="n">
        <v>0</v>
      </c>
      <c r="N221" t="n">
        <v>0</v>
      </c>
    </row>
    <row r="222">
      <c r="A222" t="inlineStr">
        <is>
          <t>stock</t>
        </is>
      </c>
      <c r="B222" t="inlineStr">
        <is>
          <t>total, 1,100. 42 in default of 6 half-virgates of land of alexander wilteshire, john lag', nicholas sone, john hogheles, john burbache and john mascall' because in the lord's hands.</t>
        </is>
      </c>
      <c r="C222" t="n">
        <v>0</v>
      </c>
      <c r="D222" t="n">
        <v>0</v>
      </c>
      <c r="E222" t="n">
        <v>0</v>
      </c>
      <c r="F222" t="n">
        <v>0</v>
      </c>
      <c r="H222" t="n">
        <v>0</v>
      </c>
      <c r="I222" t="n">
        <v>0</v>
      </c>
      <c r="J222" t="n">
        <v>0</v>
      </c>
      <c r="K222" t="n">
        <v>0</v>
      </c>
      <c r="L222" t="n">
        <v>0</v>
      </c>
      <c r="M222" t="n">
        <v>0</v>
      </c>
      <c r="N222" t="n">
        <v>0</v>
      </c>
    </row>
    <row r="223">
      <c r="A223" t="inlineStr">
        <is>
          <t>stock</t>
        </is>
      </c>
      <c r="B223" t="inlineStr">
        <is>
          <t>81 in default of the aforesaid 9 cotlands, or 9 eggs each.</t>
        </is>
      </c>
      <c r="C223" t="n">
        <v>0</v>
      </c>
      <c r="D223" t="n">
        <v>0</v>
      </c>
      <c r="E223" t="n">
        <v>0</v>
      </c>
      <c r="F223" t="n">
        <v>0</v>
      </c>
      <c r="H223" t="n">
        <v>0</v>
      </c>
      <c r="I223" t="n">
        <v>0</v>
      </c>
      <c r="J223" t="n">
        <v>0</v>
      </c>
      <c r="K223" t="n">
        <v>0</v>
      </c>
      <c r="L223" t="n">
        <v>0</v>
      </c>
      <c r="M223" t="n">
        <v>0</v>
      </c>
      <c r="N223" t="n">
        <v>0</v>
      </c>
    </row>
    <row r="224">
      <c r="A224" t="inlineStr">
        <is>
          <t>stock</t>
        </is>
      </c>
      <c r="B224" t="inlineStr">
        <is>
          <t>9 in default of the 3 half-cotlands above because in the lord's hands, or 3 eggs each.</t>
        </is>
      </c>
      <c r="C224" t="n">
        <v>0</v>
      </c>
      <c r="D224" t="n">
        <v>0</v>
      </c>
      <c r="E224" t="n">
        <v>0</v>
      </c>
      <c r="F224" t="n">
        <v>0</v>
      </c>
      <c r="H224" t="n">
        <v>0</v>
      </c>
      <c r="I224" t="n">
        <v>0</v>
      </c>
      <c r="J224" t="n">
        <v>0</v>
      </c>
      <c r="K224" t="n">
        <v>0</v>
      </c>
      <c r="L224" t="n">
        <v>0</v>
      </c>
      <c r="M224" t="n">
        <v>0</v>
      </c>
      <c r="N224" t="n">
        <v>0</v>
      </c>
    </row>
    <row r="225">
      <c r="A225" t="inlineStr">
        <is>
          <t>stock</t>
        </is>
      </c>
      <c r="B225" t="inlineStr">
        <is>
          <t>14 in quittance for the release of 1 virgate of land formerly of john le eyre.</t>
        </is>
      </c>
      <c r="C225" t="n">
        <v>0</v>
      </c>
      <c r="D225" t="n">
        <v>0</v>
      </c>
      <c r="E225" t="n">
        <v>0</v>
      </c>
      <c r="F225" t="n">
        <v>0</v>
      </c>
      <c r="H225" t="n">
        <v>0</v>
      </c>
      <c r="I225" t="n">
        <v>0</v>
      </c>
      <c r="J225" t="n">
        <v>0</v>
      </c>
      <c r="K225" t="n">
        <v>0</v>
      </c>
      <c r="L225" t="n">
        <v>0</v>
      </c>
      <c r="M225" t="n">
        <v>0</v>
      </c>
      <c r="N225" t="n">
        <v>0</v>
      </c>
    </row>
    <row r="226">
      <c r="A226" t="inlineStr">
        <is>
          <t>stock</t>
        </is>
      </c>
      <c r="B226" t="inlineStr">
        <is>
          <t>954 sold within.</t>
        </is>
      </c>
      <c r="C226" t="n">
        <v>0</v>
      </c>
      <c r="D226" t="n">
        <v>0</v>
      </c>
      <c r="E226" t="n">
        <v>0</v>
      </c>
      <c r="F226" t="n">
        <v>0</v>
      </c>
      <c r="H226" t="n">
        <v>0</v>
      </c>
      <c r="I226" t="n">
        <v>0</v>
      </c>
      <c r="J226" t="n">
        <v>0</v>
      </c>
      <c r="K226" t="n">
        <v>0</v>
      </c>
      <c r="L226" t="n">
        <v>0</v>
      </c>
      <c r="M226" t="n">
        <v>0</v>
      </c>
      <c r="N226" t="n">
        <v>0</v>
      </c>
    </row>
    <row r="227">
      <c r="A227" t="inlineStr">
        <is>
          <t>stock</t>
        </is>
      </c>
      <c r="B227" t="inlineStr">
        <is>
          <t>total as before.</t>
        </is>
      </c>
      <c r="C227" t="n">
        <v>0</v>
      </c>
      <c r="D227" t="n">
        <v>0</v>
      </c>
      <c r="E227" t="n">
        <v>0</v>
      </c>
      <c r="F227" t="n">
        <v>0</v>
      </c>
      <c r="H227" t="n">
        <v>0</v>
      </c>
      <c r="I227" t="n">
        <v>0</v>
      </c>
      <c r="J227" t="n">
        <v>0</v>
      </c>
      <c r="K227" t="n">
        <v>0</v>
      </c>
      <c r="L227" t="n">
        <v>0</v>
      </c>
      <c r="M227" t="n">
        <v>0</v>
      </c>
      <c r="N227" t="n">
        <v>0</v>
      </c>
    </row>
    <row r="228">
      <c r="A228" t="inlineStr">
        <is>
          <t>stock</t>
        </is>
      </c>
      <c r="B228" t="inlineStr">
        <is>
          <t>none remain.</t>
        </is>
      </c>
      <c r="C228" t="n">
        <v>0</v>
      </c>
      <c r="D228" t="n">
        <v>0</v>
      </c>
      <c r="E228" t="n">
        <v>0</v>
      </c>
      <c r="F228" t="n">
        <v>0</v>
      </c>
      <c r="H228" t="n">
        <v>0</v>
      </c>
      <c r="I228" t="n">
        <v>0</v>
      </c>
      <c r="J228" t="n">
        <v>0</v>
      </c>
      <c r="K228" t="n">
        <v>0</v>
      </c>
      <c r="L228" t="n">
        <v>0</v>
      </c>
      <c r="M228" t="n">
        <v>0</v>
      </c>
      <c r="N228" t="n">
        <v>0</v>
      </c>
    </row>
    <row r="229">
      <c r="A229" t="inlineStr">
        <is>
          <t>stock</t>
        </is>
      </c>
      <c r="B229" t="inlineStr">
        <is>
          <t>coarse wool: 210 fleeces from wethers, 10 from rams and 296 from hoggs produced at the shearing this year, answering for an average of 1.375 lb a fleece, plus 4 cloves in all.</t>
        </is>
      </c>
      <c r="C229" t="n">
        <v>0</v>
      </c>
      <c r="D229" t="n">
        <v>0</v>
      </c>
      <c r="E229" t="n">
        <v>0</v>
      </c>
      <c r="F229" t="n">
        <v>0</v>
      </c>
      <c r="H229" t="n">
        <v>0</v>
      </c>
      <c r="I229" t="n">
        <v>0</v>
      </c>
      <c r="J229" t="n">
        <v>0</v>
      </c>
      <c r="K229" t="n">
        <v>0</v>
      </c>
      <c r="L229" t="n">
        <v>0</v>
      </c>
      <c r="M229" t="n">
        <v>0</v>
      </c>
      <c r="N229" t="n">
        <v>0</v>
      </c>
    </row>
    <row r="230">
      <c r="A230" t="inlineStr">
        <is>
          <t>stock</t>
        </is>
      </c>
      <c r="B230" t="inlineStr">
        <is>
          <t>total, 746.1 74 in tithe.</t>
        </is>
      </c>
      <c r="C230" t="n">
        <v>0</v>
      </c>
      <c r="D230" t="n">
        <v>0</v>
      </c>
      <c r="E230" t="n">
        <v>0</v>
      </c>
      <c r="F230" t="n">
        <v>0</v>
      </c>
      <c r="H230" t="n">
        <v>0</v>
      </c>
      <c r="I230" t="n">
        <v>0</v>
      </c>
      <c r="J230" t="n">
        <v>0</v>
      </c>
      <c r="K230" t="n">
        <v>0</v>
      </c>
      <c r="L230" t="n">
        <v>0</v>
      </c>
      <c r="M230" t="n">
        <v>0</v>
      </c>
      <c r="N230" t="n">
        <v>0</v>
      </c>
    </row>
    <row r="231">
      <c r="A231" t="inlineStr">
        <is>
          <t>stock</t>
        </is>
      </c>
      <c r="B231" t="inlineStr">
        <is>
          <t>672 delivered to the treasurer of wolvesey, weighing 2 sacks 32 cloves.</t>
        </is>
      </c>
      <c r="C231" t="n">
        <v>0</v>
      </c>
      <c r="D231" t="n">
        <v>0</v>
      </c>
      <c r="E231" t="n">
        <v>0</v>
      </c>
      <c r="F231" t="n">
        <v>0</v>
      </c>
      <c r="H231" t="n">
        <v>0</v>
      </c>
      <c r="I231" t="n">
        <v>0</v>
      </c>
      <c r="J231" t="n">
        <v>0</v>
      </c>
      <c r="K231" t="n">
        <v>0</v>
      </c>
      <c r="L231" t="n">
        <v>0</v>
      </c>
      <c r="M231" t="n">
        <v>0</v>
      </c>
      <c r="N231" t="n">
        <v>0</v>
      </c>
    </row>
    <row r="232">
      <c r="A232" t="inlineStr">
        <is>
          <t>stock</t>
        </is>
      </c>
      <c r="B232" t="inlineStr">
        <is>
          <t>lamb’s wool: nothing from lamb's-wool this year for the reason made clear above.</t>
        </is>
      </c>
      <c r="C232" t="n">
        <v>0</v>
      </c>
      <c r="D232" t="n">
        <v>0</v>
      </c>
      <c r="E232" t="n">
        <v>0</v>
      </c>
      <c r="F232" t="n">
        <v>0</v>
      </c>
      <c r="H232" t="n">
        <v>0</v>
      </c>
      <c r="I232" t="n">
        <v>0</v>
      </c>
      <c r="J232" t="n">
        <v>0</v>
      </c>
      <c r="K232" t="n">
        <v>0</v>
      </c>
      <c r="L232" t="n">
        <v>0</v>
      </c>
      <c r="M232" t="n">
        <v>0</v>
      </c>
      <c r="N232" t="n">
        <v>0</v>
      </c>
    </row>
    <row r="233">
      <c r="A233" t="inlineStr">
        <is>
          <t>stock</t>
        </is>
      </c>
      <c r="B233" t="inlineStr">
        <is>
          <t>nothing from hides this year because they pertain to the farmers.</t>
        </is>
      </c>
      <c r="C233" t="n">
        <v>0</v>
      </c>
      <c r="D233" t="n">
        <v>0</v>
      </c>
      <c r="E233" t="n">
        <v>0</v>
      </c>
      <c r="F233" t="n">
        <v>0</v>
      </c>
      <c r="H233" t="n">
        <v>0</v>
      </c>
      <c r="I233" t="n">
        <v>0</v>
      </c>
      <c r="J233" t="n">
        <v>0</v>
      </c>
      <c r="K233" t="n">
        <v>0</v>
      </c>
      <c r="L233" t="n">
        <v>0</v>
      </c>
      <c r="M233" t="n">
        <v>0</v>
      </c>
      <c r="N233" t="n">
        <v>0</v>
      </c>
    </row>
    <row r="234">
      <c r="A234" t="inlineStr">
        <is>
          <t>stock</t>
        </is>
      </c>
      <c r="B234" t="inlineStr">
        <is>
          <t>woolskins: 13 from wethers, 5 from rams and 98 from ewes in murrain before shearing.</t>
        </is>
      </c>
      <c r="C234" t="n">
        <v>0</v>
      </c>
      <c r="D234" t="n">
        <v>0</v>
      </c>
      <c r="E234" t="n">
        <v>0</v>
      </c>
      <c r="F234" t="n">
        <v>0</v>
      </c>
      <c r="H234" t="n">
        <v>0</v>
      </c>
      <c r="I234" t="n">
        <v>0</v>
      </c>
      <c r="J234" t="n">
        <v>0</v>
      </c>
      <c r="K234" t="n">
        <v>0</v>
      </c>
      <c r="L234" t="n">
        <v>0</v>
      </c>
      <c r="M234" t="n">
        <v>0</v>
      </c>
      <c r="N234" t="n">
        <v>0</v>
      </c>
    </row>
    <row r="235">
      <c r="A235" t="inlineStr">
        <is>
          <t>stock</t>
        </is>
      </c>
      <c r="B235" t="inlineStr">
        <is>
          <t>total, 116. 11 in tithe.</t>
        </is>
      </c>
      <c r="C235" t="n">
        <v>0</v>
      </c>
      <c r="D235" t="n">
        <v>0</v>
      </c>
      <c r="E235" t="n">
        <v>0</v>
      </c>
      <c r="F235" t="n">
        <v>0</v>
      </c>
      <c r="H235" t="n">
        <v>0</v>
      </c>
      <c r="I235" t="n">
        <v>0</v>
      </c>
      <c r="J235" t="n">
        <v>0</v>
      </c>
      <c r="K235" t="n">
        <v>0</v>
      </c>
      <c r="L235" t="n">
        <v>0</v>
      </c>
      <c r="M235" t="n">
        <v>0</v>
      </c>
      <c r="N235" t="n">
        <v>0</v>
      </c>
    </row>
    <row r="236">
      <c r="A236" t="inlineStr">
        <is>
          <t>stock</t>
        </is>
      </c>
      <c r="B236" t="inlineStr">
        <is>
          <t>105 sold within.</t>
        </is>
      </c>
      <c r="C236" t="n">
        <v>0</v>
      </c>
      <c r="D236" t="n">
        <v>0</v>
      </c>
      <c r="E236" t="n">
        <v>0</v>
      </c>
      <c r="F236" t="n">
        <v>0</v>
      </c>
      <c r="H236" t="n">
        <v>0</v>
      </c>
      <c r="I236" t="n">
        <v>0</v>
      </c>
      <c r="J236" t="n">
        <v>0</v>
      </c>
      <c r="K236" t="n">
        <v>0</v>
      </c>
      <c r="L236" t="n">
        <v>0</v>
      </c>
      <c r="M236" t="n">
        <v>0</v>
      </c>
      <c r="N236" t="n">
        <v>0</v>
      </c>
    </row>
    <row r="237">
      <c r="A237" t="inlineStr">
        <is>
          <t>stock</t>
        </is>
      </c>
      <c r="B237" t="inlineStr">
        <is>
          <t>total as before.</t>
        </is>
      </c>
      <c r="C237" t="n">
        <v>0</v>
      </c>
      <c r="D237" t="n">
        <v>0</v>
      </c>
      <c r="E237" t="n">
        <v>0</v>
      </c>
      <c r="F237" t="n">
        <v>0</v>
      </c>
      <c r="H237" t="n">
        <v>0</v>
      </c>
      <c r="I237" t="n">
        <v>0</v>
      </c>
      <c r="J237" t="n">
        <v>0</v>
      </c>
      <c r="K237" t="n">
        <v>0</v>
      </c>
      <c r="L237" t="n">
        <v>0</v>
      </c>
      <c r="M237" t="n">
        <v>0</v>
      </c>
      <c r="N237" t="n">
        <v>0</v>
      </c>
    </row>
    <row r="238">
      <c r="A238" t="inlineStr">
        <is>
          <t>stock</t>
        </is>
      </c>
      <c r="B238" t="inlineStr">
        <is>
          <t>none remain.</t>
        </is>
      </c>
      <c r="C238" t="n">
        <v>0</v>
      </c>
      <c r="D238" t="n">
        <v>0</v>
      </c>
      <c r="E238" t="n">
        <v>0</v>
      </c>
      <c r="F238" t="n">
        <v>0</v>
      </c>
      <c r="H238" t="n">
        <v>0</v>
      </c>
      <c r="I238" t="n">
        <v>0</v>
      </c>
      <c r="J238" t="n">
        <v>0</v>
      </c>
      <c r="K238" t="n">
        <v>0</v>
      </c>
      <c r="L238" t="n">
        <v>0</v>
      </c>
      <c r="M238" t="n">
        <v>0</v>
      </c>
      <c r="N238" t="n">
        <v>0</v>
      </c>
    </row>
    <row r="239">
      <c r="A239" t="inlineStr">
        <is>
          <t>stock</t>
        </is>
      </c>
      <c r="B239" t="inlineStr">
        <is>
          <t>bare skins: 4 from wethers and 8 from ewes in murrain after shearing.</t>
        </is>
      </c>
      <c r="C239" t="n">
        <v>0</v>
      </c>
      <c r="D239" t="n">
        <v>0</v>
      </c>
      <c r="E239" t="n">
        <v>0</v>
      </c>
      <c r="F239" t="n">
        <v>0</v>
      </c>
      <c r="H239" t="n">
        <v>0</v>
      </c>
      <c r="I239" t="n">
        <v>0</v>
      </c>
      <c r="J239" t="n">
        <v>0</v>
      </c>
      <c r="K239" t="n">
        <v>0</v>
      </c>
      <c r="L239" t="n">
        <v>0</v>
      </c>
      <c r="M239" t="n">
        <v>0</v>
      </c>
      <c r="N239" t="n">
        <v>0</v>
      </c>
    </row>
    <row r="240">
      <c r="A240" t="inlineStr">
        <is>
          <t>stock</t>
        </is>
      </c>
      <c r="B240" t="inlineStr">
        <is>
          <t>sold within.</t>
        </is>
      </c>
      <c r="C240" t="n">
        <v>0</v>
      </c>
      <c r="D240" t="n">
        <v>0</v>
      </c>
      <c r="E240" t="n">
        <v>0</v>
      </c>
      <c r="F240" t="n">
        <v>0</v>
      </c>
      <c r="H240" t="n">
        <v>0</v>
      </c>
      <c r="I240" t="n">
        <v>0</v>
      </c>
      <c r="J240" t="n">
        <v>0</v>
      </c>
      <c r="K240" t="n">
        <v>0</v>
      </c>
      <c r="L240" t="n">
        <v>0</v>
      </c>
      <c r="M240" t="n">
        <v>0</v>
      </c>
      <c r="N240" t="n">
        <v>0</v>
      </c>
    </row>
    <row r="241">
      <c r="A241" t="inlineStr">
        <is>
          <t>stock</t>
        </is>
      </c>
      <c r="B241" t="inlineStr">
        <is>
          <t>none remain.</t>
        </is>
      </c>
      <c r="C241" t="n">
        <v>0</v>
      </c>
      <c r="D241" t="n">
        <v>0</v>
      </c>
      <c r="E241" t="n">
        <v>0</v>
      </c>
      <c r="F241" t="n">
        <v>0</v>
      </c>
      <c r="H241" t="n">
        <v>0</v>
      </c>
      <c r="I241" t="n">
        <v>0</v>
      </c>
      <c r="J241" t="n">
        <v>0</v>
      </c>
      <c r="K241" t="n">
        <v>0</v>
      </c>
      <c r="L241" t="n">
        <v>0</v>
      </c>
      <c r="M241" t="n">
        <v>0</v>
      </c>
      <c r="N241" t="n">
        <v>0</v>
      </c>
    </row>
    <row r="242">
      <c r="A242" t="inlineStr">
        <is>
          <t>stock</t>
        </is>
      </c>
      <c r="B242" t="inlineStr">
        <is>
          <t>lambskins: 51 from lambs in murrain before weaning.</t>
        </is>
      </c>
      <c r="C242" t="n">
        <v>0</v>
      </c>
      <c r="D242" t="n">
        <v>0</v>
      </c>
      <c r="E242" t="n">
        <v>0</v>
      </c>
      <c r="F242" t="n">
        <v>0</v>
      </c>
      <c r="H242" t="n">
        <v>0</v>
      </c>
      <c r="I242" t="n">
        <v>0</v>
      </c>
      <c r="J242" t="n">
        <v>0</v>
      </c>
      <c r="K242" t="n">
        <v>0</v>
      </c>
      <c r="L242" t="n">
        <v>0</v>
      </c>
      <c r="M242" t="n">
        <v>0</v>
      </c>
      <c r="N242" t="n">
        <v>0</v>
      </c>
    </row>
    <row r="243">
      <c r="A243" t="inlineStr">
        <is>
          <t>stock</t>
        </is>
      </c>
      <c r="B243" t="inlineStr">
        <is>
          <t>total, 51. 5 in tithe.</t>
        </is>
      </c>
      <c r="C243" t="n">
        <v>0</v>
      </c>
      <c r="D243" t="n">
        <v>0</v>
      </c>
      <c r="E243" t="n">
        <v>0</v>
      </c>
      <c r="F243" t="n">
        <v>0</v>
      </c>
      <c r="H243" t="n">
        <v>0</v>
      </c>
      <c r="I243" t="n">
        <v>0</v>
      </c>
      <c r="J243" t="n">
        <v>0</v>
      </c>
      <c r="K243" t="n">
        <v>0</v>
      </c>
      <c r="L243" t="n">
        <v>0</v>
      </c>
      <c r="M243" t="n">
        <v>0</v>
      </c>
      <c r="N243" t="n">
        <v>0</v>
      </c>
    </row>
    <row r="244">
      <c r="A244" t="inlineStr">
        <is>
          <t>stock</t>
        </is>
      </c>
      <c r="B244" t="inlineStr">
        <is>
          <t>46 sold within.</t>
        </is>
      </c>
      <c r="C244" t="n">
        <v>0</v>
      </c>
      <c r="D244" t="n">
        <v>0</v>
      </c>
      <c r="E244" t="n">
        <v>0</v>
      </c>
      <c r="F244" t="n">
        <v>0</v>
      </c>
      <c r="H244" t="n">
        <v>0</v>
      </c>
      <c r="I244" t="n">
        <v>0</v>
      </c>
      <c r="J244" t="n">
        <v>0</v>
      </c>
      <c r="K244" t="n">
        <v>0</v>
      </c>
      <c r="L244" t="n">
        <v>0</v>
      </c>
      <c r="M244" t="n">
        <v>0</v>
      </c>
      <c r="N244" t="n">
        <v>0</v>
      </c>
    </row>
    <row r="245">
      <c r="A245" t="inlineStr">
        <is>
          <t>stock</t>
        </is>
      </c>
      <c r="B245" t="inlineStr">
        <is>
          <t>total as before.</t>
        </is>
      </c>
      <c r="C245" t="n">
        <v>0</v>
      </c>
      <c r="D245" t="n">
        <v>0</v>
      </c>
      <c r="E245" t="n">
        <v>0</v>
      </c>
      <c r="F245" t="n">
        <v>0</v>
      </c>
      <c r="H245" t="n">
        <v>0</v>
      </c>
      <c r="I245" t="n">
        <v>0</v>
      </c>
      <c r="J245" t="n">
        <v>0</v>
      </c>
      <c r="K245" t="n">
        <v>0</v>
      </c>
      <c r="L245" t="n">
        <v>0</v>
      </c>
      <c r="M245" t="n">
        <v>0</v>
      </c>
      <c r="N245" t="n">
        <v>0</v>
      </c>
    </row>
    <row r="246">
      <c r="A246" t="inlineStr">
        <is>
          <t>stock</t>
        </is>
      </c>
      <c r="B246" t="inlineStr">
        <is>
          <t>none remain.</t>
        </is>
      </c>
      <c r="C246" t="n">
        <v>0</v>
      </c>
      <c r="D246" t="n">
        <v>0</v>
      </c>
      <c r="E246" t="n">
        <v>0</v>
      </c>
      <c r="F246" t="n">
        <v>0</v>
      </c>
      <c r="H246" t="n">
        <v>0</v>
      </c>
      <c r="I246" t="n">
        <v>0</v>
      </c>
      <c r="J246" t="n">
        <v>0</v>
      </c>
      <c r="K246" t="n">
        <v>0</v>
      </c>
      <c r="L246" t="n">
        <v>0</v>
      </c>
      <c r="M246" t="n">
        <v>0</v>
      </c>
      <c r="N246" t="n">
        <v>0</v>
      </c>
    </row>
    <row r="247">
      <c r="A247" t="inlineStr">
        <is>
          <t>stock</t>
        </is>
      </c>
      <c r="B247" t="inlineStr">
        <is>
          <t>rotted lambskins: 1 from a lamb in murrain after tithe and before weaning.</t>
        </is>
      </c>
      <c r="C247" t="n">
        <v>0</v>
      </c>
      <c r="D247" t="n">
        <v>0</v>
      </c>
      <c r="E247" t="n">
        <v>0</v>
      </c>
      <c r="F247" t="n">
        <v>0</v>
      </c>
      <c r="H247" t="n">
        <v>0</v>
      </c>
      <c r="I247" t="n">
        <v>0</v>
      </c>
      <c r="J247" t="n">
        <v>0</v>
      </c>
      <c r="K247" t="n">
        <v>0</v>
      </c>
      <c r="L247" t="n">
        <v>0</v>
      </c>
      <c r="M247" t="n">
        <v>0</v>
      </c>
      <c r="N247" t="n">
        <v>0</v>
      </c>
    </row>
    <row r="248">
      <c r="A248" t="inlineStr">
        <is>
          <t>stock</t>
        </is>
      </c>
      <c r="B248" t="inlineStr">
        <is>
          <t>sold within.</t>
        </is>
      </c>
      <c r="C248" t="n">
        <v>0</v>
      </c>
      <c r="D248" t="n">
        <v>0</v>
      </c>
      <c r="E248" t="n">
        <v>0</v>
      </c>
      <c r="F248" t="n">
        <v>0</v>
      </c>
      <c r="H248" t="n">
        <v>0</v>
      </c>
      <c r="I248" t="n">
        <v>0</v>
      </c>
      <c r="J248" t="n">
        <v>0</v>
      </c>
      <c r="K248" t="n">
        <v>0</v>
      </c>
      <c r="L248" t="n">
        <v>0</v>
      </c>
      <c r="M248" t="n">
        <v>0</v>
      </c>
      <c r="N248" t="n">
        <v>0</v>
      </c>
    </row>
    <row r="249">
      <c r="A249" t="inlineStr">
        <is>
          <t>stock</t>
        </is>
      </c>
      <c r="B249" t="inlineStr">
        <is>
          <t>none remain.</t>
        </is>
      </c>
      <c r="C249" t="n">
        <v>0</v>
      </c>
      <c r="D249" t="n">
        <v>0</v>
      </c>
      <c r="E249" t="n">
        <v>0</v>
      </c>
      <c r="F249" t="n">
        <v>0</v>
      </c>
      <c r="H249" t="n">
        <v>0</v>
      </c>
      <c r="I249" t="n">
        <v>0</v>
      </c>
      <c r="J249" t="n">
        <v>0</v>
      </c>
      <c r="K249" t="n">
        <v>0</v>
      </c>
      <c r="L249" t="n">
        <v>0</v>
      </c>
      <c r="M249" t="n">
        <v>0</v>
      </c>
      <c r="N249" t="n">
        <v>0</v>
      </c>
    </row>
    <row r="250">
      <c r="A250" t="inlineStr">
        <is>
          <t>stock</t>
        </is>
      </c>
      <c r="B250" t="inlineStr">
        <is>
          <t>labour services: nothing of the labour services of the customary tenants here because they are sold to the same whilst it pleases the lord, except the labour services of washing and shearing and 1 harvest boon-work from each tenant, which were done for the lord this year and will be done every year, and except the labour services of carrying when the lord should come or sojourn at highclere and the labour services of enclosing the park of the same.</t>
        </is>
      </c>
      <c r="C250" t="n">
        <v>0</v>
      </c>
      <c r="D250" t="n">
        <v>0</v>
      </c>
      <c r="E250" t="n">
        <v>0</v>
      </c>
      <c r="F250" t="n">
        <v>0</v>
      </c>
      <c r="H250" t="n">
        <v>0</v>
      </c>
      <c r="I250" t="n">
        <v>0</v>
      </c>
      <c r="J250" t="n">
        <v>0</v>
      </c>
      <c r="K250" t="n">
        <v>0</v>
      </c>
      <c r="L250" t="n">
        <v>0</v>
      </c>
      <c r="M250" t="n">
        <v>0</v>
      </c>
      <c r="N250" t="n">
        <v>0</v>
      </c>
    </row>
    <row r="251">
      <c r="A251" t="inlineStr">
        <is>
          <t>stock</t>
        </is>
      </c>
      <c r="B251" t="inlineStr">
        <is>
          <t>utensils: 4 ploughs with all wooden equipment, worth 4 shilling 8pence, 3 worn out harrows, worth 1 shilling 1pence, 4 pairs of iron-shod wheels, weighing 61 lb, worth 6 shilling 8pence, 1 cart with iron tyres with all equipment, worth 16 shilling 8pence, 4 collars, 3 pairs of traces, 1 cart saddle with saddle-pads, 1 cart-rope, 1 fork for sheaves, worth 3 shilling, 1 iron bushel measure, 1 basket for carrying corn, 1 winnowing-fan, 2 sacks, 2 sieves, 2 riddles, 1 seed-basket bound with iron, 1 shovel and 1 spade fitted with iron, 1 ladder for roofing buildings, worth 4 shilling, and 1 new brass pot remain.</t>
        </is>
      </c>
      <c r="C251" t="n">
        <v>0.23</v>
      </c>
      <c r="D251" t="n">
        <v>0</v>
      </c>
      <c r="E251" t="n">
        <v>4</v>
      </c>
      <c r="F251" t="n">
        <v>8</v>
      </c>
      <c r="H251" t="n">
        <v>0</v>
      </c>
      <c r="I251" t="n">
        <v>0</v>
      </c>
      <c r="J251" t="n">
        <v>0</v>
      </c>
      <c r="K251" t="n">
        <v>0</v>
      </c>
      <c r="L251" t="n">
        <v>0</v>
      </c>
      <c r="M251" t="n">
        <v>0</v>
      </c>
      <c r="N251" t="n">
        <v>0</v>
      </c>
    </row>
    <row r="252">
      <c r="A252" t="inlineStr">
        <is>
          <t>stock</t>
        </is>
      </c>
      <c r="B252" t="inlineStr">
        <is>
          <t>all this remains in the hands of the said farmers, to be handed back at the end of the abovesaid term or the value of the same at the choice of the lord.</t>
        </is>
      </c>
      <c r="C252" t="n">
        <v>0</v>
      </c>
      <c r="D252" t="n">
        <v>0</v>
      </c>
      <c r="E252" t="n">
        <v>0</v>
      </c>
      <c r="F252" t="n">
        <v>0</v>
      </c>
      <c r="H252" t="n">
        <v>0</v>
      </c>
      <c r="I252" t="n">
        <v>0</v>
      </c>
      <c r="J252" t="n">
        <v>0</v>
      </c>
      <c r="K252" t="n">
        <v>0</v>
      </c>
      <c r="L252" t="n">
        <v>0</v>
      </c>
      <c r="M252" t="n">
        <v>0</v>
      </c>
      <c r="N25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BURGHCLERE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25</v>
      </c>
      <c r="C3" s="128" t="n">
        <v>15</v>
      </c>
      <c r="D3" s="128" t="n">
        <v>7</v>
      </c>
      <c r="E3" s="128" t="n"/>
      <c r="F3" s="128" t="n">
        <v>25.78</v>
      </c>
      <c r="G3" s="128" t="n"/>
      <c r="H3" s="128" t="inlineStr">
        <is>
          <t>The same answers for £25 15 shilling 7pence of arrears from the last account of the preceding year.</t>
        </is>
      </c>
      <c r="I3" s="128" t="n"/>
    </row>
    <row r="4">
      <c r="A4" s="136" t="inlineStr">
        <is>
          <t>Arrears</t>
        </is>
      </c>
      <c r="B4" s="128" t="n">
        <v>25</v>
      </c>
      <c r="C4" s="128" t="n">
        <v>15</v>
      </c>
      <c r="D4" s="128" t="n">
        <v>7</v>
      </c>
      <c r="E4" s="128" t="n"/>
      <c r="F4" s="128" t="n">
        <v>25.78</v>
      </c>
      <c r="G4" s="128" t="n"/>
      <c r="H4" s="128" t="inlineStr">
        <is>
          <t>Total, £25 15 shilling 7pence.</t>
        </is>
      </c>
      <c r="I4" s="128" t="n"/>
    </row>
    <row r="5">
      <c r="A5" s="138" t="inlineStr">
        <is>
          <t>Arrears total</t>
        </is>
      </c>
      <c r="B5" s="139" t="n"/>
      <c r="C5" s="139" t="n"/>
      <c r="D5" s="139" t="n"/>
      <c r="E5" s="139" t="n"/>
      <c r="F5" s="139" t="n">
        <v>25.78</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2</v>
      </c>
      <c r="C7" s="128" t="n">
        <v>19</v>
      </c>
      <c r="D7" s="128" t="n">
        <v>7</v>
      </c>
      <c r="E7" s="128" t="n"/>
      <c r="F7" s="128" t="n">
        <v>2.98</v>
      </c>
      <c r="G7" s="128" t="n"/>
      <c r="H7" s="128" t="inlineStr">
        <is>
          <t>And for £2 19 shilling 7pence for all rents of assize there at Christmas.</t>
        </is>
      </c>
      <c r="I7" s="128" t="n"/>
    </row>
    <row r="8">
      <c r="A8" s="136" t="inlineStr">
        <is>
          <t>Rents of assize</t>
        </is>
      </c>
      <c r="B8" s="128" t="n">
        <v>2</v>
      </c>
      <c r="C8" s="128" t="n">
        <v>19</v>
      </c>
      <c r="D8" s="128" t="n">
        <v>7.25</v>
      </c>
      <c r="E8" s="128" t="n"/>
      <c r="F8" s="128" t="n">
        <v>2.98</v>
      </c>
      <c r="G8" s="128" t="n"/>
      <c r="H8" s="128" t="inlineStr">
        <is>
          <t>£2 19 shilling 7.25pence at Easter (23 March).</t>
        </is>
      </c>
      <c r="I8" s="128" t="n"/>
    </row>
    <row r="9">
      <c r="A9" s="136" t="inlineStr">
        <is>
          <t>Rents of assize</t>
        </is>
      </c>
      <c r="B9" s="128" t="n">
        <v>2</v>
      </c>
      <c r="C9" s="128" t="n">
        <v>19</v>
      </c>
      <c r="D9" s="128" t="n">
        <v>7.25</v>
      </c>
      <c r="E9" s="128" t="n"/>
      <c r="F9" s="128" t="n">
        <v>2.98</v>
      </c>
      <c r="G9" s="128" t="n"/>
      <c r="H9" s="128" t="inlineStr">
        <is>
          <t>£2 19 shilling 7.25pence at the Nativity of the blessed John the Baptist (24 June).</t>
        </is>
      </c>
      <c r="I9" s="128" t="n"/>
    </row>
    <row r="10">
      <c r="A10" s="136" t="inlineStr">
        <is>
          <t>Rents of assize</t>
        </is>
      </c>
      <c r="B10" s="128" t="n">
        <v>17</v>
      </c>
      <c r="C10" s="128" t="n">
        <v>8</v>
      </c>
      <c r="D10" s="128" t="n">
        <v>10</v>
      </c>
      <c r="E10" s="128" t="n"/>
      <c r="F10" s="128" t="n">
        <v>17.44</v>
      </c>
      <c r="G10" s="128" t="n"/>
      <c r="H10" s="128" t="inlineStr">
        <is>
          <t>£17 8 shilling 10pence at Michaelmas (29 September).</t>
        </is>
      </c>
      <c r="I10" s="128" t="n"/>
    </row>
    <row r="11">
      <c r="A11" s="136" t="inlineStr">
        <is>
          <t>Rents of assize</t>
        </is>
      </c>
      <c r="B11" s="128" t="n">
        <v>0</v>
      </c>
      <c r="C11" s="128" t="n">
        <v>0</v>
      </c>
      <c r="D11" s="128" t="n">
        <v>1</v>
      </c>
      <c r="E11" s="128" t="n"/>
      <c r="F11" s="128" t="n">
        <v>0</v>
      </c>
      <c r="G11" s="128" t="n"/>
      <c r="H11" s="128" t="inlineStr">
        <is>
          <t>1pence for the increment of rent of John Smyth' of Whitway for 1 plot of the lord's waste.</t>
        </is>
      </c>
      <c r="I11" s="128" t="n"/>
    </row>
    <row r="12">
      <c r="A12" s="136" t="inlineStr">
        <is>
          <t>Rents of assize</t>
        </is>
      </c>
      <c r="B12" s="128" t="n">
        <v>26</v>
      </c>
      <c r="C12" s="128" t="n">
        <v>7</v>
      </c>
      <c r="D12" s="128" t="n">
        <v>8.5</v>
      </c>
      <c r="E12" s="128" t="n"/>
      <c r="F12" s="128" t="n">
        <v>26.39</v>
      </c>
      <c r="G12" s="128" t="n"/>
      <c r="H12" s="128" t="inlineStr">
        <is>
          <t>Total, £26 7 shilling 8.5pence.</t>
        </is>
      </c>
      <c r="I12" s="128" t="n"/>
    </row>
    <row r="13">
      <c r="A13" s="138" t="inlineStr">
        <is>
          <t>Rents of assize total</t>
        </is>
      </c>
      <c r="B13" s="139" t="n"/>
      <c r="C13" s="139" t="n"/>
      <c r="D13" s="139" t="n"/>
      <c r="E13" s="139" t="n"/>
      <c r="F13" s="139" t="n">
        <v>26.38</v>
      </c>
      <c r="G13" s="139" t="n">
        <v>-0.01</v>
      </c>
      <c r="H13" s="139" t="inlineStr">
        <is>
          <t>Total</t>
        </is>
      </c>
      <c r="I13" s="139" t="n"/>
    </row>
    <row r="14">
      <c r="A14" s="136" t="n"/>
      <c r="B14" s="128" t="n"/>
      <c r="C14" s="128" t="n"/>
      <c r="D14" s="128" t="n"/>
      <c r="E14" s="128" t="n"/>
      <c r="F14" s="128" t="n"/>
      <c r="G14" s="128" t="n"/>
      <c r="H14" s="128" t="n"/>
      <c r="I14" s="128" t="n"/>
    </row>
    <row r="15">
      <c r="A15" s="137" t="inlineStr">
        <is>
          <t>Defaults of rent</t>
        </is>
      </c>
      <c r="B15" s="128" t="n">
        <v>1</v>
      </c>
      <c r="C15" s="128" t="n">
        <v>7</v>
      </c>
      <c r="D15" s="128" t="n">
        <v>0</v>
      </c>
      <c r="E15" s="128" t="n"/>
      <c r="F15" s="128" t="n">
        <v>1.35</v>
      </c>
      <c r="G15" s="128" t="n"/>
      <c r="H15" s="128" t="inlineStr">
        <is>
          <t>In default of 335 acres of land drawn into demesne, £1 7 shilling for the year.</t>
        </is>
      </c>
      <c r="I15" s="128" t="n"/>
    </row>
    <row r="16">
      <c r="A16" s="136" t="inlineStr">
        <is>
          <t>Defaults of rent</t>
        </is>
      </c>
      <c r="B16" s="128" t="n">
        <v>0</v>
      </c>
      <c r="C16" s="128" t="n">
        <v>3</v>
      </c>
      <c r="D16" s="128" t="n">
        <v>0</v>
      </c>
      <c r="E16" s="128" t="n"/>
      <c r="F16" s="128" t="n">
        <v>0.15</v>
      </c>
      <c r="G16" s="128" t="n"/>
      <c r="H16" s="128" t="inlineStr">
        <is>
          <t>the land of Aillewyn drawn into demesne, 3 shilling for the year.</t>
        </is>
      </c>
      <c r="I16" s="128" t="n"/>
    </row>
    <row r="17">
      <c r="A17" s="136" t="inlineStr">
        <is>
          <t>Defaults of rent</t>
        </is>
      </c>
      <c r="B17" s="128" t="n">
        <v>0</v>
      </c>
      <c r="C17" s="128" t="n">
        <v>1</v>
      </c>
      <c r="D17" s="128" t="n">
        <v>8</v>
      </c>
      <c r="E17" s="128" t="n"/>
      <c r="F17" s="128" t="n">
        <v>0.08</v>
      </c>
      <c r="G17" s="128" t="n"/>
      <c r="H17" s="128" t="inlineStr">
        <is>
          <t>10 acres of land of Roger Manypetite drawn into demesne, 1 shilling 8pence for the year.</t>
        </is>
      </c>
      <c r="I17" s="128" t="n"/>
    </row>
    <row r="18">
      <c r="A18" s="136" t="inlineStr">
        <is>
          <t>Defaults of rent</t>
        </is>
      </c>
      <c r="B18" s="128" t="n">
        <v>0</v>
      </c>
      <c r="C18" s="128" t="n">
        <v>2</v>
      </c>
      <c r="D18" s="128" t="n">
        <v>6</v>
      </c>
      <c r="E18" s="128" t="n"/>
      <c r="F18" s="128" t="n">
        <v>0.12</v>
      </c>
      <c r="G18" s="128" t="n"/>
      <c r="H18" s="128" t="inlineStr">
        <is>
          <t>the land of Osmond Doust drawn into demesne, 2 shilling 6pence for the year.</t>
        </is>
      </c>
      <c r="I18" s="128" t="n"/>
    </row>
    <row r="19">
      <c r="A19" s="136" t="inlineStr">
        <is>
          <t>Defaults of rent</t>
        </is>
      </c>
      <c r="B19" s="128" t="n">
        <v>0</v>
      </c>
      <c r="C19" s="128" t="n">
        <v>1</v>
      </c>
      <c r="D19" s="128" t="n">
        <v>8</v>
      </c>
      <c r="E19" s="128" t="n"/>
      <c r="F19" s="128" t="n">
        <v>0.08</v>
      </c>
      <c r="G19" s="128" t="n"/>
      <c r="H19" s="128" t="inlineStr">
        <is>
          <t>the land of Simon Clerc' drawn into demesne, 1 shilling 8pence for the year.</t>
        </is>
      </c>
      <c r="I19" s="128" t="n"/>
    </row>
    <row r="20">
      <c r="A20" s="136" t="inlineStr">
        <is>
          <t>Defaults of rent</t>
        </is>
      </c>
      <c r="B20" s="128" t="n">
        <v>0</v>
      </c>
      <c r="C20" s="128" t="n">
        <v>1</v>
      </c>
      <c r="D20" s="128" t="n">
        <v>0</v>
      </c>
      <c r="E20" s="128" t="n"/>
      <c r="F20" s="128" t="n">
        <v>0.05</v>
      </c>
      <c r="G20" s="128" t="n"/>
      <c r="H20" s="128" t="inlineStr">
        <is>
          <t>the land of Aillewyn drawn into demesne, 1 shilling for the year.</t>
        </is>
      </c>
      <c r="I20" s="128" t="n"/>
    </row>
    <row r="21">
      <c r="A21" s="136" t="inlineStr">
        <is>
          <t>Defaults of rent</t>
        </is>
      </c>
      <c r="B21" s="128" t="n">
        <v>0</v>
      </c>
      <c r="C21" s="128" t="n">
        <v>0</v>
      </c>
      <c r="D21" s="128" t="n">
        <v>0</v>
      </c>
      <c r="E21" s="128" t="n"/>
      <c r="F21" s="128" t="n">
        <v>0</v>
      </c>
      <c r="G21" s="128" t="n"/>
      <c r="H21" s="128" t="inlineStr">
        <is>
          <t>1 plot of purpresture formerly of John le Newe drawn into the park of Highclere, Id. this year.</t>
        </is>
      </c>
      <c r="I21" s="128" t="n"/>
    </row>
    <row r="22">
      <c r="A22" s="136" t="inlineStr">
        <is>
          <t>Defaults of rent</t>
        </is>
      </c>
      <c r="B22" s="128" t="n">
        <v>0</v>
      </c>
      <c r="C22" s="128" t="n">
        <v>0</v>
      </c>
      <c r="D22" s="128" t="n">
        <v>3</v>
      </c>
      <c r="E22" s="128" t="n"/>
      <c r="F22" s="128" t="n">
        <v>0.01</v>
      </c>
      <c r="G22" s="128" t="n"/>
      <c r="H22" s="128" t="inlineStr">
        <is>
          <t>.5 acre of purpresture formerly of Richard le Whyte drawn into the aforesaid park 3pence.</t>
        </is>
      </c>
      <c r="I22" s="128" t="n"/>
    </row>
    <row r="23">
      <c r="A23" s="136" t="inlineStr">
        <is>
          <t>Defaults of rent</t>
        </is>
      </c>
      <c r="B23" s="128" t="n">
        <v>0</v>
      </c>
      <c r="C23" s="128" t="n">
        <v>1</v>
      </c>
      <c r="D23" s="128" t="n">
        <v>0</v>
      </c>
      <c r="E23" s="128" t="n"/>
      <c r="F23" s="128" t="n">
        <v>0.05</v>
      </c>
      <c r="G23" s="128" t="n"/>
      <c r="H23" s="128" t="inlineStr">
        <is>
          <t>the land of Osmond Doust drawn into demesne, 1 shilling for the year.</t>
        </is>
      </c>
      <c r="I23" s="128" t="n"/>
    </row>
    <row r="24">
      <c r="A24" s="136" t="inlineStr">
        <is>
          <t>Defaults of rent</t>
        </is>
      </c>
      <c r="B24" s="128" t="n">
        <v>0</v>
      </c>
      <c r="C24" s="128" t="n">
        <v>8</v>
      </c>
      <c r="D24" s="128" t="n">
        <v>0</v>
      </c>
      <c r="E24" s="128" t="n"/>
      <c r="F24" s="128" t="n">
        <v>0.4</v>
      </c>
      <c r="G24" s="128" t="n"/>
      <c r="H24" s="128" t="inlineStr">
        <is>
          <t>1 plot of purpresture formerly of John le Eir', containing 20 acres of land, drawn into the aforesaid park 8 shilling.</t>
        </is>
      </c>
      <c r="I24" s="128" t="n"/>
    </row>
    <row r="25">
      <c r="A25" s="136" t="inlineStr">
        <is>
          <t>Defaults of rent</t>
        </is>
      </c>
      <c r="B25" s="128" t="n">
        <v>2</v>
      </c>
      <c r="C25" s="128" t="n">
        <v>6</v>
      </c>
      <c r="D25" s="128" t="n">
        <v>2</v>
      </c>
      <c r="E25" s="128" t="n"/>
      <c r="F25" s="128" t="n">
        <v>2.31</v>
      </c>
      <c r="G25" s="128" t="n"/>
      <c r="H25" s="128" t="inlineStr">
        <is>
          <t>Total, £2 6 shilling 2pence.</t>
        </is>
      </c>
      <c r="I25" s="128" t="n"/>
    </row>
    <row r="26">
      <c r="A26" s="138" t="inlineStr">
        <is>
          <t>Defaults of rent total</t>
        </is>
      </c>
      <c r="B26" s="139" t="n"/>
      <c r="C26" s="139" t="n"/>
      <c r="D26" s="139" t="n"/>
      <c r="E26" s="139" t="n"/>
      <c r="F26" s="139" t="n">
        <v>2.29</v>
      </c>
      <c r="G26" s="139" t="n">
        <v>-0.02</v>
      </c>
      <c r="H26" s="139" t="inlineStr">
        <is>
          <t>Total</t>
        </is>
      </c>
      <c r="I26" s="139" t="n"/>
    </row>
    <row r="27">
      <c r="A27" s="136" t="n"/>
      <c r="B27" s="128" t="n"/>
      <c r="C27" s="128" t="n"/>
      <c r="D27" s="128" t="n"/>
      <c r="E27" s="128" t="n"/>
      <c r="F27" s="128" t="n"/>
      <c r="G27" s="128" t="n"/>
      <c r="H27" s="128" t="n"/>
      <c r="I27" s="128" t="n"/>
    </row>
    <row r="28">
      <c r="A28" s="137" t="inlineStr">
        <is>
          <t>Total of quittances and defaults of rent</t>
        </is>
      </c>
      <c r="B28" s="128" t="n">
        <v>6</v>
      </c>
      <c r="C28" s="128" t="n">
        <v>0</v>
      </c>
      <c r="D28" s="128" t="n">
        <v>10.5</v>
      </c>
      <c r="E28" s="128" t="n"/>
      <c r="F28" s="128" t="n">
        <v>6.04</v>
      </c>
      <c r="G28" s="128" t="n"/>
      <c r="H28" s="128" t="inlineStr">
        <is>
          <t>Total of quittances and defaults of rent, £6 10.5pence.</t>
        </is>
      </c>
      <c r="I28" s="128" t="n"/>
    </row>
    <row r="29">
      <c r="A29" s="138" t="inlineStr">
        <is>
          <t>Total of quittances and defaults of rent total</t>
        </is>
      </c>
      <c r="B29" s="139" t="n"/>
      <c r="C29" s="139" t="n"/>
      <c r="D29" s="139" t="n"/>
      <c r="E29" s="139" t="n"/>
      <c r="F29" s="139" t="n">
        <v>6.04</v>
      </c>
      <c r="G29" s="139" t="n">
        <v>0</v>
      </c>
      <c r="H29" s="139" t="inlineStr">
        <is>
          <t>Total</t>
        </is>
      </c>
      <c r="I29" s="139" t="n"/>
    </row>
    <row r="30">
      <c r="A30" s="136" t="n"/>
      <c r="B30" s="128" t="n"/>
      <c r="C30" s="128" t="n"/>
      <c r="D30" s="128" t="n"/>
      <c r="E30" s="128" t="n"/>
      <c r="F30" s="128" t="n"/>
      <c r="G30" s="128" t="n"/>
      <c r="H30" s="128" t="n"/>
      <c r="I30" s="128" t="n"/>
    </row>
    <row r="31">
      <c r="A31" s="137" t="inlineStr">
        <is>
          <t>Total of rents remaining clear</t>
        </is>
      </c>
      <c r="B31" s="128" t="n">
        <v>20</v>
      </c>
      <c r="C31" s="128" t="n">
        <v>6</v>
      </c>
      <c r="D31" s="128" t="n">
        <v>10</v>
      </c>
      <c r="E31" s="128" t="n"/>
      <c r="F31" s="128" t="n">
        <v>20.34</v>
      </c>
      <c r="G31" s="128" t="n"/>
      <c r="H31" s="128" t="inlineStr">
        <is>
          <t>Total of rents remaining clear, £20 6 shilling 10pence.</t>
        </is>
      </c>
      <c r="I31" s="128" t="n"/>
    </row>
    <row r="32">
      <c r="A32" s="138" t="inlineStr">
        <is>
          <t>Total of rents remaining clear total</t>
        </is>
      </c>
      <c r="B32" s="139" t="n"/>
      <c r="C32" s="139" t="n"/>
      <c r="D32" s="139" t="n"/>
      <c r="E32" s="139" t="n"/>
      <c r="F32" s="139" t="n">
        <v>20.34</v>
      </c>
      <c r="G32" s="139" t="n">
        <v>0</v>
      </c>
      <c r="H32" s="139" t="inlineStr">
        <is>
          <t>Total</t>
        </is>
      </c>
      <c r="I32" s="139" t="n"/>
    </row>
    <row r="33">
      <c r="A33" s="136" t="n"/>
      <c r="B33" s="128" t="n"/>
      <c r="C33" s="128" t="n"/>
      <c r="D33" s="128" t="n"/>
      <c r="E33" s="128" t="n"/>
      <c r="F33" s="128" t="n"/>
      <c r="G33" s="128" t="n"/>
      <c r="H33" s="128" t="n"/>
      <c r="I33" s="128" t="n"/>
    </row>
    <row r="34">
      <c r="A34" s="137" t="inlineStr">
        <is>
          <t>Issues of the manor</t>
        </is>
      </c>
      <c r="B34" s="128" t="n">
        <v>0</v>
      </c>
      <c r="C34" s="128" t="n">
        <v>6</v>
      </c>
      <c r="D34" s="128" t="n">
        <v>1</v>
      </c>
      <c r="E34" s="128" t="n"/>
      <c r="F34" s="128" t="n">
        <v>0.3</v>
      </c>
      <c r="G34" s="128" t="n"/>
      <c r="H34" s="128" t="inlineStr">
        <is>
          <t>And for 6 shilling from the pannage of the pigs of the customary tenants at Martinmas, that is, for 50 pigs, at 1pence each, and 44 piglets, at .5pence each, and this through Henry, lord bishop of Winchester, because henceforth the men of Wolstret will only give 1pence instead of 2pence, which they and the other tenants were accustomed to pay for the common of Garston', which same common is let for a fixed rent.</t>
        </is>
      </c>
      <c r="I34" s="128" t="n"/>
    </row>
    <row r="35">
      <c r="A35" s="136" t="inlineStr">
        <is>
          <t>Issues of the manor</t>
        </is>
      </c>
      <c r="B35" s="128" t="n">
        <v>0</v>
      </c>
      <c r="C35" s="128" t="n">
        <v>0</v>
      </c>
      <c r="D35" s="128" t="n">
        <v>0</v>
      </c>
      <c r="E35" s="128" t="n"/>
      <c r="F35" s="128" t="n">
        <v>0</v>
      </c>
      <c r="G35" s="128" t="n"/>
      <c r="H35" s="128" t="inlineStr">
        <is>
          <t>nothing from the pasturage in Hareberd' and Eldehull' and the pasturage in Lovecombe because it is grazed by the lord's sheep.</t>
        </is>
      </c>
      <c r="I35" s="128" t="n"/>
    </row>
    <row r="36">
      <c r="A36" s="136" t="inlineStr">
        <is>
          <t>Issues of the manor</t>
        </is>
      </c>
      <c r="B36" s="128" t="n">
        <v>0</v>
      </c>
      <c r="C36" s="128" t="n">
        <v>5</v>
      </c>
      <c r="D36" s="128" t="n">
        <v>0</v>
      </c>
      <c r="E36" s="128" t="n"/>
      <c r="F36" s="128" t="n">
        <v>0.25</v>
      </c>
      <c r="G36" s="128" t="n"/>
      <c r="H36" s="128" t="inlineStr">
        <is>
          <t>5 shilling from the men of Earlstone at Michaelmas according to custom for herbage.</t>
        </is>
      </c>
      <c r="I36" s="128" t="n"/>
    </row>
    <row r="37">
      <c r="A37" s="136" t="inlineStr">
        <is>
          <t>Issues of the manor</t>
        </is>
      </c>
      <c r="B37" s="128" t="n">
        <v>0</v>
      </c>
      <c r="C37" s="128" t="n">
        <v>0</v>
      </c>
      <c r="D37" s="128" t="n">
        <v>0</v>
      </c>
      <c r="E37" s="128" t="n"/>
      <c r="F37" s="128" t="n">
        <v>0</v>
      </c>
      <c r="G37" s="128" t="n"/>
      <c r="H37" s="128" t="inlineStr">
        <is>
          <t>nothing from the issue of the quarry this year.</t>
        </is>
      </c>
      <c r="I37" s="128" t="n"/>
    </row>
    <row r="38">
      <c r="A38" s="136" t="inlineStr">
        <is>
          <t>Issues of the manor</t>
        </is>
      </c>
      <c r="B38" s="128" t="n">
        <v>0</v>
      </c>
      <c r="C38" s="128" t="n">
        <v>3</v>
      </c>
      <c r="D38" s="128" t="n">
        <v>0</v>
      </c>
      <c r="E38" s="128" t="n"/>
      <c r="F38" s="128" t="n">
        <v>0.15</v>
      </c>
      <c r="G38" s="128" t="n"/>
      <c r="H38" s="128" t="inlineStr">
        <is>
          <t>3 shilling from the men of Adbury for not making charcoal at Christmas.</t>
        </is>
      </c>
      <c r="I38" s="128" t="n"/>
    </row>
    <row r="39">
      <c r="A39" s="136" t="inlineStr">
        <is>
          <t>Issues of the manor</t>
        </is>
      </c>
      <c r="B39" s="128" t="n">
        <v>0</v>
      </c>
      <c r="C39" s="128" t="n">
        <v>3</v>
      </c>
      <c r="D39" s="128" t="n">
        <v>0</v>
      </c>
      <c r="E39" s="128" t="n"/>
      <c r="F39" s="128" t="n">
        <v>0.15</v>
      </c>
      <c r="G39" s="128" t="n"/>
      <c r="H39" s="128" t="inlineStr">
        <is>
          <t>3 shilling from the free tenants in Earlstone for release from ploughing at Michaelmas, because the villeins will plough at the winter sowing and fallow.</t>
        </is>
      </c>
      <c r="I39" s="128" t="n"/>
    </row>
    <row r="40">
      <c r="A40" s="136" t="inlineStr">
        <is>
          <t>Issues of the manor</t>
        </is>
      </c>
      <c r="B40" s="128" t="n">
        <v>0</v>
      </c>
      <c r="C40" s="128" t="n">
        <v>2</v>
      </c>
      <c r="D40" s="128" t="n">
        <v>0</v>
      </c>
      <c r="E40" s="128" t="n"/>
      <c r="F40" s="128" t="n">
        <v>0.1</v>
      </c>
      <c r="G40" s="128" t="n"/>
      <c r="H40" s="128" t="inlineStr">
        <is>
          <t>2 shilling from honey according to custom at Michaelmas for land which John Gerard' holds.</t>
        </is>
      </c>
      <c r="I40" s="128" t="n"/>
    </row>
    <row r="41">
      <c r="A41" s="136" t="inlineStr">
        <is>
          <t>Issues of the manor</t>
        </is>
      </c>
      <c r="B41" s="128" t="n">
        <v>0</v>
      </c>
      <c r="C41" s="128" t="n">
        <v>18</v>
      </c>
      <c r="D41" s="128" t="n">
        <v>6</v>
      </c>
      <c r="E41" s="128" t="n"/>
      <c r="F41" s="128" t="n">
        <v>0.93</v>
      </c>
      <c r="G41" s="128" t="n"/>
      <c r="H41" s="128" t="inlineStr">
        <is>
          <t>18 shilling 6pence from the woolskins sold of 12 wethers and 93 rams and ewes in murrain before shearing, at 3pence a skin of wethers, and 2pence of rams and ewes.</t>
        </is>
      </c>
      <c r="I41" s="128" t="n"/>
    </row>
    <row r="42">
      <c r="A42" s="136" t="inlineStr">
        <is>
          <t>Issues of the manor</t>
        </is>
      </c>
      <c r="B42" s="128" t="n">
        <v>0</v>
      </c>
      <c r="C42" s="128" t="n">
        <v>1</v>
      </c>
      <c r="D42" s="128" t="n">
        <v>0</v>
      </c>
      <c r="E42" s="128" t="n"/>
      <c r="F42" s="128" t="n">
        <v>0.05</v>
      </c>
      <c r="G42" s="128" t="n"/>
      <c r="H42" s="128" t="inlineStr">
        <is>
          <t>1 shilling from the bare skins sold of 12 wethers and ewes in murrain after shearing.</t>
        </is>
      </c>
      <c r="I42" s="128" t="n"/>
    </row>
    <row r="43">
      <c r="A43" s="136" t="inlineStr">
        <is>
          <t>Issues of the manor</t>
        </is>
      </c>
      <c r="B43" s="128" t="n">
        <v>0</v>
      </c>
      <c r="C43" s="128" t="n">
        <v>1</v>
      </c>
      <c r="D43" s="128" t="n">
        <v>11</v>
      </c>
      <c r="E43" s="128" t="n"/>
      <c r="F43" s="128" t="n">
        <v>0.1</v>
      </c>
      <c r="G43" s="128" t="n"/>
      <c r="H43" s="128" t="inlineStr">
        <is>
          <t>1 shilling 11pence from the skins sold of 46 lambs in murrain before weaning.</t>
        </is>
      </c>
      <c r="I43" s="128" t="n"/>
    </row>
    <row r="44">
      <c r="A44" s="136" t="inlineStr">
        <is>
          <t>Issues of the manor</t>
        </is>
      </c>
      <c r="B44" s="128" t="n">
        <v>0</v>
      </c>
      <c r="C44" s="128" t="n">
        <v>0</v>
      </c>
      <c r="D44" s="128" t="n">
        <v>5</v>
      </c>
      <c r="E44" s="128" t="n"/>
      <c r="F44" s="128" t="n">
        <v>0.02</v>
      </c>
      <c r="G44" s="128" t="n"/>
      <c r="H44" s="128" t="inlineStr">
        <is>
          <t>.5pence from the rotted skin of 1 lamb in murrain after tithe and before weaning.</t>
        </is>
      </c>
      <c r="I44" s="128" t="n"/>
    </row>
    <row r="45">
      <c r="A45" s="136" t="inlineStr">
        <is>
          <t>Issues of the manor</t>
        </is>
      </c>
      <c r="B45" s="128" t="n">
        <v>0</v>
      </c>
      <c r="C45" s="128" t="n">
        <v>0</v>
      </c>
      <c r="D45" s="128" t="n">
        <v>0</v>
      </c>
      <c r="E45" s="128" t="n"/>
      <c r="F45" s="128" t="n">
        <v>0</v>
      </c>
      <c r="G45" s="128" t="n"/>
      <c r="H45" s="128" t="inlineStr">
        <is>
          <t>nothing from the sale of geese and capons this year because they were handed over with the farm.</t>
        </is>
      </c>
      <c r="I45" s="128" t="n"/>
    </row>
    <row r="46">
      <c r="A46" s="136" t="inlineStr">
        <is>
          <t>Issues of the manor</t>
        </is>
      </c>
      <c r="B46" s="128" t="n">
        <v>0</v>
      </c>
      <c r="C46" s="128" t="n">
        <v>16</v>
      </c>
      <c r="D46" s="128" t="n">
        <v>8</v>
      </c>
      <c r="E46" s="128" t="n"/>
      <c r="F46" s="128" t="n">
        <v>0.83</v>
      </c>
      <c r="G46" s="128" t="n"/>
      <c r="H46" s="128" t="inlineStr">
        <is>
          <t>16 shilling 8pence from 100 cocks and hens from churchscot sold as made clear elsewhere, 57 of them to the lord's household, at 2pence each.</t>
        </is>
      </c>
      <c r="I46" s="128" t="n"/>
    </row>
    <row r="47">
      <c r="A47" s="136" t="inlineStr">
        <is>
          <t>Issues of the manor</t>
        </is>
      </c>
      <c r="B47" s="128" t="n">
        <v>0</v>
      </c>
      <c r="C47" s="128" t="n">
        <v>3</v>
      </c>
      <c r="D47" s="128" t="n">
        <v>5</v>
      </c>
      <c r="E47" s="128" t="n"/>
      <c r="F47" s="128" t="n">
        <v>0.17</v>
      </c>
      <c r="G47" s="128" t="n"/>
      <c r="H47" s="128" t="inlineStr">
        <is>
          <t>3 shilling 11.5c1. from 954 hens' eggs sold as made clear elsewhere, at 5pence a 100.</t>
        </is>
      </c>
      <c r="I47" s="128" t="n"/>
    </row>
    <row r="48">
      <c r="A48" s="136" t="inlineStr">
        <is>
          <t>Issues of the manor</t>
        </is>
      </c>
      <c r="B48" s="128" t="n">
        <v>1</v>
      </c>
      <c r="C48" s="128" t="n">
        <v>16</v>
      </c>
      <c r="D48" s="128" t="n">
        <v>8</v>
      </c>
      <c r="E48" s="128" t="n"/>
      <c r="F48" s="128" t="n">
        <v>1.83</v>
      </c>
      <c r="G48" s="128" t="n"/>
      <c r="H48" s="128" t="inlineStr">
        <is>
          <t>£1 16 shilling 8pence from the labour services of 4 cotlands and 3 half-cotlands sold to the men of Adbury, except the labour services of washing and shearing and the harvest boon-work, which were done for the lord this year and will be done every year, at 6 shilling 8pence for each cotland and 3 shilling 4pence for a half-cotland.</t>
        </is>
      </c>
      <c r="I48" s="128" t="n"/>
    </row>
    <row r="49">
      <c r="A49" s="136" t="inlineStr">
        <is>
          <t>Issues of the manor</t>
        </is>
      </c>
      <c r="B49" s="128" t="n">
        <v>4</v>
      </c>
      <c r="C49" s="128" t="n">
        <v>17</v>
      </c>
      <c r="D49" s="128" t="n">
        <v>9</v>
      </c>
      <c r="E49" s="128" t="n"/>
      <c r="F49" s="128" t="n">
        <v>4.89</v>
      </c>
      <c r="G49" s="128" t="n"/>
      <c r="H49" s="128" t="inlineStr">
        <is>
          <t>Total, £4 17 shilling 9pence.</t>
        </is>
      </c>
      <c r="I49" s="128" t="n"/>
    </row>
    <row r="50">
      <c r="A50" s="138" t="inlineStr">
        <is>
          <t>Issues of the manor total</t>
        </is>
      </c>
      <c r="B50" s="139" t="n"/>
      <c r="C50" s="139" t="n"/>
      <c r="D50" s="139" t="n"/>
      <c r="E50" s="139" t="n"/>
      <c r="F50" s="139" t="n">
        <v>4.88</v>
      </c>
      <c r="G50" s="139" t="n">
        <v>-0.01</v>
      </c>
      <c r="H50" s="139" t="inlineStr">
        <is>
          <t>Total</t>
        </is>
      </c>
      <c r="I50" s="139" t="n"/>
    </row>
    <row r="51">
      <c r="A51" s="136" t="n"/>
      <c r="B51" s="128" t="n"/>
      <c r="C51" s="128" t="n"/>
      <c r="D51" s="128" t="n"/>
      <c r="E51" s="128" t="n"/>
      <c r="F51" s="128" t="n"/>
      <c r="G51" s="128" t="n"/>
      <c r="H51" s="128" t="n"/>
      <c r="I51" s="128" t="n"/>
    </row>
    <row r="52">
      <c r="A52" s="137" t="inlineStr">
        <is>
          <t>Sale of stock</t>
        </is>
      </c>
      <c r="B52" s="128" t="n">
        <v>0</v>
      </c>
      <c r="C52" s="128" t="n">
        <v>6</v>
      </c>
      <c r="D52" s="128" t="n">
        <v>8</v>
      </c>
      <c r="E52" s="128" t="n"/>
      <c r="F52" s="128" t="n">
        <v>0.33</v>
      </c>
      <c r="G52" s="128" t="n"/>
      <c r="H52" s="128" t="inlineStr">
        <is>
          <t>And for 6 shilling 8pence from 1 cow from the heriot of William Baynton' sold.</t>
        </is>
      </c>
      <c r="I52" s="128" t="n"/>
    </row>
    <row r="53">
      <c r="A53" s="136" t="inlineStr">
        <is>
          <t>Sale of stock</t>
        </is>
      </c>
      <c r="B53" s="128" t="n">
        <v>1</v>
      </c>
      <c r="C53" s="128" t="n">
        <v>11</v>
      </c>
      <c r="D53" s="128" t="n">
        <v>8</v>
      </c>
      <c r="E53" s="128" t="n"/>
      <c r="F53" s="128" t="n">
        <v>1.58</v>
      </c>
      <c r="G53" s="128" t="n"/>
      <c r="H53" s="128" t="inlineStr">
        <is>
          <t>£1 11 shilling 8pence from 19 kebb wethers sold before shearing, at 1 shilling 8pence each, and sold so dearly this year on account of the dearness and scarcity of sheep in the Vale of the White Horse.</t>
        </is>
      </c>
      <c r="I53" s="128" t="n"/>
    </row>
    <row r="54">
      <c r="A54" s="136" t="inlineStr">
        <is>
          <t>Sale of stock</t>
        </is>
      </c>
      <c r="B54" s="128" t="n">
        <v>0</v>
      </c>
      <c r="C54" s="128" t="n">
        <v>1</v>
      </c>
      <c r="D54" s="128" t="n">
        <v>0</v>
      </c>
      <c r="E54" s="128" t="n"/>
      <c r="F54" s="128" t="n">
        <v>0.05</v>
      </c>
      <c r="G54" s="128" t="n"/>
      <c r="H54" s="128" t="inlineStr">
        <is>
          <t>1 shilling from one kebb ewe from the heriot of Richard Norman sold before shearing by the steward.</t>
        </is>
      </c>
      <c r="I54" s="128" t="n"/>
    </row>
    <row r="55">
      <c r="A55" s="136" t="inlineStr">
        <is>
          <t>Sale of stock</t>
        </is>
      </c>
      <c r="B55" s="128" t="n">
        <v>0</v>
      </c>
      <c r="C55" s="128" t="n">
        <v>19</v>
      </c>
      <c r="D55" s="128" t="n">
        <v>0</v>
      </c>
      <c r="E55" s="128" t="n"/>
      <c r="F55" s="128" t="n">
        <v>0.95</v>
      </c>
      <c r="G55" s="128" t="n"/>
      <c r="H55" s="128" t="inlineStr">
        <is>
          <t>19 shilling from 19 kebb ewes sold after shearing for fear of murrain, at 1 shilling each.</t>
        </is>
      </c>
      <c r="I55" s="128" t="n"/>
    </row>
    <row r="56">
      <c r="A56" s="136" t="inlineStr">
        <is>
          <t>Sale of stock</t>
        </is>
      </c>
      <c r="B56" s="128" t="n">
        <v>8</v>
      </c>
      <c r="C56" s="128" t="n">
        <v>19</v>
      </c>
      <c r="D56" s="128" t="n">
        <v>10</v>
      </c>
      <c r="E56" s="128" t="n"/>
      <c r="F56" s="128" t="n">
        <v>8.99</v>
      </c>
      <c r="G56" s="128" t="n"/>
      <c r="H56" s="128" t="inlineStr">
        <is>
          <t>£8 19 shilling 10pence from 166 lambs sold to the reeve of Ecchinswell before shearing, at 1 shilling 1 pence each.</t>
        </is>
      </c>
      <c r="I56" s="128" t="n"/>
    </row>
    <row r="57">
      <c r="A57" s="136" t="inlineStr">
        <is>
          <t>Sale of stock</t>
        </is>
      </c>
      <c r="B57" s="128" t="n">
        <v>0</v>
      </c>
      <c r="C57" s="128" t="n">
        <v>0</v>
      </c>
      <c r="D57" s="128" t="n">
        <v>6</v>
      </c>
      <c r="E57" s="128" t="n"/>
      <c r="F57" s="128" t="n">
        <v>0.03</v>
      </c>
      <c r="G57" s="128" t="n"/>
      <c r="H57" s="128" t="inlineStr">
        <is>
          <t>6pence from 1 lamb removed and sold before shearing because unfit for the stock as made clear elsewhere.</t>
        </is>
      </c>
      <c r="I57" s="128" t="n"/>
    </row>
    <row r="58">
      <c r="A58" s="136" t="inlineStr">
        <is>
          <t>Sale of stock</t>
        </is>
      </c>
      <c r="B58" s="128" t="n">
        <v>11</v>
      </c>
      <c r="C58" s="128" t="n">
        <v>18</v>
      </c>
      <c r="D58" s="128" t="n">
        <v>8</v>
      </c>
      <c r="E58" s="128" t="n"/>
      <c r="F58" s="128" t="n">
        <v>11.93</v>
      </c>
      <c r="G58" s="128" t="n"/>
      <c r="H58" s="128" t="inlineStr">
        <is>
          <t>Total, £11 18 shilling 8pence.</t>
        </is>
      </c>
      <c r="I58" s="128" t="n"/>
    </row>
    <row r="59">
      <c r="A59" s="138" t="inlineStr">
        <is>
          <t>Sale of stock total</t>
        </is>
      </c>
      <c r="B59" s="139" t="n"/>
      <c r="C59" s="139" t="n"/>
      <c r="D59" s="139" t="n"/>
      <c r="E59" s="139" t="n"/>
      <c r="F59" s="139" t="n">
        <v>11.93</v>
      </c>
      <c r="G59" s="139" t="n">
        <v>0</v>
      </c>
      <c r="H59" s="139" t="inlineStr">
        <is>
          <t>Total</t>
        </is>
      </c>
      <c r="I59" s="139" t="n"/>
    </row>
    <row r="60">
      <c r="A60" s="136" t="n"/>
      <c r="B60" s="128" t="n"/>
      <c r="C60" s="128" t="n"/>
      <c r="D60" s="128" t="n"/>
      <c r="E60" s="128" t="n"/>
      <c r="F60" s="128" t="n"/>
      <c r="G60" s="128" t="n"/>
      <c r="H60" s="128" t="n"/>
      <c r="I60" s="128" t="n"/>
    </row>
    <row r="61">
      <c r="A61" s="137" t="inlineStr">
        <is>
          <t>Entry and marriage fines</t>
        </is>
      </c>
      <c r="B61" s="128" t="n">
        <v>1</v>
      </c>
      <c r="C61" s="128" t="n">
        <v>6</v>
      </c>
      <c r="D61" s="128" t="n">
        <v>8</v>
      </c>
      <c r="E61" s="128" t="n"/>
      <c r="F61" s="128" t="n">
        <v>1.33</v>
      </c>
      <c r="G61" s="128" t="n"/>
      <c r="H61" s="128" t="inlineStr">
        <is>
          <t>And for £1 6 shilling 8pence from tithingpenny at the tourns of Martinmas and Hockday.</t>
        </is>
      </c>
      <c r="I61" s="128" t="n"/>
    </row>
    <row r="62">
      <c r="A62" s="136" t="inlineStr">
        <is>
          <t>Entry and marriage fines</t>
        </is>
      </c>
      <c r="B62" s="128" t="n">
        <v>0</v>
      </c>
      <c r="C62" s="128" t="n">
        <v>1</v>
      </c>
      <c r="D62" s="128" t="n">
        <v>0</v>
      </c>
      <c r="E62" s="128" t="n"/>
      <c r="F62" s="128" t="n">
        <v>0.05</v>
      </c>
      <c r="G62" s="128" t="n"/>
      <c r="H62" s="128" t="inlineStr">
        <is>
          <t>1 shilling from Henry Tegulyne to have 3 acres of purpresture called le Colemersshe in the tithing of Burghclere which belonged to Stephen Mody and which came into the lord's hands as his escheat because noone of the kin of the said Stephen took steps to fine for the same although a proclamation was made according to the custom of the manor.</t>
        </is>
      </c>
      <c r="I62" s="128" t="n"/>
    </row>
    <row r="63">
      <c r="A63" s="136" t="inlineStr">
        <is>
          <t>Entry and marriage fines</t>
        </is>
      </c>
      <c r="B63" s="128" t="n">
        <v>0</v>
      </c>
      <c r="C63" s="128" t="n">
        <v>2</v>
      </c>
      <c r="D63" s="128" t="n">
        <v>0</v>
      </c>
      <c r="E63" s="128" t="n"/>
      <c r="F63" s="128" t="n">
        <v>0.1</v>
      </c>
      <c r="G63" s="128" t="n"/>
      <c r="H63" s="128" t="inlineStr">
        <is>
          <t>2 shilling from John Seuar' the younger of Earlstone to have 1 cottage, 10.5 acres, 1 rood and a third part of one rood of purpresture called Ipres in the tithing of Burghclere by surrender of John Cokene.</t>
        </is>
      </c>
      <c r="I63" s="128" t="n"/>
    </row>
    <row r="64">
      <c r="A64" s="136" t="inlineStr">
        <is>
          <t>Entry and marriage fines</t>
        </is>
      </c>
      <c r="B64" s="128" t="n">
        <v>0</v>
      </c>
      <c r="C64" s="128" t="n">
        <v>1</v>
      </c>
      <c r="D64" s="128" t="n">
        <v>4</v>
      </c>
      <c r="E64" s="128" t="n"/>
      <c r="F64" s="128" t="n">
        <v>0.07000000000000001</v>
      </c>
      <c r="G64" s="128" t="n"/>
      <c r="H64" s="128" t="inlineStr">
        <is>
          <t>1 shilling 4pence from John Goion' to have 3 small pightles (pudell') called Hechecroftes, containing 2 acres and 1 rood of purpresture in the tithing of Burghclere, by surrender of John Caffyng'.</t>
        </is>
      </c>
      <c r="I64" s="128" t="n"/>
    </row>
    <row r="65">
      <c r="A65" s="136" t="inlineStr">
        <is>
          <t>Entry and marriage fines</t>
        </is>
      </c>
      <c r="B65" s="128" t="n">
        <v>0</v>
      </c>
      <c r="C65" s="128" t="n">
        <v>6</v>
      </c>
      <c r="D65" s="128" t="n">
        <v>8</v>
      </c>
      <c r="E65" s="128" t="n"/>
      <c r="F65" s="128" t="n">
        <v>0.33</v>
      </c>
      <c r="G65" s="128" t="n"/>
      <c r="H65" s="128" t="inlineStr">
        <is>
          <t>6 shilling 8pence from John Goion' to have 1 messuage and 16.5 acres 1 rood of purpresture in North Burghclere which belonged to John Wylot Smyth' and which came into the lord's hands as his escheat because the said John Smyth' forfeited it for laying waste and destroying the same.</t>
        </is>
      </c>
      <c r="I65" s="128" t="n"/>
    </row>
    <row r="66">
      <c r="A66" s="136" t="inlineStr">
        <is>
          <t>Entry and marriage fines</t>
        </is>
      </c>
      <c r="B66" s="128" t="n">
        <v>5</v>
      </c>
      <c r="C66" s="128" t="n">
        <v>0</v>
      </c>
      <c r="D66" s="128" t="n">
        <v>0</v>
      </c>
      <c r="E66" s="128" t="n"/>
      <c r="F66" s="128" t="n">
        <v>5</v>
      </c>
      <c r="G66" s="128" t="n"/>
      <c r="H66" s="128" t="inlineStr">
        <is>
          <t>6 shilling 8pence from John atte Noke because he has not fully repaired nor rebuilt anew 1 cotland of villein land in Adbury which was destroyed by fire in the first year of the present lord 0405), as he agreed with the steward under penalty of £5 at the tourn of Hockday in the fifth year (1409).</t>
        </is>
      </c>
      <c r="I66" s="128" t="n"/>
    </row>
    <row r="67">
      <c r="A67" s="136" t="inlineStr">
        <is>
          <t>Entry and marriage fines</t>
        </is>
      </c>
      <c r="B67" s="128" t="n">
        <v>0</v>
      </c>
      <c r="C67" s="128" t="n">
        <v>1</v>
      </c>
      <c r="D67" s="128" t="n">
        <v>0</v>
      </c>
      <c r="E67" s="128" t="n"/>
      <c r="F67" s="128" t="n">
        <v>0.05</v>
      </c>
      <c r="G67" s="128" t="n"/>
      <c r="H67" s="128" t="inlineStr">
        <is>
          <t>1 shilling from John Smyth' of Whitway to have 1 messuage and .5 virgate of villein land and 12 acres of purpresture in North Burghclere by surrender of Richard Norman, on condition that he builds within two years.</t>
        </is>
      </c>
      <c r="I67" s="128" t="n"/>
    </row>
    <row r="68">
      <c r="A68" s="136" t="inlineStr">
        <is>
          <t>Entry and marriage fines</t>
        </is>
      </c>
      <c r="B68" s="128" t="n">
        <v>0</v>
      </c>
      <c r="C68" s="128" t="n">
        <v>0</v>
      </c>
      <c r="D68" s="128" t="n">
        <v>6</v>
      </c>
      <c r="E68" s="128" t="n"/>
      <c r="F68" s="128" t="n">
        <v>0.03</v>
      </c>
      <c r="G68" s="128" t="n"/>
      <c r="H68" s="128" t="inlineStr">
        <is>
          <t>6pence from John Smyth' of Whitway to have a piece of the lord's waste, 40 feet long and 30 feet wide, in the High Street there, for building 1 forge on the same, paying therefor an increment of rent of 1 pence a year.</t>
        </is>
      </c>
      <c r="I68" s="128" t="n"/>
    </row>
    <row r="69">
      <c r="A69" s="136" t="inlineStr">
        <is>
          <t>Entry and marriage fines</t>
        </is>
      </c>
      <c r="B69" s="128" t="n">
        <v>0</v>
      </c>
      <c r="C69" s="128" t="n">
        <v>3</v>
      </c>
      <c r="D69" s="128" t="n">
        <v>4</v>
      </c>
      <c r="E69" s="128" t="n"/>
      <c r="F69" s="128" t="n">
        <v>0.17</v>
      </c>
      <c r="G69" s="128" t="n"/>
      <c r="H69" s="128" t="inlineStr">
        <is>
          <t>3 shilling 4pence from Christine Cokene for marrying herself outside.</t>
        </is>
      </c>
      <c r="I69" s="128" t="n"/>
    </row>
    <row r="70">
      <c r="A70" s="136" t="inlineStr">
        <is>
          <t>Entry and marriage fines</t>
        </is>
      </c>
      <c r="B70" s="128" t="n">
        <v>0</v>
      </c>
      <c r="C70" s="128" t="n">
        <v>3</v>
      </c>
      <c r="D70" s="128" t="n">
        <v>4</v>
      </c>
      <c r="E70" s="128" t="n"/>
      <c r="F70" s="128" t="n">
        <v>0.17</v>
      </c>
      <c r="G70" s="128" t="n"/>
      <c r="H70" s="128" t="inlineStr">
        <is>
          <t>3 shilling 4pence from Matilda Purchill' for marrying herself outside.</t>
        </is>
      </c>
      <c r="I70" s="128" t="n"/>
    </row>
    <row r="71">
      <c r="A71" s="136" t="inlineStr">
        <is>
          <t>Entry and marriage fines</t>
        </is>
      </c>
      <c r="B71" s="128" t="n">
        <v>2</v>
      </c>
      <c r="C71" s="128" t="n">
        <v>12</v>
      </c>
      <c r="D71" s="128" t="n">
        <v>6</v>
      </c>
      <c r="E71" s="128" t="n"/>
      <c r="F71" s="128" t="n">
        <v>2.62</v>
      </c>
      <c r="G71" s="128" t="n"/>
      <c r="H71" s="128" t="inlineStr">
        <is>
          <t>Total, £2 12 shilling 6pence.</t>
        </is>
      </c>
      <c r="I71" s="128" t="n"/>
    </row>
    <row r="72">
      <c r="A72" s="138" t="inlineStr">
        <is>
          <t>Entry and marriage fines total</t>
        </is>
      </c>
      <c r="B72" s="139" t="n"/>
      <c r="C72" s="139" t="n"/>
      <c r="D72" s="139" t="n"/>
      <c r="E72" s="139" t="n"/>
      <c r="F72" s="139" t="n">
        <v>7.3</v>
      </c>
      <c r="G72" s="139" t="n">
        <v>4.68</v>
      </c>
      <c r="H72" s="139" t="inlineStr">
        <is>
          <t>Total</t>
        </is>
      </c>
      <c r="I72" s="139" t="n"/>
    </row>
    <row r="73">
      <c r="A73" s="136" t="n"/>
      <c r="B73" s="128" t="n"/>
      <c r="C73" s="128" t="n"/>
      <c r="D73" s="128" t="n"/>
      <c r="E73" s="128" t="n"/>
      <c r="F73" s="128" t="n"/>
      <c r="G73" s="128" t="n"/>
      <c r="H73" s="128" t="n"/>
      <c r="I73" s="128" t="n"/>
    </row>
    <row r="74">
      <c r="A74" s="137" t="inlineStr">
        <is>
          <t>Perquisites of court</t>
        </is>
      </c>
      <c r="B74" s="128" t="n">
        <v>0</v>
      </c>
      <c r="C74" s="128" t="n">
        <v>2</v>
      </c>
      <c r="D74" s="128" t="n">
        <v>6</v>
      </c>
      <c r="E74" s="128" t="n"/>
      <c r="F74" s="128" t="n">
        <v>0.12</v>
      </c>
      <c r="G74" s="128" t="n"/>
      <c r="H74" s="128" t="inlineStr">
        <is>
          <t>And for 2 shilling 6pence from the perquisites of the tourn of Martinmas (11 November).</t>
        </is>
      </c>
      <c r="I74" s="128" t="n"/>
    </row>
    <row r="75">
      <c r="A75" s="136" t="inlineStr">
        <is>
          <t>Perquisites of court</t>
        </is>
      </c>
      <c r="B75" s="128" t="n">
        <v>0</v>
      </c>
      <c r="C75" s="128" t="n">
        <v>2</v>
      </c>
      <c r="D75" s="128" t="n">
        <v>10</v>
      </c>
      <c r="E75" s="128" t="n"/>
      <c r="F75" s="128" t="n">
        <v>0.14</v>
      </c>
      <c r="G75" s="128" t="n"/>
      <c r="H75" s="128" t="inlineStr">
        <is>
          <t>2 shilling 10pence from the perquisites of the courts held between the two toums.</t>
        </is>
      </c>
      <c r="I75" s="128" t="n"/>
    </row>
    <row r="76">
      <c r="A76" s="136" t="inlineStr">
        <is>
          <t>Perquisites of court</t>
        </is>
      </c>
      <c r="B76" s="128" t="n">
        <v>0</v>
      </c>
      <c r="C76" s="128" t="n">
        <v>1</v>
      </c>
      <c r="D76" s="128" t="n">
        <v>0</v>
      </c>
      <c r="E76" s="128" t="n"/>
      <c r="F76" s="128" t="n">
        <v>0.05</v>
      </c>
      <c r="G76" s="128" t="n"/>
      <c r="H76" s="128" t="inlineStr">
        <is>
          <t>1 shilling from the perquisites of the tourn of Hockday (1 April).</t>
        </is>
      </c>
      <c r="I76" s="128" t="n"/>
    </row>
    <row r="77">
      <c r="A77" s="136" t="inlineStr">
        <is>
          <t>Perquisites of court</t>
        </is>
      </c>
      <c r="B77" s="128" t="n">
        <v>0</v>
      </c>
      <c r="C77" s="128" t="n">
        <v>3</v>
      </c>
      <c r="D77" s="128" t="n">
        <v>0</v>
      </c>
      <c r="E77" s="128" t="n"/>
      <c r="F77" s="128" t="n">
        <v>0.15</v>
      </c>
      <c r="G77" s="128" t="n"/>
      <c r="H77" s="128" t="inlineStr">
        <is>
          <t>3 shilling from the perquisites of the courts held after the said tourn.</t>
        </is>
      </c>
      <c r="I77" s="128" t="n"/>
    </row>
    <row r="78">
      <c r="A78" s="138" t="inlineStr">
        <is>
          <t>Perquisites of court total</t>
        </is>
      </c>
      <c r="B78" s="139" t="n">
        <v>0</v>
      </c>
      <c r="C78" s="139" t="n">
        <v>9</v>
      </c>
      <c r="D78" s="139" t="n">
        <v>4</v>
      </c>
      <c r="E78" s="139" t="n"/>
      <c r="F78" s="139" t="n">
        <v>0.47</v>
      </c>
      <c r="G78" s="139" t="n">
        <v>0.32</v>
      </c>
      <c r="H78" s="139" t="inlineStr">
        <is>
          <t>Total, 9 shilling 4pence.</t>
        </is>
      </c>
      <c r="I78" s="139" t="n"/>
    </row>
    <row r="79">
      <c r="A79" s="38" t="inlineStr">
        <is>
          <t>Total of all receipts recorded in accounts (calculated here)</t>
        </is>
      </c>
      <c r="F79">
        <f>SUMIF(A1:A78,"* total",F1:F78)-SUMIF(A1:A78,"Arrears total",F1:F78)</f>
        <v/>
      </c>
    </row>
    <row r="80">
      <c r="A80" s="38" t="inlineStr">
        <is>
          <t>Total of all receipts (calculated here) incl arrears</t>
        </is>
      </c>
      <c r="F80">
        <f>F79+SUMIF(A1:A78,"Arrears total",F1:F78)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3 remain.</t>
        </is>
      </c>
      <c r="C3" t="n">
        <v>0</v>
      </c>
      <c r="D3" t="n">
        <v>0</v>
      </c>
      <c r="F3" t="inlineStr">
        <is>
          <t>3</t>
        </is>
      </c>
    </row>
    <row r="4">
      <c r="A4" t="inlineStr">
        <is>
          <t>Stock</t>
        </is>
      </c>
      <c r="B4" t="inlineStr">
        <is>
          <t>Total, 3. 3 remain, worth 6 shilling 8pence each, in the hands of the said farmers, to be handed back and restored at the end of the aforesaid term or the value of the same at the choice of the lord.</t>
        </is>
      </c>
      <c r="C4" t="n">
        <v>0</v>
      </c>
      <c r="D4" t="n">
        <v>0</v>
      </c>
    </row>
    <row r="5">
      <c r="A5" t="inlineStr">
        <is>
          <t>Stock</t>
        </is>
      </c>
      <c r="B5" t="inlineStr">
        <is>
          <t>Oxen: 23 remain.</t>
        </is>
      </c>
      <c r="C5" t="n">
        <v>0</v>
      </c>
      <c r="D5" t="n">
        <v>0</v>
      </c>
      <c r="E5" t="inlineStr">
        <is>
          <t>Oxen</t>
        </is>
      </c>
      <c r="F5" t="inlineStr">
        <is>
          <t>23</t>
        </is>
      </c>
    </row>
    <row r="6">
      <c r="A6" t="inlineStr">
        <is>
          <t>Stock</t>
        </is>
      </c>
      <c r="B6" t="inlineStr">
        <is>
          <t>Total, 23. 23 remain, worth 12 shilling each, in the hands of the said farmers, to be handed back at the end of the aforesaid term or the value of the same at the choice of the lord.</t>
        </is>
      </c>
      <c r="C6" t="n">
        <v>0</v>
      </c>
      <c r="D6" t="n">
        <v>0</v>
      </c>
      <c r="E6" t="inlineStr">
        <is>
          <t>Oxen</t>
        </is>
      </c>
    </row>
    <row r="7">
      <c r="A7" t="inlineStr">
        <is>
          <t>Stock</t>
        </is>
      </c>
      <c r="B7" t="inlineStr">
        <is>
          <t>Cows: 1 from the heriot of William Baynton'.</t>
        </is>
      </c>
      <c r="C7" t="n">
        <v>0</v>
      </c>
      <c r="D7" t="n">
        <v>0</v>
      </c>
      <c r="E7" t="inlineStr">
        <is>
          <t>Cows</t>
        </is>
      </c>
    </row>
    <row r="8">
      <c r="A8" t="inlineStr">
        <is>
          <t>Stock</t>
        </is>
      </c>
      <c r="B8" t="inlineStr">
        <is>
          <t>sold within.</t>
        </is>
      </c>
      <c r="C8" t="n">
        <v>0</v>
      </c>
      <c r="D8" t="n">
        <v>0</v>
      </c>
      <c r="E8" t="inlineStr">
        <is>
          <t>Cows</t>
        </is>
      </c>
    </row>
    <row r="9">
      <c r="A9" t="inlineStr">
        <is>
          <t>Stock</t>
        </is>
      </c>
      <c r="B9" t="inlineStr">
        <is>
          <t>none remain.</t>
        </is>
      </c>
      <c r="C9" t="n">
        <v>0</v>
      </c>
      <c r="D9" t="n">
        <v>0</v>
      </c>
      <c r="E9" t="inlineStr">
        <is>
          <t>Cows</t>
        </is>
      </c>
    </row>
    <row r="10">
      <c r="A10" t="inlineStr">
        <is>
          <t>Stock</t>
        </is>
      </c>
      <c r="B10" t="inlineStr">
        <is>
          <t>Wethers: 282 remain.</t>
        </is>
      </c>
      <c r="C10" t="n">
        <v>0</v>
      </c>
      <c r="D10" t="n">
        <v>0</v>
      </c>
      <c r="E10" t="inlineStr">
        <is>
          <t>Wethers</t>
        </is>
      </c>
      <c r="F10" t="inlineStr">
        <is>
          <t>282</t>
        </is>
      </c>
    </row>
    <row r="11">
      <c r="A11" t="inlineStr">
        <is>
          <t>Stock</t>
        </is>
      </c>
      <c r="B11" t="inlineStr">
        <is>
          <t>67 added from hoggs below after shearing.</t>
        </is>
      </c>
      <c r="C11" t="n">
        <v>0</v>
      </c>
      <c r="D11" t="n">
        <v>0</v>
      </c>
      <c r="E11" t="inlineStr">
        <is>
          <t>Wethers</t>
        </is>
      </c>
    </row>
    <row r="12">
      <c r="A12" t="inlineStr">
        <is>
          <t>Stock</t>
        </is>
      </c>
      <c r="B12" t="inlineStr">
        <is>
          <t>Total, 349. 13 in murrain before shearing and 4 after shearing.</t>
        </is>
      </c>
      <c r="C12" t="n">
        <v>0</v>
      </c>
      <c r="D12" t="n">
        <v>0</v>
      </c>
      <c r="E12" t="inlineStr">
        <is>
          <t>Wethers</t>
        </is>
      </c>
      <c r="H12" t="inlineStr">
        <is>
          <t>13</t>
        </is>
      </c>
    </row>
    <row r="13">
      <c r="A13" t="inlineStr">
        <is>
          <t>Stock</t>
        </is>
      </c>
      <c r="B13" t="inlineStr">
        <is>
          <t>19 kebbs sold within before shearing.</t>
        </is>
      </c>
      <c r="C13" t="n">
        <v>0</v>
      </c>
      <c r="D13" t="n">
        <v>0</v>
      </c>
      <c r="E13" t="inlineStr">
        <is>
          <t>Wethers</t>
        </is>
      </c>
      <c r="I13" t="inlineStr">
        <is>
          <t>19</t>
        </is>
      </c>
    </row>
    <row r="14">
      <c r="A14" t="inlineStr">
        <is>
          <t>Stock</t>
        </is>
      </c>
      <c r="B14" t="inlineStr">
        <is>
          <t>Total, 36. 313 remain.</t>
        </is>
      </c>
      <c r="C14" t="n">
        <v>0</v>
      </c>
      <c r="D14" t="n">
        <v>0</v>
      </c>
      <c r="E14" t="inlineStr">
        <is>
          <t>Wethers</t>
        </is>
      </c>
    </row>
    <row r="15">
      <c r="A15" t="inlineStr">
        <is>
          <t>Stock</t>
        </is>
      </c>
      <c r="B15" t="inlineStr">
        <is>
          <t>Rams: 10 remain.</t>
        </is>
      </c>
      <c r="C15" t="n">
        <v>0</v>
      </c>
      <c r="D15" t="n">
        <v>0</v>
      </c>
      <c r="E15" t="inlineStr">
        <is>
          <t>Rams</t>
        </is>
      </c>
      <c r="F15" t="inlineStr">
        <is>
          <t>10</t>
        </is>
      </c>
    </row>
    <row r="16">
      <c r="A16" t="inlineStr">
        <is>
          <t>Stock</t>
        </is>
      </c>
      <c r="B16" t="inlineStr">
        <is>
          <t>5 added from hoggs below after shearing.</t>
        </is>
      </c>
      <c r="C16" t="n">
        <v>0</v>
      </c>
      <c r="D16" t="n">
        <v>0</v>
      </c>
      <c r="E16" t="inlineStr">
        <is>
          <t>Rams</t>
        </is>
      </c>
    </row>
    <row r="17">
      <c r="A17" t="inlineStr">
        <is>
          <t>Stock</t>
        </is>
      </c>
      <c r="B17" t="inlineStr">
        <is>
          <t>Total, 15. 5 in murrain before shearing.</t>
        </is>
      </c>
      <c r="C17" t="n">
        <v>0</v>
      </c>
      <c r="D17" t="n">
        <v>0</v>
      </c>
      <c r="E17" t="inlineStr">
        <is>
          <t>Rams</t>
        </is>
      </c>
      <c r="H17" t="inlineStr">
        <is>
          <t>5</t>
        </is>
      </c>
    </row>
    <row r="18">
      <c r="A18" t="inlineStr">
        <is>
          <t>Stock</t>
        </is>
      </c>
      <c r="B18" t="inlineStr">
        <is>
          <t>Total, 5. 10 remain.</t>
        </is>
      </c>
      <c r="C18" t="n">
        <v>0</v>
      </c>
      <c r="D18" t="n">
        <v>0</v>
      </c>
      <c r="E18" t="inlineStr">
        <is>
          <t>Rams</t>
        </is>
      </c>
    </row>
    <row r="19">
      <c r="A19" t="inlineStr">
        <is>
          <t>Stock</t>
        </is>
      </c>
      <c r="B19" t="inlineStr">
        <is>
          <t>Ewes: 388 remain.</t>
        </is>
      </c>
      <c r="C19" t="n">
        <v>0</v>
      </c>
      <c r="D19" t="n">
        <v>0</v>
      </c>
      <c r="E19" t="inlineStr">
        <is>
          <t>Ewes</t>
        </is>
      </c>
      <c r="F19" t="inlineStr">
        <is>
          <t>388</t>
        </is>
      </c>
    </row>
    <row r="20">
      <c r="A20" t="inlineStr">
        <is>
          <t>Stock</t>
        </is>
      </c>
      <c r="B20" t="inlineStr">
        <is>
          <t>124 added from hoggs below after shearing.</t>
        </is>
      </c>
      <c r="C20" t="n">
        <v>0</v>
      </c>
      <c r="D20" t="n">
        <v>0</v>
      </c>
      <c r="E20" t="inlineStr">
        <is>
          <t>Ewes</t>
        </is>
      </c>
    </row>
    <row r="21">
      <c r="A21" t="inlineStr">
        <is>
          <t>Stock</t>
        </is>
      </c>
      <c r="B21" t="inlineStr">
        <is>
          <t>1 from the heriot of Richard Norman before shearing.</t>
        </is>
      </c>
      <c r="C21" t="n">
        <v>0</v>
      </c>
      <c r="D21" t="n">
        <v>0</v>
      </c>
      <c r="E21" t="inlineStr">
        <is>
          <t>Ewes</t>
        </is>
      </c>
    </row>
    <row r="22">
      <c r="A22" t="inlineStr">
        <is>
          <t>Stock</t>
        </is>
      </c>
      <c r="B22" t="inlineStr">
        <is>
          <t>Total, 513. 98 in murrain before shearing and lambing and 8 after shearing.</t>
        </is>
      </c>
      <c r="C22" t="n">
        <v>0</v>
      </c>
      <c r="D22" t="n">
        <v>0</v>
      </c>
      <c r="E22" t="inlineStr">
        <is>
          <t>Ewes</t>
        </is>
      </c>
      <c r="H22" t="inlineStr">
        <is>
          <t>98</t>
        </is>
      </c>
    </row>
    <row r="23">
      <c r="A23" t="inlineStr">
        <is>
          <t>Stock</t>
        </is>
      </c>
      <c r="B23" t="inlineStr">
        <is>
          <t>19 kebbs sold within after shearing.</t>
        </is>
      </c>
      <c r="C23" t="n">
        <v>0</v>
      </c>
      <c r="D23" t="n">
        <v>0</v>
      </c>
      <c r="E23" t="inlineStr">
        <is>
          <t>Ewes</t>
        </is>
      </c>
      <c r="I23" t="inlineStr">
        <is>
          <t>19</t>
        </is>
      </c>
    </row>
    <row r="24">
      <c r="A24" t="inlineStr">
        <is>
          <t>Stock</t>
        </is>
      </c>
      <c r="B24" t="inlineStr">
        <is>
          <t>1 from the heriot sold before shearing.</t>
        </is>
      </c>
      <c r="C24" t="n">
        <v>0</v>
      </c>
      <c r="D24" t="n">
        <v>0</v>
      </c>
      <c r="E24" t="inlineStr">
        <is>
          <t>Ewes</t>
        </is>
      </c>
      <c r="I24" t="inlineStr">
        <is>
          <t>1</t>
        </is>
      </c>
    </row>
    <row r="25">
      <c r="A25" t="inlineStr">
        <is>
          <t>Stock</t>
        </is>
      </c>
      <c r="B25" t="inlineStr">
        <is>
          <t>Total, 125.' 387 remain.</t>
        </is>
      </c>
      <c r="C25" t="n">
        <v>0</v>
      </c>
      <c r="D25" t="n">
        <v>0</v>
      </c>
      <c r="E25" t="inlineStr">
        <is>
          <t>Ewes</t>
        </is>
      </c>
    </row>
    <row r="26">
      <c r="A26" t="inlineStr">
        <is>
          <t>Stock</t>
        </is>
      </c>
      <c r="B26" t="inlineStr">
        <is>
          <t>Hoggs: 196 bought before shearing from the reeve of Ecchinswell.</t>
        </is>
      </c>
      <c r="C26" t="n">
        <v>0</v>
      </c>
      <c r="D26" t="n">
        <v>0</v>
      </c>
      <c r="E26" t="inlineStr">
        <is>
          <t>Hoggs</t>
        </is>
      </c>
      <c r="G26" t="inlineStr">
        <is>
          <t>196</t>
        </is>
      </c>
    </row>
    <row r="27">
      <c r="A27" t="inlineStr">
        <is>
          <t>Stock</t>
        </is>
      </c>
      <c r="B27" t="inlineStr">
        <is>
          <t>Total, 196. 67 added above to wethers after shearing, 5 to rams and 124 to ewes.</t>
        </is>
      </c>
      <c r="C27" t="n">
        <v>0</v>
      </c>
      <c r="D27" t="n">
        <v>0</v>
      </c>
      <c r="E27" t="inlineStr">
        <is>
          <t>Hoggs</t>
        </is>
      </c>
    </row>
    <row r="28">
      <c r="A28" t="inlineStr">
        <is>
          <t>Stock</t>
        </is>
      </c>
      <c r="B28" t="inlineStr">
        <is>
          <t>Total as before.</t>
        </is>
      </c>
      <c r="C28" t="n">
        <v>0</v>
      </c>
      <c r="D28" t="n">
        <v>0</v>
      </c>
      <c r="E28" t="inlineStr">
        <is>
          <t>Hoggs</t>
        </is>
      </c>
    </row>
    <row r="29">
      <c r="A29" t="inlineStr">
        <is>
          <t>Stock</t>
        </is>
      </c>
      <c r="B29" t="inlineStr">
        <is>
          <t>None remain.</t>
        </is>
      </c>
      <c r="C29" t="n">
        <v>0</v>
      </c>
      <c r="D29" t="n">
        <v>0</v>
      </c>
      <c r="E29" t="inlineStr">
        <is>
          <t>Hoggs</t>
        </is>
      </c>
    </row>
    <row r="30">
      <c r="A30" t="inlineStr">
        <is>
          <t>Stock</t>
        </is>
      </c>
      <c r="B30" t="inlineStr">
        <is>
          <t>Lambs: 237 offspring this year and not more because 98 ewes died before lambing and 53 were sterile this year.</t>
        </is>
      </c>
      <c r="C30" t="n">
        <v>0</v>
      </c>
      <c r="D30" t="n">
        <v>0</v>
      </c>
      <c r="E30" t="inlineStr">
        <is>
          <t>Lambs</t>
        </is>
      </c>
      <c r="G30" t="inlineStr">
        <is>
          <t>237</t>
        </is>
      </c>
    </row>
    <row r="31">
      <c r="A31" t="inlineStr">
        <is>
          <t>Stock</t>
        </is>
      </c>
      <c r="B31" t="inlineStr">
        <is>
          <t>Total, 237. 51 in murrain before weaning.</t>
        </is>
      </c>
      <c r="C31" t="n">
        <v>0</v>
      </c>
      <c r="D31" t="n">
        <v>0</v>
      </c>
      <c r="E31" t="inlineStr">
        <is>
          <t>Lambs</t>
        </is>
      </c>
      <c r="H31" t="inlineStr">
        <is>
          <t>51</t>
        </is>
      </c>
    </row>
    <row r="32">
      <c r="A32" t="inlineStr">
        <is>
          <t>Stock</t>
        </is>
      </c>
      <c r="B32" t="inlineStr">
        <is>
          <t>18 in tithe.</t>
        </is>
      </c>
      <c r="C32" t="n">
        <v>0</v>
      </c>
      <c r="D32" t="n">
        <v>0</v>
      </c>
      <c r="E32" t="inlineStr">
        <is>
          <t>Lambs</t>
        </is>
      </c>
    </row>
    <row r="33">
      <c r="A33" t="inlineStr">
        <is>
          <t>Stock</t>
        </is>
      </c>
      <c r="B33" t="inlineStr">
        <is>
          <t>1 in murrain after tithe and before weaning.</t>
        </is>
      </c>
      <c r="C33" t="n">
        <v>0</v>
      </c>
      <c r="D33" t="n">
        <v>0</v>
      </c>
      <c r="E33" t="inlineStr">
        <is>
          <t>Lambs</t>
        </is>
      </c>
      <c r="H33" t="inlineStr">
        <is>
          <t>1</t>
        </is>
      </c>
    </row>
    <row r="34">
      <c r="A34" t="inlineStr">
        <is>
          <t>Stock</t>
        </is>
      </c>
      <c r="B34" t="inlineStr">
        <is>
          <t>166 sold to the reeve of Ecchinswell before shearing.</t>
        </is>
      </c>
      <c r="C34" t="n">
        <v>0</v>
      </c>
      <c r="D34" t="n">
        <v>0</v>
      </c>
      <c r="E34" t="inlineStr">
        <is>
          <t>Lambs</t>
        </is>
      </c>
      <c r="I34" t="inlineStr">
        <is>
          <t>166</t>
        </is>
      </c>
    </row>
    <row r="35">
      <c r="A35" t="inlineStr">
        <is>
          <t>Stock</t>
        </is>
      </c>
      <c r="B35" t="inlineStr">
        <is>
          <t>1 removed and sold before shearing because unfit for the stock.</t>
        </is>
      </c>
      <c r="C35" t="n">
        <v>0</v>
      </c>
      <c r="D35" t="n">
        <v>0</v>
      </c>
      <c r="E35" t="inlineStr">
        <is>
          <t>Lambs</t>
        </is>
      </c>
      <c r="I35" t="inlineStr">
        <is>
          <t>1</t>
        </is>
      </c>
    </row>
    <row r="36">
      <c r="A36" t="inlineStr">
        <is>
          <t>Stock</t>
        </is>
      </c>
      <c r="B36" t="inlineStr">
        <is>
          <t>Total as before.</t>
        </is>
      </c>
      <c r="C36" t="n">
        <v>0</v>
      </c>
      <c r="D36" t="n">
        <v>0</v>
      </c>
      <c r="E36" t="inlineStr">
        <is>
          <t>Lambs</t>
        </is>
      </c>
    </row>
    <row r="37">
      <c r="A37" t="inlineStr">
        <is>
          <t>Stock</t>
        </is>
      </c>
      <c r="B37" t="inlineStr">
        <is>
          <t>None remain.</t>
        </is>
      </c>
      <c r="C37" t="n">
        <v>0</v>
      </c>
      <c r="D37" t="n">
        <v>0</v>
      </c>
      <c r="E37" t="inlineStr">
        <is>
          <t>Lambs</t>
        </is>
      </c>
    </row>
    <row r="38">
      <c r="A38" t="inlineStr">
        <is>
          <t>Stock</t>
        </is>
      </c>
      <c r="B38" t="inlineStr">
        <is>
          <t>Geese: 1 gander and 4 breeding geese remain.</t>
        </is>
      </c>
      <c r="C38" t="n">
        <v>0</v>
      </c>
      <c r="D38" t="n">
        <v>0</v>
      </c>
      <c r="E38" t="inlineStr">
        <is>
          <t>Poultry stock</t>
        </is>
      </c>
      <c r="F38" t="inlineStr">
        <is>
          <t>1</t>
        </is>
      </c>
    </row>
    <row r="39">
      <c r="A39" t="inlineStr">
        <is>
          <t>Stock</t>
        </is>
      </c>
      <c r="B39" t="inlineStr">
        <is>
          <t>Total, 5. 1 gander and 4 breeding geese, worth 2 shilling 6pence, remain in the hands of the said farmers, to be handed back and restored as before.</t>
        </is>
      </c>
      <c r="C39" t="n">
        <v>0</v>
      </c>
      <c r="D39" t="n">
        <v>0</v>
      </c>
      <c r="E39" t="inlineStr">
        <is>
          <t>Poultry stock</t>
        </is>
      </c>
    </row>
    <row r="40">
      <c r="A40" t="inlineStr">
        <is>
          <t>Stock</t>
        </is>
      </c>
      <c r="B40" t="inlineStr">
        <is>
          <t>Cocks and hens: 1 cock and 5 hens remain.</t>
        </is>
      </c>
      <c r="C40" t="n">
        <v>0</v>
      </c>
      <c r="D40" t="n">
        <v>0</v>
      </c>
      <c r="E40" t="inlineStr">
        <is>
          <t>Poultry stock</t>
        </is>
      </c>
    </row>
    <row r="41">
      <c r="A41" t="inlineStr">
        <is>
          <t>Stock</t>
        </is>
      </c>
      <c r="B41" t="inlineStr">
        <is>
          <t>172 from the churchscot of the customary tenants at Martinmas.</t>
        </is>
      </c>
      <c r="C41" t="n">
        <v>0</v>
      </c>
      <c r="D41" t="n">
        <v>0</v>
      </c>
      <c r="E41" t="inlineStr">
        <is>
          <t>Poultry stock</t>
        </is>
      </c>
    </row>
    <row r="42">
      <c r="A42" t="inlineStr">
        <is>
          <t>Stock</t>
        </is>
      </c>
      <c r="B42" t="inlineStr">
        <is>
          <t>Total, 178. 12 in default of 1 cotland of William atte Tounesende and 2 cotlands of William Malot and Richard Malot because in the lord's hands.</t>
        </is>
      </c>
      <c r="C42" t="n">
        <v>0</v>
      </c>
      <c r="D42" t="n">
        <v>0</v>
      </c>
      <c r="E42" t="inlineStr">
        <is>
          <t>Poultry stock</t>
        </is>
      </c>
    </row>
    <row r="43">
      <c r="A43" t="inlineStr">
        <is>
          <t>Stock</t>
        </is>
      </c>
      <c r="B43" t="inlineStr">
        <is>
          <t>4 in default of 1 cotland of Richard Robyn and afterwards of William Irlonde in the lord's hands.</t>
        </is>
      </c>
      <c r="C43" t="n">
        <v>0</v>
      </c>
      <c r="D43" t="n">
        <v>0</v>
      </c>
      <c r="E43" t="inlineStr">
        <is>
          <t>Poultry stock</t>
        </is>
      </c>
    </row>
    <row r="44">
      <c r="A44" t="inlineStr">
        <is>
          <t>Stock</t>
        </is>
      </c>
      <c r="B44" t="inlineStr">
        <is>
          <t>2 in default of 1 plot of purpresture formerly of Richard Malot in the lord's hands.</t>
        </is>
      </c>
      <c r="C44" t="n">
        <v>0</v>
      </c>
      <c r="D44" t="n">
        <v>0</v>
      </c>
      <c r="E44" t="inlineStr">
        <is>
          <t>Poultry stock</t>
        </is>
      </c>
    </row>
    <row r="45">
      <c r="A45" t="inlineStr">
        <is>
          <t>Stock</t>
        </is>
      </c>
      <c r="B45" t="inlineStr">
        <is>
          <t>24 in default of 1 cotland of Stephen Baynton', 1 cotland of Roger Rutlond', 1 cotland of Stephen Druery, 1 cotland of John Frensche, .5 cotland of Stephen Mody and 1 cotland of John Coppes because in the lord's hands.</t>
        </is>
      </c>
      <c r="C45" t="n">
        <v>0</v>
      </c>
      <c r="D45" t="n">
        <v>0</v>
      </c>
      <c r="E45" t="inlineStr">
        <is>
          <t>Poultry stock</t>
        </is>
      </c>
    </row>
    <row r="46">
      <c r="A46" t="inlineStr">
        <is>
          <t>Stock</t>
        </is>
      </c>
      <c r="B46" t="inlineStr">
        <is>
          <t>20 in quittance of the churchscot of William Mascall', Thomas Mascall', John Tastard', Nicholas Thorold', William Lunt, Edith Longeman, Edith Philippes, John Hurt, John Phesaunt, John Cokene, William Gerard' and Eleanor Baynton' because widowers and widows.</t>
        </is>
      </c>
      <c r="C46" t="n">
        <v>0</v>
      </c>
      <c r="D46" t="n">
        <v>0</v>
      </c>
      <c r="E46" t="inlineStr">
        <is>
          <t>Poultry stock</t>
        </is>
      </c>
    </row>
    <row r="47">
      <c r="A47" t="inlineStr">
        <is>
          <t>Stock</t>
        </is>
      </c>
      <c r="B47" t="inlineStr">
        <is>
          <t>2 in default of 1 plot of purpresture formerly of John Druery because in the lord's hands through the death of the same.</t>
        </is>
      </c>
      <c r="C47" t="n">
        <v>0</v>
      </c>
      <c r="D47" t="n">
        <v>0</v>
      </c>
      <c r="E47" t="inlineStr">
        <is>
          <t>Poultry stock</t>
        </is>
      </c>
    </row>
    <row r="48">
      <c r="A48" t="inlineStr">
        <is>
          <t>Stock</t>
        </is>
      </c>
      <c r="B48" t="inlineStr">
        <is>
          <t>8 in default of 2 half-cotlands of John Webbe and John Bike because in the lord's hands.</t>
        </is>
      </c>
      <c r="C48" t="n">
        <v>0</v>
      </c>
      <c r="D48" t="n">
        <v>0</v>
      </c>
      <c r="E48" t="inlineStr">
        <is>
          <t>Poultry stock</t>
        </is>
      </c>
    </row>
    <row r="49">
      <c r="A49" t="inlineStr">
        <is>
          <t>Stock</t>
        </is>
      </c>
      <c r="B49" t="inlineStr">
        <is>
          <t>100 sold within, 57 of them to the lord's househo1pence.</t>
        </is>
      </c>
      <c r="C49" t="n">
        <v>0</v>
      </c>
      <c r="D49" t="n">
        <v>0</v>
      </c>
      <c r="E49" t="inlineStr">
        <is>
          <t>Poultry stock</t>
        </is>
      </c>
      <c r="I49" t="inlineStr">
        <is>
          <t>100</t>
        </is>
      </c>
    </row>
    <row r="50">
      <c r="A50" t="inlineStr">
        <is>
          <t>Stock</t>
        </is>
      </c>
      <c r="B50" t="inlineStr">
        <is>
          <t>Total, 172. 1 cock and 5 hens, worth 1 shilling, remain in the hands of the said farmers, to be handed back as before.</t>
        </is>
      </c>
      <c r="C50" t="n">
        <v>0</v>
      </c>
      <c r="D50" t="n">
        <v>0</v>
      </c>
      <c r="E50" t="inlineStr">
        <is>
          <t>Poultry stock</t>
        </is>
      </c>
    </row>
    <row r="51">
      <c r="A51" t="inlineStr">
        <is>
          <t>Stock</t>
        </is>
      </c>
      <c r="B51" t="inlineStr">
        <is>
          <t>Eggs: nothing of the 800 eggs laid because they pertain to the farmers.</t>
        </is>
      </c>
      <c r="C51" t="n">
        <v>0</v>
      </c>
      <c r="D51" t="n">
        <v>0</v>
      </c>
      <c r="E51" t="inlineStr">
        <is>
          <t>Poultry production</t>
        </is>
      </c>
    </row>
    <row r="52">
      <c r="A52" t="inlineStr">
        <is>
          <t>Stock</t>
        </is>
      </c>
      <c r="B52" t="inlineStr">
        <is>
          <t>1,100 from the customary tenants at Easter according to custom.</t>
        </is>
      </c>
      <c r="C52" t="n">
        <v>0</v>
      </c>
      <c r="D52" t="n">
        <v>0</v>
      </c>
      <c r="E52" t="inlineStr">
        <is>
          <t>Poultry production</t>
        </is>
      </c>
    </row>
    <row r="53">
      <c r="A53" t="inlineStr">
        <is>
          <t>Stock</t>
        </is>
      </c>
      <c r="B53" t="inlineStr">
        <is>
          <t>Total, 1,100. 42 in default of 6 half-virgates of land of Alexander Wilteshire, John Lag', Nicholas Sone, John Hogheles, John Burbache and John Mascall' because in the lord's hands.</t>
        </is>
      </c>
      <c r="C53" t="n">
        <v>0</v>
      </c>
      <c r="D53" t="n">
        <v>0</v>
      </c>
      <c r="E53" t="inlineStr">
        <is>
          <t>Poultry production</t>
        </is>
      </c>
    </row>
    <row r="54">
      <c r="A54" t="inlineStr">
        <is>
          <t>Stock</t>
        </is>
      </c>
      <c r="B54" t="inlineStr">
        <is>
          <t>81 in default of the aforesaid 9 cotlands, or 9 eggs each.</t>
        </is>
      </c>
      <c r="C54" t="n">
        <v>0</v>
      </c>
      <c r="D54" t="n">
        <v>0</v>
      </c>
      <c r="E54" t="inlineStr">
        <is>
          <t>Poultry production</t>
        </is>
      </c>
    </row>
    <row r="55">
      <c r="A55" t="inlineStr">
        <is>
          <t>Stock</t>
        </is>
      </c>
      <c r="B55" t="inlineStr">
        <is>
          <t>9 in default of the 3 half-cotlands above because in the lord's hands, or 3 eggs each.</t>
        </is>
      </c>
      <c r="C55" t="n">
        <v>0</v>
      </c>
      <c r="D55" t="n">
        <v>0</v>
      </c>
      <c r="E55" t="inlineStr">
        <is>
          <t>Poultry production</t>
        </is>
      </c>
    </row>
    <row r="56">
      <c r="A56" t="inlineStr">
        <is>
          <t>Stock</t>
        </is>
      </c>
      <c r="B56" t="inlineStr">
        <is>
          <t>14 in quittance for the release of 1 virgate of land formerly of John le Eyre.</t>
        </is>
      </c>
      <c r="C56" t="n">
        <v>0</v>
      </c>
      <c r="D56" t="n">
        <v>0</v>
      </c>
      <c r="E56" t="inlineStr">
        <is>
          <t>Poultry production</t>
        </is>
      </c>
    </row>
    <row r="57">
      <c r="A57" t="inlineStr">
        <is>
          <t>Stock</t>
        </is>
      </c>
      <c r="B57" t="inlineStr">
        <is>
          <t>954 sold within.</t>
        </is>
      </c>
      <c r="C57" t="n">
        <v>0</v>
      </c>
      <c r="D57" t="n">
        <v>0</v>
      </c>
      <c r="E57" t="inlineStr">
        <is>
          <t>Poultry production</t>
        </is>
      </c>
      <c r="I57" t="inlineStr">
        <is>
          <t>954</t>
        </is>
      </c>
    </row>
    <row r="58">
      <c r="A58" t="inlineStr">
        <is>
          <t>Stock</t>
        </is>
      </c>
      <c r="B58" t="inlineStr">
        <is>
          <t>Total as before.</t>
        </is>
      </c>
      <c r="C58" t="n">
        <v>0</v>
      </c>
      <c r="D58" t="n">
        <v>0</v>
      </c>
      <c r="E58" t="inlineStr">
        <is>
          <t>Poultry production</t>
        </is>
      </c>
    </row>
    <row r="59">
      <c r="A59" t="inlineStr">
        <is>
          <t>Stock</t>
        </is>
      </c>
      <c r="B59" t="inlineStr">
        <is>
          <t>None remain.</t>
        </is>
      </c>
      <c r="C59" t="n">
        <v>0</v>
      </c>
      <c r="D59" t="n">
        <v>0</v>
      </c>
      <c r="E59" t="inlineStr">
        <is>
          <t>Poultry production</t>
        </is>
      </c>
    </row>
    <row r="60">
      <c r="A60" t="inlineStr">
        <is>
          <t>Stock</t>
        </is>
      </c>
      <c r="B60" t="inlineStr">
        <is>
          <t>Coarse wool: 210 fleeces from wethers, 10 from rams and 296 from hoggs produced at the shearing this year, answering for an average of 1.375 lb a fleece, plus 4 cloves in all.</t>
        </is>
      </c>
      <c r="C60" t="n">
        <v>0</v>
      </c>
      <c r="D60" t="n">
        <v>0</v>
      </c>
      <c r="E60" t="inlineStr">
        <is>
          <t>Coarse wool</t>
        </is>
      </c>
    </row>
    <row r="61">
      <c r="A61" t="inlineStr">
        <is>
          <t>Stock</t>
        </is>
      </c>
      <c r="B61" t="inlineStr">
        <is>
          <t>Total, 746.1 74 in tithe.</t>
        </is>
      </c>
      <c r="C61" t="n">
        <v>0</v>
      </c>
      <c r="D61" t="n">
        <v>0</v>
      </c>
      <c r="E61" t="inlineStr">
        <is>
          <t>Coarse wool</t>
        </is>
      </c>
    </row>
    <row r="62">
      <c r="A62" t="inlineStr">
        <is>
          <t>Stock</t>
        </is>
      </c>
      <c r="B62" t="inlineStr">
        <is>
          <t>672 delivered to the treasurer of Wolvesey, weighing 2 sacks 32 cloves.</t>
        </is>
      </c>
      <c r="C62" t="n">
        <v>0</v>
      </c>
      <c r="D62" t="n">
        <v>0</v>
      </c>
      <c r="E62" t="inlineStr">
        <is>
          <t>Coarse wool</t>
        </is>
      </c>
    </row>
    <row r="63">
      <c r="A63" t="inlineStr">
        <is>
          <t>Stock</t>
        </is>
      </c>
      <c r="B63" t="inlineStr">
        <is>
          <t>Lamb’s wool: Nothing from lamb's-wool this year for the reason made clear above.</t>
        </is>
      </c>
      <c r="C63" t="n">
        <v>0</v>
      </c>
      <c r="D63" t="n">
        <v>0</v>
      </c>
      <c r="E63" t="inlineStr">
        <is>
          <t>Coarse wool</t>
        </is>
      </c>
    </row>
    <row r="64">
      <c r="A64" t="inlineStr">
        <is>
          <t>Stock</t>
        </is>
      </c>
      <c r="B64" t="inlineStr">
        <is>
          <t>Nothing from hides this year because they pertain to the farmers.</t>
        </is>
      </c>
      <c r="C64" t="n">
        <v>0</v>
      </c>
      <c r="D64" t="n">
        <v>0</v>
      </c>
      <c r="E64" t="inlineStr">
        <is>
          <t>Coarse wool</t>
        </is>
      </c>
    </row>
    <row r="65">
      <c r="A65" t="inlineStr">
        <is>
          <t>Stock</t>
        </is>
      </c>
      <c r="B65" t="inlineStr">
        <is>
          <t>Woolskins: 13 from wethers, 5 from rams and 98 from ewes in murrain before shearing.</t>
        </is>
      </c>
      <c r="C65" t="n">
        <v>0</v>
      </c>
      <c r="D65" t="n">
        <v>0</v>
      </c>
      <c r="E65" t="inlineStr">
        <is>
          <t>Woolskins</t>
        </is>
      </c>
      <c r="H65" t="inlineStr">
        <is>
          <t>5</t>
        </is>
      </c>
    </row>
    <row r="66">
      <c r="A66" t="inlineStr">
        <is>
          <t>Stock</t>
        </is>
      </c>
      <c r="B66" t="inlineStr">
        <is>
          <t>Total, 116. 11 in tithe.</t>
        </is>
      </c>
      <c r="C66" t="n">
        <v>0</v>
      </c>
      <c r="D66" t="n">
        <v>0</v>
      </c>
      <c r="E66" t="inlineStr">
        <is>
          <t>Woolskins</t>
        </is>
      </c>
    </row>
    <row r="67">
      <c r="A67" t="inlineStr">
        <is>
          <t>Stock</t>
        </is>
      </c>
      <c r="B67" t="inlineStr">
        <is>
          <t>105 sold within.</t>
        </is>
      </c>
      <c r="C67" t="n">
        <v>0</v>
      </c>
      <c r="D67" t="n">
        <v>0</v>
      </c>
      <c r="E67" t="inlineStr">
        <is>
          <t>Woolskins</t>
        </is>
      </c>
      <c r="I67" t="inlineStr">
        <is>
          <t>105</t>
        </is>
      </c>
    </row>
    <row r="68">
      <c r="A68" t="inlineStr">
        <is>
          <t>Stock</t>
        </is>
      </c>
      <c r="B68" t="inlineStr">
        <is>
          <t>Total as before.</t>
        </is>
      </c>
      <c r="C68" t="n">
        <v>0</v>
      </c>
      <c r="D68" t="n">
        <v>0</v>
      </c>
      <c r="E68" t="inlineStr">
        <is>
          <t>Woolskins</t>
        </is>
      </c>
    </row>
    <row r="69">
      <c r="A69" t="inlineStr">
        <is>
          <t>Stock</t>
        </is>
      </c>
      <c r="B69" t="inlineStr">
        <is>
          <t>None remain.</t>
        </is>
      </c>
      <c r="C69" t="n">
        <v>0</v>
      </c>
      <c r="D69" t="n">
        <v>0</v>
      </c>
      <c r="E69" t="inlineStr">
        <is>
          <t>Woolskins</t>
        </is>
      </c>
    </row>
    <row r="70">
      <c r="A70" t="inlineStr">
        <is>
          <t>Stock</t>
        </is>
      </c>
      <c r="B70" t="inlineStr">
        <is>
          <t>Bare skins: 4 from wethers and 8 from ewes in murrain after shearing.</t>
        </is>
      </c>
      <c r="C70" t="n">
        <v>0</v>
      </c>
      <c r="D70" t="n">
        <v>0</v>
      </c>
      <c r="E70" t="inlineStr">
        <is>
          <t>Bareskins</t>
        </is>
      </c>
      <c r="H70" t="inlineStr">
        <is>
          <t>4</t>
        </is>
      </c>
    </row>
    <row r="71">
      <c r="A71" t="inlineStr">
        <is>
          <t>Stock</t>
        </is>
      </c>
      <c r="B71" t="inlineStr">
        <is>
          <t>sold within.</t>
        </is>
      </c>
      <c r="C71" t="n">
        <v>0</v>
      </c>
      <c r="D71" t="n">
        <v>0</v>
      </c>
      <c r="E71" t="inlineStr">
        <is>
          <t>Bareskins</t>
        </is>
      </c>
    </row>
    <row r="72">
      <c r="A72" t="inlineStr">
        <is>
          <t>Stock</t>
        </is>
      </c>
      <c r="B72" t="inlineStr">
        <is>
          <t>none remain.</t>
        </is>
      </c>
      <c r="C72" t="n">
        <v>0</v>
      </c>
      <c r="D72" t="n">
        <v>0</v>
      </c>
      <c r="E72" t="inlineStr">
        <is>
          <t>Bareskins</t>
        </is>
      </c>
    </row>
    <row r="73">
      <c r="A73" t="inlineStr">
        <is>
          <t>Stock</t>
        </is>
      </c>
      <c r="B73" t="inlineStr">
        <is>
          <t>Lambskins: 51 from lambs in murrain before weaning.</t>
        </is>
      </c>
      <c r="C73" t="n">
        <v>0</v>
      </c>
      <c r="D73" t="n">
        <v>0</v>
      </c>
      <c r="E73" t="inlineStr">
        <is>
          <t>Lambskins</t>
        </is>
      </c>
      <c r="H73" t="inlineStr">
        <is>
          <t>51</t>
        </is>
      </c>
    </row>
    <row r="74">
      <c r="A74" t="inlineStr">
        <is>
          <t>Stock</t>
        </is>
      </c>
      <c r="B74" t="inlineStr">
        <is>
          <t>Total, 51. 5 in tithe.</t>
        </is>
      </c>
      <c r="C74" t="n">
        <v>0</v>
      </c>
      <c r="D74" t="n">
        <v>0</v>
      </c>
      <c r="E74" t="inlineStr">
        <is>
          <t>Lambskins</t>
        </is>
      </c>
    </row>
    <row r="75">
      <c r="A75" t="inlineStr">
        <is>
          <t>Stock</t>
        </is>
      </c>
      <c r="B75" t="inlineStr">
        <is>
          <t>46 sold within.</t>
        </is>
      </c>
      <c r="C75" t="n">
        <v>0</v>
      </c>
      <c r="D75" t="n">
        <v>0</v>
      </c>
      <c r="E75" t="inlineStr">
        <is>
          <t>Lambskins</t>
        </is>
      </c>
      <c r="I75" t="inlineStr">
        <is>
          <t>46</t>
        </is>
      </c>
    </row>
    <row r="76">
      <c r="A76" t="inlineStr">
        <is>
          <t>Stock</t>
        </is>
      </c>
      <c r="B76" t="inlineStr">
        <is>
          <t>Total as before.</t>
        </is>
      </c>
      <c r="C76" t="n">
        <v>0</v>
      </c>
      <c r="D76" t="n">
        <v>0</v>
      </c>
      <c r="E76" t="inlineStr">
        <is>
          <t>Lambskins</t>
        </is>
      </c>
    </row>
    <row r="77">
      <c r="A77" t="inlineStr">
        <is>
          <t>Stock</t>
        </is>
      </c>
      <c r="B77" t="inlineStr">
        <is>
          <t>None remain.</t>
        </is>
      </c>
      <c r="C77" t="n">
        <v>0</v>
      </c>
      <c r="D77" t="n">
        <v>0</v>
      </c>
      <c r="E77" t="inlineStr">
        <is>
          <t>Lambskins</t>
        </is>
      </c>
    </row>
    <row r="78">
      <c r="A78" t="inlineStr">
        <is>
          <t>Stock</t>
        </is>
      </c>
      <c r="B78" t="inlineStr">
        <is>
          <t>Rotted lambskins: 1 from a lamb in murrain after tithe and before weaning.</t>
        </is>
      </c>
      <c r="C78" t="n">
        <v>0</v>
      </c>
      <c r="D78" t="n">
        <v>0</v>
      </c>
      <c r="E78" t="inlineStr">
        <is>
          <t>Lambskins</t>
        </is>
      </c>
      <c r="H78" t="inlineStr">
        <is>
          <t>1</t>
        </is>
      </c>
    </row>
    <row r="79">
      <c r="A79" t="inlineStr">
        <is>
          <t>Stock</t>
        </is>
      </c>
      <c r="B79" t="inlineStr">
        <is>
          <t>sold within.</t>
        </is>
      </c>
      <c r="C79" t="n">
        <v>0</v>
      </c>
      <c r="D79" t="n">
        <v>0</v>
      </c>
      <c r="E79" t="inlineStr">
        <is>
          <t>Lambskins</t>
        </is>
      </c>
    </row>
    <row r="80">
      <c r="A80" t="inlineStr">
        <is>
          <t>Stock</t>
        </is>
      </c>
      <c r="B80" t="inlineStr">
        <is>
          <t>none remain.</t>
        </is>
      </c>
      <c r="C80" t="n">
        <v>0</v>
      </c>
      <c r="D80" t="n">
        <v>0</v>
      </c>
      <c r="E80" t="inlineStr">
        <is>
          <t>Lambskins</t>
        </is>
      </c>
    </row>
    <row r="81">
      <c r="A81" t="inlineStr">
        <is>
          <t>Stock</t>
        </is>
      </c>
      <c r="B81" t="inlineStr">
        <is>
          <t>Labour services: Nothing of the labour services of the customary tenants here because they are sold to the same whilst it pleases the lord, except the labour services of washing and shearing and 1 harvest boon-work from each tenant, which were done for the lord this year and will be done every year, and except the labour services of carrying when the lord should come or sojourn at Highclere and the labour services of enclosing the park of the same.</t>
        </is>
      </c>
      <c r="C81" t="n">
        <v>0</v>
      </c>
      <c r="D81" t="n">
        <v>0</v>
      </c>
      <c r="E81" t="inlineStr">
        <is>
          <t>Lambskins</t>
        </is>
      </c>
    </row>
    <row r="82">
      <c r="A82" t="inlineStr">
        <is>
          <t>Stock</t>
        </is>
      </c>
      <c r="B82" t="inlineStr">
        <is>
          <t>Utensils: 4 ploughs with all wooden equipment, worth 4 shilling 8pence, 3 worn out harrows, worth 1 shilling 1pence, 4 pairs of iron-shod wheels, weighing 61 lb, worth 6 shilling 8pence, 1 cart with iron tyres with all equipment, worth 16 shilling 8pence, 4 collars, 3 pairs of traces, 1 cart saddle with saddle-pads, 1 cart-rope, 1 fork for sheaves, worth 3 shilling, 1 iron bushel measure, 1 basket for carrying corn, 1 winnowing-fan, 2 sacks, 2 sieves, 2 riddles, 1 seed-basket bound with iron, 1 shovel and 1 spade fitted with iron, 1 ladder for roofing buildings, worth 4 shilling, and 1 new brass pot remain.</t>
        </is>
      </c>
      <c r="C82" t="n">
        <v>0</v>
      </c>
      <c r="D82" t="n">
        <v>0</v>
      </c>
      <c r="E82" t="inlineStr">
        <is>
          <t>Utensils</t>
        </is>
      </c>
      <c r="F82" t="inlineStr">
        <is>
          <t>1</t>
        </is>
      </c>
    </row>
    <row r="83">
      <c r="A83" t="inlineStr">
        <is>
          <t>Stock</t>
        </is>
      </c>
      <c r="B83" t="inlineStr">
        <is>
          <t>All this remains in the hands of the said farmers, to be handed back at the end of the abovesaid term or the value of the same at the choice of the lord.</t>
        </is>
      </c>
      <c r="C83" t="n">
        <v>0</v>
      </c>
      <c r="D83" t="n">
        <v>0</v>
      </c>
      <c r="E83" t="inlineStr">
        <is>
          <t>Utensils</t>
        </is>
      </c>
    </row>
    <row r="84">
      <c r="A84" t="inlineStr">
        <is>
          <t>Stock</t>
        </is>
      </c>
      <c r="B84" t="inlineStr">
        <is>
          <t>Total</t>
        </is>
      </c>
      <c r="C84" t="n">
        <v>0</v>
      </c>
      <c r="D84" t="n">
        <v>0</v>
      </c>
      <c r="E84"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3"/>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and thus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john seuare and richard le newe, farmers there, answer for 22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22</v>
      </c>
      <c r="Y3" t="n">
        <v>0</v>
      </c>
      <c r="Z3" t="n">
        <v>22</v>
      </c>
      <c r="AA3" t="n">
        <v>22</v>
      </c>
      <c r="AB3" t="n">
        <v>0</v>
      </c>
      <c r="AC3" t="n">
        <v>22</v>
      </c>
      <c r="AD3" t="n">
        <v>0</v>
      </c>
      <c r="AG3" t="n">
        <v>0</v>
      </c>
    </row>
    <row r="4">
      <c r="A4" t="inlineStr">
        <is>
          <t>wheat</t>
        </is>
      </c>
      <c r="B4" t="inlineStr">
        <is>
          <t>total, 22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22</v>
      </c>
      <c r="Y4" t="n">
        <v>0</v>
      </c>
      <c r="Z4" t="n">
        <v>22</v>
      </c>
      <c r="AA4" t="n">
        <v>22</v>
      </c>
      <c r="AB4" t="n">
        <v>0</v>
      </c>
      <c r="AC4" t="n">
        <v>22</v>
      </c>
      <c r="AD4" t="n">
        <v>0</v>
      </c>
      <c r="AG4" t="n">
        <v>0</v>
      </c>
    </row>
    <row r="5">
      <c r="A5" t="inlineStr">
        <is>
          <t>wheat</t>
        </is>
      </c>
      <c r="B5" t="inlineStr">
        <is>
          <t>22 quarters remain, worth 4 shilling a qr, in the hands of the aforesaid farmers, to be handed back and restored at the end of their term of 7 years, this year being the fourth, or the value of the same at the lord's will.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barley</t>
        </is>
      </c>
      <c r="B7" t="inlineStr">
        <is>
          <t>and for 16 quarters of barley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16</v>
      </c>
      <c r="Y7" t="n">
        <v>0</v>
      </c>
      <c r="Z7" t="n">
        <v>16</v>
      </c>
      <c r="AA7" t="n">
        <v>16</v>
      </c>
      <c r="AB7" t="n">
        <v>0</v>
      </c>
      <c r="AC7" t="n">
        <v>16</v>
      </c>
      <c r="AD7" t="n">
        <v>0</v>
      </c>
      <c r="AG7" t="n">
        <v>0</v>
      </c>
    </row>
    <row r="8">
      <c r="A8" t="inlineStr">
        <is>
          <t>barley</t>
        </is>
      </c>
      <c r="B8" t="inlineStr">
        <is>
          <t>total, 16 quarters..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16</v>
      </c>
      <c r="Y8" t="n">
        <v>0</v>
      </c>
      <c r="Z8" t="n">
        <v>16</v>
      </c>
      <c r="AA8" t="n">
        <v>16</v>
      </c>
      <c r="AB8" t="n">
        <v>0</v>
      </c>
      <c r="AC8" t="n">
        <v>16</v>
      </c>
      <c r="AD8" t="n">
        <v>0</v>
      </c>
      <c r="AG8" t="n">
        <v>0</v>
      </c>
    </row>
    <row r="9">
      <c r="A9" t="inlineStr">
        <is>
          <t>barley</t>
        </is>
      </c>
      <c r="B9" t="inlineStr">
        <is>
          <t>16 quarters remain, worth 3 shilling a qr, in the hands of the aforesaid farmers, to be handed back and restored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G9" t="n">
        <v>0</v>
      </c>
    </row>
    <row r="10">
      <c r="A10" t="inlineStr">
        <is>
          <t>barley</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G10" t="n">
        <v>0</v>
      </c>
    </row>
    <row r="11">
      <c r="A11" t="inlineStr">
        <is>
          <t>oats</t>
        </is>
      </c>
      <c r="B11" t="inlineStr">
        <is>
          <t>and for 40 quarters of oats remaining..</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40</v>
      </c>
      <c r="Y11" t="n">
        <v>0</v>
      </c>
      <c r="Z11" t="n">
        <v>40</v>
      </c>
      <c r="AA11" t="n">
        <v>40</v>
      </c>
      <c r="AB11" t="n">
        <v>0</v>
      </c>
      <c r="AC11" t="n">
        <v>40</v>
      </c>
      <c r="AD11" t="n">
        <v>0</v>
      </c>
      <c r="AG11" t="n">
        <v>0</v>
      </c>
    </row>
    <row r="12">
      <c r="A12" t="inlineStr">
        <is>
          <t>oats</t>
        </is>
      </c>
      <c r="B12" t="inlineStr">
        <is>
          <t>total, 40 quarters..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40</v>
      </c>
      <c r="Y12" t="n">
        <v>0</v>
      </c>
      <c r="Z12" t="n">
        <v>40</v>
      </c>
      <c r="AA12" t="n">
        <v>40</v>
      </c>
      <c r="AB12" t="n">
        <v>0</v>
      </c>
      <c r="AC12" t="n">
        <v>40</v>
      </c>
      <c r="AD12" t="n">
        <v>0</v>
      </c>
      <c r="AG12" t="n">
        <v>0</v>
      </c>
    </row>
    <row r="13">
      <c r="A13" t="inlineStr">
        <is>
          <t>oats</t>
        </is>
      </c>
      <c r="B13" t="inlineStr">
        <is>
          <t>40 quarters remain, of which 7 quarters 7 bushels by estimation in sheaves are for the fodder of oxen, worth 2 shilling a qr, in the hands of the aforesaid farmers, to be handed back and restored as before.</t>
        </is>
      </c>
      <c r="C13" t="n">
        <v>0</v>
      </c>
      <c r="D13" t="n">
        <v>0</v>
      </c>
      <c r="E13" t="n">
        <v>0</v>
      </c>
      <c r="F13" t="n">
        <v>0</v>
      </c>
      <c r="G13" t="n">
        <v>0</v>
      </c>
      <c r="H13" t="n">
        <v>0</v>
      </c>
      <c r="I13" t="n">
        <v>0</v>
      </c>
      <c r="J13" t="n">
        <v>0</v>
      </c>
      <c r="K13" t="n">
        <v>0</v>
      </c>
      <c r="L13" t="n">
        <v>0</v>
      </c>
      <c r="M13" t="n">
        <v>0</v>
      </c>
      <c r="N13" t="n">
        <v>47</v>
      </c>
      <c r="O13" t="n">
        <v>7</v>
      </c>
      <c r="P13" t="n">
        <v>47.88</v>
      </c>
      <c r="Q13" t="n">
        <v>0</v>
      </c>
      <c r="R13" t="n">
        <v>0</v>
      </c>
      <c r="S13" t="n">
        <v>0</v>
      </c>
      <c r="T13" t="n">
        <v>0</v>
      </c>
      <c r="U13" t="n">
        <v>0</v>
      </c>
      <c r="V13" t="n">
        <v>0</v>
      </c>
      <c r="W13" t="n">
        <v>0</v>
      </c>
      <c r="AG1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thus he owes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BURGHCLERE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0</v>
      </c>
      <c r="C4" s="128" t="n">
        <v>0</v>
      </c>
      <c r="D4" s="128" t="n">
        <v>0</v>
      </c>
      <c r="E4" s="128" t="n"/>
      <c r="F4" s="128" t="n">
        <v>0</v>
      </c>
      <c r="G4" s="128" t="n"/>
      <c r="H4" s="128" t="n"/>
    </row>
    <row r="5">
      <c r="A5" s="138" t="inlineStr">
        <is>
          <t>Cost of ploughs total</t>
        </is>
      </c>
      <c r="B5" s="139" t="n"/>
      <c r="C5" s="139" t="n"/>
      <c r="D5" s="139" t="n"/>
      <c r="E5" s="139" t="n"/>
      <c r="F5" s="139" t="n">
        <v>0</v>
      </c>
      <c r="G5" s="139" t="n">
        <v>0</v>
      </c>
      <c r="H5" s="139" t="n"/>
    </row>
    <row r="6">
      <c r="A6" s="136" t="n"/>
      <c r="B6" s="128" t="n"/>
      <c r="C6" s="128" t="n"/>
      <c r="D6" s="128" t="n"/>
      <c r="E6" s="128" t="n"/>
      <c r="F6" s="128" t="n"/>
      <c r="G6" s="128" t="n"/>
      <c r="H6" s="128" t="n"/>
    </row>
    <row r="7">
      <c r="A7" s="137" t="inlineStr">
        <is>
          <t>Purchase of stock</t>
        </is>
      </c>
      <c r="B7" s="128" t="n">
        <v>16</v>
      </c>
      <c r="C7" s="128" t="n">
        <v>6</v>
      </c>
      <c r="D7" s="128" t="n">
        <v>8</v>
      </c>
      <c r="E7" s="128" t="n"/>
      <c r="F7" s="128" t="n">
        <v>16.33</v>
      </c>
      <c r="G7" s="128" t="n"/>
      <c r="H7" s="128" t="n"/>
    </row>
    <row r="8">
      <c r="A8" s="136" t="inlineStr">
        <is>
          <t>Purchase of stock</t>
        </is>
      </c>
      <c r="B8" s="128" t="n">
        <v>16</v>
      </c>
      <c r="C8" s="128" t="n">
        <v>6</v>
      </c>
      <c r="D8" s="128" t="n">
        <v>8</v>
      </c>
      <c r="E8" s="128" t="n"/>
      <c r="F8" s="128" t="n">
        <v>16.33</v>
      </c>
      <c r="G8" s="128" t="n"/>
      <c r="H8" s="128" t="n"/>
    </row>
    <row r="9">
      <c r="A9" s="138" t="inlineStr">
        <is>
          <t>Purchase of stock total</t>
        </is>
      </c>
      <c r="B9" s="139" t="n"/>
      <c r="C9" s="139" t="n"/>
      <c r="D9" s="139" t="n"/>
      <c r="E9" s="139" t="n"/>
      <c r="F9" s="139" t="n">
        <v>16.33</v>
      </c>
      <c r="G9" s="139" t="n">
        <v>0</v>
      </c>
      <c r="H9" s="139" t="n"/>
    </row>
    <row r="10">
      <c r="A10" s="136" t="n"/>
      <c r="B10" s="128" t="n"/>
      <c r="C10" s="128" t="n"/>
      <c r="D10" s="128" t="n"/>
      <c r="E10" s="128" t="n"/>
      <c r="F10" s="128" t="n"/>
      <c r="G10" s="128" t="n"/>
      <c r="H10" s="128" t="n"/>
    </row>
    <row r="11">
      <c r="A11" s="137" t="inlineStr">
        <is>
          <t>Necessary expenses</t>
        </is>
      </c>
      <c r="B11" s="128" t="n">
        <v>0</v>
      </c>
      <c r="C11" s="128" t="n">
        <v>1</v>
      </c>
      <c r="D11" s="128" t="n">
        <v>8</v>
      </c>
      <c r="E11" s="128" t="n"/>
      <c r="F11" s="128" t="n">
        <v>0.08</v>
      </c>
      <c r="G11" s="128" t="n"/>
      <c r="H11" s="128" t="n"/>
    </row>
    <row r="12">
      <c r="A12" s="136" t="inlineStr">
        <is>
          <t>Necessary expenses</t>
        </is>
      </c>
      <c r="B12" s="128" t="n">
        <v>0</v>
      </c>
      <c r="C12" s="128" t="n">
        <v>1</v>
      </c>
      <c r="D12" s="128" t="n">
        <v>4</v>
      </c>
      <c r="E12" s="128" t="n"/>
      <c r="F12" s="128" t="n">
        <v>0.07000000000000001</v>
      </c>
      <c r="G12" s="128" t="n"/>
      <c r="H12" s="128" t="n"/>
    </row>
    <row r="13">
      <c r="A13" s="136" t="inlineStr">
        <is>
          <t>Necessary expenses</t>
        </is>
      </c>
      <c r="B13" s="128" t="n">
        <v>0</v>
      </c>
      <c r="C13" s="128" t="n">
        <v>3</v>
      </c>
      <c r="D13" s="128" t="n">
        <v>0</v>
      </c>
      <c r="E13" s="128" t="n"/>
      <c r="F13" s="128" t="n">
        <v>0.15</v>
      </c>
      <c r="G13" s="128" t="n"/>
      <c r="H13" s="128" t="n"/>
    </row>
    <row r="14">
      <c r="A14" s="138" t="inlineStr">
        <is>
          <t>Necessary expenses total</t>
        </is>
      </c>
      <c r="B14" s="139" t="n"/>
      <c r="C14" s="139" t="n"/>
      <c r="D14" s="139" t="n"/>
      <c r="E14" s="139" t="n"/>
      <c r="F14" s="139" t="n">
        <v>0.15</v>
      </c>
      <c r="G14" s="139" t="n">
        <v>0</v>
      </c>
      <c r="H14" s="139" t="n"/>
    </row>
    <row r="15">
      <c r="A15" s="136" t="n"/>
      <c r="B15" s="128" t="n"/>
      <c r="C15" s="128" t="n"/>
      <c r="D15" s="128" t="n"/>
      <c r="E15" s="128" t="n"/>
      <c r="F15" s="128" t="n"/>
      <c r="G15" s="128" t="n"/>
      <c r="H15" s="128" t="n"/>
    </row>
    <row r="16">
      <c r="A16" s="136" t="inlineStr">
        <is>
          <t>Total of all expenses</t>
        </is>
      </c>
      <c r="B16" s="128" t="n">
        <v>20</v>
      </c>
      <c r="C16" s="128" t="n">
        <v>10</v>
      </c>
      <c r="D16" s="128" t="n">
        <v>0</v>
      </c>
      <c r="E16" s="128" t="n"/>
      <c r="F16" s="128" t="n">
        <v>20.5</v>
      </c>
      <c r="G16" s="128" t="n"/>
      <c r="H16" s="128" t="n"/>
    </row>
    <row r="17">
      <c r="A17" s="136" t="inlineStr">
        <is>
          <t>Total of all expenses</t>
        </is>
      </c>
      <c r="B17" s="128" t="n"/>
      <c r="C17" s="128" t="n"/>
      <c r="D17" s="128" t="n"/>
      <c r="E17" s="128" t="n"/>
      <c r="F17" s="128" t="n">
        <v>0</v>
      </c>
      <c r="G17" s="128" t="n">
        <v>-20.5</v>
      </c>
      <c r="H17" s="128" t="n"/>
    </row>
    <row r="18">
      <c r="A18" s="136" t="n"/>
      <c r="B18" s="128" t="n"/>
      <c r="C18" s="128" t="n"/>
      <c r="D18" s="128" t="n"/>
      <c r="E18" s="128" t="n"/>
      <c r="F18" s="128" t="n"/>
      <c r="G18" s="128" t="n"/>
      <c r="H18" s="128" t="n"/>
    </row>
    <row r="19">
      <c r="A19" s="137" t="inlineStr">
        <is>
          <t>And he owes</t>
        </is>
      </c>
      <c r="B19" s="128" t="n">
        <v>76</v>
      </c>
      <c r="C19" s="128" t="n">
        <v>6</v>
      </c>
      <c r="D19" s="128" t="n">
        <v>5</v>
      </c>
      <c r="E19" s="128" t="n"/>
      <c r="F19" s="128" t="n">
        <v>76.31999999999999</v>
      </c>
      <c r="G19" s="128" t="n"/>
      <c r="H19" s="128" t="n"/>
    </row>
    <row r="20">
      <c r="A20" s="138" t="inlineStr">
        <is>
          <t>And he owes total</t>
        </is>
      </c>
      <c r="B20" s="139" t="n"/>
      <c r="C20" s="139" t="n"/>
      <c r="D20" s="139" t="n"/>
      <c r="E20" s="139" t="n"/>
      <c r="F20" s="139" t="n">
        <v>76.31999999999999</v>
      </c>
      <c r="G20" s="139" t="n">
        <v>0</v>
      </c>
      <c r="H20" s="139" t="n"/>
    </row>
    <row r="21">
      <c r="A21" s="136" t="n"/>
      <c r="B21" s="128" t="n"/>
      <c r="C21" s="128" t="n"/>
      <c r="D21" s="128" t="n"/>
      <c r="E21" s="128" t="n"/>
      <c r="F21" s="128" t="n"/>
      <c r="G21" s="128" t="n"/>
      <c r="H21" s="128" t="n"/>
    </row>
    <row r="22">
      <c r="A22" s="137" t="inlineStr">
        <is>
          <t>Cash deliveries</t>
        </is>
      </c>
      <c r="B22" s="128" t="n">
        <v>39</v>
      </c>
      <c r="C22" s="128" t="n">
        <v>4</v>
      </c>
      <c r="D22" s="128" t="n">
        <v>6</v>
      </c>
      <c r="E22" s="128" t="n"/>
      <c r="F22" s="128" t="n">
        <v>39.23</v>
      </c>
      <c r="G22" s="128" t="n"/>
      <c r="H22" s="128" t="n"/>
    </row>
    <row r="23">
      <c r="A23" s="136" t="inlineStr">
        <is>
          <t>Cash deliveries</t>
        </is>
      </c>
      <c r="B23" s="128" t="n">
        <v>39</v>
      </c>
      <c r="C23" s="128" t="n">
        <v>4</v>
      </c>
      <c r="D23" s="128" t="n">
        <v>6</v>
      </c>
      <c r="E23" s="128" t="n"/>
      <c r="F23" s="128" t="n">
        <v>39.23</v>
      </c>
      <c r="G23" s="128" t="n"/>
      <c r="H23" s="128" t="n"/>
    </row>
    <row r="24">
      <c r="A24" s="138" t="inlineStr">
        <is>
          <t>Cash deliveries total</t>
        </is>
      </c>
      <c r="B24" s="139" t="n"/>
      <c r="C24" s="139" t="n"/>
      <c r="D24" s="139" t="n"/>
      <c r="E24" s="139" t="n"/>
      <c r="F24" s="139" t="n">
        <v>39.23</v>
      </c>
      <c r="G24" s="139" t="n">
        <v>0</v>
      </c>
      <c r="H24" s="139" t="n"/>
    </row>
    <row r="25">
      <c r="A25" s="136" t="n"/>
      <c r="B25" s="128" t="n"/>
      <c r="C25" s="128" t="n"/>
      <c r="D25" s="128" t="n"/>
      <c r="E25" s="128" t="n"/>
      <c r="F25" s="128" t="n"/>
      <c r="G25" s="128" t="n"/>
      <c r="H25" s="128" t="n"/>
    </row>
    <row r="26">
      <c r="A26" s="137" t="inlineStr">
        <is>
          <t>Total of all allowances and cash deliveries</t>
        </is>
      </c>
      <c r="B26" s="128" t="n">
        <v>40</v>
      </c>
      <c r="C26" s="128" t="n">
        <v>9</v>
      </c>
      <c r="D26" s="128" t="n">
        <v>0</v>
      </c>
      <c r="E26" s="128" t="n"/>
      <c r="F26" s="128" t="n">
        <v>40.45</v>
      </c>
      <c r="G26" s="128" t="n"/>
      <c r="H26" s="128" t="n"/>
    </row>
    <row r="27">
      <c r="A27" s="138" t="inlineStr">
        <is>
          <t>Total of all allowances and cash deliveries total</t>
        </is>
      </c>
      <c r="B27" s="139" t="n"/>
      <c r="C27" s="139" t="n"/>
      <c r="D27" s="139" t="n"/>
      <c r="E27" s="139" t="n"/>
      <c r="F27" s="139" t="n">
        <v>0</v>
      </c>
      <c r="G27" s="139" t="n">
        <v>-40.45</v>
      </c>
      <c r="H27" s="139" t="n"/>
    </row>
    <row r="28">
      <c r="A28" s="136" t="n"/>
      <c r="B28" s="128" t="n"/>
      <c r="C28" s="128" t="n"/>
      <c r="D28" s="128" t="n"/>
      <c r="E28" s="128" t="n"/>
      <c r="F28" s="128" t="n"/>
      <c r="G28" s="128" t="n"/>
      <c r="H28" s="128" t="n"/>
    </row>
    <row r="29">
      <c r="A29" s="137" t="inlineStr">
        <is>
          <t>And thus he owes</t>
        </is>
      </c>
      <c r="B29" s="128" t="n">
        <v>15</v>
      </c>
      <c r="C29" s="128" t="n">
        <v>17</v>
      </c>
      <c r="D29" s="128" t="n">
        <v>5</v>
      </c>
      <c r="E29" s="128" t="n"/>
      <c r="F29" s="128" t="n">
        <v>15.87</v>
      </c>
      <c r="G29" s="128" t="n"/>
      <c r="H29" s="128" t="n"/>
    </row>
    <row r="31">
      <c r="A31" s="38" t="inlineStr">
        <is>
          <t>Total of all expenses per account</t>
        </is>
      </c>
      <c r="B31" t="n">
        <v>20</v>
      </c>
      <c r="C31" t="n">
        <v>10</v>
      </c>
      <c r="D31" t="n">
        <v>0</v>
      </c>
      <c r="F31">
        <f>F16</f>
        <v/>
      </c>
    </row>
    <row r="32">
      <c r="A32" s="38" t="inlineStr">
        <is>
          <t>Total of all expenses (calculated here)</t>
        </is>
      </c>
      <c r="F32">
        <f>SUMIF(A1:A15,"* total",F1:F15)</f>
        <v/>
      </c>
    </row>
    <row r="33">
      <c r="A33" s="38" t="inlineStr">
        <is>
          <t>Total fixed investment</t>
        </is>
      </c>
    </row>
    <row r="34">
      <c r="A34"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2026-01-17T10:57:17Z</dcterms:modified>
  <cp:lastModifiedBy>Kowalski, Kuba</cp:lastModifiedBy>
</cp:coreProperties>
</file>
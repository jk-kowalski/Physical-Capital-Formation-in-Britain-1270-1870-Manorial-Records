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Adderbury Overview" sheetId="1" state="visible" r:id="rId1"/>
    <sheet xmlns:r="http://schemas.openxmlformats.org/officeDocument/2006/relationships" name="Bishopstone Stock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Stock" sheetId="5" state="visible" r:id="rId5"/>
    <sheet xmlns:r="http://schemas.openxmlformats.org/officeDocument/2006/relationships" name="Overview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Issues of the Grange" sheetId="12" state="visible" r:id="rId12"/>
    <sheet xmlns:r="http://schemas.openxmlformats.org/officeDocument/2006/relationships" name="Sale of Corn Prices" sheetId="13" state="visible" r:id="rId13"/>
    <sheet xmlns:r="http://schemas.openxmlformats.org/officeDocument/2006/relationships" name="Expense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20" fillId="0" borderId="18" pivotButton="0" quotePrefix="0" xfId="0"/>
    <xf numFmtId="0" fontId="20" fillId="11" borderId="18" pivotButton="0" quotePrefix="0" xfId="0"/>
    <xf numFmtId="0" fontId="20" fillId="11" borderId="17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abSelected="1"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A138" sqref="A138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ADDERBURY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inlineStr">
        <is>
          <t xml:space="preserve"> </t>
        </is>
      </c>
      <c r="D4" s="13" t="n"/>
      <c r="E4" s="13" t="n"/>
    </row>
    <row r="5">
      <c r="A5" s="15" t="inlineStr">
        <is>
          <t>Rents of assize total</t>
        </is>
      </c>
      <c r="B5" s="76">
        <f>'Adderbury Receipts'!F9</f>
        <v/>
      </c>
    </row>
    <row r="6">
      <c r="A6" s="15" t="inlineStr">
        <is>
          <t>Quittances total</t>
        </is>
      </c>
      <c r="B6" s="76">
        <f>'Adderbury Receipts'!F22</f>
        <v/>
      </c>
    </row>
    <row r="7">
      <c r="A7" s="15" t="inlineStr">
        <is>
          <t>Defaults of rent total</t>
        </is>
      </c>
      <c r="B7" s="76">
        <f>'Adderbury Receipts'!F27</f>
        <v/>
      </c>
    </row>
    <row r="8">
      <c r="A8" s="76" t="inlineStr">
        <is>
          <t>Defaults of rent through the pestilence total</t>
        </is>
      </c>
      <c r="B8" s="76">
        <f>'Adderbury Receipts'!F36</f>
        <v/>
      </c>
    </row>
    <row r="9">
      <c r="A9" s="76" t="inlineStr">
        <is>
          <t>Cotlands defaults total</t>
        </is>
      </c>
      <c r="B9" s="76">
        <f>'Adderbury Receipts'!F45</f>
        <v/>
      </c>
    </row>
    <row r="10">
      <c r="A10" s="76" t="inlineStr">
        <is>
          <t>Cotlands total</t>
        </is>
      </c>
      <c r="B10" s="76">
        <f>'Adderbury Receipts'!F54</f>
        <v/>
      </c>
    </row>
    <row r="11">
      <c r="A11" s="76" t="inlineStr">
        <is>
          <t>Total of quittances and defaults of rent total</t>
        </is>
      </c>
      <c r="B11" s="76">
        <f>'Adderbury Receipts'!F56</f>
        <v/>
      </c>
    </row>
    <row r="12">
      <c r="A12" s="76" t="inlineStr">
        <is>
          <t>Total of rents remaining clear total</t>
        </is>
      </c>
      <c r="B12" s="76">
        <f>'Adderbury Receipts'!F58</f>
        <v/>
      </c>
    </row>
    <row r="13">
      <c r="A13" s="76" t="inlineStr">
        <is>
          <t>Farms total</t>
        </is>
      </c>
      <c r="B13" s="76">
        <f>'Adderbury Receipts'!F70</f>
        <v/>
      </c>
    </row>
    <row r="14">
      <c r="A14" s="15" t="inlineStr">
        <is>
          <t>Annual recognizances total</t>
        </is>
      </c>
      <c r="B14" s="76">
        <f>'Adderbury Receipts'!F90</f>
        <v/>
      </c>
    </row>
    <row r="15">
      <c r="A15" s="15" t="inlineStr">
        <is>
          <t>Issues of the Manor total</t>
        </is>
      </c>
      <c r="B15" s="76">
        <f>'Adderbury Receipts'!F117</f>
        <v/>
      </c>
    </row>
    <row r="16">
      <c r="A16" s="76" t="inlineStr">
        <is>
          <t>Issues of the tenements in the lord's hands total</t>
        </is>
      </c>
      <c r="B16" s="76">
        <f>'Adderbury Receipts'!F126</f>
        <v/>
      </c>
    </row>
    <row r="17">
      <c r="A17" s="76" t="inlineStr">
        <is>
          <t>Sale of labour services total</t>
        </is>
      </c>
      <c r="B17" s="76">
        <f>'Adderbury Receipts'!F135</f>
        <v/>
      </c>
    </row>
    <row r="18">
      <c r="A18" s="15" t="inlineStr">
        <is>
          <t>Sale of corn total</t>
        </is>
      </c>
      <c r="B18" s="76">
        <f>'Adderbury Receipts'!F138</f>
        <v/>
      </c>
    </row>
    <row r="19">
      <c r="A19" s="15" t="inlineStr">
        <is>
          <t>Entry and marriage fines total</t>
        </is>
      </c>
      <c r="B19" s="76">
        <f>'Adderbury Receipts'!F166</f>
        <v/>
      </c>
    </row>
    <row r="20">
      <c r="A20" s="15" t="inlineStr">
        <is>
          <t>Pleas &amp; perquisites total</t>
        </is>
      </c>
      <c r="B20" s="76">
        <f>'Adderbury Receipts'!F173</f>
        <v/>
      </c>
    </row>
    <row r="21">
      <c r="A21" s="76" t="inlineStr">
        <is>
          <t>Forfeited chattels total</t>
        </is>
      </c>
      <c r="B21" s="76">
        <f>'Adderbury Receipts'!F177</f>
        <v/>
      </c>
    </row>
    <row r="22">
      <c r="A22" s="76" t="inlineStr">
        <is>
          <t>Farm of the demesne land total</t>
        </is>
      </c>
      <c r="B22" s="76">
        <f>'Adderbury Receipts'!F181</f>
        <v/>
      </c>
      <c r="D22" s="88" t="n"/>
    </row>
    <row r="23">
      <c r="A23" s="81" t="inlineStr">
        <is>
          <t>Total of all receipts (calculated here)</t>
        </is>
      </c>
      <c r="B23" s="79">
        <f>'Adderbury Receipts'!F185</f>
        <v/>
      </c>
      <c r="C23" s="80" t="n"/>
    </row>
    <row r="24">
      <c r="A24" s="82" t="inlineStr">
        <is>
          <t>Total of all receipts (calculated here) incl arrears</t>
        </is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'Adderbury Receipts'!F184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>
        <f>'Adderbury Expenses'!F26</f>
        <v/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>
        <f>'Adderbury Expenses'!F30</f>
        <v/>
      </c>
    </row>
    <row r="42">
      <c r="A42" s="15" t="inlineStr">
        <is>
          <t>Steward's expenses total</t>
        </is>
      </c>
      <c r="B42" s="84">
        <f>'Adderbury Expenses'!F33</f>
        <v/>
      </c>
    </row>
    <row r="43">
      <c r="A43" s="85" t="inlineStr">
        <is>
          <t>Annual fees</t>
        </is>
      </c>
      <c r="B43" s="86">
        <f>'Adderbury Expenses'!F37</f>
        <v/>
      </c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>
        <f>'Adderbury Expenses'!F41</f>
        <v/>
      </c>
    </row>
    <row r="51">
      <c r="A51" s="15" t="n"/>
    </row>
    <row r="52">
      <c r="A52" s="18" t="inlineStr">
        <is>
          <t>Allowances</t>
        </is>
      </c>
      <c r="B52" s="84">
        <f>'Adderbury Expenses'!F45</f>
        <v/>
      </c>
    </row>
    <row r="53">
      <c r="A53" s="18" t="inlineStr">
        <is>
          <t>Cash deliveries</t>
        </is>
      </c>
      <c r="B53" s="84">
        <f>'Adderbury Expenses'!F48</f>
        <v/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>
        <f>SUM(D62:D70)</f>
        <v/>
      </c>
      <c r="C71" s="94" t="n"/>
      <c r="D71" s="93" t="n"/>
      <c r="E71" s="93" t="n"/>
    </row>
    <row r="72">
      <c r="A72" s="17" t="inlineStr">
        <is>
          <t>Total value of net production</t>
        </is>
      </c>
      <c r="B72" s="93">
        <f>SUM(E62:E70)</f>
        <v/>
      </c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  <c r="F75" s="13" t="inlineStr">
        <is>
          <t>Not yet implemented</t>
        </is>
      </c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>
        <f>'Adderbury Stock'!B5</f>
        <v/>
      </c>
      <c r="C87" s="76">
        <f>'Adderbury Stock'!K5</f>
        <v/>
      </c>
      <c r="D87" s="76">
        <f>'Adderbury Overview'!C87-'Adderbury Overview'!B87</f>
        <v/>
      </c>
      <c r="F87" s="84">
        <f>'Adderbury Stock'!P5</f>
        <v/>
      </c>
      <c r="G87" s="84">
        <f>'Adderbury Stock'!S5</f>
        <v/>
      </c>
    </row>
    <row r="88">
      <c r="A88" s="22" t="inlineStr">
        <is>
          <t>Mares</t>
        </is>
      </c>
      <c r="B88" s="76">
        <f>'Adderbury Stock'!B6</f>
        <v/>
      </c>
      <c r="C88" s="76">
        <f>'Adderbury Stock'!K6</f>
        <v/>
      </c>
      <c r="D88" s="76">
        <f>'Adderbury Overview'!C88-'Adderbury Overview'!B88</f>
        <v/>
      </c>
      <c r="F88" s="84">
        <f>'Adderbury Stock'!P6</f>
        <v/>
      </c>
      <c r="G88" s="84">
        <f>'Adderbury Stock'!S6</f>
        <v/>
      </c>
    </row>
    <row r="89">
      <c r="A89" s="15" t="inlineStr">
        <is>
          <t>Plough horses</t>
        </is>
      </c>
      <c r="B89" s="76">
        <f>'Adderbury Stock'!B7</f>
        <v/>
      </c>
      <c r="C89" s="76">
        <f>'Adderbury Stock'!K7</f>
        <v/>
      </c>
      <c r="D89" s="76">
        <f>'Adderbury Overview'!C89-'Adderbury Overview'!B89</f>
        <v/>
      </c>
      <c r="F89" s="84">
        <f>'Adderbury Stock'!P7</f>
        <v/>
      </c>
      <c r="G89" s="84">
        <f>'Adderbury Stock'!S7</f>
        <v/>
      </c>
    </row>
    <row r="90">
      <c r="A90" s="15" t="inlineStr">
        <is>
          <t>Colts (2 years)</t>
        </is>
      </c>
      <c r="B90" s="76">
        <f>'Adderbury Stock'!B8</f>
        <v/>
      </c>
      <c r="C90" s="76">
        <f>'Adderbury Stock'!K8</f>
        <v/>
      </c>
      <c r="D90" s="76">
        <f>'Adderbury Overview'!C90-'Adderbury Overview'!B90</f>
        <v/>
      </c>
      <c r="F90" s="84">
        <f>'Adderbury Stock'!P8</f>
        <v/>
      </c>
      <c r="G90" s="84">
        <f>'Adderbury Stock'!S8</f>
        <v/>
      </c>
    </row>
    <row r="91">
      <c r="A91" s="15" t="inlineStr">
        <is>
          <t>Colts (2 years)</t>
        </is>
      </c>
      <c r="B91" s="76">
        <f>'Adderbury Stock'!B9</f>
        <v/>
      </c>
      <c r="C91" s="76">
        <f>'Adderbury Stock'!K9</f>
        <v/>
      </c>
      <c r="D91" s="76">
        <f>'Adderbury Overview'!C91-'Adderbury Overview'!B91</f>
        <v/>
      </c>
      <c r="F91" s="84">
        <f>'Adderbury Stock'!P9</f>
        <v/>
      </c>
      <c r="G91" s="84">
        <f>'Adderbury Stock'!S9</f>
        <v/>
      </c>
    </row>
    <row r="92">
      <c r="A92" s="15" t="inlineStr">
        <is>
          <t>Colts (1 year)</t>
        </is>
      </c>
      <c r="B92" s="76">
        <f>'Adderbury Stock'!B10</f>
        <v/>
      </c>
      <c r="C92" s="76">
        <f>'Adderbury Stock'!K10</f>
        <v/>
      </c>
      <c r="D92" s="76">
        <f>'Adderbury Overview'!C92-'Adderbury Overview'!B92</f>
        <v/>
      </c>
      <c r="F92" s="84">
        <f>'Adderbury Stock'!P10</f>
        <v/>
      </c>
      <c r="G92" s="84">
        <f>'Adderbury Stock'!S10</f>
        <v/>
      </c>
    </row>
    <row r="93">
      <c r="A93" s="15" t="inlineStr">
        <is>
          <t>Foals</t>
        </is>
      </c>
      <c r="B93" s="76">
        <f>'Adderbury Stock'!B11</f>
        <v/>
      </c>
      <c r="C93" s="76">
        <f>'Adderbury Stock'!K11</f>
        <v/>
      </c>
      <c r="D93" s="76">
        <f>'Adderbury Overview'!C93-'Adderbury Overview'!B93</f>
        <v/>
      </c>
      <c r="F93" s="84">
        <f>'Adderbury Stock'!P11</f>
        <v/>
      </c>
      <c r="G93" s="84">
        <f>'Adderbury Stock'!S11</f>
        <v/>
      </c>
    </row>
    <row r="94">
      <c r="A94" s="15" t="inlineStr">
        <is>
          <t>Oxen</t>
        </is>
      </c>
      <c r="B94" s="76">
        <f>'Adderbury Stock'!B12</f>
        <v/>
      </c>
      <c r="C94" s="76">
        <f>'Adderbury Stock'!K12</f>
        <v/>
      </c>
      <c r="D94" s="76">
        <f>'Adderbury Overview'!C94-'Adderbury Overview'!B94</f>
        <v/>
      </c>
      <c r="F94" s="84">
        <f>'Adderbury Stock'!P12</f>
        <v/>
      </c>
      <c r="G94" s="84">
        <f>'Adderbury Stock'!S12</f>
        <v/>
      </c>
    </row>
    <row r="95">
      <c r="A95" s="15" t="inlineStr">
        <is>
          <t>Bulls</t>
        </is>
      </c>
      <c r="B95" s="76">
        <f>'Adderbury Stock'!B13</f>
        <v/>
      </c>
      <c r="C95" s="76">
        <f>'Adderbury Stock'!K13</f>
        <v/>
      </c>
      <c r="D95" s="76">
        <f>'Adderbury Overview'!C95-'Adderbury Overview'!B95</f>
        <v/>
      </c>
      <c r="F95" s="84">
        <f>'Adderbury Stock'!P13</f>
        <v/>
      </c>
      <c r="G95" s="84">
        <f>'Adderbury Stock'!S13</f>
        <v/>
      </c>
    </row>
    <row r="96">
      <c r="A96" s="15" t="inlineStr">
        <is>
          <t>Cows</t>
        </is>
      </c>
      <c r="B96" s="76">
        <f>'Adderbury Stock'!B14</f>
        <v/>
      </c>
      <c r="C96" s="76">
        <f>'Adderbury Stock'!K14</f>
        <v/>
      </c>
      <c r="D96" s="76">
        <f>'Adderbury Overview'!C96-'Adderbury Overview'!B96</f>
        <v/>
      </c>
      <c r="F96" s="84">
        <f>'Adderbury Stock'!P14</f>
        <v/>
      </c>
      <c r="G96" s="84">
        <f>'Adderbury Stock'!S14</f>
        <v/>
      </c>
    </row>
    <row r="97">
      <c r="A97" s="15" t="inlineStr">
        <is>
          <t>Steers</t>
        </is>
      </c>
      <c r="B97" s="76">
        <f>'Adderbury Stock'!B15</f>
        <v/>
      </c>
      <c r="C97" s="76">
        <f>'Adderbury Stock'!K15</f>
        <v/>
      </c>
      <c r="D97" s="76">
        <f>'Adderbury Overview'!C97-'Adderbury Overview'!B97</f>
        <v/>
      </c>
      <c r="F97" s="84">
        <f>'Adderbury Stock'!P15</f>
        <v/>
      </c>
      <c r="G97" s="84">
        <f>'Adderbury Stock'!S15</f>
        <v/>
      </c>
    </row>
    <row r="98">
      <c r="A98" s="15" t="inlineStr">
        <is>
          <t>Bullocks</t>
        </is>
      </c>
      <c r="B98" s="76">
        <f>'Adderbury Stock'!B16</f>
        <v/>
      </c>
      <c r="C98" s="76">
        <f>'Adderbury Stock'!K16</f>
        <v/>
      </c>
      <c r="D98" s="76">
        <f>'Adderbury Overview'!C98-'Adderbury Overview'!B98</f>
        <v/>
      </c>
      <c r="F98" s="84">
        <f>'Adderbury Stock'!P16</f>
        <v/>
      </c>
      <c r="G98" s="84">
        <f>'Adderbury Stock'!S16</f>
        <v/>
      </c>
    </row>
    <row r="99">
      <c r="A99" s="15" t="inlineStr">
        <is>
          <t>Yearlings</t>
        </is>
      </c>
      <c r="B99" s="76">
        <f>'Adderbury Stock'!B17</f>
        <v/>
      </c>
      <c r="C99" s="76">
        <f>'Adderbury Stock'!K17</f>
        <v/>
      </c>
      <c r="D99" s="76">
        <f>'Adderbury Overview'!C99-'Adderbury Overview'!B99</f>
        <v/>
      </c>
      <c r="F99" s="84">
        <f>'Adderbury Stock'!P17</f>
        <v/>
      </c>
      <c r="G99" s="84">
        <f>'Adderbury Stock'!S17</f>
        <v/>
      </c>
    </row>
    <row r="100">
      <c r="A100" s="15" t="inlineStr">
        <is>
          <t>Calves</t>
        </is>
      </c>
      <c r="B100" s="76">
        <f>'Adderbury Stock'!B18</f>
        <v/>
      </c>
      <c r="C100" s="76">
        <f>'Adderbury Stock'!K18</f>
        <v/>
      </c>
      <c r="D100" s="76">
        <f>'Adderbury Overview'!C100-'Adderbury Overview'!B100</f>
        <v/>
      </c>
      <c r="F100" s="84">
        <f>'Adderbury Stock'!P18</f>
        <v/>
      </c>
      <c r="G100" s="84">
        <f>'Adderbury Stock'!S18</f>
        <v/>
      </c>
    </row>
    <row r="101">
      <c r="A101" s="15" t="inlineStr">
        <is>
          <t>Wethers</t>
        </is>
      </c>
      <c r="B101" s="76">
        <f>'Adderbury Stock'!B19</f>
        <v/>
      </c>
      <c r="C101" s="76">
        <f>'Adderbury Stock'!K19</f>
        <v/>
      </c>
      <c r="D101" s="76">
        <f>'Adderbury Overview'!C101-'Adderbury Overview'!B101</f>
        <v/>
      </c>
      <c r="F101" s="84">
        <f>'Adderbury Stock'!P19</f>
        <v/>
      </c>
      <c r="G101" s="84">
        <f>'Adderbury Stock'!S19</f>
        <v/>
      </c>
    </row>
    <row r="102">
      <c r="A102" s="15" t="inlineStr">
        <is>
          <t>Rams</t>
        </is>
      </c>
      <c r="B102" s="76">
        <f>'Adderbury Stock'!B20</f>
        <v/>
      </c>
      <c r="C102" s="76">
        <f>'Adderbury Stock'!K20</f>
        <v/>
      </c>
      <c r="D102" s="76">
        <f>'Adderbury Overview'!C102-'Adderbury Overview'!B102</f>
        <v/>
      </c>
      <c r="F102" s="84">
        <f>'Adderbury Stock'!P20</f>
        <v/>
      </c>
      <c r="G102" s="84">
        <f>'Adderbury Stock'!S20</f>
        <v/>
      </c>
    </row>
    <row r="103">
      <c r="A103" s="15" t="inlineStr">
        <is>
          <t>Ewes</t>
        </is>
      </c>
      <c r="B103" s="76">
        <f>'Adderbury Stock'!B21</f>
        <v/>
      </c>
      <c r="C103" s="76">
        <f>'Adderbury Stock'!K21</f>
        <v/>
      </c>
      <c r="D103" s="76">
        <f>'Adderbury Overview'!C103-'Adderbury Overview'!B103</f>
        <v/>
      </c>
      <c r="F103" s="84">
        <f>'Adderbury Stock'!P21</f>
        <v/>
      </c>
      <c r="G103" s="84">
        <f>'Adderbury Stock'!S21</f>
        <v/>
      </c>
    </row>
    <row r="104">
      <c r="A104" s="15" t="inlineStr">
        <is>
          <t>Hoggs</t>
        </is>
      </c>
      <c r="B104" s="76">
        <f>'Adderbury Stock'!B22</f>
        <v/>
      </c>
      <c r="C104" s="76">
        <f>'Adderbury Stock'!K22</f>
        <v/>
      </c>
      <c r="D104" s="76">
        <f>'Adderbury Overview'!C104-'Adderbury Overview'!B104</f>
        <v/>
      </c>
      <c r="F104" s="84">
        <f>'Adderbury Stock'!P22</f>
        <v/>
      </c>
      <c r="G104" s="84">
        <f>'Adderbury Stock'!S22</f>
        <v/>
      </c>
    </row>
    <row r="105">
      <c r="A105" s="15" t="inlineStr">
        <is>
          <t>Lambs</t>
        </is>
      </c>
      <c r="B105" s="76">
        <f>'Adderbury Stock'!B23</f>
        <v/>
      </c>
      <c r="C105" s="76">
        <f>'Adderbury Stock'!K23</f>
        <v/>
      </c>
      <c r="D105" s="76">
        <f>'Adderbury Overview'!C105-'Adderbury Overview'!B105</f>
        <v/>
      </c>
      <c r="F105" s="84">
        <f>'Adderbury Stock'!P23</f>
        <v/>
      </c>
      <c r="G105" s="84">
        <f>'Adderbury Stock'!S23</f>
        <v/>
      </c>
    </row>
    <row r="106">
      <c r="A106" s="15" t="inlineStr">
        <is>
          <t>Boars</t>
        </is>
      </c>
      <c r="B106" s="76">
        <f>'Adderbury Stock'!B24</f>
        <v/>
      </c>
      <c r="C106" s="76">
        <f>'Adderbury Stock'!K24</f>
        <v/>
      </c>
      <c r="D106" s="76">
        <f>'Adderbury Overview'!C106-'Adderbury Overview'!B106</f>
        <v/>
      </c>
      <c r="F106" s="84">
        <f>'Adderbury Stock'!P24</f>
        <v/>
      </c>
      <c r="G106" s="84">
        <f>'Adderbury Stock'!S24</f>
        <v/>
      </c>
    </row>
    <row r="107">
      <c r="A107" s="15" t="inlineStr">
        <is>
          <t>Sows</t>
        </is>
      </c>
      <c r="B107" s="76">
        <f>'Adderbury Stock'!B25</f>
        <v/>
      </c>
      <c r="C107" s="76">
        <f>'Adderbury Stock'!K25</f>
        <v/>
      </c>
      <c r="D107" s="76">
        <f>'Adderbury Overview'!C107-'Adderbury Overview'!B107</f>
        <v/>
      </c>
      <c r="F107" s="84">
        <f>'Adderbury Stock'!P25</f>
        <v/>
      </c>
      <c r="G107" s="84">
        <f>'Adderbury Stock'!S25</f>
        <v/>
      </c>
    </row>
    <row r="108">
      <c r="A108" s="15" t="inlineStr">
        <is>
          <t>Pigs</t>
        </is>
      </c>
      <c r="B108" s="76">
        <f>'Adderbury Stock'!B26</f>
        <v/>
      </c>
      <c r="C108" s="76">
        <f>'Adderbury Stock'!K26</f>
        <v/>
      </c>
      <c r="D108" s="76">
        <f>'Adderbury Overview'!C108-'Adderbury Overview'!B108</f>
        <v/>
      </c>
      <c r="F108" s="84">
        <f>'Adderbury Stock'!P26</f>
        <v/>
      </c>
      <c r="G108" s="84">
        <f>'Adderbury Stock'!S26</f>
        <v/>
      </c>
    </row>
    <row r="109">
      <c r="A109" s="15" t="inlineStr">
        <is>
          <t>Hoggets</t>
        </is>
      </c>
      <c r="B109" s="76">
        <f>'Adderbury Stock'!B27</f>
        <v/>
      </c>
      <c r="C109" s="76">
        <f>'Adderbury Stock'!K27</f>
        <v/>
      </c>
      <c r="D109" s="76">
        <f>'Adderbury Overview'!C109-'Adderbury Overview'!B109</f>
        <v/>
      </c>
      <c r="F109" s="84">
        <f>'Adderbury Stock'!P27</f>
        <v/>
      </c>
      <c r="G109" s="84">
        <f>'Adderbury Stock'!S27</f>
        <v/>
      </c>
    </row>
    <row r="110">
      <c r="A110" s="15" t="inlineStr">
        <is>
          <t>Piglets</t>
        </is>
      </c>
      <c r="B110" s="76">
        <f>'Adderbury Stock'!B28</f>
        <v/>
      </c>
      <c r="C110" s="76">
        <f>'Adderbury Stock'!K28</f>
        <v/>
      </c>
      <c r="D110" s="76">
        <f>'Adderbury Overview'!C110-'Adderbury Overview'!B110</f>
        <v/>
      </c>
      <c r="F110" s="84">
        <f>'Adderbury Stock'!P28</f>
        <v/>
      </c>
      <c r="G110" s="84">
        <f>'Adderbury Stock'!S28</f>
        <v/>
      </c>
    </row>
    <row r="111">
      <c r="A111" s="15" t="inlineStr">
        <is>
          <t>Swans</t>
        </is>
      </c>
      <c r="B111" s="76">
        <f>'Adderbury Stock'!B29</f>
        <v/>
      </c>
      <c r="C111" s="76">
        <f>'Adderbury Stock'!K29</f>
        <v/>
      </c>
      <c r="D111" s="76">
        <f>'Adderbury Overview'!C111-'Adderbury Overview'!B111</f>
        <v/>
      </c>
      <c r="F111" s="84">
        <f>'Adderbury Stock'!P29</f>
        <v/>
      </c>
      <c r="G111" s="84">
        <f>'Adderbury Stock'!S29</f>
        <v/>
      </c>
    </row>
    <row r="112">
      <c r="A112" s="15" t="inlineStr">
        <is>
          <t>Peacocks</t>
        </is>
      </c>
      <c r="B112" s="76">
        <f>'Adderbury Stock'!B30</f>
        <v/>
      </c>
      <c r="C112" s="76">
        <f>'Adderbury Stock'!K30</f>
        <v/>
      </c>
      <c r="D112" s="76">
        <f>'Adderbury Overview'!C112-'Adderbury Overview'!B112</f>
        <v/>
      </c>
      <c r="F112" s="84">
        <f>'Adderbury Stock'!P30</f>
        <v/>
      </c>
      <c r="G112" s="84">
        <f>'Adderbury Stock'!S30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'Adderbury Stock'!S31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SUM('Adderbury Stock'!T5:T29)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SUM('Adderbury Stock'!R5:R23)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  <c r="F128" s="76" t="n">
        <v>1</v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total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total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>
        <f t="array" ref="F147">SUM(F127:F133+F138+F143+F144:F146)</f>
        <v/>
      </c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'Adderbury Stock'!B67</f>
        <v/>
      </c>
      <c r="C151" s="76">
        <f>'Adderbury Stock'!K67</f>
        <v/>
      </c>
      <c r="D151" s="76">
        <f>C151-B151</f>
        <v/>
      </c>
      <c r="F151" s="76">
        <f>'Adderbury Stock'!Q67</f>
        <v/>
      </c>
      <c r="G151" s="96" t="n"/>
    </row>
    <row r="152">
      <c r="A152" s="15" t="inlineStr">
        <is>
          <t>Geese</t>
        </is>
      </c>
      <c r="B152" s="76">
        <f>'Adderbury Stock'!B68</f>
        <v/>
      </c>
      <c r="C152" s="76">
        <f>'Adderbury Stock'!K68</f>
        <v/>
      </c>
      <c r="D152" s="76">
        <f>C152-B152</f>
        <v/>
      </c>
      <c r="F152" s="76">
        <f>'Adderbury Stock'!Q68</f>
        <v/>
      </c>
    </row>
    <row r="153">
      <c r="A153" s="15" t="inlineStr">
        <is>
          <t>Capons (from chickens)</t>
        </is>
      </c>
      <c r="B153" s="76">
        <f>'Adderbury Stock'!B69</f>
        <v/>
      </c>
      <c r="C153" s="76">
        <f>'Adderbury Stock'!K69</f>
        <v/>
      </c>
      <c r="D153" s="76">
        <f>C153-B153</f>
        <v/>
      </c>
      <c r="F153" s="76">
        <f>'Adderbury Stock'!Q69</f>
        <v/>
      </c>
    </row>
    <row r="154">
      <c r="A154" s="15" t="inlineStr">
        <is>
          <t>Cocks &amp; hens</t>
        </is>
      </c>
      <c r="B154" s="76">
        <f>'Adderbury Stock'!B70</f>
        <v/>
      </c>
      <c r="C154" s="76">
        <f>'Adderbury Stock'!K70</f>
        <v/>
      </c>
      <c r="D154" s="76">
        <f>C154-B154</f>
        <v/>
      </c>
      <c r="F154" s="76">
        <f>'Adderbury 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SUM('Adderbury Stock'!R69:R70)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G159" s="116" t="n"/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G166" s="116" t="n"/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F170+F163+F156+F148+F124+F115+E73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A59" sqref="A59"/>
    </sheetView>
  </sheetViews>
  <sheetFormatPr baseColWidth="8" defaultColWidth="8.81640625" defaultRowHeight="14.5"/>
  <cols>
    <col width="44.36328125" bestFit="1" customWidth="1" min="1" max="1"/>
    <col width="14.36328125" customWidth="1" min="2" max="2"/>
    <col width="9.81640625" bestFit="1" customWidth="1" min="6" max="6"/>
    <col width="16.6328125" bestFit="1" customWidth="1" min="7" max="7"/>
    <col width="16.1796875" customWidth="1" min="10" max="10"/>
    <col width="11.453125" customWidth="1" min="11" max="11"/>
    <col width="8.453125" bestFit="1" customWidth="1" min="13" max="13"/>
    <col width="10.6328125" customWidth="1" min="14" max="14"/>
    <col width="16.6328125" customWidth="1" style="72" min="16" max="16"/>
    <col width="17.36328125" customWidth="1" min="17" max="17"/>
    <col width="16.1796875" customWidth="1" min="19" max="20"/>
    <col width="13.1796875" customWidth="1" min="21" max="21"/>
  </cols>
  <sheetData>
    <row r="1" ht="15.5" customHeight="1">
      <c r="A1" s="12" t="inlineStr">
        <is>
          <t>BISHOPSTONE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2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19</v>
      </c>
      <c r="C12" t="n">
        <v>2</v>
      </c>
      <c r="H12" t="n">
        <v>3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0.4433333333333334</v>
      </c>
      <c r="P12" s="72">
        <f>O12*K12</f>
        <v/>
      </c>
      <c r="R12" t="n">
        <v>1.33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2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2</v>
      </c>
      <c r="C15" t="n">
        <v>0</v>
      </c>
      <c r="H15" t="n">
        <v>1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2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2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2</v>
      </c>
      <c r="C18" t="n">
        <v>2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354</v>
      </c>
      <c r="C19" t="n">
        <v>0</v>
      </c>
      <c r="H19" t="n">
        <v>35</v>
      </c>
      <c r="I19" t="n">
        <v>11</v>
      </c>
      <c r="L19">
        <f>B19+C19-H19</f>
        <v/>
      </c>
      <c r="M19">
        <f>L19-B19</f>
        <v/>
      </c>
      <c r="N19">
        <f>C19</f>
        <v/>
      </c>
      <c r="O19" t="n">
        <v>0.08342857142857142</v>
      </c>
      <c r="P19" s="72">
        <f>O19*K19</f>
        <v/>
      </c>
      <c r="R19" t="n">
        <v>2.92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9</v>
      </c>
      <c r="C20" t="n">
        <v>0</v>
      </c>
      <c r="H20" t="n">
        <v>1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315</v>
      </c>
      <c r="C21" t="n">
        <v>0</v>
      </c>
      <c r="H21" t="n">
        <v>55</v>
      </c>
      <c r="I21" t="n">
        <v>18</v>
      </c>
      <c r="L21">
        <f>B21+C21-H21</f>
        <v/>
      </c>
      <c r="M21">
        <f>L21-B21</f>
        <v/>
      </c>
      <c r="N21">
        <f>C21</f>
        <v/>
      </c>
      <c r="O21" t="n">
        <v>0.06781818181818182</v>
      </c>
      <c r="P21" s="72">
        <f>O21*K21</f>
        <v/>
      </c>
      <c r="Q21" t="n">
        <v>0</v>
      </c>
      <c r="R21" t="n">
        <v>3.73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196</v>
      </c>
      <c r="C22" t="n">
        <v>0</v>
      </c>
      <c r="H22" t="n">
        <v>0</v>
      </c>
      <c r="I22" t="n">
        <v>5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204</v>
      </c>
      <c r="C23" t="n">
        <v>269</v>
      </c>
      <c r="H23" t="n">
        <v>16</v>
      </c>
      <c r="I23" t="n">
        <v>21</v>
      </c>
      <c r="L23">
        <f>B23+C23-H23</f>
        <v/>
      </c>
      <c r="M23">
        <f>L23-B23</f>
        <v/>
      </c>
      <c r="N23">
        <f>C23</f>
        <v/>
      </c>
      <c r="O23" t="n">
        <v>0.033125</v>
      </c>
      <c r="P23" s="72">
        <f>O23*K23</f>
        <v/>
      </c>
      <c r="R23" t="n">
        <v>0.53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2</v>
      </c>
      <c r="C46" t="n">
        <v>2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24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7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15</v>
      </c>
      <c r="I60" t="n">
        <v>17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2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4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0.27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Quarters 2</t>
        </is>
      </c>
      <c r="P1" t="inlineStr">
        <is>
          <t>Bushels 2</t>
        </is>
      </c>
      <c r="Q1" t="inlineStr">
        <is>
          <t>Quarters 3</t>
        </is>
      </c>
      <c r="R1" t="inlineStr">
        <is>
          <t>Bushels 3</t>
        </is>
      </c>
      <c r="S1" t="inlineStr">
        <is>
          <t>shilling a quarter 1</t>
        </is>
      </c>
      <c r="T1" t="inlineStr">
        <is>
          <t>pence a quarter 1</t>
        </is>
      </c>
      <c r="U1" t="inlineStr">
        <is>
          <t>shilling a quarter 2</t>
        </is>
      </c>
      <c r="V1" t="inlineStr">
        <is>
          <t>pence a quarter 2</t>
        </is>
      </c>
      <c r="W1" t="inlineStr">
        <is>
          <t>shilling a quarter 3</t>
        </is>
      </c>
      <c r="X1" t="inlineStr">
        <is>
          <t>pence a quarter 3</t>
        </is>
      </c>
      <c r="Y1" t="inlineStr">
        <is>
          <t>shilling a quarter 4</t>
        </is>
      </c>
      <c r="Z1" t="inlineStr">
        <is>
          <t>pence a quarter 4</t>
        </is>
      </c>
      <c r="AA1" t="inlineStr">
        <is>
          <t>shilling a bushel 1</t>
        </is>
      </c>
      <c r="AB1" t="inlineStr">
        <is>
          <t>pence a bushel 1</t>
        </is>
      </c>
      <c r="AC1" t="inlineStr">
        <is>
          <t>shilling a bushel 2</t>
        </is>
      </c>
      <c r="AD1" t="inlineStr">
        <is>
          <t>pence a bushel 2</t>
        </is>
      </c>
      <c r="AE1" t="inlineStr">
        <is>
          <t>shilling a bushel 3</t>
        </is>
      </c>
      <c r="AF1" t="inlineStr">
        <is>
          <t>pence a bushel 3</t>
        </is>
      </c>
      <c r="AG1" t="inlineStr">
        <is>
          <t>shilling a bushel 4</t>
        </is>
      </c>
      <c r="AH1" t="inlineStr">
        <is>
          <t>pence a bushel 4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rents</t>
        </is>
      </c>
      <c r="B4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4" t="n">
        <v>12.38</v>
      </c>
      <c r="D4" t="n">
        <v>12</v>
      </c>
      <c r="E4" t="n">
        <v>7</v>
      </c>
      <c r="F4" t="n">
        <v>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total, £12 7 shilling 8pence.</t>
        </is>
      </c>
      <c r="C5" t="n">
        <v>12.38</v>
      </c>
      <c r="D5" t="n">
        <v>12</v>
      </c>
      <c r="E5" t="n">
        <v>7</v>
      </c>
      <c r="F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quittances of rent</t>
        </is>
      </c>
      <c r="B6" t="inlineStr">
        <is>
          <t>in quittance of rent of 1 reeve for the year 4 shilling.</t>
        </is>
      </c>
      <c r="C6" t="n">
        <v>0.2</v>
      </c>
      <c r="D6" t="n">
        <v>0</v>
      </c>
      <c r="E6" t="n">
        <v>4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 of rent</t>
        </is>
      </c>
      <c r="B7" t="inlineStr">
        <is>
          <t>1 shepherd of ewes, nothing this year, because he has the lord's livery as made clear elsewhere.</t>
        </is>
      </c>
      <c r="C7" t="n">
        <v>0</v>
      </c>
      <c r="D7" t="n">
        <v>0</v>
      </c>
      <c r="E7" t="n">
        <v>0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of rent</t>
        </is>
      </c>
      <c r="B8" t="inlineStr">
        <is>
          <t>total, 4 shilling.</t>
        </is>
      </c>
      <c r="C8" t="n">
        <v>0.2</v>
      </c>
      <c r="D8" t="n">
        <v>0</v>
      </c>
      <c r="E8" t="n">
        <v>4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defaults of rent</t>
        </is>
      </c>
      <c r="B9" t="inlineStr">
        <is>
          <t>in default of 1 plot of land which formerly belonged to the vicar of bishopstone 6pence.</t>
        </is>
      </c>
      <c r="C9" t="n">
        <v>0.03</v>
      </c>
      <c r="D9" t="n">
        <v>0</v>
      </c>
      <c r="E9" t="n">
        <v>0</v>
      </c>
      <c r="F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defaults of rent</t>
        </is>
      </c>
      <c r="B10" t="inlineStr">
        <is>
          <t>1 virgate of land formerly of john salisbury in netton because in the lord's hands, 4 shilling 6pence for the year.</t>
        </is>
      </c>
      <c r="C10" t="n">
        <v>0.23</v>
      </c>
      <c r="D10" t="n">
        <v>0</v>
      </c>
      <c r="E10" t="n">
        <v>4</v>
      </c>
      <c r="F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defaults of rent</t>
        </is>
      </c>
      <c r="B11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1" t="n">
        <v>1.1</v>
      </c>
      <c r="D11" t="n">
        <v>1</v>
      </c>
      <c r="E11" t="n">
        <v>2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defaults of rent</t>
        </is>
      </c>
      <c r="B12" t="inlineStr">
        <is>
          <t>the holding formerly of andrew vicar' of bishopstone there because in the lord's hands, 5 shilling for the year.</t>
        </is>
      </c>
      <c r="C12" t="n">
        <v>0.25</v>
      </c>
      <c r="D12" t="n">
        <v>0</v>
      </c>
      <c r="E12" t="n">
        <v>5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defaults of rent</t>
        </is>
      </c>
      <c r="B13" t="inlineStr">
        <is>
          <t>total, £1 12 shilling.</t>
        </is>
      </c>
      <c r="C13" t="n">
        <v>1.6</v>
      </c>
      <c r="D13" t="n">
        <v>1</v>
      </c>
      <c r="E13" t="n">
        <v>12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issues of the manor</t>
        </is>
      </c>
      <c r="B16" t="inlineStr">
        <is>
          <t>and for 3 shilling from the pannage of pigs at martinmas, at 1pence a pig over a year old, and .5pence below.</t>
        </is>
      </c>
      <c r="C16" t="n">
        <v>0.15</v>
      </c>
      <c r="D16" t="n">
        <v>0</v>
      </c>
      <c r="E16" t="n">
        <v>3</v>
      </c>
      <c r="F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issues of the manor</t>
        </is>
      </c>
      <c r="B17" t="inlineStr">
        <is>
          <t>1 shilling 9.25pence from the agistment of oxen, cows and 2-year old bullocks, at 2.5pence an ox and 1.25pence a bullock.</t>
        </is>
      </c>
      <c r="C17" t="n">
        <v>0.09</v>
      </c>
      <c r="D17" t="n">
        <v>0</v>
      </c>
      <c r="E17" t="n">
        <v>1</v>
      </c>
      <c r="F17" t="n">
        <v>9.25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issues of the manor</t>
        </is>
      </c>
      <c r="B18" t="inlineStr">
        <is>
          <t>1 shilling 5.5pence from the herbage of sheep in the lord's fold this year.</t>
        </is>
      </c>
      <c r="C18" t="n">
        <v>0.07000000000000001</v>
      </c>
      <c r="D18" t="n">
        <v>0</v>
      </c>
      <c r="E18" t="n">
        <v>1</v>
      </c>
      <c r="F18" t="n">
        <v>5.5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issues of the manor</t>
        </is>
      </c>
      <c r="B19" t="inlineStr">
        <is>
          <t>1 shilling 6.75pence from the herbage of oxen, cows and bullocks at hockday this year.</t>
        </is>
      </c>
      <c r="C19" t="n">
        <v>0.08</v>
      </c>
      <c r="D19" t="n">
        <v>0</v>
      </c>
      <c r="E19" t="n">
        <v>1</v>
      </c>
      <c r="F19" t="n">
        <v>6.75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issues of the manor</t>
        </is>
      </c>
      <c r="B20" t="inlineStr">
        <is>
          <t>nothing from the sale of old hay this year.</t>
        </is>
      </c>
      <c r="C20" t="n">
        <v>0</v>
      </c>
      <c r="D20" t="n">
        <v>0</v>
      </c>
      <c r="E20" t="n">
        <v>0</v>
      </c>
      <c r="F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issues of the manor</t>
        </is>
      </c>
      <c r="B21" t="inlineStr">
        <is>
          <t>£4 15 shilling from new hay sold this year.</t>
        </is>
      </c>
      <c r="C21" t="n">
        <v>4.75</v>
      </c>
      <c r="D21" t="n">
        <v>4</v>
      </c>
      <c r="E21" t="n">
        <v>15</v>
      </c>
      <c r="F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issues of the manor</t>
        </is>
      </c>
      <c r="B22" t="inlineStr">
        <is>
          <t>4 shilling 8pence from the residue of peter's pence.</t>
        </is>
      </c>
      <c r="C22" t="n">
        <v>0.23</v>
      </c>
      <c r="D22" t="n">
        <v>0</v>
      </c>
      <c r="E22" t="n">
        <v>4</v>
      </c>
      <c r="F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issues of the manor</t>
        </is>
      </c>
      <c r="B23" t="inlineStr">
        <is>
          <t>6pence from 3 lb of wool locks sold.</t>
        </is>
      </c>
      <c r="C23" t="n">
        <v>0.03</v>
      </c>
      <c r="D23" t="n">
        <v>0</v>
      </c>
      <c r="E23" t="n">
        <v>0</v>
      </c>
      <c r="F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issues of the manor</t>
        </is>
      </c>
      <c r="B24" t="inlineStr">
        <is>
          <t>5 shilling from the milking of 2 cows.</t>
        </is>
      </c>
      <c r="C24" t="n">
        <v>0.25</v>
      </c>
      <c r="D24" t="n">
        <v>0</v>
      </c>
      <c r="E24" t="n">
        <v>5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issues of the manor</t>
        </is>
      </c>
      <c r="B25" t="inlineStr">
        <is>
          <t>nothing from the milking of the ewes this year because they were not in milk.</t>
        </is>
      </c>
      <c r="C25" t="n">
        <v>0</v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issues of the manor</t>
        </is>
      </c>
      <c r="B26" t="inlineStr">
        <is>
          <t>4 shilling 8pence from the woolskins sold of 10 wethers, 10 ewes and 4 hoggs in murrain before shearing, at 3pence a skin of wethers, 2pence of ewes and 1.5pence of hoggs.</t>
        </is>
      </c>
      <c r="C26" t="n">
        <v>0.23</v>
      </c>
      <c r="D26" t="n">
        <v>0</v>
      </c>
      <c r="E26" t="n">
        <v>4</v>
      </c>
      <c r="F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issues of the manor</t>
        </is>
      </c>
      <c r="B27" t="inlineStr">
        <is>
          <t>1 shilling 2pence from the bare skins sold of 7 wethers and 7 ewes in murrain after shearing, at 1pence a skin.</t>
        </is>
      </c>
      <c r="C27" t="n">
        <v>0.06</v>
      </c>
      <c r="D27" t="n">
        <v>0</v>
      </c>
      <c r="E27" t="n">
        <v>1</v>
      </c>
      <c r="F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issues of the manor</t>
        </is>
      </c>
      <c r="B28" t="inlineStr">
        <is>
          <t>7.5pence from the skins sold of 15 lambs in murrain before weaning, at .5pence a skin.</t>
        </is>
      </c>
      <c r="C28" t="n">
        <v>0.03</v>
      </c>
      <c r="D28" t="n">
        <v>0</v>
      </c>
      <c r="E28" t="n">
        <v>0</v>
      </c>
      <c r="F28" t="n">
        <v>7.5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issues of the manor</t>
        </is>
      </c>
      <c r="B29" t="inlineStr">
        <is>
          <t>1pence from the rotted skins sold of 2 lambs in murrain after weaning and before shearing.</t>
        </is>
      </c>
      <c r="C29" t="n">
        <v>0</v>
      </c>
      <c r="D29" t="n">
        <v>0</v>
      </c>
      <c r="E29" t="n">
        <v>0</v>
      </c>
      <c r="F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issues of the manor</t>
        </is>
      </c>
      <c r="B30" t="inlineStr">
        <is>
          <t>1pence from the shorn skins sold of 4 lambs in murrain after shearing.</t>
        </is>
      </c>
      <c r="C30" t="n">
        <v>0</v>
      </c>
      <c r="D30" t="n">
        <v>0</v>
      </c>
      <c r="E30" t="n">
        <v>0</v>
      </c>
      <c r="F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issues of the manor</t>
        </is>
      </c>
      <c r="B31" t="inlineStr">
        <is>
          <t>10pence from 200 hens' eggs sold.</t>
        </is>
      </c>
      <c r="C31" t="n">
        <v>0.04</v>
      </c>
      <c r="D31" t="n">
        <v>0</v>
      </c>
      <c r="E31" t="n">
        <v>0</v>
      </c>
      <c r="F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issues of the manor</t>
        </is>
      </c>
      <c r="B32" t="inlineStr">
        <is>
          <t>4 shilling 8pence from 28 cocks and hens from churchscot sold, at 2pence each.</t>
        </is>
      </c>
      <c r="C32" t="n">
        <v>0.23</v>
      </c>
      <c r="D32" t="n">
        <v>0</v>
      </c>
      <c r="E32" t="n">
        <v>4</v>
      </c>
      <c r="F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issues of the manor</t>
        </is>
      </c>
      <c r="B33" t="inlineStr">
        <is>
          <t>nothing from the apple-trees in the garden this year because none bore fruit.</t>
        </is>
      </c>
      <c r="C33" t="n">
        <v>0</v>
      </c>
      <c r="D33" t="n">
        <v>0</v>
      </c>
      <c r="E33" t="n">
        <v>0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issues of the manor</t>
        </is>
      </c>
      <c r="B34" t="inlineStr">
        <is>
          <t>£1 from the whole homage for refusals to stack.</t>
        </is>
      </c>
      <c r="C34" t="n">
        <v>1</v>
      </c>
      <c r="D34" t="n">
        <v>1</v>
      </c>
      <c r="E34" t="n">
        <v>0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issues of the manor</t>
        </is>
      </c>
      <c r="B35" t="inlineStr">
        <is>
          <t>nothing from the sale of stubble this year.</t>
        </is>
      </c>
      <c r="C35" t="n">
        <v>0</v>
      </c>
      <c r="D35" t="n">
        <v>0</v>
      </c>
      <c r="E35" t="n">
        <v>0</v>
      </c>
      <c r="F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issues of the manor</t>
        </is>
      </c>
      <c r="B36" t="inlineStr">
        <is>
          <t>14 shilling 4pence from ploughing with the lord's ploughs sold this year.</t>
        </is>
      </c>
      <c r="C36" t="n">
        <v>0.72</v>
      </c>
      <c r="D36" t="n">
        <v>0</v>
      </c>
      <c r="E36" t="n">
        <v>14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issues of the manor</t>
        </is>
      </c>
      <c r="B37" t="inlineStr">
        <is>
          <t>nothing from the sale of poplars this year.</t>
        </is>
      </c>
      <c r="C37" t="n">
        <v>0</v>
      </c>
      <c r="D37" t="n">
        <v>0</v>
      </c>
      <c r="E37" t="n">
        <v>0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issues of the manor</t>
        </is>
      </c>
      <c r="B38" t="inlineStr">
        <is>
          <t>16 shilling 8pence from 10 cloves of lamb's-wool sold, at 1 shilling 8pence a clove.</t>
        </is>
      </c>
      <c r="C38" t="n">
        <v>0.83</v>
      </c>
      <c r="D38" t="n">
        <v>0</v>
      </c>
      <c r="E38" t="n">
        <v>16</v>
      </c>
      <c r="F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issues of the manor</t>
        </is>
      </c>
      <c r="B39" t="inlineStr">
        <is>
          <t>total, £8 16 shilling 1pence.</t>
        </is>
      </c>
      <c r="C39" t="n">
        <v>8.800000000000001</v>
      </c>
      <c r="D39" t="n">
        <v>8</v>
      </c>
      <c r="E39" t="n">
        <v>16</v>
      </c>
      <c r="F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issues of the lands and tenements in the lord's hands</t>
        </is>
      </c>
      <c r="B40" t="inlineStr">
        <is>
          <t>and for 9 shilling 6pence from the issue of 1 virgate of land formerly of john salisbury in netton.</t>
        </is>
      </c>
      <c r="C40" t="n">
        <v>0.48</v>
      </c>
      <c r="D40" t="n">
        <v>0</v>
      </c>
      <c r="E40" t="n">
        <v>9</v>
      </c>
      <c r="F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issues of the lands and tenements in the lord's hands</t>
        </is>
      </c>
      <c r="B41" t="inlineStr">
        <is>
          <t>5 shilling from .5 virgate of land formerly of gunnora burgeys in bishopstone.</t>
        </is>
      </c>
      <c r="C41" t="n">
        <v>0.25</v>
      </c>
      <c r="D41" t="n">
        <v>0</v>
      </c>
      <c r="E41" t="n">
        <v>5</v>
      </c>
      <c r="F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issues of the lands and tenements in the lord's hands</t>
        </is>
      </c>
      <c r="B42" t="inlineStr">
        <is>
          <t>5 shilling from 1 half-virgate of land formerly of adam berewyke there.</t>
        </is>
      </c>
      <c r="C42" t="n">
        <v>0.25</v>
      </c>
      <c r="D42" t="n">
        <v>0</v>
      </c>
      <c r="E42" t="n">
        <v>5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issues of the lands and tenements in the lord's hands</t>
        </is>
      </c>
      <c r="B43" t="inlineStr">
        <is>
          <t>5 shilling from 1 half-virgate of land formerly of richard dryvere there.</t>
        </is>
      </c>
      <c r="C43" t="n">
        <v>0.25</v>
      </c>
      <c r="D43" t="n">
        <v>0</v>
      </c>
      <c r="E43" t="n">
        <v>5</v>
      </c>
      <c r="F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issues of the lands and tenements in the lord's hands</t>
        </is>
      </c>
      <c r="B44" t="inlineStr">
        <is>
          <t>5 shilling from 1 half-virgate of land formerly of john holm there.</t>
        </is>
      </c>
      <c r="C44" t="n">
        <v>0.25</v>
      </c>
      <c r="D44" t="n">
        <v>0</v>
      </c>
      <c r="E44" t="n">
        <v>5</v>
      </c>
      <c r="F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issues of the lands and tenements in the lord's hands</t>
        </is>
      </c>
      <c r="B45" t="inlineStr">
        <is>
          <t>4 shilling from 1 half-virgate of land formerly of john salisbury there.</t>
        </is>
      </c>
      <c r="C45" t="n">
        <v>0.2</v>
      </c>
      <c r="D45" t="n">
        <v>0</v>
      </c>
      <c r="E45" t="n">
        <v>4</v>
      </c>
      <c r="F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issues of the lands and tenements in the lord's hands</t>
        </is>
      </c>
      <c r="B46" t="inlineStr">
        <is>
          <t>5 shilling from 1 half-virgate of land formerly of william hardyng' there.</t>
        </is>
      </c>
      <c r="C46" t="n">
        <v>0.25</v>
      </c>
      <c r="D46" t="n">
        <v>0</v>
      </c>
      <c r="E46" t="n">
        <v>5</v>
      </c>
      <c r="F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issues of the lands and tenements in the lord's hands</t>
        </is>
      </c>
      <c r="B47" t="inlineStr">
        <is>
          <t>5 shilling from 1 half-virgate of land formerly of john cryor' there.</t>
        </is>
      </c>
      <c r="C47" t="n">
        <v>0.25</v>
      </c>
      <c r="D47" t="n">
        <v>0</v>
      </c>
      <c r="E47" t="n">
        <v>5</v>
      </c>
      <c r="F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issues of the lands and tenements in the lord's hands</t>
        </is>
      </c>
      <c r="B48" t="inlineStr">
        <is>
          <t>5 shilling from 1 half-virgate of land formerly of john deyman' there.</t>
        </is>
      </c>
      <c r="C48" t="n">
        <v>0.25</v>
      </c>
      <c r="D48" t="n">
        <v>0</v>
      </c>
      <c r="E48" t="n">
        <v>5</v>
      </c>
      <c r="F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lands and tenements in the lord's hands</t>
        </is>
      </c>
      <c r="B49" t="inlineStr">
        <is>
          <t>5 shilling from the holding there formerly of the vicar of bishopstone.</t>
        </is>
      </c>
      <c r="C49" t="n">
        <v>0.25</v>
      </c>
      <c r="D49" t="n">
        <v>0</v>
      </c>
      <c r="E49" t="n">
        <v>5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lands and tenements in the lord's hands</t>
        </is>
      </c>
      <c r="B50" t="inlineStr">
        <is>
          <t>total, £2 13 shilling 6pence.</t>
        </is>
      </c>
      <c r="C50" t="n">
        <v>2.67</v>
      </c>
      <c r="D50" t="n">
        <v>2</v>
      </c>
      <c r="E50" t="n">
        <v>13</v>
      </c>
      <c r="F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release of labour services</t>
        </is>
      </c>
      <c r="B51" t="inlineStr">
        <is>
          <t>and for 4 shilling from john algar' for release of the labour services of 1 virgate of land in croucheston for the year.</t>
        </is>
      </c>
      <c r="C51" t="n">
        <v>0.2</v>
      </c>
      <c r="D51" t="n">
        <v>0</v>
      </c>
      <c r="E51" t="n">
        <v>4</v>
      </c>
      <c r="F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release of labour services</t>
        </is>
      </c>
      <c r="B52" t="inlineStr">
        <is>
          <t>5 shilling 3pence from john danyel for release of the labour services of 1 half-virgate of land in bishopstone for the year.</t>
        </is>
      </c>
      <c r="C52" t="n">
        <v>0.26</v>
      </c>
      <c r="D52" t="n">
        <v>0</v>
      </c>
      <c r="E52" t="n">
        <v>5</v>
      </c>
      <c r="F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release of labour services</t>
        </is>
      </c>
      <c r="B53" t="inlineStr">
        <is>
          <t>2 shilling 3pence from robert thomelyn' for similar there for the year.</t>
        </is>
      </c>
      <c r="C53" t="n">
        <v>0.11</v>
      </c>
      <c r="D53" t="n">
        <v>0</v>
      </c>
      <c r="E53" t="n">
        <v>2</v>
      </c>
      <c r="F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release of labour services</t>
        </is>
      </c>
      <c r="B54" t="inlineStr">
        <is>
          <t>2 shilling 3pence from john glovar' for similar there for the year.</t>
        </is>
      </c>
      <c r="C54" t="n">
        <v>0.11</v>
      </c>
      <c r="D54" t="n">
        <v>0</v>
      </c>
      <c r="E54" t="n">
        <v>2</v>
      </c>
      <c r="F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release of labour services</t>
        </is>
      </c>
      <c r="B55" t="inlineStr">
        <is>
          <t>2 shilling 3pence from thomas lambhurde for similar there for the year.</t>
        </is>
      </c>
      <c r="C55" t="n">
        <v>0.11</v>
      </c>
      <c r="D55" t="n">
        <v>0</v>
      </c>
      <c r="E55" t="n">
        <v>2</v>
      </c>
      <c r="F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release of labour services</t>
        </is>
      </c>
      <c r="B56" t="inlineStr">
        <is>
          <t>2 shilling 9pence from john moule for similar there for the year.</t>
        </is>
      </c>
      <c r="C56" t="n">
        <v>0.14</v>
      </c>
      <c r="D56" t="n">
        <v>0</v>
      </c>
      <c r="E56" t="n">
        <v>2</v>
      </c>
      <c r="F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release of labour services</t>
        </is>
      </c>
      <c r="B57" t="inlineStr">
        <is>
          <t>total, 18 shilling 9pence.</t>
        </is>
      </c>
      <c r="C57" t="n">
        <v>0.9399999999999999</v>
      </c>
      <c r="D57" t="n">
        <v>0</v>
      </c>
      <c r="E57" t="n">
        <v>18</v>
      </c>
      <c r="F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sale of pasture</t>
        </is>
      </c>
      <c r="B58" t="inlineStr">
        <is>
          <t>and for 13 shilling 4pence from the meadow in les hammys sold this year.</t>
        </is>
      </c>
      <c r="C58" t="n">
        <v>0.67</v>
      </c>
      <c r="D58" t="n">
        <v>0</v>
      </c>
      <c r="E58" t="n">
        <v>13</v>
      </c>
      <c r="F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sale of pasture</t>
        </is>
      </c>
      <c r="B59" t="inlineStr">
        <is>
          <t>nothing from the pasturage of the greenway this year for the lord's plough-horses.</t>
        </is>
      </c>
      <c r="C59" t="n">
        <v>0</v>
      </c>
      <c r="D59" t="n">
        <v>0</v>
      </c>
      <c r="E59" t="n">
        <v>0</v>
      </c>
      <c r="F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sale of pasture</t>
        </is>
      </c>
      <c r="B60" t="inlineStr">
        <is>
          <t>8 shilling 8pence from winter pasturage in westmede this year.</t>
        </is>
      </c>
      <c r="C60" t="n">
        <v>0.43</v>
      </c>
      <c r="D60" t="n">
        <v>0</v>
      </c>
      <c r="E60" t="n">
        <v>8</v>
      </c>
      <c r="F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sale of pasture</t>
        </is>
      </c>
      <c r="B61" t="inlineStr">
        <is>
          <t>nothing from the pasturage in wolgarelynche for the lord's sheep.</t>
        </is>
      </c>
      <c r="C61" t="n">
        <v>0</v>
      </c>
      <c r="D61" t="n">
        <v>0</v>
      </c>
      <c r="E61" t="n">
        <v>0</v>
      </c>
      <c r="F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sale of pasture</t>
        </is>
      </c>
      <c r="B62" t="inlineStr">
        <is>
          <t>12 shilling 6pence from the agistment of cattle with the lord's oxen until michaelmas.</t>
        </is>
      </c>
      <c r="C62" t="n">
        <v>0.62</v>
      </c>
      <c r="D62" t="n">
        <v>0</v>
      </c>
      <c r="E62" t="n">
        <v>12</v>
      </c>
      <c r="F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sale of pasture</t>
        </is>
      </c>
      <c r="B63" t="inlineStr">
        <is>
          <t>total, £1 14 shilling 6pence.</t>
        </is>
      </c>
      <c r="C63" t="n">
        <v>1.72</v>
      </c>
      <c r="D63" t="n">
        <v>1</v>
      </c>
      <c r="E63" t="n">
        <v>14</v>
      </c>
      <c r="F63" t="n">
        <v>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sale of corn</t>
        </is>
      </c>
      <c r="B64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64" t="n">
        <v>17.82</v>
      </c>
      <c r="D64" t="n">
        <v>17</v>
      </c>
      <c r="E64" t="n">
        <v>16</v>
      </c>
      <c r="F64" t="n">
        <v>3.75</v>
      </c>
      <c r="G64" t="inlineStr">
        <is>
          <t>wheat</t>
        </is>
      </c>
      <c r="H64" t="n">
        <v>36</v>
      </c>
      <c r="I64" t="n">
        <v>6.5</v>
      </c>
      <c r="J64" t="n">
        <v>36.81</v>
      </c>
      <c r="K64" t="n">
        <v>36.81</v>
      </c>
      <c r="L64" t="n">
        <v>0</v>
      </c>
      <c r="M64" t="n">
        <v>36</v>
      </c>
      <c r="N64" t="n">
        <v>6.5</v>
      </c>
      <c r="O64" t="n">
        <v>25</v>
      </c>
      <c r="P64" t="n">
        <v>0</v>
      </c>
      <c r="Q64" t="n">
        <v>11</v>
      </c>
      <c r="R64" t="n">
        <v>6.5</v>
      </c>
      <c r="S64" t="n">
        <v>10</v>
      </c>
      <c r="T64" t="n">
        <v>0</v>
      </c>
      <c r="U64" t="n">
        <v>9</v>
      </c>
      <c r="V64" t="n">
        <v>0</v>
      </c>
    </row>
    <row r="65">
      <c r="A65" t="inlineStr">
        <is>
          <t>sale of corn</t>
        </is>
      </c>
      <c r="B65" t="inlineStr">
        <is>
          <t>£1 4 shilling from 4 quarters of curall sold.</t>
        </is>
      </c>
      <c r="C65" t="n">
        <v>1.2</v>
      </c>
      <c r="D65" t="n">
        <v>1</v>
      </c>
      <c r="E65" t="n">
        <v>4</v>
      </c>
      <c r="F65" t="n">
        <v>0</v>
      </c>
      <c r="G65" t="inlineStr">
        <is>
          <t>curall</t>
        </is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</row>
    <row r="66">
      <c r="A66" t="inlineStr">
        <is>
          <t>sale of corn</t>
        </is>
      </c>
      <c r="B66" t="inlineStr">
        <is>
          <t>£11 8 shilling 9pence from 38 quarters 1 bushels of barley sold per mutuum, at 6 shilling a quarters.</t>
        </is>
      </c>
      <c r="C66" t="n">
        <v>11.44</v>
      </c>
      <c r="D66" t="n">
        <v>11</v>
      </c>
      <c r="E66" t="n">
        <v>8</v>
      </c>
      <c r="F66" t="n">
        <v>9</v>
      </c>
      <c r="G66" t="inlineStr">
        <is>
          <t>barley</t>
        </is>
      </c>
      <c r="H66" t="n">
        <v>38</v>
      </c>
      <c r="I66" t="n">
        <v>1</v>
      </c>
      <c r="J66" t="n">
        <v>38.12</v>
      </c>
      <c r="K66" t="n">
        <v>38.12</v>
      </c>
      <c r="L66" t="n">
        <v>0</v>
      </c>
      <c r="M66" t="n">
        <v>38</v>
      </c>
      <c r="N66" t="n">
        <v>1</v>
      </c>
      <c r="S66" t="n">
        <v>6</v>
      </c>
      <c r="T66" t="n">
        <v>0</v>
      </c>
    </row>
    <row r="67">
      <c r="A67" t="inlineStr">
        <is>
          <t>sale of corn</t>
        </is>
      </c>
      <c r="B67" t="inlineStr">
        <is>
          <t>15 shilling 5pence from 4 quarters 5 bushels of oats sold per mutuum, at 3 shilling 4pence a quarters.</t>
        </is>
      </c>
      <c r="C67" t="n">
        <v>0.77</v>
      </c>
      <c r="D67" t="n">
        <v>0</v>
      </c>
      <c r="E67" t="n">
        <v>15</v>
      </c>
      <c r="F67" t="n">
        <v>5</v>
      </c>
      <c r="G67" t="inlineStr">
        <is>
          <t>oats</t>
        </is>
      </c>
      <c r="H67" t="n">
        <v>4</v>
      </c>
      <c r="I67" t="n">
        <v>5</v>
      </c>
      <c r="J67" t="n">
        <v>4.62</v>
      </c>
      <c r="K67" t="n">
        <v>4.62</v>
      </c>
      <c r="L67" t="n">
        <v>0</v>
      </c>
      <c r="M67" t="n">
        <v>4</v>
      </c>
      <c r="N67" t="n">
        <v>5</v>
      </c>
      <c r="S67" t="n">
        <v>3</v>
      </c>
      <c r="T67" t="n">
        <v>4</v>
      </c>
    </row>
    <row r="68">
      <c r="A68" t="inlineStr">
        <is>
          <t>sale of corn</t>
        </is>
      </c>
      <c r="B68" t="inlineStr">
        <is>
          <t>14 shilling from 2 quarters 5 bushels of peas sold, at 5 shilling 4pence a quarters.</t>
        </is>
      </c>
      <c r="C68" t="n">
        <v>0.72</v>
      </c>
      <c r="D68" t="n">
        <v>0</v>
      </c>
      <c r="E68" t="n">
        <v>14</v>
      </c>
      <c r="F68" t="n">
        <v>4</v>
      </c>
      <c r="G68" t="inlineStr">
        <is>
          <t>peas</t>
        </is>
      </c>
      <c r="H68" t="n">
        <v>2</v>
      </c>
      <c r="I68" t="n">
        <v>5</v>
      </c>
      <c r="J68" t="n">
        <v>2.62</v>
      </c>
      <c r="K68" t="n">
        <v>2.62</v>
      </c>
      <c r="L68" t="n">
        <v>0</v>
      </c>
      <c r="M68" t="n">
        <v>2</v>
      </c>
      <c r="N68" t="n">
        <v>5</v>
      </c>
      <c r="S68" t="n">
        <v>5</v>
      </c>
      <c r="T68" t="n">
        <v>4</v>
      </c>
    </row>
    <row r="69">
      <c r="A69" t="inlineStr">
        <is>
          <t>sale of corn</t>
        </is>
      </c>
      <c r="B69" t="inlineStr">
        <is>
          <t>17 shilling 6pence from 3 quarters 3 bushels' of vetches sold, at 5 shilling a quarters.</t>
        </is>
      </c>
      <c r="C69" t="n">
        <v>0.88</v>
      </c>
      <c r="D69" t="n">
        <v>0</v>
      </c>
      <c r="E69" t="n">
        <v>17</v>
      </c>
      <c r="F69" t="n">
        <v>6</v>
      </c>
      <c r="G69" t="inlineStr">
        <is>
          <t>vetches</t>
        </is>
      </c>
      <c r="H69" t="n">
        <v>3</v>
      </c>
      <c r="I69" t="n">
        <v>3</v>
      </c>
      <c r="J69" t="n">
        <v>3.38</v>
      </c>
      <c r="K69" t="n">
        <v>3.38</v>
      </c>
      <c r="L69" t="n">
        <v>0</v>
      </c>
      <c r="M69" t="n">
        <v>3</v>
      </c>
      <c r="N69" t="n">
        <v>3</v>
      </c>
      <c r="S69" t="n">
        <v>5</v>
      </c>
      <c r="T69" t="n">
        <v>0</v>
      </c>
    </row>
    <row r="70">
      <c r="A70" t="inlineStr">
        <is>
          <t>sale of corn</t>
        </is>
      </c>
      <c r="B70" t="inlineStr">
        <is>
          <t>total, £32 15 shilling 11.75pence.</t>
        </is>
      </c>
      <c r="C70" t="n">
        <v>32.8</v>
      </c>
      <c r="D70" t="n">
        <v>32</v>
      </c>
      <c r="E70" t="n">
        <v>15</v>
      </c>
      <c r="F70" t="n">
        <v>11.75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sale of stock</t>
        </is>
      </c>
      <c r="B71" t="inlineStr">
        <is>
          <t>and for £1 6 shilling 8pence from 2 kebb oxen sold.</t>
        </is>
      </c>
      <c r="C71" t="n">
        <v>1.33</v>
      </c>
      <c r="D71" t="n">
        <v>1</v>
      </c>
      <c r="E71" t="n">
        <v>6</v>
      </c>
      <c r="F71" t="n">
        <v>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sale of stock</t>
        </is>
      </c>
      <c r="B72" t="inlineStr">
        <is>
          <t>8 shilling from 1 feeble ox sold.</t>
        </is>
      </c>
      <c r="C72" t="n">
        <v>0.4</v>
      </c>
      <c r="D72" t="n">
        <v>0</v>
      </c>
      <c r="E72" t="n">
        <v>8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sale of stock</t>
        </is>
      </c>
      <c r="B73" t="inlineStr">
        <is>
          <t>7 shilling from 1 steer sold because feeble and useless for the lord's stock.</t>
        </is>
      </c>
      <c r="C73" t="n">
        <v>0.35</v>
      </c>
      <c r="D73" t="n">
        <v>0</v>
      </c>
      <c r="E73" t="n">
        <v>7</v>
      </c>
      <c r="F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sale of stock</t>
        </is>
      </c>
      <c r="B74" t="inlineStr">
        <is>
          <t>£2 18 shilling 4pence from 35 kebb wethers sold before shearing, at 1 shilling 8pence each.</t>
        </is>
      </c>
      <c r="C74" t="n">
        <v>2.92</v>
      </c>
      <c r="D74" t="n">
        <v>2</v>
      </c>
      <c r="E74" t="n">
        <v>18</v>
      </c>
      <c r="F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sale of stock</t>
        </is>
      </c>
      <c r="B75" t="inlineStr">
        <is>
          <t>£3 14 shilling 8pence from 1 ram and 55 kebb ewes sold before shearing, at 1 shilling 4pence each.</t>
        </is>
      </c>
      <c r="C75" t="n">
        <v>3.73</v>
      </c>
      <c r="D75" t="n">
        <v>3</v>
      </c>
      <c r="E75" t="n">
        <v>14</v>
      </c>
      <c r="F75" t="n">
        <v>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sale of stock</t>
        </is>
      </c>
      <c r="B76" t="inlineStr">
        <is>
          <t>10 shilling from 16 lambs removed from stock and sold before shearing, at 7.5pence each.</t>
        </is>
      </c>
      <c r="C76" t="n">
        <v>0.53</v>
      </c>
      <c r="D76" t="n">
        <v>0</v>
      </c>
      <c r="E76" t="n">
        <v>10</v>
      </c>
      <c r="F76" t="n">
        <v>7.5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sale of stock</t>
        </is>
      </c>
      <c r="B77" t="inlineStr">
        <is>
          <t>7 shilling 4pence from 22 geese sold, at 4pence each.</t>
        </is>
      </c>
      <c r="C77" t="n">
        <v>0.37</v>
      </c>
      <c r="D77" t="n">
        <v>0</v>
      </c>
      <c r="E77" t="n">
        <v>7</v>
      </c>
      <c r="F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sale of stock</t>
        </is>
      </c>
      <c r="B78" t="inlineStr">
        <is>
          <t>8 shilling from 24 capons sold, at 4pence each.</t>
        </is>
      </c>
      <c r="C78" t="n">
        <v>0.42</v>
      </c>
      <c r="D78" t="n">
        <v>0</v>
      </c>
      <c r="E78" t="n">
        <v>8</v>
      </c>
      <c r="F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sale of stock</t>
        </is>
      </c>
      <c r="B79" t="inlineStr">
        <is>
          <t>total, £10..</t>
        </is>
      </c>
      <c r="C79" t="n">
        <v>10</v>
      </c>
      <c r="D79" t="n">
        <v>10</v>
      </c>
      <c r="E79" t="n">
        <v>0</v>
      </c>
      <c r="F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entry fines</t>
        </is>
      </c>
      <c r="B80" t="inlineStr">
        <is>
          <t>and for 3 shilling from the tithing of bishopstone at the tourn of martinmas.</t>
        </is>
      </c>
      <c r="C80" t="n">
        <v>0.15</v>
      </c>
      <c r="D80" t="n">
        <v>0</v>
      </c>
      <c r="E80" t="n">
        <v>3</v>
      </c>
      <c r="F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entry fines</t>
        </is>
      </c>
      <c r="B81" t="inlineStr">
        <is>
          <t>3 shilling from the tithing of flamston for similar.</t>
        </is>
      </c>
      <c r="C81" t="n">
        <v>0.15</v>
      </c>
      <c r="D81" t="n">
        <v>0</v>
      </c>
      <c r="E81" t="n">
        <v>3</v>
      </c>
      <c r="F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entry fines</t>
        </is>
      </c>
      <c r="B82" t="inlineStr">
        <is>
          <t>2 shilling from the tithing of faulston for similar.</t>
        </is>
      </c>
      <c r="C82" t="n">
        <v>0.1</v>
      </c>
      <c r="D82" t="n">
        <v>0</v>
      </c>
      <c r="E82" t="n">
        <v>2</v>
      </c>
      <c r="F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entry fines</t>
        </is>
      </c>
      <c r="B83" t="inlineStr">
        <is>
          <t>8 shilling from the same tithings at the tourn of hockday.</t>
        </is>
      </c>
      <c r="C83" t="n">
        <v>0.4</v>
      </c>
      <c r="D83" t="n">
        <v>0</v>
      </c>
      <c r="E83" t="n">
        <v>8</v>
      </c>
      <c r="F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entry fines</t>
        </is>
      </c>
      <c r="B84" t="inlineStr">
        <is>
      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      </is>
      </c>
      <c r="C84" t="n">
        <v>0.05</v>
      </c>
      <c r="D84" t="n">
        <v>0</v>
      </c>
      <c r="E84" t="n">
        <v>1</v>
      </c>
      <c r="F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entry fines</t>
        </is>
      </c>
      <c r="B85" t="inlineStr">
        <is>
          <t>total, 17 shilling.</t>
        </is>
      </c>
      <c r="C85" t="n">
        <v>0.85</v>
      </c>
      <c r="D85" t="n">
        <v>0</v>
      </c>
      <c r="E85" t="n">
        <v>17</v>
      </c>
      <c r="F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perquisites</t>
        </is>
      </c>
      <c r="B86" t="inlineStr">
        <is>
          <t>and for 2 shilling 10pence from the perquisites of the tourn of martinmas (11 november).</t>
        </is>
      </c>
      <c r="C86" t="n">
        <v>0.14</v>
      </c>
      <c r="D86" t="n">
        <v>0</v>
      </c>
      <c r="E86" t="n">
        <v>2</v>
      </c>
      <c r="F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perquisites</t>
        </is>
      </c>
      <c r="B87" t="inlineStr">
        <is>
          <t>1 1 s. 2pence from the perquisites of the courts held by the bailiff between michaelmas and the tourn of hockday.</t>
        </is>
      </c>
      <c r="C87" t="n">
        <v>0.01</v>
      </c>
      <c r="D87" t="n">
        <v>0</v>
      </c>
      <c r="E87" t="n">
        <v>0</v>
      </c>
      <c r="F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perquisites</t>
        </is>
      </c>
      <c r="B88" t="inlineStr">
        <is>
          <t>1 shilling 10pence from the perquisites of the tourn of hockday (1 april).</t>
        </is>
      </c>
      <c r="C88" t="n">
        <v>0.09</v>
      </c>
      <c r="D88" t="n">
        <v>0</v>
      </c>
      <c r="E88" t="n">
        <v>1</v>
      </c>
      <c r="F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perquisites</t>
        </is>
      </c>
      <c r="B89" t="inlineStr">
        <is>
          <t>7 shilling 1pence from the perquisites of the courts held by the bailiff after the tourn of hockday.</t>
        </is>
      </c>
      <c r="C89" t="n">
        <v>0.35</v>
      </c>
      <c r="D89" t="n">
        <v>0</v>
      </c>
      <c r="E89" t="n">
        <v>7</v>
      </c>
      <c r="F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perquisites</t>
        </is>
      </c>
      <c r="B90" t="inlineStr">
        <is>
          <t>total, £1 2 shilling 11pence.</t>
        </is>
      </c>
      <c r="C90" t="n">
        <v>1.15</v>
      </c>
      <c r="D90" t="n">
        <v>1</v>
      </c>
      <c r="E90" t="n">
        <v>2</v>
      </c>
      <c r="F90" t="n">
        <v>11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sale of labour services</t>
        </is>
      </c>
      <c r="B91" t="inlineStr">
        <is>
          <t>and for £3 18 shilling for the release of the harvest labour services of 26 virgates this year, at 3 shilling for each virgate, apart from boon-works and the carriage of corn.</t>
        </is>
      </c>
      <c r="C91" t="n">
        <v>3.9</v>
      </c>
      <c r="D91" t="n">
        <v>3</v>
      </c>
      <c r="E91" t="n">
        <v>18</v>
      </c>
      <c r="F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sale of labour services</t>
        </is>
      </c>
      <c r="B92" t="inlineStr">
        <is>
          <t>10 shilling from 5 half-virgates for similar this year.</t>
        </is>
      </c>
      <c r="C92" t="n">
        <v>0.5</v>
      </c>
      <c r="D92" t="n">
        <v>0</v>
      </c>
      <c r="E92" t="n">
        <v>10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sale of labour services</t>
        </is>
      </c>
      <c r="B93" t="inlineStr">
        <is>
          <t>total, £4 8 shilling.</t>
        </is>
      </c>
      <c r="C93" t="n">
        <v>4.4</v>
      </c>
      <c r="D93" t="n">
        <v>4</v>
      </c>
      <c r="E93" t="n">
        <v>8</v>
      </c>
      <c r="F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chattels of felons</t>
        </is>
      </c>
      <c r="B94" t="inlineStr">
        <is>
          <t>and for 10 shilling from the chattels of john shipherd', convicted felon.</t>
        </is>
      </c>
      <c r="C94" t="n">
        <v>0.5</v>
      </c>
      <c r="D94" t="n">
        <v>0</v>
      </c>
      <c r="E94" t="n">
        <v>10</v>
      </c>
      <c r="F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chattels of felons</t>
        </is>
      </c>
      <c r="B95" t="inlineStr">
        <is>
          <t>total, 10 shilling.</t>
        </is>
      </c>
      <c r="C95" t="n">
        <v>0.5</v>
      </c>
      <c r="D95" t="n">
        <v>0</v>
      </c>
      <c r="E95" t="n">
        <v>10</v>
      </c>
      <c r="F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sales at the audit</t>
        </is>
      </c>
      <c r="B96" t="inlineStr">
        <is>
          <t>and for £6 12 shilling 9pence from various sales at the audit as made clear elsewhere.</t>
        </is>
      </c>
      <c r="C96" t="n">
        <v>6.64</v>
      </c>
      <c r="D96" t="n">
        <v>6</v>
      </c>
      <c r="E96" t="n">
        <v>12</v>
      </c>
      <c r="F96" t="n">
        <v>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sales at the audit</t>
        </is>
      </c>
      <c r="B97" t="inlineStr">
        <is>
          <t>total, £612 shilling 9pence.</t>
        </is>
      </c>
      <c r="C97" t="n">
        <v>612</v>
      </c>
      <c r="D97" t="n">
        <v>612</v>
      </c>
      <c r="E97" t="n">
        <v>0</v>
      </c>
      <c r="F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total of all receipts with arrears</t>
        </is>
      </c>
      <c r="B98" t="inlineStr">
        <is>
          <t>total of all receipts with arrears, £81 11 shilling 4.75pence.</t>
        </is>
      </c>
      <c r="C98" t="n">
        <v>81.56999999999999</v>
      </c>
      <c r="D98" t="n">
        <v>81</v>
      </c>
      <c r="E98" t="n">
        <v>11</v>
      </c>
      <c r="F98" t="n">
        <v>4.75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ploughs</t>
        </is>
      </c>
      <c r="B99" t="inlineStr">
        <is>
          <t>in iron and steel bought for the ironwork of 2 ploughs for the year with the stipend of the smith 16 shilling.</t>
        </is>
      </c>
      <c r="C99" t="n">
        <v>0.8</v>
      </c>
      <c r="D99" t="n">
        <v>0</v>
      </c>
      <c r="E99" t="n">
        <v>16</v>
      </c>
      <c r="F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ploughs</t>
        </is>
      </c>
      <c r="B100" t="inlineStr">
        <is>
          <t>shoeing 18 oxen 4 shilling.</t>
        </is>
      </c>
      <c r="C100" t="n">
        <v>0.2</v>
      </c>
      <c r="D100" t="n">
        <v>0</v>
      </c>
      <c r="E100" t="n">
        <v>4</v>
      </c>
      <c r="F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cost of ploughs</t>
        </is>
      </c>
      <c r="B101" t="inlineStr">
        <is>
          <t>2 plough feet bought 10pence.</t>
        </is>
      </c>
      <c r="C101" t="n">
        <v>0.04</v>
      </c>
      <c r="D101" t="n">
        <v>0</v>
      </c>
      <c r="E101" t="n">
        <v>0</v>
      </c>
      <c r="F101" t="n">
        <v>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cost of ploughs</t>
        </is>
      </c>
      <c r="B102" t="inlineStr">
        <is>
          <t>mending iron rings, crooks and staples 6pence.</t>
        </is>
      </c>
      <c r="C102" t="n">
        <v>0.03</v>
      </c>
      <c r="D102" t="n">
        <v>0</v>
      </c>
      <c r="E102" t="n">
        <v>0</v>
      </c>
      <c r="F102" t="n">
        <v>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cost of ploughs</t>
        </is>
      </c>
      <c r="B103" t="inlineStr">
        <is>
          <t>1 pair of wheels bought for the ploughs 8pence.</t>
        </is>
      </c>
      <c r="C103" t="n">
        <v>0.03</v>
      </c>
      <c r="D103" t="n">
        <v>0</v>
      </c>
      <c r="E103" t="n">
        <v>0</v>
      </c>
      <c r="F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cost of ploughs</t>
        </is>
      </c>
      <c r="B104" t="inlineStr">
        <is>
          <t>1 ploughshare bought 1 shilling 6pence.</t>
        </is>
      </c>
      <c r="C104" t="n">
        <v>0.08</v>
      </c>
      <c r="D104" t="n">
        <v>0</v>
      </c>
      <c r="E104" t="n">
        <v>1</v>
      </c>
      <c r="F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cost of ploughs</t>
        </is>
      </c>
      <c r="B105" t="inlineStr">
        <is>
          <t>3 yokes bought 6pence.</t>
        </is>
      </c>
      <c r="C105" t="n">
        <v>0.03</v>
      </c>
      <c r="D105" t="n">
        <v>0</v>
      </c>
      <c r="E105" t="n">
        <v>0</v>
      </c>
      <c r="F105" t="n">
        <v>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cost of ploughs</t>
        </is>
      </c>
      <c r="B106" t="inlineStr">
        <is>
          <t>reinforcing and lengthening the iron teeth of 2 harrows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cost of ploughs</t>
        </is>
      </c>
      <c r="B107" t="inlineStr">
        <is>
          <t>stipend of 1 oxherd for the year 6 shilling 8pence.</t>
        </is>
      </c>
      <c r="C107" t="n">
        <v>0.33</v>
      </c>
      <c r="D107" t="n">
        <v>0</v>
      </c>
      <c r="E107" t="n">
        <v>6</v>
      </c>
      <c r="F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cost of ploughs</t>
        </is>
      </c>
      <c r="B108" t="inlineStr">
        <is>
          <t>stipend of 2 drovers for the year 13 shilling 4pence.</t>
        </is>
      </c>
      <c r="C108" t="n">
        <v>0.67</v>
      </c>
      <c r="D108" t="n">
        <v>0</v>
      </c>
      <c r="E108" t="n">
        <v>13</v>
      </c>
      <c r="F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cost of ploughs</t>
        </is>
      </c>
      <c r="B109" t="inlineStr">
        <is>
          <t>payment to the customary tenants for ploughing 14 acres according to custom 2 shilling 2pence, at 2pence an acre.</t>
        </is>
      </c>
      <c r="C109" t="n">
        <v>0.11</v>
      </c>
      <c r="D109" t="n">
        <v>0</v>
      </c>
      <c r="E109" t="n">
        <v>2</v>
      </c>
      <c r="F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cost of ploughs</t>
        </is>
      </c>
      <c r="B110" t="inlineStr">
        <is>
          <t>total, £2 7 shilling 6pence.</t>
        </is>
      </c>
      <c r="C110" t="n">
        <v>2.38</v>
      </c>
      <c r="D110" t="n">
        <v>2</v>
      </c>
      <c r="E110" t="n">
        <v>7</v>
      </c>
      <c r="F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cost of carts</t>
        </is>
      </c>
      <c r="B111" t="inlineStr">
        <is>
          <t>in 4 clouts with nails bought for the cart 10pence.</t>
        </is>
      </c>
      <c r="C111" t="n">
        <v>0.04</v>
      </c>
      <c r="D111" t="n">
        <v>0</v>
      </c>
      <c r="E111" t="n">
        <v>0</v>
      </c>
      <c r="F111" t="n">
        <v>10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cost of carts</t>
        </is>
      </c>
      <c r="B112" t="inlineStr">
        <is>
          <t>2 halters bought 2pence.</t>
        </is>
      </c>
      <c r="C112" t="n">
        <v>0.01</v>
      </c>
      <c r="D112" t="n">
        <v>0</v>
      </c>
      <c r="E112" t="n">
        <v>0</v>
      </c>
      <c r="F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cost of carts</t>
        </is>
      </c>
      <c r="B113" t="inlineStr">
        <is>
          <t>grease bought for the cart 4pence.</t>
        </is>
      </c>
      <c r="C113" t="n">
        <v>0.02</v>
      </c>
      <c r="D113" t="n">
        <v>0</v>
      </c>
      <c r="E113" t="n">
        <v>0</v>
      </c>
      <c r="F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cost of carts</t>
        </is>
      </c>
      <c r="B114" t="inlineStr">
        <is>
          <t>white leather bought 4pence.</t>
        </is>
      </c>
      <c r="C114" t="n">
        <v>0.02</v>
      </c>
      <c r="D114" t="n">
        <v>0</v>
      </c>
      <c r="E114" t="n">
        <v>0</v>
      </c>
      <c r="F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cost of carts</t>
        </is>
      </c>
      <c r="B115" t="inlineStr">
        <is>
          <t>fitting the cart with axles 2pence.</t>
        </is>
      </c>
      <c r="C115" t="n">
        <v>0.01</v>
      </c>
      <c r="D115" t="n">
        <v>0</v>
      </c>
      <c r="E115" t="n">
        <v>0</v>
      </c>
      <c r="F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cost of carts</t>
        </is>
      </c>
      <c r="B116" t="inlineStr">
        <is>
          <t>shoeing 2 plough-horses for the year 3 shilling.</t>
        </is>
      </c>
      <c r="C116" t="n">
        <v>0.15</v>
      </c>
      <c r="D116" t="n">
        <v>0</v>
      </c>
      <c r="E116" t="n">
        <v>3</v>
      </c>
      <c r="F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cost of carts</t>
        </is>
      </c>
      <c r="B117" t="inlineStr">
        <is>
          <t>stipend of 1 carter for the year 6 shilling 8pence.</t>
        </is>
      </c>
      <c r="C117" t="n">
        <v>0.33</v>
      </c>
      <c r="D117" t="n">
        <v>0</v>
      </c>
      <c r="E117" t="n">
        <v>6</v>
      </c>
      <c r="F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cost of carts</t>
        </is>
      </c>
      <c r="B118" t="inlineStr">
        <is>
          <t>total, 11 shilling 6pence.</t>
        </is>
      </c>
      <c r="C118" t="n">
        <v>0.58</v>
      </c>
      <c r="D118" t="n">
        <v>0</v>
      </c>
      <c r="E118" t="n">
        <v>11</v>
      </c>
      <c r="F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purchase of stock</t>
        </is>
      </c>
      <c r="B119" t="inlineStr">
        <is>
          <t>in 2 oxen bought £1 6 shilling' 8pence.</t>
        </is>
      </c>
      <c r="C119" t="n">
        <v>1.3</v>
      </c>
      <c r="D119" t="n">
        <v>1</v>
      </c>
      <c r="E119" t="n">
        <v>6</v>
      </c>
      <c r="F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purchase of stock</t>
        </is>
      </c>
      <c r="B120" t="inlineStr">
        <is>
          <t>23 lambs before shearing £1 8 shilling 9pence, at 1 shilling 3pence each.</t>
        </is>
      </c>
      <c r="C120" t="n">
        <v>1.44</v>
      </c>
      <c r="D120" t="n">
        <v>1</v>
      </c>
      <c r="E120" t="n">
        <v>8</v>
      </c>
      <c r="F120" t="n">
        <v>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purchase of stock</t>
        </is>
      </c>
      <c r="B121" t="inlineStr">
        <is>
          <t>total, £2 15 shilling 5pence.</t>
        </is>
      </c>
      <c r="C121" t="n">
        <v>2.77</v>
      </c>
      <c r="D121" t="n">
        <v>2</v>
      </c>
      <c r="E121" t="n">
        <v>15</v>
      </c>
      <c r="F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cost of the dairy</t>
        </is>
      </c>
      <c r="B122" t="inlineStr">
        <is>
          <t>in 2 bushels of salt bought for the pottage of the manorial servants and the dairy for the year 1 shilling.</t>
        </is>
      </c>
      <c r="C122" t="n">
        <v>0.05</v>
      </c>
      <c r="D122" t="n">
        <v>0</v>
      </c>
      <c r="E122" t="n">
        <v>1</v>
      </c>
      <c r="F122" t="n">
        <v>0</v>
      </c>
      <c r="H122" t="n">
        <v>0</v>
      </c>
      <c r="I122" t="n">
        <v>2</v>
      </c>
      <c r="J122" t="n">
        <v>0.25</v>
      </c>
      <c r="K122" t="n">
        <v>0.25</v>
      </c>
      <c r="L122" t="n">
        <v>0</v>
      </c>
      <c r="M122" t="n">
        <v>0</v>
      </c>
      <c r="N122" t="n">
        <v>2</v>
      </c>
    </row>
    <row r="123">
      <c r="A123" t="inlineStr">
        <is>
          <t>cost of the dairy</t>
        </is>
      </c>
      <c r="B123" t="inlineStr">
        <is>
          <t>rennet bought 2pence.</t>
        </is>
      </c>
      <c r="C123" t="n">
        <v>0.01</v>
      </c>
      <c r="D123" t="n">
        <v>0</v>
      </c>
      <c r="E123" t="n">
        <v>0</v>
      </c>
      <c r="F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cost of the dairy</t>
        </is>
      </c>
      <c r="B124" t="inlineStr">
        <is>
          <t>linen cloth bought for wrapping cheese 2pence.</t>
        </is>
      </c>
      <c r="C124" t="n">
        <v>0.01</v>
      </c>
      <c r="D124" t="n">
        <v>0</v>
      </c>
      <c r="E124" t="n">
        <v>0</v>
      </c>
      <c r="F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cost of the dairy</t>
        </is>
      </c>
      <c r="B125" t="inlineStr">
        <is>
          <t>stipend of 1 dairymaid for the year 2 shilling.</t>
        </is>
      </c>
      <c r="C125" t="n">
        <v>0.1</v>
      </c>
      <c r="D125" t="n">
        <v>0</v>
      </c>
      <c r="E125" t="n">
        <v>2</v>
      </c>
      <c r="F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cost of the dairy</t>
        </is>
      </c>
      <c r="B126" t="inlineStr">
        <is>
          <t>total, 3 shilling 4pence.</t>
        </is>
      </c>
      <c r="C126" t="n">
        <v>0.17</v>
      </c>
      <c r="D126" t="n">
        <v>0</v>
      </c>
      <c r="E126" t="n">
        <v>3</v>
      </c>
      <c r="F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cost of the sheepcote</t>
        </is>
      </c>
      <c r="B127" t="inlineStr">
        <is>
          <t>in 1 barrel of tar bought 5 shilling 8pence.</t>
        </is>
      </c>
      <c r="C127" t="n">
        <v>0.28</v>
      </c>
      <c r="D127" t="n">
        <v>0</v>
      </c>
      <c r="E127" t="n">
        <v>5</v>
      </c>
      <c r="F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cost of the sheepcote</t>
        </is>
      </c>
      <c r="B128" t="inlineStr">
        <is>
          <t>grease bought for the same 8 shilling.</t>
        </is>
      </c>
      <c r="C128" t="n">
        <v>0.4</v>
      </c>
      <c r="D128" t="n">
        <v>0</v>
      </c>
      <c r="E128" t="n">
        <v>8</v>
      </c>
      <c r="F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cost of the sheepcote</t>
        </is>
      </c>
      <c r="B129" t="inlineStr">
        <is>
          <t>red ochre bought to mark the lord's sheep 1 shilling.</t>
        </is>
      </c>
      <c r="C129" t="n">
        <v>0.05</v>
      </c>
      <c r="D129" t="n">
        <v>0</v>
      </c>
      <c r="E129" t="n">
        <v>1</v>
      </c>
      <c r="F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cost of the sheepcote</t>
        </is>
      </c>
      <c r="B130" t="inlineStr">
        <is>
          <t>thread bought for packing the lord's wool 1pence.</t>
        </is>
      </c>
      <c r="C130" t="n">
        <v>0</v>
      </c>
      <c r="D130" t="n">
        <v>0</v>
      </c>
      <c r="E130" t="n">
        <v>0</v>
      </c>
      <c r="F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cost of the sheepcote</t>
        </is>
      </c>
      <c r="B131" t="inlineStr">
        <is>
          <t>30 hurdles bought for the lord's fold 5 shilling, at 2pence a hurdle.</t>
        </is>
      </c>
      <c r="C131" t="n">
        <v>0.26</v>
      </c>
      <c r="D131" t="n">
        <v>0</v>
      </c>
      <c r="E131" t="n">
        <v>5</v>
      </c>
      <c r="F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cost of the sheepcote</t>
        </is>
      </c>
      <c r="B132" t="inlineStr">
        <is>
          <t>hiring 1 carpenter to fit the end of the ewe-house and 1 bay there with ground-sills and studs and to mend the fodder-racks there for 3 days 1 shilling.</t>
        </is>
      </c>
      <c r="C132" t="n">
        <v>0.05</v>
      </c>
      <c r="D132" t="n">
        <v>0</v>
      </c>
      <c r="E132" t="n">
        <v>1</v>
      </c>
      <c r="F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cost of the sheepcote</t>
        </is>
      </c>
      <c r="B133" t="inlineStr">
        <is>
          <t>hiring 1 roofer to roof the hogg-house for 3 days 1 shilling.</t>
        </is>
      </c>
      <c r="C133" t="n">
        <v>0.05</v>
      </c>
      <c r="D133" t="n">
        <v>0</v>
      </c>
      <c r="E133" t="n">
        <v>1</v>
      </c>
      <c r="F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cost of the sheepcote</t>
        </is>
      </c>
      <c r="B134" t="inlineStr">
        <is>
          <t>1 post (yppere) bought 1 s. 8pence.</t>
        </is>
      </c>
      <c r="C134" t="n">
        <v>0.03</v>
      </c>
      <c r="D134" t="n">
        <v>0</v>
      </c>
      <c r="E134" t="n">
        <v>0</v>
      </c>
      <c r="F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cost of the sheepcote</t>
        </is>
      </c>
      <c r="B135" t="inlineStr">
        <is>
          <t>stipend of 1 shepherd of wethers, 1 shepherd of ewes and 1 shepherd of hoggs for the year £1..</t>
        </is>
      </c>
      <c r="C135" t="n">
        <v>1</v>
      </c>
      <c r="D135" t="n">
        <v>1</v>
      </c>
      <c r="E135" t="n">
        <v>0</v>
      </c>
      <c r="F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cost of the sheepcote</t>
        </is>
      </c>
      <c r="B136" t="inlineStr">
        <is>
          <t>total, £2 3 shilling 5pence.</t>
        </is>
      </c>
      <c r="C136" t="n">
        <v>2.17</v>
      </c>
      <c r="D136" t="n">
        <v>2</v>
      </c>
      <c r="E136" t="n">
        <v>3</v>
      </c>
      <c r="F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cost of buildings</t>
        </is>
      </c>
      <c r="B137" t="inlineStr">
        <is>
          <t>in hiring 1 thatcher to roof the barn for 5.5 days 1 shilling 10pence, taking 4pence a day.</t>
        </is>
      </c>
      <c r="C137" t="n">
        <v>0.09</v>
      </c>
      <c r="D137" t="n">
        <v>0</v>
      </c>
      <c r="E137" t="n">
        <v>1</v>
      </c>
      <c r="F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cost of buildings</t>
        </is>
      </c>
      <c r="B138" t="inlineStr">
        <is>
          <t>underwood bought to make hedges in various places and hurdles for the lord's fold 6 shilling 10pence.</t>
        </is>
      </c>
      <c r="C138" t="n">
        <v>0.34</v>
      </c>
      <c r="D138" t="n">
        <v>0</v>
      </c>
      <c r="E138" t="n">
        <v>6</v>
      </c>
      <c r="F138" t="n">
        <v>10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cost of buildings</t>
        </is>
      </c>
      <c r="B139" t="inlineStr">
        <is>
          <t>1 sack bought 1 shilling.</t>
        </is>
      </c>
      <c r="C139" t="n">
        <v>0.05</v>
      </c>
      <c r="D139" t="n">
        <v>0</v>
      </c>
      <c r="E139" t="n">
        <v>1</v>
      </c>
      <c r="F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cost of buildings</t>
        </is>
      </c>
      <c r="B140" t="inlineStr">
        <is>
          <t>hiring 1 man to dig 1 ditch at the eastern end of estmede and plant seedlings there and to cut down other quickset hedge and enclose there for 7 days 2 shilling 4pence, taking 4pence a day.</t>
        </is>
      </c>
      <c r="C140" t="n">
        <v>0.12</v>
      </c>
      <c r="D140" t="n">
        <v>0</v>
      </c>
      <c r="E140" t="n">
        <v>2</v>
      </c>
      <c r="F140" t="n">
        <v>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cost of buildings</t>
        </is>
      </c>
      <c r="B141" t="inlineStr">
        <is>
          <t>1 sieve and 1 riddle bought 5pence.</t>
        </is>
      </c>
      <c r="C141" t="n">
        <v>0.02</v>
      </c>
      <c r="D141" t="n">
        <v>0</v>
      </c>
      <c r="E141" t="n">
        <v>0</v>
      </c>
      <c r="F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cost of buildings</t>
        </is>
      </c>
      <c r="B142" t="inlineStr">
        <is>
          <t>payment to the customary tenants for carrying 44 quarters of corn to market 1 shilling 8pence, at .5pence a quarters.</t>
        </is>
      </c>
      <c r="C142" t="n">
        <v>0.08</v>
      </c>
      <c r="D142" t="n">
        <v>0</v>
      </c>
      <c r="E142" t="n">
        <v>1</v>
      </c>
      <c r="F142" t="n">
        <v>8</v>
      </c>
      <c r="H142" t="n">
        <v>44</v>
      </c>
      <c r="I142" t="n">
        <v>0</v>
      </c>
      <c r="J142" t="n">
        <v>44</v>
      </c>
      <c r="K142" t="n">
        <v>44</v>
      </c>
      <c r="L142" t="n">
        <v>0</v>
      </c>
      <c r="M142" t="n">
        <v>44</v>
      </c>
      <c r="N142" t="n">
        <v>0</v>
      </c>
    </row>
    <row r="143">
      <c r="A143" t="inlineStr">
        <is>
          <t>cost of buildings</t>
        </is>
      </c>
      <c r="B143" t="inlineStr">
        <is>
          <t>nails bought for mending the door of the pinfold and the doors of other buildings 4pence.</t>
        </is>
      </c>
      <c r="C143" t="n">
        <v>0.02</v>
      </c>
      <c r="D143" t="n">
        <v>0</v>
      </c>
      <c r="E143" t="n">
        <v>0</v>
      </c>
      <c r="F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cost of buildings</t>
        </is>
      </c>
      <c r="B144" t="inlineStr">
        <is>
          <t>1 wheel bought for the barrow 5pence.</t>
        </is>
      </c>
      <c r="C144" t="n">
        <v>0.02</v>
      </c>
      <c r="D144" t="n">
        <v>0</v>
      </c>
      <c r="E144" t="n">
        <v>0</v>
      </c>
      <c r="F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cost of buildings</t>
        </is>
      </c>
      <c r="B145" t="inlineStr">
        <is>
          <t>total, 15 shilling.</t>
        </is>
      </c>
      <c r="C145" t="n">
        <v>0.75</v>
      </c>
      <c r="D145" t="n">
        <v>0</v>
      </c>
      <c r="E145" t="n">
        <v>15</v>
      </c>
      <c r="F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threshing and winnowing</t>
        </is>
      </c>
      <c r="B146" t="inlineStr">
        <is>
          <t>in threshing 49 quarters 1 bushels of wheat and 4 quarters of curall by piece-work 13 shilling 3pence, at 3pence a quarters.</t>
        </is>
      </c>
      <c r="C146" t="n">
        <v>0.66</v>
      </c>
      <c r="D146" t="n">
        <v>0</v>
      </c>
      <c r="E146" t="n">
        <v>13</v>
      </c>
      <c r="F146" t="n">
        <v>3</v>
      </c>
      <c r="G146" t="inlineStr">
        <is>
          <t>wheat, curall</t>
        </is>
      </c>
      <c r="H146" t="n">
        <v>4</v>
      </c>
      <c r="I146" t="n">
        <v>1</v>
      </c>
      <c r="J146" t="n">
        <v>4.12</v>
      </c>
      <c r="K146" t="n">
        <v>49.12</v>
      </c>
      <c r="L146" t="n">
        <v>-45</v>
      </c>
      <c r="M146" t="n">
        <v>49</v>
      </c>
      <c r="N146" t="n">
        <v>1</v>
      </c>
      <c r="O146" t="n">
        <v>4</v>
      </c>
      <c r="P146" t="n">
        <v>0</v>
      </c>
    </row>
    <row r="147">
      <c r="A147" t="inlineStr">
        <is>
          <t>threshing and winnowing</t>
        </is>
      </c>
      <c r="B147" t="inlineStr">
        <is>
          <t>threshing 106 quarters 1 bushels of barley by piece-work 17 shilling 8.25pence, at 2pence a quarters.</t>
        </is>
      </c>
      <c r="C147" t="n">
        <v>0.88</v>
      </c>
      <c r="D147" t="n">
        <v>0</v>
      </c>
      <c r="E147" t="n">
        <v>17</v>
      </c>
      <c r="F147" t="n">
        <v>8.25</v>
      </c>
      <c r="G147" t="inlineStr">
        <is>
          <t>barley</t>
        </is>
      </c>
      <c r="H147" t="n">
        <v>106</v>
      </c>
      <c r="I147" t="n">
        <v>1</v>
      </c>
      <c r="J147" t="n">
        <v>106.12</v>
      </c>
      <c r="K147" t="n">
        <v>106.12</v>
      </c>
      <c r="L147" t="n">
        <v>0</v>
      </c>
      <c r="M147" t="n">
        <v>106</v>
      </c>
      <c r="N147" t="n">
        <v>1</v>
      </c>
    </row>
    <row r="148">
      <c r="A148" t="inlineStr">
        <is>
          <t>threshing and winnowing</t>
        </is>
      </c>
      <c r="B148" t="inlineStr">
        <is>
          <t>threshing 20 quarters 4 bushels of oats by piece-work 2 shilling 6.75pence, at 1.5pence a quarters.</t>
        </is>
      </c>
      <c r="C148" t="n">
        <v>0.13</v>
      </c>
      <c r="D148" t="n">
        <v>0</v>
      </c>
      <c r="E148" t="n">
        <v>2</v>
      </c>
      <c r="F148" t="n">
        <v>6.75</v>
      </c>
      <c r="G148" t="inlineStr">
        <is>
          <t>oats</t>
        </is>
      </c>
      <c r="H148" t="n">
        <v>20</v>
      </c>
      <c r="I148" t="n">
        <v>4</v>
      </c>
      <c r="J148" t="n">
        <v>20.5</v>
      </c>
      <c r="K148" t="n">
        <v>20.5</v>
      </c>
      <c r="L148" t="n">
        <v>0</v>
      </c>
      <c r="M148" t="n">
        <v>20</v>
      </c>
      <c r="N148" t="n">
        <v>4</v>
      </c>
    </row>
    <row r="149">
      <c r="A149" t="inlineStr">
        <is>
          <t>threshing and winnowing</t>
        </is>
      </c>
      <c r="B149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149" t="n">
        <v>0.2</v>
      </c>
      <c r="D149" t="n">
        <v>0</v>
      </c>
      <c r="E149" t="n">
        <v>3</v>
      </c>
      <c r="F149" t="n">
        <v>11.75</v>
      </c>
      <c r="H149" t="n">
        <v>4</v>
      </c>
      <c r="I149" t="n">
        <v>3</v>
      </c>
      <c r="J149" t="n">
        <v>4.38</v>
      </c>
      <c r="K149" t="n">
        <v>191.38</v>
      </c>
      <c r="L149" t="n">
        <v>-187</v>
      </c>
      <c r="M149" t="n">
        <v>191</v>
      </c>
      <c r="N149" t="n">
        <v>3</v>
      </c>
      <c r="O149" t="n">
        <v>4</v>
      </c>
      <c r="P149" t="n">
        <v>0</v>
      </c>
    </row>
    <row r="150">
      <c r="A150" t="inlineStr">
        <is>
          <t>threshing and winnowing</t>
        </is>
      </c>
      <c r="B150" t="inlineStr">
        <is>
          <t>total, £1 17 shilling 5.5pence.</t>
        </is>
      </c>
      <c r="C150" t="n">
        <v>1.87</v>
      </c>
      <c r="D150" t="n">
        <v>1</v>
      </c>
      <c r="E150" t="n">
        <v>17</v>
      </c>
      <c r="F150" t="n">
        <v>5.5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mowing the meadows</t>
        </is>
      </c>
      <c r="B151" t="inlineStr">
        <is>
          <t>in customary payment for the mowing of the lord's meadow 8pence.</t>
        </is>
      </c>
      <c r="C151" t="n">
        <v>0.03</v>
      </c>
      <c r="D151" t="n">
        <v>0</v>
      </c>
      <c r="E151" t="n">
        <v>0</v>
      </c>
      <c r="F151" t="n">
        <v>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mowing the meadows</t>
        </is>
      </c>
      <c r="B152" t="inlineStr">
        <is>
          <t>customary payment.</t>
        </is>
      </c>
      <c r="C152" t="n">
        <v>0</v>
      </c>
      <c r="D152" t="n">
        <v>0</v>
      </c>
      <c r="E152" t="n">
        <v>0</v>
      </c>
      <c r="F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mowing the meadows</t>
        </is>
      </c>
      <c r="B153" t="inlineStr">
        <is>
          <t>for the same for 2 cheeses according to custom 1 shilling.</t>
        </is>
      </c>
      <c r="C153" t="n">
        <v>0.05</v>
      </c>
      <c r="D153" t="n">
        <v>0</v>
      </c>
      <c r="E153" t="n">
        <v>1</v>
      </c>
      <c r="F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mowing the meadows</t>
        </is>
      </c>
      <c r="B154" t="inlineStr">
        <is>
          <t>total, 1 shilling 8pence.</t>
        </is>
      </c>
      <c r="C154" t="n">
        <v>0.08</v>
      </c>
      <c r="D154" t="n">
        <v>0</v>
      </c>
      <c r="E154" t="n">
        <v>1</v>
      </c>
      <c r="F154" t="n">
        <v>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cost of the harvest</t>
        </is>
      </c>
      <c r="B155" t="inlineStr">
        <is>
          <t>in expenses of the customary tenants at 3 harvest boon-works who reaped, bound and carried 32 acres 7 shilling.</t>
        </is>
      </c>
      <c r="C155" t="n">
        <v>0.35</v>
      </c>
      <c r="D155" t="n">
        <v>0</v>
      </c>
      <c r="E155" t="n">
        <v>7</v>
      </c>
      <c r="F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cost of the harvest</t>
        </is>
      </c>
      <c r="B156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156" t="n">
        <v>4.4</v>
      </c>
      <c r="D156" t="n">
        <v>4</v>
      </c>
      <c r="E156" t="n">
        <v>8</v>
      </c>
      <c r="F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cost of the harvest</t>
        </is>
      </c>
      <c r="B157" t="inlineStr">
        <is>
          <t>stipend of 1 overseer of the harvest for the year 6 shilling 8pence.</t>
        </is>
      </c>
      <c r="C157" t="n">
        <v>0.33</v>
      </c>
      <c r="D157" t="n">
        <v>0</v>
      </c>
      <c r="E157" t="n">
        <v>6</v>
      </c>
      <c r="F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cost of the harvest</t>
        </is>
      </c>
      <c r="B158" t="inlineStr">
        <is>
          <t>total, £5 1 shilling 8pence.</t>
        </is>
      </c>
      <c r="C158" t="n">
        <v>5.08</v>
      </c>
      <c r="D158" t="n">
        <v>5</v>
      </c>
      <c r="E158" t="n">
        <v>1</v>
      </c>
      <c r="F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expenses of the steward</t>
        </is>
      </c>
      <c r="B159" t="inlineStr">
        <is>
          <t>in expenses of richard wyot', steward, at the tourns of martinmas and hockday, by 2.</t>
        </is>
      </c>
      <c r="C159" t="n">
        <v>0</v>
      </c>
      <c r="D159" t="n">
        <v>0</v>
      </c>
      <c r="E159" t="n">
        <v>0</v>
      </c>
      <c r="F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expenses of the steward</t>
        </is>
      </c>
      <c r="B160" t="inlineStr">
        <is>
          <t>sealed bills, 8 shilling 11pence.</t>
        </is>
      </c>
      <c r="C160" t="n">
        <v>0.45</v>
      </c>
      <c r="D160" t="n">
        <v>0</v>
      </c>
      <c r="E160" t="n">
        <v>8</v>
      </c>
      <c r="F160" t="n">
        <v>11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expenses of the steward</t>
        </is>
      </c>
      <c r="B161" t="inlineStr">
        <is>
          <t>total, 8 shilling 11pence.</t>
        </is>
      </c>
      <c r="C161" t="n">
        <v>0.45</v>
      </c>
      <c r="D161" t="n">
        <v>0</v>
      </c>
      <c r="E161" t="n">
        <v>8</v>
      </c>
      <c r="F161" t="n">
        <v>11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wages of the bailiff</t>
        </is>
      </c>
      <c r="B162" t="inlineStr">
        <is>
          <t>in wages of the bailiff for the year, £2 10 shilling, and he takes the rest from other manors.</t>
        </is>
      </c>
      <c r="C162" t="n">
        <v>2.5</v>
      </c>
      <c r="D162" t="n">
        <v>2</v>
      </c>
      <c r="E162" t="n">
        <v>10</v>
      </c>
      <c r="F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wages of the bailiff</t>
        </is>
      </c>
      <c r="B163" t="inlineStr">
        <is>
          <t>total, £2 10 shilling.</t>
        </is>
      </c>
      <c r="C163" t="n">
        <v>2.5</v>
      </c>
      <c r="D163" t="n">
        <v>2</v>
      </c>
      <c r="E163" t="n">
        <v>10</v>
      </c>
      <c r="F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total of all expenses</t>
        </is>
      </c>
      <c r="B164" t="inlineStr">
        <is>
          <t>total of all expenses, £18 15 shilling 10.5pence.</t>
        </is>
      </c>
      <c r="C164" t="n">
        <v>18.79</v>
      </c>
      <c r="D164" t="n">
        <v>18</v>
      </c>
      <c r="E164" t="n">
        <v>15</v>
      </c>
      <c r="F164" t="n">
        <v>10.5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and he owes</t>
        </is>
      </c>
      <c r="B165" t="inlineStr">
        <is>
          <t>and he owes, £62 15 shilling 6.25pence.</t>
        </is>
      </c>
      <c r="C165" t="n">
        <v>62.78</v>
      </c>
      <c r="D165" t="n">
        <v>62</v>
      </c>
      <c r="E165" t="n">
        <v>15</v>
      </c>
      <c r="F165" t="n">
        <v>6.25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allowances without writ</t>
        </is>
      </c>
      <c r="B166" t="inlineStr">
        <is>
          <t>in allowance to the same for £4 15 shilling 7.25pence for various surcharges and disallowances in the present account.</t>
        </is>
      </c>
      <c r="C166" t="n">
        <v>4.78</v>
      </c>
      <c r="D166" t="n">
        <v>4</v>
      </c>
      <c r="E166" t="n">
        <v>15</v>
      </c>
      <c r="F166" t="n">
        <v>7.25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allowances without writ</t>
        </is>
      </c>
      <c r="B167" t="inlineStr">
        <is>
          <t>total, £4 15 shilling 7.25pence.</t>
        </is>
      </c>
      <c r="C167" t="n">
        <v>4.78</v>
      </c>
      <c r="D167" t="n">
        <v>4</v>
      </c>
      <c r="E167" t="n">
        <v>15</v>
      </c>
      <c r="F167" t="n">
        <v>7.25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cash deliveries</t>
        </is>
      </c>
      <c r="B168" t="inlineStr">
        <is>
          <t>delivered to john arnold', receiver of wolvesey, by 1 tally, £57 9 shilling 8pence.</t>
        </is>
      </c>
      <c r="C168" t="n">
        <v>57.48</v>
      </c>
      <c r="D168" t="n">
        <v>57</v>
      </c>
      <c r="E168" t="n">
        <v>9</v>
      </c>
      <c r="F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cash deliveries</t>
        </is>
      </c>
      <c r="B169" t="inlineStr">
        <is>
          <t>total, £57 9 shilling.</t>
        </is>
      </c>
      <c r="C169" t="n">
        <v>57.45</v>
      </c>
      <c r="D169" t="n">
        <v>57</v>
      </c>
      <c r="E169" t="n">
        <v>9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cash deliveries</t>
        </is>
      </c>
      <c r="B170" t="inlineStr">
        <is>
          <t>8pence.</t>
        </is>
      </c>
      <c r="C170" t="n">
        <v>0.03</v>
      </c>
      <c r="D170" t="n">
        <v>0</v>
      </c>
      <c r="E170" t="n">
        <v>0</v>
      </c>
      <c r="F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total of all allowances and cash deliveries</t>
        </is>
      </c>
      <c r="B171" t="inlineStr">
        <is>
          <t>total of all allowances and cash deliveries, £62 5 shilling 3.25pence.</t>
        </is>
      </c>
      <c r="C171" t="n">
        <v>62.26</v>
      </c>
      <c r="D171" t="n">
        <v>62</v>
      </c>
      <c r="E171" t="n">
        <v>5</v>
      </c>
      <c r="F171" t="n">
        <v>3.25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and he owes clear</t>
        </is>
      </c>
      <c r="B172" t="inlineStr">
        <is>
          <t>and he owes clear, 10 shilling 3pence, all of which is in the hands of the escheator.</t>
        </is>
      </c>
      <c r="C172" t="n">
        <v>0.51</v>
      </c>
      <c r="D172" t="n">
        <v>0</v>
      </c>
      <c r="E172" t="n">
        <v>10</v>
      </c>
      <c r="F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wheat</t>
        </is>
      </c>
      <c r="B173" t="inlineStr">
        <is>
          <t>john algare, reeve there, answers for 49 quarters 1 bushels of wheat from the whole issue of the grange, threshed by piece-work.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wheat</t>
        </is>
      </c>
      <c r="H173" t="n">
        <v>49</v>
      </c>
      <c r="I173" t="n">
        <v>1</v>
      </c>
      <c r="J173" t="n">
        <v>49.12</v>
      </c>
      <c r="K173" t="n">
        <v>49.12</v>
      </c>
      <c r="L173" t="n">
        <v>0</v>
      </c>
      <c r="M173" t="n">
        <v>49</v>
      </c>
      <c r="N173" t="n">
        <v>1</v>
      </c>
    </row>
    <row r="174">
      <c r="A174" t="inlineStr">
        <is>
          <t>wheat</t>
        </is>
      </c>
      <c r="B17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174" t="n">
        <v>0</v>
      </c>
      <c r="D174" t="n">
        <v>0</v>
      </c>
      <c r="E174" t="n">
        <v>0</v>
      </c>
      <c r="F174" t="n">
        <v>0</v>
      </c>
      <c r="H174" t="n">
        <v>4</v>
      </c>
      <c r="I174" t="n">
        <v>0</v>
      </c>
      <c r="J174" t="n">
        <v>4</v>
      </c>
      <c r="K174" t="n">
        <v>4</v>
      </c>
      <c r="L174" t="n">
        <v>0</v>
      </c>
      <c r="M174" t="n">
        <v>4</v>
      </c>
      <c r="N174" t="n">
        <v>0</v>
      </c>
    </row>
    <row r="175">
      <c r="A175" t="inlineStr">
        <is>
          <t>wheat</t>
        </is>
      </c>
      <c r="B175" t="inlineStr">
        <is>
          <t>5 quarters 3 bushels surcharged so that he answers for a 5-fold yield..</t>
        </is>
      </c>
      <c r="C175" t="n">
        <v>0</v>
      </c>
      <c r="D175" t="n">
        <v>0</v>
      </c>
      <c r="E175" t="n">
        <v>0</v>
      </c>
      <c r="F175" t="n">
        <v>0</v>
      </c>
      <c r="H175" t="n">
        <v>5</v>
      </c>
      <c r="I175" t="n">
        <v>3</v>
      </c>
      <c r="J175" t="n">
        <v>5.38</v>
      </c>
      <c r="K175" t="n">
        <v>5.38</v>
      </c>
      <c r="L175" t="n">
        <v>0</v>
      </c>
      <c r="M175" t="n">
        <v>5</v>
      </c>
      <c r="N175" t="n">
        <v>3</v>
      </c>
    </row>
    <row r="176">
      <c r="A176" t="inlineStr">
        <is>
          <t>wheat</t>
        </is>
      </c>
      <c r="B176" t="inlineStr">
        <is>
          <t>total, 58 quarters 4 bushels.</t>
        </is>
      </c>
      <c r="C176" t="n">
        <v>0</v>
      </c>
      <c r="D176" t="n">
        <v>0</v>
      </c>
      <c r="E176" t="n">
        <v>0</v>
      </c>
      <c r="F176" t="n">
        <v>0</v>
      </c>
      <c r="H176" t="n">
        <v>58</v>
      </c>
      <c r="I176" t="n">
        <v>4</v>
      </c>
      <c r="J176" t="n">
        <v>58.5</v>
      </c>
      <c r="K176" t="n">
        <v>58.5</v>
      </c>
      <c r="L176" t="n">
        <v>0</v>
      </c>
      <c r="M176" t="n">
        <v>58</v>
      </c>
      <c r="N176" t="n">
        <v>4</v>
      </c>
    </row>
    <row r="177">
      <c r="A177" t="inlineStr">
        <is>
          <t>wheat</t>
        </is>
      </c>
      <c r="B177" t="inlineStr">
        <is>
          <t>sown over 48 acres, 12 quarters.</t>
        </is>
      </c>
      <c r="C177" t="n">
        <v>0</v>
      </c>
      <c r="D177" t="n">
        <v>0</v>
      </c>
      <c r="E177" t="n">
        <v>0</v>
      </c>
      <c r="F177" t="n">
        <v>0</v>
      </c>
      <c r="H177" t="n">
        <v>12</v>
      </c>
      <c r="I177" t="n">
        <v>0</v>
      </c>
      <c r="J177" t="n">
        <v>12</v>
      </c>
      <c r="K177" t="n">
        <v>12</v>
      </c>
      <c r="L177" t="n">
        <v>0</v>
      </c>
      <c r="M177" t="n">
        <v>12</v>
      </c>
      <c r="N177" t="n">
        <v>0</v>
      </c>
    </row>
    <row r="178">
      <c r="A178" t="inlineStr">
        <is>
          <t>wheat</t>
        </is>
      </c>
      <c r="B178" t="inlineStr">
        <is>
          <t>that is, 2 bushels an acre.</t>
        </is>
      </c>
      <c r="C178" t="n">
        <v>0</v>
      </c>
      <c r="D178" t="n">
        <v>0</v>
      </c>
      <c r="E178" t="n">
        <v>0</v>
      </c>
      <c r="F178" t="n">
        <v>0</v>
      </c>
      <c r="H178" t="n">
        <v>0</v>
      </c>
      <c r="I178" t="n">
        <v>2</v>
      </c>
      <c r="J178" t="n">
        <v>0.25</v>
      </c>
      <c r="K178" t="n">
        <v>0.25</v>
      </c>
      <c r="L178" t="n">
        <v>0</v>
      </c>
      <c r="M178" t="n">
        <v>0</v>
      </c>
      <c r="N178" t="n">
        <v>2</v>
      </c>
    </row>
    <row r="179">
      <c r="A179" t="inlineStr">
        <is>
          <t>wheat</t>
        </is>
      </c>
      <c r="B179" t="inlineStr">
        <is>
          <t>given to the customary tenants in 4 acres which they receive according to custom, 4 quarters.</t>
        </is>
      </c>
      <c r="C179" t="n">
        <v>0</v>
      </c>
      <c r="D179" t="n">
        <v>0</v>
      </c>
      <c r="E179" t="n">
        <v>0</v>
      </c>
      <c r="F179" t="n">
        <v>0</v>
      </c>
      <c r="H179" t="n">
        <v>4</v>
      </c>
      <c r="I179" t="n">
        <v>0</v>
      </c>
      <c r="J179" t="n">
        <v>4</v>
      </c>
      <c r="K179" t="n">
        <v>4</v>
      </c>
      <c r="L179" t="n">
        <v>0</v>
      </c>
      <c r="M179" t="n">
        <v>4</v>
      </c>
      <c r="N179" t="n">
        <v>0</v>
      </c>
    </row>
    <row r="180">
      <c r="A180" t="inlineStr">
        <is>
          <t>wheat</t>
        </is>
      </c>
      <c r="B180" t="inlineStr">
        <is>
          <t>provision of the steward at the tourns of martinmas and hockday, by 2 sealed bills, 2.5 bushels.</t>
        </is>
      </c>
      <c r="C180" t="n">
        <v>0</v>
      </c>
      <c r="D180" t="n">
        <v>0</v>
      </c>
      <c r="E180" t="n">
        <v>0</v>
      </c>
      <c r="F180" t="n">
        <v>0</v>
      </c>
      <c r="H180" t="n">
        <v>0</v>
      </c>
      <c r="I180" t="n">
        <v>2.5</v>
      </c>
      <c r="J180" t="n">
        <v>0.31</v>
      </c>
      <c r="K180" t="n">
        <v>0.31</v>
      </c>
      <c r="L180" t="n">
        <v>0</v>
      </c>
      <c r="M180" t="n">
        <v>0</v>
      </c>
      <c r="N180" t="n">
        <v>2.5</v>
      </c>
    </row>
    <row r="181">
      <c r="A181" t="inlineStr">
        <is>
          <t>wheat</t>
        </is>
      </c>
      <c r="B181" t="inlineStr">
        <is>
          <t>sold within, 36 quarters 6.5 bushels.</t>
        </is>
      </c>
      <c r="C181" t="n">
        <v>0</v>
      </c>
      <c r="D181" t="n">
        <v>0</v>
      </c>
      <c r="E181" t="n">
        <v>0</v>
      </c>
      <c r="F181" t="n">
        <v>0</v>
      </c>
      <c r="H181" t="n">
        <v>36</v>
      </c>
      <c r="I181" t="n">
        <v>6.5</v>
      </c>
      <c r="J181" t="n">
        <v>36.81</v>
      </c>
      <c r="K181" t="n">
        <v>36.81</v>
      </c>
      <c r="L181" t="n">
        <v>0</v>
      </c>
      <c r="M181" t="n">
        <v>36</v>
      </c>
      <c r="N181" t="n">
        <v>6.5</v>
      </c>
    </row>
    <row r="182">
      <c r="A182" t="inlineStr">
        <is>
          <t>wheat</t>
        </is>
      </c>
      <c r="B182" t="inlineStr">
        <is>
          <t>sold at the audit, 6 quarters' 3 bushels for £2 17 shilling 3pence.</t>
        </is>
      </c>
      <c r="C182" t="n">
        <v>2.86</v>
      </c>
      <c r="D182" t="n">
        <v>2</v>
      </c>
      <c r="E182" t="n">
        <v>17</v>
      </c>
      <c r="F182" t="n">
        <v>3</v>
      </c>
      <c r="H182" t="n">
        <v>6</v>
      </c>
      <c r="I182" t="n">
        <v>3</v>
      </c>
      <c r="J182" t="n">
        <v>6.38</v>
      </c>
      <c r="K182" t="n">
        <v>6</v>
      </c>
      <c r="L182" t="n">
        <v>0.38</v>
      </c>
      <c r="M182" t="n">
        <v>6</v>
      </c>
      <c r="N182" t="n">
        <v>0</v>
      </c>
      <c r="O182" t="n">
        <v>0</v>
      </c>
      <c r="P182" t="n">
        <v>3</v>
      </c>
    </row>
    <row r="183">
      <c r="A183" t="inlineStr">
        <is>
          <t>wheat</t>
        </is>
      </c>
      <c r="B183" t="inlineStr">
        <is>
          <t>total as before.</t>
        </is>
      </c>
      <c r="C183" t="n">
        <v>0</v>
      </c>
      <c r="D183" t="n">
        <v>0</v>
      </c>
      <c r="E183" t="n">
        <v>0</v>
      </c>
      <c r="F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wheat</t>
        </is>
      </c>
      <c r="B184" t="inlineStr">
        <is>
          <t>it balances.</t>
        </is>
      </c>
      <c r="C184" t="n">
        <v>0</v>
      </c>
      <c r="D184" t="n">
        <v>0</v>
      </c>
      <c r="E184" t="n">
        <v>0</v>
      </c>
      <c r="F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curall</t>
        </is>
      </c>
      <c r="B185" t="inlineStr">
        <is>
          <t>and for 4 quarters of curall from the issue of the said wheat, threshed by piece-work.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wheat, curall</t>
        </is>
      </c>
      <c r="H185" t="n">
        <v>4</v>
      </c>
      <c r="I185" t="n">
        <v>0</v>
      </c>
      <c r="J185" t="n">
        <v>4</v>
      </c>
      <c r="K185" t="n">
        <v>4</v>
      </c>
      <c r="L185" t="n">
        <v>0</v>
      </c>
      <c r="M185" t="n">
        <v>4</v>
      </c>
      <c r="N185" t="n">
        <v>0</v>
      </c>
    </row>
    <row r="186">
      <c r="A186" t="inlineStr">
        <is>
          <t>curall</t>
        </is>
      </c>
      <c r="B186" t="inlineStr">
        <is>
          <t>sold within.</t>
        </is>
      </c>
      <c r="C186" t="n">
        <v>0</v>
      </c>
      <c r="D186" t="n">
        <v>0</v>
      </c>
      <c r="E186" t="n">
        <v>0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curall</t>
        </is>
      </c>
      <c r="B187" t="inlineStr">
        <is>
          <t>none remains.</t>
        </is>
      </c>
      <c r="C187" t="n">
        <v>0</v>
      </c>
      <c r="D187" t="n">
        <v>0</v>
      </c>
      <c r="E187" t="n">
        <v>0</v>
      </c>
      <c r="F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barley</t>
        </is>
      </c>
      <c r="B188" t="inlineStr">
        <is>
          <t>and for 106 quarters 1 bushels of barley from the whole issue of the grange, threshed by piece¬work.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barley</t>
        </is>
      </c>
      <c r="H188" t="n">
        <v>106</v>
      </c>
      <c r="I188" t="n">
        <v>1</v>
      </c>
      <c r="J188" t="n">
        <v>106.12</v>
      </c>
      <c r="K188" t="n">
        <v>106.12</v>
      </c>
      <c r="L188" t="n">
        <v>0</v>
      </c>
      <c r="M188" t="n">
        <v>106</v>
      </c>
      <c r="N188" t="n">
        <v>1</v>
      </c>
    </row>
    <row r="189">
      <c r="A189" t="inlineStr">
        <is>
          <t>barley</t>
        </is>
      </c>
      <c r="B189" t="inlineStr">
        <is>
          <t>1 quarters 2 bushels by estimation in sheaves given for carrying the lord's corn at harvest-time.</t>
        </is>
      </c>
      <c r="C189" t="n">
        <v>0</v>
      </c>
      <c r="D189" t="n">
        <v>0</v>
      </c>
      <c r="E189" t="n">
        <v>0</v>
      </c>
      <c r="F189" t="n">
        <v>0</v>
      </c>
      <c r="H189" t="n">
        <v>1</v>
      </c>
      <c r="I189" t="n">
        <v>2</v>
      </c>
      <c r="J189" t="n">
        <v>1.25</v>
      </c>
      <c r="K189" t="n">
        <v>1.25</v>
      </c>
      <c r="L189" t="n">
        <v>0</v>
      </c>
      <c r="M189" t="n">
        <v>1</v>
      </c>
      <c r="N189" t="n">
        <v>2</v>
      </c>
    </row>
    <row r="190">
      <c r="A190" t="inlineStr">
        <is>
          <t>barley</t>
        </is>
      </c>
      <c r="B190" t="inlineStr">
        <is>
          <t>no corn given to the customary tenants for reaping this year because they were paid for their reaping service as made clear within.</t>
        </is>
      </c>
      <c r="C190" t="n">
        <v>0</v>
      </c>
      <c r="D190" t="n">
        <v>0</v>
      </c>
      <c r="E190" t="n">
        <v>0</v>
      </c>
      <c r="F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barley</t>
        </is>
      </c>
      <c r="B191" t="inlineStr">
        <is>
          <t>11 quarters 3 bushels surcharged so that he answers for a 5.5-fold yield..</t>
        </is>
      </c>
      <c r="C191" t="n">
        <v>0</v>
      </c>
      <c r="D191" t="n">
        <v>0</v>
      </c>
      <c r="E191" t="n">
        <v>0</v>
      </c>
      <c r="F191" t="n">
        <v>0</v>
      </c>
      <c r="H191" t="n">
        <v>11</v>
      </c>
      <c r="I191" t="n">
        <v>3</v>
      </c>
      <c r="J191" t="n">
        <v>11.38</v>
      </c>
      <c r="K191" t="n">
        <v>11.38</v>
      </c>
      <c r="L191" t="n">
        <v>0</v>
      </c>
      <c r="M191" t="n">
        <v>11</v>
      </c>
      <c r="N191" t="n">
        <v>3</v>
      </c>
    </row>
    <row r="192">
      <c r="A192" t="inlineStr">
        <is>
          <t>barley</t>
        </is>
      </c>
      <c r="B192" t="inlineStr">
        <is>
          <t>total, 118 quarters 6 bushels.</t>
        </is>
      </c>
      <c r="C192" t="n">
        <v>0</v>
      </c>
      <c r="D192" t="n">
        <v>0</v>
      </c>
      <c r="E192" t="n">
        <v>0</v>
      </c>
      <c r="F192" t="n">
        <v>0</v>
      </c>
      <c r="H192" t="n">
        <v>118</v>
      </c>
      <c r="I192" t="n">
        <v>6</v>
      </c>
      <c r="J192" t="n">
        <v>118.75</v>
      </c>
      <c r="K192" t="n">
        <v>118.75</v>
      </c>
      <c r="L192" t="n">
        <v>0</v>
      </c>
      <c r="M192" t="n">
        <v>118</v>
      </c>
      <c r="N192" t="n">
        <v>6</v>
      </c>
    </row>
    <row r="193">
      <c r="A193" t="inlineStr">
        <is>
          <t>barley</t>
        </is>
      </c>
      <c r="B193" t="inlineStr">
        <is>
          <t>sown over 42 acres, 21 quarters.</t>
        </is>
      </c>
      <c r="C193" t="n">
        <v>0</v>
      </c>
      <c r="D193" t="n">
        <v>0</v>
      </c>
      <c r="E193" t="n">
        <v>0</v>
      </c>
      <c r="F193" t="n">
        <v>0</v>
      </c>
      <c r="H193" t="n">
        <v>21</v>
      </c>
      <c r="I193" t="n">
        <v>0</v>
      </c>
      <c r="J193" t="n">
        <v>21</v>
      </c>
      <c r="K193" t="n">
        <v>21</v>
      </c>
      <c r="L193" t="n">
        <v>0</v>
      </c>
      <c r="M193" t="n">
        <v>21</v>
      </c>
      <c r="N193" t="n">
        <v>0</v>
      </c>
    </row>
    <row r="194">
      <c r="A194" t="inlineStr">
        <is>
          <t>barley</t>
        </is>
      </c>
      <c r="B194" t="inlineStr">
        <is>
          <t>that is, 4 bushels an acre.</t>
        </is>
      </c>
      <c r="C194" t="n">
        <v>0</v>
      </c>
      <c r="D194" t="n">
        <v>0</v>
      </c>
      <c r="E194" t="n">
        <v>0</v>
      </c>
      <c r="F194" t="n">
        <v>0</v>
      </c>
      <c r="H194" t="n">
        <v>0</v>
      </c>
      <c r="I194" t="n">
        <v>4</v>
      </c>
      <c r="J194" t="n">
        <v>0.5</v>
      </c>
      <c r="K194" t="n">
        <v>0.5</v>
      </c>
      <c r="L194" t="n">
        <v>0</v>
      </c>
      <c r="M194" t="n">
        <v>0</v>
      </c>
      <c r="N194" t="n">
        <v>4</v>
      </c>
    </row>
    <row r="195">
      <c r="A195" t="inlineStr">
        <is>
          <t>barley</t>
        </is>
      </c>
      <c r="B195" t="inlineStr">
        <is>
          <t>given for carrying the lord's corn at harvest-time, 1 quarters 2 bushels by estimation in sheaves.</t>
        </is>
      </c>
      <c r="C195" t="n">
        <v>0</v>
      </c>
      <c r="D195" t="n">
        <v>0</v>
      </c>
      <c r="E195" t="n">
        <v>0</v>
      </c>
      <c r="F195" t="n">
        <v>0</v>
      </c>
      <c r="H195" t="n">
        <v>1</v>
      </c>
      <c r="I195" t="n">
        <v>2</v>
      </c>
      <c r="J195" t="n">
        <v>1.25</v>
      </c>
      <c r="K195" t="n">
        <v>1.25</v>
      </c>
      <c r="L195" t="n">
        <v>0</v>
      </c>
      <c r="M195" t="n">
        <v>1</v>
      </c>
      <c r="N195" t="n">
        <v>2</v>
      </c>
    </row>
    <row r="196">
      <c r="A196" t="inlineStr">
        <is>
          <t>barley</t>
        </is>
      </c>
      <c r="B196" t="inlineStr">
        <is>
          <t>provision of 3 harvest boon-works, 2 quarters.</t>
        </is>
      </c>
      <c r="C196" t="n">
        <v>0</v>
      </c>
      <c r="D196" t="n">
        <v>0</v>
      </c>
      <c r="E196" t="n">
        <v>0</v>
      </c>
      <c r="F196" t="n">
        <v>0</v>
      </c>
      <c r="H196" t="n">
        <v>2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0</v>
      </c>
    </row>
    <row r="197">
      <c r="A197" t="inlineStr">
        <is>
          <t>barley</t>
        </is>
      </c>
      <c r="B197" t="inlineStr">
        <is>
          <t>liveries of the manorial servants below, 45 quarters..</t>
        </is>
      </c>
      <c r="C197" t="n">
        <v>0</v>
      </c>
      <c r="D197" t="n">
        <v>0</v>
      </c>
      <c r="E197" t="n">
        <v>0</v>
      </c>
      <c r="F197" t="n">
        <v>0</v>
      </c>
      <c r="H197" t="n">
        <v>45</v>
      </c>
      <c r="I197" t="n">
        <v>0</v>
      </c>
      <c r="J197" t="n">
        <v>45</v>
      </c>
      <c r="K197" t="n">
        <v>45</v>
      </c>
      <c r="L197" t="n">
        <v>0</v>
      </c>
      <c r="M197" t="n">
        <v>45</v>
      </c>
      <c r="N197" t="n">
        <v>0</v>
      </c>
    </row>
    <row r="198">
      <c r="A198" t="inlineStr">
        <is>
          <t>barley</t>
        </is>
      </c>
      <c r="B198" t="inlineStr">
        <is>
          <t>sold within, 38 quarters 1 bushels.</t>
        </is>
      </c>
      <c r="C198" t="n">
        <v>0</v>
      </c>
      <c r="D198" t="n">
        <v>0</v>
      </c>
      <c r="E198" t="n">
        <v>0</v>
      </c>
      <c r="F198" t="n">
        <v>0</v>
      </c>
      <c r="H198" t="n">
        <v>38</v>
      </c>
      <c r="I198" t="n">
        <v>1</v>
      </c>
      <c r="J198" t="n">
        <v>38.12</v>
      </c>
      <c r="K198" t="n">
        <v>38.12</v>
      </c>
      <c r="L198" t="n">
        <v>0</v>
      </c>
      <c r="M198" t="n">
        <v>38</v>
      </c>
      <c r="N198" t="n">
        <v>1</v>
      </c>
    </row>
    <row r="199">
      <c r="A199" t="inlineStr">
        <is>
          <t>barley</t>
        </is>
      </c>
      <c r="B199" t="inlineStr">
        <is>
          <t>sold at the audit, 11 quarters 3 bushels for £3 8 shilling 3pence.</t>
        </is>
      </c>
      <c r="C199" t="n">
        <v>3.41</v>
      </c>
      <c r="D199" t="n">
        <v>3</v>
      </c>
      <c r="E199" t="n">
        <v>8</v>
      </c>
      <c r="F199" t="n">
        <v>3</v>
      </c>
      <c r="H199" t="n">
        <v>11</v>
      </c>
      <c r="I199" t="n">
        <v>3</v>
      </c>
      <c r="J199" t="n">
        <v>11.38</v>
      </c>
      <c r="K199" t="n">
        <v>11.38</v>
      </c>
      <c r="L199" t="n">
        <v>0</v>
      </c>
      <c r="M199" t="n">
        <v>11</v>
      </c>
      <c r="N199" t="n">
        <v>3</v>
      </c>
    </row>
    <row r="200">
      <c r="A200" t="inlineStr">
        <is>
          <t>barley</t>
        </is>
      </c>
      <c r="B200" t="inlineStr">
        <is>
          <t>total as before.</t>
        </is>
      </c>
      <c r="C200" t="n">
        <v>0</v>
      </c>
      <c r="D200" t="n">
        <v>0</v>
      </c>
      <c r="E200" t="n">
        <v>0</v>
      </c>
      <c r="F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barley</t>
        </is>
      </c>
      <c r="B201" t="inlineStr">
        <is>
          <t>it balances.</t>
        </is>
      </c>
      <c r="C201" t="n">
        <v>0</v>
      </c>
      <c r="D201" t="n">
        <v>0</v>
      </c>
      <c r="E201" t="n">
        <v>0</v>
      </c>
      <c r="F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oats</t>
        </is>
      </c>
      <c r="B202" t="inlineStr">
        <is>
          <t>and for 20 quarters 4 bushels of oats from the whole issue2 of the grange, threshed by piece¬work.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20</v>
      </c>
      <c r="I202" t="n">
        <v>4</v>
      </c>
      <c r="J202" t="n">
        <v>20.5</v>
      </c>
      <c r="K202" t="n">
        <v>20.5</v>
      </c>
      <c r="L202" t="n">
        <v>0</v>
      </c>
      <c r="M202" t="n">
        <v>20</v>
      </c>
      <c r="N202" t="n">
        <v>4</v>
      </c>
    </row>
    <row r="203">
      <c r="A203" t="inlineStr">
        <is>
          <t>oats</t>
        </is>
      </c>
      <c r="B203" t="inlineStr">
        <is>
          <t>6 bushels by estimation in sheaves given for carrying the lord's corn at harvest-time.</t>
        </is>
      </c>
      <c r="C203" t="n">
        <v>0</v>
      </c>
      <c r="D203" t="n">
        <v>0</v>
      </c>
      <c r="E203" t="n">
        <v>0</v>
      </c>
      <c r="F203" t="n">
        <v>0</v>
      </c>
      <c r="H203" t="n">
        <v>0</v>
      </c>
      <c r="I203" t="n">
        <v>6</v>
      </c>
      <c r="J203" t="n">
        <v>0.75</v>
      </c>
      <c r="K203" t="n">
        <v>0.75</v>
      </c>
      <c r="L203" t="n">
        <v>0</v>
      </c>
      <c r="M203" t="n">
        <v>0</v>
      </c>
      <c r="N203" t="n">
        <v>6</v>
      </c>
    </row>
    <row r="204">
      <c r="A204" t="inlineStr">
        <is>
          <t>oats</t>
        </is>
      </c>
      <c r="B204" t="inlineStr">
        <is>
          <t>no sheaves given for reaping for the aforesaid reason.</t>
        </is>
      </c>
      <c r="C204" t="n">
        <v>0</v>
      </c>
      <c r="D204" t="n">
        <v>0</v>
      </c>
      <c r="E204" t="n">
        <v>0</v>
      </c>
      <c r="F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oats</t>
        </is>
      </c>
      <c r="B205" t="inlineStr">
        <is>
          <t>5 quarters 6 bushels surcharged so that he answers for a 3-fold yield..</t>
        </is>
      </c>
      <c r="C205" t="n">
        <v>0</v>
      </c>
      <c r="D205" t="n">
        <v>0</v>
      </c>
      <c r="E205" t="n">
        <v>0</v>
      </c>
      <c r="F205" t="n">
        <v>0</v>
      </c>
      <c r="H205" t="n">
        <v>5</v>
      </c>
      <c r="I205" t="n">
        <v>6</v>
      </c>
      <c r="J205" t="n">
        <v>5.75</v>
      </c>
      <c r="K205" t="n">
        <v>5.75</v>
      </c>
      <c r="L205" t="n">
        <v>0</v>
      </c>
      <c r="M205" t="n">
        <v>5</v>
      </c>
      <c r="N205" t="n">
        <v>6</v>
      </c>
    </row>
    <row r="206">
      <c r="A206" t="inlineStr">
        <is>
          <t>oats</t>
        </is>
      </c>
      <c r="B206" t="inlineStr">
        <is>
          <t>total, 27 quarters.</t>
        </is>
      </c>
      <c r="C206" t="n">
        <v>0</v>
      </c>
      <c r="D206" t="n">
        <v>0</v>
      </c>
      <c r="E206" t="n">
        <v>0</v>
      </c>
      <c r="F206" t="n">
        <v>0</v>
      </c>
      <c r="H206" t="n">
        <v>27</v>
      </c>
      <c r="I206" t="n">
        <v>0</v>
      </c>
      <c r="J206" t="n">
        <v>27</v>
      </c>
      <c r="K206" t="n">
        <v>27</v>
      </c>
      <c r="L206" t="n">
        <v>0</v>
      </c>
      <c r="M206" t="n">
        <v>27</v>
      </c>
      <c r="N206" t="n">
        <v>0</v>
      </c>
    </row>
    <row r="207">
      <c r="A207" t="inlineStr">
        <is>
          <t>oats</t>
        </is>
      </c>
      <c r="B207" t="inlineStr">
        <is>
          <t>sown over 20 acres, 10 quarters.</t>
        </is>
      </c>
      <c r="C207" t="n">
        <v>0</v>
      </c>
      <c r="D207" t="n">
        <v>0</v>
      </c>
      <c r="E207" t="n">
        <v>0</v>
      </c>
      <c r="F207" t="n">
        <v>0</v>
      </c>
      <c r="H207" t="n">
        <v>10</v>
      </c>
      <c r="I207" t="n">
        <v>0</v>
      </c>
      <c r="J207" t="n">
        <v>10</v>
      </c>
      <c r="K207" t="n">
        <v>10</v>
      </c>
      <c r="L207" t="n">
        <v>0</v>
      </c>
      <c r="M207" t="n">
        <v>10</v>
      </c>
      <c r="N207" t="n">
        <v>0</v>
      </c>
    </row>
    <row r="208">
      <c r="A208" t="inlineStr">
        <is>
          <t>oats</t>
        </is>
      </c>
      <c r="B208" t="inlineStr">
        <is>
          <t>that is, 4 bushels an acre.</t>
        </is>
      </c>
      <c r="C208" t="n">
        <v>0</v>
      </c>
      <c r="D208" t="n">
        <v>0</v>
      </c>
      <c r="E208" t="n">
        <v>0</v>
      </c>
      <c r="F208" t="n">
        <v>0</v>
      </c>
      <c r="H208" t="n">
        <v>0</v>
      </c>
      <c r="I208" t="n">
        <v>4</v>
      </c>
      <c r="J208" t="n">
        <v>0.5</v>
      </c>
      <c r="K208" t="n">
        <v>0.5</v>
      </c>
      <c r="L208" t="n">
        <v>0</v>
      </c>
      <c r="M208" t="n">
        <v>0</v>
      </c>
      <c r="N208" t="n">
        <v>4</v>
      </c>
    </row>
    <row r="209">
      <c r="A209" t="inlineStr">
        <is>
          <t>oats</t>
        </is>
      </c>
      <c r="B209" t="inlineStr">
        <is>
          <t>given for carrying the lord's corn at harvest-time, 6 bushels by estimation in sheaves.</t>
        </is>
      </c>
      <c r="C209" t="n">
        <v>0</v>
      </c>
      <c r="D209" t="n">
        <v>0</v>
      </c>
      <c r="E209" t="n">
        <v>0</v>
      </c>
      <c r="F209" t="n">
        <v>0</v>
      </c>
      <c r="H209" t="n">
        <v>0</v>
      </c>
      <c r="I209" t="n">
        <v>6</v>
      </c>
      <c r="J209" t="n">
        <v>0.75</v>
      </c>
      <c r="K209" t="n">
        <v>0.75</v>
      </c>
      <c r="L209" t="n">
        <v>0</v>
      </c>
      <c r="M209" t="n">
        <v>0</v>
      </c>
      <c r="N209" t="n">
        <v>6</v>
      </c>
    </row>
    <row r="210">
      <c r="A210" t="inlineStr">
        <is>
          <t>oats</t>
        </is>
      </c>
      <c r="B210" t="inlineStr">
        <is>
          <t>making meal for the pottage of the manorial servants for the year, 3 quarters.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meal</t>
        </is>
      </c>
      <c r="H210" t="n">
        <v>3</v>
      </c>
      <c r="I210" t="n">
        <v>0</v>
      </c>
      <c r="J210" t="n">
        <v>3</v>
      </c>
      <c r="K210" t="n">
        <v>3</v>
      </c>
      <c r="L210" t="n">
        <v>0</v>
      </c>
      <c r="M210" t="n">
        <v>3</v>
      </c>
      <c r="N210" t="n">
        <v>0</v>
      </c>
    </row>
    <row r="211">
      <c r="A211" t="inlineStr">
        <is>
          <t>oats</t>
        </is>
      </c>
      <c r="B211" t="inlineStr">
        <is>
          <t>fodder of the horses of the steward at the tourns of martinmas and hockday, by 2 sealed bills, 2 quarters 7 bushels.</t>
        </is>
      </c>
      <c r="C211" t="n">
        <v>0</v>
      </c>
      <c r="D211" t="n">
        <v>0</v>
      </c>
      <c r="E211" t="n">
        <v>0</v>
      </c>
      <c r="F211" t="n">
        <v>0</v>
      </c>
      <c r="H211" t="n">
        <v>2</v>
      </c>
      <c r="I211" t="n">
        <v>7</v>
      </c>
      <c r="J211" t="n">
        <v>2.88</v>
      </c>
      <c r="K211" t="n">
        <v>2.88</v>
      </c>
      <c r="L211" t="n">
        <v>0</v>
      </c>
      <c r="M211" t="n">
        <v>2</v>
      </c>
      <c r="N211" t="n">
        <v>7</v>
      </c>
    </row>
    <row r="212">
      <c r="A212" t="inlineStr">
        <is>
          <t>oats</t>
        </is>
      </c>
      <c r="B212" t="inlineStr">
        <is>
          <t>sold within, 4 quarters 5 bushels.</t>
        </is>
      </c>
      <c r="C212" t="n">
        <v>0</v>
      </c>
      <c r="D212" t="n">
        <v>0</v>
      </c>
      <c r="E212" t="n">
        <v>0</v>
      </c>
      <c r="F212" t="n">
        <v>0</v>
      </c>
      <c r="H212" t="n">
        <v>4</v>
      </c>
      <c r="I212" t="n">
        <v>5</v>
      </c>
      <c r="J212" t="n">
        <v>4.62</v>
      </c>
      <c r="K212" t="n">
        <v>4.62</v>
      </c>
      <c r="L212" t="n">
        <v>0</v>
      </c>
      <c r="M212" t="n">
        <v>4</v>
      </c>
      <c r="N212" t="n">
        <v>5</v>
      </c>
    </row>
    <row r="213">
      <c r="A213" t="inlineStr">
        <is>
          <t>oats</t>
        </is>
      </c>
      <c r="B213" t="inlineStr">
        <is>
          <t>sold at the audit, 5 quarters 6 bushels for 17 shilling 3pence.</t>
        </is>
      </c>
      <c r="C213" t="n">
        <v>0.86</v>
      </c>
      <c r="D213" t="n">
        <v>0</v>
      </c>
      <c r="E213" t="n">
        <v>17</v>
      </c>
      <c r="F213" t="n">
        <v>3</v>
      </c>
      <c r="H213" t="n">
        <v>5</v>
      </c>
      <c r="I213" t="n">
        <v>6</v>
      </c>
      <c r="J213" t="n">
        <v>5.75</v>
      </c>
      <c r="K213" t="n">
        <v>5.75</v>
      </c>
      <c r="L213" t="n">
        <v>0</v>
      </c>
      <c r="M213" t="n">
        <v>5</v>
      </c>
      <c r="N213" t="n">
        <v>6</v>
      </c>
    </row>
    <row r="214">
      <c r="A214" t="inlineStr">
        <is>
          <t>oats</t>
        </is>
      </c>
      <c r="B214" t="inlineStr">
        <is>
          <t>total as before.</t>
        </is>
      </c>
      <c r="C214" t="n">
        <v>0</v>
      </c>
      <c r="D214" t="n">
        <v>0</v>
      </c>
      <c r="E214" t="n">
        <v>0</v>
      </c>
      <c r="F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oats</t>
        </is>
      </c>
      <c r="B215" t="inlineStr">
        <is>
          <t>it balances.</t>
        </is>
      </c>
      <c r="C215" t="n">
        <v>0</v>
      </c>
      <c r="D215" t="n">
        <v>0</v>
      </c>
      <c r="E215" t="n">
        <v>0</v>
      </c>
      <c r="F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peas</t>
        </is>
      </c>
      <c r="B216" t="inlineStr">
        <is>
          <t>and for 5 quarters 1 bushels of peas from the issue of the grange, threshed by the manorial servants.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peas</t>
        </is>
      </c>
      <c r="H216" t="n">
        <v>5</v>
      </c>
      <c r="I216" t="n">
        <v>1</v>
      </c>
      <c r="J216" t="n">
        <v>5.12</v>
      </c>
      <c r="K216" t="n">
        <v>5.12</v>
      </c>
      <c r="L216" t="n">
        <v>0</v>
      </c>
      <c r="M216" t="n">
        <v>5</v>
      </c>
      <c r="N216" t="n">
        <v>1</v>
      </c>
    </row>
    <row r="217">
      <c r="A217" t="inlineStr">
        <is>
          <t>peas</t>
        </is>
      </c>
      <c r="B217" t="inlineStr">
        <is>
          <t>2 quarters from the same issue by estimation in husks.</t>
        </is>
      </c>
      <c r="C217" t="n">
        <v>0</v>
      </c>
      <c r="D217" t="n">
        <v>0</v>
      </c>
      <c r="E217" t="n">
        <v>0</v>
      </c>
      <c r="F217" t="n">
        <v>0</v>
      </c>
      <c r="H217" t="n">
        <v>2</v>
      </c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0</v>
      </c>
    </row>
    <row r="218">
      <c r="A218" t="inlineStr">
        <is>
          <t>peas</t>
        </is>
      </c>
      <c r="B218" t="inlineStr">
        <is>
          <t>2 bushels by estimation in sheaves given for carrying the lord's corn at harvest-time.</t>
        </is>
      </c>
      <c r="C218" t="n">
        <v>0</v>
      </c>
      <c r="D218" t="n">
        <v>0</v>
      </c>
      <c r="E218" t="n">
        <v>0</v>
      </c>
      <c r="F218" t="n">
        <v>0</v>
      </c>
      <c r="H218" t="n">
        <v>0</v>
      </c>
      <c r="I218" t="n">
        <v>2</v>
      </c>
      <c r="J218" t="n">
        <v>0.25</v>
      </c>
      <c r="K218" t="n">
        <v>0.25</v>
      </c>
      <c r="L218" t="n">
        <v>0</v>
      </c>
      <c r="M218" t="n">
        <v>0</v>
      </c>
      <c r="N218" t="n">
        <v>2</v>
      </c>
    </row>
    <row r="219">
      <c r="A219" t="inlineStr">
        <is>
          <t>peas</t>
        </is>
      </c>
      <c r="B219" t="inlineStr">
        <is>
          <t>no sheaves given for reaping for the aforesaid reason..</t>
        </is>
      </c>
      <c r="C219" t="n">
        <v>0</v>
      </c>
      <c r="D219" t="n">
        <v>0</v>
      </c>
      <c r="E219" t="n">
        <v>0</v>
      </c>
      <c r="F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peas</t>
        </is>
      </c>
      <c r="B220" t="inlineStr">
        <is>
          <t>total, 7 quarters 3 bushels.</t>
        </is>
      </c>
      <c r="C220" t="n">
        <v>0</v>
      </c>
      <c r="D220" t="n">
        <v>0</v>
      </c>
      <c r="E220" t="n">
        <v>0</v>
      </c>
      <c r="F220" t="n">
        <v>0</v>
      </c>
      <c r="H220" t="n">
        <v>7</v>
      </c>
      <c r="I220" t="n">
        <v>3</v>
      </c>
      <c r="J220" t="n">
        <v>7.38</v>
      </c>
      <c r="K220" t="n">
        <v>7.38</v>
      </c>
      <c r="L220" t="n">
        <v>0</v>
      </c>
      <c r="M220" t="n">
        <v>7</v>
      </c>
      <c r="N220" t="n">
        <v>3</v>
      </c>
    </row>
    <row r="221">
      <c r="A221" t="inlineStr">
        <is>
          <t>peas</t>
        </is>
      </c>
      <c r="B221" t="inlineStr">
        <is>
          <t>sown over 10 acres, 2 quarters 4 bushels.</t>
        </is>
      </c>
      <c r="C221" t="n">
        <v>0</v>
      </c>
      <c r="D221" t="n">
        <v>0</v>
      </c>
      <c r="E221" t="n">
        <v>0</v>
      </c>
      <c r="F221" t="n">
        <v>0</v>
      </c>
      <c r="H221" t="n">
        <v>2</v>
      </c>
      <c r="I221" t="n">
        <v>4</v>
      </c>
      <c r="J221" t="n">
        <v>2.5</v>
      </c>
      <c r="K221" t="n">
        <v>2.5</v>
      </c>
      <c r="L221" t="n">
        <v>0</v>
      </c>
      <c r="M221" t="n">
        <v>2</v>
      </c>
      <c r="N221" t="n">
        <v>4</v>
      </c>
    </row>
    <row r="222">
      <c r="A222" t="inlineStr">
        <is>
          <t>peas</t>
        </is>
      </c>
      <c r="B222" t="inlineStr">
        <is>
          <t>that is, 2 bushels an acre.</t>
        </is>
      </c>
      <c r="C222" t="n">
        <v>0</v>
      </c>
      <c r="D222" t="n">
        <v>0</v>
      </c>
      <c r="E222" t="n">
        <v>0</v>
      </c>
      <c r="F222" t="n">
        <v>0</v>
      </c>
      <c r="H222" t="n">
        <v>0</v>
      </c>
      <c r="I222" t="n">
        <v>2</v>
      </c>
      <c r="J222" t="n">
        <v>0.25</v>
      </c>
      <c r="K222" t="n">
        <v>0.25</v>
      </c>
      <c r="L222" t="n">
        <v>0</v>
      </c>
      <c r="M222" t="n">
        <v>0</v>
      </c>
      <c r="N222" t="n">
        <v>2</v>
      </c>
    </row>
    <row r="223">
      <c r="A223" t="inlineStr">
        <is>
          <t>peas</t>
        </is>
      </c>
      <c r="B223" t="inlineStr">
        <is>
          <t>supporting the ewes in winter, 2 quarters by estimation in husks.</t>
        </is>
      </c>
      <c r="C223" t="n">
        <v>0</v>
      </c>
      <c r="D223" t="n">
        <v>0</v>
      </c>
      <c r="E223" t="n">
        <v>0</v>
      </c>
      <c r="F223" t="n">
        <v>0</v>
      </c>
      <c r="H223" t="n">
        <v>2</v>
      </c>
      <c r="I223" t="n">
        <v>0</v>
      </c>
      <c r="J223" t="n">
        <v>2</v>
      </c>
      <c r="K223" t="n">
        <v>2</v>
      </c>
      <c r="L223" t="n">
        <v>0</v>
      </c>
      <c r="M223" t="n">
        <v>2</v>
      </c>
      <c r="N223" t="n">
        <v>0</v>
      </c>
    </row>
    <row r="224">
      <c r="A224" t="inlineStr">
        <is>
          <t>peas</t>
        </is>
      </c>
      <c r="B224" t="inlineStr">
        <is>
          <t>given for carrying the lord's corn at harvest-time, 2 bushels.</t>
        </is>
      </c>
      <c r="C224" t="n">
        <v>0</v>
      </c>
      <c r="D224" t="n">
        <v>0</v>
      </c>
      <c r="E224" t="n">
        <v>0</v>
      </c>
      <c r="F224" t="n">
        <v>0</v>
      </c>
      <c r="H224" t="n">
        <v>0</v>
      </c>
      <c r="I224" t="n">
        <v>2</v>
      </c>
      <c r="J224" t="n">
        <v>0.25</v>
      </c>
      <c r="K224" t="n">
        <v>0.25</v>
      </c>
      <c r="L224" t="n">
        <v>0</v>
      </c>
      <c r="M224" t="n">
        <v>0</v>
      </c>
      <c r="N224" t="n">
        <v>2</v>
      </c>
    </row>
    <row r="225">
      <c r="A225" t="inlineStr">
        <is>
          <t>peas</t>
        </is>
      </c>
      <c r="B225" t="inlineStr">
        <is>
          <t>sold within, 2 quarters 5 bushels.</t>
        </is>
      </c>
      <c r="C225" t="n">
        <v>0</v>
      </c>
      <c r="D225" t="n">
        <v>0</v>
      </c>
      <c r="E225" t="n">
        <v>0</v>
      </c>
      <c r="F225" t="n">
        <v>0</v>
      </c>
      <c r="H225" t="n">
        <v>2</v>
      </c>
      <c r="I225" t="n">
        <v>5</v>
      </c>
      <c r="J225" t="n">
        <v>2.62</v>
      </c>
      <c r="K225" t="n">
        <v>2.62</v>
      </c>
      <c r="L225" t="n">
        <v>0</v>
      </c>
      <c r="M225" t="n">
        <v>2</v>
      </c>
      <c r="N225" t="n">
        <v>5</v>
      </c>
    </row>
    <row r="226">
      <c r="A226" t="inlineStr">
        <is>
          <t>peas</t>
        </is>
      </c>
      <c r="B226" t="inlineStr">
        <is>
          <t>total as before.</t>
        </is>
      </c>
      <c r="C226" t="n">
        <v>0</v>
      </c>
      <c r="D226" t="n">
        <v>0</v>
      </c>
      <c r="E226" t="n">
        <v>0</v>
      </c>
      <c r="F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peas</t>
        </is>
      </c>
      <c r="B227" t="inlineStr">
        <is>
          <t>it balances.</t>
        </is>
      </c>
      <c r="C227" t="n">
        <v>0</v>
      </c>
      <c r="D227" t="n">
        <v>0</v>
      </c>
      <c r="E227" t="n">
        <v>0</v>
      </c>
      <c r="F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vetches</t>
        </is>
      </c>
      <c r="B228" t="inlineStr">
        <is>
          <t>and for 6 quarters 4 bushels of vetches from the issue of the grange, threshed by the manorial servants.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vetches</t>
        </is>
      </c>
      <c r="H228" t="n">
        <v>6</v>
      </c>
      <c r="I228" t="n">
        <v>4</v>
      </c>
      <c r="J228" t="n">
        <v>6.5</v>
      </c>
      <c r="K228" t="n">
        <v>6.5</v>
      </c>
      <c r="L228" t="n">
        <v>0</v>
      </c>
      <c r="M228" t="n">
        <v>6</v>
      </c>
      <c r="N228" t="n">
        <v>4</v>
      </c>
    </row>
    <row r="229">
      <c r="A229" t="inlineStr">
        <is>
          <t>vetches</t>
        </is>
      </c>
      <c r="B229" t="inlineStr">
        <is>
          <t>2 quarters from the same issue by estimation in husks.</t>
        </is>
      </c>
      <c r="C229" t="n">
        <v>0</v>
      </c>
      <c r="D229" t="n">
        <v>0</v>
      </c>
      <c r="E229" t="n">
        <v>0</v>
      </c>
      <c r="F229" t="n">
        <v>0</v>
      </c>
      <c r="H229" t="n">
        <v>2</v>
      </c>
      <c r="I229" t="n">
        <v>0</v>
      </c>
      <c r="J229" t="n">
        <v>2</v>
      </c>
      <c r="K229" t="n">
        <v>2</v>
      </c>
      <c r="L229" t="n">
        <v>0</v>
      </c>
      <c r="M229" t="n">
        <v>2</v>
      </c>
      <c r="N229" t="n">
        <v>0</v>
      </c>
    </row>
    <row r="230">
      <c r="A230" t="inlineStr">
        <is>
          <t>vetches</t>
        </is>
      </c>
      <c r="B230" t="inlineStr">
        <is>
          <t>. 3 bushels by estimation in sheaves given for carrying the lord's corn at harvest-time.</t>
        </is>
      </c>
      <c r="C230" t="n">
        <v>0</v>
      </c>
      <c r="D230" t="n">
        <v>0</v>
      </c>
      <c r="E230" t="n">
        <v>0</v>
      </c>
      <c r="F230" t="n">
        <v>0</v>
      </c>
      <c r="H230" t="n">
        <v>0</v>
      </c>
      <c r="I230" t="n">
        <v>3</v>
      </c>
      <c r="J230" t="n">
        <v>0.38</v>
      </c>
      <c r="K230" t="n">
        <v>0.38</v>
      </c>
      <c r="L230" t="n">
        <v>0</v>
      </c>
      <c r="M230" t="n">
        <v>0</v>
      </c>
      <c r="N230" t="n">
        <v>3</v>
      </c>
    </row>
    <row r="231">
      <c r="A231" t="inlineStr">
        <is>
          <t>vetches</t>
        </is>
      </c>
      <c r="B231" t="inlineStr">
        <is>
          <t>no sheaves given for reaping for the aforesaid reason..</t>
        </is>
      </c>
      <c r="C231" t="n">
        <v>0</v>
      </c>
      <c r="D231" t="n">
        <v>0</v>
      </c>
      <c r="E231" t="n">
        <v>0</v>
      </c>
      <c r="F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vetches</t>
        </is>
      </c>
      <c r="B232" t="inlineStr">
        <is>
          <t>total, 8 quarters 7 bushels.</t>
        </is>
      </c>
      <c r="C232" t="n">
        <v>0</v>
      </c>
      <c r="D232" t="n">
        <v>0</v>
      </c>
      <c r="E232" t="n">
        <v>0</v>
      </c>
      <c r="F232" t="n">
        <v>0</v>
      </c>
      <c r="H232" t="n">
        <v>8</v>
      </c>
      <c r="I232" t="n">
        <v>7</v>
      </c>
      <c r="J232" t="n">
        <v>8.880000000000001</v>
      </c>
      <c r="K232" t="n">
        <v>8.880000000000001</v>
      </c>
      <c r="L232" t="n">
        <v>0</v>
      </c>
      <c r="M232" t="n">
        <v>8</v>
      </c>
      <c r="N232" t="n">
        <v>7</v>
      </c>
    </row>
    <row r="233">
      <c r="A233" t="inlineStr">
        <is>
          <t>vetches</t>
        </is>
      </c>
      <c r="B233" t="inlineStr">
        <is>
          <t>sown over 12 acres, 3 quarters.</t>
        </is>
      </c>
      <c r="C233" t="n">
        <v>0</v>
      </c>
      <c r="D233" t="n">
        <v>0</v>
      </c>
      <c r="E233" t="n">
        <v>0</v>
      </c>
      <c r="F233" t="n">
        <v>0</v>
      </c>
      <c r="H233" t="n">
        <v>3</v>
      </c>
      <c r="I233" t="n">
        <v>0</v>
      </c>
      <c r="J233" t="n">
        <v>3</v>
      </c>
      <c r="K233" t="n">
        <v>3</v>
      </c>
      <c r="L233" t="n">
        <v>0</v>
      </c>
      <c r="M233" t="n">
        <v>3</v>
      </c>
      <c r="N233" t="n">
        <v>0</v>
      </c>
    </row>
    <row r="234">
      <c r="A234" t="inlineStr">
        <is>
          <t>vetches</t>
        </is>
      </c>
      <c r="B234" t="inlineStr">
        <is>
          <t>that is, 2 bushels an acre.</t>
        </is>
      </c>
      <c r="C234" t="n">
        <v>0</v>
      </c>
      <c r="D234" t="n">
        <v>0</v>
      </c>
      <c r="E234" t="n">
        <v>0</v>
      </c>
      <c r="F234" t="n">
        <v>0</v>
      </c>
      <c r="H234" t="n">
        <v>0</v>
      </c>
      <c r="I234" t="n">
        <v>2</v>
      </c>
      <c r="J234" t="n">
        <v>0.25</v>
      </c>
      <c r="K234" t="n">
        <v>0.25</v>
      </c>
      <c r="L234" t="n">
        <v>0</v>
      </c>
      <c r="M234" t="n">
        <v>0</v>
      </c>
      <c r="N234" t="n">
        <v>2</v>
      </c>
    </row>
    <row r="235">
      <c r="A235" t="inlineStr">
        <is>
          <t>vetches</t>
        </is>
      </c>
      <c r="B235" t="inlineStr">
        <is>
          <t>given to the lord's plough-horses and sheep, 2 quarters by estimation in husks.</t>
        </is>
      </c>
      <c r="C235" t="n">
        <v>0</v>
      </c>
      <c r="D235" t="n">
        <v>0</v>
      </c>
      <c r="E235" t="n">
        <v>0</v>
      </c>
      <c r="F235" t="n">
        <v>0</v>
      </c>
      <c r="H235" t="n">
        <v>2</v>
      </c>
      <c r="I235" t="n">
        <v>0</v>
      </c>
      <c r="J235" t="n">
        <v>2</v>
      </c>
      <c r="K235" t="n">
        <v>2</v>
      </c>
      <c r="L235" t="n">
        <v>0</v>
      </c>
      <c r="M235" t="n">
        <v>2</v>
      </c>
      <c r="N235" t="n">
        <v>0</v>
      </c>
    </row>
    <row r="236">
      <c r="A236" t="inlineStr">
        <is>
          <t>vetches</t>
        </is>
      </c>
      <c r="B236" t="inlineStr">
        <is>
          <t>given for carrying the lord's corn at harvest-time, 3 bushels.</t>
        </is>
      </c>
      <c r="C236" t="n">
        <v>0</v>
      </c>
      <c r="D236" t="n">
        <v>0</v>
      </c>
      <c r="E236" t="n">
        <v>0</v>
      </c>
      <c r="F236" t="n">
        <v>0</v>
      </c>
      <c r="H236" t="n">
        <v>0</v>
      </c>
      <c r="I236" t="n">
        <v>3</v>
      </c>
      <c r="J236" t="n">
        <v>0.38</v>
      </c>
      <c r="K236" t="n">
        <v>0.38</v>
      </c>
      <c r="L236" t="n">
        <v>0</v>
      </c>
      <c r="M236" t="n">
        <v>0</v>
      </c>
      <c r="N236" t="n">
        <v>3</v>
      </c>
    </row>
    <row r="237">
      <c r="A237" t="inlineStr">
        <is>
          <t>vetches</t>
        </is>
      </c>
      <c r="B237" t="inlineStr">
        <is>
          <t>sold within, 3 quarters 4 bushels.</t>
        </is>
      </c>
      <c r="C237" t="n">
        <v>0</v>
      </c>
      <c r="D237" t="n">
        <v>0</v>
      </c>
      <c r="E237" t="n">
        <v>0</v>
      </c>
      <c r="F237" t="n">
        <v>0</v>
      </c>
      <c r="H237" t="n">
        <v>3</v>
      </c>
      <c r="I237" t="n">
        <v>4</v>
      </c>
      <c r="J237" t="n">
        <v>3.5</v>
      </c>
      <c r="K237" t="n">
        <v>3.5</v>
      </c>
      <c r="L237" t="n">
        <v>0</v>
      </c>
      <c r="M237" t="n">
        <v>3</v>
      </c>
      <c r="N237" t="n">
        <v>4</v>
      </c>
    </row>
    <row r="238">
      <c r="A238" t="inlineStr">
        <is>
          <t>vetches</t>
        </is>
      </c>
      <c r="B238" t="inlineStr">
        <is>
          <t>total as before.</t>
        </is>
      </c>
      <c r="C238" t="n">
        <v>0</v>
      </c>
      <c r="D238" t="n">
        <v>0</v>
      </c>
      <c r="E238" t="n">
        <v>0</v>
      </c>
      <c r="F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vetches</t>
        </is>
      </c>
      <c r="B239" t="inlineStr">
        <is>
          <t>it balances.</t>
        </is>
      </c>
      <c r="C239" t="n">
        <v>0</v>
      </c>
      <c r="D239" t="n">
        <v>0</v>
      </c>
      <c r="E239" t="n">
        <v>0</v>
      </c>
      <c r="F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liveries of the manorial servants</t>
        </is>
      </c>
      <c r="B240" t="inlineStr">
        <is>
          <t>and for 45 quarters of barley received above for the liveries of the manorial servants..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barley</t>
        </is>
      </c>
      <c r="H240" t="n">
        <v>45</v>
      </c>
      <c r="I240" t="n">
        <v>0</v>
      </c>
      <c r="J240" t="n">
        <v>45</v>
      </c>
      <c r="K240" t="n">
        <v>45</v>
      </c>
      <c r="L240" t="n">
        <v>0</v>
      </c>
      <c r="M240" t="n">
        <v>45</v>
      </c>
      <c r="N240" t="n">
        <v>0</v>
      </c>
    </row>
    <row r="241">
      <c r="A241" t="inlineStr">
        <is>
          <t>liveries of the manorial servants</t>
        </is>
      </c>
      <c r="B241" t="inlineStr">
        <is>
          <t>total, 45 quarters.</t>
        </is>
      </c>
      <c r="C241" t="n">
        <v>0</v>
      </c>
      <c r="D241" t="n">
        <v>0</v>
      </c>
      <c r="E241" t="n">
        <v>0</v>
      </c>
      <c r="F241" t="n">
        <v>0</v>
      </c>
      <c r="H241" t="n">
        <v>45</v>
      </c>
      <c r="I241" t="n">
        <v>0</v>
      </c>
      <c r="J241" t="n">
        <v>45</v>
      </c>
      <c r="K241" t="n">
        <v>45</v>
      </c>
      <c r="L241" t="n">
        <v>0</v>
      </c>
      <c r="M241" t="n">
        <v>45</v>
      </c>
      <c r="N241" t="n">
        <v>0</v>
      </c>
    </row>
    <row r="242">
      <c r="A242" t="inlineStr">
        <is>
          <t>liveries of the manorial servants</t>
        </is>
      </c>
      <c r="B242" t="inlineStr">
        <is>
          <t>in liveries of 1 hayward, 1 carter, 1 oxherd, 2 drovers, 1 shepherd of wethers and 1 shepherd of ewes for the year, 36 quarters 2.5 bushels, each of whom takes a quarter every 10 weeks.</t>
        </is>
      </c>
      <c r="C242" t="n">
        <v>0</v>
      </c>
      <c r="D242" t="n">
        <v>0</v>
      </c>
      <c r="E242" t="n">
        <v>0</v>
      </c>
      <c r="F242" t="n">
        <v>0</v>
      </c>
      <c r="H242" t="n">
        <v>36</v>
      </c>
      <c r="I242" t="n">
        <v>2.5</v>
      </c>
      <c r="J242" t="n">
        <v>36.31</v>
      </c>
      <c r="K242" t="n">
        <v>36.31</v>
      </c>
      <c r="L242" t="n">
        <v>0</v>
      </c>
      <c r="M242" t="n">
        <v>36</v>
      </c>
      <c r="N242" t="n">
        <v>2.5</v>
      </c>
    </row>
    <row r="243">
      <c r="A243" t="inlineStr">
        <is>
          <t>liveries of the manorial servants</t>
        </is>
      </c>
      <c r="B243" t="inlineStr">
        <is>
          <t>livery of 1 shepherd of hoggs for the year, 5 quarters 1.5 bushels, taking a quarter as before.</t>
        </is>
      </c>
      <c r="C243" t="n">
        <v>0</v>
      </c>
      <c r="D243" t="n">
        <v>0</v>
      </c>
      <c r="E243" t="n">
        <v>0</v>
      </c>
      <c r="F243" t="n">
        <v>0</v>
      </c>
      <c r="H243" t="n">
        <v>5</v>
      </c>
      <c r="I243" t="n">
        <v>1.5</v>
      </c>
      <c r="J243" t="n">
        <v>5.19</v>
      </c>
      <c r="K243" t="n">
        <v>5.19</v>
      </c>
      <c r="L243" t="n">
        <v>0</v>
      </c>
      <c r="M243" t="n">
        <v>5</v>
      </c>
      <c r="N243" t="n">
        <v>1.5</v>
      </c>
    </row>
    <row r="244">
      <c r="A244" t="inlineStr">
        <is>
          <t>liveries of the manorial servants</t>
        </is>
      </c>
      <c r="B244" t="inlineStr">
        <is>
          <t>livery of 1 dairymaid for the year, 3 quarters 2 bushels, taking a quarter every 16 weeks.</t>
        </is>
      </c>
      <c r="C244" t="n">
        <v>0</v>
      </c>
      <c r="D244" t="n">
        <v>0</v>
      </c>
      <c r="E244" t="n">
        <v>0</v>
      </c>
      <c r="F244" t="n">
        <v>0</v>
      </c>
      <c r="H244" t="n">
        <v>3</v>
      </c>
      <c r="I244" t="n">
        <v>2</v>
      </c>
      <c r="J244" t="n">
        <v>3.25</v>
      </c>
      <c r="K244" t="n">
        <v>3.25</v>
      </c>
      <c r="L244" t="n">
        <v>0</v>
      </c>
      <c r="M244" t="n">
        <v>3</v>
      </c>
      <c r="N244" t="n">
        <v>2</v>
      </c>
    </row>
    <row r="245">
      <c r="A245" t="inlineStr">
        <is>
          <t>liveries of the manorial servants</t>
        </is>
      </c>
      <c r="B245" t="inlineStr">
        <is>
          <t>given to the manorial servant helping the shepherd of ewes at lambing-time, 2 bushels.</t>
        </is>
      </c>
      <c r="C245" t="n">
        <v>0</v>
      </c>
      <c r="D245" t="n">
        <v>0</v>
      </c>
      <c r="E245" t="n">
        <v>0</v>
      </c>
      <c r="F245" t="n">
        <v>0</v>
      </c>
      <c r="H245" t="n">
        <v>0</v>
      </c>
      <c r="I245" t="n">
        <v>2</v>
      </c>
      <c r="J245" t="n">
        <v>0.25</v>
      </c>
      <c r="K245" t="n">
        <v>0.25</v>
      </c>
      <c r="L245" t="n">
        <v>0</v>
      </c>
      <c r="M245" t="n">
        <v>0</v>
      </c>
      <c r="N245" t="n">
        <v>2</v>
      </c>
    </row>
    <row r="246">
      <c r="A246" t="inlineStr">
        <is>
          <t>liveries of the manorial servants</t>
        </is>
      </c>
      <c r="B246" t="inlineStr">
        <is>
          <t>total as before.</t>
        </is>
      </c>
      <c r="C246" t="n">
        <v>0</v>
      </c>
      <c r="D246" t="n">
        <v>0</v>
      </c>
      <c r="E246" t="n">
        <v>0</v>
      </c>
      <c r="F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liveries of the manorial servants</t>
        </is>
      </c>
      <c r="B247" t="inlineStr">
        <is>
          <t>it balances.</t>
        </is>
      </c>
      <c r="C247" t="n">
        <v>0</v>
      </c>
      <c r="D247" t="n">
        <v>0</v>
      </c>
      <c r="E247" t="n">
        <v>0</v>
      </c>
      <c r="F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stock</t>
        </is>
      </c>
      <c r="B248" t="inlineStr">
        <is>
          <t>plough-horses: 2 remain.</t>
        </is>
      </c>
      <c r="C248" t="n">
        <v>0</v>
      </c>
      <c r="D248" t="n">
        <v>0</v>
      </c>
      <c r="E248" t="n">
        <v>0</v>
      </c>
      <c r="F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stock</t>
        </is>
      </c>
      <c r="B249" t="inlineStr">
        <is>
          <t>oxen: 19 remain.</t>
        </is>
      </c>
      <c r="C249" t="n">
        <v>0</v>
      </c>
      <c r="D249" t="n">
        <v>0</v>
      </c>
      <c r="E249" t="n">
        <v>0</v>
      </c>
      <c r="F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stock</t>
        </is>
      </c>
      <c r="B250" t="inlineStr">
        <is>
          <t>1 added from steers below.</t>
        </is>
      </c>
      <c r="C250" t="n">
        <v>0</v>
      </c>
      <c r="D250" t="n">
        <v>0</v>
      </c>
      <c r="E250" t="n">
        <v>0</v>
      </c>
      <c r="F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stock</t>
        </is>
      </c>
      <c r="B251" t="inlineStr">
        <is>
          <t>2 bought within.</t>
        </is>
      </c>
      <c r="C251" t="n">
        <v>0</v>
      </c>
      <c r="D251" t="n">
        <v>0</v>
      </c>
      <c r="E251" t="n">
        <v>0</v>
      </c>
      <c r="F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stock</t>
        </is>
      </c>
      <c r="B252" t="inlineStr">
        <is>
          <t>total, 22. 3 sold within.</t>
        </is>
      </c>
      <c r="C252" t="n">
        <v>0</v>
      </c>
      <c r="D252" t="n">
        <v>0</v>
      </c>
      <c r="E252" t="n">
        <v>0</v>
      </c>
      <c r="F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stock</t>
        </is>
      </c>
      <c r="B253" t="inlineStr">
        <is>
          <t>19 remain.</t>
        </is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stock</t>
        </is>
      </c>
      <c r="B254" t="inlineStr">
        <is>
          <t>cows: 2 remain.</t>
        </is>
      </c>
      <c r="C254" t="n">
        <v>0</v>
      </c>
      <c r="D254" t="n">
        <v>0</v>
      </c>
      <c r="E254" t="n">
        <v>0</v>
      </c>
      <c r="F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stock</t>
        </is>
      </c>
      <c r="B255" t="inlineStr">
        <is>
          <t>steers: 2 remain from the bullocks.</t>
        </is>
      </c>
      <c r="C255" t="n">
        <v>0</v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stock</t>
        </is>
      </c>
      <c r="B256" t="inlineStr">
        <is>
          <t>total, 2. 1 added above to oxen.</t>
        </is>
      </c>
      <c r="C256" t="n">
        <v>0</v>
      </c>
      <c r="D256" t="n">
        <v>0</v>
      </c>
      <c r="E256" t="n">
        <v>0</v>
      </c>
      <c r="F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stock</t>
        </is>
      </c>
      <c r="B257" t="inlineStr">
        <is>
          <t>1 sold within because useless for the lord's stock.</t>
        </is>
      </c>
      <c r="C257" t="n">
        <v>0</v>
      </c>
      <c r="D257" t="n">
        <v>0</v>
      </c>
      <c r="E257" t="n">
        <v>0</v>
      </c>
      <c r="F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stock</t>
        </is>
      </c>
      <c r="B258" t="inlineStr">
        <is>
          <t>total as before.</t>
        </is>
      </c>
      <c r="C258" t="n">
        <v>0</v>
      </c>
      <c r="D258" t="n">
        <v>0</v>
      </c>
      <c r="E258" t="n">
        <v>0</v>
      </c>
      <c r="F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stock</t>
        </is>
      </c>
      <c r="B259" t="inlineStr">
        <is>
          <t>none remain.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stock</t>
        </is>
      </c>
      <c r="B260" t="inlineStr">
        <is>
          <t>bullocks: 2 remain from the yearlings.</t>
        </is>
      </c>
      <c r="C260" t="n">
        <v>0</v>
      </c>
      <c r="D260" t="n">
        <v>0</v>
      </c>
      <c r="E260" t="n">
        <v>0</v>
      </c>
      <c r="F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stock</t>
        </is>
      </c>
      <c r="B261" t="inlineStr">
        <is>
          <t>2 remain.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stock</t>
        </is>
      </c>
      <c r="B262" t="inlineStr">
        <is>
          <t>yearlings: 2 remain from the calves.</t>
        </is>
      </c>
      <c r="C262" t="n">
        <v>0</v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stock</t>
        </is>
      </c>
      <c r="B264" t="inlineStr">
        <is>
          <t>calves: 2 from the offspring of the said cows.</t>
        </is>
      </c>
      <c r="C264" t="n">
        <v>0</v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stock</t>
        </is>
      </c>
      <c r="B265" t="inlineStr">
        <is>
          <t>2 remain.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stock</t>
        </is>
      </c>
      <c r="B266" t="inlineStr">
        <is>
          <t>wethers: 354 remain.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stock</t>
        </is>
      </c>
      <c r="B267" t="inlineStr">
        <is>
          <t>101 added from hoggs below after shearing.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stock</t>
        </is>
      </c>
      <c r="B268" t="inlineStr">
        <is>
          <t>total, 455. 11 in murrain before shearing, 7 after shearing.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stock</t>
        </is>
      </c>
      <c r="B269" t="inlineStr">
        <is>
          <t>2 in customary payment to the customary tenants after shearing for mowing the lord's meadow.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stock</t>
        </is>
      </c>
      <c r="B270" t="inlineStr">
        <is>
          <t>35 kebbs sold within before shearing.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stock</t>
        </is>
      </c>
      <c r="B271" t="inlineStr">
        <is>
          <t>total, 55. 400 remain.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stock</t>
        </is>
      </c>
      <c r="B272" t="inlineStr">
        <is>
          <t>rams: 9 remain.</t>
        </is>
      </c>
      <c r="C272" t="n">
        <v>0</v>
      </c>
      <c r="D272" t="n">
        <v>0</v>
      </c>
      <c r="E272" t="n">
        <v>0</v>
      </c>
      <c r="F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stock</t>
        </is>
      </c>
      <c r="B273" t="inlineStr">
        <is>
          <t>total, 9. 1 sold within before shearing.</t>
        </is>
      </c>
      <c r="C273" t="n">
        <v>0</v>
      </c>
      <c r="D273" t="n">
        <v>0</v>
      </c>
      <c r="E273" t="n">
        <v>0</v>
      </c>
      <c r="F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stock</t>
        </is>
      </c>
      <c r="B274" t="inlineStr">
        <is>
          <t>8 remain.</t>
        </is>
      </c>
      <c r="C274" t="n">
        <v>0</v>
      </c>
      <c r="D274" t="n">
        <v>0</v>
      </c>
      <c r="E274" t="n">
        <v>0</v>
      </c>
      <c r="F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stock</t>
        </is>
      </c>
      <c r="B275" t="inlineStr">
        <is>
          <t>ewes: 315 remain.</t>
        </is>
      </c>
      <c r="C275" t="n">
        <v>0</v>
      </c>
      <c r="D275" t="n">
        <v>0</v>
      </c>
      <c r="E275" t="n">
        <v>0</v>
      </c>
      <c r="F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stock</t>
        </is>
      </c>
      <c r="B276" t="inlineStr">
        <is>
          <t>90 added from hoggs below after shearing.</t>
        </is>
      </c>
      <c r="C276" t="n">
        <v>0</v>
      </c>
      <c r="D276" t="n">
        <v>0</v>
      </c>
      <c r="E276" t="n">
        <v>0</v>
      </c>
      <c r="F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stock</t>
        </is>
      </c>
      <c r="B277" t="inlineStr">
        <is>
          <t>1 from the heriot of walter pynnok' before shearing.</t>
        </is>
      </c>
      <c r="C277" t="n">
        <v>0</v>
      </c>
      <c r="D277" t="n">
        <v>0</v>
      </c>
      <c r="E277" t="n">
        <v>0</v>
      </c>
      <c r="F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stock</t>
        </is>
      </c>
      <c r="B278" t="inlineStr">
        <is>
          <t>1 from the heriot of john godishalfe after shearing.</t>
        </is>
      </c>
      <c r="C278" t="n">
        <v>0</v>
      </c>
      <c r="D278" t="n">
        <v>0</v>
      </c>
      <c r="E278" t="n">
        <v>0</v>
      </c>
      <c r="F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stock</t>
        </is>
      </c>
      <c r="B279" t="inlineStr">
        <is>
          <t>total, 407. 11 in murrain before shearing and lambing.</t>
        </is>
      </c>
      <c r="C279" t="n">
        <v>0</v>
      </c>
      <c r="D279" t="n">
        <v>0</v>
      </c>
      <c r="E279" t="n">
        <v>0</v>
      </c>
      <c r="F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stock</t>
        </is>
      </c>
      <c r="B280" t="inlineStr">
        <is>
          <t>7 in murrain after shearing.</t>
        </is>
      </c>
      <c r="C280" t="n">
        <v>0</v>
      </c>
      <c r="D280" t="n">
        <v>0</v>
      </c>
      <c r="E280" t="n">
        <v>0</v>
      </c>
      <c r="F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stock</t>
        </is>
      </c>
      <c r="B281" t="inlineStr">
        <is>
          <t>55 kebbs sold within before shearing.</t>
        </is>
      </c>
      <c r="C281" t="n">
        <v>0</v>
      </c>
      <c r="D281" t="n">
        <v>0</v>
      </c>
      <c r="E281" t="n">
        <v>0</v>
      </c>
      <c r="F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stock</t>
        </is>
      </c>
      <c r="B282" t="inlineStr">
        <is>
          <t>total, 73. 334 remain.</t>
        </is>
      </c>
      <c r="C282" t="n">
        <v>0</v>
      </c>
      <c r="D282" t="n">
        <v>0</v>
      </c>
      <c r="E282" t="n">
        <v>0</v>
      </c>
      <c r="F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stock</t>
        </is>
      </c>
      <c r="B283" t="inlineStr">
        <is>
          <t>hoggs: 196 remain from the lambs.</t>
        </is>
      </c>
      <c r="C283" t="n">
        <v>0</v>
      </c>
      <c r="D283" t="n">
        <v>0</v>
      </c>
      <c r="E283" t="n">
        <v>0</v>
      </c>
      <c r="F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stock</t>
        </is>
      </c>
      <c r="B284" t="inlineStr">
        <is>
          <t>total, 196. 5 in murrain before shearing.</t>
        </is>
      </c>
      <c r="C284" t="n">
        <v>0</v>
      </c>
      <c r="D284" t="n">
        <v>0</v>
      </c>
      <c r="E284" t="n">
        <v>0</v>
      </c>
      <c r="F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stock</t>
        </is>
      </c>
      <c r="B285" t="inlineStr">
        <is>
          <t>101 added above to wethers and 90 to ewes after shearing.</t>
        </is>
      </c>
      <c r="C285" t="n">
        <v>0</v>
      </c>
      <c r="D285" t="n">
        <v>0</v>
      </c>
      <c r="E285" t="n">
        <v>0</v>
      </c>
      <c r="F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stock</t>
        </is>
      </c>
      <c r="B286" t="inlineStr">
        <is>
          <t>total as before.</t>
        </is>
      </c>
      <c r="C286" t="n">
        <v>0</v>
      </c>
      <c r="D286" t="n">
        <v>0</v>
      </c>
      <c r="E286" t="n">
        <v>0</v>
      </c>
      <c r="F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stock</t>
        </is>
      </c>
      <c r="B288" t="inlineStr">
        <is>
          <t>lambs: 246 from the offspring of the said ewes and not more because 11 ewes died before lambing and 58 were sterile this year.</t>
        </is>
      </c>
      <c r="C288" t="n">
        <v>0</v>
      </c>
      <c r="D288" t="n">
        <v>0</v>
      </c>
      <c r="E288" t="n">
        <v>0</v>
      </c>
      <c r="F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stock</t>
        </is>
      </c>
      <c r="B289" t="inlineStr">
        <is>
          <t>23 bought within before shearing.</t>
        </is>
      </c>
      <c r="C289" t="n">
        <v>0</v>
      </c>
      <c r="D289" t="n">
        <v>0</v>
      </c>
      <c r="E289" t="n">
        <v>0</v>
      </c>
      <c r="F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stock</t>
        </is>
      </c>
      <c r="B290" t="inlineStr">
        <is>
          <t>total, 269. 17 in murrain before weaning.</t>
        </is>
      </c>
      <c r="C290" t="n">
        <v>0</v>
      </c>
      <c r="D290" t="n">
        <v>0</v>
      </c>
      <c r="E290" t="n">
        <v>0</v>
      </c>
      <c r="F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stock</t>
        </is>
      </c>
      <c r="B291" t="inlineStr">
        <is>
          <t>23 in tithe.</t>
        </is>
      </c>
      <c r="C291" t="n">
        <v>0</v>
      </c>
      <c r="D291" t="n">
        <v>0</v>
      </c>
      <c r="E291" t="n">
        <v>0</v>
      </c>
      <c r="F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stock</t>
        </is>
      </c>
      <c r="B292" t="inlineStr">
        <is>
          <t>3 in customary payment to the reeve, smith and shepherd of ewes before shearing.</t>
        </is>
      </c>
      <c r="C292" t="n">
        <v>0</v>
      </c>
      <c r="D292" t="n">
        <v>0</v>
      </c>
      <c r="E292" t="n">
        <v>0</v>
      </c>
      <c r="F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stock</t>
        </is>
      </c>
      <c r="B293" t="inlineStr">
        <is>
          <t>4 in murrain after weaning and before shearing.</t>
        </is>
      </c>
      <c r="C293" t="n">
        <v>0</v>
      </c>
      <c r="D293" t="n">
        <v>0</v>
      </c>
      <c r="E293" t="n">
        <v>0</v>
      </c>
      <c r="F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stock</t>
        </is>
      </c>
      <c r="B294" t="inlineStr">
        <is>
          <t>' 16 removed from stock and sold within before shearing.</t>
        </is>
      </c>
      <c r="C294" t="n">
        <v>0</v>
      </c>
      <c r="D294" t="n">
        <v>0</v>
      </c>
      <c r="E294" t="n">
        <v>0</v>
      </c>
      <c r="F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stock</t>
        </is>
      </c>
      <c r="B295" t="inlineStr">
        <is>
          <t>total, 65. 204 remain.</t>
        </is>
      </c>
      <c r="C295" t="n">
        <v>0</v>
      </c>
      <c r="D295" t="n">
        <v>0</v>
      </c>
      <c r="E295" t="n">
        <v>0</v>
      </c>
      <c r="F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stock</t>
        </is>
      </c>
      <c r="B296" t="inlineStr">
        <is>
          <t>coarse wool: 318 fleeces from wethers, 8 from rams, 250 from ewes and 191 from hoggs produced at the shearing this year.</t>
        </is>
      </c>
      <c r="C296" t="n">
        <v>0</v>
      </c>
      <c r="D296" t="n">
        <v>0</v>
      </c>
      <c r="E296" t="n">
        <v>0</v>
      </c>
      <c r="F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stock</t>
        </is>
      </c>
      <c r="B297" t="inlineStr">
        <is>
          <t>total, 757.2 76 in tithe.</t>
        </is>
      </c>
      <c r="C297" t="n">
        <v>0</v>
      </c>
      <c r="D297" t="n">
        <v>0</v>
      </c>
      <c r="E297" t="n">
        <v>0</v>
      </c>
      <c r="F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stock</t>
        </is>
      </c>
      <c r="B298" t="inlineStr">
        <is>
          <t>2 given to the shepherd of wethers and shepherd of ewes.</t>
        </is>
      </c>
      <c r="C298" t="n">
        <v>0</v>
      </c>
      <c r="D298" t="n">
        <v>0</v>
      </c>
      <c r="E298" t="n">
        <v>0</v>
      </c>
      <c r="F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stock</t>
        </is>
      </c>
      <c r="B299" t="inlineStr">
        <is>
          <t>679 delivered to john arnold', receiver of wolvesey, weighing 2 sacks 29 cloves, answering for an average of 1.375 lb a fleece, plus 1 lb in all.</t>
        </is>
      </c>
      <c r="C299" t="n">
        <v>0</v>
      </c>
      <c r="D299" t="n">
        <v>0</v>
      </c>
      <c r="E299" t="n">
        <v>0</v>
      </c>
      <c r="F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stock</t>
        </is>
      </c>
      <c r="B300" t="inlineStr">
        <is>
          <t>total as before.</t>
        </is>
      </c>
      <c r="C300" t="n">
        <v>0</v>
      </c>
      <c r="D300" t="n">
        <v>0</v>
      </c>
      <c r="E300" t="n">
        <v>0</v>
      </c>
      <c r="F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stock</t>
        </is>
      </c>
      <c r="B301" t="inlineStr">
        <is>
          <t>none remains.</t>
        </is>
      </c>
      <c r="C301" t="n">
        <v>0</v>
      </c>
      <c r="D301" t="n">
        <v>0</v>
      </c>
      <c r="E301" t="n">
        <v>0</v>
      </c>
      <c r="F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stock</t>
        </is>
      </c>
      <c r="B302" t="inlineStr">
        <is>
          <t>lamb's-wool: 208 fleeces from lambs produced at the shearing this year.</t>
        </is>
      </c>
      <c r="C302" t="n">
        <v>0</v>
      </c>
      <c r="D302" t="n">
        <v>0</v>
      </c>
      <c r="E302" t="n">
        <v>0</v>
      </c>
      <c r="F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stock</t>
        </is>
      </c>
      <c r="B303" t="inlineStr">
        <is>
          <t>all sold within, weighing 10 cloves.</t>
        </is>
      </c>
      <c r="C303" t="n">
        <v>0</v>
      </c>
      <c r="D303" t="n">
        <v>0</v>
      </c>
      <c r="E303" t="n">
        <v>0</v>
      </c>
      <c r="F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stock</t>
        </is>
      </c>
      <c r="B304" t="inlineStr">
        <is>
          <t>none remains.</t>
        </is>
      </c>
      <c r="C304" t="n">
        <v>0</v>
      </c>
      <c r="D304" t="n">
        <v>0</v>
      </c>
      <c r="E304" t="n">
        <v>0</v>
      </c>
      <c r="F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stock</t>
        </is>
      </c>
      <c r="B305" t="inlineStr">
        <is>
          <t>wool locks: 3 lb imposed on the shepherds at the shearing this year.</t>
        </is>
      </c>
      <c r="C305" t="n">
        <v>0</v>
      </c>
      <c r="D305" t="n">
        <v>0</v>
      </c>
      <c r="E305" t="n">
        <v>0</v>
      </c>
      <c r="F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stock</t>
        </is>
      </c>
      <c r="B306" t="inlineStr">
        <is>
          <t>sold within.</t>
        </is>
      </c>
      <c r="C306" t="n">
        <v>0</v>
      </c>
      <c r="D306" t="n">
        <v>0</v>
      </c>
      <c r="E306" t="n">
        <v>0</v>
      </c>
      <c r="F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stock</t>
        </is>
      </c>
      <c r="B307" t="inlineStr">
        <is>
          <t>none remain.</t>
        </is>
      </c>
      <c r="C307" t="n">
        <v>0</v>
      </c>
      <c r="D307" t="n">
        <v>0</v>
      </c>
      <c r="E307" t="n">
        <v>0</v>
      </c>
      <c r="F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stock</t>
        </is>
      </c>
      <c r="B308" t="inlineStr">
        <is>
          <t>woolskins: 11 from wethers, 11 from ewes and 5 from hoggs in common murrain before shearing.</t>
        </is>
      </c>
      <c r="C308" t="n">
        <v>0</v>
      </c>
      <c r="D308" t="n">
        <v>0</v>
      </c>
      <c r="E308" t="n">
        <v>0</v>
      </c>
      <c r="F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stock</t>
        </is>
      </c>
      <c r="B309" t="inlineStr">
        <is>
          <t>total, 27. 3 in tithe.</t>
        </is>
      </c>
      <c r="C309" t="n">
        <v>0</v>
      </c>
      <c r="D309" t="n">
        <v>0</v>
      </c>
      <c r="E309" t="n">
        <v>0</v>
      </c>
      <c r="F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stock</t>
        </is>
      </c>
      <c r="B310" t="inlineStr">
        <is>
          <t>24 sold within.</t>
        </is>
      </c>
      <c r="C310" t="n">
        <v>0</v>
      </c>
      <c r="D310" t="n">
        <v>0</v>
      </c>
      <c r="E310" t="n">
        <v>0</v>
      </c>
      <c r="F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stock</t>
        </is>
      </c>
      <c r="B311" t="inlineStr">
        <is>
          <t>total as before.</t>
        </is>
      </c>
      <c r="C311" t="n">
        <v>0</v>
      </c>
      <c r="D311" t="n">
        <v>0</v>
      </c>
      <c r="E311" t="n">
        <v>0</v>
      </c>
      <c r="F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stock</t>
        </is>
      </c>
      <c r="B312" t="inlineStr">
        <is>
          <t>none remain.</t>
        </is>
      </c>
      <c r="C312" t="n">
        <v>0</v>
      </c>
      <c r="D312" t="n">
        <v>0</v>
      </c>
      <c r="E312" t="n">
        <v>0</v>
      </c>
      <c r="F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stock</t>
        </is>
      </c>
      <c r="B313" t="inlineStr">
        <is>
          <t>bare skins: 7 from wethers and 7 from ewes in murrain as made clear above.</t>
        </is>
      </c>
      <c r="C313" t="n">
        <v>0</v>
      </c>
      <c r="D313" t="n">
        <v>0</v>
      </c>
      <c r="E313" t="n">
        <v>0</v>
      </c>
      <c r="F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stock</t>
        </is>
      </c>
      <c r="B314" t="inlineStr">
        <is>
          <t>sold within.</t>
        </is>
      </c>
      <c r="C314" t="n">
        <v>0</v>
      </c>
      <c r="D314" t="n">
        <v>0</v>
      </c>
      <c r="E314" t="n">
        <v>0</v>
      </c>
      <c r="F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stock</t>
        </is>
      </c>
      <c r="B315" t="inlineStr">
        <is>
          <t>none remain.</t>
        </is>
      </c>
      <c r="C315" t="n">
        <v>0</v>
      </c>
      <c r="D315" t="n">
        <v>0</v>
      </c>
      <c r="E315" t="n">
        <v>0</v>
      </c>
      <c r="F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stock</t>
        </is>
      </c>
      <c r="B316" t="inlineStr">
        <is>
          <t>lambskins: 17 from lambs in murrain before weaning as made clear above.</t>
        </is>
      </c>
      <c r="C316" t="n">
        <v>0</v>
      </c>
      <c r="D316" t="n">
        <v>0</v>
      </c>
      <c r="E316" t="n">
        <v>0</v>
      </c>
      <c r="F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stock</t>
        </is>
      </c>
      <c r="B317" t="inlineStr">
        <is>
          <t>total, 17. 2 in tithe.</t>
        </is>
      </c>
      <c r="C317" t="n">
        <v>0</v>
      </c>
      <c r="D317" t="n">
        <v>0</v>
      </c>
      <c r="E317" t="n">
        <v>0</v>
      </c>
      <c r="F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stock</t>
        </is>
      </c>
      <c r="B318" t="inlineStr">
        <is>
          <t>15 sold within.</t>
        </is>
      </c>
      <c r="C318" t="n">
        <v>0</v>
      </c>
      <c r="D318" t="n">
        <v>0</v>
      </c>
      <c r="E318" t="n">
        <v>0</v>
      </c>
      <c r="F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stock</t>
        </is>
      </c>
      <c r="B319" t="inlineStr">
        <is>
          <t>total as before.</t>
        </is>
      </c>
      <c r="C319" t="n">
        <v>0</v>
      </c>
      <c r="D319" t="n">
        <v>0</v>
      </c>
      <c r="E319" t="n">
        <v>0</v>
      </c>
      <c r="F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stock</t>
        </is>
      </c>
      <c r="B320" t="inlineStr">
        <is>
          <t>none remain.</t>
        </is>
      </c>
      <c r="C320" t="n">
        <v>0</v>
      </c>
      <c r="D320" t="n">
        <v>0</v>
      </c>
      <c r="E320" t="n">
        <v>0</v>
      </c>
      <c r="F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stock</t>
        </is>
      </c>
      <c r="B321" t="inlineStr">
        <is>
          <t>rotted skins: 2 from lambs in murrain after weaning and before shearing as made clear above.</t>
        </is>
      </c>
      <c r="C321" t="n">
        <v>0</v>
      </c>
      <c r="D321" t="n">
        <v>0</v>
      </c>
      <c r="E321" t="n">
        <v>0</v>
      </c>
      <c r="F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stock</t>
        </is>
      </c>
      <c r="B322" t="inlineStr">
        <is>
          <t>sold within.</t>
        </is>
      </c>
      <c r="C322" t="n">
        <v>0</v>
      </c>
      <c r="D322" t="n">
        <v>0</v>
      </c>
      <c r="E322" t="n">
        <v>0</v>
      </c>
      <c r="F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stock</t>
        </is>
      </c>
      <c r="B323" t="inlineStr">
        <is>
          <t>none remain.</t>
        </is>
      </c>
      <c r="C323" t="n">
        <v>0</v>
      </c>
      <c r="D323" t="n">
        <v>0</v>
      </c>
      <c r="E323" t="n">
        <v>0</v>
      </c>
      <c r="F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stock</t>
        </is>
      </c>
      <c r="B324" t="inlineStr">
        <is>
          <t>shorn skins: 4 from lambs in murrain after shearing as made clear above.</t>
        </is>
      </c>
      <c r="C324" t="n">
        <v>0</v>
      </c>
      <c r="D324" t="n">
        <v>0</v>
      </c>
      <c r="E324" t="n">
        <v>0</v>
      </c>
      <c r="F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stock</t>
        </is>
      </c>
      <c r="B325" t="inlineStr">
        <is>
          <t>sold within.</t>
        </is>
      </c>
      <c r="C325" t="n">
        <v>0</v>
      </c>
      <c r="D325" t="n">
        <v>0</v>
      </c>
      <c r="E325" t="n">
        <v>0</v>
      </c>
      <c r="F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stock</t>
        </is>
      </c>
      <c r="B326" t="inlineStr">
        <is>
          <t>none remain.</t>
        </is>
      </c>
      <c r="C326" t="n">
        <v>0</v>
      </c>
      <c r="D326" t="n">
        <v>0</v>
      </c>
      <c r="E326" t="n">
        <v>0</v>
      </c>
      <c r="F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stock</t>
        </is>
      </c>
      <c r="B327" t="inlineStr">
        <is>
          <t>geese: 1 gander and 4 breeding geese remain.</t>
        </is>
      </c>
      <c r="C327" t="n">
        <v>0</v>
      </c>
      <c r="D327" t="n">
        <v>0</v>
      </c>
      <c r="E327" t="n">
        <v>0</v>
      </c>
      <c r="F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stock</t>
        </is>
      </c>
      <c r="B328" t="inlineStr">
        <is>
          <t>24 offspring.</t>
        </is>
      </c>
      <c r="C328" t="n">
        <v>0</v>
      </c>
      <c r="D328" t="n">
        <v>0</v>
      </c>
      <c r="E328" t="n">
        <v>0</v>
      </c>
      <c r="F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stock</t>
        </is>
      </c>
      <c r="B329" t="inlineStr">
        <is>
          <t>total, 29. 2 in tithe.</t>
        </is>
      </c>
      <c r="C329" t="n">
        <v>0</v>
      </c>
      <c r="D329" t="n">
        <v>0</v>
      </c>
      <c r="E329" t="n">
        <v>0</v>
      </c>
      <c r="F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stock</t>
        </is>
      </c>
      <c r="B330" t="inlineStr">
        <is>
          <t>22 sold within.</t>
        </is>
      </c>
      <c r="C330" t="n">
        <v>0</v>
      </c>
      <c r="D330" t="n">
        <v>0</v>
      </c>
      <c r="E330" t="n">
        <v>0</v>
      </c>
      <c r="F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stock</t>
        </is>
      </c>
      <c r="B331" t="inlineStr">
        <is>
          <t>total, 24. 1 gander and 4 breeding geese remain.</t>
        </is>
      </c>
      <c r="C331" t="n">
        <v>0</v>
      </c>
      <c r="D331" t="n">
        <v>0</v>
      </c>
      <c r="E331" t="n">
        <v>0</v>
      </c>
      <c r="F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stock</t>
        </is>
      </c>
      <c r="B332" t="inlineStr">
        <is>
          <t>capons: 24 remain.</t>
        </is>
      </c>
      <c r="C332" t="n">
        <v>0</v>
      </c>
      <c r="D332" t="n">
        <v>0</v>
      </c>
      <c r="E332" t="n">
        <v>0</v>
      </c>
      <c r="F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stock</t>
        </is>
      </c>
      <c r="B333" t="inlineStr">
        <is>
          <t>24 made from the chickens below.</t>
        </is>
      </c>
      <c r="C333" t="n">
        <v>0</v>
      </c>
      <c r="D333" t="n">
        <v>0</v>
      </c>
      <c r="E333" t="n">
        <v>0</v>
      </c>
      <c r="F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stock</t>
        </is>
      </c>
      <c r="B334" t="inlineStr">
        <is>
          <t>total, 48. 24 sold within.</t>
        </is>
      </c>
      <c r="C334" t="n">
        <v>0</v>
      </c>
      <c r="D334" t="n">
        <v>0</v>
      </c>
      <c r="E334" t="n">
        <v>0</v>
      </c>
      <c r="F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stock</t>
        </is>
      </c>
      <c r="B335" t="inlineStr">
        <is>
          <t>total, 24. 24 remain.</t>
        </is>
      </c>
      <c r="C335" t="n">
        <v>0</v>
      </c>
      <c r="D335" t="n">
        <v>0</v>
      </c>
      <c r="E335" t="n">
        <v>0</v>
      </c>
      <c r="F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stock</t>
        </is>
      </c>
      <c r="B336" t="inlineStr">
        <is>
          <t>cocks and hens: 1 cock and 5 hens remain.</t>
        </is>
      </c>
      <c r="C336" t="n">
        <v>0</v>
      </c>
      <c r="D336" t="n">
        <v>0</v>
      </c>
      <c r="E336" t="n">
        <v>0</v>
      </c>
      <c r="F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stock</t>
        </is>
      </c>
      <c r="B337" t="inlineStr">
        <is>
          <t>chickens: 24 from the offspring of the hens.</t>
        </is>
      </c>
      <c r="C337" t="n">
        <v>0</v>
      </c>
      <c r="D337" t="n">
        <v>0</v>
      </c>
      <c r="E337" t="n">
        <v>0</v>
      </c>
      <c r="F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stock</t>
        </is>
      </c>
      <c r="B338" t="inlineStr">
        <is>
          <t>all turned into capons above.</t>
        </is>
      </c>
      <c r="C338" t="n">
        <v>0</v>
      </c>
      <c r="D338" t="n">
        <v>0</v>
      </c>
      <c r="E338" t="n">
        <v>0</v>
      </c>
      <c r="F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stock</t>
        </is>
      </c>
      <c r="B339" t="inlineStr">
        <is>
          <t>none remain.</t>
        </is>
      </c>
      <c r="C339" t="n">
        <v>0</v>
      </c>
      <c r="D339" t="n">
        <v>0</v>
      </c>
      <c r="E339" t="n">
        <v>0</v>
      </c>
      <c r="F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stock</t>
        </is>
      </c>
      <c r="B340" t="inlineStr">
        <is>
          <t>eggs: 200 produced by the said hens.</t>
        </is>
      </c>
      <c r="C340" t="n">
        <v>0</v>
      </c>
      <c r="D340" t="n">
        <v>0</v>
      </c>
      <c r="E340" t="n">
        <v>0</v>
      </c>
      <c r="F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stock</t>
        </is>
      </c>
      <c r="B341" t="inlineStr">
        <is>
          <t>sold within.</t>
        </is>
      </c>
      <c r="C341" t="n">
        <v>0</v>
      </c>
      <c r="D341" t="n">
        <v>0</v>
      </c>
      <c r="E341" t="n">
        <v>0</v>
      </c>
      <c r="F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stock</t>
        </is>
      </c>
      <c r="B342" t="inlineStr">
        <is>
          <t>none remain.</t>
        </is>
      </c>
      <c r="C342" t="n">
        <v>0</v>
      </c>
      <c r="D342" t="n">
        <v>0</v>
      </c>
      <c r="E342" t="n">
        <v>0</v>
      </c>
      <c r="F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stock</t>
        </is>
      </c>
      <c r="B343" t="inlineStr">
        <is>
          <t>cocks and hens: 88 from the churchscot of the customary tenants at martinmas.</t>
        </is>
      </c>
      <c r="C343" t="n">
        <v>0</v>
      </c>
      <c r="D343" t="n">
        <v>0</v>
      </c>
      <c r="E343" t="n">
        <v>0</v>
      </c>
      <c r="F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stock</t>
        </is>
      </c>
      <c r="B344" t="inlineStr">
        <is>
          <t>total, 88. 8 in default of 1 half-virgate of land released to john danyel.</t>
        </is>
      </c>
      <c r="C344" t="n">
        <v>0</v>
      </c>
      <c r="D344" t="n">
        <v>0</v>
      </c>
      <c r="E344" t="n">
        <v>0</v>
      </c>
      <c r="F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stock</t>
        </is>
      </c>
      <c r="B345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345" t="n">
        <v>0</v>
      </c>
      <c r="D345" t="n">
        <v>0</v>
      </c>
      <c r="E345" t="n">
        <v>0</v>
      </c>
      <c r="F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stock</t>
        </is>
      </c>
      <c r="B346" t="inlineStr">
        <is>
          <t>8 in default of 1 half-virgate of land formerly of hugh durant and 1 half-virgate of land formerly of john apert because in the lord's hands.</t>
        </is>
      </c>
      <c r="C346" t="n">
        <v>0</v>
      </c>
      <c r="D346" t="n">
        <v>0</v>
      </c>
      <c r="E346" t="n">
        <v>0</v>
      </c>
      <c r="F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stock</t>
        </is>
      </c>
      <c r="B347" t="inlineStr">
        <is>
          <t>4 in default of 1 cottage recently of alice thomelyns and 1 cottage recently of alice malkyns.</t>
        </is>
      </c>
      <c r="C347" t="n">
        <v>0</v>
      </c>
      <c r="D347" t="n">
        <v>0</v>
      </c>
      <c r="E347" t="n">
        <v>0</v>
      </c>
      <c r="F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stock</t>
        </is>
      </c>
      <c r="B348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348" t="n">
        <v>0</v>
      </c>
      <c r="D348" t="n">
        <v>0</v>
      </c>
      <c r="E348" t="n">
        <v>0</v>
      </c>
      <c r="F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stock</t>
        </is>
      </c>
      <c r="B349" t="inlineStr">
        <is>
          <t>4 in default of the churchscot of robert pynnok' and john chobbe because widowers.</t>
        </is>
      </c>
      <c r="C349" t="n">
        <v>0</v>
      </c>
      <c r="D349" t="n">
        <v>0</v>
      </c>
      <c r="E349" t="n">
        <v>0</v>
      </c>
      <c r="F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stock</t>
        </is>
      </c>
      <c r="B350" t="inlineStr">
        <is>
          <t>28 sold within.</t>
        </is>
      </c>
      <c r="C350" t="n">
        <v>0</v>
      </c>
      <c r="D350" t="n">
        <v>0</v>
      </c>
      <c r="E350" t="n">
        <v>0</v>
      </c>
      <c r="F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stock</t>
        </is>
      </c>
      <c r="B351" t="inlineStr">
        <is>
          <t>total as before.</t>
        </is>
      </c>
      <c r="C351" t="n">
        <v>0</v>
      </c>
      <c r="D351" t="n">
        <v>0</v>
      </c>
      <c r="E351" t="n">
        <v>0</v>
      </c>
      <c r="F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stock</t>
        </is>
      </c>
      <c r="B352" t="inlineStr">
        <is>
          <t>it balances.</t>
        </is>
      </c>
      <c r="C352" t="n">
        <v>0</v>
      </c>
      <c r="D352" t="n">
        <v>0</v>
      </c>
      <c r="E352" t="n">
        <v>0</v>
      </c>
      <c r="F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stock</t>
        </is>
      </c>
      <c r="B353" t="inlineStr">
        <is>
          <t>labour services: the labour services of the customary tenants are to be found in the pipe roll for the first year of the translation of henry beaufort'.</t>
        </is>
      </c>
      <c r="C353" t="n">
        <v>0</v>
      </c>
      <c r="D353" t="n">
        <v>0</v>
      </c>
      <c r="E353" t="n">
        <v>0</v>
      </c>
      <c r="F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stock</t>
        </is>
      </c>
      <c r="B354" t="inlineStr">
        <is>
          <t>utensils: 2 ploughs, 2 coulters, 2 ploughshares, 2 iron plough shoes (soltowys ferr), 8 chains and 8 yokes with iron crooks, rings and staples remain.</t>
        </is>
      </c>
      <c r="C354" t="n">
        <v>0</v>
      </c>
      <c r="D354" t="n">
        <v>0</v>
      </c>
      <c r="E354" t="n">
        <v>0</v>
      </c>
      <c r="F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stock</t>
        </is>
      </c>
      <c r="B355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355" t="n">
        <v>0</v>
      </c>
      <c r="D355" t="n">
        <v>0</v>
      </c>
      <c r="E355" t="n">
        <v>0</v>
      </c>
      <c r="F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stock</t>
        </is>
      </c>
      <c r="B356" t="inlineStr">
        <is>
          <t>2 sacks, 1 basket for carrying corn, 1 winnowing-fan, 1 seed-basket, 1 dung-fork, 1 shovel fitted with iron, 1 bucket for grease, 1 bucket for the well and 2 ladders remain.</t>
        </is>
      </c>
      <c r="C356" t="n">
        <v>0</v>
      </c>
      <c r="D356" t="n">
        <v>0</v>
      </c>
      <c r="E356" t="n">
        <v>0</v>
      </c>
      <c r="F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stock</t>
        </is>
      </c>
      <c r="B357" t="inlineStr">
        <is>
          <t>1 iron bushel measure, 1 basin with a ewer, 2 brass pans, 1 mattock, 2 sarpliers, 3 posts (ypperis), 2 tables with trestles and 3 benches remain.</t>
        </is>
      </c>
      <c r="C357" t="n">
        <v>0</v>
      </c>
      <c r="D357" t="n">
        <v>0</v>
      </c>
      <c r="E357" t="n">
        <v>0</v>
      </c>
      <c r="F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stock</t>
        </is>
      </c>
      <c r="B358" t="inlineStr">
        <is>
          <t>340 feet of boards remain.</t>
        </is>
      </c>
      <c r="C358" t="n">
        <v>0</v>
      </c>
      <c r="D358" t="n">
        <v>0</v>
      </c>
      <c r="E358" t="n">
        <v>0</v>
      </c>
      <c r="F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stock</t>
        </is>
      </c>
      <c r="B359" t="inlineStr">
        <is>
          <t>all this remains.</t>
        </is>
      </c>
      <c r="C359" t="n">
        <v>0</v>
      </c>
      <c r="D359" t="n">
        <v>0</v>
      </c>
      <c r="E359" t="n">
        <v>0</v>
      </c>
      <c r="F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BISHOPSTONE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2" t="n"/>
      <c r="F2" s="143" t="inlineStr">
        <is>
          <t>Total in £</t>
        </is>
      </c>
      <c r="G2" s="144" t="inlineStr">
        <is>
          <t>Error</t>
        </is>
      </c>
      <c r="H2" s="145" t="inlineStr">
        <is>
          <t>Notes</t>
        </is>
      </c>
      <c r="I2" s="146" t="inlineStr">
        <is>
          <t>Own notes</t>
        </is>
      </c>
    </row>
    <row r="3">
      <c r="A3" s="137" t="inlineStr">
        <is>
          <t>Arrears</t>
        </is>
      </c>
      <c r="B3" s="128" t="n">
        <v>0</v>
      </c>
      <c r="C3" s="128" t="n">
        <v>10</v>
      </c>
      <c r="D3" s="128" t="n">
        <v>3</v>
      </c>
      <c r="E3" s="128" t="n"/>
      <c r="F3" s="128" t="n">
        <v>0.51</v>
      </c>
      <c r="G3" s="128" t="n"/>
      <c r="H3" s="128" t="inlineStr">
        <is>
          <t>John Algar', reeve there, answers for 10 shilling 3pence of arrears from his last account of the preceding year.</t>
        </is>
      </c>
      <c r="I3" s="128" t="n"/>
    </row>
    <row r="4">
      <c r="A4" s="136" t="inlineStr">
        <is>
          <t>Arrears</t>
        </is>
      </c>
      <c r="B4" s="128" t="n">
        <v>0</v>
      </c>
      <c r="C4" s="128" t="n">
        <v>10</v>
      </c>
      <c r="D4" s="128" t="n">
        <v>3</v>
      </c>
      <c r="E4" s="128" t="n"/>
      <c r="F4" s="128" t="n">
        <v>0.51</v>
      </c>
      <c r="G4" s="128" t="n"/>
      <c r="H4" s="128" t="inlineStr">
        <is>
          <t>Total, 10 shilling 3pence.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0.51</v>
      </c>
      <c r="G5" s="139" t="n">
        <v>0</v>
      </c>
      <c r="H5" s="139" t="inlineStr">
        <is>
          <t>Total</t>
        </is>
      </c>
      <c r="I5" s="139" t="n"/>
    </row>
    <row r="6">
      <c r="A6" s="136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7" t="inlineStr">
        <is>
          <t>Rents</t>
        </is>
      </c>
      <c r="B7" s="128" t="n">
        <v>12</v>
      </c>
      <c r="C7" s="128" t="n">
        <v>7</v>
      </c>
      <c r="D7" s="128" t="n">
        <v>8</v>
      </c>
      <c r="E7" s="128" t="n"/>
      <c r="F7" s="128" t="n">
        <v>12.38</v>
      </c>
      <c r="G7" s="128" t="n"/>
      <c r="H7" s="128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I7" s="128" t="n"/>
    </row>
    <row r="8">
      <c r="A8" s="136" t="inlineStr">
        <is>
          <t>Rents</t>
        </is>
      </c>
      <c r="B8" s="128" t="n">
        <v>12</v>
      </c>
      <c r="C8" s="128" t="n">
        <v>7</v>
      </c>
      <c r="D8" s="128" t="n">
        <v>8</v>
      </c>
      <c r="E8" s="128" t="n"/>
      <c r="F8" s="128" t="n">
        <v>12.38</v>
      </c>
      <c r="G8" s="128" t="n"/>
      <c r="H8" s="128" t="inlineStr">
        <is>
          <t>Total, £12 7 shilling 8pence.</t>
        </is>
      </c>
      <c r="I8" s="128" t="n"/>
    </row>
    <row r="9">
      <c r="A9" s="138" t="inlineStr">
        <is>
          <t>Rents total</t>
        </is>
      </c>
      <c r="B9" s="139" t="n"/>
      <c r="C9" s="139" t="n"/>
      <c r="D9" s="139" t="n"/>
      <c r="E9" s="139" t="n"/>
      <c r="F9" s="139" t="n">
        <v>12.38</v>
      </c>
      <c r="G9" s="139" t="n">
        <v>0</v>
      </c>
      <c r="H9" s="139" t="inlineStr">
        <is>
          <t>Total</t>
        </is>
      </c>
      <c r="I9" s="139" t="n"/>
    </row>
    <row r="10">
      <c r="A10" s="136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7" t="inlineStr">
        <is>
          <t>Defaults of rent</t>
        </is>
      </c>
      <c r="B11" s="128" t="n">
        <v>0</v>
      </c>
      <c r="C11" s="128" t="n">
        <v>0</v>
      </c>
      <c r="D11" s="128" t="n">
        <v>6</v>
      </c>
      <c r="E11" s="128" t="n"/>
      <c r="F11" s="128" t="n">
        <v>0.03</v>
      </c>
      <c r="G11" s="128" t="n"/>
      <c r="H11" s="128" t="inlineStr">
        <is>
          <t>In default of 1 plot of land which formerly belonged to the vicar of Bishopstone 6pence.</t>
        </is>
      </c>
      <c r="I11" s="128" t="n"/>
    </row>
    <row r="12">
      <c r="A12" s="136" t="inlineStr">
        <is>
          <t>Defaults of rent</t>
        </is>
      </c>
      <c r="B12" s="128" t="n">
        <v>0</v>
      </c>
      <c r="C12" s="128" t="n">
        <v>4</v>
      </c>
      <c r="D12" s="128" t="n">
        <v>6</v>
      </c>
      <c r="E12" s="128" t="n"/>
      <c r="F12" s="128" t="n">
        <v>0.23</v>
      </c>
      <c r="G12" s="128" t="n"/>
      <c r="H12" s="128" t="inlineStr">
        <is>
          <t>1 virgate of land formerly of John Salisbury in Netton because in the lord's hands, 4 shilling 6pence for the year.</t>
        </is>
      </c>
      <c r="I12" s="128" t="n"/>
    </row>
    <row r="13">
      <c r="A13" s="136" t="inlineStr">
        <is>
          <t>Defaults of rent</t>
        </is>
      </c>
      <c r="B13" s="128" t="n">
        <v>1</v>
      </c>
      <c r="C13" s="128" t="n">
        <v>2</v>
      </c>
      <c r="D13" s="128" t="n">
        <v>0</v>
      </c>
      <c r="E13" s="128" t="n"/>
      <c r="F13" s="128" t="n">
        <v>1.1</v>
      </c>
      <c r="G13" s="128" t="n"/>
      <c r="H13" s="128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I13" s="128" t="n"/>
    </row>
    <row r="14">
      <c r="A14" s="136" t="inlineStr">
        <is>
          <t>Defaults of rent</t>
        </is>
      </c>
      <c r="B14" s="128" t="n">
        <v>0</v>
      </c>
      <c r="C14" s="128" t="n">
        <v>5</v>
      </c>
      <c r="D14" s="128" t="n">
        <v>0</v>
      </c>
      <c r="E14" s="128" t="n"/>
      <c r="F14" s="128" t="n">
        <v>0.25</v>
      </c>
      <c r="G14" s="128" t="n"/>
      <c r="H14" s="128" t="inlineStr">
        <is>
          <t>the holding formerly of Andrew Vicar' of Bishopstone there because in the lord's hands, 5 shilling for the year.</t>
        </is>
      </c>
      <c r="I14" s="128" t="n"/>
    </row>
    <row r="15">
      <c r="A15" s="136" t="inlineStr">
        <is>
          <t>Defaults of rent</t>
        </is>
      </c>
      <c r="B15" s="128" t="n">
        <v>1</v>
      </c>
      <c r="C15" s="128" t="n">
        <v>12</v>
      </c>
      <c r="D15" s="128" t="n">
        <v>0</v>
      </c>
      <c r="E15" s="128" t="n"/>
      <c r="F15" s="128" t="n">
        <v>1.6</v>
      </c>
      <c r="G15" s="128" t="n"/>
      <c r="H15" s="128" t="inlineStr">
        <is>
          <t>Total, £1 12 shilling.</t>
        </is>
      </c>
      <c r="I15" s="128" t="n"/>
    </row>
    <row r="16">
      <c r="A16" s="138" t="inlineStr">
        <is>
          <t>Defaults of rent total</t>
        </is>
      </c>
      <c r="B16" s="139" t="n"/>
      <c r="C16" s="139" t="n"/>
      <c r="D16" s="139" t="n"/>
      <c r="E16" s="139" t="n"/>
      <c r="F16" s="139" t="n">
        <v>1.61</v>
      </c>
      <c r="G16" s="139" t="n">
        <v>0.01</v>
      </c>
      <c r="H16" s="139" t="inlineStr">
        <is>
          <t>Total</t>
        </is>
      </c>
      <c r="I16" s="139" t="n"/>
    </row>
    <row r="17">
      <c r="A17" s="136" t="n"/>
      <c r="B17" s="128" t="n"/>
      <c r="C17" s="128" t="n"/>
      <c r="D17" s="128" t="n"/>
      <c r="E17" s="128" t="n"/>
      <c r="F17" s="128" t="n"/>
      <c r="G17" s="128" t="n"/>
      <c r="H17" s="128" t="n"/>
      <c r="I17" s="128" t="n"/>
    </row>
    <row r="18">
      <c r="A18" s="137" t="inlineStr">
        <is>
          <t>Total of quittances and defaults of rent</t>
        </is>
      </c>
      <c r="B18" s="128" t="n">
        <v>1</v>
      </c>
      <c r="C18" s="128" t="n">
        <v>16</v>
      </c>
      <c r="D18" s="128" t="n">
        <v>0</v>
      </c>
      <c r="E18" s="128" t="n"/>
      <c r="F18" s="128" t="n">
        <v>1.8</v>
      </c>
      <c r="G18" s="128" t="n"/>
      <c r="H18" s="128" t="inlineStr">
        <is>
          <t>Total of quittances and defaults of rent, £1 16 shilling.</t>
        </is>
      </c>
      <c r="I18" s="128" t="n"/>
    </row>
    <row r="19">
      <c r="A19" s="136" t="inlineStr">
        <is>
          <t>Total of quittances and defaults of rent</t>
        </is>
      </c>
      <c r="B19" s="128" t="n">
        <v>10</v>
      </c>
      <c r="C19" s="128" t="n">
        <v>11</v>
      </c>
      <c r="D19" s="128" t="n">
        <v>8</v>
      </c>
      <c r="E19" s="128" t="n"/>
      <c r="F19" s="128" t="n">
        <v>10.58</v>
      </c>
      <c r="G19" s="128" t="n"/>
      <c r="H19" s="128" t="inlineStr">
        <is>
          <t>Total of rents remaining clear, £10 11 shilling 8pence.</t>
        </is>
      </c>
      <c r="I19" s="128" t="n"/>
    </row>
    <row r="20">
      <c r="A20" s="138" t="inlineStr">
        <is>
          <t>Total of quittances and defaults of rent total</t>
        </is>
      </c>
      <c r="B20" s="139" t="n"/>
      <c r="C20" s="139" t="n"/>
      <c r="D20" s="139" t="n"/>
      <c r="E20" s="139" t="n"/>
      <c r="F20" s="139" t="n">
        <v>12.38</v>
      </c>
      <c r="G20" s="139" t="n">
        <v>0</v>
      </c>
      <c r="H20" s="139" t="inlineStr">
        <is>
          <t>Total</t>
        </is>
      </c>
      <c r="I20" s="139" t="n"/>
    </row>
    <row r="21">
      <c r="A21" s="136" t="n"/>
      <c r="B21" s="128" t="n"/>
      <c r="C21" s="128" t="n"/>
      <c r="D21" s="128" t="n"/>
      <c r="E21" s="128" t="n"/>
      <c r="F21" s="128" t="n"/>
      <c r="G21" s="128" t="n"/>
      <c r="H21" s="128" t="n"/>
      <c r="I21" s="128" t="n"/>
    </row>
    <row r="22">
      <c r="A22" s="137" t="inlineStr">
        <is>
          <t>Issues of the manor</t>
        </is>
      </c>
      <c r="B22" s="128" t="n">
        <v>0</v>
      </c>
      <c r="C22" s="128" t="n">
        <v>3</v>
      </c>
      <c r="D22" s="128" t="n">
        <v>1</v>
      </c>
      <c r="E22" s="128" t="n"/>
      <c r="F22" s="128" t="n">
        <v>0.15</v>
      </c>
      <c r="G22" s="128" t="n"/>
      <c r="H22" s="128" t="inlineStr">
        <is>
          <t>And for 3 shilling from the pannage of pigs at Martinmas, at 1pence a pig over a year old, and .5pence below.</t>
        </is>
      </c>
      <c r="I22" s="128" t="n"/>
    </row>
    <row r="23">
      <c r="A23" s="136" t="inlineStr">
        <is>
          <t>Issues of the manor</t>
        </is>
      </c>
      <c r="B23" s="128" t="n">
        <v>0</v>
      </c>
      <c r="C23" s="128" t="n">
        <v>1</v>
      </c>
      <c r="D23" s="128" t="n">
        <v>9.25</v>
      </c>
      <c r="E23" s="128" t="n"/>
      <c r="F23" s="128" t="n">
        <v>0.09</v>
      </c>
      <c r="G23" s="128" t="n"/>
      <c r="H23" s="128" t="inlineStr">
        <is>
          <t>1 shilling 9.25pence from the agistment of oxen, cows and 2-year old bullocks, at 2.5pence an ox and 1.25pence a bullock.</t>
        </is>
      </c>
      <c r="I23" s="128" t="n"/>
    </row>
    <row r="24">
      <c r="A24" s="136" t="inlineStr">
        <is>
          <t>Issues of the manor</t>
        </is>
      </c>
      <c r="B24" s="128" t="n">
        <v>0</v>
      </c>
      <c r="C24" s="128" t="n">
        <v>1</v>
      </c>
      <c r="D24" s="128" t="n">
        <v>5.5</v>
      </c>
      <c r="E24" s="128" t="n"/>
      <c r="F24" s="128" t="n">
        <v>0.07000000000000001</v>
      </c>
      <c r="G24" s="128" t="n"/>
      <c r="H24" s="128" t="inlineStr">
        <is>
          <t>1 shilling 5.5pence from the herbage of sheep in the lord's fold this year.</t>
        </is>
      </c>
      <c r="I24" s="128" t="n"/>
    </row>
    <row r="25">
      <c r="A25" s="136" t="inlineStr">
        <is>
          <t>Issues of the manor</t>
        </is>
      </c>
      <c r="B25" s="128" t="n">
        <v>0</v>
      </c>
      <c r="C25" s="128" t="n">
        <v>1</v>
      </c>
      <c r="D25" s="128" t="n">
        <v>6.75</v>
      </c>
      <c r="E25" s="128" t="n"/>
      <c r="F25" s="128" t="n">
        <v>0.08</v>
      </c>
      <c r="G25" s="128" t="n"/>
      <c r="H25" s="128" t="inlineStr">
        <is>
          <t>1 shilling 6.75pence from the herbage of oxen, cows and bullocks at Hockday this year.</t>
        </is>
      </c>
      <c r="I25" s="128" t="n"/>
    </row>
    <row r="26">
      <c r="A26" s="136" t="inlineStr">
        <is>
          <t>Issues of the manor</t>
        </is>
      </c>
      <c r="B26" s="128" t="n">
        <v>0</v>
      </c>
      <c r="C26" s="128" t="n">
        <v>0</v>
      </c>
      <c r="D26" s="128" t="n">
        <v>0</v>
      </c>
      <c r="E26" s="128" t="n"/>
      <c r="F26" s="128" t="n">
        <v>0</v>
      </c>
      <c r="G26" s="128" t="n"/>
      <c r="H26" s="128" t="inlineStr">
        <is>
          <t>nothing from the sale of old hay this year.</t>
        </is>
      </c>
      <c r="I26" s="128" t="n"/>
    </row>
    <row r="27">
      <c r="A27" s="136" t="inlineStr">
        <is>
          <t>Issues of the manor</t>
        </is>
      </c>
      <c r="B27" s="128" t="n">
        <v>4</v>
      </c>
      <c r="C27" s="128" t="n">
        <v>15</v>
      </c>
      <c r="D27" s="128" t="n">
        <v>0</v>
      </c>
      <c r="E27" s="128" t="n"/>
      <c r="F27" s="128" t="n">
        <v>4.75</v>
      </c>
      <c r="G27" s="128" t="n"/>
      <c r="H27" s="128" t="inlineStr">
        <is>
          <t>£4 15 shilling from new hay sold this year.</t>
        </is>
      </c>
      <c r="I27" s="128" t="n"/>
    </row>
    <row r="28">
      <c r="A28" s="136" t="inlineStr">
        <is>
          <t>Issues of the manor</t>
        </is>
      </c>
      <c r="B28" s="128" t="n">
        <v>0</v>
      </c>
      <c r="C28" s="128" t="n">
        <v>4</v>
      </c>
      <c r="D28" s="128" t="n">
        <v>8</v>
      </c>
      <c r="E28" s="128" t="n"/>
      <c r="F28" s="128" t="n">
        <v>0.23</v>
      </c>
      <c r="G28" s="128" t="n"/>
      <c r="H28" s="128" t="inlineStr">
        <is>
          <t>4 shilling 8pence from the residue of Peter's pence.</t>
        </is>
      </c>
      <c r="I28" s="128" t="n"/>
    </row>
    <row r="29">
      <c r="A29" s="136" t="inlineStr">
        <is>
          <t>Issues of the manor</t>
        </is>
      </c>
      <c r="B29" s="128" t="n">
        <v>0</v>
      </c>
      <c r="C29" s="128" t="n">
        <v>0</v>
      </c>
      <c r="D29" s="128" t="n">
        <v>6</v>
      </c>
      <c r="E29" s="128" t="n"/>
      <c r="F29" s="128" t="n">
        <v>0.03</v>
      </c>
      <c r="G29" s="128" t="n"/>
      <c r="H29" s="128" t="inlineStr">
        <is>
          <t>6pence from 3 lb of wool locks sold.</t>
        </is>
      </c>
      <c r="I29" s="128" t="n"/>
    </row>
    <row r="30">
      <c r="A30" s="136" t="inlineStr">
        <is>
          <t>Issues of the manor</t>
        </is>
      </c>
      <c r="B30" s="128" t="n">
        <v>0</v>
      </c>
      <c r="C30" s="128" t="n">
        <v>5</v>
      </c>
      <c r="D30" s="128" t="n">
        <v>0</v>
      </c>
      <c r="E30" s="128" t="n"/>
      <c r="F30" s="128" t="n">
        <v>0.25</v>
      </c>
      <c r="G30" s="128" t="n"/>
      <c r="H30" s="128" t="inlineStr">
        <is>
          <t>5 shilling from the milking of 2 cows.</t>
        </is>
      </c>
      <c r="I30" s="128" t="n"/>
    </row>
    <row r="31">
      <c r="A31" s="136" t="inlineStr">
        <is>
          <t>Issues of the manor</t>
        </is>
      </c>
      <c r="B31" s="128" t="n">
        <v>0</v>
      </c>
      <c r="C31" s="128" t="n">
        <v>0</v>
      </c>
      <c r="D31" s="128" t="n">
        <v>0</v>
      </c>
      <c r="E31" s="128" t="n"/>
      <c r="F31" s="128" t="n">
        <v>0</v>
      </c>
      <c r="G31" s="128" t="n"/>
      <c r="H31" s="128" t="inlineStr">
        <is>
          <t>nothing from the milking of the ewes this year because they were not in milk.</t>
        </is>
      </c>
      <c r="I31" s="128" t="n"/>
    </row>
    <row r="32">
      <c r="A32" s="136" t="inlineStr">
        <is>
          <t>Issues of the manor</t>
        </is>
      </c>
      <c r="B32" s="128" t="n">
        <v>0</v>
      </c>
      <c r="C32" s="128" t="n">
        <v>4</v>
      </c>
      <c r="D32" s="128" t="n">
        <v>8</v>
      </c>
      <c r="E32" s="128" t="n"/>
      <c r="F32" s="128" t="n">
        <v>0.23</v>
      </c>
      <c r="G32" s="128" t="n"/>
      <c r="H32" s="128" t="inlineStr">
        <is>
          <t>4 shilling 8pence from the woolskins sold of 10 wethers, 10 ewes and 4 hoggs in murrain before shearing, at 3pence a skin of wethers, 2pence of ewes and 1.5pence of hoggs.</t>
        </is>
      </c>
      <c r="I32" s="128" t="n"/>
    </row>
    <row r="33">
      <c r="A33" s="136" t="inlineStr">
        <is>
          <t>Issues of the manor</t>
        </is>
      </c>
      <c r="B33" s="128" t="n">
        <v>0</v>
      </c>
      <c r="C33" s="128" t="n">
        <v>1</v>
      </c>
      <c r="D33" s="128" t="n">
        <v>2</v>
      </c>
      <c r="E33" s="128" t="n"/>
      <c r="F33" s="128" t="n">
        <v>0.06</v>
      </c>
      <c r="G33" s="128" t="n"/>
      <c r="H33" s="128" t="inlineStr">
        <is>
          <t>1 shilling 2pence from the bare skins sold of 7 wethers and 7 ewes in murrain after shearing, at 1pence a skin.</t>
        </is>
      </c>
      <c r="I33" s="128" t="n"/>
    </row>
    <row r="34">
      <c r="A34" s="136" t="inlineStr">
        <is>
          <t>Issues of the manor</t>
        </is>
      </c>
      <c r="B34" s="128" t="n">
        <v>0</v>
      </c>
      <c r="C34" s="128" t="n">
        <v>0</v>
      </c>
      <c r="D34" s="128" t="n">
        <v>7.5</v>
      </c>
      <c r="E34" s="128" t="n"/>
      <c r="F34" s="128" t="n">
        <v>0.03</v>
      </c>
      <c r="G34" s="128" t="n"/>
      <c r="H34" s="128" t="inlineStr">
        <is>
          <t>7.5pence from the skins sold of 15 lambs in murrain before weaning, at .5pence a skin.</t>
        </is>
      </c>
      <c r="I34" s="128" t="n"/>
    </row>
    <row r="35">
      <c r="A35" s="136" t="inlineStr">
        <is>
          <t>Issues of the manor</t>
        </is>
      </c>
      <c r="B35" s="128" t="n">
        <v>0</v>
      </c>
      <c r="C35" s="128" t="n">
        <v>0</v>
      </c>
      <c r="D35" s="128" t="n">
        <v>1</v>
      </c>
      <c r="E35" s="128" t="n"/>
      <c r="F35" s="128" t="n">
        <v>0</v>
      </c>
      <c r="G35" s="128" t="n"/>
      <c r="H35" s="128" t="inlineStr">
        <is>
          <t>1pence from the rotted skins sold of 2 lambs in murrain after weaning and before shearing.</t>
        </is>
      </c>
      <c r="I35" s="128" t="n"/>
    </row>
    <row r="36">
      <c r="A36" s="136" t="inlineStr">
        <is>
          <t>Issues of the manor</t>
        </is>
      </c>
      <c r="B36" s="128" t="n">
        <v>0</v>
      </c>
      <c r="C36" s="128" t="n">
        <v>0</v>
      </c>
      <c r="D36" s="128" t="n">
        <v>1</v>
      </c>
      <c r="E36" s="128" t="n"/>
      <c r="F36" s="128" t="n">
        <v>0</v>
      </c>
      <c r="G36" s="128" t="n"/>
      <c r="H36" s="128" t="inlineStr">
        <is>
          <t>1pence from the shorn skins sold of 4 lambs in murrain after shearing.</t>
        </is>
      </c>
      <c r="I36" s="128" t="n"/>
    </row>
    <row r="37">
      <c r="A37" s="136" t="inlineStr">
        <is>
          <t>Issues of the manor</t>
        </is>
      </c>
      <c r="B37" s="128" t="n">
        <v>0</v>
      </c>
      <c r="C37" s="128" t="n">
        <v>0</v>
      </c>
      <c r="D37" s="128" t="n">
        <v>10</v>
      </c>
      <c r="E37" s="128" t="n"/>
      <c r="F37" s="128" t="n">
        <v>0.04</v>
      </c>
      <c r="G37" s="128" t="n"/>
      <c r="H37" s="128" t="inlineStr">
        <is>
          <t>10pence from 200 hens' eggs sold.</t>
        </is>
      </c>
      <c r="I37" s="128" t="n"/>
    </row>
    <row r="38">
      <c r="A38" s="136" t="inlineStr">
        <is>
          <t>Issues of the manor</t>
        </is>
      </c>
      <c r="B38" s="128" t="n">
        <v>0</v>
      </c>
      <c r="C38" s="128" t="n">
        <v>4</v>
      </c>
      <c r="D38" s="128" t="n">
        <v>8</v>
      </c>
      <c r="E38" s="128" t="n"/>
      <c r="F38" s="128" t="n">
        <v>0.23</v>
      </c>
      <c r="G38" s="128" t="n"/>
      <c r="H38" s="128" t="inlineStr">
        <is>
          <t>4 shilling 8pence from 28 cocks and hens from churchscot sold, at 2pence each.</t>
        </is>
      </c>
      <c r="I38" s="128" t="n"/>
    </row>
    <row r="39">
      <c r="A39" s="136" t="inlineStr">
        <is>
          <t>Issues of the manor</t>
        </is>
      </c>
      <c r="B39" s="128" t="n">
        <v>0</v>
      </c>
      <c r="C39" s="128" t="n">
        <v>0</v>
      </c>
      <c r="D39" s="128" t="n">
        <v>0</v>
      </c>
      <c r="E39" s="128" t="n"/>
      <c r="F39" s="128" t="n">
        <v>0</v>
      </c>
      <c r="G39" s="128" t="n"/>
      <c r="H39" s="128" t="inlineStr">
        <is>
          <t>nothing from the apple-trees in the garden this year because none bore fruit.</t>
        </is>
      </c>
      <c r="I39" s="128" t="n"/>
    </row>
    <row r="40">
      <c r="A40" s="136" t="inlineStr">
        <is>
          <t>Issues of the manor</t>
        </is>
      </c>
      <c r="B40" s="128" t="n">
        <v>1</v>
      </c>
      <c r="C40" s="128" t="n">
        <v>0</v>
      </c>
      <c r="D40" s="128" t="n">
        <v>0</v>
      </c>
      <c r="E40" s="128" t="n"/>
      <c r="F40" s="128" t="n">
        <v>1</v>
      </c>
      <c r="G40" s="128" t="n"/>
      <c r="H40" s="128" t="inlineStr">
        <is>
          <t>£1 from the whole homage for refusals to stack.</t>
        </is>
      </c>
      <c r="I40" s="128" t="n"/>
    </row>
    <row r="41">
      <c r="A41" s="136" t="inlineStr">
        <is>
          <t>Issues of the manor</t>
        </is>
      </c>
      <c r="B41" s="128" t="n">
        <v>0</v>
      </c>
      <c r="C41" s="128" t="n">
        <v>0</v>
      </c>
      <c r="D41" s="128" t="n">
        <v>0</v>
      </c>
      <c r="E41" s="128" t="n"/>
      <c r="F41" s="128" t="n">
        <v>0</v>
      </c>
      <c r="G41" s="128" t="n"/>
      <c r="H41" s="128" t="inlineStr">
        <is>
          <t>nothing from the sale of stubble this year.</t>
        </is>
      </c>
      <c r="I41" s="128" t="n"/>
    </row>
    <row r="42">
      <c r="A42" s="136" t="inlineStr">
        <is>
          <t>Issues of the manor</t>
        </is>
      </c>
      <c r="B42" s="128" t="n">
        <v>0</v>
      </c>
      <c r="C42" s="128" t="n">
        <v>14</v>
      </c>
      <c r="D42" s="128" t="n">
        <v>4</v>
      </c>
      <c r="E42" s="128" t="n"/>
      <c r="F42" s="128" t="n">
        <v>0.72</v>
      </c>
      <c r="G42" s="128" t="n"/>
      <c r="H42" s="128" t="inlineStr">
        <is>
          <t>14 shilling 4pence from ploughing with the lord's ploughs sold this year.</t>
        </is>
      </c>
      <c r="I42" s="128" t="n"/>
    </row>
    <row r="43">
      <c r="A43" s="136" t="inlineStr">
        <is>
          <t>Issues of the manor</t>
        </is>
      </c>
      <c r="B43" s="128" t="n">
        <v>0</v>
      </c>
      <c r="C43" s="128" t="n">
        <v>0</v>
      </c>
      <c r="D43" s="128" t="n">
        <v>0</v>
      </c>
      <c r="E43" s="128" t="n"/>
      <c r="F43" s="128" t="n">
        <v>0</v>
      </c>
      <c r="G43" s="128" t="n"/>
      <c r="H43" s="128" t="inlineStr">
        <is>
          <t>nothing from the sale of poplars this year.</t>
        </is>
      </c>
      <c r="I43" s="128" t="n"/>
    </row>
    <row r="44">
      <c r="A44" s="136" t="inlineStr">
        <is>
          <t>Issues of the manor</t>
        </is>
      </c>
      <c r="B44" s="128" t="n">
        <v>0</v>
      </c>
      <c r="C44" s="128" t="n">
        <v>16</v>
      </c>
      <c r="D44" s="128" t="n">
        <v>8</v>
      </c>
      <c r="E44" s="128" t="n"/>
      <c r="F44" s="128" t="n">
        <v>0.83</v>
      </c>
      <c r="G44" s="128" t="n"/>
      <c r="H44" s="128" t="inlineStr">
        <is>
          <t>16 shilling 8pence from 10 cloves of lamb's-wool sold, at 1 shilling 8pence a clove.</t>
        </is>
      </c>
      <c r="I44" s="128" t="n"/>
    </row>
    <row r="45">
      <c r="A45" s="136" t="inlineStr">
        <is>
          <t>Issues of the manor</t>
        </is>
      </c>
      <c r="B45" s="128" t="n">
        <v>8</v>
      </c>
      <c r="C45" s="128" t="n">
        <v>16</v>
      </c>
      <c r="D45" s="128" t="n">
        <v>1</v>
      </c>
      <c r="E45" s="128" t="n"/>
      <c r="F45" s="128" t="n">
        <v>8.800000000000001</v>
      </c>
      <c r="G45" s="128" t="n"/>
      <c r="H45" s="128" t="inlineStr">
        <is>
          <t>Total, £8 16 shilling 1pence.</t>
        </is>
      </c>
      <c r="I45" s="128" t="n"/>
    </row>
    <row r="46">
      <c r="A46" s="138" t="inlineStr">
        <is>
          <t>Issues of the manor total</t>
        </is>
      </c>
      <c r="B46" s="139" t="n"/>
      <c r="C46" s="139" t="n"/>
      <c r="D46" s="139" t="n"/>
      <c r="E46" s="139" t="n"/>
      <c r="F46" s="139" t="n">
        <v>8.789999999999999</v>
      </c>
      <c r="G46" s="139" t="n">
        <v>-0.01</v>
      </c>
      <c r="H46" s="139" t="inlineStr">
        <is>
          <t>Total</t>
        </is>
      </c>
      <c r="I46" s="139" t="n"/>
    </row>
    <row r="47">
      <c r="A47" s="136" t="n"/>
      <c r="B47" s="128" t="n"/>
      <c r="C47" s="128" t="n"/>
      <c r="D47" s="128" t="n"/>
      <c r="E47" s="128" t="n"/>
      <c r="F47" s="128" t="n"/>
      <c r="G47" s="128" t="n"/>
      <c r="H47" s="128" t="n"/>
      <c r="I47" s="128" t="n"/>
    </row>
    <row r="48">
      <c r="A48" s="137" t="inlineStr">
        <is>
          <t>Sale of corn</t>
        </is>
      </c>
      <c r="B48" s="128" t="n">
        <v>17</v>
      </c>
      <c r="C48" s="128" t="n">
        <v>16</v>
      </c>
      <c r="D48" s="128" t="n">
        <v>3.75</v>
      </c>
      <c r="E48" s="128" t="n"/>
      <c r="F48" s="128" t="n">
        <v>17.82</v>
      </c>
      <c r="G48" s="128" t="n"/>
      <c r="H48" s="128" t="inlineStr">
        <is>
          <t>And for £17 16 shilling 3.75pence from 36 quarters 6.5 bushels of wheat sold, at 10 shilling a qr for 25 quarters per mutuum, and 9 shilling a qr for 11 quarters 6.5 bushels in the market.</t>
        </is>
      </c>
      <c r="I48" s="128" t="n"/>
    </row>
    <row r="49">
      <c r="A49" s="136" t="inlineStr">
        <is>
          <t>Sale of corn</t>
        </is>
      </c>
      <c r="B49" s="128" t="n">
        <v>1</v>
      </c>
      <c r="C49" s="128" t="n">
        <v>4</v>
      </c>
      <c r="D49" s="128" t="n">
        <v>0</v>
      </c>
      <c r="E49" s="128" t="n"/>
      <c r="F49" s="128" t="n">
        <v>1.2</v>
      </c>
      <c r="G49" s="128" t="n"/>
      <c r="H49" s="128" t="inlineStr">
        <is>
          <t>£1 4 shilling from 4 quarters of curall sold.</t>
        </is>
      </c>
      <c r="I49" s="128" t="n"/>
    </row>
    <row r="50">
      <c r="A50" s="136" t="inlineStr">
        <is>
          <t>Sale of corn</t>
        </is>
      </c>
      <c r="B50" s="128" t="n">
        <v>11</v>
      </c>
      <c r="C50" s="128" t="n">
        <v>8</v>
      </c>
      <c r="D50" s="128" t="n">
        <v>9</v>
      </c>
      <c r="E50" s="128" t="n"/>
      <c r="F50" s="128" t="n">
        <v>11.44</v>
      </c>
      <c r="G50" s="128" t="n"/>
      <c r="H50" s="128" t="inlineStr">
        <is>
          <t>£11 8 shilling 9pence from 38 quarters 1 bushels of barley sold per mutuum, at 6 shilling a qr.</t>
        </is>
      </c>
      <c r="I50" s="128" t="n"/>
    </row>
    <row r="51">
      <c r="A51" s="136" t="inlineStr">
        <is>
          <t>Sale of corn</t>
        </is>
      </c>
      <c r="B51" s="128" t="n">
        <v>0</v>
      </c>
      <c r="C51" s="128" t="n">
        <v>15</v>
      </c>
      <c r="D51" s="128" t="n">
        <v>5</v>
      </c>
      <c r="E51" s="128" t="n"/>
      <c r="F51" s="128" t="n">
        <v>0.77</v>
      </c>
      <c r="G51" s="128" t="n"/>
      <c r="H51" s="128" t="inlineStr">
        <is>
          <t>15 shilling 5pence from 4 quarters 5 bushels of oats sold per mutuum, at 3 shilling 4pence a qr.</t>
        </is>
      </c>
      <c r="I51" s="128" t="n"/>
    </row>
    <row r="52">
      <c r="A52" s="136" t="inlineStr">
        <is>
          <t>Sale of corn</t>
        </is>
      </c>
      <c r="B52" s="128" t="n">
        <v>0</v>
      </c>
      <c r="C52" s="128" t="n">
        <v>14</v>
      </c>
      <c r="D52" s="128" t="n">
        <v>4</v>
      </c>
      <c r="E52" s="128" t="n"/>
      <c r="F52" s="128" t="n">
        <v>0.72</v>
      </c>
      <c r="G52" s="128" t="n"/>
      <c r="H52" s="128" t="inlineStr">
        <is>
          <t>14 shilling from 2 quarters 5 bushels of peas sold, at 5 shilling 4pence a qr.</t>
        </is>
      </c>
      <c r="I52" s="128" t="n"/>
    </row>
    <row r="53">
      <c r="A53" s="136" t="inlineStr">
        <is>
          <t>Sale of corn</t>
        </is>
      </c>
      <c r="B53" s="128" t="n">
        <v>0</v>
      </c>
      <c r="C53" s="128" t="n">
        <v>17</v>
      </c>
      <c r="D53" s="128" t="n">
        <v>6</v>
      </c>
      <c r="E53" s="128" t="n"/>
      <c r="F53" s="128" t="n">
        <v>0.88</v>
      </c>
      <c r="G53" s="128" t="n"/>
      <c r="H53" s="128" t="inlineStr">
        <is>
          <t>17 shilling 6pence from 3 quarters 3 bushels' of vetches sold, at 5 shilling a qr.</t>
        </is>
      </c>
      <c r="I53" s="128" t="n"/>
    </row>
    <row r="54">
      <c r="A54" s="136" t="inlineStr">
        <is>
          <t>Sale of corn</t>
        </is>
      </c>
      <c r="B54" s="128" t="n">
        <v>32</v>
      </c>
      <c r="C54" s="128" t="n">
        <v>15</v>
      </c>
      <c r="D54" s="128" t="n">
        <v>11.75</v>
      </c>
      <c r="E54" s="128" t="n"/>
      <c r="F54" s="128" t="n">
        <v>32.8</v>
      </c>
      <c r="G54" s="128" t="n"/>
      <c r="H54" s="128" t="inlineStr">
        <is>
          <t>Total, £32 15 shilling 11.75pence.</t>
        </is>
      </c>
      <c r="I54" s="128" t="n"/>
    </row>
    <row r="55">
      <c r="A55" s="138" t="inlineStr">
        <is>
          <t>Sale of corn total</t>
        </is>
      </c>
      <c r="B55" s="139" t="n"/>
      <c r="C55" s="139" t="n"/>
      <c r="D55" s="139" t="n"/>
      <c r="E55" s="139" t="n"/>
      <c r="F55" s="139" t="n">
        <v>32.83</v>
      </c>
      <c r="G55" s="139" t="n">
        <v>0.03</v>
      </c>
      <c r="H55" s="139" t="inlineStr">
        <is>
          <t>Total</t>
        </is>
      </c>
      <c r="I55" s="139" t="n"/>
    </row>
    <row r="56">
      <c r="A56" s="136" t="n"/>
      <c r="B56" s="128" t="n"/>
      <c r="C56" s="128" t="n"/>
      <c r="D56" s="128" t="n"/>
      <c r="E56" s="128" t="n"/>
      <c r="F56" s="128" t="n"/>
      <c r="G56" s="128" t="n"/>
      <c r="H56" s="128" t="n"/>
      <c r="I56" s="128" t="n"/>
    </row>
    <row r="57">
      <c r="A57" s="137" t="inlineStr">
        <is>
          <t>Sale of stock</t>
        </is>
      </c>
      <c r="B57" s="128" t="n">
        <v>1</v>
      </c>
      <c r="C57" s="128" t="n">
        <v>6</v>
      </c>
      <c r="D57" s="128" t="n">
        <v>8</v>
      </c>
      <c r="E57" s="128" t="n"/>
      <c r="F57" s="128" t="n">
        <v>1.33</v>
      </c>
      <c r="G57" s="128" t="n"/>
      <c r="H57" s="128" t="inlineStr">
        <is>
          <t>And for £1 6 shilling 8pence from 2 kebb oxen sold.</t>
        </is>
      </c>
      <c r="I57" s="128" t="n"/>
    </row>
    <row r="58">
      <c r="A58" s="136" t="inlineStr">
        <is>
          <t>Sale of stock</t>
        </is>
      </c>
      <c r="B58" s="128" t="n">
        <v>0</v>
      </c>
      <c r="C58" s="128" t="n">
        <v>8</v>
      </c>
      <c r="D58" s="128" t="n">
        <v>0</v>
      </c>
      <c r="E58" s="128" t="n"/>
      <c r="F58" s="128" t="n">
        <v>0.4</v>
      </c>
      <c r="G58" s="128" t="n"/>
      <c r="H58" s="128" t="inlineStr">
        <is>
          <t>8 shilling from 1 feeble ox sold.</t>
        </is>
      </c>
      <c r="I58" s="128" t="n"/>
    </row>
    <row r="59">
      <c r="A59" s="136" t="inlineStr">
        <is>
          <t>Sale of stock</t>
        </is>
      </c>
      <c r="B59" s="128" t="n">
        <v>0</v>
      </c>
      <c r="C59" s="128" t="n">
        <v>7</v>
      </c>
      <c r="D59" s="128" t="n">
        <v>0</v>
      </c>
      <c r="E59" s="128" t="n"/>
      <c r="F59" s="128" t="n">
        <v>0.35</v>
      </c>
      <c r="G59" s="128" t="n"/>
      <c r="H59" s="128" t="inlineStr">
        <is>
          <t>7 shilling from 1 steer sold because feeble and useless for the lord's stock.</t>
        </is>
      </c>
      <c r="I59" s="128" t="n"/>
    </row>
    <row r="60">
      <c r="A60" s="136" t="inlineStr">
        <is>
          <t>Sale of stock</t>
        </is>
      </c>
      <c r="B60" s="128" t="n">
        <v>2</v>
      </c>
      <c r="C60" s="128" t="n">
        <v>18</v>
      </c>
      <c r="D60" s="128" t="n">
        <v>4</v>
      </c>
      <c r="E60" s="128" t="n"/>
      <c r="F60" s="128" t="n">
        <v>2.92</v>
      </c>
      <c r="G60" s="128" t="n"/>
      <c r="H60" s="128" t="inlineStr">
        <is>
          <t>£2 18 shilling 4pence from 35 kebb wethers sold before shearing, at 1 shilling 8pence each.</t>
        </is>
      </c>
      <c r="I60" s="128" t="n"/>
    </row>
    <row r="61">
      <c r="A61" s="136" t="inlineStr">
        <is>
          <t>Sale of stock</t>
        </is>
      </c>
      <c r="B61" s="128" t="n">
        <v>3</v>
      </c>
      <c r="C61" s="128" t="n">
        <v>14</v>
      </c>
      <c r="D61" s="128" t="n">
        <v>8</v>
      </c>
      <c r="E61" s="128" t="n"/>
      <c r="F61" s="128" t="n">
        <v>3.73</v>
      </c>
      <c r="G61" s="128" t="n"/>
      <c r="H61" s="128" t="inlineStr">
        <is>
          <t>£3 14 shilling 8pence from 1 ram and 55 kebb ewes sold before shearing, at 1 shilling 4pence each.</t>
        </is>
      </c>
      <c r="I61" s="128" t="n"/>
    </row>
    <row r="62">
      <c r="A62" s="136" t="inlineStr">
        <is>
          <t>Sale of stock</t>
        </is>
      </c>
      <c r="B62" s="128" t="n">
        <v>0</v>
      </c>
      <c r="C62" s="128" t="n">
        <v>10</v>
      </c>
      <c r="D62" s="128" t="n">
        <v>7.5</v>
      </c>
      <c r="E62" s="128" t="n"/>
      <c r="F62" s="128" t="n">
        <v>0.53</v>
      </c>
      <c r="G62" s="128" t="n"/>
      <c r="H62" s="128" t="inlineStr">
        <is>
          <t>10 shilling from 16 lambs removed from stock and sold before shearing, at 7.5pence each.</t>
        </is>
      </c>
      <c r="I62" s="128" t="n"/>
    </row>
    <row r="63">
      <c r="A63" s="136" t="inlineStr">
        <is>
          <t>Sale of stock</t>
        </is>
      </c>
      <c r="B63" s="128" t="n">
        <v>0</v>
      </c>
      <c r="C63" s="128" t="n">
        <v>7</v>
      </c>
      <c r="D63" s="128" t="n">
        <v>4</v>
      </c>
      <c r="E63" s="128" t="n"/>
      <c r="F63" s="128" t="n">
        <v>0.37</v>
      </c>
      <c r="G63" s="128" t="n"/>
      <c r="H63" s="128" t="inlineStr">
        <is>
          <t>7 shilling 4pence from 22 geese sold, at 4pence each.</t>
        </is>
      </c>
      <c r="I63" s="128" t="n"/>
    </row>
    <row r="64">
      <c r="A64" s="136" t="inlineStr">
        <is>
          <t>Sale of stock</t>
        </is>
      </c>
      <c r="B64" s="128" t="n">
        <v>0</v>
      </c>
      <c r="C64" s="128" t="n">
        <v>8</v>
      </c>
      <c r="D64" s="128" t="n">
        <v>4</v>
      </c>
      <c r="E64" s="128" t="n"/>
      <c r="F64" s="128" t="n">
        <v>0.42</v>
      </c>
      <c r="G64" s="128" t="n"/>
      <c r="H64" s="128" t="inlineStr">
        <is>
          <t>8 shilling from 24 capons sold, at 4pence each.</t>
        </is>
      </c>
      <c r="I64" s="128" t="n"/>
    </row>
    <row r="65">
      <c r="A65" s="136" t="inlineStr">
        <is>
          <t>Sale of stock</t>
        </is>
      </c>
      <c r="B65" s="128" t="n">
        <v>10</v>
      </c>
      <c r="C65" s="128" t="n">
        <v>0</v>
      </c>
      <c r="D65" s="128" t="n">
        <v>0</v>
      </c>
      <c r="E65" s="128" t="n"/>
      <c r="F65" s="128" t="n">
        <v>10</v>
      </c>
      <c r="G65" s="128" t="n"/>
      <c r="H65" s="128" t="inlineStr">
        <is>
          <t>Total, £10..</t>
        </is>
      </c>
      <c r="I65" s="128" t="n"/>
    </row>
    <row r="66">
      <c r="A66" s="138" t="inlineStr">
        <is>
          <t>Sale of stock total</t>
        </is>
      </c>
      <c r="B66" s="139" t="n"/>
      <c r="C66" s="139" t="n"/>
      <c r="D66" s="139" t="n"/>
      <c r="E66" s="139" t="n"/>
      <c r="F66" s="139" t="n">
        <v>10.05</v>
      </c>
      <c r="G66" s="139" t="n">
        <v>0.05</v>
      </c>
      <c r="H66" s="139" t="inlineStr">
        <is>
          <t>Total</t>
        </is>
      </c>
      <c r="I66" s="139" t="n"/>
    </row>
    <row r="67">
      <c r="A67" s="136" t="n"/>
      <c r="B67" s="128" t="n"/>
      <c r="C67" s="128" t="n"/>
      <c r="D67" s="128" t="n"/>
      <c r="E67" s="128" t="n"/>
      <c r="F67" s="128" t="n"/>
      <c r="G67" s="128" t="n"/>
      <c r="H67" s="128" t="n"/>
      <c r="I67" s="128" t="n"/>
    </row>
    <row r="68">
      <c r="A68" s="137" t="inlineStr">
        <is>
          <t>Perquisites</t>
        </is>
      </c>
      <c r="B68" s="128" t="n">
        <v>0</v>
      </c>
      <c r="C68" s="128" t="n">
        <v>2</v>
      </c>
      <c r="D68" s="128" t="n">
        <v>10</v>
      </c>
      <c r="E68" s="128" t="n"/>
      <c r="F68" s="128" t="n">
        <v>0.14</v>
      </c>
      <c r="G68" s="128" t="n"/>
      <c r="H68" s="128" t="inlineStr">
        <is>
          <t>And for 2 shilling 10pence from the perquisites of the tourn of Martinmas (11 November).</t>
        </is>
      </c>
      <c r="I68" s="128" t="n"/>
    </row>
    <row r="69">
      <c r="A69" s="136" t="inlineStr">
        <is>
          <t>Perquisites</t>
        </is>
      </c>
      <c r="B69" s="128" t="n">
        <v>0</v>
      </c>
      <c r="C69" s="128" t="n">
        <v>0</v>
      </c>
      <c r="D69" s="128" t="n">
        <v>2</v>
      </c>
      <c r="E69" s="128" t="n"/>
      <c r="F69" s="128" t="n">
        <v>0.01</v>
      </c>
      <c r="G69" s="128" t="n"/>
      <c r="H69" s="128" t="inlineStr">
        <is>
          <t>1 1 s. 2pence from the perquisites of the courts held by the bailiff between Michaelmas and the tourn of Hockday.</t>
        </is>
      </c>
      <c r="I69" s="128" t="n"/>
    </row>
    <row r="70">
      <c r="A70" s="136" t="inlineStr">
        <is>
          <t>Perquisites</t>
        </is>
      </c>
      <c r="B70" s="128" t="n">
        <v>0</v>
      </c>
      <c r="C70" s="128" t="n">
        <v>1</v>
      </c>
      <c r="D70" s="128" t="n">
        <v>10</v>
      </c>
      <c r="E70" s="128" t="n"/>
      <c r="F70" s="128" t="n">
        <v>0.09</v>
      </c>
      <c r="G70" s="128" t="n"/>
      <c r="H70" s="128" t="inlineStr">
        <is>
          <t>1 shilling 10pence from the perquisites of the tourn of Hockday (1 April).</t>
        </is>
      </c>
      <c r="I70" s="128" t="n"/>
    </row>
    <row r="71">
      <c r="A71" s="136" t="inlineStr">
        <is>
          <t>Perquisites</t>
        </is>
      </c>
      <c r="B71" s="128" t="n">
        <v>0</v>
      </c>
      <c r="C71" s="128" t="n">
        <v>7</v>
      </c>
      <c r="D71" s="128" t="n">
        <v>1</v>
      </c>
      <c r="E71" s="128" t="n"/>
      <c r="F71" s="128" t="n">
        <v>0.35</v>
      </c>
      <c r="G71" s="128" t="n"/>
      <c r="H71" s="128" t="inlineStr">
        <is>
          <t>7 shilling 1pence from the perquisites of the courts held by the bailiff after the tourn of Hockday.</t>
        </is>
      </c>
      <c r="I71" s="128" t="n"/>
    </row>
    <row r="72">
      <c r="A72" s="138" t="inlineStr">
        <is>
          <t>Perquisites total</t>
        </is>
      </c>
      <c r="B72" s="139" t="n">
        <v>1</v>
      </c>
      <c r="C72" s="139" t="n">
        <v>2</v>
      </c>
      <c r="D72" s="139" t="n">
        <v>11</v>
      </c>
      <c r="E72" s="139" t="n"/>
      <c r="F72" s="139" t="n">
        <v>1.15</v>
      </c>
      <c r="G72" s="139" t="n">
        <v>0.8</v>
      </c>
      <c r="H72" s="139" t="inlineStr">
        <is>
          <t>Total, £1 2 shilling 11pence.</t>
        </is>
      </c>
      <c r="I72" s="139" t="n"/>
    </row>
    <row r="73">
      <c r="A73" s="38" t="inlineStr">
        <is>
          <t>Total of all receipts recorded in accounts (calculated here)</t>
        </is>
      </c>
      <c r="F73">
        <f>SUMIF(A1:A72,"* total",F1:F72)-SUMIF(A1:A72,"Arrears total",F1:F72)</f>
        <v/>
      </c>
    </row>
    <row r="74">
      <c r="A74" s="38" t="inlineStr">
        <is>
          <t>Total of all receipts (calculated here) incl arrears</t>
        </is>
      </c>
      <c r="F74">
        <f>F73+SUMIF(A1:A72,"Arrears total",F1:F72)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Quarters 1</t>
        </is>
      </c>
      <c r="D1" t="inlineStr">
        <is>
          <t>Bushels 1</t>
        </is>
      </c>
      <c r="E1" t="inlineStr">
        <is>
          <t>stock</t>
        </is>
      </c>
      <c r="F1" t="inlineStr">
        <is>
          <t>inherited stock</t>
        </is>
      </c>
      <c r="G1" t="inlineStr">
        <is>
          <t>added</t>
        </is>
      </c>
      <c r="H1" t="inlineStr">
        <is>
          <t>murrain</t>
        </is>
      </c>
      <c r="I1" t="inlineStr">
        <is>
          <t>sold</t>
        </is>
      </c>
    </row>
    <row r="2">
      <c r="A2" t="inlineStr">
        <is>
          <t>Vetches</t>
        </is>
      </c>
      <c r="B2" t="inlineStr">
        <is>
          <t>Total</t>
        </is>
      </c>
      <c r="C2" t="n">
        <v>0</v>
      </c>
      <c r="D2" t="n">
        <v>0</v>
      </c>
    </row>
    <row r="3">
      <c r="A3" t="inlineStr">
        <is>
          <t>Stock</t>
        </is>
      </c>
      <c r="B3" t="inlineStr">
        <is>
          <t>Plough-horses: 2 remain.</t>
        </is>
      </c>
      <c r="C3" t="n">
        <v>0</v>
      </c>
      <c r="D3" t="n">
        <v>0</v>
      </c>
      <c r="E3" t="inlineStr">
        <is>
          <t>Plough-horses</t>
        </is>
      </c>
      <c r="F3" t="inlineStr">
        <is>
          <t>2</t>
        </is>
      </c>
    </row>
    <row r="4">
      <c r="A4" t="inlineStr">
        <is>
          <t>Stock</t>
        </is>
      </c>
      <c r="B4" t="inlineStr">
        <is>
          <t>Oxen: 19 remain.</t>
        </is>
      </c>
      <c r="C4" t="n">
        <v>0</v>
      </c>
      <c r="D4" t="n">
        <v>0</v>
      </c>
      <c r="E4" t="inlineStr">
        <is>
          <t>Oxen</t>
        </is>
      </c>
      <c r="F4" t="inlineStr">
        <is>
          <t>19</t>
        </is>
      </c>
    </row>
    <row r="5">
      <c r="A5" t="inlineStr">
        <is>
          <t>Stock</t>
        </is>
      </c>
      <c r="B5" t="inlineStr">
        <is>
          <t>1 added from steers below.</t>
        </is>
      </c>
      <c r="C5" t="n">
        <v>0</v>
      </c>
      <c r="D5" t="n">
        <v>0</v>
      </c>
      <c r="E5" t="inlineStr">
        <is>
          <t>Oxen</t>
        </is>
      </c>
    </row>
    <row r="6">
      <c r="A6" t="inlineStr">
        <is>
          <t>Stock</t>
        </is>
      </c>
      <c r="B6" t="inlineStr">
        <is>
          <t>2 bought within.</t>
        </is>
      </c>
      <c r="C6" t="n">
        <v>0</v>
      </c>
      <c r="D6" t="n">
        <v>0</v>
      </c>
      <c r="E6" t="inlineStr">
        <is>
          <t>Oxen</t>
        </is>
      </c>
      <c r="G6" t="inlineStr">
        <is>
          <t>2</t>
        </is>
      </c>
    </row>
    <row r="7">
      <c r="A7" t="inlineStr">
        <is>
          <t>Stock</t>
        </is>
      </c>
      <c r="B7" t="inlineStr">
        <is>
          <t>Total, 22. 3 sold within.</t>
        </is>
      </c>
      <c r="C7" t="n">
        <v>0</v>
      </c>
      <c r="D7" t="n">
        <v>0</v>
      </c>
      <c r="E7" t="inlineStr">
        <is>
          <t>Oxen</t>
        </is>
      </c>
      <c r="I7" t="inlineStr">
        <is>
          <t>3</t>
        </is>
      </c>
    </row>
    <row r="8">
      <c r="A8" t="inlineStr">
        <is>
          <t>Stock</t>
        </is>
      </c>
      <c r="B8" t="inlineStr">
        <is>
          <t>19 remain.</t>
        </is>
      </c>
      <c r="C8" t="n">
        <v>0</v>
      </c>
      <c r="D8" t="n">
        <v>0</v>
      </c>
      <c r="E8" t="inlineStr">
        <is>
          <t>Oxen</t>
        </is>
      </c>
    </row>
    <row r="9">
      <c r="A9" t="inlineStr">
        <is>
          <t>Stock</t>
        </is>
      </c>
      <c r="B9" t="inlineStr">
        <is>
          <t>Cows: 2 remain.</t>
        </is>
      </c>
      <c r="C9" t="n">
        <v>0</v>
      </c>
      <c r="D9" t="n">
        <v>0</v>
      </c>
      <c r="E9" t="inlineStr">
        <is>
          <t>Cows</t>
        </is>
      </c>
      <c r="F9" t="inlineStr">
        <is>
          <t>2</t>
        </is>
      </c>
    </row>
    <row r="10">
      <c r="A10" t="inlineStr">
        <is>
          <t>Stock</t>
        </is>
      </c>
      <c r="B10" t="inlineStr">
        <is>
          <t>Steers: 2 remain from the bullocks.</t>
        </is>
      </c>
      <c r="C10" t="n">
        <v>0</v>
      </c>
      <c r="D10" t="n">
        <v>0</v>
      </c>
      <c r="E10" t="inlineStr">
        <is>
          <t>Steers</t>
        </is>
      </c>
      <c r="F10" t="inlineStr">
        <is>
          <t>2</t>
        </is>
      </c>
    </row>
    <row r="11">
      <c r="A11" t="inlineStr">
        <is>
          <t>Stock</t>
        </is>
      </c>
      <c r="B11" t="inlineStr">
        <is>
          <t>Total, 2. 1 added above to oxen.</t>
        </is>
      </c>
      <c r="C11" t="n">
        <v>0</v>
      </c>
      <c r="D11" t="n">
        <v>0</v>
      </c>
      <c r="E11" t="inlineStr">
        <is>
          <t>Steers</t>
        </is>
      </c>
    </row>
    <row r="12">
      <c r="A12" t="inlineStr">
        <is>
          <t>Stock</t>
        </is>
      </c>
      <c r="B12" t="inlineStr">
        <is>
          <t>1 sold within because useless for the lord's stock.</t>
        </is>
      </c>
      <c r="C12" t="n">
        <v>0</v>
      </c>
      <c r="D12" t="n">
        <v>0</v>
      </c>
      <c r="E12" t="inlineStr">
        <is>
          <t>Steers</t>
        </is>
      </c>
      <c r="I12" t="inlineStr">
        <is>
          <t>1</t>
        </is>
      </c>
    </row>
    <row r="13">
      <c r="A13" t="inlineStr">
        <is>
          <t>Stock</t>
        </is>
      </c>
      <c r="B13" t="inlineStr">
        <is>
          <t>Total as before.</t>
        </is>
      </c>
      <c r="C13" t="n">
        <v>0</v>
      </c>
      <c r="D13" t="n">
        <v>0</v>
      </c>
      <c r="E13" t="inlineStr">
        <is>
          <t>Steers</t>
        </is>
      </c>
    </row>
    <row r="14">
      <c r="A14" t="inlineStr">
        <is>
          <t>Stock</t>
        </is>
      </c>
      <c r="B14" t="inlineStr">
        <is>
          <t>None remain.</t>
        </is>
      </c>
      <c r="C14" t="n">
        <v>0</v>
      </c>
      <c r="D14" t="n">
        <v>0</v>
      </c>
      <c r="E14" t="inlineStr">
        <is>
          <t>Steers</t>
        </is>
      </c>
    </row>
    <row r="15">
      <c r="A15" t="inlineStr">
        <is>
          <t>Stock</t>
        </is>
      </c>
      <c r="B15" t="inlineStr">
        <is>
          <t>Bullocks: 2 remain from the yearlings.</t>
        </is>
      </c>
      <c r="C15" t="n">
        <v>0</v>
      </c>
      <c r="D15" t="n">
        <v>0</v>
      </c>
      <c r="E15" t="inlineStr">
        <is>
          <t>Bullocks</t>
        </is>
      </c>
      <c r="F15" t="inlineStr">
        <is>
          <t>2</t>
        </is>
      </c>
    </row>
    <row r="16">
      <c r="A16" t="inlineStr">
        <is>
          <t>Stock</t>
        </is>
      </c>
      <c r="B16" t="inlineStr">
        <is>
          <t>2 remain.</t>
        </is>
      </c>
      <c r="C16" t="n">
        <v>0</v>
      </c>
      <c r="D16" t="n">
        <v>0</v>
      </c>
      <c r="E16" t="inlineStr">
        <is>
          <t>Bullocks</t>
        </is>
      </c>
    </row>
    <row r="17">
      <c r="A17" t="inlineStr">
        <is>
          <t>Stock</t>
        </is>
      </c>
      <c r="B17" t="inlineStr">
        <is>
          <t>Yearlings: 2 remain from the calves.</t>
        </is>
      </c>
      <c r="C17" t="n">
        <v>0</v>
      </c>
      <c r="D17" t="n">
        <v>0</v>
      </c>
      <c r="E17" t="inlineStr">
        <is>
          <t>Yearlings</t>
        </is>
      </c>
      <c r="F17" t="inlineStr">
        <is>
          <t>2</t>
        </is>
      </c>
    </row>
    <row r="18">
      <c r="A18" t="inlineStr">
        <is>
          <t>Stock</t>
        </is>
      </c>
      <c r="B18" t="inlineStr">
        <is>
          <t>2 remain.</t>
        </is>
      </c>
      <c r="C18" t="n">
        <v>0</v>
      </c>
      <c r="D18" t="n">
        <v>0</v>
      </c>
      <c r="E18" t="inlineStr">
        <is>
          <t>Yearlings</t>
        </is>
      </c>
    </row>
    <row r="19">
      <c r="A19" t="inlineStr">
        <is>
          <t>Stock</t>
        </is>
      </c>
      <c r="B19" t="inlineStr">
        <is>
          <t>Calves: 2 from the offspring of the said cows.</t>
        </is>
      </c>
      <c r="C19" t="n">
        <v>0</v>
      </c>
      <c r="D19" t="n">
        <v>0</v>
      </c>
      <c r="E19" t="inlineStr">
        <is>
          <t>Calves</t>
        </is>
      </c>
      <c r="G19" t="inlineStr">
        <is>
          <t>2</t>
        </is>
      </c>
    </row>
    <row r="20">
      <c r="A20" t="inlineStr">
        <is>
          <t>Stock</t>
        </is>
      </c>
      <c r="B20" t="inlineStr">
        <is>
          <t>2 remain.</t>
        </is>
      </c>
      <c r="C20" t="n">
        <v>0</v>
      </c>
      <c r="D20" t="n">
        <v>0</v>
      </c>
      <c r="E20" t="inlineStr">
        <is>
          <t>Calves</t>
        </is>
      </c>
      <c r="F20" t="inlineStr">
        <is>
          <t>2</t>
        </is>
      </c>
    </row>
    <row r="21">
      <c r="A21" t="inlineStr">
        <is>
          <t>Stock</t>
        </is>
      </c>
      <c r="B21" t="inlineStr">
        <is>
          <t>Wethers: 354 remain.</t>
        </is>
      </c>
      <c r="C21" t="n">
        <v>0</v>
      </c>
      <c r="D21" t="n">
        <v>0</v>
      </c>
      <c r="E21" t="inlineStr">
        <is>
          <t>Wethers</t>
        </is>
      </c>
      <c r="F21" t="inlineStr">
        <is>
          <t>354</t>
        </is>
      </c>
    </row>
    <row r="22">
      <c r="A22" t="inlineStr">
        <is>
          <t>Stock</t>
        </is>
      </c>
      <c r="B22" t="inlineStr">
        <is>
          <t>101 added from hoggs below after shearing.</t>
        </is>
      </c>
      <c r="C22" t="n">
        <v>0</v>
      </c>
      <c r="D22" t="n">
        <v>0</v>
      </c>
      <c r="E22" t="inlineStr">
        <is>
          <t>Wethers</t>
        </is>
      </c>
    </row>
    <row r="23">
      <c r="A23" t="inlineStr">
        <is>
          <t>Stock</t>
        </is>
      </c>
      <c r="B23" t="inlineStr">
        <is>
          <t>Total, 455. 11 in murrain before shearing, 7 after shearing.</t>
        </is>
      </c>
      <c r="C23" t="n">
        <v>0</v>
      </c>
      <c r="D23" t="n">
        <v>0</v>
      </c>
      <c r="E23" t="inlineStr">
        <is>
          <t>Wethers</t>
        </is>
      </c>
      <c r="H23" t="inlineStr">
        <is>
          <t>11</t>
        </is>
      </c>
    </row>
    <row r="24">
      <c r="A24" t="inlineStr">
        <is>
          <t>Stock</t>
        </is>
      </c>
      <c r="B24" t="inlineStr">
        <is>
          <t>2 in customary payment to the customary tenants after shearing for mowing the lord's meadow.</t>
        </is>
      </c>
      <c r="C24" t="n">
        <v>0</v>
      </c>
      <c r="D24" t="n">
        <v>0</v>
      </c>
      <c r="E24" t="inlineStr">
        <is>
          <t>Wethers</t>
        </is>
      </c>
    </row>
    <row r="25">
      <c r="A25" t="inlineStr">
        <is>
          <t>Stock</t>
        </is>
      </c>
      <c r="B25" t="inlineStr">
        <is>
          <t>35 kebbs sold within before shearing.</t>
        </is>
      </c>
      <c r="C25" t="n">
        <v>0</v>
      </c>
      <c r="D25" t="n">
        <v>0</v>
      </c>
      <c r="E25" t="inlineStr">
        <is>
          <t>Wethers</t>
        </is>
      </c>
      <c r="I25" t="inlineStr">
        <is>
          <t>35</t>
        </is>
      </c>
    </row>
    <row r="26">
      <c r="A26" t="inlineStr">
        <is>
          <t>Stock</t>
        </is>
      </c>
      <c r="B26" t="inlineStr">
        <is>
          <t>Total, 55. 400 remain.</t>
        </is>
      </c>
      <c r="C26" t="n">
        <v>0</v>
      </c>
      <c r="D26" t="n">
        <v>0</v>
      </c>
      <c r="E26" t="inlineStr">
        <is>
          <t>Wethers</t>
        </is>
      </c>
    </row>
    <row r="27">
      <c r="A27" t="inlineStr">
        <is>
          <t>Stock</t>
        </is>
      </c>
      <c r="B27" t="inlineStr">
        <is>
          <t>Rams: 9 remain.</t>
        </is>
      </c>
      <c r="C27" t="n">
        <v>0</v>
      </c>
      <c r="D27" t="n">
        <v>0</v>
      </c>
      <c r="E27" t="inlineStr">
        <is>
          <t>Rams</t>
        </is>
      </c>
      <c r="F27" t="inlineStr">
        <is>
          <t>9</t>
        </is>
      </c>
    </row>
    <row r="28">
      <c r="A28" t="inlineStr">
        <is>
          <t>Stock</t>
        </is>
      </c>
      <c r="B28" t="inlineStr">
        <is>
          <t>Total, 9. 1 sold within before shearing.</t>
        </is>
      </c>
      <c r="C28" t="n">
        <v>0</v>
      </c>
      <c r="D28" t="n">
        <v>0</v>
      </c>
      <c r="E28" t="inlineStr">
        <is>
          <t>Rams</t>
        </is>
      </c>
      <c r="I28" t="inlineStr">
        <is>
          <t>1</t>
        </is>
      </c>
    </row>
    <row r="29">
      <c r="A29" t="inlineStr">
        <is>
          <t>Stock</t>
        </is>
      </c>
      <c r="B29" t="inlineStr">
        <is>
          <t>8 remain.</t>
        </is>
      </c>
      <c r="C29" t="n">
        <v>0</v>
      </c>
      <c r="D29" t="n">
        <v>0</v>
      </c>
      <c r="E29" t="inlineStr">
        <is>
          <t>Rams</t>
        </is>
      </c>
    </row>
    <row r="30">
      <c r="A30" t="inlineStr">
        <is>
          <t>Stock</t>
        </is>
      </c>
      <c r="B30" t="inlineStr">
        <is>
          <t>Ewes: 315 remain.</t>
        </is>
      </c>
      <c r="C30" t="n">
        <v>0</v>
      </c>
      <c r="D30" t="n">
        <v>0</v>
      </c>
      <c r="E30" t="inlineStr">
        <is>
          <t>Ewes</t>
        </is>
      </c>
      <c r="F30" t="inlineStr">
        <is>
          <t>315</t>
        </is>
      </c>
    </row>
    <row r="31">
      <c r="A31" t="inlineStr">
        <is>
          <t>Stock</t>
        </is>
      </c>
      <c r="B31" t="inlineStr">
        <is>
          <t>90 added from hoggs below after shearing.</t>
        </is>
      </c>
      <c r="C31" t="n">
        <v>0</v>
      </c>
      <c r="D31" t="n">
        <v>0</v>
      </c>
      <c r="E31" t="inlineStr">
        <is>
          <t>Ewes</t>
        </is>
      </c>
    </row>
    <row r="32">
      <c r="A32" t="inlineStr">
        <is>
          <t>Stock</t>
        </is>
      </c>
      <c r="B32" t="inlineStr">
        <is>
          <t>1 from the heriot of Walter Pynnok' before shearing.</t>
        </is>
      </c>
      <c r="C32" t="n">
        <v>0</v>
      </c>
      <c r="D32" t="n">
        <v>0</v>
      </c>
      <c r="E32" t="inlineStr">
        <is>
          <t>Ewes</t>
        </is>
      </c>
    </row>
    <row r="33">
      <c r="A33" t="inlineStr">
        <is>
          <t>Stock</t>
        </is>
      </c>
      <c r="B33" t="inlineStr">
        <is>
          <t>1 from the heriot of John Godishalfe after shearing.</t>
        </is>
      </c>
      <c r="C33" t="n">
        <v>0</v>
      </c>
      <c r="D33" t="n">
        <v>0</v>
      </c>
      <c r="E33" t="inlineStr">
        <is>
          <t>Ewes</t>
        </is>
      </c>
    </row>
    <row r="34">
      <c r="A34" t="inlineStr">
        <is>
          <t>Stock</t>
        </is>
      </c>
      <c r="B34" t="inlineStr">
        <is>
          <t>Total, 407. 11 in murrain before shearing and lambing.</t>
        </is>
      </c>
      <c r="C34" t="n">
        <v>0</v>
      </c>
      <c r="D34" t="n">
        <v>0</v>
      </c>
      <c r="E34" t="inlineStr">
        <is>
          <t>Ewes</t>
        </is>
      </c>
      <c r="H34" t="inlineStr">
        <is>
          <t>11</t>
        </is>
      </c>
    </row>
    <row r="35">
      <c r="A35" t="inlineStr">
        <is>
          <t>Stock</t>
        </is>
      </c>
      <c r="B35" t="inlineStr">
        <is>
          <t>7 in murrain after shearing.</t>
        </is>
      </c>
      <c r="C35" t="n">
        <v>0</v>
      </c>
      <c r="D35" t="n">
        <v>0</v>
      </c>
      <c r="E35" t="inlineStr">
        <is>
          <t>Ewes</t>
        </is>
      </c>
      <c r="H35" t="inlineStr">
        <is>
          <t>7</t>
        </is>
      </c>
    </row>
    <row r="36">
      <c r="A36" t="inlineStr">
        <is>
          <t>Stock</t>
        </is>
      </c>
      <c r="B36" t="inlineStr">
        <is>
          <t>55 kebbs sold within before shearing.</t>
        </is>
      </c>
      <c r="C36" t="n">
        <v>0</v>
      </c>
      <c r="D36" t="n">
        <v>0</v>
      </c>
      <c r="E36" t="inlineStr">
        <is>
          <t>Ewes</t>
        </is>
      </c>
      <c r="I36" t="inlineStr">
        <is>
          <t>55</t>
        </is>
      </c>
    </row>
    <row r="37">
      <c r="A37" t="inlineStr">
        <is>
          <t>Stock</t>
        </is>
      </c>
      <c r="B37" t="inlineStr">
        <is>
          <t>Total, 73. 334 remain.</t>
        </is>
      </c>
      <c r="C37" t="n">
        <v>0</v>
      </c>
      <c r="D37" t="n">
        <v>0</v>
      </c>
      <c r="E37" t="inlineStr">
        <is>
          <t>Ewes</t>
        </is>
      </c>
    </row>
    <row r="38">
      <c r="A38" t="inlineStr">
        <is>
          <t>Stock</t>
        </is>
      </c>
      <c r="B38" t="inlineStr">
        <is>
          <t>Hoggs: 196 remain from the lambs.</t>
        </is>
      </c>
      <c r="C38" t="n">
        <v>0</v>
      </c>
      <c r="D38" t="n">
        <v>0</v>
      </c>
      <c r="E38" t="inlineStr">
        <is>
          <t>Hoggs</t>
        </is>
      </c>
      <c r="F38" t="inlineStr">
        <is>
          <t>196</t>
        </is>
      </c>
    </row>
    <row r="39">
      <c r="A39" t="inlineStr">
        <is>
          <t>Stock</t>
        </is>
      </c>
      <c r="B39" t="inlineStr">
        <is>
          <t>Total, 196. 5 in murrain before shearing.</t>
        </is>
      </c>
      <c r="C39" t="n">
        <v>0</v>
      </c>
      <c r="D39" t="n">
        <v>0</v>
      </c>
      <c r="E39" t="inlineStr">
        <is>
          <t>Hoggs</t>
        </is>
      </c>
      <c r="H39" t="inlineStr">
        <is>
          <t>5</t>
        </is>
      </c>
    </row>
    <row r="40">
      <c r="A40" t="inlineStr">
        <is>
          <t>Stock</t>
        </is>
      </c>
      <c r="B40" t="inlineStr">
        <is>
          <t>101 added above to wethers and 90 to ewes after shearing.</t>
        </is>
      </c>
      <c r="C40" t="n">
        <v>0</v>
      </c>
      <c r="D40" t="n">
        <v>0</v>
      </c>
      <c r="E40" t="inlineStr">
        <is>
          <t>Hoggs</t>
        </is>
      </c>
    </row>
    <row r="41">
      <c r="A41" t="inlineStr">
        <is>
          <t>Stock</t>
        </is>
      </c>
      <c r="B41" t="inlineStr">
        <is>
          <t>Total as before.</t>
        </is>
      </c>
      <c r="C41" t="n">
        <v>0</v>
      </c>
      <c r="D41" t="n">
        <v>0</v>
      </c>
      <c r="E41" t="inlineStr">
        <is>
          <t>Hoggs</t>
        </is>
      </c>
    </row>
    <row r="42">
      <c r="A42" t="inlineStr">
        <is>
          <t>Stock</t>
        </is>
      </c>
      <c r="B42" t="inlineStr">
        <is>
          <t>None remain.</t>
        </is>
      </c>
      <c r="C42" t="n">
        <v>0</v>
      </c>
      <c r="D42" t="n">
        <v>0</v>
      </c>
      <c r="E42" t="inlineStr">
        <is>
          <t>Hoggs</t>
        </is>
      </c>
    </row>
    <row r="43">
      <c r="A43" t="inlineStr">
        <is>
          <t>Stock</t>
        </is>
      </c>
      <c r="B43" t="inlineStr">
        <is>
          <t>Lambs: 246 from the offspring of the said ewes and not more because 11 ewes died before lambing and 58 were sterile this year.</t>
        </is>
      </c>
      <c r="C43" t="n">
        <v>0</v>
      </c>
      <c r="D43" t="n">
        <v>0</v>
      </c>
      <c r="E43" t="inlineStr">
        <is>
          <t>Lambs</t>
        </is>
      </c>
      <c r="G43" t="inlineStr">
        <is>
          <t>246</t>
        </is>
      </c>
    </row>
    <row r="44">
      <c r="A44" t="inlineStr">
        <is>
          <t>Stock</t>
        </is>
      </c>
      <c r="B44" t="inlineStr">
        <is>
          <t>23 bought within before shearing.</t>
        </is>
      </c>
      <c r="C44" t="n">
        <v>0</v>
      </c>
      <c r="D44" t="n">
        <v>0</v>
      </c>
      <c r="E44" t="inlineStr">
        <is>
          <t>Lambs</t>
        </is>
      </c>
      <c r="G44" t="inlineStr">
        <is>
          <t>23</t>
        </is>
      </c>
    </row>
    <row r="45">
      <c r="A45" t="inlineStr">
        <is>
          <t>Stock</t>
        </is>
      </c>
      <c r="B45" t="inlineStr">
        <is>
          <t>Total, 269. 17 in murrain before weaning.</t>
        </is>
      </c>
      <c r="C45" t="n">
        <v>0</v>
      </c>
      <c r="D45" t="n">
        <v>0</v>
      </c>
      <c r="E45" t="inlineStr">
        <is>
          <t>Lambs</t>
        </is>
      </c>
      <c r="H45" t="inlineStr">
        <is>
          <t>17</t>
        </is>
      </c>
    </row>
    <row r="46">
      <c r="A46" t="inlineStr">
        <is>
          <t>Stock</t>
        </is>
      </c>
      <c r="B46" t="inlineStr">
        <is>
          <t>23 in tithe.</t>
        </is>
      </c>
      <c r="C46" t="n">
        <v>0</v>
      </c>
      <c r="D46" t="n">
        <v>0</v>
      </c>
      <c r="E46" t="inlineStr">
        <is>
          <t>Lambs</t>
        </is>
      </c>
    </row>
    <row r="47">
      <c r="A47" t="inlineStr">
        <is>
          <t>Stock</t>
        </is>
      </c>
      <c r="B47" t="inlineStr">
        <is>
          <t>3 in customary payment to the reeve, smith and shepherd of ewes before shearing.</t>
        </is>
      </c>
      <c r="C47" t="n">
        <v>0</v>
      </c>
      <c r="D47" t="n">
        <v>0</v>
      </c>
      <c r="E47" t="inlineStr">
        <is>
          <t>Lambs</t>
        </is>
      </c>
    </row>
    <row r="48">
      <c r="A48" t="inlineStr">
        <is>
          <t>Stock</t>
        </is>
      </c>
      <c r="B48" t="inlineStr">
        <is>
          <t>4 in murrain after weaning and before shearing.</t>
        </is>
      </c>
      <c r="C48" t="n">
        <v>0</v>
      </c>
      <c r="D48" t="n">
        <v>0</v>
      </c>
      <c r="E48" t="inlineStr">
        <is>
          <t>Lambs</t>
        </is>
      </c>
      <c r="H48" t="inlineStr">
        <is>
          <t>4</t>
        </is>
      </c>
    </row>
    <row r="49">
      <c r="A49" t="inlineStr">
        <is>
          <t>Stock</t>
        </is>
      </c>
      <c r="B49" t="inlineStr">
        <is>
          <t>' 16 removed from stock and sold within before shearing.</t>
        </is>
      </c>
      <c r="C49" t="n">
        <v>0</v>
      </c>
      <c r="D49" t="n">
        <v>0</v>
      </c>
      <c r="E49" t="inlineStr">
        <is>
          <t>Lambs</t>
        </is>
      </c>
      <c r="I49" t="inlineStr">
        <is>
          <t>16</t>
        </is>
      </c>
    </row>
    <row r="50">
      <c r="A50" t="inlineStr">
        <is>
          <t>Stock</t>
        </is>
      </c>
      <c r="B50" t="inlineStr">
        <is>
          <t>Total, 65. 204 remain.</t>
        </is>
      </c>
      <c r="C50" t="n">
        <v>0</v>
      </c>
      <c r="D50" t="n">
        <v>0</v>
      </c>
      <c r="E50" t="inlineStr">
        <is>
          <t>Lambs</t>
        </is>
      </c>
      <c r="F50" t="inlineStr">
        <is>
          <t>204</t>
        </is>
      </c>
    </row>
    <row r="51">
      <c r="A51" t="inlineStr">
        <is>
          <t>Stock</t>
        </is>
      </c>
      <c r="B51" t="inlineStr">
        <is>
          <t>Coarse wool: 318 fleeces from wethers, 8 from rams, 250 from ewes and 191 from hoggs produced at the shearing this year.</t>
        </is>
      </c>
      <c r="C51" t="n">
        <v>0</v>
      </c>
      <c r="D51" t="n">
        <v>0</v>
      </c>
      <c r="E51" t="inlineStr">
        <is>
          <t>Coarse wool</t>
        </is>
      </c>
    </row>
    <row r="52">
      <c r="A52" t="inlineStr">
        <is>
          <t>Stock</t>
        </is>
      </c>
      <c r="B52" t="inlineStr">
        <is>
          <t>Total, 757.2 76 in tithe.</t>
        </is>
      </c>
      <c r="C52" t="n">
        <v>0</v>
      </c>
      <c r="D52" t="n">
        <v>0</v>
      </c>
      <c r="E52" t="inlineStr">
        <is>
          <t>Coarse wool</t>
        </is>
      </c>
    </row>
    <row r="53">
      <c r="A53" t="inlineStr">
        <is>
          <t>Stock</t>
        </is>
      </c>
      <c r="B53" t="inlineStr">
        <is>
          <t>2 given to the shepherd of wethers and shepherd of ewes.</t>
        </is>
      </c>
      <c r="C53" t="n">
        <v>0</v>
      </c>
      <c r="D53" t="n">
        <v>0</v>
      </c>
      <c r="E53" t="inlineStr">
        <is>
          <t>Coarse wool</t>
        </is>
      </c>
    </row>
    <row r="54">
      <c r="A54" t="inlineStr">
        <is>
          <t>Stock</t>
        </is>
      </c>
      <c r="B54" t="inlineStr">
        <is>
          <t>679 delivered to John Arnold', receiver of Wolvesey, weighing 2 sacks 29 cloves, answering for an average of 1.375 lb a fleece, plus 1 lb in all.</t>
        </is>
      </c>
      <c r="C54" t="n">
        <v>0</v>
      </c>
      <c r="D54" t="n">
        <v>0</v>
      </c>
      <c r="E54" t="inlineStr">
        <is>
          <t>Coarse wool</t>
        </is>
      </c>
    </row>
    <row r="55">
      <c r="A55" t="inlineStr">
        <is>
          <t>Stock</t>
        </is>
      </c>
      <c r="B55" t="inlineStr">
        <is>
          <t>Total as before.</t>
        </is>
      </c>
      <c r="C55" t="n">
        <v>0</v>
      </c>
      <c r="D55" t="n">
        <v>0</v>
      </c>
      <c r="E55" t="inlineStr">
        <is>
          <t>Coarse wool</t>
        </is>
      </c>
    </row>
    <row r="56">
      <c r="A56" t="inlineStr">
        <is>
          <t>Stock</t>
        </is>
      </c>
      <c r="B56" t="inlineStr">
        <is>
          <t>None remains.</t>
        </is>
      </c>
      <c r="C56" t="n">
        <v>0</v>
      </c>
      <c r="D56" t="n">
        <v>0</v>
      </c>
      <c r="E56" t="inlineStr">
        <is>
          <t>Coarse wool</t>
        </is>
      </c>
    </row>
    <row r="57">
      <c r="A57" t="inlineStr">
        <is>
          <t>Stock</t>
        </is>
      </c>
      <c r="B57" t="inlineStr">
        <is>
          <t>Lamb's-wool: 208 fleeces from lambs produced at the shearing this year.</t>
        </is>
      </c>
      <c r="C57" t="n">
        <v>0</v>
      </c>
      <c r="D57" t="n">
        <v>0</v>
      </c>
      <c r="E57" t="inlineStr">
        <is>
          <t>Coarse wool</t>
        </is>
      </c>
    </row>
    <row r="58">
      <c r="A58" t="inlineStr">
        <is>
          <t>Stock</t>
        </is>
      </c>
      <c r="B58" t="inlineStr">
        <is>
          <t>all sold within, weighing 10 cloves.</t>
        </is>
      </c>
      <c r="C58" t="n">
        <v>0</v>
      </c>
      <c r="D58" t="n">
        <v>0</v>
      </c>
      <c r="E58" t="inlineStr">
        <is>
          <t>Coarse wool</t>
        </is>
      </c>
    </row>
    <row r="59">
      <c r="A59" t="inlineStr">
        <is>
          <t>Stock</t>
        </is>
      </c>
      <c r="B59" t="inlineStr">
        <is>
          <t>none remains.</t>
        </is>
      </c>
      <c r="C59" t="n">
        <v>0</v>
      </c>
      <c r="D59" t="n">
        <v>0</v>
      </c>
      <c r="E59" t="inlineStr">
        <is>
          <t>Coarse wool</t>
        </is>
      </c>
    </row>
    <row r="60">
      <c r="A60" t="inlineStr">
        <is>
          <t>Stock</t>
        </is>
      </c>
      <c r="B60" t="inlineStr">
        <is>
          <t>Wool locks: 3 lb imposed on the shepherds at the shearing this year.</t>
        </is>
      </c>
      <c r="C60" t="n">
        <v>0</v>
      </c>
      <c r="D60" t="n">
        <v>0</v>
      </c>
      <c r="E60" t="inlineStr">
        <is>
          <t>Wool locks</t>
        </is>
      </c>
    </row>
    <row r="61">
      <c r="A61" t="inlineStr">
        <is>
          <t>Stock</t>
        </is>
      </c>
      <c r="B61" t="inlineStr">
        <is>
          <t>sold within.</t>
        </is>
      </c>
      <c r="C61" t="n">
        <v>0</v>
      </c>
      <c r="D61" t="n">
        <v>0</v>
      </c>
      <c r="E61" t="inlineStr">
        <is>
          <t>Wool locks</t>
        </is>
      </c>
    </row>
    <row r="62">
      <c r="A62" t="inlineStr">
        <is>
          <t>Stock</t>
        </is>
      </c>
      <c r="B62" t="inlineStr">
        <is>
          <t>none remain.</t>
        </is>
      </c>
      <c r="C62" t="n">
        <v>0</v>
      </c>
      <c r="D62" t="n">
        <v>0</v>
      </c>
      <c r="E62" t="inlineStr">
        <is>
          <t>Wool locks</t>
        </is>
      </c>
    </row>
    <row r="63">
      <c r="A63" t="inlineStr">
        <is>
          <t>Stock</t>
        </is>
      </c>
      <c r="B63" t="inlineStr">
        <is>
          <t>Woolskins: 11 from wethers, 11 from ewes and 5 from hoggs in common murrain before shearing.</t>
        </is>
      </c>
      <c r="C63" t="n">
        <v>0</v>
      </c>
      <c r="D63" t="n">
        <v>0</v>
      </c>
      <c r="E63" t="inlineStr">
        <is>
          <t>Woolskins</t>
        </is>
      </c>
    </row>
    <row r="64">
      <c r="A64" t="inlineStr">
        <is>
          <t>Stock</t>
        </is>
      </c>
      <c r="B64" t="inlineStr">
        <is>
          <t>Total, 27. 3 in tithe.</t>
        </is>
      </c>
      <c r="C64" t="n">
        <v>0</v>
      </c>
      <c r="D64" t="n">
        <v>0</v>
      </c>
      <c r="E64" t="inlineStr">
        <is>
          <t>Woolskins</t>
        </is>
      </c>
    </row>
    <row r="65">
      <c r="A65" t="inlineStr">
        <is>
          <t>Stock</t>
        </is>
      </c>
      <c r="B65" t="inlineStr">
        <is>
          <t>24 sold within.</t>
        </is>
      </c>
      <c r="C65" t="n">
        <v>0</v>
      </c>
      <c r="D65" t="n">
        <v>0</v>
      </c>
      <c r="E65" t="inlineStr">
        <is>
          <t>Woolskins</t>
        </is>
      </c>
      <c r="I65" t="inlineStr">
        <is>
          <t>24</t>
        </is>
      </c>
    </row>
    <row r="66">
      <c r="A66" t="inlineStr">
        <is>
          <t>Stock</t>
        </is>
      </c>
      <c r="B66" t="inlineStr">
        <is>
          <t>Total as before.</t>
        </is>
      </c>
      <c r="C66" t="n">
        <v>0</v>
      </c>
      <c r="D66" t="n">
        <v>0</v>
      </c>
      <c r="E66" t="inlineStr">
        <is>
          <t>Woolskins</t>
        </is>
      </c>
    </row>
    <row r="67">
      <c r="A67" t="inlineStr">
        <is>
          <t>Stock</t>
        </is>
      </c>
      <c r="B67" t="inlineStr">
        <is>
          <t>None remain.</t>
        </is>
      </c>
      <c r="C67" t="n">
        <v>0</v>
      </c>
      <c r="D67" t="n">
        <v>0</v>
      </c>
      <c r="E67" t="inlineStr">
        <is>
          <t>Woolskins</t>
        </is>
      </c>
    </row>
    <row r="68">
      <c r="A68" t="inlineStr">
        <is>
          <t>Stock</t>
        </is>
      </c>
      <c r="B68" t="inlineStr">
        <is>
          <t>Bare skins: 7 from wethers and 7 from ewes in murrain as made clear above.</t>
        </is>
      </c>
      <c r="C68" t="n">
        <v>0</v>
      </c>
      <c r="D68" t="n">
        <v>0</v>
      </c>
      <c r="E68" t="inlineStr">
        <is>
          <t>Bareskins</t>
        </is>
      </c>
      <c r="H68" t="inlineStr">
        <is>
          <t>7</t>
        </is>
      </c>
    </row>
    <row r="69">
      <c r="A69" t="inlineStr">
        <is>
          <t>Stock</t>
        </is>
      </c>
      <c r="B69" t="inlineStr">
        <is>
          <t>sold within.</t>
        </is>
      </c>
      <c r="C69" t="n">
        <v>0</v>
      </c>
      <c r="D69" t="n">
        <v>0</v>
      </c>
      <c r="E69" t="inlineStr">
        <is>
          <t>Bareskins</t>
        </is>
      </c>
    </row>
    <row r="70">
      <c r="A70" t="inlineStr">
        <is>
          <t>Stock</t>
        </is>
      </c>
      <c r="B70" t="inlineStr">
        <is>
          <t>none remain.</t>
        </is>
      </c>
      <c r="C70" t="n">
        <v>0</v>
      </c>
      <c r="D70" t="n">
        <v>0</v>
      </c>
      <c r="E70" t="inlineStr">
        <is>
          <t>Bareskins</t>
        </is>
      </c>
    </row>
    <row r="71">
      <c r="A71" t="inlineStr">
        <is>
          <t>Stock</t>
        </is>
      </c>
      <c r="B71" t="inlineStr">
        <is>
          <t>Lambskins: 17 from lambs in murrain before weaning as made clear above.</t>
        </is>
      </c>
      <c r="C71" t="n">
        <v>0</v>
      </c>
      <c r="D71" t="n">
        <v>0</v>
      </c>
      <c r="E71" t="inlineStr">
        <is>
          <t>Lambskins</t>
        </is>
      </c>
      <c r="H71" t="inlineStr">
        <is>
          <t>17</t>
        </is>
      </c>
    </row>
    <row r="72">
      <c r="A72" t="inlineStr">
        <is>
          <t>Stock</t>
        </is>
      </c>
      <c r="B72" t="inlineStr">
        <is>
          <t>Total, 17. 2 in tithe.</t>
        </is>
      </c>
      <c r="C72" t="n">
        <v>0</v>
      </c>
      <c r="D72" t="n">
        <v>0</v>
      </c>
      <c r="E72" t="inlineStr">
        <is>
          <t>Lambskins</t>
        </is>
      </c>
    </row>
    <row r="73">
      <c r="A73" t="inlineStr">
        <is>
          <t>Stock</t>
        </is>
      </c>
      <c r="B73" t="inlineStr">
        <is>
          <t>15 sold within.</t>
        </is>
      </c>
      <c r="C73" t="n">
        <v>0</v>
      </c>
      <c r="D73" t="n">
        <v>0</v>
      </c>
      <c r="E73" t="inlineStr">
        <is>
          <t>Lambskins</t>
        </is>
      </c>
      <c r="I73" t="inlineStr">
        <is>
          <t>15</t>
        </is>
      </c>
    </row>
    <row r="74">
      <c r="A74" t="inlineStr">
        <is>
          <t>Stock</t>
        </is>
      </c>
      <c r="B74" t="inlineStr">
        <is>
          <t>Total as before.</t>
        </is>
      </c>
      <c r="C74" t="n">
        <v>0</v>
      </c>
      <c r="D74" t="n">
        <v>0</v>
      </c>
      <c r="E74" t="inlineStr">
        <is>
          <t>Lambskins</t>
        </is>
      </c>
    </row>
    <row r="75">
      <c r="A75" t="inlineStr">
        <is>
          <t>Stock</t>
        </is>
      </c>
      <c r="B75" t="inlineStr">
        <is>
          <t>None remain.</t>
        </is>
      </c>
      <c r="C75" t="n">
        <v>0</v>
      </c>
      <c r="D75" t="n">
        <v>0</v>
      </c>
      <c r="E75" t="inlineStr">
        <is>
          <t>Lambskins</t>
        </is>
      </c>
    </row>
    <row r="76">
      <c r="A76" t="inlineStr">
        <is>
          <t>Stock</t>
        </is>
      </c>
      <c r="B76" t="inlineStr">
        <is>
          <t>Rotted skins: 2 from lambs in murrain after weaning and before shearing as made clear above.</t>
        </is>
      </c>
      <c r="C76" t="n">
        <v>0</v>
      </c>
      <c r="D76" t="n">
        <v>0</v>
      </c>
      <c r="E76" t="inlineStr">
        <is>
          <t>Rotted skins</t>
        </is>
      </c>
      <c r="H76" t="inlineStr">
        <is>
          <t>2</t>
        </is>
      </c>
    </row>
    <row r="77">
      <c r="A77" t="inlineStr">
        <is>
          <t>Stock</t>
        </is>
      </c>
      <c r="B77" t="inlineStr">
        <is>
          <t>sold within.</t>
        </is>
      </c>
      <c r="C77" t="n">
        <v>0</v>
      </c>
      <c r="D77" t="n">
        <v>0</v>
      </c>
      <c r="E77" t="inlineStr">
        <is>
          <t>Rotted skins</t>
        </is>
      </c>
    </row>
    <row r="78">
      <c r="A78" t="inlineStr">
        <is>
          <t>Stock</t>
        </is>
      </c>
      <c r="B78" t="inlineStr">
        <is>
          <t>none remain.</t>
        </is>
      </c>
      <c r="C78" t="n">
        <v>0</v>
      </c>
      <c r="D78" t="n">
        <v>0</v>
      </c>
      <c r="E78" t="inlineStr">
        <is>
          <t>Rotted skins</t>
        </is>
      </c>
    </row>
    <row r="79">
      <c r="A79" t="inlineStr">
        <is>
          <t>Stock</t>
        </is>
      </c>
      <c r="B79" t="inlineStr">
        <is>
          <t>Shorn skins: 4 from lambs in murrain after shearing as made clear above.</t>
        </is>
      </c>
      <c r="C79" t="n">
        <v>0</v>
      </c>
      <c r="D79" t="n">
        <v>0</v>
      </c>
      <c r="E79" t="inlineStr">
        <is>
          <t>Shorn skins</t>
        </is>
      </c>
      <c r="H79" t="inlineStr">
        <is>
          <t>4</t>
        </is>
      </c>
    </row>
    <row r="80">
      <c r="A80" t="inlineStr">
        <is>
          <t>Stock</t>
        </is>
      </c>
      <c r="B80" t="inlineStr">
        <is>
          <t>sold within.</t>
        </is>
      </c>
      <c r="C80" t="n">
        <v>0</v>
      </c>
      <c r="D80" t="n">
        <v>0</v>
      </c>
      <c r="E80" t="inlineStr">
        <is>
          <t>Shorn skins</t>
        </is>
      </c>
    </row>
    <row r="81">
      <c r="A81" t="inlineStr">
        <is>
          <t>Stock</t>
        </is>
      </c>
      <c r="B81" t="inlineStr">
        <is>
          <t>none remain.</t>
        </is>
      </c>
      <c r="C81" t="n">
        <v>0</v>
      </c>
      <c r="D81" t="n">
        <v>0</v>
      </c>
      <c r="E81" t="inlineStr">
        <is>
          <t>Shorn skins</t>
        </is>
      </c>
    </row>
    <row r="82">
      <c r="A82" t="inlineStr">
        <is>
          <t>Stock</t>
        </is>
      </c>
      <c r="B82" t="inlineStr">
        <is>
          <t>Geese: 1 gander and 4 breeding geese remain.</t>
        </is>
      </c>
      <c r="C82" t="n">
        <v>0</v>
      </c>
      <c r="D82" t="n">
        <v>0</v>
      </c>
      <c r="E82" t="inlineStr">
        <is>
          <t>Poultry stock</t>
        </is>
      </c>
      <c r="F82" t="inlineStr">
        <is>
          <t>1</t>
        </is>
      </c>
    </row>
    <row r="83">
      <c r="A83" t="inlineStr">
        <is>
          <t>Stock</t>
        </is>
      </c>
      <c r="B83" t="inlineStr">
        <is>
          <t>24 offspring.</t>
        </is>
      </c>
      <c r="C83" t="n">
        <v>0</v>
      </c>
      <c r="D83" t="n">
        <v>0</v>
      </c>
      <c r="E83" t="inlineStr">
        <is>
          <t>Poultry stock</t>
        </is>
      </c>
      <c r="G83" t="inlineStr">
        <is>
          <t>24</t>
        </is>
      </c>
    </row>
    <row r="84">
      <c r="A84" t="inlineStr">
        <is>
          <t>Stock</t>
        </is>
      </c>
      <c r="B84" t="inlineStr">
        <is>
          <t>Total, 29. 2 in tithe.</t>
        </is>
      </c>
      <c r="C84" t="n">
        <v>0</v>
      </c>
      <c r="D84" t="n">
        <v>0</v>
      </c>
      <c r="E84" t="inlineStr">
        <is>
          <t>Poultry stock</t>
        </is>
      </c>
    </row>
    <row r="85">
      <c r="A85" t="inlineStr">
        <is>
          <t>Stock</t>
        </is>
      </c>
      <c r="B85" t="inlineStr">
        <is>
          <t>22 sold within.</t>
        </is>
      </c>
      <c r="C85" t="n">
        <v>0</v>
      </c>
      <c r="D85" t="n">
        <v>0</v>
      </c>
      <c r="E85" t="inlineStr">
        <is>
          <t>Poultry stock</t>
        </is>
      </c>
      <c r="I85" t="inlineStr">
        <is>
          <t>22</t>
        </is>
      </c>
    </row>
    <row r="86">
      <c r="A86" t="inlineStr">
        <is>
          <t>Stock</t>
        </is>
      </c>
      <c r="B86" t="inlineStr">
        <is>
          <t>Total, 24. 1 gander and 4 breeding geese remain.</t>
        </is>
      </c>
      <c r="C86" t="n">
        <v>0</v>
      </c>
      <c r="D86" t="n">
        <v>0</v>
      </c>
      <c r="E86" t="inlineStr">
        <is>
          <t>Poultry stock</t>
        </is>
      </c>
    </row>
    <row r="87">
      <c r="A87" t="inlineStr">
        <is>
          <t>Stock</t>
        </is>
      </c>
      <c r="B87" t="inlineStr">
        <is>
          <t>Capons: 24 remain.</t>
        </is>
      </c>
      <c r="C87" t="n">
        <v>0</v>
      </c>
      <c r="D87" t="n">
        <v>0</v>
      </c>
      <c r="E87" t="inlineStr">
        <is>
          <t>Poultry stock</t>
        </is>
      </c>
    </row>
    <row r="88">
      <c r="A88" t="inlineStr">
        <is>
          <t>Stock</t>
        </is>
      </c>
      <c r="B88" t="inlineStr">
        <is>
          <t>24 made from the chickens below.</t>
        </is>
      </c>
      <c r="C88" t="n">
        <v>0</v>
      </c>
      <c r="D88" t="n">
        <v>0</v>
      </c>
      <c r="E88" t="inlineStr">
        <is>
          <t>Poultry stock</t>
        </is>
      </c>
    </row>
    <row r="89">
      <c r="A89" t="inlineStr">
        <is>
          <t>Stock</t>
        </is>
      </c>
      <c r="B89" t="inlineStr">
        <is>
          <t>Total, 48. 24 sold within.</t>
        </is>
      </c>
      <c r="C89" t="n">
        <v>0</v>
      </c>
      <c r="D89" t="n">
        <v>0</v>
      </c>
      <c r="E89" t="inlineStr">
        <is>
          <t>Poultry stock</t>
        </is>
      </c>
      <c r="I89" t="inlineStr">
        <is>
          <t>24</t>
        </is>
      </c>
    </row>
    <row r="90">
      <c r="A90" t="inlineStr">
        <is>
          <t>Stock</t>
        </is>
      </c>
      <c r="B90" t="inlineStr">
        <is>
          <t>Total, 24. 24 remain.</t>
        </is>
      </c>
      <c r="C90" t="n">
        <v>0</v>
      </c>
      <c r="D90" t="n">
        <v>0</v>
      </c>
      <c r="E90" t="inlineStr">
        <is>
          <t>Poultry stock</t>
        </is>
      </c>
    </row>
    <row r="91">
      <c r="A91" t="inlineStr">
        <is>
          <t>Stock</t>
        </is>
      </c>
      <c r="B91" t="inlineStr">
        <is>
          <t>Cocks and hens: 1 cock and 5 hens remain.</t>
        </is>
      </c>
      <c r="C91" t="n">
        <v>0</v>
      </c>
      <c r="D91" t="n">
        <v>0</v>
      </c>
      <c r="E91" t="inlineStr">
        <is>
          <t>Poultry stock</t>
        </is>
      </c>
    </row>
    <row r="92">
      <c r="A92" t="inlineStr">
        <is>
          <t>Stock</t>
        </is>
      </c>
      <c r="B92" t="inlineStr">
        <is>
          <t>Chickens: 24 from the offspring of the hens.</t>
        </is>
      </c>
      <c r="C92" t="n">
        <v>0</v>
      </c>
      <c r="D92" t="n">
        <v>0</v>
      </c>
      <c r="E92" t="inlineStr">
        <is>
          <t>Poultry stock</t>
        </is>
      </c>
      <c r="G92" t="inlineStr">
        <is>
          <t>24</t>
        </is>
      </c>
    </row>
    <row r="93">
      <c r="A93" t="inlineStr">
        <is>
          <t>Stock</t>
        </is>
      </c>
      <c r="B93" t="inlineStr">
        <is>
          <t>all turned into capons above.</t>
        </is>
      </c>
      <c r="C93" t="n">
        <v>0</v>
      </c>
      <c r="D93" t="n">
        <v>0</v>
      </c>
      <c r="E93" t="inlineStr">
        <is>
          <t>Poultry stock</t>
        </is>
      </c>
    </row>
    <row r="94">
      <c r="A94" t="inlineStr">
        <is>
          <t>Stock</t>
        </is>
      </c>
      <c r="B94" t="inlineStr">
        <is>
          <t>none remain.</t>
        </is>
      </c>
      <c r="C94" t="n">
        <v>0</v>
      </c>
      <c r="D94" t="n">
        <v>0</v>
      </c>
      <c r="E94" t="inlineStr">
        <is>
          <t>Poultry stock</t>
        </is>
      </c>
    </row>
    <row r="95">
      <c r="A95" t="inlineStr">
        <is>
          <t>Stock</t>
        </is>
      </c>
      <c r="B95" t="inlineStr">
        <is>
          <t>Eggs: 200 produced by the said hens.</t>
        </is>
      </c>
      <c r="C95" t="n">
        <v>0</v>
      </c>
      <c r="D95" t="n">
        <v>0</v>
      </c>
      <c r="E95" t="inlineStr">
        <is>
          <t>Poultry production</t>
        </is>
      </c>
    </row>
    <row r="96">
      <c r="A96" t="inlineStr">
        <is>
          <t>Stock</t>
        </is>
      </c>
      <c r="B96" t="inlineStr">
        <is>
          <t>sold within.</t>
        </is>
      </c>
      <c r="C96" t="n">
        <v>0</v>
      </c>
      <c r="D96" t="n">
        <v>0</v>
      </c>
      <c r="E96" t="inlineStr">
        <is>
          <t>Poultry production</t>
        </is>
      </c>
    </row>
    <row r="97">
      <c r="A97" t="inlineStr">
        <is>
          <t>Stock</t>
        </is>
      </c>
      <c r="B97" t="inlineStr">
        <is>
          <t>none remain.</t>
        </is>
      </c>
      <c r="C97" t="n">
        <v>0</v>
      </c>
      <c r="D97" t="n">
        <v>0</v>
      </c>
      <c r="E97" t="inlineStr">
        <is>
          <t>Poultry production</t>
        </is>
      </c>
    </row>
    <row r="98">
      <c r="A98" t="inlineStr">
        <is>
          <t>Stock</t>
        </is>
      </c>
      <c r="B98" t="inlineStr">
        <is>
          <t>Cocks and hens: 88 from the churchscot of the customary tenants at Martinmas.</t>
        </is>
      </c>
      <c r="C98" t="n">
        <v>0</v>
      </c>
      <c r="D98" t="n">
        <v>0</v>
      </c>
      <c r="E98" t="inlineStr">
        <is>
          <t>Poultry stock</t>
        </is>
      </c>
    </row>
    <row r="99">
      <c r="A99" t="inlineStr">
        <is>
          <t>Stock</t>
        </is>
      </c>
      <c r="B99" t="inlineStr">
        <is>
          <t>Total, 88. 8 in default of 1 half-virgate of land released to John Danyel.</t>
        </is>
      </c>
      <c r="C99" t="n">
        <v>0</v>
      </c>
      <c r="D99" t="n">
        <v>0</v>
      </c>
      <c r="E99" t="inlineStr">
        <is>
          <t>Poultry stock</t>
        </is>
      </c>
    </row>
    <row r="100">
      <c r="A100" t="inlineStr">
        <is>
          <t>Stock</t>
        </is>
      </c>
      <c r="B100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100" t="n">
        <v>0</v>
      </c>
      <c r="D100" t="n">
        <v>0</v>
      </c>
      <c r="E100" t="inlineStr">
        <is>
          <t>Poultry stock</t>
        </is>
      </c>
    </row>
    <row r="101">
      <c r="A101" t="inlineStr">
        <is>
          <t>Stock</t>
        </is>
      </c>
      <c r="B101" t="inlineStr">
        <is>
          <t>8 in default of 1 half-virgate of land formerly of Hugh Durant and 1 half-virgate of land formerly of John Apert because in the lord's hands.</t>
        </is>
      </c>
      <c r="C101" t="n">
        <v>0</v>
      </c>
      <c r="D101" t="n">
        <v>0</v>
      </c>
      <c r="E101" t="inlineStr">
        <is>
          <t>Poultry stock</t>
        </is>
      </c>
    </row>
    <row r="102">
      <c r="A102" t="inlineStr">
        <is>
          <t>Stock</t>
        </is>
      </c>
      <c r="B102" t="inlineStr">
        <is>
          <t>4 in default of 1 cottage recently of Alice Thomelyns and 1 cottage recently of Alice Malkyns.</t>
        </is>
      </c>
      <c r="C102" t="n">
        <v>0</v>
      </c>
      <c r="D102" t="n">
        <v>0</v>
      </c>
      <c r="E102" t="inlineStr">
        <is>
          <t>Poultry stock</t>
        </is>
      </c>
    </row>
    <row r="103">
      <c r="A103" t="inlineStr">
        <is>
          <t>Stock</t>
        </is>
      </c>
      <c r="B103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103" t="n">
        <v>0</v>
      </c>
      <c r="D103" t="n">
        <v>0</v>
      </c>
      <c r="E103" t="inlineStr">
        <is>
          <t>Poultry stock</t>
        </is>
      </c>
    </row>
    <row r="104">
      <c r="A104" t="inlineStr">
        <is>
          <t>Stock</t>
        </is>
      </c>
      <c r="B104" t="inlineStr">
        <is>
          <t>4 in default of the churchscot of Robert Pynnok' and John Chobbe because widowers.</t>
        </is>
      </c>
      <c r="C104" t="n">
        <v>0</v>
      </c>
      <c r="D104" t="n">
        <v>0</v>
      </c>
      <c r="E104" t="inlineStr">
        <is>
          <t>Poultry stock</t>
        </is>
      </c>
    </row>
    <row r="105">
      <c r="A105" t="inlineStr">
        <is>
          <t>Stock</t>
        </is>
      </c>
      <c r="B105" t="inlineStr">
        <is>
          <t>28 sold within.</t>
        </is>
      </c>
      <c r="C105" t="n">
        <v>0</v>
      </c>
      <c r="D105" t="n">
        <v>0</v>
      </c>
      <c r="E105" t="inlineStr">
        <is>
          <t>Poultry stock</t>
        </is>
      </c>
      <c r="I105" t="inlineStr">
        <is>
          <t>28</t>
        </is>
      </c>
    </row>
    <row r="106">
      <c r="A106" t="inlineStr">
        <is>
          <t>Stock</t>
        </is>
      </c>
      <c r="B106" t="inlineStr">
        <is>
          <t>Total as before.</t>
        </is>
      </c>
      <c r="C106" t="n">
        <v>0</v>
      </c>
      <c r="D106" t="n">
        <v>0</v>
      </c>
      <c r="E106" t="inlineStr">
        <is>
          <t>Poultry stock</t>
        </is>
      </c>
    </row>
    <row r="107">
      <c r="A107" t="inlineStr">
        <is>
          <t>Stock</t>
        </is>
      </c>
      <c r="B107" t="inlineStr">
        <is>
          <t>It balances.</t>
        </is>
      </c>
      <c r="C107" t="n">
        <v>0</v>
      </c>
      <c r="D107" t="n">
        <v>0</v>
      </c>
      <c r="E107" t="inlineStr">
        <is>
          <t>Poultry stock</t>
        </is>
      </c>
    </row>
    <row r="108">
      <c r="A108" t="inlineStr">
        <is>
          <t>Stock</t>
        </is>
      </c>
      <c r="B108" t="inlineStr">
        <is>
          <t>Labour services: The labour services of the customary tenants are to be found in the pipe roll for the first year of the translation of Henry Beaufort'.</t>
        </is>
      </c>
      <c r="C108" t="n">
        <v>0</v>
      </c>
      <c r="D108" t="n">
        <v>0</v>
      </c>
      <c r="E108" t="inlineStr">
        <is>
          <t>Poultry stock</t>
        </is>
      </c>
    </row>
    <row r="109">
      <c r="A109" t="inlineStr">
        <is>
          <t>Stock</t>
        </is>
      </c>
      <c r="B109" t="inlineStr">
        <is>
          <t>Utensils: 2 ploughs, 2 coulters, 2 ploughshares, 2 iron plough shoes (soltowys ferr), 8 chains and 8 yokes with iron crooks, rings and staples remain.</t>
        </is>
      </c>
      <c r="C109" t="n">
        <v>0</v>
      </c>
      <c r="D109" t="n">
        <v>0</v>
      </c>
      <c r="E109" t="inlineStr">
        <is>
          <t>Utensils</t>
        </is>
      </c>
    </row>
    <row r="110">
      <c r="A110" t="inlineStr">
        <is>
          <t>Stock</t>
        </is>
      </c>
      <c r="B110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110" t="n">
        <v>0</v>
      </c>
      <c r="D110" t="n">
        <v>0</v>
      </c>
      <c r="E110" t="inlineStr">
        <is>
          <t>Utensils</t>
        </is>
      </c>
      <c r="F110" t="inlineStr">
        <is>
          <t>2</t>
        </is>
      </c>
    </row>
    <row r="111">
      <c r="A111" t="inlineStr">
        <is>
          <t>Stock</t>
        </is>
      </c>
      <c r="B111" t="inlineStr">
        <is>
          <t>2 sacks, 1 basket for carrying corn, 1 winnowing-fan, 1 seed-basket, 1 dung-fork, 1 shovel fitted with iron, 1 bucket for grease, 1 bucket for the well and 2 ladders remain.</t>
        </is>
      </c>
      <c r="C111" t="n">
        <v>0</v>
      </c>
      <c r="D111" t="n">
        <v>0</v>
      </c>
      <c r="E111" t="inlineStr">
        <is>
          <t>Utensils</t>
        </is>
      </c>
    </row>
    <row r="112">
      <c r="A112" t="inlineStr">
        <is>
          <t>Stock</t>
        </is>
      </c>
      <c r="B112" t="inlineStr">
        <is>
          <t>1 iron bushel measure, 1 basin with a ewer, 2 brass pans, 1 mattock, 2 sarpliers, 3 posts (ypperis), 2 tables with trestles and 3 benches remain.</t>
        </is>
      </c>
      <c r="C112" t="n">
        <v>0</v>
      </c>
      <c r="D112" t="n">
        <v>0</v>
      </c>
      <c r="E112" t="inlineStr">
        <is>
          <t>Utensils</t>
        </is>
      </c>
    </row>
    <row r="113">
      <c r="A113" t="inlineStr">
        <is>
          <t>Stock</t>
        </is>
      </c>
      <c r="B113" t="inlineStr">
        <is>
          <t>340 feet of boards remain.</t>
        </is>
      </c>
      <c r="C113" t="n">
        <v>0</v>
      </c>
      <c r="D113" t="n">
        <v>0</v>
      </c>
      <c r="E113" t="inlineStr">
        <is>
          <t>Utensils</t>
        </is>
      </c>
    </row>
    <row r="114">
      <c r="A114" t="inlineStr">
        <is>
          <t>Stock</t>
        </is>
      </c>
      <c r="B114" t="inlineStr">
        <is>
          <t>All this remains.</t>
        </is>
      </c>
      <c r="C114" t="n">
        <v>0</v>
      </c>
      <c r="D114" t="n">
        <v>0</v>
      </c>
      <c r="E114" t="inlineStr">
        <is>
          <t>Utensils</t>
        </is>
      </c>
    </row>
    <row r="115">
      <c r="A115" t="inlineStr">
        <is>
          <t>Stock</t>
        </is>
      </c>
      <c r="B115" t="inlineStr">
        <is>
          <t>Total</t>
        </is>
      </c>
      <c r="C115" t="n">
        <v>0</v>
      </c>
      <c r="D115" t="n">
        <v>0</v>
      </c>
      <c r="E115" t="inlineStr">
        <is>
          <t>Utensils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Quarters 1_x</t>
        </is>
      </c>
      <c r="D1" t="inlineStr">
        <is>
          <t>Bushels 1_x</t>
        </is>
      </c>
      <c r="E1" t="inlineStr">
        <is>
          <t>Sown Quarters</t>
        </is>
      </c>
      <c r="F1" t="inlineStr">
        <is>
          <t>Sown Bushels</t>
        </is>
      </c>
      <c r="G1" t="inlineStr">
        <is>
          <t>Sown Total Quarters</t>
        </is>
      </c>
      <c r="H1" t="inlineStr">
        <is>
          <t>Bought in Quarters</t>
        </is>
      </c>
      <c r="I1" t="inlineStr">
        <is>
          <t>Bought in Bushels</t>
        </is>
      </c>
      <c r="J1" t="inlineStr">
        <is>
          <t>Bought in Total Quarters</t>
        </is>
      </c>
      <c r="K1" t="inlineStr">
        <is>
          <t>Tithe Quarters</t>
        </is>
      </c>
      <c r="L1" t="inlineStr">
        <is>
          <t>Tithe Bushels</t>
        </is>
      </c>
      <c r="M1" t="inlineStr">
        <is>
          <t>Tithe Total Quarters</t>
        </is>
      </c>
      <c r="N1" t="inlineStr">
        <is>
          <t>Manorial servants &amp; livestock Quarters</t>
        </is>
      </c>
      <c r="O1" t="inlineStr">
        <is>
          <t>Manorial servants &amp; livestock Bushels</t>
        </is>
      </c>
      <c r="P1" t="inlineStr">
        <is>
          <t>Manorial servants &amp; livestock Total Quarters</t>
        </is>
      </c>
      <c r="Q1" t="inlineStr">
        <is>
          <t>Sold Quarters</t>
        </is>
      </c>
      <c r="R1" t="inlineStr">
        <is>
          <t>Sold Bushels</t>
        </is>
      </c>
      <c r="S1" t="inlineStr">
        <is>
          <t>Sold Total Quarters</t>
        </is>
      </c>
      <c r="T1" t="inlineStr">
        <is>
          <t>Account Quarters</t>
        </is>
      </c>
      <c r="U1" t="inlineStr">
        <is>
          <t>Account Bushels</t>
        </is>
      </c>
      <c r="V1" t="inlineStr">
        <is>
          <t>Account Total Quarters</t>
        </is>
      </c>
      <c r="W1" t="inlineStr">
        <is>
          <t>bought only</t>
        </is>
      </c>
      <c r="X1" t="inlineStr">
        <is>
          <t>Total Quarters Except 1</t>
        </is>
      </c>
      <c r="Y1" t="inlineStr">
        <is>
          <t>Total Bushels Except 1</t>
        </is>
      </c>
      <c r="Z1" t="inlineStr">
        <is>
          <t>Total Corn Cross-Check</t>
        </is>
      </c>
      <c r="AA1" t="inlineStr">
        <is>
          <t>Total Corn Manorial Account</t>
        </is>
      </c>
      <c r="AB1" t="inlineStr">
        <is>
          <t>Corn Quantity Error</t>
        </is>
      </c>
      <c r="AC1" t="inlineStr">
        <is>
          <t>Quarters 1_y</t>
        </is>
      </c>
      <c r="AD1" t="inlineStr">
        <is>
          <t>Bushels 1_y</t>
        </is>
      </c>
      <c r="AE1" t="inlineStr">
        <is>
          <t>Quarters 2</t>
        </is>
      </c>
      <c r="AF1" t="inlineStr">
        <is>
          <t>Bushels 2</t>
        </is>
      </c>
      <c r="AG1" t="inlineStr">
        <is>
          <t>Quarters 3</t>
        </is>
      </c>
      <c r="AH1" t="inlineStr">
        <is>
          <t>Bushels 3</t>
        </is>
      </c>
      <c r="AI1" t="inlineStr">
        <is>
          <t>Total Bought Quarters</t>
        </is>
      </c>
    </row>
    <row r="2">
      <c r="A2" t="inlineStr">
        <is>
          <t>total of all allowances and 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AI2" t="n">
        <v>0</v>
      </c>
    </row>
    <row r="3">
      <c r="A3" t="inlineStr">
        <is>
          <t>wheat</t>
        </is>
      </c>
      <c r="B3" t="inlineStr">
        <is>
          <t>john algare, reeve there, answers for 49 quarters 1 bushels of wheat from the whole issue of the grange, threshed by piece-work.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</v>
      </c>
      <c r="U3" t="n">
        <v>1</v>
      </c>
      <c r="V3" t="n">
        <v>49.12</v>
      </c>
      <c r="W3" t="n">
        <v>0</v>
      </c>
      <c r="X3" t="n">
        <v>49</v>
      </c>
      <c r="Y3" t="n">
        <v>1</v>
      </c>
      <c r="Z3" t="n">
        <v>49.12</v>
      </c>
      <c r="AA3" t="n">
        <v>49.12</v>
      </c>
      <c r="AB3" t="n">
        <v>0</v>
      </c>
      <c r="AC3" t="n">
        <v>49</v>
      </c>
      <c r="AD3" t="n">
        <v>1</v>
      </c>
      <c r="AI3" t="n">
        <v>0</v>
      </c>
    </row>
    <row r="4">
      <c r="A4" t="inlineStr">
        <is>
          <t>wheat</t>
        </is>
      </c>
      <c r="B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4</v>
      </c>
      <c r="AA4" t="n">
        <v>4</v>
      </c>
      <c r="AB4" t="n">
        <v>0</v>
      </c>
      <c r="AC4" t="n">
        <v>4</v>
      </c>
      <c r="AD4" t="n">
        <v>0</v>
      </c>
      <c r="AI4" t="n">
        <v>0</v>
      </c>
    </row>
    <row r="5">
      <c r="A5" t="inlineStr">
        <is>
          <t>wheat</t>
        </is>
      </c>
      <c r="B5" t="inlineStr">
        <is>
          <t>5 quarters 3 bushels surcharged so that he answers for a 5-fold yield..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n">
        <v>3</v>
      </c>
      <c r="Z5" t="n">
        <v>5.38</v>
      </c>
      <c r="AA5" t="n">
        <v>5.38</v>
      </c>
      <c r="AB5" t="n">
        <v>0</v>
      </c>
      <c r="AC5" t="n">
        <v>5</v>
      </c>
      <c r="AD5" t="n">
        <v>3</v>
      </c>
      <c r="AI5" t="n">
        <v>0</v>
      </c>
    </row>
    <row r="6">
      <c r="A6" t="inlineStr">
        <is>
          <t>wheat</t>
        </is>
      </c>
      <c r="B6" t="inlineStr">
        <is>
          <t>total, 58 quarters 4 bushels.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</v>
      </c>
      <c r="Y6" t="n">
        <v>4</v>
      </c>
      <c r="Z6" t="n">
        <v>58.5</v>
      </c>
      <c r="AA6" t="n">
        <v>58.5</v>
      </c>
      <c r="AB6" t="n">
        <v>0</v>
      </c>
      <c r="AC6" t="n">
        <v>58</v>
      </c>
      <c r="AD6" t="n">
        <v>4</v>
      </c>
      <c r="AI6" t="n">
        <v>0</v>
      </c>
    </row>
    <row r="7">
      <c r="A7" t="inlineStr">
        <is>
          <t>wheat</t>
        </is>
      </c>
      <c r="B7" t="inlineStr">
        <is>
          <t>sown over 48 acres, 12 quarters.</t>
        </is>
      </c>
      <c r="C7" t="n">
        <v>0</v>
      </c>
      <c r="D7" t="n">
        <v>0</v>
      </c>
      <c r="E7" t="n">
        <v>12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</v>
      </c>
      <c r="Y7" t="n">
        <v>0</v>
      </c>
      <c r="Z7" t="n">
        <v>12</v>
      </c>
      <c r="AA7" t="n">
        <v>12</v>
      </c>
      <c r="AB7" t="n">
        <v>0</v>
      </c>
      <c r="AC7" t="n">
        <v>12</v>
      </c>
      <c r="AD7" t="n">
        <v>0</v>
      </c>
      <c r="AI7" t="n">
        <v>0</v>
      </c>
    </row>
    <row r="8">
      <c r="A8" t="inlineStr">
        <is>
          <t>wheat</t>
        </is>
      </c>
      <c r="B8" t="inlineStr">
        <is>
          <t>that is, 2 bushels an acre.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0.25</v>
      </c>
      <c r="AA8" t="n">
        <v>0.25</v>
      </c>
      <c r="AB8" t="n">
        <v>0</v>
      </c>
      <c r="AC8" t="n">
        <v>0</v>
      </c>
      <c r="AD8" t="n">
        <v>2</v>
      </c>
      <c r="AI8" t="n">
        <v>0</v>
      </c>
    </row>
    <row r="9">
      <c r="A9" t="inlineStr">
        <is>
          <t>wheat</t>
        </is>
      </c>
      <c r="B9" t="inlineStr">
        <is>
          <t>given to the customary tenants in 4 acres which they receive according to custom, 4 quarters.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0</v>
      </c>
      <c r="Z9" t="n">
        <v>4</v>
      </c>
      <c r="AA9" t="n">
        <v>4</v>
      </c>
      <c r="AB9" t="n">
        <v>0</v>
      </c>
      <c r="AC9" t="n">
        <v>4</v>
      </c>
      <c r="AD9" t="n">
        <v>0</v>
      </c>
      <c r="AI9" t="n">
        <v>0</v>
      </c>
    </row>
    <row r="10">
      <c r="A10" t="inlineStr">
        <is>
          <t>wheat</t>
        </is>
      </c>
      <c r="B10" t="inlineStr">
        <is>
          <t>provision of the steward at the tourns of martinmas and hockday, by 2 sealed bills, 2.5 bushels.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0.31</v>
      </c>
      <c r="AA10" t="n">
        <v>0.31</v>
      </c>
      <c r="AB10" t="n">
        <v>0</v>
      </c>
      <c r="AC10" t="n">
        <v>0</v>
      </c>
      <c r="AD10" t="n">
        <v>2.5</v>
      </c>
      <c r="AI10" t="n">
        <v>0</v>
      </c>
    </row>
    <row r="11">
      <c r="A11" t="inlineStr">
        <is>
          <t>wheat</t>
        </is>
      </c>
      <c r="B11" t="inlineStr">
        <is>
          <t>sold within, 36 quarters 6.5 bushels.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</v>
      </c>
      <c r="R11" t="n">
        <v>6.5</v>
      </c>
      <c r="S11" t="n">
        <v>36.81</v>
      </c>
      <c r="T11" t="n">
        <v>0</v>
      </c>
      <c r="U11" t="n">
        <v>0</v>
      </c>
      <c r="V11" t="n">
        <v>0</v>
      </c>
      <c r="W11" t="n">
        <v>0</v>
      </c>
      <c r="X11" t="n">
        <v>36</v>
      </c>
      <c r="Y11" t="n">
        <v>6.5</v>
      </c>
      <c r="Z11" t="n">
        <v>36.81</v>
      </c>
      <c r="AA11" t="n">
        <v>36.81</v>
      </c>
      <c r="AB11" t="n">
        <v>0</v>
      </c>
      <c r="AC11" t="n">
        <v>36</v>
      </c>
      <c r="AD11" t="n">
        <v>6.5</v>
      </c>
      <c r="AI11" t="n">
        <v>0</v>
      </c>
    </row>
    <row r="12">
      <c r="A12" t="inlineStr">
        <is>
          <t>wheat</t>
        </is>
      </c>
      <c r="B12" t="inlineStr">
        <is>
          <t>sold at the audit, 6 quarters' 3 bushels for £2 17 shilling 3pence.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6</v>
      </c>
      <c r="Y12" t="n">
        <v>3</v>
      </c>
      <c r="Z12" t="n">
        <v>6.38</v>
      </c>
      <c r="AA12" t="n">
        <v>6</v>
      </c>
      <c r="AB12" t="n">
        <v>0.38</v>
      </c>
      <c r="AC12" t="n">
        <v>6</v>
      </c>
      <c r="AD12" t="n">
        <v>0</v>
      </c>
      <c r="AE12" t="n">
        <v>0</v>
      </c>
      <c r="AF12" t="n">
        <v>3</v>
      </c>
      <c r="AI12" t="n">
        <v>0</v>
      </c>
    </row>
    <row r="13">
      <c r="A13" t="inlineStr">
        <is>
          <t>wheat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I13" t="n">
        <v>0</v>
      </c>
    </row>
    <row r="14">
      <c r="A14" t="inlineStr">
        <is>
          <t>wheat</t>
        </is>
      </c>
      <c r="B14" t="inlineStr">
        <is>
          <t>it balances.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I14" t="n">
        <v>0</v>
      </c>
    </row>
    <row r="15">
      <c r="A15" t="inlineStr">
        <is>
          <t>wheat</t>
        </is>
      </c>
      <c r="B15" t="inlineStr">
        <is>
          <t>total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AI15" t="n">
        <v>0</v>
      </c>
    </row>
    <row r="16">
      <c r="A16" t="inlineStr">
        <is>
          <t>curall</t>
        </is>
      </c>
      <c r="B16" t="inlineStr">
        <is>
          <t>and for 4 quarters of curall from the issue of the said wheat, threshed by piece-work.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0</v>
      </c>
      <c r="Z16" t="n">
        <v>4</v>
      </c>
      <c r="AA16" t="n">
        <v>4</v>
      </c>
      <c r="AB16" t="n">
        <v>0</v>
      </c>
      <c r="AC16" t="n">
        <v>4</v>
      </c>
      <c r="AD16" t="n">
        <v>0</v>
      </c>
      <c r="AI16" t="n">
        <v>0</v>
      </c>
    </row>
    <row r="17">
      <c r="A17" t="inlineStr">
        <is>
          <t>curall</t>
        </is>
      </c>
      <c r="B17" t="inlineStr">
        <is>
          <t>sold within.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I17" t="n">
        <v>0</v>
      </c>
    </row>
    <row r="18">
      <c r="A18" t="inlineStr">
        <is>
          <t>curall</t>
        </is>
      </c>
      <c r="B18" t="inlineStr">
        <is>
          <t>none remains.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I18" t="n">
        <v>0</v>
      </c>
    </row>
    <row r="19">
      <c r="A19" t="inlineStr">
        <is>
          <t>curall</t>
        </is>
      </c>
      <c r="B19" t="inlineStr">
        <is>
          <t>total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AI19" t="n">
        <v>0</v>
      </c>
    </row>
    <row r="20">
      <c r="A20" t="inlineStr">
        <is>
          <t>barley</t>
        </is>
      </c>
      <c r="B20" t="inlineStr">
        <is>
          <t>and for 106 quarters 1 bushels of barley from the whole issue of the grange, threshed by piece¬work.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</v>
      </c>
      <c r="U20" t="n">
        <v>1</v>
      </c>
      <c r="V20" t="n">
        <v>106.12</v>
      </c>
      <c r="W20" t="n">
        <v>0</v>
      </c>
      <c r="X20" t="n">
        <v>106</v>
      </c>
      <c r="Y20" t="n">
        <v>1</v>
      </c>
      <c r="Z20" t="n">
        <v>106.12</v>
      </c>
      <c r="AA20" t="n">
        <v>106.12</v>
      </c>
      <c r="AB20" t="n">
        <v>0</v>
      </c>
      <c r="AC20" t="n">
        <v>106</v>
      </c>
      <c r="AD20" t="n">
        <v>1</v>
      </c>
      <c r="AI20" t="n">
        <v>0</v>
      </c>
    </row>
    <row r="21">
      <c r="A21" t="inlineStr">
        <is>
          <t>barley</t>
        </is>
      </c>
      <c r="B21" t="inlineStr">
        <is>
          <t>1 qr 2 bushels by estimation in sheaves given for carrying the lord's corn at harvest-time.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AI21" t="n">
        <v>0</v>
      </c>
    </row>
    <row r="22">
      <c r="A22" t="inlineStr">
        <is>
          <t>barley</t>
        </is>
      </c>
      <c r="B22" t="inlineStr">
        <is>
          <t>no corn given to the customary tenants for reaping this year because they were paid for their reaping service as made clear within.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I22" t="n">
        <v>0</v>
      </c>
    </row>
    <row r="23">
      <c r="A23" t="inlineStr">
        <is>
          <t>barley</t>
        </is>
      </c>
      <c r="B23" t="inlineStr">
        <is>
          <t>11 quarters 3 bushels surcharged so that he answers for a 5.5-fold yield..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</v>
      </c>
      <c r="Y23" t="n">
        <v>3</v>
      </c>
      <c r="Z23" t="n">
        <v>11.38</v>
      </c>
      <c r="AA23" t="n">
        <v>11.38</v>
      </c>
      <c r="AB23" t="n">
        <v>0</v>
      </c>
      <c r="AC23" t="n">
        <v>11</v>
      </c>
      <c r="AD23" t="n">
        <v>3</v>
      </c>
      <c r="AI23" t="n">
        <v>0</v>
      </c>
    </row>
    <row r="24">
      <c r="A24" t="inlineStr">
        <is>
          <t>barley</t>
        </is>
      </c>
      <c r="B24" t="inlineStr">
        <is>
          <t>total, 118 quarters 6 bushels.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6</v>
      </c>
      <c r="Z24" t="n">
        <v>118.75</v>
      </c>
      <c r="AA24" t="n">
        <v>118.75</v>
      </c>
      <c r="AB24" t="n">
        <v>0</v>
      </c>
      <c r="AC24" t="n">
        <v>118</v>
      </c>
      <c r="AD24" t="n">
        <v>6</v>
      </c>
      <c r="AI24" t="n">
        <v>0</v>
      </c>
    </row>
    <row r="25">
      <c r="A25" t="inlineStr">
        <is>
          <t>barley</t>
        </is>
      </c>
      <c r="B25" t="inlineStr">
        <is>
          <t>sown over 42 acres, 21 quarters.</t>
        </is>
      </c>
      <c r="C25" t="n">
        <v>0</v>
      </c>
      <c r="D25" t="n">
        <v>0</v>
      </c>
      <c r="E25" t="n">
        <v>21</v>
      </c>
      <c r="F25" t="n">
        <v>0</v>
      </c>
      <c r="G25" t="n">
        <v>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</v>
      </c>
      <c r="Y25" t="n">
        <v>0</v>
      </c>
      <c r="Z25" t="n">
        <v>21</v>
      </c>
      <c r="AA25" t="n">
        <v>21</v>
      </c>
      <c r="AB25" t="n">
        <v>0</v>
      </c>
      <c r="AC25" t="n">
        <v>21</v>
      </c>
      <c r="AD25" t="n">
        <v>0</v>
      </c>
      <c r="AI25" t="n">
        <v>0</v>
      </c>
    </row>
    <row r="26">
      <c r="A26" t="inlineStr">
        <is>
          <t>barley</t>
        </is>
      </c>
      <c r="B26" t="inlineStr">
        <is>
          <t>that is, 4 bushels an acre.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0.5</v>
      </c>
      <c r="AA26" t="n">
        <v>0.5</v>
      </c>
      <c r="AB26" t="n">
        <v>0</v>
      </c>
      <c r="AC26" t="n">
        <v>0</v>
      </c>
      <c r="AD26" t="n">
        <v>4</v>
      </c>
      <c r="AI26" t="n">
        <v>0</v>
      </c>
    </row>
    <row r="27">
      <c r="A27" t="inlineStr">
        <is>
          <t>barley</t>
        </is>
      </c>
      <c r="B27" t="inlineStr">
        <is>
          <t>given for carrying the lord's corn at harvest-time, 1 qr 2 bushels by estimation in sheaves.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AI27" t="n">
        <v>0</v>
      </c>
    </row>
    <row r="28">
      <c r="A28" t="inlineStr">
        <is>
          <t>barley</t>
        </is>
      </c>
      <c r="B28" t="inlineStr">
        <is>
          <t>provision of 3 harvest boon-works, 2 quarters.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2</v>
      </c>
      <c r="AA28" t="n">
        <v>2</v>
      </c>
      <c r="AB28" t="n">
        <v>0</v>
      </c>
      <c r="AC28" t="n">
        <v>2</v>
      </c>
      <c r="AD28" t="n">
        <v>0</v>
      </c>
      <c r="AI28" t="n">
        <v>0</v>
      </c>
    </row>
    <row r="29">
      <c r="A29" t="inlineStr">
        <is>
          <t>barley</t>
        </is>
      </c>
      <c r="B29" t="inlineStr">
        <is>
          <t>liveries of the manorial servants below, 45 quarters..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45</v>
      </c>
      <c r="Y29" t="n">
        <v>0</v>
      </c>
      <c r="Z29" t="n">
        <v>45</v>
      </c>
      <c r="AA29" t="n">
        <v>45</v>
      </c>
      <c r="AB29" t="n">
        <v>0</v>
      </c>
      <c r="AC29" t="n">
        <v>45</v>
      </c>
      <c r="AD29" t="n">
        <v>0</v>
      </c>
      <c r="AI29" t="n">
        <v>0</v>
      </c>
    </row>
    <row r="30">
      <c r="A30" t="inlineStr">
        <is>
          <t>barley</t>
        </is>
      </c>
      <c r="B30" t="inlineStr">
        <is>
          <t>sold within, 38 quarters 1 bushels.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</v>
      </c>
      <c r="R30" t="n">
        <v>1</v>
      </c>
      <c r="S30" t="n">
        <v>38.12</v>
      </c>
      <c r="T30" t="n">
        <v>0</v>
      </c>
      <c r="U30" t="n">
        <v>0</v>
      </c>
      <c r="V30" t="n">
        <v>0</v>
      </c>
      <c r="W30" t="n">
        <v>0</v>
      </c>
      <c r="X30" t="n">
        <v>38</v>
      </c>
      <c r="Y30" t="n">
        <v>1</v>
      </c>
      <c r="Z30" t="n">
        <v>38.12</v>
      </c>
      <c r="AA30" t="n">
        <v>38.12</v>
      </c>
      <c r="AB30" t="n">
        <v>0</v>
      </c>
      <c r="AC30" t="n">
        <v>38</v>
      </c>
      <c r="AD30" t="n">
        <v>1</v>
      </c>
      <c r="AI30" t="n">
        <v>0</v>
      </c>
    </row>
    <row r="31">
      <c r="A31" t="inlineStr">
        <is>
          <t>barley</t>
        </is>
      </c>
      <c r="B31" t="inlineStr">
        <is>
          <t>sold at the audit, 11 quarters 3 bushels for £3 8 shilling 3pence.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</v>
      </c>
      <c r="R31" t="n">
        <v>3</v>
      </c>
      <c r="S31" t="n">
        <v>11.38</v>
      </c>
      <c r="T31" t="n">
        <v>0</v>
      </c>
      <c r="U31" t="n">
        <v>0</v>
      </c>
      <c r="V31" t="n">
        <v>0</v>
      </c>
      <c r="W31" t="n">
        <v>0</v>
      </c>
      <c r="X31" t="n">
        <v>11</v>
      </c>
      <c r="Y31" t="n">
        <v>3</v>
      </c>
      <c r="Z31" t="n">
        <v>11.38</v>
      </c>
      <c r="AA31" t="n">
        <v>11.38</v>
      </c>
      <c r="AB31" t="n">
        <v>0</v>
      </c>
      <c r="AC31" t="n">
        <v>11</v>
      </c>
      <c r="AD31" t="n">
        <v>3</v>
      </c>
      <c r="AI31" t="n">
        <v>0</v>
      </c>
    </row>
    <row r="32">
      <c r="A32" t="inlineStr">
        <is>
          <t>barley</t>
        </is>
      </c>
      <c r="B32" t="inlineStr">
        <is>
          <t>total as before.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I32" t="n">
        <v>0</v>
      </c>
    </row>
    <row r="33">
      <c r="A33" t="inlineStr">
        <is>
          <t>barley</t>
        </is>
      </c>
      <c r="B33" t="inlineStr">
        <is>
          <t>it balances.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I33" t="n">
        <v>0</v>
      </c>
    </row>
    <row r="34">
      <c r="A34" t="inlineStr">
        <is>
          <t>barley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AI34" t="n">
        <v>0</v>
      </c>
    </row>
    <row r="35">
      <c r="A35" t="inlineStr">
        <is>
          <t>oats</t>
        </is>
      </c>
      <c r="B35" t="inlineStr">
        <is>
          <t>and for 20 quarters 4 bushels of oats from the whole issue2 of the grange, threshed by piece¬work.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</v>
      </c>
      <c r="U35" t="n">
        <v>4</v>
      </c>
      <c r="V35" t="n">
        <v>20.5</v>
      </c>
      <c r="W35" t="n">
        <v>0</v>
      </c>
      <c r="X35" t="n">
        <v>20</v>
      </c>
      <c r="Y35" t="n">
        <v>4</v>
      </c>
      <c r="Z35" t="n">
        <v>20.5</v>
      </c>
      <c r="AA35" t="n">
        <v>20.5</v>
      </c>
      <c r="AB35" t="n">
        <v>0</v>
      </c>
      <c r="AC35" t="n">
        <v>20</v>
      </c>
      <c r="AD35" t="n">
        <v>4</v>
      </c>
      <c r="AI35" t="n">
        <v>0</v>
      </c>
    </row>
    <row r="36">
      <c r="A36" t="inlineStr">
        <is>
          <t>oats</t>
        </is>
      </c>
      <c r="B36" t="inlineStr">
        <is>
          <t>6 bushels by estimation in sheaves given for carrying the lord's corn at harvest-time.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</v>
      </c>
      <c r="Z36" t="n">
        <v>0.75</v>
      </c>
      <c r="AA36" t="n">
        <v>0.75</v>
      </c>
      <c r="AB36" t="n">
        <v>0</v>
      </c>
      <c r="AC36" t="n">
        <v>0</v>
      </c>
      <c r="AD36" t="n">
        <v>6</v>
      </c>
      <c r="AI36" t="n">
        <v>0</v>
      </c>
    </row>
    <row r="37">
      <c r="A37" t="inlineStr">
        <is>
          <t>oats</t>
        </is>
      </c>
      <c r="B37" t="inlineStr">
        <is>
          <t>no sheaves given for reaping for the aforesaid reason.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I37" t="n">
        <v>0</v>
      </c>
    </row>
    <row r="38">
      <c r="A38" t="inlineStr">
        <is>
          <t>oats</t>
        </is>
      </c>
      <c r="B38" t="inlineStr">
        <is>
          <t>5 quarters 6 bushels surcharged so that he answers for a 3-fold yield..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n">
        <v>5.75</v>
      </c>
      <c r="AA38" t="n">
        <v>5.75</v>
      </c>
      <c r="AB38" t="n">
        <v>0</v>
      </c>
      <c r="AC38" t="n">
        <v>5</v>
      </c>
      <c r="AD38" t="n">
        <v>6</v>
      </c>
      <c r="AI38" t="n">
        <v>0</v>
      </c>
    </row>
    <row r="39">
      <c r="A39" t="inlineStr">
        <is>
          <t>oats</t>
        </is>
      </c>
      <c r="B39" t="inlineStr">
        <is>
          <t>total, 27 quarters.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27</v>
      </c>
      <c r="Y39" t="n">
        <v>0</v>
      </c>
      <c r="Z39" t="n">
        <v>27</v>
      </c>
      <c r="AA39" t="n">
        <v>27</v>
      </c>
      <c r="AB39" t="n">
        <v>0</v>
      </c>
      <c r="AC39" t="n">
        <v>27</v>
      </c>
      <c r="AD39" t="n">
        <v>0</v>
      </c>
      <c r="AI39" t="n">
        <v>0</v>
      </c>
    </row>
    <row r="40">
      <c r="A40" t="inlineStr">
        <is>
          <t>oats</t>
        </is>
      </c>
      <c r="B40" t="inlineStr">
        <is>
          <t>sown over 20 acres, 10 quarters.</t>
        </is>
      </c>
      <c r="C40" t="n">
        <v>0</v>
      </c>
      <c r="D40" t="n">
        <v>0</v>
      </c>
      <c r="E40" t="n">
        <v>10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</v>
      </c>
      <c r="Y40" t="n">
        <v>0</v>
      </c>
      <c r="Z40" t="n">
        <v>10</v>
      </c>
      <c r="AA40" t="n">
        <v>10</v>
      </c>
      <c r="AB40" t="n">
        <v>0</v>
      </c>
      <c r="AC40" t="n">
        <v>10</v>
      </c>
      <c r="AD40" t="n">
        <v>0</v>
      </c>
      <c r="AI40" t="n">
        <v>0</v>
      </c>
    </row>
    <row r="41">
      <c r="A41" t="inlineStr">
        <is>
          <t>oats</t>
        </is>
      </c>
      <c r="B41" t="inlineStr">
        <is>
          <t>that is, 4 bushels an acre.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0.5</v>
      </c>
      <c r="AA41" t="n">
        <v>0.5</v>
      </c>
      <c r="AB41" t="n">
        <v>0</v>
      </c>
      <c r="AC41" t="n">
        <v>0</v>
      </c>
      <c r="AD41" t="n">
        <v>4</v>
      </c>
      <c r="AI41" t="n">
        <v>0</v>
      </c>
    </row>
    <row r="42">
      <c r="A42" t="inlineStr">
        <is>
          <t>oats</t>
        </is>
      </c>
      <c r="B42" t="inlineStr">
        <is>
          <t>given for carrying the lord's corn at harvest-time, 6 bushels by estimation in sheaves.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0.75</v>
      </c>
      <c r="AA42" t="n">
        <v>0.75</v>
      </c>
      <c r="AB42" t="n">
        <v>0</v>
      </c>
      <c r="AC42" t="n">
        <v>0</v>
      </c>
      <c r="AD42" t="n">
        <v>6</v>
      </c>
      <c r="AI42" t="n">
        <v>0</v>
      </c>
    </row>
    <row r="43">
      <c r="A43" t="inlineStr">
        <is>
          <t>oats</t>
        </is>
      </c>
      <c r="B43" t="inlineStr">
        <is>
          <t>making meal for the pottage of the manorial servants for the year, 3 quarters.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3</v>
      </c>
      <c r="AA43" t="n">
        <v>3</v>
      </c>
      <c r="AB43" t="n">
        <v>0</v>
      </c>
      <c r="AC43" t="n">
        <v>3</v>
      </c>
      <c r="AD43" t="n">
        <v>0</v>
      </c>
      <c r="AI43" t="n">
        <v>0</v>
      </c>
    </row>
    <row r="44">
      <c r="A44" t="inlineStr">
        <is>
          <t>oats</t>
        </is>
      </c>
      <c r="B44" t="inlineStr">
        <is>
          <t>fodder of the horses of the steward at the tourns of martinmas and hockday, by 2 sealed bills, 2 quarters 7 bushels.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7</v>
      </c>
      <c r="P44" t="n">
        <v>2.88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7</v>
      </c>
      <c r="Z44" t="n">
        <v>2.88</v>
      </c>
      <c r="AA44" t="n">
        <v>2.88</v>
      </c>
      <c r="AB44" t="n">
        <v>0</v>
      </c>
      <c r="AC44" t="n">
        <v>2</v>
      </c>
      <c r="AD44" t="n">
        <v>7</v>
      </c>
      <c r="AI44" t="n">
        <v>0</v>
      </c>
    </row>
    <row r="45">
      <c r="A45" t="inlineStr">
        <is>
          <t>oats</t>
        </is>
      </c>
      <c r="B45" t="inlineStr">
        <is>
          <t>sold within, 4 quarters 5 bushels.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5</v>
      </c>
      <c r="S45" t="n">
        <v>4.62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n">
        <v>4.62</v>
      </c>
      <c r="AA45" t="n">
        <v>4.62</v>
      </c>
      <c r="AB45" t="n">
        <v>0</v>
      </c>
      <c r="AC45" t="n">
        <v>4</v>
      </c>
      <c r="AD45" t="n">
        <v>5</v>
      </c>
      <c r="AI45" t="n">
        <v>0</v>
      </c>
    </row>
    <row r="46">
      <c r="A46" t="inlineStr">
        <is>
          <t>oats</t>
        </is>
      </c>
      <c r="B46" t="inlineStr">
        <is>
          <t>sold at the audit, 5 quarters 6 bushels for 17 shilling 3pence.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6</v>
      </c>
      <c r="S46" t="n">
        <v>5.75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6</v>
      </c>
      <c r="Z46" t="n">
        <v>5.75</v>
      </c>
      <c r="AA46" t="n">
        <v>5.75</v>
      </c>
      <c r="AB46" t="n">
        <v>0</v>
      </c>
      <c r="AC46" t="n">
        <v>5</v>
      </c>
      <c r="AD46" t="n">
        <v>6</v>
      </c>
      <c r="AI46" t="n">
        <v>0</v>
      </c>
    </row>
    <row r="47">
      <c r="A47" t="inlineStr">
        <is>
          <t>oats</t>
        </is>
      </c>
      <c r="B47" t="inlineStr">
        <is>
          <t>total as before.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I47" t="n">
        <v>0</v>
      </c>
    </row>
    <row r="48">
      <c r="A48" t="inlineStr">
        <is>
          <t>oats</t>
        </is>
      </c>
      <c r="B48" t="inlineStr">
        <is>
          <t>it balances.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I48" t="n">
        <v>0</v>
      </c>
    </row>
    <row r="49">
      <c r="A49" t="inlineStr">
        <is>
          <t>oats</t>
        </is>
      </c>
      <c r="B49" t="inlineStr">
        <is>
          <t>total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AI49" t="n">
        <v>0</v>
      </c>
    </row>
    <row r="50">
      <c r="A50" t="inlineStr">
        <is>
          <t>peas</t>
        </is>
      </c>
      <c r="B50" t="inlineStr">
        <is>
          <t>and for 5 quarters 1 bushels of peas from the issue of the grange, threshed by the manorial servants.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</v>
      </c>
      <c r="Y50" t="n">
        <v>1</v>
      </c>
      <c r="Z50" t="n">
        <v>5.12</v>
      </c>
      <c r="AA50" t="n">
        <v>5.12</v>
      </c>
      <c r="AB50" t="n">
        <v>0</v>
      </c>
      <c r="AC50" t="n">
        <v>5</v>
      </c>
      <c r="AD50" t="n">
        <v>1</v>
      </c>
      <c r="AI50" t="n">
        <v>0</v>
      </c>
    </row>
    <row r="51">
      <c r="A51" t="inlineStr">
        <is>
          <t>peas</t>
        </is>
      </c>
      <c r="B51" t="inlineStr">
        <is>
          <t>2 quarters from the same issue by estimation in husks.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2</v>
      </c>
      <c r="AB51" t="n">
        <v>0</v>
      </c>
      <c r="AC51" t="n">
        <v>2</v>
      </c>
      <c r="AD51" t="n">
        <v>0</v>
      </c>
      <c r="AI51" t="n">
        <v>0</v>
      </c>
    </row>
    <row r="52">
      <c r="A52" t="inlineStr">
        <is>
          <t>peas</t>
        </is>
      </c>
      <c r="B52" t="inlineStr">
        <is>
          <t>2 bushels by estimation in sheaves given for carrying the lord's corn at harvest-time.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0.25</v>
      </c>
      <c r="AA52" t="n">
        <v>0.25</v>
      </c>
      <c r="AB52" t="n">
        <v>0</v>
      </c>
      <c r="AC52" t="n">
        <v>0</v>
      </c>
      <c r="AD52" t="n">
        <v>2</v>
      </c>
      <c r="AI52" t="n">
        <v>0</v>
      </c>
    </row>
    <row r="53">
      <c r="A53" t="inlineStr">
        <is>
          <t>peas</t>
        </is>
      </c>
      <c r="B53" t="inlineStr">
        <is>
          <t>no sheaves given for reaping for the aforesaid reason..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I53" t="n">
        <v>0</v>
      </c>
    </row>
    <row r="54">
      <c r="A54" t="inlineStr">
        <is>
          <t>peas</t>
        </is>
      </c>
      <c r="B54" t="inlineStr">
        <is>
          <t>total, 7 quarters 3 bushels.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</v>
      </c>
      <c r="Y54" t="n">
        <v>3</v>
      </c>
      <c r="Z54" t="n">
        <v>7.38</v>
      </c>
      <c r="AA54" t="n">
        <v>7.38</v>
      </c>
      <c r="AB54" t="n">
        <v>0</v>
      </c>
      <c r="AC54" t="n">
        <v>7</v>
      </c>
      <c r="AD54" t="n">
        <v>3</v>
      </c>
      <c r="AI54" t="n">
        <v>0</v>
      </c>
    </row>
    <row r="55">
      <c r="A55" t="inlineStr">
        <is>
          <t>peas</t>
        </is>
      </c>
      <c r="B55" t="inlineStr">
        <is>
          <t>sown over 10 acres, 2 quarters 4 bushels.</t>
        </is>
      </c>
      <c r="C55" t="n">
        <v>0</v>
      </c>
      <c r="D55" t="n">
        <v>0</v>
      </c>
      <c r="E55" t="n">
        <v>2</v>
      </c>
      <c r="F55" t="n">
        <v>4</v>
      </c>
      <c r="G55" t="n">
        <v>2.5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4</v>
      </c>
      <c r="Z55" t="n">
        <v>2.5</v>
      </c>
      <c r="AA55" t="n">
        <v>2.5</v>
      </c>
      <c r="AB55" t="n">
        <v>0</v>
      </c>
      <c r="AC55" t="n">
        <v>2</v>
      </c>
      <c r="AD55" t="n">
        <v>4</v>
      </c>
      <c r="AI55" t="n">
        <v>0</v>
      </c>
    </row>
    <row r="56">
      <c r="A56" t="inlineStr">
        <is>
          <t>peas</t>
        </is>
      </c>
      <c r="B56" t="inlineStr">
        <is>
          <t>that is, 2 bushels an acre.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0.25</v>
      </c>
      <c r="AA56" t="n">
        <v>0.25</v>
      </c>
      <c r="AB56" t="n">
        <v>0</v>
      </c>
      <c r="AC56" t="n">
        <v>0</v>
      </c>
      <c r="AD56" t="n">
        <v>2</v>
      </c>
      <c r="AI56" t="n">
        <v>0</v>
      </c>
    </row>
    <row r="57">
      <c r="A57" t="inlineStr">
        <is>
          <t>peas</t>
        </is>
      </c>
      <c r="B57" t="inlineStr">
        <is>
          <t>supporting the ewes in winter, 2 quarters by estimation in husks.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2</v>
      </c>
      <c r="AB57" t="n">
        <v>0</v>
      </c>
      <c r="AC57" t="n">
        <v>2</v>
      </c>
      <c r="AD57" t="n">
        <v>0</v>
      </c>
      <c r="AI57" t="n">
        <v>0</v>
      </c>
    </row>
    <row r="58">
      <c r="A58" t="inlineStr">
        <is>
          <t>peas</t>
        </is>
      </c>
      <c r="B58" t="inlineStr">
        <is>
          <t>given for carrying the lord's corn at harvest-time, 2 bushels.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0.25</v>
      </c>
      <c r="AA58" t="n">
        <v>0.25</v>
      </c>
      <c r="AB58" t="n">
        <v>0</v>
      </c>
      <c r="AC58" t="n">
        <v>0</v>
      </c>
      <c r="AD58" t="n">
        <v>2</v>
      </c>
      <c r="AI58" t="n">
        <v>0</v>
      </c>
    </row>
    <row r="59">
      <c r="A59" t="inlineStr">
        <is>
          <t>peas</t>
        </is>
      </c>
      <c r="B59" t="inlineStr">
        <is>
          <t>sold within, 2 quarters 5 bushels.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5</v>
      </c>
      <c r="S59" t="n">
        <v>2.62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5</v>
      </c>
      <c r="Z59" t="n">
        <v>2.62</v>
      </c>
      <c r="AA59" t="n">
        <v>2.62</v>
      </c>
      <c r="AB59" t="n">
        <v>0</v>
      </c>
      <c r="AC59" t="n">
        <v>2</v>
      </c>
      <c r="AD59" t="n">
        <v>5</v>
      </c>
      <c r="AI59" t="n">
        <v>0</v>
      </c>
    </row>
    <row r="60">
      <c r="A60" t="inlineStr">
        <is>
          <t>peas</t>
        </is>
      </c>
      <c r="B60" t="inlineStr">
        <is>
          <t>total as before.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I60" t="n">
        <v>0</v>
      </c>
    </row>
    <row r="61">
      <c r="A61" t="inlineStr">
        <is>
          <t>peas</t>
        </is>
      </c>
      <c r="B61" t="inlineStr">
        <is>
          <t>it balances.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I61" t="n">
        <v>0</v>
      </c>
    </row>
    <row r="62">
      <c r="A62" t="inlineStr">
        <is>
          <t>peas</t>
        </is>
      </c>
      <c r="B62" t="inlineStr">
        <is>
          <t>total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AI62" t="n">
        <v>0</v>
      </c>
    </row>
    <row r="63">
      <c r="A63" t="inlineStr">
        <is>
          <t>vetches</t>
        </is>
      </c>
      <c r="B63" t="inlineStr">
        <is>
          <t>and for 6 quarters 4 bushels of vetches from the issue of the grange, threshed by the manorial servants.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</v>
      </c>
      <c r="Y63" t="n">
        <v>4</v>
      </c>
      <c r="Z63" t="n">
        <v>6.5</v>
      </c>
      <c r="AA63" t="n">
        <v>6.5</v>
      </c>
      <c r="AB63" t="n">
        <v>0</v>
      </c>
      <c r="AC63" t="n">
        <v>6</v>
      </c>
      <c r="AD63" t="n">
        <v>4</v>
      </c>
      <c r="AI63" t="n">
        <v>0</v>
      </c>
    </row>
    <row r="64">
      <c r="A64" t="inlineStr">
        <is>
          <t>vetches</t>
        </is>
      </c>
      <c r="B64" t="inlineStr">
        <is>
          <t>2 quarters from the same issue by estimation in husks.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2</v>
      </c>
      <c r="AB64" t="n">
        <v>0</v>
      </c>
      <c r="AC64" t="n">
        <v>2</v>
      </c>
      <c r="AD64" t="n">
        <v>0</v>
      </c>
      <c r="AI64" t="n">
        <v>0</v>
      </c>
    </row>
    <row r="65">
      <c r="A65" t="inlineStr">
        <is>
          <t>vetches</t>
        </is>
      </c>
      <c r="B65" t="inlineStr">
        <is>
          <t>. 3 bushels by estimation in sheaves given for carrying the lord's corn at harvest-time.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0.38</v>
      </c>
      <c r="AA65" t="n">
        <v>0.38</v>
      </c>
      <c r="AB65" t="n">
        <v>0</v>
      </c>
      <c r="AC65" t="n">
        <v>0</v>
      </c>
      <c r="AD65" t="n">
        <v>3</v>
      </c>
      <c r="AI65" t="n">
        <v>0</v>
      </c>
    </row>
    <row r="66">
      <c r="A66" t="inlineStr">
        <is>
          <t>vetches</t>
        </is>
      </c>
      <c r="B66" t="inlineStr">
        <is>
          <t>no sheaves given for reaping for the aforesaid reason..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I66" t="n">
        <v>0</v>
      </c>
    </row>
    <row r="67">
      <c r="A67" t="inlineStr">
        <is>
          <t>vetches</t>
        </is>
      </c>
      <c r="B67" t="inlineStr">
        <is>
          <t>total, 8 quarters 7 bushels.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8</v>
      </c>
      <c r="Y67" t="n">
        <v>7</v>
      </c>
      <c r="Z67" t="n">
        <v>8.880000000000001</v>
      </c>
      <c r="AA67" t="n">
        <v>8.880000000000001</v>
      </c>
      <c r="AB67" t="n">
        <v>0</v>
      </c>
      <c r="AC67" t="n">
        <v>8</v>
      </c>
      <c r="AD67" t="n">
        <v>7</v>
      </c>
      <c r="AI67" t="n">
        <v>0</v>
      </c>
    </row>
    <row r="68">
      <c r="A68" t="inlineStr">
        <is>
          <t>vetches</t>
        </is>
      </c>
      <c r="B68" t="inlineStr">
        <is>
          <t>sown over 12 acres, 3 quarters.</t>
        </is>
      </c>
      <c r="C68" t="n">
        <v>0</v>
      </c>
      <c r="D68" t="n">
        <v>0</v>
      </c>
      <c r="E68" t="n">
        <v>3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3</v>
      </c>
      <c r="AA68" t="n">
        <v>3</v>
      </c>
      <c r="AB68" t="n">
        <v>0</v>
      </c>
      <c r="AC68" t="n">
        <v>3</v>
      </c>
      <c r="AD68" t="n">
        <v>0</v>
      </c>
      <c r="AI68" t="n">
        <v>0</v>
      </c>
    </row>
    <row r="69">
      <c r="A69" t="inlineStr">
        <is>
          <t>vetches</t>
        </is>
      </c>
      <c r="B69" t="inlineStr">
        <is>
          <t>that is, 2 bushels an acre.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0.25</v>
      </c>
      <c r="AA69" t="n">
        <v>0.25</v>
      </c>
      <c r="AB69" t="n">
        <v>0</v>
      </c>
      <c r="AC69" t="n">
        <v>0</v>
      </c>
      <c r="AD69" t="n">
        <v>2</v>
      </c>
      <c r="AI69" t="n">
        <v>0</v>
      </c>
    </row>
    <row r="70">
      <c r="A70" t="inlineStr">
        <is>
          <t>vetches</t>
        </is>
      </c>
      <c r="B70" t="inlineStr">
        <is>
          <t>given to the lord's plough-horses and sheep, 2 quarters by estimation in husks.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2</v>
      </c>
      <c r="AB70" t="n">
        <v>0</v>
      </c>
      <c r="AC70" t="n">
        <v>2</v>
      </c>
      <c r="AD70" t="n">
        <v>0</v>
      </c>
      <c r="AI70" t="n">
        <v>0</v>
      </c>
    </row>
    <row r="71">
      <c r="A71" t="inlineStr">
        <is>
          <t>vetches</t>
        </is>
      </c>
      <c r="B71" t="inlineStr">
        <is>
          <t>given for carrying the lord's corn at harvest-time, 3 bushels.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0.38</v>
      </c>
      <c r="AA71" t="n">
        <v>0.38</v>
      </c>
      <c r="AB71" t="n">
        <v>0</v>
      </c>
      <c r="AC71" t="n">
        <v>0</v>
      </c>
      <c r="AD71" t="n">
        <v>3</v>
      </c>
      <c r="AI71" t="n">
        <v>0</v>
      </c>
    </row>
    <row r="72">
      <c r="A72" t="inlineStr">
        <is>
          <t>vetches</t>
        </is>
      </c>
      <c r="B72" t="inlineStr">
        <is>
          <t>sold within, 3 quarters 4 bushels.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4</v>
      </c>
      <c r="S72" t="n">
        <v>3.5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4</v>
      </c>
      <c r="Z72" t="n">
        <v>3.5</v>
      </c>
      <c r="AA72" t="n">
        <v>3.5</v>
      </c>
      <c r="AB72" t="n">
        <v>0</v>
      </c>
      <c r="AC72" t="n">
        <v>3</v>
      </c>
      <c r="AD72" t="n">
        <v>4</v>
      </c>
      <c r="AI72" t="n">
        <v>0</v>
      </c>
    </row>
    <row r="73">
      <c r="A73" t="inlineStr">
        <is>
          <t>vetches</t>
        </is>
      </c>
      <c r="B73" t="inlineStr">
        <is>
          <t>total as before.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I73" t="n">
        <v>0</v>
      </c>
    </row>
    <row r="74">
      <c r="A74" t="inlineStr">
        <is>
          <t>vetches</t>
        </is>
      </c>
      <c r="B74" t="inlineStr">
        <is>
          <t>it balances.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I7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Output</t>
        </is>
      </c>
      <c r="B1" t="inlineStr">
        <is>
          <t>Bought Only Aggregated</t>
        </is>
      </c>
      <c r="C1" t="inlineStr">
        <is>
          <t>Account Quarters</t>
        </is>
      </c>
      <c r="D1" t="inlineStr">
        <is>
          <t>Account Bushels</t>
        </is>
      </c>
      <c r="E1" t="inlineStr">
        <is>
          <t>Account Total Quarters</t>
        </is>
      </c>
      <c r="F1" t="inlineStr">
        <is>
          <t>Bought in Quarters</t>
        </is>
      </c>
      <c r="G1" t="inlineStr">
        <is>
          <t>Bought in Bushels</t>
        </is>
      </c>
      <c r="H1" t="inlineStr">
        <is>
          <t>Total Bought Quarters</t>
        </is>
      </c>
      <c r="I1" t="inlineStr">
        <is>
          <t>Sold Quarters</t>
        </is>
      </c>
      <c r="J1" t="inlineStr">
        <is>
          <t>Sold Bushels</t>
        </is>
      </c>
      <c r="K1" t="inlineStr">
        <is>
          <t>Sold Total Quarters</t>
        </is>
      </c>
      <c r="L1" t="inlineStr">
        <is>
          <t>Total Corn Quantity</t>
        </is>
      </c>
      <c r="M1" t="inlineStr">
        <is>
          <t>Difference Produced+Bought-Sold</t>
        </is>
      </c>
      <c r="N1" t="inlineStr">
        <is>
          <t>Weighted Average Price per Quarter</t>
        </is>
      </c>
      <c r="O1" t="inlineStr">
        <is>
          <t>Non-Weighted Average Price per Quarter</t>
        </is>
      </c>
      <c r="P1" t="inlineStr">
        <is>
          <t>Value of Total Production weighted</t>
        </is>
      </c>
      <c r="Q1" t="inlineStr">
        <is>
          <t>Value of Total Production unweighted</t>
        </is>
      </c>
    </row>
    <row r="2">
      <c r="A2" t="inlineStr">
        <is>
          <t>total of all allowances and cash deliveries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wheat</t>
        </is>
      </c>
      <c r="B3" t="n">
        <v>0</v>
      </c>
      <c r="C3" t="n">
        <v>49</v>
      </c>
      <c r="D3" t="n">
        <v>1</v>
      </c>
      <c r="E3" t="n">
        <v>49.12</v>
      </c>
      <c r="F3" t="n">
        <v>0</v>
      </c>
      <c r="G3" t="n">
        <v>0</v>
      </c>
      <c r="H3" t="n">
        <v>0</v>
      </c>
      <c r="I3" t="n">
        <v>36</v>
      </c>
      <c r="J3" t="n">
        <v>6.5</v>
      </c>
      <c r="K3" t="n">
        <v>36.81</v>
      </c>
      <c r="L3" t="n">
        <v>49.12</v>
      </c>
      <c r="M3" t="n">
        <v>12.31</v>
      </c>
      <c r="N3" t="n">
        <v>0.48</v>
      </c>
      <c r="O3" t="n">
        <v>0.47</v>
      </c>
      <c r="P3" t="n">
        <v>23.77</v>
      </c>
      <c r="Q3" t="n">
        <v>23.33</v>
      </c>
    </row>
    <row r="4">
      <c r="A4" t="inlineStr">
        <is>
          <t>curall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</v>
      </c>
      <c r="O4" t="n">
        <v>0.3</v>
      </c>
      <c r="P4" t="n">
        <v>0</v>
      </c>
      <c r="Q4" t="n">
        <v>0</v>
      </c>
    </row>
    <row r="5">
      <c r="A5" t="inlineStr">
        <is>
          <t>barley</t>
        </is>
      </c>
      <c r="B5" t="n">
        <v>0</v>
      </c>
      <c r="C5" t="n">
        <v>106</v>
      </c>
      <c r="D5" t="n">
        <v>1</v>
      </c>
      <c r="E5" t="n">
        <v>106.12</v>
      </c>
      <c r="F5" t="n">
        <v>0</v>
      </c>
      <c r="G5" t="n">
        <v>0</v>
      </c>
      <c r="H5" t="n">
        <v>0</v>
      </c>
      <c r="I5" t="n">
        <v>38</v>
      </c>
      <c r="J5" t="n">
        <v>3</v>
      </c>
      <c r="K5" t="n">
        <v>38.12</v>
      </c>
      <c r="L5" t="n">
        <v>106.12</v>
      </c>
      <c r="M5" t="n">
        <v>68</v>
      </c>
      <c r="N5" t="n">
        <v>0.3</v>
      </c>
      <c r="O5" t="n">
        <v>0.3</v>
      </c>
      <c r="P5" t="n">
        <v>31.84</v>
      </c>
      <c r="Q5" t="n">
        <v>31.84</v>
      </c>
    </row>
    <row r="6">
      <c r="A6" t="inlineStr">
        <is>
          <t>oats</t>
        </is>
      </c>
      <c r="B6" t="n">
        <v>0</v>
      </c>
      <c r="C6" t="n">
        <v>20</v>
      </c>
      <c r="D6" t="n">
        <v>4</v>
      </c>
      <c r="E6" t="n">
        <v>20.5</v>
      </c>
      <c r="F6" t="n">
        <v>0</v>
      </c>
      <c r="G6" t="n">
        <v>0</v>
      </c>
      <c r="H6" t="n">
        <v>0</v>
      </c>
      <c r="I6" t="n">
        <v>5</v>
      </c>
      <c r="J6" t="n">
        <v>6</v>
      </c>
      <c r="K6" t="n">
        <v>5.75</v>
      </c>
      <c r="L6" t="n">
        <v>20.5</v>
      </c>
      <c r="M6" t="n">
        <v>14.75</v>
      </c>
      <c r="N6" t="n">
        <v>0.17</v>
      </c>
      <c r="O6" t="n">
        <v>0.17</v>
      </c>
      <c r="P6" t="n">
        <v>3.42</v>
      </c>
      <c r="Q6" t="n">
        <v>3.42</v>
      </c>
    </row>
    <row r="7">
      <c r="A7" t="inlineStr">
        <is>
          <t>peas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5</v>
      </c>
      <c r="K7" t="n">
        <v>2.62</v>
      </c>
      <c r="L7" t="n">
        <v>0</v>
      </c>
      <c r="M7" t="n">
        <v>-2.62</v>
      </c>
      <c r="N7" t="n">
        <v>0.27</v>
      </c>
      <c r="O7" t="n">
        <v>0.27</v>
      </c>
      <c r="P7" t="n">
        <v>0</v>
      </c>
      <c r="Q7" t="n">
        <v>0</v>
      </c>
    </row>
    <row r="8">
      <c r="A8" t="inlineStr">
        <is>
          <t>vetches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4</v>
      </c>
      <c r="K8" t="n">
        <v>3.5</v>
      </c>
      <c r="L8" t="n">
        <v>0</v>
      </c>
      <c r="M8" t="n">
        <v>-3.5</v>
      </c>
      <c r="N8" t="n">
        <v>0.25</v>
      </c>
      <c r="O8" t="n">
        <v>0.25</v>
      </c>
      <c r="P8" t="n">
        <v>0</v>
      </c>
      <c r="Q8" t="n">
        <v>0</v>
      </c>
    </row>
    <row r="9">
      <c r="A9" t="inlineStr">
        <is>
          <t>Mancorn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Maslin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First-grade malt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Second-grade malt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Oatmeal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Rye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Dredge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Malt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Meal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0</t>
        </is>
      </c>
      <c r="N1" t="inlineStr">
        <is>
          <t>Bushels 0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Quarters 1</t>
        </is>
      </c>
      <c r="R1" t="inlineStr">
        <is>
          <t>Bushels 1</t>
        </is>
      </c>
      <c r="S1" t="inlineStr">
        <is>
          <t>shilling a quarter 2</t>
        </is>
      </c>
      <c r="T1" t="inlineStr">
        <is>
          <t>pence a quarter 2</t>
        </is>
      </c>
      <c r="U1" t="inlineStr">
        <is>
          <t>Quarters 2</t>
        </is>
      </c>
      <c r="V1" t="inlineStr">
        <is>
          <t>Bushels 2</t>
        </is>
      </c>
      <c r="W1" t="inlineStr">
        <is>
          <t>shilling a quarter 3</t>
        </is>
      </c>
      <c r="X1" t="inlineStr">
        <is>
          <t>pence a quarter 3</t>
        </is>
      </c>
      <c r="Y1" t="inlineStr">
        <is>
          <t>shilling a quarter 4</t>
        </is>
      </c>
      <c r="Z1" t="inlineStr">
        <is>
          <t>pence a quarter 4</t>
        </is>
      </c>
      <c r="AA1" t="inlineStr">
        <is>
          <t>£ a quarter 1</t>
        </is>
      </c>
      <c r="AB1" t="inlineStr">
        <is>
          <t>£ a quarter 2</t>
        </is>
      </c>
      <c r="AC1" t="inlineStr">
        <is>
          <t>£ a quarter 3</t>
        </is>
      </c>
      <c r="AD1" t="inlineStr">
        <is>
          <t>£ a quarter 4</t>
        </is>
      </c>
      <c r="AE1" t="inlineStr">
        <is>
          <t>Quarters Sold</t>
        </is>
      </c>
      <c r="AF1" t="inlineStr">
        <is>
          <t>Weighted Average Price per Quarter</t>
        </is>
      </c>
      <c r="AG1" t="inlineStr">
        <is>
          <t>Non-Weighted Average Price per Quarter</t>
        </is>
      </c>
      <c r="AH1" t="inlineStr">
        <is>
          <t>Corn lowercase</t>
        </is>
      </c>
    </row>
    <row r="2">
      <c r="A2" t="inlineStr">
        <is>
          <t>sale of corn</t>
        </is>
      </c>
      <c r="B2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2" t="n">
        <v>17.82</v>
      </c>
      <c r="D2" t="n">
        <v>17</v>
      </c>
      <c r="E2" t="n">
        <v>16</v>
      </c>
      <c r="F2" t="n">
        <v>3.75</v>
      </c>
      <c r="G2" t="inlineStr">
        <is>
          <t>wheat</t>
        </is>
      </c>
      <c r="H2" t="n">
        <v>36</v>
      </c>
      <c r="I2" t="n">
        <v>6.5</v>
      </c>
      <c r="J2" t="n">
        <v>36.81</v>
      </c>
      <c r="K2" t="n">
        <v>36.81</v>
      </c>
      <c r="L2" t="n">
        <v>0</v>
      </c>
      <c r="M2" t="n">
        <v>36</v>
      </c>
      <c r="N2" t="n">
        <v>6.5</v>
      </c>
      <c r="O2" t="n">
        <v>10</v>
      </c>
      <c r="P2" t="n">
        <v>0</v>
      </c>
      <c r="Q2" t="n">
        <v>25</v>
      </c>
      <c r="R2" t="n">
        <v>0</v>
      </c>
      <c r="S2" t="n">
        <v>9</v>
      </c>
      <c r="T2" t="n">
        <v>0</v>
      </c>
      <c r="U2" t="n">
        <v>11</v>
      </c>
      <c r="V2" t="n">
        <v>6.5</v>
      </c>
      <c r="AA2" t="n">
        <v>0.5</v>
      </c>
      <c r="AB2" t="n">
        <v>0.45</v>
      </c>
      <c r="AE2" t="n">
        <v>36.81</v>
      </c>
      <c r="AF2" t="n">
        <v>0.48</v>
      </c>
      <c r="AG2" t="n">
        <v>0.47</v>
      </c>
      <c r="AH2" t="inlineStr">
        <is>
          <t>wheat</t>
        </is>
      </c>
    </row>
    <row r="3">
      <c r="A3" t="inlineStr">
        <is>
          <t>sale of corn</t>
        </is>
      </c>
      <c r="B3" t="inlineStr">
        <is>
          <t>£1 4 shilling from 4 quarters of curall sold.</t>
        </is>
      </c>
      <c r="C3" t="n">
        <v>1.2</v>
      </c>
      <c r="D3" t="n">
        <v>1</v>
      </c>
      <c r="E3" t="n">
        <v>4</v>
      </c>
      <c r="F3" t="n">
        <v>0</v>
      </c>
      <c r="G3" t="inlineStr">
        <is>
          <t>curall</t>
        </is>
      </c>
      <c r="H3" t="n">
        <v>4</v>
      </c>
      <c r="I3" t="n">
        <v>0</v>
      </c>
      <c r="J3" t="n">
        <v>4</v>
      </c>
      <c r="K3" t="n">
        <v>4</v>
      </c>
      <c r="L3" t="n">
        <v>0</v>
      </c>
      <c r="M3" t="n">
        <v>4</v>
      </c>
      <c r="N3" t="n">
        <v>0</v>
      </c>
      <c r="AA3" t="n">
        <v>0.3</v>
      </c>
      <c r="AE3" t="n">
        <v>4</v>
      </c>
      <c r="AF3" t="n">
        <v>0.3</v>
      </c>
      <c r="AG3" t="n">
        <v>0.3</v>
      </c>
      <c r="AH3" t="inlineStr">
        <is>
          <t>curall</t>
        </is>
      </c>
    </row>
    <row r="4">
      <c r="A4" t="inlineStr">
        <is>
          <t>sale of corn</t>
        </is>
      </c>
      <c r="B4" t="inlineStr">
        <is>
          <t>£11 8 shilling 9pence from 38 quarters 1 bushels of barley sold per mutuum, at 6 shilling a quarters.</t>
        </is>
      </c>
      <c r="C4" t="n">
        <v>11.44</v>
      </c>
      <c r="D4" t="n">
        <v>11</v>
      </c>
      <c r="E4" t="n">
        <v>8</v>
      </c>
      <c r="F4" t="n">
        <v>9</v>
      </c>
      <c r="G4" t="inlineStr">
        <is>
          <t>barley</t>
        </is>
      </c>
      <c r="H4" t="n">
        <v>38</v>
      </c>
      <c r="I4" t="n">
        <v>1</v>
      </c>
      <c r="J4" t="n">
        <v>38.12</v>
      </c>
      <c r="K4" t="n">
        <v>38.12</v>
      </c>
      <c r="L4" t="n">
        <v>0</v>
      </c>
      <c r="M4" t="n">
        <v>38</v>
      </c>
      <c r="N4" t="n">
        <v>1</v>
      </c>
      <c r="O4" t="n">
        <v>6</v>
      </c>
      <c r="P4" t="n">
        <v>0</v>
      </c>
      <c r="AA4" t="n">
        <v>0.3</v>
      </c>
      <c r="AE4" t="n">
        <v>38.12</v>
      </c>
      <c r="AF4" t="n">
        <v>0.3</v>
      </c>
      <c r="AG4" t="n">
        <v>0.3</v>
      </c>
      <c r="AH4" t="inlineStr">
        <is>
          <t>barley</t>
        </is>
      </c>
    </row>
    <row r="5">
      <c r="A5" t="inlineStr">
        <is>
          <t>sale of corn</t>
        </is>
      </c>
      <c r="B5" t="inlineStr">
        <is>
          <t>15 shilling 5pence from 4 quarters 5 bushels of oats sold per mutuum, at 3 shilling 4pence a quarters.</t>
        </is>
      </c>
      <c r="C5" t="n">
        <v>0.77</v>
      </c>
      <c r="D5" t="n">
        <v>0</v>
      </c>
      <c r="E5" t="n">
        <v>15</v>
      </c>
      <c r="F5" t="n">
        <v>5</v>
      </c>
      <c r="G5" t="inlineStr">
        <is>
          <t>oats</t>
        </is>
      </c>
      <c r="H5" t="n">
        <v>4</v>
      </c>
      <c r="I5" t="n">
        <v>5</v>
      </c>
      <c r="J5" t="n">
        <v>4.62</v>
      </c>
      <c r="K5" t="n">
        <v>4.62</v>
      </c>
      <c r="L5" t="n">
        <v>0</v>
      </c>
      <c r="M5" t="n">
        <v>4</v>
      </c>
      <c r="N5" t="n">
        <v>5</v>
      </c>
      <c r="O5" t="n">
        <v>3</v>
      </c>
      <c r="P5" t="n">
        <v>4</v>
      </c>
      <c r="AA5" t="n">
        <v>0.17</v>
      </c>
      <c r="AE5" t="n">
        <v>4.62</v>
      </c>
      <c r="AF5" t="n">
        <v>0.17</v>
      </c>
      <c r="AG5" t="n">
        <v>0.17</v>
      </c>
      <c r="AH5" t="inlineStr">
        <is>
          <t>oats</t>
        </is>
      </c>
    </row>
    <row r="6">
      <c r="A6" t="inlineStr">
        <is>
          <t>sale of corn</t>
        </is>
      </c>
      <c r="B6" t="inlineStr">
        <is>
          <t>14 shilling from 2 quarters 5 bushels of peas sold, at 5 shilling 4pence a quarters.</t>
        </is>
      </c>
      <c r="C6" t="n">
        <v>0.72</v>
      </c>
      <c r="D6" t="n">
        <v>0</v>
      </c>
      <c r="E6" t="n">
        <v>14</v>
      </c>
      <c r="F6" t="n">
        <v>4</v>
      </c>
      <c r="G6" t="inlineStr">
        <is>
          <t>peas</t>
        </is>
      </c>
      <c r="H6" t="n">
        <v>2</v>
      </c>
      <c r="I6" t="n">
        <v>5</v>
      </c>
      <c r="J6" t="n">
        <v>2.62</v>
      </c>
      <c r="K6" t="n">
        <v>2.62</v>
      </c>
      <c r="L6" t="n">
        <v>0</v>
      </c>
      <c r="M6" t="n">
        <v>2</v>
      </c>
      <c r="N6" t="n">
        <v>5</v>
      </c>
      <c r="O6" t="n">
        <v>5</v>
      </c>
      <c r="P6" t="n">
        <v>4</v>
      </c>
      <c r="AA6" t="n">
        <v>0.27</v>
      </c>
      <c r="AE6" t="n">
        <v>2.62</v>
      </c>
      <c r="AF6" t="n">
        <v>0.27</v>
      </c>
      <c r="AG6" t="n">
        <v>0.27</v>
      </c>
      <c r="AH6" t="inlineStr">
        <is>
          <t>peas</t>
        </is>
      </c>
    </row>
    <row r="7">
      <c r="A7" t="inlineStr">
        <is>
          <t>sale of corn</t>
        </is>
      </c>
      <c r="B7" t="inlineStr">
        <is>
          <t>17 shilling 6pence from 3 quarters 3 bushels' of vetches sold, at 5 shilling a quarters.</t>
        </is>
      </c>
      <c r="C7" t="n">
        <v>0.88</v>
      </c>
      <c r="D7" t="n">
        <v>0</v>
      </c>
      <c r="E7" t="n">
        <v>17</v>
      </c>
      <c r="F7" t="n">
        <v>6</v>
      </c>
      <c r="G7" t="inlineStr">
        <is>
          <t>vetches</t>
        </is>
      </c>
      <c r="H7" t="n">
        <v>3</v>
      </c>
      <c r="I7" t="n">
        <v>3</v>
      </c>
      <c r="J7" t="n">
        <v>3.38</v>
      </c>
      <c r="K7" t="n">
        <v>3.38</v>
      </c>
      <c r="L7" t="n">
        <v>0</v>
      </c>
      <c r="M7" t="n">
        <v>3</v>
      </c>
      <c r="N7" t="n">
        <v>3</v>
      </c>
      <c r="O7" t="n">
        <v>5</v>
      </c>
      <c r="P7" t="n">
        <v>0</v>
      </c>
      <c r="AA7" t="n">
        <v>0.25</v>
      </c>
      <c r="AE7" t="n">
        <v>3.38</v>
      </c>
      <c r="AF7" t="n">
        <v>0.25</v>
      </c>
      <c r="AG7" t="n">
        <v>0.25</v>
      </c>
      <c r="AH7" t="inlineStr">
        <is>
          <t>vetches</t>
        </is>
      </c>
    </row>
    <row r="8">
      <c r="A8" t="inlineStr">
        <is>
          <t>sale of corn</t>
        </is>
      </c>
      <c r="B8" t="inlineStr">
        <is>
          <t>total, £32 15 shilling 11.75pence.</t>
        </is>
      </c>
      <c r="C8" t="n">
        <v>32.8</v>
      </c>
      <c r="D8" t="n">
        <v>32</v>
      </c>
      <c r="E8" t="n">
        <v>15</v>
      </c>
      <c r="F8" t="n">
        <v>11.75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AA8" t="inlineStr">
        <is>
          <t>inf</t>
        </is>
      </c>
      <c r="AE8" t="n">
        <v>0</v>
      </c>
      <c r="AF8" t="inlineStr">
        <is>
          <t>inf</t>
        </is>
      </c>
      <c r="AG8" t="inlineStr">
        <is>
          <t>inf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BISHOPSTONE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2" t="n"/>
      <c r="F2" s="133" t="inlineStr">
        <is>
          <t>Total in £</t>
        </is>
      </c>
      <c r="G2" s="134" t="inlineStr">
        <is>
          <t>Error</t>
        </is>
      </c>
      <c r="H2" s="135" t="inlineStr">
        <is>
          <t>Notes</t>
        </is>
      </c>
    </row>
    <row r="3">
      <c r="A3" s="136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7" t="inlineStr">
        <is>
          <t>Cost of ploughs</t>
        </is>
      </c>
      <c r="B4" s="128" t="n">
        <v>0</v>
      </c>
      <c r="C4" s="128" t="n">
        <v>16</v>
      </c>
      <c r="D4" s="128" t="n">
        <v>0</v>
      </c>
      <c r="E4" s="128" t="n"/>
      <c r="F4" s="128" t="n">
        <v>0.8</v>
      </c>
      <c r="G4" s="128" t="n"/>
      <c r="H4" s="128" t="n"/>
    </row>
    <row r="5">
      <c r="A5" s="136" t="inlineStr">
        <is>
          <t>Cost of ploughs</t>
        </is>
      </c>
      <c r="B5" s="128" t="n">
        <v>0</v>
      </c>
      <c r="C5" s="128" t="n">
        <v>4</v>
      </c>
      <c r="D5" s="128" t="n">
        <v>0</v>
      </c>
      <c r="E5" s="128" t="n"/>
      <c r="F5" s="128" t="n">
        <v>0.2</v>
      </c>
      <c r="G5" s="128" t="n"/>
      <c r="H5" s="128" t="n"/>
    </row>
    <row r="6">
      <c r="A6" s="136" t="inlineStr">
        <is>
          <t>Cost of ploughs</t>
        </is>
      </c>
      <c r="B6" s="128" t="n">
        <v>0</v>
      </c>
      <c r="C6" s="128" t="n">
        <v>0</v>
      </c>
      <c r="D6" s="128" t="n">
        <v>10</v>
      </c>
      <c r="E6" s="128" t="n"/>
      <c r="F6" s="128" t="n">
        <v>0.04</v>
      </c>
      <c r="G6" s="128" t="n"/>
      <c r="H6" s="128" t="n"/>
    </row>
    <row r="7">
      <c r="A7" s="136" t="inlineStr">
        <is>
          <t>Cost of ploughs</t>
        </is>
      </c>
      <c r="B7" s="128" t="n">
        <v>0</v>
      </c>
      <c r="C7" s="128" t="n">
        <v>0</v>
      </c>
      <c r="D7" s="128" t="n">
        <v>6</v>
      </c>
      <c r="E7" s="128" t="n"/>
      <c r="F7" s="128" t="n">
        <v>0.03</v>
      </c>
      <c r="G7" s="128" t="n"/>
      <c r="H7" s="128" t="n"/>
    </row>
    <row r="8">
      <c r="A8" s="136" t="inlineStr">
        <is>
          <t>Cost of ploughs</t>
        </is>
      </c>
      <c r="B8" s="128" t="n">
        <v>0</v>
      </c>
      <c r="C8" s="128" t="n">
        <v>0</v>
      </c>
      <c r="D8" s="128" t="n">
        <v>8</v>
      </c>
      <c r="E8" s="128" t="n"/>
      <c r="F8" s="128" t="n">
        <v>0.03</v>
      </c>
      <c r="G8" s="128" t="n"/>
      <c r="H8" s="128" t="n"/>
    </row>
    <row r="9">
      <c r="A9" s="136" t="inlineStr">
        <is>
          <t>Cost of ploughs</t>
        </is>
      </c>
      <c r="B9" s="128" t="n">
        <v>0</v>
      </c>
      <c r="C9" s="128" t="n">
        <v>1</v>
      </c>
      <c r="D9" s="128" t="n">
        <v>6</v>
      </c>
      <c r="E9" s="128" t="n"/>
      <c r="F9" s="128" t="n">
        <v>0.08</v>
      </c>
      <c r="G9" s="128" t="n"/>
      <c r="H9" s="128" t="n"/>
    </row>
    <row r="10">
      <c r="A10" s="136" t="inlineStr">
        <is>
          <t>Cost of ploughs</t>
        </is>
      </c>
      <c r="B10" s="128" t="n">
        <v>0</v>
      </c>
      <c r="C10" s="128" t="n">
        <v>0</v>
      </c>
      <c r="D10" s="128" t="n">
        <v>6</v>
      </c>
      <c r="E10" s="128" t="n"/>
      <c r="F10" s="128" t="n">
        <v>0.03</v>
      </c>
      <c r="G10" s="128" t="n"/>
      <c r="H10" s="128" t="n"/>
    </row>
    <row r="11">
      <c r="A11" s="136" t="inlineStr">
        <is>
          <t>Cost of ploughs</t>
        </is>
      </c>
      <c r="B11" s="128" t="n">
        <v>0</v>
      </c>
      <c r="C11" s="128" t="n">
        <v>1</v>
      </c>
      <c r="D11" s="128" t="n">
        <v>4</v>
      </c>
      <c r="E11" s="128" t="n"/>
      <c r="F11" s="128" t="n">
        <v>0.07000000000000001</v>
      </c>
      <c r="G11" s="128" t="n"/>
      <c r="H11" s="128" t="n"/>
    </row>
    <row r="12">
      <c r="A12" s="136" t="inlineStr">
        <is>
          <t>Cost of ploughs</t>
        </is>
      </c>
      <c r="B12" s="128" t="n">
        <v>0</v>
      </c>
      <c r="C12" s="128" t="n">
        <v>6</v>
      </c>
      <c r="D12" s="128" t="n">
        <v>8</v>
      </c>
      <c r="E12" s="128" t="n"/>
      <c r="F12" s="128" t="n">
        <v>0.33</v>
      </c>
      <c r="G12" s="128" t="n"/>
      <c r="H12" s="128" t="n"/>
    </row>
    <row r="13">
      <c r="A13" s="136" t="inlineStr">
        <is>
          <t>Cost of ploughs</t>
        </is>
      </c>
      <c r="B13" s="128" t="n">
        <v>0</v>
      </c>
      <c r="C13" s="128" t="n">
        <v>13</v>
      </c>
      <c r="D13" s="128" t="n">
        <v>4</v>
      </c>
      <c r="E13" s="128" t="n"/>
      <c r="F13" s="128" t="n">
        <v>0.67</v>
      </c>
      <c r="G13" s="128" t="n"/>
      <c r="H13" s="128" t="n"/>
    </row>
    <row r="14">
      <c r="A14" s="136" t="inlineStr">
        <is>
          <t>Cost of ploughs</t>
        </is>
      </c>
      <c r="B14" s="128" t="n">
        <v>0</v>
      </c>
      <c r="C14" s="128" t="n">
        <v>2</v>
      </c>
      <c r="D14" s="128" t="n">
        <v>2</v>
      </c>
      <c r="E14" s="128" t="n"/>
      <c r="F14" s="128" t="n">
        <v>0.11</v>
      </c>
      <c r="G14" s="128" t="n"/>
      <c r="H14" s="128" t="n"/>
    </row>
    <row r="15">
      <c r="A15" s="136" t="inlineStr">
        <is>
          <t>Cost of ploughs</t>
        </is>
      </c>
      <c r="B15" s="128" t="n">
        <v>2</v>
      </c>
      <c r="C15" s="128" t="n">
        <v>7</v>
      </c>
      <c r="D15" s="128" t="n">
        <v>6</v>
      </c>
      <c r="E15" s="128" t="n"/>
      <c r="F15" s="128" t="n">
        <v>2.38</v>
      </c>
      <c r="G15" s="128" t="n"/>
      <c r="H15" s="128" t="n"/>
    </row>
    <row r="16">
      <c r="A16" s="138" t="inlineStr">
        <is>
          <t>Cost of ploughs total</t>
        </is>
      </c>
      <c r="B16" s="139" t="n"/>
      <c r="C16" s="139" t="n"/>
      <c r="D16" s="139" t="n"/>
      <c r="E16" s="139" t="n"/>
      <c r="F16" s="139" t="n">
        <v>2.39</v>
      </c>
      <c r="G16" s="139" t="n">
        <v>0.01</v>
      </c>
      <c r="H16" s="139" t="n"/>
    </row>
    <row r="17">
      <c r="A17" s="136" t="n"/>
      <c r="B17" s="128" t="n"/>
      <c r="C17" s="128" t="n"/>
      <c r="D17" s="128" t="n"/>
      <c r="E17" s="128" t="n"/>
      <c r="F17" s="128" t="n"/>
      <c r="G17" s="128" t="n"/>
      <c r="H17" s="128" t="n"/>
    </row>
    <row r="18">
      <c r="A18" s="137" t="inlineStr">
        <is>
          <t>Cost of carts</t>
        </is>
      </c>
      <c r="B18" s="128" t="n">
        <v>0</v>
      </c>
      <c r="C18" s="128" t="n">
        <v>0</v>
      </c>
      <c r="D18" s="128" t="n">
        <v>10</v>
      </c>
      <c r="E18" s="128" t="n"/>
      <c r="F18" s="128" t="n">
        <v>0.04</v>
      </c>
      <c r="G18" s="128" t="n"/>
      <c r="H18" s="128" t="n"/>
    </row>
    <row r="19">
      <c r="A19" s="136" t="inlineStr">
        <is>
          <t>Cost of carts</t>
        </is>
      </c>
      <c r="B19" s="128" t="n">
        <v>0</v>
      </c>
      <c r="C19" s="128" t="n">
        <v>0</v>
      </c>
      <c r="D19" s="128" t="n">
        <v>2</v>
      </c>
      <c r="E19" s="128" t="n"/>
      <c r="F19" s="128" t="n">
        <v>0.01</v>
      </c>
      <c r="G19" s="128" t="n"/>
      <c r="H19" s="128" t="n"/>
    </row>
    <row r="20">
      <c r="A20" s="136" t="inlineStr">
        <is>
          <t>Cost of carts</t>
        </is>
      </c>
      <c r="B20" s="128" t="n">
        <v>0</v>
      </c>
      <c r="C20" s="128" t="n">
        <v>0</v>
      </c>
      <c r="D20" s="128" t="n">
        <v>4</v>
      </c>
      <c r="E20" s="128" t="n"/>
      <c r="F20" s="128" t="n">
        <v>0.02</v>
      </c>
      <c r="G20" s="128" t="n"/>
      <c r="H20" s="128" t="n"/>
    </row>
    <row r="21">
      <c r="A21" s="136" t="inlineStr">
        <is>
          <t>Cost of carts</t>
        </is>
      </c>
      <c r="B21" s="128" t="n">
        <v>0</v>
      </c>
      <c r="C21" s="128" t="n">
        <v>0</v>
      </c>
      <c r="D21" s="128" t="n">
        <v>4</v>
      </c>
      <c r="E21" s="128" t="n"/>
      <c r="F21" s="128" t="n">
        <v>0.02</v>
      </c>
      <c r="G21" s="128" t="n"/>
      <c r="H21" s="128" t="n"/>
    </row>
    <row r="22">
      <c r="A22" s="136" t="inlineStr">
        <is>
          <t>Cost of carts</t>
        </is>
      </c>
      <c r="B22" s="128" t="n">
        <v>0</v>
      </c>
      <c r="C22" s="128" t="n">
        <v>0</v>
      </c>
      <c r="D22" s="128" t="n">
        <v>2</v>
      </c>
      <c r="E22" s="128" t="n"/>
      <c r="F22" s="128" t="n">
        <v>0.01</v>
      </c>
      <c r="G22" s="128" t="n"/>
      <c r="H22" s="128" t="n"/>
    </row>
    <row r="23">
      <c r="A23" s="136" t="inlineStr">
        <is>
          <t>Cost of carts</t>
        </is>
      </c>
      <c r="B23" s="128" t="n">
        <v>0</v>
      </c>
      <c r="C23" s="128" t="n">
        <v>3</v>
      </c>
      <c r="D23" s="128" t="n">
        <v>0</v>
      </c>
      <c r="E23" s="128" t="n"/>
      <c r="F23" s="128" t="n">
        <v>0.15</v>
      </c>
      <c r="G23" s="128" t="n"/>
      <c r="H23" s="128" t="n"/>
    </row>
    <row r="24">
      <c r="A24" s="136" t="inlineStr">
        <is>
          <t>Cost of carts</t>
        </is>
      </c>
      <c r="B24" s="128" t="n">
        <v>0</v>
      </c>
      <c r="C24" s="128" t="n">
        <v>6</v>
      </c>
      <c r="D24" s="128" t="n">
        <v>8</v>
      </c>
      <c r="E24" s="128" t="n"/>
      <c r="F24" s="128" t="n">
        <v>0.33</v>
      </c>
      <c r="G24" s="128" t="n"/>
      <c r="H24" s="128" t="n"/>
    </row>
    <row r="25">
      <c r="A25" s="136" t="inlineStr">
        <is>
          <t>Cost of carts</t>
        </is>
      </c>
      <c r="B25" s="128" t="n">
        <v>0</v>
      </c>
      <c r="C25" s="128" t="n">
        <v>11</v>
      </c>
      <c r="D25" s="128" t="n">
        <v>6</v>
      </c>
      <c r="E25" s="128" t="n"/>
      <c r="F25" s="128" t="n">
        <v>0.58</v>
      </c>
      <c r="G25" s="128" t="n"/>
      <c r="H25" s="128" t="n"/>
    </row>
    <row r="26">
      <c r="A26" s="138" t="inlineStr">
        <is>
          <t>Cost of carts total</t>
        </is>
      </c>
      <c r="B26" s="139" t="n"/>
      <c r="C26" s="139" t="n"/>
      <c r="D26" s="139" t="n"/>
      <c r="E26" s="139" t="n"/>
      <c r="F26" s="139" t="n">
        <v>0.58</v>
      </c>
      <c r="G26" s="139" t="n">
        <v>0</v>
      </c>
      <c r="H26" s="139" t="n"/>
    </row>
    <row r="27">
      <c r="A27" s="136" t="n"/>
      <c r="B27" s="128" t="n"/>
      <c r="C27" s="128" t="n"/>
      <c r="D27" s="128" t="n"/>
      <c r="E27" s="128" t="n"/>
      <c r="F27" s="128" t="n"/>
      <c r="G27" s="128" t="n"/>
      <c r="H27" s="128" t="n"/>
    </row>
    <row r="28">
      <c r="A28" s="137" t="inlineStr">
        <is>
          <t>Purchase of stock</t>
        </is>
      </c>
      <c r="B28" s="128" t="n">
        <v>1</v>
      </c>
      <c r="C28" s="128" t="n">
        <v>6</v>
      </c>
      <c r="D28" s="128" t="n">
        <v>0</v>
      </c>
      <c r="E28" s="128" t="n"/>
      <c r="F28" s="128" t="n">
        <v>1.3</v>
      </c>
      <c r="G28" s="128" t="n"/>
      <c r="H28" s="128" t="n"/>
    </row>
    <row r="29">
      <c r="A29" s="136" t="inlineStr">
        <is>
          <t>Purchase of stock</t>
        </is>
      </c>
      <c r="B29" s="128" t="n">
        <v>1</v>
      </c>
      <c r="C29" s="128" t="n">
        <v>8</v>
      </c>
      <c r="D29" s="128" t="n">
        <v>9</v>
      </c>
      <c r="E29" s="128" t="n"/>
      <c r="F29" s="128" t="n">
        <v>1.44</v>
      </c>
      <c r="G29" s="128" t="n"/>
      <c r="H29" s="128" t="n"/>
    </row>
    <row r="30">
      <c r="A30" s="136" t="inlineStr">
        <is>
          <t>Purchase of stock</t>
        </is>
      </c>
      <c r="B30" s="128" t="n">
        <v>2</v>
      </c>
      <c r="C30" s="128" t="n">
        <v>15</v>
      </c>
      <c r="D30" s="128" t="n">
        <v>5</v>
      </c>
      <c r="E30" s="128" t="n"/>
      <c r="F30" s="128" t="n">
        <v>2.77</v>
      </c>
      <c r="G30" s="128" t="n"/>
      <c r="H30" s="128" t="n"/>
    </row>
    <row r="31">
      <c r="A31" s="138" t="inlineStr">
        <is>
          <t>Purchase of stock total</t>
        </is>
      </c>
      <c r="B31" s="139" t="n"/>
      <c r="C31" s="139" t="n"/>
      <c r="D31" s="139" t="n"/>
      <c r="E31" s="139" t="n"/>
      <c r="F31" s="139" t="n">
        <v>2.74</v>
      </c>
      <c r="G31" s="139" t="n">
        <v>-0.03</v>
      </c>
      <c r="H31" s="139" t="n"/>
    </row>
    <row r="32">
      <c r="A32" s="136" t="n"/>
      <c r="B32" s="128" t="n"/>
      <c r="C32" s="128" t="n"/>
      <c r="D32" s="128" t="n"/>
      <c r="E32" s="128" t="n"/>
      <c r="F32" s="128" t="n"/>
      <c r="G32" s="128" t="n"/>
      <c r="H32" s="128" t="n"/>
    </row>
    <row r="33">
      <c r="A33" s="137" t="inlineStr">
        <is>
          <t>Cost of the dairy</t>
        </is>
      </c>
      <c r="B33" s="128" t="n">
        <v>0</v>
      </c>
      <c r="C33" s="128" t="n">
        <v>1</v>
      </c>
      <c r="D33" s="128" t="n">
        <v>0</v>
      </c>
      <c r="E33" s="128" t="n"/>
      <c r="F33" s="128" t="n">
        <v>0.05</v>
      </c>
      <c r="G33" s="128" t="n"/>
      <c r="H33" s="128" t="n"/>
    </row>
    <row r="34">
      <c r="A34" s="136" t="inlineStr">
        <is>
          <t>Cost of the dairy</t>
        </is>
      </c>
      <c r="B34" s="128" t="n">
        <v>0</v>
      </c>
      <c r="C34" s="128" t="n">
        <v>0</v>
      </c>
      <c r="D34" s="128" t="n">
        <v>2</v>
      </c>
      <c r="E34" s="128" t="n"/>
      <c r="F34" s="128" t="n">
        <v>0.01</v>
      </c>
      <c r="G34" s="128" t="n"/>
      <c r="H34" s="128" t="n"/>
    </row>
    <row r="35">
      <c r="A35" s="136" t="inlineStr">
        <is>
          <t>Cost of the dairy</t>
        </is>
      </c>
      <c r="B35" s="128" t="n">
        <v>0</v>
      </c>
      <c r="C35" s="128" t="n">
        <v>0</v>
      </c>
      <c r="D35" s="128" t="n">
        <v>2</v>
      </c>
      <c r="E35" s="128" t="n"/>
      <c r="F35" s="128" t="n">
        <v>0.01</v>
      </c>
      <c r="G35" s="128" t="n"/>
      <c r="H35" s="128" t="n"/>
    </row>
    <row r="36">
      <c r="A36" s="136" t="inlineStr">
        <is>
          <t>Cost of the dairy</t>
        </is>
      </c>
      <c r="B36" s="128" t="n">
        <v>0</v>
      </c>
      <c r="C36" s="128" t="n">
        <v>2</v>
      </c>
      <c r="D36" s="128" t="n">
        <v>0</v>
      </c>
      <c r="E36" s="128" t="n"/>
      <c r="F36" s="128" t="n">
        <v>0.1</v>
      </c>
      <c r="G36" s="128" t="n"/>
      <c r="H36" s="128" t="n"/>
    </row>
    <row r="37">
      <c r="A37" s="136" t="inlineStr">
        <is>
          <t>Cost of the dairy</t>
        </is>
      </c>
      <c r="B37" s="128" t="n">
        <v>0</v>
      </c>
      <c r="C37" s="128" t="n">
        <v>3</v>
      </c>
      <c r="D37" s="128" t="n">
        <v>4</v>
      </c>
      <c r="E37" s="128" t="n"/>
      <c r="F37" s="128" t="n">
        <v>0.17</v>
      </c>
      <c r="G37" s="128" t="n"/>
      <c r="H37" s="128" t="n"/>
    </row>
    <row r="38">
      <c r="A38" s="138" t="inlineStr">
        <is>
          <t>Cost of the dairy total</t>
        </is>
      </c>
      <c r="B38" s="139" t="n"/>
      <c r="C38" s="139" t="n"/>
      <c r="D38" s="139" t="n"/>
      <c r="E38" s="139" t="n"/>
      <c r="F38" s="139" t="n">
        <v>0.17</v>
      </c>
      <c r="G38" s="139" t="n">
        <v>0</v>
      </c>
      <c r="H38" s="139" t="n"/>
    </row>
    <row r="39">
      <c r="A39" s="136" t="n"/>
      <c r="B39" s="128" t="n"/>
      <c r="C39" s="128" t="n"/>
      <c r="D39" s="128" t="n"/>
      <c r="E39" s="128" t="n"/>
      <c r="F39" s="128" t="n"/>
      <c r="G39" s="128" t="n"/>
      <c r="H39" s="128" t="n"/>
    </row>
    <row r="40">
      <c r="A40" s="137" t="inlineStr">
        <is>
          <t>Cost of buildings</t>
        </is>
      </c>
      <c r="B40" s="128" t="n">
        <v>0</v>
      </c>
      <c r="C40" s="128" t="n">
        <v>1</v>
      </c>
      <c r="D40" s="128" t="n">
        <v>10</v>
      </c>
      <c r="E40" s="128" t="n"/>
      <c r="F40" s="128" t="n">
        <v>0.09</v>
      </c>
      <c r="G40" s="128" t="n"/>
      <c r="H40" s="128" t="n"/>
    </row>
    <row r="41">
      <c r="A41" s="136" t="inlineStr">
        <is>
          <t>Cost of buildings</t>
        </is>
      </c>
      <c r="B41" s="128" t="n">
        <v>0</v>
      </c>
      <c r="C41" s="128" t="n">
        <v>6</v>
      </c>
      <c r="D41" s="128" t="n">
        <v>10</v>
      </c>
      <c r="E41" s="128" t="n"/>
      <c r="F41" s="128" t="n">
        <v>0.34</v>
      </c>
      <c r="G41" s="128" t="n"/>
      <c r="H41" s="128" t="n"/>
    </row>
    <row r="42">
      <c r="A42" s="136" t="inlineStr">
        <is>
          <t>Cost of buildings</t>
        </is>
      </c>
      <c r="B42" s="128" t="n">
        <v>0</v>
      </c>
      <c r="C42" s="128" t="n">
        <v>1</v>
      </c>
      <c r="D42" s="128" t="n">
        <v>0</v>
      </c>
      <c r="E42" s="128" t="n"/>
      <c r="F42" s="128" t="n">
        <v>0.05</v>
      </c>
      <c r="G42" s="128" t="n"/>
      <c r="H42" s="128" t="n"/>
    </row>
    <row r="43">
      <c r="A43" s="136" t="inlineStr">
        <is>
          <t>Cost of buildings</t>
        </is>
      </c>
      <c r="B43" s="128" t="n">
        <v>0</v>
      </c>
      <c r="C43" s="128" t="n">
        <v>2</v>
      </c>
      <c r="D43" s="128" t="n">
        <v>4</v>
      </c>
      <c r="E43" s="128" t="n"/>
      <c r="F43" s="128" t="n">
        <v>0.12</v>
      </c>
      <c r="G43" s="128" t="n"/>
      <c r="H43" s="128" t="n"/>
    </row>
    <row r="44">
      <c r="A44" s="136" t="inlineStr">
        <is>
          <t>Cost of buildings</t>
        </is>
      </c>
      <c r="B44" s="128" t="n">
        <v>0</v>
      </c>
      <c r="C44" s="128" t="n">
        <v>0</v>
      </c>
      <c r="D44" s="128" t="n">
        <v>5</v>
      </c>
      <c r="E44" s="128" t="n"/>
      <c r="F44" s="128" t="n">
        <v>0.02</v>
      </c>
      <c r="G44" s="128" t="n"/>
      <c r="H44" s="128" t="n"/>
    </row>
    <row r="45">
      <c r="A45" s="136" t="inlineStr">
        <is>
          <t>Cost of buildings</t>
        </is>
      </c>
      <c r="B45" s="128" t="n">
        <v>0</v>
      </c>
      <c r="C45" s="128" t="n">
        <v>1</v>
      </c>
      <c r="D45" s="128" t="n">
        <v>8</v>
      </c>
      <c r="E45" s="128" t="n"/>
      <c r="F45" s="128" t="n">
        <v>0.08</v>
      </c>
      <c r="G45" s="128" t="n"/>
      <c r="H45" s="128" t="n"/>
    </row>
    <row r="46">
      <c r="A46" s="136" t="inlineStr">
        <is>
          <t>Cost of buildings</t>
        </is>
      </c>
      <c r="B46" s="128" t="n">
        <v>0</v>
      </c>
      <c r="C46" s="128" t="n">
        <v>0</v>
      </c>
      <c r="D46" s="128" t="n">
        <v>4</v>
      </c>
      <c r="E46" s="128" t="n"/>
      <c r="F46" s="128" t="n">
        <v>0.02</v>
      </c>
      <c r="G46" s="128" t="n"/>
      <c r="H46" s="128" t="n"/>
    </row>
    <row r="47">
      <c r="A47" s="136" t="inlineStr">
        <is>
          <t>Cost of buildings</t>
        </is>
      </c>
      <c r="B47" s="128" t="n">
        <v>0</v>
      </c>
      <c r="C47" s="128" t="n">
        <v>0</v>
      </c>
      <c r="D47" s="128" t="n">
        <v>5</v>
      </c>
      <c r="E47" s="128" t="n"/>
      <c r="F47" s="128" t="n">
        <v>0.02</v>
      </c>
      <c r="G47" s="128" t="n"/>
      <c r="H47" s="128" t="n"/>
    </row>
    <row r="48">
      <c r="A48" s="136" t="inlineStr">
        <is>
          <t>Cost of buildings</t>
        </is>
      </c>
      <c r="B48" s="128" t="n">
        <v>0</v>
      </c>
      <c r="C48" s="128" t="n">
        <v>15</v>
      </c>
      <c r="D48" s="128" t="n">
        <v>0</v>
      </c>
      <c r="E48" s="128" t="n"/>
      <c r="F48" s="128" t="n">
        <v>0.75</v>
      </c>
      <c r="G48" s="128" t="n"/>
      <c r="H48" s="128" t="n"/>
    </row>
    <row r="49">
      <c r="A49" s="138" t="inlineStr">
        <is>
          <t>Cost of buildings total</t>
        </is>
      </c>
      <c r="B49" s="139" t="n"/>
      <c r="C49" s="139" t="n"/>
      <c r="D49" s="139" t="n"/>
      <c r="E49" s="139" t="n"/>
      <c r="F49" s="139" t="n">
        <v>0.74</v>
      </c>
      <c r="G49" s="139" t="n">
        <v>-0.01</v>
      </c>
      <c r="H49" s="139" t="n"/>
    </row>
    <row r="50">
      <c r="A50" s="136" t="n"/>
      <c r="B50" s="128" t="n"/>
      <c r="C50" s="128" t="n"/>
      <c r="D50" s="128" t="n"/>
      <c r="E50" s="128" t="n"/>
      <c r="F50" s="128" t="n"/>
      <c r="G50" s="128" t="n"/>
      <c r="H50" s="128" t="n"/>
    </row>
    <row r="51">
      <c r="A51" s="137" t="inlineStr">
        <is>
          <t>Threshing and winnowing</t>
        </is>
      </c>
      <c r="B51" s="128" t="n">
        <v>0</v>
      </c>
      <c r="C51" s="128" t="n">
        <v>13</v>
      </c>
      <c r="D51" s="128" t="n">
        <v>3</v>
      </c>
      <c r="E51" s="128" t="n"/>
      <c r="F51" s="128" t="n">
        <v>0.66</v>
      </c>
      <c r="G51" s="128" t="n"/>
      <c r="H51" s="128" t="n"/>
    </row>
    <row r="52">
      <c r="A52" s="136" t="inlineStr">
        <is>
          <t>Threshing and winnowing</t>
        </is>
      </c>
      <c r="B52" s="128" t="n">
        <v>0</v>
      </c>
      <c r="C52" s="128" t="n">
        <v>17</v>
      </c>
      <c r="D52" s="128" t="n">
        <v>8.25</v>
      </c>
      <c r="E52" s="128" t="n"/>
      <c r="F52" s="128" t="n">
        <v>0.88</v>
      </c>
      <c r="G52" s="128" t="n"/>
      <c r="H52" s="128" t="n"/>
    </row>
    <row r="53">
      <c r="A53" s="136" t="inlineStr">
        <is>
          <t>Threshing and winnowing</t>
        </is>
      </c>
      <c r="B53" s="128" t="n">
        <v>0</v>
      </c>
      <c r="C53" s="128" t="n">
        <v>2</v>
      </c>
      <c r="D53" s="128" t="n">
        <v>6.75</v>
      </c>
      <c r="E53" s="128" t="n"/>
      <c r="F53" s="128" t="n">
        <v>0.13</v>
      </c>
      <c r="G53" s="128" t="n"/>
      <c r="H53" s="128" t="n"/>
    </row>
    <row r="54">
      <c r="A54" s="136" t="inlineStr">
        <is>
          <t>Threshing and winnowing</t>
        </is>
      </c>
      <c r="B54" s="128" t="n">
        <v>0</v>
      </c>
      <c r="C54" s="128" t="n">
        <v>3</v>
      </c>
      <c r="D54" s="128" t="n">
        <v>11.75</v>
      </c>
      <c r="E54" s="128" t="n"/>
      <c r="F54" s="128" t="n">
        <v>0.2</v>
      </c>
      <c r="G54" s="128" t="n"/>
      <c r="H54" s="128" t="n"/>
    </row>
    <row r="55">
      <c r="A55" s="136" t="inlineStr">
        <is>
          <t>Threshing and winnowing</t>
        </is>
      </c>
      <c r="B55" s="128" t="n">
        <v>1</v>
      </c>
      <c r="C55" s="128" t="n">
        <v>17</v>
      </c>
      <c r="D55" s="128" t="n">
        <v>5.5</v>
      </c>
      <c r="E55" s="128" t="n"/>
      <c r="F55" s="128" t="n">
        <v>1.87</v>
      </c>
      <c r="G55" s="128" t="n"/>
      <c r="H55" s="128" t="n"/>
    </row>
    <row r="56">
      <c r="A56" s="138" t="inlineStr">
        <is>
          <t>Threshing and winnowing total</t>
        </is>
      </c>
      <c r="B56" s="139" t="n"/>
      <c r="C56" s="139" t="n"/>
      <c r="D56" s="139" t="n"/>
      <c r="E56" s="139" t="n"/>
      <c r="F56" s="139" t="n">
        <v>1.87</v>
      </c>
      <c r="G56" s="139" t="n">
        <v>0</v>
      </c>
      <c r="H56" s="139" t="n"/>
    </row>
    <row r="57">
      <c r="A57" s="136" t="n"/>
      <c r="B57" s="128" t="n"/>
      <c r="C57" s="128" t="n"/>
      <c r="D57" s="128" t="n"/>
      <c r="E57" s="128" t="n"/>
      <c r="F57" s="128" t="n"/>
      <c r="G57" s="128" t="n"/>
      <c r="H57" s="128" t="n"/>
    </row>
    <row r="58">
      <c r="A58" s="137" t="inlineStr">
        <is>
          <t>Cost of the harvest</t>
        </is>
      </c>
      <c r="B58" s="128" t="n">
        <v>0</v>
      </c>
      <c r="C58" s="128" t="n">
        <v>7</v>
      </c>
      <c r="D58" s="128" t="n">
        <v>0</v>
      </c>
      <c r="E58" s="128" t="n"/>
      <c r="F58" s="128" t="n">
        <v>0.35</v>
      </c>
      <c r="G58" s="128" t="n"/>
      <c r="H58" s="128" t="n"/>
    </row>
    <row r="59">
      <c r="A59" s="136" t="inlineStr">
        <is>
          <t>Cost of the harvest</t>
        </is>
      </c>
      <c r="B59" s="128" t="n">
        <v>4</v>
      </c>
      <c r="C59" s="128" t="n">
        <v>8</v>
      </c>
      <c r="D59" s="128" t="n">
        <v>0</v>
      </c>
      <c r="E59" s="128" t="n"/>
      <c r="F59" s="128" t="n">
        <v>4.4</v>
      </c>
      <c r="G59" s="128" t="n"/>
      <c r="H59" s="128" t="n"/>
    </row>
    <row r="60">
      <c r="A60" s="136" t="inlineStr">
        <is>
          <t>Cost of the harvest</t>
        </is>
      </c>
      <c r="B60" s="128" t="n">
        <v>0</v>
      </c>
      <c r="C60" s="128" t="n">
        <v>6</v>
      </c>
      <c r="D60" s="128" t="n">
        <v>8</v>
      </c>
      <c r="E60" s="128" t="n"/>
      <c r="F60" s="128" t="n">
        <v>0.33</v>
      </c>
      <c r="G60" s="128" t="n"/>
      <c r="H60" s="128" t="n"/>
    </row>
    <row r="61">
      <c r="A61" s="136" t="inlineStr">
        <is>
          <t>Cost of the harvest</t>
        </is>
      </c>
      <c r="B61" s="128" t="n">
        <v>5</v>
      </c>
      <c r="C61" s="128" t="n">
        <v>1</v>
      </c>
      <c r="D61" s="128" t="n">
        <v>8</v>
      </c>
      <c r="E61" s="128" t="n"/>
      <c r="F61" s="128" t="n">
        <v>5.08</v>
      </c>
      <c r="G61" s="128" t="n"/>
      <c r="H61" s="128" t="n"/>
    </row>
    <row r="62">
      <c r="A62" s="138" t="inlineStr">
        <is>
          <t>Cost of the harvest total</t>
        </is>
      </c>
      <c r="B62" s="139" t="n"/>
      <c r="C62" s="139" t="n"/>
      <c r="D62" s="139" t="n"/>
      <c r="E62" s="139" t="n"/>
      <c r="F62" s="139" t="n">
        <v>5.08</v>
      </c>
      <c r="G62" s="139" t="n">
        <v>0</v>
      </c>
      <c r="H62" s="139" t="n"/>
    </row>
    <row r="63">
      <c r="A63" s="136" t="n"/>
      <c r="B63" s="128" t="n"/>
      <c r="C63" s="128" t="n"/>
      <c r="D63" s="128" t="n"/>
      <c r="E63" s="128" t="n"/>
      <c r="F63" s="128" t="n"/>
      <c r="G63" s="128" t="n"/>
      <c r="H63" s="128" t="n"/>
    </row>
    <row r="64">
      <c r="A64" s="137" t="inlineStr">
        <is>
          <t>Expenses of the steward</t>
        </is>
      </c>
      <c r="B64" s="128" t="n">
        <v>0</v>
      </c>
      <c r="C64" s="128" t="n">
        <v>0</v>
      </c>
      <c r="D64" s="128" t="n">
        <v>0</v>
      </c>
      <c r="E64" s="128" t="n"/>
      <c r="F64" s="128" t="n">
        <v>0</v>
      </c>
      <c r="G64" s="128" t="n"/>
      <c r="H64" s="128" t="n"/>
    </row>
    <row r="65">
      <c r="A65" s="136" t="inlineStr">
        <is>
          <t>Expenses of the steward</t>
        </is>
      </c>
      <c r="B65" s="128" t="n">
        <v>0</v>
      </c>
      <c r="C65" s="128" t="n">
        <v>8</v>
      </c>
      <c r="D65" s="128" t="n">
        <v>11</v>
      </c>
      <c r="E65" s="128" t="n"/>
      <c r="F65" s="128" t="n">
        <v>0.45</v>
      </c>
      <c r="G65" s="128" t="n"/>
      <c r="H65" s="128" t="n"/>
    </row>
    <row r="66">
      <c r="A66" s="136" t="inlineStr">
        <is>
          <t>Expenses of the steward</t>
        </is>
      </c>
      <c r="B66" s="128" t="n">
        <v>0</v>
      </c>
      <c r="C66" s="128" t="n">
        <v>8</v>
      </c>
      <c r="D66" s="128" t="n">
        <v>11</v>
      </c>
      <c r="E66" s="128" t="n"/>
      <c r="F66" s="128" t="n">
        <v>0.45</v>
      </c>
      <c r="G66" s="128" t="n"/>
      <c r="H66" s="128" t="n"/>
    </row>
    <row r="67">
      <c r="A67" s="138" t="inlineStr">
        <is>
          <t>Expenses of the steward total</t>
        </is>
      </c>
      <c r="B67" s="139" t="n"/>
      <c r="C67" s="139" t="n"/>
      <c r="D67" s="139" t="n"/>
      <c r="E67" s="139" t="n"/>
      <c r="F67" s="139" t="n">
        <v>0.45</v>
      </c>
      <c r="G67" s="139" t="n">
        <v>0</v>
      </c>
      <c r="H67" s="139" t="n"/>
    </row>
    <row r="68">
      <c r="A68" s="136" t="n"/>
      <c r="B68" s="128" t="n"/>
      <c r="C68" s="128" t="n"/>
      <c r="D68" s="128" t="n"/>
      <c r="E68" s="128" t="n"/>
      <c r="F68" s="128" t="n"/>
      <c r="G68" s="128" t="n"/>
      <c r="H68" s="128" t="n"/>
    </row>
    <row r="69">
      <c r="A69" s="136" t="inlineStr">
        <is>
          <t>Total of all expenses</t>
        </is>
      </c>
      <c r="B69" s="128" t="n">
        <v>18</v>
      </c>
      <c r="C69" s="128" t="n">
        <v>15</v>
      </c>
      <c r="D69" s="128" t="n">
        <v>10.5</v>
      </c>
      <c r="E69" s="128" t="n"/>
      <c r="F69" s="128" t="n">
        <v>18.79</v>
      </c>
      <c r="G69" s="128" t="n"/>
      <c r="H69" s="128" t="n"/>
    </row>
    <row r="70">
      <c r="A70" s="136" t="inlineStr">
        <is>
          <t>Total of all expenses</t>
        </is>
      </c>
      <c r="B70" s="128" t="n"/>
      <c r="C70" s="128" t="n"/>
      <c r="D70" s="128" t="n"/>
      <c r="E70" s="128" t="n"/>
      <c r="F70" s="128" t="n">
        <v>0</v>
      </c>
      <c r="G70" s="128" t="n">
        <v>-18.79</v>
      </c>
      <c r="H70" s="128" t="n"/>
    </row>
    <row r="71">
      <c r="A71" s="136" t="n"/>
      <c r="B71" s="128" t="n"/>
      <c r="C71" s="128" t="n"/>
      <c r="D71" s="128" t="n"/>
      <c r="E71" s="128" t="n"/>
      <c r="F71" s="128" t="n"/>
      <c r="G71" s="128" t="n"/>
      <c r="H71" s="128" t="n"/>
    </row>
    <row r="72">
      <c r="A72" s="137" t="inlineStr">
        <is>
          <t>And he owes</t>
        </is>
      </c>
      <c r="B72" s="128" t="n">
        <v>62</v>
      </c>
      <c r="C72" s="128" t="n">
        <v>15</v>
      </c>
      <c r="D72" s="128" t="n">
        <v>6.25</v>
      </c>
      <c r="E72" s="128" t="n"/>
      <c r="F72" s="128" t="n">
        <v>62.78</v>
      </c>
      <c r="G72" s="128" t="n"/>
      <c r="H72" s="128" t="n"/>
    </row>
    <row r="73">
      <c r="A73" s="138" t="inlineStr">
        <is>
          <t>And he owes total</t>
        </is>
      </c>
      <c r="B73" s="139" t="n"/>
      <c r="C73" s="139" t="n"/>
      <c r="D73" s="139" t="n"/>
      <c r="E73" s="139" t="n"/>
      <c r="F73" s="139" t="n">
        <v>62.78</v>
      </c>
      <c r="G73" s="139" t="n">
        <v>0</v>
      </c>
      <c r="H73" s="139" t="n"/>
    </row>
    <row r="74">
      <c r="A74" s="136" t="n"/>
      <c r="B74" s="128" t="n"/>
      <c r="C74" s="128" t="n"/>
      <c r="D74" s="128" t="n"/>
      <c r="E74" s="128" t="n"/>
      <c r="F74" s="128" t="n"/>
      <c r="G74" s="128" t="n"/>
      <c r="H74" s="128" t="n"/>
    </row>
    <row r="75">
      <c r="A75" s="137" t="inlineStr">
        <is>
          <t>Cash deliveries</t>
        </is>
      </c>
      <c r="B75" s="128" t="n">
        <v>57</v>
      </c>
      <c r="C75" s="128" t="n">
        <v>9</v>
      </c>
      <c r="D75" s="128" t="n">
        <v>8</v>
      </c>
      <c r="E75" s="128" t="n"/>
      <c r="F75" s="128" t="n">
        <v>57.48</v>
      </c>
      <c r="G75" s="128" t="n"/>
      <c r="H75" s="128" t="n"/>
    </row>
    <row r="76">
      <c r="A76" s="136" t="inlineStr">
        <is>
          <t>Cash deliveries</t>
        </is>
      </c>
      <c r="B76" s="128" t="n">
        <v>57</v>
      </c>
      <c r="C76" s="128" t="n">
        <v>9</v>
      </c>
      <c r="D76" s="128" t="n">
        <v>0</v>
      </c>
      <c r="E76" s="128" t="n"/>
      <c r="F76" s="128" t="n">
        <v>57.45</v>
      </c>
      <c r="G76" s="128" t="n"/>
      <c r="H76" s="128" t="n"/>
    </row>
    <row r="77">
      <c r="A77" s="136" t="inlineStr">
        <is>
          <t>Cash deliveries</t>
        </is>
      </c>
      <c r="B77" s="128" t="n">
        <v>0</v>
      </c>
      <c r="C77" s="128" t="n">
        <v>0</v>
      </c>
      <c r="D77" s="128" t="n">
        <v>8</v>
      </c>
      <c r="E77" s="128" t="n"/>
      <c r="F77" s="128" t="n">
        <v>0.03</v>
      </c>
      <c r="G77" s="128" t="n"/>
      <c r="H77" s="128" t="n"/>
    </row>
    <row r="78">
      <c r="A78" s="138" t="inlineStr">
        <is>
          <t>Cash deliveries total</t>
        </is>
      </c>
      <c r="B78" s="139" t="n"/>
      <c r="C78" s="139" t="n"/>
      <c r="D78" s="139" t="n"/>
      <c r="E78" s="139" t="n"/>
      <c r="F78" s="139" t="n">
        <v>57.51</v>
      </c>
      <c r="G78" s="139" t="n">
        <v>57.48</v>
      </c>
      <c r="H78" s="139" t="n"/>
    </row>
    <row r="79">
      <c r="A79" s="136" t="n"/>
      <c r="B79" s="128" t="n"/>
      <c r="C79" s="128" t="n"/>
      <c r="D79" s="128" t="n"/>
      <c r="E79" s="128" t="n"/>
      <c r="F79" s="128" t="n"/>
      <c r="G79" s="128" t="n"/>
      <c r="H79" s="128" t="n"/>
    </row>
    <row r="80">
      <c r="A80" s="137" t="inlineStr">
        <is>
          <t>Total of all allowances and cash deliveries</t>
        </is>
      </c>
      <c r="B80" s="128" t="n">
        <v>62</v>
      </c>
      <c r="C80" s="128" t="n">
        <v>5</v>
      </c>
      <c r="D80" s="128" t="n">
        <v>3.25</v>
      </c>
      <c r="E80" s="128" t="n"/>
      <c r="F80" s="128" t="n">
        <v>62.26</v>
      </c>
      <c r="G80" s="128" t="n"/>
      <c r="H80" s="128" t="n"/>
    </row>
    <row r="82">
      <c r="A82" s="38" t="inlineStr">
        <is>
          <t>Total of all expenses per account</t>
        </is>
      </c>
      <c r="B82" t="n">
        <v>18</v>
      </c>
      <c r="C82" t="n">
        <v>15</v>
      </c>
      <c r="D82" t="n">
        <v>10.5</v>
      </c>
      <c r="F82">
        <f>F69</f>
        <v/>
      </c>
    </row>
    <row r="83">
      <c r="A83" s="38" t="inlineStr">
        <is>
          <t>Total of all expenses (calculated here)</t>
        </is>
      </c>
      <c r="F83">
        <f>SUMIF(A1:A68,"* total",F1:F68)</f>
        <v/>
      </c>
    </row>
    <row r="84">
      <c r="A84" s="38" t="inlineStr">
        <is>
          <t>Total fixed investment</t>
        </is>
      </c>
    </row>
    <row r="85">
      <c r="A85" s="38" t="inlineStr">
        <is>
          <t>Total Demesne fixed investment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2026-01-17T10:57:16Z</dcterms:modified>
  <cp:lastModifiedBy>Kowalski, Kuba</cp:lastModifiedBy>
</cp:coreProperties>
</file>
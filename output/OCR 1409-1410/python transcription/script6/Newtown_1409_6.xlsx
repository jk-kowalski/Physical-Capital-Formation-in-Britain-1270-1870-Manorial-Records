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Adderbury Overview" sheetId="1" state="visible" r:id="rId1"/>
    <sheet xmlns:r="http://schemas.openxmlformats.org/officeDocument/2006/relationships" name="Newtown Stock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Receipts" sheetId="4" state="visible" r:id="rId4"/>
    <sheet xmlns:r="http://schemas.openxmlformats.org/officeDocument/2006/relationships" name="Overview" sheetId="5" state="visible" r:id="rId5"/>
    <sheet xmlns:r="http://schemas.openxmlformats.org/officeDocument/2006/relationships" name="Issues of the Grange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Stock" sheetId="8" state="visible" r:id="rId8"/>
    <sheet xmlns:r="http://schemas.openxmlformats.org/officeDocument/2006/relationships" name="Prices" sheetId="9" state="visible" r:id="rId9"/>
    <sheet xmlns:r="http://schemas.openxmlformats.org/officeDocument/2006/relationships" name="Labour Rents" sheetId="10" state="visible" r:id="rId10"/>
    <sheet xmlns:r="http://schemas.openxmlformats.org/officeDocument/2006/relationships" name="not needed" sheetId="11" state="visible" r:id="rId11"/>
    <sheet xmlns:r="http://schemas.openxmlformats.org/officeDocument/2006/relationships" name="Expens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/>
    <border>
      <right style="thin">
        <color rgb="00000000"/>
      </right>
    </border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8" pivotButton="0" quotePrefix="0" xfId="0"/>
    <xf numFmtId="0" fontId="0" fillId="0" borderId="17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0" fillId="0" borderId="18" pivotButton="0" quotePrefix="0" xfId="0"/>
    <xf numFmtId="0" fontId="20" fillId="0" borderId="18" pivotButton="0" quotePrefix="0" xfId="0"/>
    <xf numFmtId="0" fontId="20" fillId="11" borderId="18" pivotButton="0" quotePrefix="0" xfId="0"/>
    <xf numFmtId="0" fontId="20" fillId="11" borderId="17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abSelected="1" workbookViewId="0">
      <pane xSplit="1" ySplit="2" topLeftCell="B126" activePane="bottomRight" state="frozen"/>
      <selection pane="topRight" activeCell="B1" sqref="B1"/>
      <selection pane="bottomLeft" activeCell="A3" sqref="A3"/>
      <selection pane="bottomRight" activeCell="A138" sqref="A138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ADDERBURY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inlineStr">
        <is>
          <t xml:space="preserve"> </t>
        </is>
      </c>
      <c r="D4" s="13" t="n"/>
      <c r="E4" s="13" t="n"/>
    </row>
    <row r="5">
      <c r="A5" s="15" t="inlineStr">
        <is>
          <t>Rents of assize total</t>
        </is>
      </c>
      <c r="B5" s="76">
        <f>'Adderbury Receipts'!F9</f>
        <v/>
      </c>
    </row>
    <row r="6">
      <c r="A6" s="15" t="inlineStr">
        <is>
          <t>Quittances total</t>
        </is>
      </c>
      <c r="B6" s="76">
        <f>'Adderbury Receipts'!F22</f>
        <v/>
      </c>
    </row>
    <row r="7">
      <c r="A7" s="15" t="inlineStr">
        <is>
          <t>Defaults of rent total</t>
        </is>
      </c>
      <c r="B7" s="76">
        <f>'Adderbury Receipts'!F27</f>
        <v/>
      </c>
    </row>
    <row r="8">
      <c r="A8" s="76" t="inlineStr">
        <is>
          <t>Defaults of rent through the pestilence total</t>
        </is>
      </c>
      <c r="B8" s="76">
        <f>'Adderbury Receipts'!F36</f>
        <v/>
      </c>
    </row>
    <row r="9">
      <c r="A9" s="76" t="inlineStr">
        <is>
          <t>Cotlands defaults total</t>
        </is>
      </c>
      <c r="B9" s="76">
        <f>'Adderbury Receipts'!F45</f>
        <v/>
      </c>
    </row>
    <row r="10">
      <c r="A10" s="76" t="inlineStr">
        <is>
          <t>Cotlands total</t>
        </is>
      </c>
      <c r="B10" s="76">
        <f>'Adderbury Receipts'!F54</f>
        <v/>
      </c>
    </row>
    <row r="11">
      <c r="A11" s="76" t="inlineStr">
        <is>
          <t>Total of quittances and defaults of rent total</t>
        </is>
      </c>
      <c r="B11" s="76">
        <f>'Adderbury Receipts'!F56</f>
        <v/>
      </c>
    </row>
    <row r="12">
      <c r="A12" s="76" t="inlineStr">
        <is>
          <t>Total of rents remaining clear total</t>
        </is>
      </c>
      <c r="B12" s="76">
        <f>'Adderbury Receipts'!F58</f>
        <v/>
      </c>
    </row>
    <row r="13">
      <c r="A13" s="76" t="inlineStr">
        <is>
          <t>Farms total</t>
        </is>
      </c>
      <c r="B13" s="76">
        <f>'Adderbury Receipts'!F70</f>
        <v/>
      </c>
    </row>
    <row r="14">
      <c r="A14" s="15" t="inlineStr">
        <is>
          <t>Annual recognizances total</t>
        </is>
      </c>
      <c r="B14" s="76">
        <f>'Adderbury Receipts'!F90</f>
        <v/>
      </c>
    </row>
    <row r="15">
      <c r="A15" s="15" t="inlineStr">
        <is>
          <t>Issues of the Manor total</t>
        </is>
      </c>
      <c r="B15" s="76">
        <f>'Adderbury Receipts'!F117</f>
        <v/>
      </c>
    </row>
    <row r="16">
      <c r="A16" s="76" t="inlineStr">
        <is>
          <t>Issues of the tenements in the lord's hands total</t>
        </is>
      </c>
      <c r="B16" s="76">
        <f>'Adderbury Receipts'!F126</f>
        <v/>
      </c>
    </row>
    <row r="17">
      <c r="A17" s="76" t="inlineStr">
        <is>
          <t>Sale of labour services total</t>
        </is>
      </c>
      <c r="B17" s="76">
        <f>'Adderbury Receipts'!F135</f>
        <v/>
      </c>
    </row>
    <row r="18">
      <c r="A18" s="15" t="inlineStr">
        <is>
          <t>Sale of corn total</t>
        </is>
      </c>
      <c r="B18" s="76">
        <f>'Adderbury Receipts'!F138</f>
        <v/>
      </c>
    </row>
    <row r="19">
      <c r="A19" s="15" t="inlineStr">
        <is>
          <t>Entry and marriage fines total</t>
        </is>
      </c>
      <c r="B19" s="76">
        <f>'Adderbury Receipts'!F166</f>
        <v/>
      </c>
    </row>
    <row r="20">
      <c r="A20" s="15" t="inlineStr">
        <is>
          <t>Pleas &amp; perquisites total</t>
        </is>
      </c>
      <c r="B20" s="76">
        <f>'Adderbury Receipts'!F173</f>
        <v/>
      </c>
    </row>
    <row r="21">
      <c r="A21" s="76" t="inlineStr">
        <is>
          <t>Forfeited chattels total</t>
        </is>
      </c>
      <c r="B21" s="76">
        <f>'Adderbury Receipts'!F177</f>
        <v/>
      </c>
    </row>
    <row r="22">
      <c r="A22" s="76" t="inlineStr">
        <is>
          <t>Farm of the demesne land total</t>
        </is>
      </c>
      <c r="B22" s="76">
        <f>'Adderbury Receipts'!F181</f>
        <v/>
      </c>
      <c r="D22" s="88" t="n"/>
    </row>
    <row r="23">
      <c r="A23" s="81" t="inlineStr">
        <is>
          <t>Total of all receipts (calculated here)</t>
        </is>
      </c>
      <c r="B23" s="79">
        <f>'Adderbury Receipts'!F185</f>
        <v/>
      </c>
      <c r="C23" s="80" t="n"/>
    </row>
    <row r="24">
      <c r="A24" s="82" t="inlineStr">
        <is>
          <t>Total of all receipts (calculated here) incl arrears</t>
        </is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'Adderbury Receipts'!F184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>
        <f>'Adderbury Expenses'!F26</f>
        <v/>
      </c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>
        <f>'Adderbury Expenses'!F30</f>
        <v/>
      </c>
    </row>
    <row r="42">
      <c r="A42" s="15" t="inlineStr">
        <is>
          <t>Steward's expenses total</t>
        </is>
      </c>
      <c r="B42" s="84">
        <f>'Adderbury Expenses'!F33</f>
        <v/>
      </c>
    </row>
    <row r="43">
      <c r="A43" s="85" t="inlineStr">
        <is>
          <t>Annual fees</t>
        </is>
      </c>
      <c r="B43" s="86">
        <f>'Adderbury Expenses'!F37</f>
        <v/>
      </c>
      <c r="C43" s="87" t="n"/>
      <c r="D43" s="88" t="n"/>
    </row>
    <row r="44">
      <c r="A44" s="82" t="inlineStr">
        <is>
          <t>Total of all expenses per account</t>
        </is>
      </c>
      <c r="B44" s="84" t="n"/>
    </row>
    <row r="45">
      <c r="A45" s="82" t="inlineStr">
        <is>
          <t>Total of all expenses (calculated here)</t>
        </is>
      </c>
      <c r="B45" s="84" t="n"/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>
        <f>'Adderbury Expenses'!F41</f>
        <v/>
      </c>
    </row>
    <row r="51">
      <c r="A51" s="15" t="n"/>
    </row>
    <row r="52">
      <c r="A52" s="18" t="inlineStr">
        <is>
          <t>Allowances</t>
        </is>
      </c>
      <c r="B52" s="84">
        <f>'Adderbury Expenses'!F45</f>
        <v/>
      </c>
    </row>
    <row r="53">
      <c r="A53" s="18" t="inlineStr">
        <is>
          <t>Cash deliveries</t>
        </is>
      </c>
      <c r="B53" s="84">
        <f>'Adderbury Expenses'!F48</f>
        <v/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F62" s="13" t="n"/>
    </row>
    <row r="63">
      <c r="A63" s="76" t="inlineStr">
        <is>
          <t>Rye</t>
        </is>
      </c>
      <c r="F63" s="13" t="n"/>
    </row>
    <row r="64">
      <c r="A64" s="76" t="inlineStr">
        <is>
          <t>Dredge</t>
        </is>
      </c>
      <c r="F64" s="13" t="n"/>
    </row>
    <row r="65">
      <c r="A65" s="76" t="inlineStr">
        <is>
          <t>Curall</t>
        </is>
      </c>
      <c r="F65" s="13" t="n"/>
    </row>
    <row r="66">
      <c r="A66" s="76" t="inlineStr">
        <is>
          <t>Barley</t>
        </is>
      </c>
      <c r="F66" s="13" t="n"/>
    </row>
    <row r="67">
      <c r="A67" s="76" t="inlineStr">
        <is>
          <t>Oats</t>
        </is>
      </c>
      <c r="F67" s="13" t="n"/>
    </row>
    <row r="68">
      <c r="A68" s="76" t="inlineStr">
        <is>
          <t>Beans</t>
        </is>
      </c>
      <c r="F68" s="13" t="n"/>
    </row>
    <row r="69">
      <c r="A69" s="76" t="inlineStr">
        <is>
          <t>Peas</t>
        </is>
      </c>
      <c r="F69" s="13" t="n"/>
    </row>
    <row r="70">
      <c r="A70" s="76" t="inlineStr">
        <is>
          <t>Vetches</t>
        </is>
      </c>
    </row>
    <row r="71">
      <c r="A71" s="17" t="inlineStr">
        <is>
          <t>Total value of gross production (sum of the above)</t>
        </is>
      </c>
      <c r="B71" s="93">
        <f>SUM(D62:D70)</f>
        <v/>
      </c>
      <c r="C71" s="94" t="n"/>
      <c r="D71" s="93" t="n"/>
      <c r="E71" s="93" t="n"/>
    </row>
    <row r="72">
      <c r="A72" s="17" t="inlineStr">
        <is>
          <t>Total value of net production</t>
        </is>
      </c>
      <c r="B72" s="93">
        <f>SUM(E62:E70)</f>
        <v/>
      </c>
      <c r="C72" s="94" t="n"/>
      <c r="D72" s="93" t="n"/>
      <c r="E72" s="93" t="n"/>
    </row>
    <row r="73">
      <c r="A73" s="17" t="inlineStr">
        <is>
          <t>Value of sales</t>
        </is>
      </c>
      <c r="B73" s="93" t="n"/>
      <c r="C73" s="94" t="n"/>
      <c r="D73" s="93" t="n"/>
      <c r="E73" s="93" t="n"/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  <c r="F75" s="13" t="inlineStr">
        <is>
          <t>Not yet implemented</t>
        </is>
      </c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>
        <f>'Adderbury Stock'!B5</f>
        <v/>
      </c>
      <c r="C87" s="76">
        <f>'Adderbury Stock'!K5</f>
        <v/>
      </c>
      <c r="D87" s="76">
        <f>'Adderbury Overview'!C87-'Adderbury Overview'!B87</f>
        <v/>
      </c>
      <c r="F87" s="84">
        <f>'Adderbury Stock'!P5</f>
        <v/>
      </c>
      <c r="G87" s="84">
        <f>'Adderbury Stock'!S5</f>
        <v/>
      </c>
    </row>
    <row r="88">
      <c r="A88" s="22" t="inlineStr">
        <is>
          <t>Mares</t>
        </is>
      </c>
      <c r="B88" s="76">
        <f>'Adderbury Stock'!B6</f>
        <v/>
      </c>
      <c r="C88" s="76">
        <f>'Adderbury Stock'!K6</f>
        <v/>
      </c>
      <c r="D88" s="76">
        <f>'Adderbury Overview'!C88-'Adderbury Overview'!B88</f>
        <v/>
      </c>
      <c r="F88" s="84">
        <f>'Adderbury Stock'!P6</f>
        <v/>
      </c>
      <c r="G88" s="84">
        <f>'Adderbury Stock'!S6</f>
        <v/>
      </c>
    </row>
    <row r="89">
      <c r="A89" s="15" t="inlineStr">
        <is>
          <t>Plough horses</t>
        </is>
      </c>
      <c r="B89" s="76">
        <f>'Adderbury Stock'!B7</f>
        <v/>
      </c>
      <c r="C89" s="76">
        <f>'Adderbury Stock'!K7</f>
        <v/>
      </c>
      <c r="D89" s="76">
        <f>'Adderbury Overview'!C89-'Adderbury Overview'!B89</f>
        <v/>
      </c>
      <c r="F89" s="84">
        <f>'Adderbury Stock'!P7</f>
        <v/>
      </c>
      <c r="G89" s="84">
        <f>'Adderbury Stock'!S7</f>
        <v/>
      </c>
    </row>
    <row r="90">
      <c r="A90" s="15" t="inlineStr">
        <is>
          <t>Colts (2 years)</t>
        </is>
      </c>
      <c r="B90" s="76">
        <f>'Adderbury Stock'!B8</f>
        <v/>
      </c>
      <c r="C90" s="76">
        <f>'Adderbury Stock'!K8</f>
        <v/>
      </c>
      <c r="D90" s="76">
        <f>'Adderbury Overview'!C90-'Adderbury Overview'!B90</f>
        <v/>
      </c>
      <c r="F90" s="84">
        <f>'Adderbury Stock'!P8</f>
        <v/>
      </c>
      <c r="G90" s="84">
        <f>'Adderbury Stock'!S8</f>
        <v/>
      </c>
    </row>
    <row r="91">
      <c r="A91" s="15" t="inlineStr">
        <is>
          <t>Colts (2 years)</t>
        </is>
      </c>
      <c r="B91" s="76">
        <f>'Adderbury Stock'!B9</f>
        <v/>
      </c>
      <c r="C91" s="76">
        <f>'Adderbury Stock'!K9</f>
        <v/>
      </c>
      <c r="D91" s="76">
        <f>'Adderbury Overview'!C91-'Adderbury Overview'!B91</f>
        <v/>
      </c>
      <c r="F91" s="84">
        <f>'Adderbury Stock'!P9</f>
        <v/>
      </c>
      <c r="G91" s="84">
        <f>'Adderbury Stock'!S9</f>
        <v/>
      </c>
    </row>
    <row r="92">
      <c r="A92" s="15" t="inlineStr">
        <is>
          <t>Colts (1 year)</t>
        </is>
      </c>
      <c r="B92" s="76">
        <f>'Adderbury Stock'!B10</f>
        <v/>
      </c>
      <c r="C92" s="76">
        <f>'Adderbury Stock'!K10</f>
        <v/>
      </c>
      <c r="D92" s="76">
        <f>'Adderbury Overview'!C92-'Adderbury Overview'!B92</f>
        <v/>
      </c>
      <c r="F92" s="84">
        <f>'Adderbury Stock'!P10</f>
        <v/>
      </c>
      <c r="G92" s="84">
        <f>'Adderbury Stock'!S10</f>
        <v/>
      </c>
    </row>
    <row r="93">
      <c r="A93" s="15" t="inlineStr">
        <is>
          <t>Foals</t>
        </is>
      </c>
      <c r="B93" s="76">
        <f>'Adderbury Stock'!B11</f>
        <v/>
      </c>
      <c r="C93" s="76">
        <f>'Adderbury Stock'!K11</f>
        <v/>
      </c>
      <c r="D93" s="76">
        <f>'Adderbury Overview'!C93-'Adderbury Overview'!B93</f>
        <v/>
      </c>
      <c r="F93" s="84">
        <f>'Adderbury Stock'!P11</f>
        <v/>
      </c>
      <c r="G93" s="84">
        <f>'Adderbury Stock'!S11</f>
        <v/>
      </c>
    </row>
    <row r="94">
      <c r="A94" s="15" t="inlineStr">
        <is>
          <t>Oxen</t>
        </is>
      </c>
      <c r="B94" s="76">
        <f>'Adderbury Stock'!B12</f>
        <v/>
      </c>
      <c r="C94" s="76">
        <f>'Adderbury Stock'!K12</f>
        <v/>
      </c>
      <c r="D94" s="76">
        <f>'Adderbury Overview'!C94-'Adderbury Overview'!B94</f>
        <v/>
      </c>
      <c r="F94" s="84">
        <f>'Adderbury Stock'!P12</f>
        <v/>
      </c>
      <c r="G94" s="84">
        <f>'Adderbury Stock'!S12</f>
        <v/>
      </c>
    </row>
    <row r="95">
      <c r="A95" s="15" t="inlineStr">
        <is>
          <t>Bulls</t>
        </is>
      </c>
      <c r="B95" s="76">
        <f>'Adderbury Stock'!B13</f>
        <v/>
      </c>
      <c r="C95" s="76">
        <f>'Adderbury Stock'!K13</f>
        <v/>
      </c>
      <c r="D95" s="76">
        <f>'Adderbury Overview'!C95-'Adderbury Overview'!B95</f>
        <v/>
      </c>
      <c r="F95" s="84">
        <f>'Adderbury Stock'!P13</f>
        <v/>
      </c>
      <c r="G95" s="84">
        <f>'Adderbury Stock'!S13</f>
        <v/>
      </c>
    </row>
    <row r="96">
      <c r="A96" s="15" t="inlineStr">
        <is>
          <t>Cows</t>
        </is>
      </c>
      <c r="B96" s="76">
        <f>'Adderbury Stock'!B14</f>
        <v/>
      </c>
      <c r="C96" s="76">
        <f>'Adderbury Stock'!K14</f>
        <v/>
      </c>
      <c r="D96" s="76">
        <f>'Adderbury Overview'!C96-'Adderbury Overview'!B96</f>
        <v/>
      </c>
      <c r="F96" s="84">
        <f>'Adderbury Stock'!P14</f>
        <v/>
      </c>
      <c r="G96" s="84">
        <f>'Adderbury Stock'!S14</f>
        <v/>
      </c>
    </row>
    <row r="97">
      <c r="A97" s="15" t="inlineStr">
        <is>
          <t>Steers</t>
        </is>
      </c>
      <c r="B97" s="76">
        <f>'Adderbury Stock'!B15</f>
        <v/>
      </c>
      <c r="C97" s="76">
        <f>'Adderbury Stock'!K15</f>
        <v/>
      </c>
      <c r="D97" s="76">
        <f>'Adderbury Overview'!C97-'Adderbury Overview'!B97</f>
        <v/>
      </c>
      <c r="F97" s="84">
        <f>'Adderbury Stock'!P15</f>
        <v/>
      </c>
      <c r="G97" s="84">
        <f>'Adderbury Stock'!S15</f>
        <v/>
      </c>
    </row>
    <row r="98">
      <c r="A98" s="15" t="inlineStr">
        <is>
          <t>Bullocks</t>
        </is>
      </c>
      <c r="B98" s="76">
        <f>'Adderbury Stock'!B16</f>
        <v/>
      </c>
      <c r="C98" s="76">
        <f>'Adderbury Stock'!K16</f>
        <v/>
      </c>
      <c r="D98" s="76">
        <f>'Adderbury Overview'!C98-'Adderbury Overview'!B98</f>
        <v/>
      </c>
      <c r="F98" s="84">
        <f>'Adderbury Stock'!P16</f>
        <v/>
      </c>
      <c r="G98" s="84">
        <f>'Adderbury Stock'!S16</f>
        <v/>
      </c>
    </row>
    <row r="99">
      <c r="A99" s="15" t="inlineStr">
        <is>
          <t>Yearlings</t>
        </is>
      </c>
      <c r="B99" s="76">
        <f>'Adderbury Stock'!B17</f>
        <v/>
      </c>
      <c r="C99" s="76">
        <f>'Adderbury Stock'!K17</f>
        <v/>
      </c>
      <c r="D99" s="76">
        <f>'Adderbury Overview'!C99-'Adderbury Overview'!B99</f>
        <v/>
      </c>
      <c r="F99" s="84">
        <f>'Adderbury Stock'!P17</f>
        <v/>
      </c>
      <c r="G99" s="84">
        <f>'Adderbury Stock'!S17</f>
        <v/>
      </c>
    </row>
    <row r="100">
      <c r="A100" s="15" t="inlineStr">
        <is>
          <t>Calves</t>
        </is>
      </c>
      <c r="B100" s="76">
        <f>'Adderbury Stock'!B18</f>
        <v/>
      </c>
      <c r="C100" s="76">
        <f>'Adderbury Stock'!K18</f>
        <v/>
      </c>
      <c r="D100" s="76">
        <f>'Adderbury Overview'!C100-'Adderbury Overview'!B100</f>
        <v/>
      </c>
      <c r="F100" s="84">
        <f>'Adderbury Stock'!P18</f>
        <v/>
      </c>
      <c r="G100" s="84">
        <f>'Adderbury Stock'!S18</f>
        <v/>
      </c>
    </row>
    <row r="101">
      <c r="A101" s="15" t="inlineStr">
        <is>
          <t>Wethers</t>
        </is>
      </c>
      <c r="B101" s="76">
        <f>'Adderbury Stock'!B19</f>
        <v/>
      </c>
      <c r="C101" s="76">
        <f>'Adderbury Stock'!K19</f>
        <v/>
      </c>
      <c r="D101" s="76">
        <f>'Adderbury Overview'!C101-'Adderbury Overview'!B101</f>
        <v/>
      </c>
      <c r="F101" s="84">
        <f>'Adderbury Stock'!P19</f>
        <v/>
      </c>
      <c r="G101" s="84">
        <f>'Adderbury Stock'!S19</f>
        <v/>
      </c>
    </row>
    <row r="102">
      <c r="A102" s="15" t="inlineStr">
        <is>
          <t>Rams</t>
        </is>
      </c>
      <c r="B102" s="76">
        <f>'Adderbury Stock'!B20</f>
        <v/>
      </c>
      <c r="C102" s="76">
        <f>'Adderbury Stock'!K20</f>
        <v/>
      </c>
      <c r="D102" s="76">
        <f>'Adderbury Overview'!C102-'Adderbury Overview'!B102</f>
        <v/>
      </c>
      <c r="F102" s="84">
        <f>'Adderbury Stock'!P20</f>
        <v/>
      </c>
      <c r="G102" s="84">
        <f>'Adderbury Stock'!S20</f>
        <v/>
      </c>
    </row>
    <row r="103">
      <c r="A103" s="15" t="inlineStr">
        <is>
          <t>Ewes</t>
        </is>
      </c>
      <c r="B103" s="76">
        <f>'Adderbury Stock'!B21</f>
        <v/>
      </c>
      <c r="C103" s="76">
        <f>'Adderbury Stock'!K21</f>
        <v/>
      </c>
      <c r="D103" s="76">
        <f>'Adderbury Overview'!C103-'Adderbury Overview'!B103</f>
        <v/>
      </c>
      <c r="F103" s="84">
        <f>'Adderbury Stock'!P21</f>
        <v/>
      </c>
      <c r="G103" s="84">
        <f>'Adderbury Stock'!S21</f>
        <v/>
      </c>
    </row>
    <row r="104">
      <c r="A104" s="15" t="inlineStr">
        <is>
          <t>Hoggs</t>
        </is>
      </c>
      <c r="B104" s="76">
        <f>'Adderbury Stock'!B22</f>
        <v/>
      </c>
      <c r="C104" s="76">
        <f>'Adderbury Stock'!K22</f>
        <v/>
      </c>
      <c r="D104" s="76">
        <f>'Adderbury Overview'!C104-'Adderbury Overview'!B104</f>
        <v/>
      </c>
      <c r="F104" s="84">
        <f>'Adderbury Stock'!P22</f>
        <v/>
      </c>
      <c r="G104" s="84">
        <f>'Adderbury Stock'!S22</f>
        <v/>
      </c>
    </row>
    <row r="105">
      <c r="A105" s="15" t="inlineStr">
        <is>
          <t>Lambs</t>
        </is>
      </c>
      <c r="B105" s="76">
        <f>'Adderbury Stock'!B23</f>
        <v/>
      </c>
      <c r="C105" s="76">
        <f>'Adderbury Stock'!K23</f>
        <v/>
      </c>
      <c r="D105" s="76">
        <f>'Adderbury Overview'!C105-'Adderbury Overview'!B105</f>
        <v/>
      </c>
      <c r="F105" s="84">
        <f>'Adderbury Stock'!P23</f>
        <v/>
      </c>
      <c r="G105" s="84">
        <f>'Adderbury Stock'!S23</f>
        <v/>
      </c>
    </row>
    <row r="106">
      <c r="A106" s="15" t="inlineStr">
        <is>
          <t>Boars</t>
        </is>
      </c>
      <c r="B106" s="76">
        <f>'Adderbury Stock'!B24</f>
        <v/>
      </c>
      <c r="C106" s="76">
        <f>'Adderbury Stock'!K24</f>
        <v/>
      </c>
      <c r="D106" s="76">
        <f>'Adderbury Overview'!C106-'Adderbury Overview'!B106</f>
        <v/>
      </c>
      <c r="F106" s="84">
        <f>'Adderbury Stock'!P24</f>
        <v/>
      </c>
      <c r="G106" s="84">
        <f>'Adderbury Stock'!S24</f>
        <v/>
      </c>
    </row>
    <row r="107">
      <c r="A107" s="15" t="inlineStr">
        <is>
          <t>Sows</t>
        </is>
      </c>
      <c r="B107" s="76">
        <f>'Adderbury Stock'!B25</f>
        <v/>
      </c>
      <c r="C107" s="76">
        <f>'Adderbury Stock'!K25</f>
        <v/>
      </c>
      <c r="D107" s="76">
        <f>'Adderbury Overview'!C107-'Adderbury Overview'!B107</f>
        <v/>
      </c>
      <c r="F107" s="84">
        <f>'Adderbury Stock'!P25</f>
        <v/>
      </c>
      <c r="G107" s="84">
        <f>'Adderbury Stock'!S25</f>
        <v/>
      </c>
    </row>
    <row r="108">
      <c r="A108" s="15" t="inlineStr">
        <is>
          <t>Pigs</t>
        </is>
      </c>
      <c r="B108" s="76">
        <f>'Adderbury Stock'!B26</f>
        <v/>
      </c>
      <c r="C108" s="76">
        <f>'Adderbury Stock'!K26</f>
        <v/>
      </c>
      <c r="D108" s="76">
        <f>'Adderbury Overview'!C108-'Adderbury Overview'!B108</f>
        <v/>
      </c>
      <c r="F108" s="84">
        <f>'Adderbury Stock'!P26</f>
        <v/>
      </c>
      <c r="G108" s="84">
        <f>'Adderbury Stock'!S26</f>
        <v/>
      </c>
    </row>
    <row r="109">
      <c r="A109" s="15" t="inlineStr">
        <is>
          <t>Hoggets</t>
        </is>
      </c>
      <c r="B109" s="76">
        <f>'Adderbury Stock'!B27</f>
        <v/>
      </c>
      <c r="C109" s="76">
        <f>'Adderbury Stock'!K27</f>
        <v/>
      </c>
      <c r="D109" s="76">
        <f>'Adderbury Overview'!C109-'Adderbury Overview'!B109</f>
        <v/>
      </c>
      <c r="F109" s="84">
        <f>'Adderbury Stock'!P27</f>
        <v/>
      </c>
      <c r="G109" s="84">
        <f>'Adderbury Stock'!S27</f>
        <v/>
      </c>
    </row>
    <row r="110">
      <c r="A110" s="15" t="inlineStr">
        <is>
          <t>Piglets</t>
        </is>
      </c>
      <c r="B110" s="76">
        <f>'Adderbury Stock'!B28</f>
        <v/>
      </c>
      <c r="C110" s="76">
        <f>'Adderbury Stock'!K28</f>
        <v/>
      </c>
      <c r="D110" s="76">
        <f>'Adderbury Overview'!C110-'Adderbury Overview'!B110</f>
        <v/>
      </c>
      <c r="F110" s="84">
        <f>'Adderbury Stock'!P28</f>
        <v/>
      </c>
      <c r="G110" s="84">
        <f>'Adderbury Stock'!S28</f>
        <v/>
      </c>
    </row>
    <row r="111">
      <c r="A111" s="15" t="inlineStr">
        <is>
          <t>Swans</t>
        </is>
      </c>
      <c r="B111" s="76">
        <f>'Adderbury Stock'!B29</f>
        <v/>
      </c>
      <c r="C111" s="76">
        <f>'Adderbury Stock'!K29</f>
        <v/>
      </c>
      <c r="D111" s="76">
        <f>'Adderbury Overview'!C111-'Adderbury Overview'!B111</f>
        <v/>
      </c>
      <c r="F111" s="84">
        <f>'Adderbury Stock'!P29</f>
        <v/>
      </c>
      <c r="G111" s="84">
        <f>'Adderbury Stock'!S29</f>
        <v/>
      </c>
    </row>
    <row r="112">
      <c r="A112" s="15" t="inlineStr">
        <is>
          <t>Peacocks</t>
        </is>
      </c>
      <c r="B112" s="76">
        <f>'Adderbury Stock'!B30</f>
        <v/>
      </c>
      <c r="C112" s="76">
        <f>'Adderbury Stock'!K30</f>
        <v/>
      </c>
      <c r="D112" s="76">
        <f>'Adderbury Overview'!C112-'Adderbury Overview'!B112</f>
        <v/>
      </c>
      <c r="F112" s="84">
        <f>'Adderbury Stock'!P30</f>
        <v/>
      </c>
      <c r="G112" s="84">
        <f>'Adderbury Stock'!S30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'Adderbury Stock'!S31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SUM('Adderbury Stock'!T5:T29)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SUM('Adderbury Stock'!R5:R23)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G118" s="96" t="n"/>
    </row>
    <row r="119">
      <c r="A119" s="15" t="inlineStr">
        <is>
          <t>Coarse wool</t>
        </is>
      </c>
    </row>
    <row r="120">
      <c r="A120" s="15" t="inlineStr">
        <is>
          <t>Lamb's wool</t>
        </is>
      </c>
    </row>
    <row r="121">
      <c r="A121" s="15" t="inlineStr">
        <is>
          <t>Wool locks</t>
        </is>
      </c>
    </row>
    <row r="122">
      <c r="A122" s="15" t="inlineStr">
        <is>
          <t>Wool sold at shearing</t>
        </is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 t="n"/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G127" s="96" t="n"/>
    </row>
    <row r="128">
      <c r="A128" s="15" t="inlineStr">
        <is>
          <t>Cow hides</t>
        </is>
      </c>
      <c r="F128" s="76" t="n">
        <v>1</v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total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total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>
        <f t="array" ref="F147">SUM(F127:F133+F138+F143+F144:F146)</f>
        <v/>
      </c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'Adderbury Stock'!B67</f>
        <v/>
      </c>
      <c r="C151" s="76">
        <f>'Adderbury Stock'!K67</f>
        <v/>
      </c>
      <c r="D151" s="76">
        <f>C151-B151</f>
        <v/>
      </c>
      <c r="F151" s="76">
        <f>'Adderbury Stock'!Q67</f>
        <v/>
      </c>
      <c r="G151" s="96" t="n"/>
    </row>
    <row r="152">
      <c r="A152" s="15" t="inlineStr">
        <is>
          <t>Geese</t>
        </is>
      </c>
      <c r="B152" s="76">
        <f>'Adderbury Stock'!B68</f>
        <v/>
      </c>
      <c r="C152" s="76">
        <f>'Adderbury Stock'!K68</f>
        <v/>
      </c>
      <c r="D152" s="76">
        <f>C152-B152</f>
        <v/>
      </c>
      <c r="F152" s="76">
        <f>'Adderbury Stock'!Q68</f>
        <v/>
      </c>
    </row>
    <row r="153">
      <c r="A153" s="15" t="inlineStr">
        <is>
          <t>Capons (from chickens)</t>
        </is>
      </c>
      <c r="B153" s="76">
        <f>'Adderbury Stock'!B69</f>
        <v/>
      </c>
      <c r="C153" s="76">
        <f>'Adderbury Stock'!K69</f>
        <v/>
      </c>
      <c r="D153" s="76">
        <f>C153-B153</f>
        <v/>
      </c>
      <c r="F153" s="76">
        <f>'Adderbury Stock'!Q69</f>
        <v/>
      </c>
    </row>
    <row r="154">
      <c r="A154" s="15" t="inlineStr">
        <is>
          <t>Cocks &amp; hens</t>
        </is>
      </c>
      <c r="B154" s="76">
        <f>'Adderbury Stock'!B70</f>
        <v/>
      </c>
      <c r="C154" s="76">
        <f>'Adderbury Stock'!K70</f>
        <v/>
      </c>
      <c r="D154" s="76">
        <f>C154-B154</f>
        <v/>
      </c>
      <c r="F154" s="76">
        <f>'Adderbury 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SUM('Adderbury Stock'!R69:R70)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G159" s="116" t="n"/>
    </row>
    <row r="160">
      <c r="A160" s="15" t="inlineStr">
        <is>
          <t>Cocks &amp; hens from churchscot of customary tenants</t>
        </is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G166" s="116" t="n"/>
    </row>
    <row r="167">
      <c r="A167" s="15" t="inlineStr">
        <is>
          <t>Winter Cheese</t>
        </is>
      </c>
    </row>
    <row r="168">
      <c r="A168" s="15" t="inlineStr">
        <is>
          <t>Summer Cheese</t>
        </is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F170+F163+F156+F148+F124+F115+E73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pane xSplit="1" ySplit="4" topLeftCell="B44" activePane="bottomRight" state="frozen"/>
      <selection pane="topRight" activeCell="B1" sqref="B1"/>
      <selection pane="bottomLeft" activeCell="A5" sqref="A5"/>
      <selection pane="bottomRight" activeCell="A59" sqref="A59"/>
    </sheetView>
  </sheetViews>
  <sheetFormatPr baseColWidth="8" defaultColWidth="8.81640625" defaultRowHeight="14.5"/>
  <cols>
    <col width="44.36328125" bestFit="1" customWidth="1" min="1" max="1"/>
    <col width="14.36328125" customWidth="1" min="2" max="2"/>
    <col width="9.81640625" bestFit="1" customWidth="1" min="6" max="6"/>
    <col width="16.6328125" bestFit="1" customWidth="1" min="7" max="7"/>
    <col width="16.1796875" customWidth="1" min="10" max="10"/>
    <col width="11.453125" customWidth="1" min="11" max="11"/>
    <col width="8.453125" bestFit="1" customWidth="1" min="13" max="13"/>
    <col width="10.6328125" customWidth="1" min="14" max="14"/>
    <col width="16.6328125" customWidth="1" style="72" min="16" max="16"/>
    <col width="17.36328125" customWidth="1" min="17" max="17"/>
    <col width="16.1796875" customWidth="1" min="19" max="20"/>
    <col width="13.1796875" customWidth="1" min="21" max="21"/>
  </cols>
  <sheetData>
    <row r="1" ht="15.5" customHeight="1">
      <c r="A1" s="12" t="inlineStr">
        <is>
          <t>NEWTOWN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0</v>
      </c>
      <c r="C7" t="n">
        <v>0</v>
      </c>
      <c r="H7" t="n">
        <v>0</v>
      </c>
      <c r="I7" t="n">
        <v>0</v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0</v>
      </c>
      <c r="C12" t="n">
        <v>0</v>
      </c>
      <c r="H12" t="n">
        <v>0</v>
      </c>
      <c r="I12" t="n">
        <v>0</v>
      </c>
      <c r="L12">
        <f>B12+C12-H12</f>
        <v/>
      </c>
      <c r="M12">
        <f>L12-B12</f>
        <v/>
      </c>
      <c r="N12">
        <f>C12</f>
        <v/>
      </c>
      <c r="O12" t="n">
        <v>0</v>
      </c>
      <c r="P12" s="72">
        <f>O12*K12</f>
        <v/>
      </c>
      <c r="R12" t="n">
        <v>0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0</v>
      </c>
      <c r="C14" t="n">
        <v>0</v>
      </c>
      <c r="H14" t="n">
        <v>0</v>
      </c>
      <c r="I14" t="n">
        <v>0</v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0</v>
      </c>
      <c r="C15" t="n">
        <v>0</v>
      </c>
      <c r="H15" t="n">
        <v>0</v>
      </c>
      <c r="I15" t="n">
        <v>0</v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0</v>
      </c>
      <c r="C16" t="n">
        <v>0</v>
      </c>
      <c r="H16" t="n">
        <v>0</v>
      </c>
      <c r="I16" t="n">
        <v>0</v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0</v>
      </c>
      <c r="C17" t="n">
        <v>0</v>
      </c>
      <c r="H17" t="n">
        <v>0</v>
      </c>
      <c r="I17" t="n">
        <v>0</v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0</v>
      </c>
      <c r="C18" t="n">
        <v>0</v>
      </c>
      <c r="H18" t="n">
        <v>0</v>
      </c>
      <c r="I18" t="n">
        <v>0</v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0</v>
      </c>
      <c r="C19" t="n">
        <v>0</v>
      </c>
      <c r="H19" t="n">
        <v>0</v>
      </c>
      <c r="I19" t="n">
        <v>0</v>
      </c>
      <c r="L19">
        <f>B19+C19-H19</f>
        <v/>
      </c>
      <c r="M19">
        <f>L19-B19</f>
        <v/>
      </c>
      <c r="N19">
        <f>C19</f>
        <v/>
      </c>
      <c r="O19" t="n">
        <v>0</v>
      </c>
      <c r="P19" s="72">
        <f>O19*K19</f>
        <v/>
      </c>
      <c r="R19" t="n">
        <v>0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0</v>
      </c>
      <c r="C20" t="n">
        <v>0</v>
      </c>
      <c r="H20" t="n">
        <v>0</v>
      </c>
      <c r="I20" t="n">
        <v>0</v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0</v>
      </c>
      <c r="C21" t="n">
        <v>0</v>
      </c>
      <c r="H21" t="n">
        <v>0</v>
      </c>
      <c r="I21" t="n">
        <v>0</v>
      </c>
      <c r="L21">
        <f>B21+C21-H21</f>
        <v/>
      </c>
      <c r="M21">
        <f>L21-B21</f>
        <v/>
      </c>
      <c r="N21">
        <f>C21</f>
        <v/>
      </c>
      <c r="O21" t="n">
        <v>0</v>
      </c>
      <c r="P21" s="72">
        <f>O21*K21</f>
        <v/>
      </c>
      <c r="Q21" t="n">
        <v>0</v>
      </c>
      <c r="R21" t="n">
        <v>0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0</v>
      </c>
      <c r="C22" t="n">
        <v>0</v>
      </c>
      <c r="H22" t="n">
        <v>0</v>
      </c>
      <c r="I22" t="n">
        <v>0</v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0</v>
      </c>
      <c r="C23" t="n">
        <v>0</v>
      </c>
      <c r="H23" t="n">
        <v>0</v>
      </c>
      <c r="I23" t="n">
        <v>0</v>
      </c>
      <c r="L23">
        <f>B23+C23-H23</f>
        <v/>
      </c>
      <c r="M23">
        <f>L23-B23</f>
        <v/>
      </c>
      <c r="N23">
        <f>C23</f>
        <v/>
      </c>
      <c r="O23" t="n">
        <v>0</v>
      </c>
      <c r="P23" s="72">
        <f>O23*K23</f>
        <v/>
      </c>
      <c r="R23" t="n">
        <v>0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0</v>
      </c>
      <c r="C46" t="n">
        <v>0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0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0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0</v>
      </c>
      <c r="I60" t="n">
        <v>0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0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0</v>
      </c>
    </row>
    <row r="63">
      <c r="A63" s="70" t="inlineStr">
        <is>
          <t xml:space="preserve">Total </t>
        </is>
      </c>
    </row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shilling a quarter 1</t>
        </is>
      </c>
      <c r="P1" t="inlineStr">
        <is>
          <t>pence a quarter 1</t>
        </is>
      </c>
      <c r="Q1" t="inlineStr">
        <is>
          <t>shilling a quarter 2</t>
        </is>
      </c>
      <c r="R1" t="inlineStr">
        <is>
          <t>pence a quarter 2</t>
        </is>
      </c>
      <c r="S1" t="inlineStr">
        <is>
          <t>shilling a quarter 3</t>
        </is>
      </c>
      <c r="T1" t="inlineStr">
        <is>
          <t>pence a quarter 3</t>
        </is>
      </c>
      <c r="U1" t="inlineStr">
        <is>
          <t>shilling a quarter 4</t>
        </is>
      </c>
      <c r="V1" t="inlineStr">
        <is>
          <t>pence a quarter 4</t>
        </is>
      </c>
      <c r="W1" t="inlineStr">
        <is>
          <t>shilling a bushel 1</t>
        </is>
      </c>
      <c r="X1" t="inlineStr">
        <is>
          <t>pence a bushel 1</t>
        </is>
      </c>
      <c r="Y1" t="inlineStr">
        <is>
          <t>shilling a bushel 2</t>
        </is>
      </c>
      <c r="Z1" t="inlineStr">
        <is>
          <t>pence a bushel 2</t>
        </is>
      </c>
      <c r="AA1" t="inlineStr">
        <is>
          <t>shilling a bushel 3</t>
        </is>
      </c>
      <c r="AB1" t="inlineStr">
        <is>
          <t>pence a bushel 3</t>
        </is>
      </c>
      <c r="AC1" t="inlineStr">
        <is>
          <t>shilling a bushel 4</t>
        </is>
      </c>
      <c r="AD1" t="inlineStr">
        <is>
          <t>pence a bushel 4</t>
        </is>
      </c>
    </row>
    <row r="2">
      <c r="A2" t="inlineStr">
        <is>
          <t>Newtown</t>
        </is>
      </c>
      <c r="B2" t="inlineStr">
        <is>
          <t>The account of Walter Haukyn, reeve there, for the same year of the translation of the lord as before.</t>
        </is>
      </c>
      <c r="C2" t="n">
        <v>0</v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The same answers for 2 shilling 5pence of arrears from the last account of the preceding year.</t>
        </is>
      </c>
      <c r="C3" t="n">
        <v>0.12</v>
      </c>
      <c r="D3" t="n">
        <v>0</v>
      </c>
      <c r="E3" t="n">
        <v>2</v>
      </c>
      <c r="F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Arrears</t>
        </is>
      </c>
      <c r="B4" t="inlineStr">
        <is>
          <t>Total, 2 shilling 5pence.</t>
        </is>
      </c>
      <c r="C4" t="n">
        <v>0.12</v>
      </c>
      <c r="D4" t="n">
        <v>0</v>
      </c>
      <c r="E4" t="n">
        <v>2</v>
      </c>
      <c r="F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 of assize</t>
        </is>
      </c>
      <c r="B5" t="inlineStr">
        <is>
          <t>And for £7 11 shilling for all the rents of assize there for the year and all paid at Michaelmas (29 September).</t>
        </is>
      </c>
      <c r="C5" t="n">
        <v>7.55</v>
      </c>
      <c r="D5" t="n">
        <v>7</v>
      </c>
      <c r="E5" t="n">
        <v>11</v>
      </c>
      <c r="F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 of assize</t>
        </is>
      </c>
      <c r="B6" t="inlineStr">
        <is>
          <t>Total, £7 11 shilling.</t>
        </is>
      </c>
      <c r="C6" t="n">
        <v>7.55</v>
      </c>
      <c r="D6" t="n">
        <v>7</v>
      </c>
      <c r="E6" t="n">
        <v>11</v>
      </c>
      <c r="F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Quittances and defaults of rent</t>
        </is>
      </c>
      <c r="B7" t="inlineStr">
        <is>
          <t>In quittance of rent of 1 reeve of the borough for the year 1 shilling.</t>
        </is>
      </c>
      <c r="C7" t="n">
        <v>0.05</v>
      </c>
      <c r="D7" t="n">
        <v>0</v>
      </c>
      <c r="E7" t="n">
        <v>1</v>
      </c>
      <c r="F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Quittances and defaults of rent</t>
        </is>
      </c>
      <c r="B8" t="inlineStr">
        <is>
          <t>quittance of 1 plot of land which Alice Basele held and which has now been pulled down by statute 2pence.</t>
        </is>
      </c>
      <c r="C8" t="n">
        <v>0.01</v>
      </c>
      <c r="D8" t="n">
        <v>0</v>
      </c>
      <c r="E8" t="n">
        <v>0</v>
      </c>
      <c r="F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Quittances and defaults of rent</t>
        </is>
      </c>
      <c r="B9" t="inlineStr">
        <is>
          <t>default of the land of Newman, 1 shilling for the year.</t>
        </is>
      </c>
      <c r="C9" t="n">
        <v>0.05</v>
      </c>
      <c r="D9" t="n">
        <v>0</v>
      </c>
      <c r="E9" t="n">
        <v>1</v>
      </c>
      <c r="F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Quittances and defaults of rent</t>
        </is>
      </c>
      <c r="B10" t="inlineStr">
        <is>
          <t>Total, 2 shilling 2pence.</t>
        </is>
      </c>
      <c r="C10" t="n">
        <v>0.11</v>
      </c>
      <c r="D10" t="n">
        <v>0</v>
      </c>
      <c r="E10" t="n">
        <v>2</v>
      </c>
      <c r="F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Total of rents remaining clear</t>
        </is>
      </c>
      <c r="B11" t="inlineStr">
        <is>
          <t>Total of rents remaining clear, £7 8 shilling 10pence.</t>
        </is>
      </c>
      <c r="C11" t="n">
        <v>7.44</v>
      </c>
      <c r="D11" t="n">
        <v>7</v>
      </c>
      <c r="E11" t="n">
        <v>8</v>
      </c>
      <c r="F11" t="n">
        <v>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Perquisites of court</t>
        </is>
      </c>
      <c r="B12" t="inlineStr">
        <is>
          <t>And for 2 shilling from tithingpenny at the tourns of Martinmas and Hockday.</t>
        </is>
      </c>
      <c r="C12" t="n">
        <v>0.1</v>
      </c>
      <c r="D12" t="n">
        <v>0</v>
      </c>
      <c r="E12" t="n">
        <v>2</v>
      </c>
      <c r="F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Perquisites of court</t>
        </is>
      </c>
      <c r="B13" t="inlineStr">
        <is>
          <t>6 shilling from the perquisites of the said toums.</t>
        </is>
      </c>
      <c r="C13" t="n">
        <v>0.3</v>
      </c>
      <c r="D13" t="n">
        <v>0</v>
      </c>
      <c r="E13" t="n">
        <v>6</v>
      </c>
      <c r="F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Perquisites of court</t>
        </is>
      </c>
      <c r="B14" t="inlineStr">
        <is>
          <t>3 shilling 6pence from the chattels of a fugitive felon.</t>
        </is>
      </c>
      <c r="C14" t="n">
        <v>0.17</v>
      </c>
      <c r="D14" t="n">
        <v>0</v>
      </c>
      <c r="E14" t="n">
        <v>3</v>
      </c>
      <c r="F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Perquisites of court</t>
        </is>
      </c>
      <c r="B15" t="inlineStr">
        <is>
          <t>Total, 11 shilling 6pence.</t>
        </is>
      </c>
      <c r="C15" t="n">
        <v>0.58</v>
      </c>
      <c r="D15" t="n">
        <v>0</v>
      </c>
      <c r="E15" t="n">
        <v>11</v>
      </c>
      <c r="F15" t="n">
        <v>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of all receipts with arrears</t>
        </is>
      </c>
      <c r="B16" t="inlineStr">
        <is>
          <t>Total of all receipts with arrears, £8 2 shilling 9pence.</t>
        </is>
      </c>
      <c r="C16" t="n">
        <v>8.140000000000001</v>
      </c>
      <c r="D16" t="n">
        <v>8</v>
      </c>
      <c r="E16" t="n">
        <v>2</v>
      </c>
      <c r="F16" t="n">
        <v>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Cash deliveries</t>
        </is>
      </c>
      <c r="B17" t="inlineStr">
        <is>
          <t>Delivered to John Arnald', receiver of money at Wolvesey, by 1 tally, £8 4pence.</t>
        </is>
      </c>
      <c r="C17" t="n">
        <v>8.02</v>
      </c>
      <c r="D17" t="n">
        <v>8</v>
      </c>
      <c r="E17" t="n">
        <v>0</v>
      </c>
      <c r="F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Cash deliveries</t>
        </is>
      </c>
      <c r="B18" t="inlineStr">
        <is>
          <t>Total, £8 4pence.</t>
        </is>
      </c>
      <c r="C18" t="n">
        <v>8.02</v>
      </c>
      <c r="D18" t="n">
        <v>8</v>
      </c>
      <c r="E18" t="n">
        <v>0</v>
      </c>
      <c r="F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And he owes</t>
        </is>
      </c>
      <c r="B19" t="inlineStr">
        <is>
          <t>And he owes, 2 shilling 5pence, and all is in the hands of the escheator..</t>
        </is>
      </c>
      <c r="C19" t="n">
        <v>0.12</v>
      </c>
      <c r="D19" t="n">
        <v>0</v>
      </c>
      <c r="E19" t="n">
        <v>2</v>
      </c>
      <c r="F19" t="n">
        <v>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NEWTOWN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2" t="n"/>
      <c r="F2" s="143" t="inlineStr">
        <is>
          <t>Total in £</t>
        </is>
      </c>
      <c r="G2" s="144" t="inlineStr">
        <is>
          <t>Error</t>
        </is>
      </c>
      <c r="H2" s="145" t="inlineStr">
        <is>
          <t>Notes</t>
        </is>
      </c>
      <c r="I2" s="146" t="inlineStr">
        <is>
          <t>Own notes</t>
        </is>
      </c>
    </row>
    <row r="3">
      <c r="A3" s="137" t="inlineStr">
        <is>
          <t>Arrears</t>
        </is>
      </c>
      <c r="B3" s="128" t="n">
        <v>0</v>
      </c>
      <c r="C3" s="128" t="n">
        <v>2</v>
      </c>
      <c r="D3" s="128" t="n">
        <v>5</v>
      </c>
      <c r="E3" s="128" t="n"/>
      <c r="F3" s="128" t="n">
        <v>0.12</v>
      </c>
      <c r="G3" s="128" t="n"/>
      <c r="H3" s="128" t="inlineStr">
        <is>
          <t>The same answers for 2 shilling 5pence of arrears from the last account of the preceding year.</t>
        </is>
      </c>
      <c r="I3" s="128" t="n"/>
    </row>
    <row r="4">
      <c r="A4" s="136" t="inlineStr">
        <is>
          <t>Arrears</t>
        </is>
      </c>
      <c r="B4" s="128" t="n">
        <v>0</v>
      </c>
      <c r="C4" s="128" t="n">
        <v>2</v>
      </c>
      <c r="D4" s="128" t="n">
        <v>5</v>
      </c>
      <c r="E4" s="128" t="n"/>
      <c r="F4" s="128" t="n">
        <v>0.12</v>
      </c>
      <c r="G4" s="128" t="n"/>
      <c r="H4" s="128" t="inlineStr">
        <is>
          <t>Total, 2 shilling 5pence.</t>
        </is>
      </c>
      <c r="I4" s="128" t="n"/>
    </row>
    <row r="5">
      <c r="A5" s="138" t="inlineStr">
        <is>
          <t>Arrears total</t>
        </is>
      </c>
      <c r="B5" s="139" t="n"/>
      <c r="C5" s="139" t="n"/>
      <c r="D5" s="139" t="n"/>
      <c r="E5" s="139" t="n"/>
      <c r="F5" s="139" t="n">
        <v>0.12</v>
      </c>
      <c r="G5" s="139" t="n">
        <v>0</v>
      </c>
      <c r="H5" s="139" t="inlineStr">
        <is>
          <t>Total</t>
        </is>
      </c>
      <c r="I5" s="139" t="n"/>
    </row>
    <row r="6">
      <c r="A6" s="136" t="n"/>
      <c r="B6" s="128" t="n"/>
      <c r="C6" s="128" t="n"/>
      <c r="D6" s="128" t="n"/>
      <c r="E6" s="128" t="n"/>
      <c r="F6" s="128" t="n"/>
      <c r="G6" s="128" t="n"/>
      <c r="H6" s="128" t="n"/>
      <c r="I6" s="128" t="n"/>
    </row>
    <row r="7">
      <c r="A7" s="137" t="inlineStr">
        <is>
          <t>Rents of assize</t>
        </is>
      </c>
      <c r="B7" s="128" t="n">
        <v>7</v>
      </c>
      <c r="C7" s="128" t="n">
        <v>11</v>
      </c>
      <c r="D7" s="128" t="n">
        <v>0</v>
      </c>
      <c r="E7" s="128" t="n"/>
      <c r="F7" s="128" t="n">
        <v>7.55</v>
      </c>
      <c r="G7" s="128" t="n"/>
      <c r="H7" s="128" t="inlineStr">
        <is>
          <t>And for £7 11 shilling for all the rents of assize there for the year and all paid at Michaelmas (29 September).</t>
        </is>
      </c>
      <c r="I7" s="128" t="n"/>
    </row>
    <row r="8">
      <c r="A8" s="136" t="inlineStr">
        <is>
          <t>Rents of assize</t>
        </is>
      </c>
      <c r="B8" s="128" t="n">
        <v>7</v>
      </c>
      <c r="C8" s="128" t="n">
        <v>11</v>
      </c>
      <c r="D8" s="128" t="n">
        <v>0</v>
      </c>
      <c r="E8" s="128" t="n"/>
      <c r="F8" s="128" t="n">
        <v>7.55</v>
      </c>
      <c r="G8" s="128" t="n"/>
      <c r="H8" s="128" t="inlineStr">
        <is>
          <t>Total, £7 11 shilling.</t>
        </is>
      </c>
      <c r="I8" s="128" t="n"/>
    </row>
    <row r="9">
      <c r="A9" s="138" t="inlineStr">
        <is>
          <t>Rents of assize total</t>
        </is>
      </c>
      <c r="B9" s="139" t="n"/>
      <c r="C9" s="139" t="n"/>
      <c r="D9" s="139" t="n"/>
      <c r="E9" s="139" t="n"/>
      <c r="F9" s="139" t="n">
        <v>7.55</v>
      </c>
      <c r="G9" s="139" t="n">
        <v>0</v>
      </c>
      <c r="H9" s="139" t="inlineStr">
        <is>
          <t>Total</t>
        </is>
      </c>
      <c r="I9" s="139" t="n"/>
    </row>
    <row r="10">
      <c r="A10" s="136" t="n"/>
      <c r="B10" s="128" t="n"/>
      <c r="C10" s="128" t="n"/>
      <c r="D10" s="128" t="n"/>
      <c r="E10" s="128" t="n"/>
      <c r="F10" s="128" t="n"/>
      <c r="G10" s="128" t="n"/>
      <c r="H10" s="128" t="n"/>
      <c r="I10" s="128" t="n"/>
    </row>
    <row r="11">
      <c r="A11" s="137" t="inlineStr">
        <is>
          <t>Total of rents remaining clear</t>
        </is>
      </c>
      <c r="B11" s="128" t="n">
        <v>7</v>
      </c>
      <c r="C11" s="128" t="n">
        <v>8</v>
      </c>
      <c r="D11" s="128" t="n">
        <v>10</v>
      </c>
      <c r="E11" s="128" t="n"/>
      <c r="F11" s="128" t="n">
        <v>7.44</v>
      </c>
      <c r="G11" s="128" t="n"/>
      <c r="H11" s="128" t="inlineStr">
        <is>
          <t>Total of rents remaining clear, £7 8 shilling 10pence.</t>
        </is>
      </c>
      <c r="I11" s="128" t="n"/>
    </row>
    <row r="12">
      <c r="A12" s="138" t="inlineStr">
        <is>
          <t>Total of rents remaining clear total</t>
        </is>
      </c>
      <c r="B12" s="139" t="n"/>
      <c r="C12" s="139" t="n"/>
      <c r="D12" s="139" t="n"/>
      <c r="E12" s="139" t="n"/>
      <c r="F12" s="139" t="n">
        <v>7.44</v>
      </c>
      <c r="G12" s="139" t="n">
        <v>0</v>
      </c>
      <c r="H12" s="139" t="inlineStr">
        <is>
          <t>Total</t>
        </is>
      </c>
      <c r="I12" s="139" t="n"/>
    </row>
    <row r="13">
      <c r="A13" s="136" t="n"/>
      <c r="B13" s="128" t="n"/>
      <c r="C13" s="128" t="n"/>
      <c r="D13" s="128" t="n"/>
      <c r="E13" s="128" t="n"/>
      <c r="F13" s="128" t="n"/>
      <c r="G13" s="128" t="n"/>
      <c r="H13" s="128" t="n"/>
      <c r="I13" s="128" t="n"/>
    </row>
    <row r="14">
      <c r="A14" s="137" t="inlineStr">
        <is>
          <t>Perquisites of court</t>
        </is>
      </c>
      <c r="B14" s="128" t="n">
        <v>0</v>
      </c>
      <c r="C14" s="128" t="n">
        <v>2</v>
      </c>
      <c r="D14" s="128" t="n">
        <v>0</v>
      </c>
      <c r="E14" s="128" t="n"/>
      <c r="F14" s="128" t="n">
        <v>0.1</v>
      </c>
      <c r="G14" s="128" t="n"/>
      <c r="H14" s="128" t="inlineStr">
        <is>
          <t>And for 2 shilling from tithingpenny at the tourns of Martinmas and Hockday.</t>
        </is>
      </c>
      <c r="I14" s="128" t="n"/>
    </row>
    <row r="15">
      <c r="A15" s="136" t="inlineStr">
        <is>
          <t>Perquisites of court</t>
        </is>
      </c>
      <c r="B15" s="128" t="n">
        <v>0</v>
      </c>
      <c r="C15" s="128" t="n">
        <v>6</v>
      </c>
      <c r="D15" s="128" t="n">
        <v>0</v>
      </c>
      <c r="E15" s="128" t="n"/>
      <c r="F15" s="128" t="n">
        <v>0.3</v>
      </c>
      <c r="G15" s="128" t="n"/>
      <c r="H15" s="128" t="inlineStr">
        <is>
          <t>6 shilling from the perquisites of the said toums.</t>
        </is>
      </c>
      <c r="I15" s="128" t="n"/>
    </row>
    <row r="16">
      <c r="A16" s="136" t="inlineStr">
        <is>
          <t>Perquisites of court</t>
        </is>
      </c>
      <c r="B16" s="128" t="n">
        <v>0</v>
      </c>
      <c r="C16" s="128" t="n">
        <v>3</v>
      </c>
      <c r="D16" s="128" t="n">
        <v>6</v>
      </c>
      <c r="E16" s="128" t="n"/>
      <c r="F16" s="128" t="n">
        <v>0.17</v>
      </c>
      <c r="G16" s="128" t="n"/>
      <c r="H16" s="128" t="inlineStr">
        <is>
          <t>3 shilling 6pence from the chattels of a fugitive felon.</t>
        </is>
      </c>
      <c r="I16" s="128" t="n"/>
    </row>
    <row r="17">
      <c r="A17" s="138" t="inlineStr">
        <is>
          <t>Perquisites of court total</t>
        </is>
      </c>
      <c r="B17" s="139" t="n">
        <v>0</v>
      </c>
      <c r="C17" s="139" t="n">
        <v>11</v>
      </c>
      <c r="D17" s="139" t="n">
        <v>6</v>
      </c>
      <c r="E17" s="139" t="n"/>
      <c r="F17" s="139" t="n">
        <v>0.58</v>
      </c>
      <c r="G17" s="139" t="n">
        <v>0.41</v>
      </c>
      <c r="H17" s="139" t="inlineStr">
        <is>
          <t>Total, 11 shilling 6pence.</t>
        </is>
      </c>
      <c r="I17" s="139" t="n"/>
    </row>
    <row r="18">
      <c r="A18" s="38" t="inlineStr">
        <is>
          <t>Total of all receipts recorded in accounts (calculated here)</t>
        </is>
      </c>
      <c r="F18">
        <f>SUMIF(A1:A17,"* total",F1:F17)-SUMIF(A1:A17,"Arrears total",F1:F17)</f>
        <v/>
      </c>
    </row>
    <row r="19">
      <c r="A19" s="38" t="inlineStr">
        <is>
          <t>Total of all receipts (calculated here) incl arrears</t>
        </is>
      </c>
      <c r="F19">
        <f>F18+SUMIF(A1:A17,"Arrears total",F1:F17)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NEWTOWN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2" t="n"/>
      <c r="F2" s="133" t="inlineStr">
        <is>
          <t>Total in £</t>
        </is>
      </c>
      <c r="G2" s="134" t="inlineStr">
        <is>
          <t>Error</t>
        </is>
      </c>
      <c r="H2" s="135" t="inlineStr">
        <is>
          <t>Notes</t>
        </is>
      </c>
    </row>
    <row r="3">
      <c r="A3" s="136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7" t="inlineStr">
        <is>
          <t>Cash deliveries</t>
        </is>
      </c>
      <c r="B4" s="128" t="n">
        <v>8</v>
      </c>
      <c r="C4" s="128" t="n">
        <v>0</v>
      </c>
      <c r="D4" s="128" t="n">
        <v>4</v>
      </c>
      <c r="E4" s="128" t="n"/>
      <c r="F4" s="128" t="n">
        <v>8.02</v>
      </c>
      <c r="G4" s="128" t="n"/>
      <c r="H4" s="128" t="n"/>
    </row>
    <row r="5">
      <c r="A5" s="136" t="inlineStr">
        <is>
          <t>Cash deliveries</t>
        </is>
      </c>
      <c r="B5" s="128" t="n">
        <v>8</v>
      </c>
      <c r="C5" s="128" t="n">
        <v>0</v>
      </c>
      <c r="D5" s="128" t="n">
        <v>4</v>
      </c>
      <c r="E5" s="128" t="n"/>
      <c r="F5" s="128" t="n">
        <v>8.02</v>
      </c>
      <c r="G5" s="128" t="n"/>
      <c r="H5" s="128" t="n"/>
    </row>
    <row r="6">
      <c r="A6" s="138" t="inlineStr">
        <is>
          <t>Cash deliveries total</t>
        </is>
      </c>
      <c r="B6" s="139" t="n"/>
      <c r="C6" s="139" t="n"/>
      <c r="D6" s="139" t="n"/>
      <c r="E6" s="139" t="n"/>
      <c r="F6" s="139" t="n">
        <v>8.02</v>
      </c>
      <c r="G6" s="139" t="n">
        <v>0</v>
      </c>
      <c r="H6" s="139" t="n"/>
    </row>
    <row r="7">
      <c r="A7" s="136" t="n"/>
      <c r="B7" s="128" t="n"/>
      <c r="C7" s="128" t="n"/>
      <c r="D7" s="128" t="n"/>
      <c r="E7" s="128" t="n"/>
      <c r="F7" s="128" t="n"/>
      <c r="G7" s="128" t="n"/>
      <c r="H7" s="128" t="n"/>
    </row>
    <row r="8">
      <c r="A8" s="137" t="inlineStr">
        <is>
          <t>And he owes</t>
        </is>
      </c>
      <c r="B8" s="128" t="n">
        <v>0</v>
      </c>
      <c r="C8" s="128" t="n">
        <v>2</v>
      </c>
      <c r="D8" s="128" t="n">
        <v>5</v>
      </c>
      <c r="E8" s="128" t="n"/>
      <c r="F8" s="128" t="n">
        <v>0.12</v>
      </c>
      <c r="G8" s="128" t="n"/>
      <c r="H8" s="128" t="n"/>
    </row>
    <row r="9">
      <c r="A9" s="138" t="inlineStr">
        <is>
          <t>And he owes total</t>
        </is>
      </c>
      <c r="B9" s="139" t="n"/>
      <c r="C9" s="139" t="n"/>
      <c r="D9" s="139" t="n"/>
      <c r="E9" s="139" t="n"/>
      <c r="F9" s="139" t="n">
        <v>0.12</v>
      </c>
      <c r="G9" s="139" t="n">
        <v>0</v>
      </c>
      <c r="H9" s="13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2026-01-17T10:57:22Z</dcterms:modified>
  <cp:lastModifiedBy>Kowalski, Kuba</cp:lastModifiedBy>
</cp:coreProperties>
</file>
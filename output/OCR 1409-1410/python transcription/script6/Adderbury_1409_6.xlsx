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Adderbury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ADDERBURY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6</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2</v>
      </c>
      <c r="C13" t="n">
        <v>0</v>
      </c>
      <c r="H13" t="n">
        <v>0</v>
      </c>
      <c r="I13" t="n">
        <v>0</v>
      </c>
      <c r="L13">
        <f>B13+C13-H13</f>
        <v/>
      </c>
      <c r="M13">
        <f>L13-B13</f>
        <v/>
      </c>
      <c r="N13">
        <f>C13</f>
        <v/>
      </c>
      <c r="O13" t="n">
        <v>0</v>
      </c>
      <c r="P13" s="72">
        <f>O13*K13</f>
        <v/>
      </c>
      <c r="R13" t="n">
        <v>0</v>
      </c>
      <c r="S13">
        <f>O13*M13</f>
        <v/>
      </c>
      <c r="T13">
        <f>O13*N13</f>
        <v/>
      </c>
    </row>
    <row r="14">
      <c r="A14" t="inlineStr">
        <is>
          <t>Cows</t>
        </is>
      </c>
      <c r="B14" t="n">
        <v>19</v>
      </c>
      <c r="C14" t="n">
        <v>0</v>
      </c>
      <c r="H14" t="n">
        <v>3</v>
      </c>
      <c r="I14" t="n">
        <v>0</v>
      </c>
      <c r="L14">
        <f>B14+C14-H14</f>
        <v/>
      </c>
      <c r="M14">
        <f>L14-B14</f>
        <v/>
      </c>
      <c r="N14">
        <f>C14</f>
        <v/>
      </c>
      <c r="O14" t="n">
        <v>0.5</v>
      </c>
      <c r="P14" s="72">
        <f>O14*K14</f>
        <v/>
      </c>
      <c r="R14" t="n">
        <v>1.5</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10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0.08</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D26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adderbury</t>
        </is>
      </c>
      <c r="B2" t="inlineStr">
        <is>
          <t>the account2 of william jakeman, reeve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none.</t>
        </is>
      </c>
      <c r="C3" t="n">
        <v>0</v>
      </c>
      <c r="D3" t="n">
        <v>0</v>
      </c>
      <c r="E3" t="n">
        <v>0</v>
      </c>
      <c r="F3" t="n">
        <v>0</v>
      </c>
      <c r="H3" t="n">
        <v>0</v>
      </c>
      <c r="I3" t="n">
        <v>0</v>
      </c>
      <c r="J3" t="n">
        <v>0</v>
      </c>
      <c r="K3" t="n">
        <v>0</v>
      </c>
      <c r="L3" t="n">
        <v>0</v>
      </c>
      <c r="M3" t="n">
        <v>0</v>
      </c>
      <c r="N3" t="n">
        <v>0</v>
      </c>
    </row>
    <row r="4">
      <c r="A4" t="inlineStr">
        <is>
          <t>rents of assize</t>
        </is>
      </c>
      <c r="B4" t="inlineStr">
        <is>
          <t>and for £6 9 shilling 6.25pence for all rents of assize at st thomas the apostle (21 december).</t>
        </is>
      </c>
      <c r="C4" t="n">
        <v>6.48</v>
      </c>
      <c r="D4" t="n">
        <v>6</v>
      </c>
      <c r="E4" t="n">
        <v>9</v>
      </c>
      <c r="F4" t="n">
        <v>6.25</v>
      </c>
      <c r="H4" t="n">
        <v>0</v>
      </c>
      <c r="I4" t="n">
        <v>0</v>
      </c>
      <c r="J4" t="n">
        <v>0</v>
      </c>
      <c r="K4" t="n">
        <v>0</v>
      </c>
      <c r="L4" t="n">
        <v>0</v>
      </c>
      <c r="M4" t="n">
        <v>0</v>
      </c>
      <c r="N4" t="n">
        <v>0</v>
      </c>
    </row>
    <row r="5">
      <c r="A5" t="inlineStr">
        <is>
          <t>rents of assize</t>
        </is>
      </c>
      <c r="B5" t="inlineStr">
        <is>
          <t>£6 9 shilling 8.5pence at easter (23 march).</t>
        </is>
      </c>
      <c r="C5" t="n">
        <v>6.49</v>
      </c>
      <c r="D5" t="n">
        <v>6</v>
      </c>
      <c r="E5" t="n">
        <v>9</v>
      </c>
      <c r="F5" t="n">
        <v>8.5</v>
      </c>
      <c r="H5" t="n">
        <v>0</v>
      </c>
      <c r="I5" t="n">
        <v>0</v>
      </c>
      <c r="J5" t="n">
        <v>0</v>
      </c>
      <c r="K5" t="n">
        <v>0</v>
      </c>
      <c r="L5" t="n">
        <v>0</v>
      </c>
      <c r="M5" t="n">
        <v>0</v>
      </c>
      <c r="N5" t="n">
        <v>0</v>
      </c>
    </row>
    <row r="6">
      <c r="A6" t="inlineStr">
        <is>
          <t>rents of assize</t>
        </is>
      </c>
      <c r="B6" t="inlineStr">
        <is>
          <t>£6 9 shilling 6.25pence at the nativity of st john the baptist (24 june).</t>
        </is>
      </c>
      <c r="C6" t="n">
        <v>6.48</v>
      </c>
      <c r="D6" t="n">
        <v>6</v>
      </c>
      <c r="E6" t="n">
        <v>9</v>
      </c>
      <c r="F6" t="n">
        <v>6.25</v>
      </c>
      <c r="H6" t="n">
        <v>0</v>
      </c>
      <c r="I6" t="n">
        <v>0</v>
      </c>
      <c r="J6" t="n">
        <v>0</v>
      </c>
      <c r="K6" t="n">
        <v>0</v>
      </c>
      <c r="L6" t="n">
        <v>0</v>
      </c>
      <c r="M6" t="n">
        <v>0</v>
      </c>
      <c r="N6" t="n">
        <v>0</v>
      </c>
    </row>
    <row r="7">
      <c r="A7" t="inlineStr">
        <is>
          <t>rents of assize</t>
        </is>
      </c>
      <c r="B7" t="inlineStr">
        <is>
          <t>£6 10 shilling 1.5pence at michaelmas (29 september).</t>
        </is>
      </c>
      <c r="C7" t="n">
        <v>6.51</v>
      </c>
      <c r="D7" t="n">
        <v>6</v>
      </c>
      <c r="E7" t="n">
        <v>10</v>
      </c>
      <c r="F7" t="n">
        <v>1.5</v>
      </c>
      <c r="H7" t="n">
        <v>0</v>
      </c>
      <c r="I7" t="n">
        <v>0</v>
      </c>
      <c r="J7" t="n">
        <v>0</v>
      </c>
      <c r="K7" t="n">
        <v>0</v>
      </c>
      <c r="L7" t="n">
        <v>0</v>
      </c>
      <c r="M7" t="n">
        <v>0</v>
      </c>
      <c r="N7" t="n">
        <v>0</v>
      </c>
    </row>
    <row r="8">
      <c r="A8" t="inlineStr">
        <is>
          <t>rents of assize</t>
        </is>
      </c>
      <c r="B8" t="inlineStr">
        <is>
          <t>total, £25 18 shilling 10.5pence.</t>
        </is>
      </c>
      <c r="C8" t="n">
        <v>25.94</v>
      </c>
      <c r="D8" t="n">
        <v>25</v>
      </c>
      <c r="E8" t="n">
        <v>18</v>
      </c>
      <c r="F8" t="n">
        <v>10.5</v>
      </c>
      <c r="H8" t="n">
        <v>0</v>
      </c>
      <c r="I8" t="n">
        <v>0</v>
      </c>
      <c r="J8" t="n">
        <v>0</v>
      </c>
      <c r="K8" t="n">
        <v>0</v>
      </c>
      <c r="L8" t="n">
        <v>0</v>
      </c>
      <c r="M8" t="n">
        <v>0</v>
      </c>
      <c r="N8" t="n">
        <v>0</v>
      </c>
    </row>
    <row r="9">
      <c r="A9" t="inlineStr">
        <is>
          <t>quittances of rent</t>
        </is>
      </c>
      <c r="B9" t="inlineStr">
        <is>
          <t>in quittance of rent of 1 reeve for the year 5 shilling.</t>
        </is>
      </c>
      <c r="C9" t="n">
        <v>0.25</v>
      </c>
      <c r="D9" t="n">
        <v>0</v>
      </c>
      <c r="E9" t="n">
        <v>5</v>
      </c>
      <c r="F9" t="n">
        <v>0</v>
      </c>
      <c r="H9" t="n">
        <v>0</v>
      </c>
      <c r="I9" t="n">
        <v>0</v>
      </c>
      <c r="J9" t="n">
        <v>0</v>
      </c>
      <c r="K9" t="n">
        <v>0</v>
      </c>
      <c r="L9" t="n">
        <v>0</v>
      </c>
      <c r="M9" t="n">
        <v>0</v>
      </c>
      <c r="N9" t="n">
        <v>0</v>
      </c>
    </row>
    <row r="10">
      <c r="A10" t="inlineStr">
        <is>
          <t>quittances of rent</t>
        </is>
      </c>
      <c r="B10" t="inlineStr">
        <is>
          <t>nothing this year of the 4 shilling for 1 smith forging the ironwork of 2 ploughs for the year.</t>
        </is>
      </c>
      <c r="C10" t="n">
        <v>0.2</v>
      </c>
      <c r="D10" t="n">
        <v>0</v>
      </c>
      <c r="E10" t="n">
        <v>4</v>
      </c>
      <c r="F10" t="n">
        <v>0</v>
      </c>
      <c r="H10" t="n">
        <v>0</v>
      </c>
      <c r="I10" t="n">
        <v>0</v>
      </c>
      <c r="J10" t="n">
        <v>0</v>
      </c>
      <c r="K10" t="n">
        <v>0</v>
      </c>
      <c r="L10" t="n">
        <v>0</v>
      </c>
      <c r="M10" t="n">
        <v>0</v>
      </c>
      <c r="N10" t="n">
        <v>0</v>
      </c>
    </row>
    <row r="11">
      <c r="A11" t="inlineStr">
        <is>
          <t>quittances of rent</t>
        </is>
      </c>
      <c r="B11" t="inlineStr">
        <is>
          <t>nothing this year of the 4 shilling for 1 shepherd keeping the lord's wethers for the year.</t>
        </is>
      </c>
      <c r="C11" t="n">
        <v>0.2</v>
      </c>
      <c r="D11" t="n">
        <v>0</v>
      </c>
      <c r="E11" t="n">
        <v>4</v>
      </c>
      <c r="F11" t="n">
        <v>0</v>
      </c>
      <c r="H11" t="n">
        <v>0</v>
      </c>
      <c r="I11" t="n">
        <v>0</v>
      </c>
      <c r="J11" t="n">
        <v>0</v>
      </c>
      <c r="K11" t="n">
        <v>0</v>
      </c>
      <c r="L11" t="n">
        <v>0</v>
      </c>
      <c r="M11" t="n">
        <v>0</v>
      </c>
      <c r="N11" t="n">
        <v>0</v>
      </c>
    </row>
    <row r="12">
      <c r="A12" t="inlineStr">
        <is>
          <t>quittances of rent</t>
        </is>
      </c>
      <c r="B12" t="inlineStr">
        <is>
          <t>nothing this year of the 4 shilling for 1 swineherd for the year.</t>
        </is>
      </c>
      <c r="C12" t="n">
        <v>0.2</v>
      </c>
      <c r="D12" t="n">
        <v>0</v>
      </c>
      <c r="E12" t="n">
        <v>4</v>
      </c>
      <c r="F12" t="n">
        <v>0</v>
      </c>
      <c r="H12" t="n">
        <v>0</v>
      </c>
      <c r="I12" t="n">
        <v>0</v>
      </c>
      <c r="J12" t="n">
        <v>0</v>
      </c>
      <c r="K12" t="n">
        <v>0</v>
      </c>
      <c r="L12" t="n">
        <v>0</v>
      </c>
      <c r="M12" t="n">
        <v>0</v>
      </c>
      <c r="N12" t="n">
        <v>0</v>
      </c>
    </row>
    <row r="13">
      <c r="A13" t="inlineStr">
        <is>
          <t>quittances of rent</t>
        </is>
      </c>
      <c r="B13" t="inlineStr">
        <is>
          <t>nothing this year of the 4 shilling for 1 cowherd for the year.</t>
        </is>
      </c>
      <c r="C13" t="n">
        <v>0.2</v>
      </c>
      <c r="D13" t="n">
        <v>0</v>
      </c>
      <c r="E13" t="n">
        <v>4</v>
      </c>
      <c r="F13" t="n">
        <v>0</v>
      </c>
      <c r="H13" t="n">
        <v>0</v>
      </c>
      <c r="I13" t="n">
        <v>0</v>
      </c>
      <c r="J13" t="n">
        <v>0</v>
      </c>
      <c r="K13" t="n">
        <v>0</v>
      </c>
      <c r="L13" t="n">
        <v>0</v>
      </c>
      <c r="M13" t="n">
        <v>0</v>
      </c>
      <c r="N13" t="n">
        <v>0</v>
      </c>
    </row>
    <row r="14">
      <c r="A14" t="inlineStr">
        <is>
          <t>quittances of rent</t>
        </is>
      </c>
      <c r="B14" t="inlineStr">
        <is>
          <t>nothing this year of the 2 shilling 7.5pence for 1 customary tenant who was accustomed to provide all the necessaries pertaining to 1 plough, apart from iron and steel, with 1 man.</t>
        </is>
      </c>
      <c r="C14" t="n">
        <v>0.13</v>
      </c>
      <c r="D14" t="n">
        <v>0</v>
      </c>
      <c r="E14" t="n">
        <v>2</v>
      </c>
      <c r="F14" t="n">
        <v>7.5</v>
      </c>
      <c r="H14" t="n">
        <v>0</v>
      </c>
      <c r="I14" t="n">
        <v>0</v>
      </c>
      <c r="J14" t="n">
        <v>0</v>
      </c>
      <c r="K14" t="n">
        <v>0</v>
      </c>
      <c r="L14" t="n">
        <v>0</v>
      </c>
      <c r="M14" t="n">
        <v>0</v>
      </c>
      <c r="N14" t="n">
        <v>0</v>
      </c>
    </row>
    <row r="15">
      <c r="A15" t="inlineStr">
        <is>
          <t>quittances of rent</t>
        </is>
      </c>
      <c r="B15" t="inlineStr">
        <is>
          <t>nothing this year of the 5 shilling 4pence for 2 drovers for the year.</t>
        </is>
      </c>
      <c r="C15" t="n">
        <v>0.27</v>
      </c>
      <c r="D15" t="n">
        <v>0</v>
      </c>
      <c r="E15" t="n">
        <v>5</v>
      </c>
      <c r="F15" t="n">
        <v>4</v>
      </c>
      <c r="H15" t="n">
        <v>0</v>
      </c>
      <c r="I15" t="n">
        <v>0</v>
      </c>
      <c r="J15" t="n">
        <v>0</v>
      </c>
      <c r="K15" t="n">
        <v>0</v>
      </c>
      <c r="L15" t="n">
        <v>0</v>
      </c>
      <c r="M15" t="n">
        <v>0</v>
      </c>
      <c r="N15" t="n">
        <v>0</v>
      </c>
    </row>
    <row r="16">
      <c r="A16" t="inlineStr">
        <is>
          <t>quittances of rent</t>
        </is>
      </c>
      <c r="B16" t="inlineStr">
        <is>
          <t>37 virgaters working every other day between the nativity of st john the baptist and michaelmas £1 7 shilling 9pence, or 9pence a virgate.</t>
        </is>
      </c>
      <c r="C16" t="n">
        <v>1.39</v>
      </c>
      <c r="D16" t="n">
        <v>1</v>
      </c>
      <c r="E16" t="n">
        <v>7</v>
      </c>
      <c r="F16" t="n">
        <v>9</v>
      </c>
      <c r="H16" t="n">
        <v>0</v>
      </c>
      <c r="I16" t="n">
        <v>0</v>
      </c>
      <c r="J16" t="n">
        <v>0</v>
      </c>
      <c r="K16" t="n">
        <v>0</v>
      </c>
      <c r="L16" t="n">
        <v>0</v>
      </c>
      <c r="M16" t="n">
        <v>0</v>
      </c>
      <c r="N16" t="n">
        <v>0</v>
      </c>
    </row>
    <row r="17">
      <c r="A17" t="inlineStr">
        <is>
          <t>quittances of rent</t>
        </is>
      </c>
      <c r="B17" t="inlineStr">
        <is>
          <t>2 cotlanders holding in tenure working for the same time 1 shilling, or 6pence each, and not more because 6 cotlands are in the lord's hands.</t>
        </is>
      </c>
      <c r="C17" t="n">
        <v>0.08</v>
      </c>
      <c r="D17" t="n">
        <v>0</v>
      </c>
      <c r="E17" t="n">
        <v>1</v>
      </c>
      <c r="F17" t="n">
        <v>6</v>
      </c>
      <c r="H17" t="n">
        <v>0</v>
      </c>
      <c r="I17" t="n">
        <v>0</v>
      </c>
      <c r="J17" t="n">
        <v>0</v>
      </c>
      <c r="K17" t="n">
        <v>0</v>
      </c>
      <c r="L17" t="n">
        <v>0</v>
      </c>
      <c r="M17" t="n">
        <v>0</v>
      </c>
      <c r="N17" t="n">
        <v>0</v>
      </c>
    </row>
    <row r="18">
      <c r="A18" t="inlineStr">
        <is>
          <t>quittances of rent</t>
        </is>
      </c>
      <c r="B18" t="inlineStr">
        <is>
          <t>and note that the aforesaid workers are to weed the lord's corn, mow the meadows, make the hay and make haycocks therefrom, clean the curia, collect dung inside the curia and carry it outside, reap and bind all the lord's corn with the hired reapers as made clear elsewhere, stack all the lord's corn, collect the stubble and do other work in the manor when it was necessary.</t>
        </is>
      </c>
      <c r="C18" t="n">
        <v>0</v>
      </c>
      <c r="D18" t="n">
        <v>0</v>
      </c>
      <c r="E18" t="n">
        <v>0</v>
      </c>
      <c r="F18" t="n">
        <v>0</v>
      </c>
      <c r="H18" t="n">
        <v>0</v>
      </c>
      <c r="I18" t="n">
        <v>0</v>
      </c>
      <c r="J18" t="n">
        <v>0</v>
      </c>
      <c r="K18" t="n">
        <v>0</v>
      </c>
      <c r="L18" t="n">
        <v>0</v>
      </c>
      <c r="M18" t="n">
        <v>0</v>
      </c>
      <c r="N18" t="n">
        <v>0</v>
      </c>
    </row>
    <row r="19">
      <c r="A19" t="inlineStr">
        <is>
          <t>quittances of rent</t>
        </is>
      </c>
      <c r="B19" t="inlineStr">
        <is>
          <t>total, £1 13 shilling 9pence.</t>
        </is>
      </c>
      <c r="C19" t="n">
        <v>1.69</v>
      </c>
      <c r="D19" t="n">
        <v>1</v>
      </c>
      <c r="E19" t="n">
        <v>13</v>
      </c>
      <c r="F19" t="n">
        <v>9</v>
      </c>
      <c r="H19" t="n">
        <v>0</v>
      </c>
      <c r="I19" t="n">
        <v>0</v>
      </c>
      <c r="J19" t="n">
        <v>0</v>
      </c>
      <c r="K19" t="n">
        <v>0</v>
      </c>
      <c r="L19" t="n">
        <v>0</v>
      </c>
      <c r="M19" t="n">
        <v>0</v>
      </c>
      <c r="N19" t="n">
        <v>0</v>
      </c>
    </row>
    <row r="20">
      <c r="A20" t="inlineStr">
        <is>
          <t>defaults of rent</t>
        </is>
      </c>
      <c r="B20" t="inlineStr">
        <is>
          <t>default of the meadow which john bryddesthorn' held for his life drawn into demesne, 10 shilling for the year.</t>
        </is>
      </c>
      <c r="C20" t="n">
        <v>0.5</v>
      </c>
      <c r="D20" t="n">
        <v>0</v>
      </c>
      <c r="E20" t="n">
        <v>10</v>
      </c>
      <c r="F20" t="n">
        <v>0</v>
      </c>
      <c r="H20" t="n">
        <v>0</v>
      </c>
      <c r="I20" t="n">
        <v>0</v>
      </c>
      <c r="J20" t="n">
        <v>0</v>
      </c>
      <c r="K20" t="n">
        <v>0</v>
      </c>
      <c r="L20" t="n">
        <v>0</v>
      </c>
      <c r="M20" t="n">
        <v>0</v>
      </c>
      <c r="N20" t="n">
        <v>0</v>
      </c>
    </row>
    <row r="21">
      <c r="A21" t="inlineStr">
        <is>
          <t>defaults of rent</t>
        </is>
      </c>
      <c r="B21" t="inlineStr">
        <is>
          <t>1 toft and 1 curtilage of villein land called cokpedehall', in the lord's hands from a want of tenants because noone wished to hold it, 6pence.</t>
        </is>
      </c>
      <c r="C21" t="n">
        <v>0.03</v>
      </c>
      <c r="D21" t="n">
        <v>0</v>
      </c>
      <c r="E21" t="n">
        <v>0</v>
      </c>
      <c r="F21" t="n">
        <v>6</v>
      </c>
      <c r="H21" t="n">
        <v>0</v>
      </c>
      <c r="I21" t="n">
        <v>0</v>
      </c>
      <c r="J21" t="n">
        <v>0</v>
      </c>
      <c r="K21" t="n">
        <v>0</v>
      </c>
      <c r="L21" t="n">
        <v>0</v>
      </c>
      <c r="M21" t="n">
        <v>0</v>
      </c>
      <c r="N21" t="n">
        <v>0</v>
      </c>
    </row>
    <row r="22">
      <c r="A22" t="inlineStr">
        <is>
          <t>defaults of rent</t>
        </is>
      </c>
      <c r="B22" t="inlineStr">
        <is>
          <t>total, 10 shilling6pence.</t>
        </is>
      </c>
      <c r="C22" t="n">
        <v>0.53</v>
      </c>
      <c r="D22" t="n">
        <v>0</v>
      </c>
      <c r="E22" t="n">
        <v>10</v>
      </c>
      <c r="F22" t="n">
        <v>6</v>
      </c>
      <c r="H22" t="n">
        <v>0</v>
      </c>
      <c r="I22" t="n">
        <v>0</v>
      </c>
      <c r="J22" t="n">
        <v>0</v>
      </c>
      <c r="K22" t="n">
        <v>0</v>
      </c>
      <c r="L22" t="n">
        <v>0</v>
      </c>
      <c r="M22" t="n">
        <v>0</v>
      </c>
      <c r="N22" t="n">
        <v>0</v>
      </c>
    </row>
    <row r="23">
      <c r="A23" t="inlineStr">
        <is>
          <t>defaults of rent through the pestilence</t>
        </is>
      </c>
      <c r="B23" t="inlineStr">
        <is>
          <t>in default of 1 messuage and 1 acreland formerly of richard bolt, in the lord's hands from a want of tenants, 4 shilling 10pence for the year, and demised at farm as made clear below.</t>
        </is>
      </c>
      <c r="C23" t="n">
        <v>0.24</v>
      </c>
      <c r="D23" t="n">
        <v>0</v>
      </c>
      <c r="E23" t="n">
        <v>4</v>
      </c>
      <c r="F23" t="n">
        <v>10</v>
      </c>
      <c r="H23" t="n">
        <v>0</v>
      </c>
      <c r="I23" t="n">
        <v>0</v>
      </c>
      <c r="J23" t="n">
        <v>0</v>
      </c>
      <c r="K23" t="n">
        <v>0</v>
      </c>
      <c r="L23" t="n">
        <v>0</v>
      </c>
      <c r="M23" t="n">
        <v>0</v>
      </c>
      <c r="N23" t="n">
        <v>0</v>
      </c>
    </row>
    <row r="24">
      <c r="A24" t="inlineStr">
        <is>
          <t>defaults of rent through the pestilence</t>
        </is>
      </c>
      <c r="B24" t="inlineStr">
        <is>
          <t>1 messuage and 1 acreland formerly of john stephen' and afterwards of mabel dawe in the lord's hands, 2 shilling 6pence for the year, and at farm as made clear below.</t>
        </is>
      </c>
      <c r="C24" t="n">
        <v>0.12</v>
      </c>
      <c r="D24" t="n">
        <v>0</v>
      </c>
      <c r="E24" t="n">
        <v>2</v>
      </c>
      <c r="F24" t="n">
        <v>6</v>
      </c>
      <c r="H24" t="n">
        <v>0</v>
      </c>
      <c r="I24" t="n">
        <v>0</v>
      </c>
      <c r="J24" t="n">
        <v>0</v>
      </c>
      <c r="K24" t="n">
        <v>0</v>
      </c>
      <c r="L24" t="n">
        <v>0</v>
      </c>
      <c r="M24" t="n">
        <v>0</v>
      </c>
      <c r="N24" t="n">
        <v>0</v>
      </c>
    </row>
    <row r="25">
      <c r="A25" t="inlineStr">
        <is>
          <t>defaults of rent through the pestilence</t>
        </is>
      </c>
      <c r="B25" t="inlineStr">
        <is>
          <t>1 messuage and 1 acreland formerly of richard dolphin in the lord's hands, 2 shilling 9pence for the year, and at farm as made clear below.</t>
        </is>
      </c>
      <c r="C25" t="n">
        <v>0.14</v>
      </c>
      <c r="D25" t="n">
        <v>0</v>
      </c>
      <c r="E25" t="n">
        <v>2</v>
      </c>
      <c r="F25" t="n">
        <v>9</v>
      </c>
      <c r="H25" t="n">
        <v>0</v>
      </c>
      <c r="I25" t="n">
        <v>0</v>
      </c>
      <c r="J25" t="n">
        <v>0</v>
      </c>
      <c r="K25" t="n">
        <v>0</v>
      </c>
      <c r="L25" t="n">
        <v>0</v>
      </c>
      <c r="M25" t="n">
        <v>0</v>
      </c>
      <c r="N25" t="n">
        <v>0</v>
      </c>
    </row>
    <row r="26">
      <c r="A26" t="inlineStr">
        <is>
          <t>defaults of rent through the pestilence</t>
        </is>
      </c>
      <c r="B26" t="inlineStr">
        <is>
          <t>1 messuage and 1 acreland formerly of richard acreman and afterwards of alan acreman in the lord's hands, 5 shilling 6pence for the year, and at farm as made clear below.</t>
        </is>
      </c>
      <c r="C26" t="n">
        <v>0.28</v>
      </c>
      <c r="D26" t="n">
        <v>0</v>
      </c>
      <c r="E26" t="n">
        <v>5</v>
      </c>
      <c r="F26" t="n">
        <v>6</v>
      </c>
      <c r="H26" t="n">
        <v>0</v>
      </c>
      <c r="I26" t="n">
        <v>0</v>
      </c>
      <c r="J26" t="n">
        <v>0</v>
      </c>
      <c r="K26" t="n">
        <v>0</v>
      </c>
      <c r="L26" t="n">
        <v>0</v>
      </c>
      <c r="M26" t="n">
        <v>0</v>
      </c>
      <c r="N26" t="n">
        <v>0</v>
      </c>
    </row>
    <row r="27">
      <c r="A27" t="inlineStr">
        <is>
          <t>defaults of rent through the pestilence</t>
        </is>
      </c>
      <c r="B27" t="inlineStr">
        <is>
          <t>1 messuage and 1 acreland formerly of john osbarn' and afterwards of john dolphyn in the lord's hands, 2 shilling 6pence for the year, and at farm as made clear below.</t>
        </is>
      </c>
      <c r="C27" t="n">
        <v>0.12</v>
      </c>
      <c r="D27" t="n">
        <v>0</v>
      </c>
      <c r="E27" t="n">
        <v>2</v>
      </c>
      <c r="F27" t="n">
        <v>6</v>
      </c>
      <c r="H27" t="n">
        <v>0</v>
      </c>
      <c r="I27" t="n">
        <v>0</v>
      </c>
      <c r="J27" t="n">
        <v>0</v>
      </c>
      <c r="K27" t="n">
        <v>0</v>
      </c>
      <c r="L27" t="n">
        <v>0</v>
      </c>
      <c r="M27" t="n">
        <v>0</v>
      </c>
      <c r="N27" t="n">
        <v>0</v>
      </c>
    </row>
    <row r="28">
      <c r="A28" t="inlineStr">
        <is>
          <t>defaults of rent through the pestilence</t>
        </is>
      </c>
      <c r="B28" t="inlineStr">
        <is>
          <t>1 messuage and 1 acreland formerly of john buryman in the lord's hands, 2 shilling 6pence for the year, and at farm as made clear below.</t>
        </is>
      </c>
      <c r="C28" t="n">
        <v>0.12</v>
      </c>
      <c r="D28" t="n">
        <v>0</v>
      </c>
      <c r="E28" t="n">
        <v>2</v>
      </c>
      <c r="F28" t="n">
        <v>6</v>
      </c>
      <c r="H28" t="n">
        <v>0</v>
      </c>
      <c r="I28" t="n">
        <v>0</v>
      </c>
      <c r="J28" t="n">
        <v>0</v>
      </c>
      <c r="K28" t="n">
        <v>0</v>
      </c>
      <c r="L28" t="n">
        <v>0</v>
      </c>
      <c r="M28" t="n">
        <v>0</v>
      </c>
      <c r="N28" t="n">
        <v>0</v>
      </c>
    </row>
    <row r="29">
      <c r="A29" t="inlineStr">
        <is>
          <t>defaults of rent through the pestilence</t>
        </is>
      </c>
      <c r="B29" t="inlineStr">
        <is>
          <t>1 messuage and 1 acreland formerly of john geffray and afterwards of richard smyth' in the lord's hands, 2 shilling 9pence for the year, and at farm as made clear below.</t>
        </is>
      </c>
      <c r="C29" t="n">
        <v>0.14</v>
      </c>
      <c r="D29" t="n">
        <v>0</v>
      </c>
      <c r="E29" t="n">
        <v>2</v>
      </c>
      <c r="F29" t="n">
        <v>9</v>
      </c>
      <c r="H29" t="n">
        <v>0</v>
      </c>
      <c r="I29" t="n">
        <v>0</v>
      </c>
      <c r="J29" t="n">
        <v>0</v>
      </c>
      <c r="K29" t="n">
        <v>0</v>
      </c>
      <c r="L29" t="n">
        <v>0</v>
      </c>
      <c r="M29" t="n">
        <v>0</v>
      </c>
      <c r="N29" t="n">
        <v>0</v>
      </c>
    </row>
    <row r="30">
      <c r="A30" t="inlineStr">
        <is>
          <t>cotlands</t>
        </is>
      </c>
      <c r="B30" t="inlineStr">
        <is>
          <t>in default of 1 messuage and 1 cotland formerly of gilbert buryman and afterwards of william som' in the lord's hands, 4 shilling for the year, and at farm as made clear below.</t>
        </is>
      </c>
      <c r="C30" t="n">
        <v>0.2</v>
      </c>
      <c r="D30" t="n">
        <v>0</v>
      </c>
      <c r="E30" t="n">
        <v>4</v>
      </c>
      <c r="F30" t="n">
        <v>0</v>
      </c>
      <c r="H30" t="n">
        <v>0</v>
      </c>
      <c r="I30" t="n">
        <v>0</v>
      </c>
      <c r="J30" t="n">
        <v>0</v>
      </c>
      <c r="K30" t="n">
        <v>0</v>
      </c>
      <c r="L30" t="n">
        <v>0</v>
      </c>
      <c r="M30" t="n">
        <v>0</v>
      </c>
      <c r="N30" t="n">
        <v>0</v>
      </c>
    </row>
    <row r="31">
      <c r="A31" t="inlineStr">
        <is>
          <t>cotlands</t>
        </is>
      </c>
      <c r="B31" t="inlineStr">
        <is>
          <t>1 messuage and 1 cotland formerly of richard janekyn and afterwards of william smyth in the lord's hands, 4 shilling for the year,' and at farm as made clear below.</t>
        </is>
      </c>
      <c r="C31" t="n">
        <v>0.2</v>
      </c>
      <c r="D31" t="n">
        <v>0</v>
      </c>
      <c r="E31" t="n">
        <v>4</v>
      </c>
      <c r="F31" t="n">
        <v>0</v>
      </c>
      <c r="H31" t="n">
        <v>0</v>
      </c>
      <c r="I31" t="n">
        <v>0</v>
      </c>
      <c r="J31" t="n">
        <v>0</v>
      </c>
      <c r="K31" t="n">
        <v>0</v>
      </c>
      <c r="L31" t="n">
        <v>0</v>
      </c>
      <c r="M31" t="n">
        <v>0</v>
      </c>
      <c r="N31" t="n">
        <v>0</v>
      </c>
    </row>
    <row r="32">
      <c r="A32" t="inlineStr">
        <is>
          <t>cotlands</t>
        </is>
      </c>
      <c r="B32" t="inlineStr">
        <is>
          <t>1 messuage and 1 cotland formerly of walter bolt and afterwards of william bolt in the lord's hands, 4 shilling for the year, and at farm as made clear below.</t>
        </is>
      </c>
      <c r="C32" t="n">
        <v>0.2</v>
      </c>
      <c r="D32" t="n">
        <v>0</v>
      </c>
      <c r="E32" t="n">
        <v>4</v>
      </c>
      <c r="F32" t="n">
        <v>0</v>
      </c>
      <c r="H32" t="n">
        <v>0</v>
      </c>
      <c r="I32" t="n">
        <v>0</v>
      </c>
      <c r="J32" t="n">
        <v>0</v>
      </c>
      <c r="K32" t="n">
        <v>0</v>
      </c>
      <c r="L32" t="n">
        <v>0</v>
      </c>
      <c r="M32" t="n">
        <v>0</v>
      </c>
      <c r="N32" t="n">
        <v>0</v>
      </c>
    </row>
    <row r="33">
      <c r="A33" t="inlineStr">
        <is>
          <t>cotlands</t>
        </is>
      </c>
      <c r="B33" t="inlineStr">
        <is>
          <t>1 messuage and 1 cotland formerly of richard skreveyn and afterwards of richard andrew in the lord's hands, 4 shilling for the year, and at farm as made clear below.</t>
        </is>
      </c>
      <c r="C33" t="n">
        <v>0.2</v>
      </c>
      <c r="D33" t="n">
        <v>0</v>
      </c>
      <c r="E33" t="n">
        <v>4</v>
      </c>
      <c r="F33" t="n">
        <v>0</v>
      </c>
      <c r="H33" t="n">
        <v>0</v>
      </c>
      <c r="I33" t="n">
        <v>0</v>
      </c>
      <c r="J33" t="n">
        <v>0</v>
      </c>
      <c r="K33" t="n">
        <v>0</v>
      </c>
      <c r="L33" t="n">
        <v>0</v>
      </c>
      <c r="M33" t="n">
        <v>0</v>
      </c>
      <c r="N33" t="n">
        <v>0</v>
      </c>
    </row>
    <row r="34">
      <c r="A34" t="inlineStr">
        <is>
          <t>cotlands</t>
        </is>
      </c>
      <c r="B34" t="inlineStr">
        <is>
          <t>1 messuage and 1 cotland formerly of john gylot and afterwards of william gylot in the lord's hands, 4 shilling for the year, and at farm as made clear below.</t>
        </is>
      </c>
      <c r="C34" t="n">
        <v>0.2</v>
      </c>
      <c r="D34" t="n">
        <v>0</v>
      </c>
      <c r="E34" t="n">
        <v>4</v>
      </c>
      <c r="F34" t="n">
        <v>0</v>
      </c>
      <c r="H34" t="n">
        <v>0</v>
      </c>
      <c r="I34" t="n">
        <v>0</v>
      </c>
      <c r="J34" t="n">
        <v>0</v>
      </c>
      <c r="K34" t="n">
        <v>0</v>
      </c>
      <c r="L34" t="n">
        <v>0</v>
      </c>
      <c r="M34" t="n">
        <v>0</v>
      </c>
      <c r="N34" t="n">
        <v>0</v>
      </c>
    </row>
    <row r="35">
      <c r="A35" t="inlineStr">
        <is>
          <t>cotlands</t>
        </is>
      </c>
      <c r="B35" t="inlineStr">
        <is>
          <t>1 messuage and 1 cotland formerly of alice atte halle and afterwards of thomas benne in the lord's hands, 4 shilling for the year, and at farm as made clear below.</t>
        </is>
      </c>
      <c r="C35" t="n">
        <v>0.2</v>
      </c>
      <c r="D35" t="n">
        <v>0</v>
      </c>
      <c r="E35" t="n">
        <v>4</v>
      </c>
      <c r="F35" t="n">
        <v>0</v>
      </c>
      <c r="H35" t="n">
        <v>0</v>
      </c>
      <c r="I35" t="n">
        <v>0</v>
      </c>
      <c r="J35" t="n">
        <v>0</v>
      </c>
      <c r="K35" t="n">
        <v>0</v>
      </c>
      <c r="L35" t="n">
        <v>0</v>
      </c>
      <c r="M35" t="n">
        <v>0</v>
      </c>
      <c r="N35" t="n">
        <v>0</v>
      </c>
    </row>
    <row r="36">
      <c r="A36" t="inlineStr">
        <is>
          <t>cotlands</t>
        </is>
      </c>
      <c r="B36" t="inlineStr">
        <is>
          <t>total, £2 7 shilling 4pence.</t>
        </is>
      </c>
      <c r="C36" t="n">
        <v>2.37</v>
      </c>
      <c r="D36" t="n">
        <v>2</v>
      </c>
      <c r="E36" t="n">
        <v>7</v>
      </c>
      <c r="F36" t="n">
        <v>4</v>
      </c>
      <c r="H36" t="n">
        <v>0</v>
      </c>
      <c r="I36" t="n">
        <v>0</v>
      </c>
      <c r="J36" t="n">
        <v>0</v>
      </c>
      <c r="K36" t="n">
        <v>0</v>
      </c>
      <c r="L36" t="n">
        <v>0</v>
      </c>
      <c r="M36" t="n">
        <v>0</v>
      </c>
      <c r="N36" t="n">
        <v>0</v>
      </c>
    </row>
    <row r="37">
      <c r="A37" t="inlineStr">
        <is>
          <t>total of quittances and defaults of rent</t>
        </is>
      </c>
      <c r="B37" t="inlineStr">
        <is>
          <t>total of quittances and defaults of rent, £4 11 shilling 7pence.</t>
        </is>
      </c>
      <c r="C37" t="n">
        <v>4.58</v>
      </c>
      <c r="D37" t="n">
        <v>4</v>
      </c>
      <c r="E37" t="n">
        <v>11</v>
      </c>
      <c r="F37" t="n">
        <v>7</v>
      </c>
      <c r="H37" t="n">
        <v>0</v>
      </c>
      <c r="I37" t="n">
        <v>0</v>
      </c>
      <c r="J37" t="n">
        <v>0</v>
      </c>
      <c r="K37" t="n">
        <v>0</v>
      </c>
      <c r="L37" t="n">
        <v>0</v>
      </c>
      <c r="M37" t="n">
        <v>0</v>
      </c>
      <c r="N37" t="n">
        <v>0</v>
      </c>
    </row>
    <row r="38">
      <c r="A38" t="inlineStr">
        <is>
          <t>total of rents remaining clear</t>
        </is>
      </c>
      <c r="B38" t="inlineStr">
        <is>
          <t>total of rents remaining clear, £21 7 shilling 3.5pence.</t>
        </is>
      </c>
      <c r="C38" t="n">
        <v>21.36</v>
      </c>
      <c r="D38" t="n">
        <v>21</v>
      </c>
      <c r="E38" t="n">
        <v>7</v>
      </c>
      <c r="F38" t="n">
        <v>3.5</v>
      </c>
      <c r="H38" t="n">
        <v>0</v>
      </c>
      <c r="I38" t="n">
        <v>0</v>
      </c>
      <c r="J38" t="n">
        <v>0</v>
      </c>
      <c r="K38" t="n">
        <v>0</v>
      </c>
      <c r="L38" t="n">
        <v>0</v>
      </c>
      <c r="M38" t="n">
        <v>0</v>
      </c>
      <c r="N38" t="n">
        <v>0</v>
      </c>
    </row>
    <row r="39">
      <c r="A39" t="inlineStr">
        <is>
          <t>farms</t>
        </is>
      </c>
      <c r="B39" t="inlineStr">
        <is>
          <t>and for 16 shilling from william bourton' for the farm of 15 acres of demesne land lying beside bodicote called goldwelleforlong', with the small pasture annexed to the said furlong (cultur') and 1.5 acres in the meadow of sweteneye, demised to the same william for 20 years, this year being the sixth, to be paid at the four terms of the year.</t>
        </is>
      </c>
      <c r="C39" t="n">
        <v>0.8</v>
      </c>
      <c r="D39" t="n">
        <v>0</v>
      </c>
      <c r="E39" t="n">
        <v>16</v>
      </c>
      <c r="F39" t="n">
        <v>0</v>
      </c>
      <c r="H39" t="n">
        <v>0</v>
      </c>
      <c r="I39" t="n">
        <v>0</v>
      </c>
      <c r="J39" t="n">
        <v>0</v>
      </c>
      <c r="K39" t="n">
        <v>0</v>
      </c>
      <c r="L39" t="n">
        <v>0</v>
      </c>
      <c r="M39" t="n">
        <v>0</v>
      </c>
      <c r="N39" t="n">
        <v>0</v>
      </c>
    </row>
    <row r="40">
      <c r="A40" t="inlineStr">
        <is>
          <t>farms</t>
        </is>
      </c>
      <c r="B40" t="inlineStr">
        <is>
          <t>6 shilling 8pence from john jakeman for the farm of 6 selions in le estfeld' and 6 selions in le westfeld', with the small pasture annexed to the said furlong called wyneswell , in severalty every other year whilst it pleases the lord, to be paid as before.</t>
        </is>
      </c>
      <c r="C40" t="n">
        <v>0.33</v>
      </c>
      <c r="D40" t="n">
        <v>0</v>
      </c>
      <c r="E40" t="n">
        <v>6</v>
      </c>
      <c r="F40" t="n">
        <v>8</v>
      </c>
      <c r="H40" t="n">
        <v>0</v>
      </c>
      <c r="I40" t="n">
        <v>0</v>
      </c>
      <c r="J40" t="n">
        <v>0</v>
      </c>
      <c r="K40" t="n">
        <v>0</v>
      </c>
      <c r="L40" t="n">
        <v>0</v>
      </c>
      <c r="M40" t="n">
        <v>0</v>
      </c>
      <c r="N40" t="n">
        <v>0</v>
      </c>
    </row>
    <row r="41">
      <c r="A41" t="inlineStr">
        <is>
          <t>farms</t>
        </is>
      </c>
      <c r="B41" t="inlineStr">
        <is>
          <t>16 shilling from robert box, william lemburgh' and william malle for the farm of 13 acres of demesne land in le westfeld' called newelond' and 4 acres at the headland of wyneswell' whilst it pleases the lord, to be paid as before.</t>
        </is>
      </c>
      <c r="C41" t="n">
        <v>0.8</v>
      </c>
      <c r="D41" t="n">
        <v>0</v>
      </c>
      <c r="E41" t="n">
        <v>16</v>
      </c>
      <c r="F41" t="n">
        <v>0</v>
      </c>
      <c r="H41" t="n">
        <v>0</v>
      </c>
      <c r="I41" t="n">
        <v>0</v>
      </c>
      <c r="J41" t="n">
        <v>0</v>
      </c>
      <c r="K41" t="n">
        <v>0</v>
      </c>
      <c r="L41" t="n">
        <v>0</v>
      </c>
      <c r="M41" t="n">
        <v>0</v>
      </c>
      <c r="N41" t="n">
        <v>0</v>
      </c>
    </row>
    <row r="42">
      <c r="A42" t="inlineStr">
        <is>
          <t>farms</t>
        </is>
      </c>
      <c r="B42" t="inlineStr">
        <is>
          <t>1 shilling 10pence from william smyth' for 1 parcel of waste land annexed to his tenement, 14 feet long and 8 feet wide, for shoeing the horses at 1 tourn whilst it pleases the lord, and also for 5 acres 1 rood of demesne land, of which 3 acres lie at cotmannethurne beside the land of john wyght and 2 acres 1 rood lie beside the land called nyneacres, for 12 years, this year being the seventh, to be paid as before.</t>
        </is>
      </c>
      <c r="C42" t="n">
        <v>0.09</v>
      </c>
      <c r="D42" t="n">
        <v>0</v>
      </c>
      <c r="E42" t="n">
        <v>1</v>
      </c>
      <c r="F42" t="n">
        <v>10</v>
      </c>
      <c r="H42" t="n">
        <v>0</v>
      </c>
      <c r="I42" t="n">
        <v>0</v>
      </c>
      <c r="J42" t="n">
        <v>0</v>
      </c>
      <c r="K42" t="n">
        <v>0</v>
      </c>
      <c r="L42" t="n">
        <v>0</v>
      </c>
      <c r="M42" t="n">
        <v>0</v>
      </c>
      <c r="N42" t="n">
        <v>0</v>
      </c>
    </row>
    <row r="43">
      <c r="A43" t="inlineStr">
        <is>
          <t>farms</t>
        </is>
      </c>
      <c r="B43" t="inlineStr">
        <is>
          <t>1 shilling from thomas shiperde for the farm of 3 acres of demesne land demised to him whilst it pleases the lord, to be paid as before.</t>
        </is>
      </c>
      <c r="C43" t="n">
        <v>0.05</v>
      </c>
      <c r="D43" t="n">
        <v>0</v>
      </c>
      <c r="E43" t="n">
        <v>1</v>
      </c>
      <c r="F43" t="n">
        <v>0</v>
      </c>
      <c r="H43" t="n">
        <v>0</v>
      </c>
      <c r="I43" t="n">
        <v>0</v>
      </c>
      <c r="J43" t="n">
        <v>0</v>
      </c>
      <c r="K43" t="n">
        <v>0</v>
      </c>
      <c r="L43" t="n">
        <v>0</v>
      </c>
      <c r="M43" t="n">
        <v>0</v>
      </c>
      <c r="N43" t="n">
        <v>0</v>
      </c>
    </row>
    <row r="44">
      <c r="A44" t="inlineStr">
        <is>
          <t>farms</t>
        </is>
      </c>
      <c r="B44" t="inlineStr">
        <is>
          <t>1 shilling 8pence from john spencer for the farm of 5 acres of demesne land lying in middelfurlong',.</t>
        </is>
      </c>
      <c r="C44" t="n">
        <v>0.08</v>
      </c>
      <c r="D44" t="n">
        <v>0</v>
      </c>
      <c r="E44" t="n">
        <v>1</v>
      </c>
      <c r="F44" t="n">
        <v>8</v>
      </c>
      <c r="H44" t="n">
        <v>0</v>
      </c>
      <c r="I44" t="n">
        <v>0</v>
      </c>
      <c r="J44" t="n">
        <v>0</v>
      </c>
      <c r="K44" t="n">
        <v>0</v>
      </c>
      <c r="L44" t="n">
        <v>0</v>
      </c>
      <c r="M44" t="n">
        <v>0</v>
      </c>
      <c r="N44" t="n">
        <v>0</v>
      </c>
    </row>
    <row r="45">
      <c r="A45" t="inlineStr">
        <is>
          <t>farms</t>
        </is>
      </c>
      <c r="B45" t="inlineStr">
        <is>
          <t>demised to the same for 8 years, this year being the sixth, to be paid as before.</t>
        </is>
      </c>
      <c r="C45" t="n">
        <v>0</v>
      </c>
      <c r="D45" t="n">
        <v>0</v>
      </c>
      <c r="E45" t="n">
        <v>0</v>
      </c>
      <c r="F45" t="n">
        <v>0</v>
      </c>
      <c r="H45" t="n">
        <v>0</v>
      </c>
      <c r="I45" t="n">
        <v>0</v>
      </c>
      <c r="J45" t="n">
        <v>0</v>
      </c>
      <c r="K45" t="n">
        <v>0</v>
      </c>
      <c r="L45" t="n">
        <v>0</v>
      </c>
      <c r="M45" t="n">
        <v>0</v>
      </c>
      <c r="N45" t="n">
        <v>0</v>
      </c>
    </row>
    <row r="46">
      <c r="A46" t="inlineStr">
        <is>
          <t>farms</t>
        </is>
      </c>
      <c r="B46" t="inlineStr">
        <is>
          <t>8pence from william webbe for the farm of 2 acres of demesne land lying in middelfurlong', demised to him for 8 years, this year being the sixth, to be paid as before.</t>
        </is>
      </c>
      <c r="C46" t="n">
        <v>0.03</v>
      </c>
      <c r="D46" t="n">
        <v>0</v>
      </c>
      <c r="E46" t="n">
        <v>0</v>
      </c>
      <c r="F46" t="n">
        <v>8</v>
      </c>
      <c r="H46" t="n">
        <v>0</v>
      </c>
      <c r="I46" t="n">
        <v>0</v>
      </c>
      <c r="J46" t="n">
        <v>0</v>
      </c>
      <c r="K46" t="n">
        <v>0</v>
      </c>
      <c r="L46" t="n">
        <v>0</v>
      </c>
      <c r="M46" t="n">
        <v>0</v>
      </c>
      <c r="N46" t="n">
        <v>0</v>
      </c>
    </row>
    <row r="47">
      <c r="A47" t="inlineStr">
        <is>
          <t>farms</t>
        </is>
      </c>
      <c r="B47" t="inlineStr">
        <is>
          <t>8pence from william rundell' for the farm of 2 acres of demesne land lying in middelfurlong' demised to him this year.</t>
        </is>
      </c>
      <c r="C47" t="n">
        <v>0.03</v>
      </c>
      <c r="D47" t="n">
        <v>0</v>
      </c>
      <c r="E47" t="n">
        <v>0</v>
      </c>
      <c r="F47" t="n">
        <v>8</v>
      </c>
      <c r="H47" t="n">
        <v>0</v>
      </c>
      <c r="I47" t="n">
        <v>0</v>
      </c>
      <c r="J47" t="n">
        <v>0</v>
      </c>
      <c r="K47" t="n">
        <v>0</v>
      </c>
      <c r="L47" t="n">
        <v>0</v>
      </c>
      <c r="M47" t="n">
        <v>0</v>
      </c>
      <c r="N47" t="n">
        <v>0</v>
      </c>
    </row>
    <row r="48">
      <c r="A48" t="inlineStr">
        <is>
          <t>farms</t>
        </is>
      </c>
      <c r="B48" t="inlineStr">
        <is>
          <t>total, £2 4 shilling 6pence.</t>
        </is>
      </c>
      <c r="C48" t="n">
        <v>2.23</v>
      </c>
      <c r="D48" t="n">
        <v>2</v>
      </c>
      <c r="E48" t="n">
        <v>4</v>
      </c>
      <c r="F48" t="n">
        <v>6</v>
      </c>
      <c r="H48" t="n">
        <v>0</v>
      </c>
      <c r="I48" t="n">
        <v>0</v>
      </c>
      <c r="J48" t="n">
        <v>0</v>
      </c>
      <c r="K48" t="n">
        <v>0</v>
      </c>
      <c r="L48" t="n">
        <v>0</v>
      </c>
      <c r="M48" t="n">
        <v>0</v>
      </c>
      <c r="N48" t="n">
        <v>0</v>
      </c>
    </row>
    <row r="49">
      <c r="A49" t="inlineStr">
        <is>
          <t>annual recognizance</t>
        </is>
      </c>
      <c r="B49" t="inlineStr">
        <is>
          <t>and for 2pence from robert coupere so that he may dwell within the lord's liberty as long as it pleases the lord and come to the 2 tourns.</t>
        </is>
      </c>
      <c r="C49" t="n">
        <v>0.01</v>
      </c>
      <c r="D49" t="n">
        <v>0</v>
      </c>
      <c r="E49" t="n">
        <v>0</v>
      </c>
      <c r="F49" t="n">
        <v>2</v>
      </c>
      <c r="H49" t="n">
        <v>0</v>
      </c>
      <c r="I49" t="n">
        <v>0</v>
      </c>
      <c r="J49" t="n">
        <v>0</v>
      </c>
      <c r="K49" t="n">
        <v>0</v>
      </c>
      <c r="L49" t="n">
        <v>0</v>
      </c>
      <c r="M49" t="n">
        <v>0</v>
      </c>
      <c r="N49" t="n">
        <v>0</v>
      </c>
    </row>
    <row r="50">
      <c r="A50" t="inlineStr">
        <is>
          <t>annual recognizance</t>
        </is>
      </c>
      <c r="B50" t="inlineStr">
        <is>
          <t>2pence from john balfr' for the same, coming to the tourn of hockday.</t>
        </is>
      </c>
      <c r="C50" t="n">
        <v>0.01</v>
      </c>
      <c r="D50" t="n">
        <v>0</v>
      </c>
      <c r="E50" t="n">
        <v>0</v>
      </c>
      <c r="F50" t="n">
        <v>2</v>
      </c>
      <c r="H50" t="n">
        <v>0</v>
      </c>
      <c r="I50" t="n">
        <v>0</v>
      </c>
      <c r="J50" t="n">
        <v>0</v>
      </c>
      <c r="K50" t="n">
        <v>0</v>
      </c>
      <c r="L50" t="n">
        <v>0</v>
      </c>
      <c r="M50" t="n">
        <v>0</v>
      </c>
      <c r="N50" t="n">
        <v>0</v>
      </c>
    </row>
    <row r="51">
      <c r="A51" t="inlineStr">
        <is>
          <t>annual recognizance</t>
        </is>
      </c>
      <c r="B51" t="inlineStr">
        <is>
          <t>3pence from thomas shiperde for the same, coming to the 2 tourns for the year.</t>
        </is>
      </c>
      <c r="C51" t="n">
        <v>0.01</v>
      </c>
      <c r="D51" t="n">
        <v>0</v>
      </c>
      <c r="E51" t="n">
        <v>0</v>
      </c>
      <c r="F51" t="n">
        <v>3</v>
      </c>
      <c r="H51" t="n">
        <v>0</v>
      </c>
      <c r="I51" t="n">
        <v>0</v>
      </c>
      <c r="J51" t="n">
        <v>0</v>
      </c>
      <c r="K51" t="n">
        <v>0</v>
      </c>
      <c r="L51" t="n">
        <v>0</v>
      </c>
      <c r="M51" t="n">
        <v>0</v>
      </c>
      <c r="N51" t="n">
        <v>0</v>
      </c>
    </row>
    <row r="52">
      <c r="A52" t="inlineStr">
        <is>
          <t>annual recognizance</t>
        </is>
      </c>
      <c r="B52" t="inlineStr">
        <is>
          <t>3pence from philip berners for the same.</t>
        </is>
      </c>
      <c r="C52" t="n">
        <v>0.01</v>
      </c>
      <c r="D52" t="n">
        <v>0</v>
      </c>
      <c r="E52" t="n">
        <v>0</v>
      </c>
      <c r="F52" t="n">
        <v>3</v>
      </c>
      <c r="H52" t="n">
        <v>0</v>
      </c>
      <c r="I52" t="n">
        <v>0</v>
      </c>
      <c r="J52" t="n">
        <v>0</v>
      </c>
      <c r="K52" t="n">
        <v>0</v>
      </c>
      <c r="L52" t="n">
        <v>0</v>
      </c>
      <c r="M52" t="n">
        <v>0</v>
      </c>
      <c r="N52" t="n">
        <v>0</v>
      </c>
    </row>
    <row r="53">
      <c r="A53" t="inlineStr">
        <is>
          <t>annual recognizance</t>
        </is>
      </c>
      <c r="B53" t="inlineStr">
        <is>
          <t>2pence from roger grynder' for the same.</t>
        </is>
      </c>
      <c r="C53" t="n">
        <v>0.01</v>
      </c>
      <c r="D53" t="n">
        <v>0</v>
      </c>
      <c r="E53" t="n">
        <v>0</v>
      </c>
      <c r="F53" t="n">
        <v>2</v>
      </c>
      <c r="H53" t="n">
        <v>0</v>
      </c>
      <c r="I53" t="n">
        <v>0</v>
      </c>
      <c r="J53" t="n">
        <v>0</v>
      </c>
      <c r="K53" t="n">
        <v>0</v>
      </c>
      <c r="L53" t="n">
        <v>0</v>
      </c>
      <c r="M53" t="n">
        <v>0</v>
      </c>
      <c r="N53" t="n">
        <v>0</v>
      </c>
    </row>
    <row r="54">
      <c r="A54" t="inlineStr">
        <is>
          <t>annual recognizance</t>
        </is>
      </c>
      <c r="B54" t="inlineStr">
        <is>
          <t>2pence from john aubry for the same, coming to the tourn of hockday for the year.</t>
        </is>
      </c>
      <c r="C54" t="n">
        <v>0.01</v>
      </c>
      <c r="D54" t="n">
        <v>0</v>
      </c>
      <c r="E54" t="n">
        <v>0</v>
      </c>
      <c r="F54" t="n">
        <v>2</v>
      </c>
      <c r="H54" t="n">
        <v>0</v>
      </c>
      <c r="I54" t="n">
        <v>0</v>
      </c>
      <c r="J54" t="n">
        <v>0</v>
      </c>
      <c r="K54" t="n">
        <v>0</v>
      </c>
      <c r="L54" t="n">
        <v>0</v>
      </c>
      <c r="M54" t="n">
        <v>0</v>
      </c>
      <c r="N54" t="n">
        <v>0</v>
      </c>
    </row>
    <row r="55">
      <c r="A55" t="inlineStr">
        <is>
          <t>annual recognizance</t>
        </is>
      </c>
      <c r="B55" t="inlineStr">
        <is>
          <t>2pence from william ropere, coming to the tourn of martinmas.</t>
        </is>
      </c>
      <c r="C55" t="n">
        <v>0.01</v>
      </c>
      <c r="D55" t="n">
        <v>0</v>
      </c>
      <c r="E55" t="n">
        <v>0</v>
      </c>
      <c r="F55" t="n">
        <v>2</v>
      </c>
      <c r="H55" t="n">
        <v>0</v>
      </c>
      <c r="I55" t="n">
        <v>0</v>
      </c>
      <c r="J55" t="n">
        <v>0</v>
      </c>
      <c r="K55" t="n">
        <v>0</v>
      </c>
      <c r="L55" t="n">
        <v>0</v>
      </c>
      <c r="M55" t="n">
        <v>0</v>
      </c>
      <c r="N55" t="n">
        <v>0</v>
      </c>
    </row>
    <row r="56">
      <c r="A56" t="inlineStr">
        <is>
          <t>annual recognizance</t>
        </is>
      </c>
      <c r="B56" t="inlineStr">
        <is>
          <t>2pence from william carpis' for the same, coming to the tourn of hockday.</t>
        </is>
      </c>
      <c r="C56" t="n">
        <v>0.01</v>
      </c>
      <c r="D56" t="n">
        <v>0</v>
      </c>
      <c r="E56" t="n">
        <v>0</v>
      </c>
      <c r="F56" t="n">
        <v>2</v>
      </c>
      <c r="H56" t="n">
        <v>0</v>
      </c>
      <c r="I56" t="n">
        <v>0</v>
      </c>
      <c r="J56" t="n">
        <v>0</v>
      </c>
      <c r="K56" t="n">
        <v>0</v>
      </c>
      <c r="L56" t="n">
        <v>0</v>
      </c>
      <c r="M56" t="n">
        <v>0</v>
      </c>
      <c r="N56" t="n">
        <v>0</v>
      </c>
    </row>
    <row r="57">
      <c r="A57" t="inlineStr">
        <is>
          <t>annual recognizance</t>
        </is>
      </c>
      <c r="B57" t="inlineStr">
        <is>
          <t>2pence from hubert beverle for the same, coming to the tourn of martinmas.</t>
        </is>
      </c>
      <c r="C57" t="n">
        <v>0.01</v>
      </c>
      <c r="D57" t="n">
        <v>0</v>
      </c>
      <c r="E57" t="n">
        <v>0</v>
      </c>
      <c r="F57" t="n">
        <v>2</v>
      </c>
      <c r="H57" t="n">
        <v>0</v>
      </c>
      <c r="I57" t="n">
        <v>0</v>
      </c>
      <c r="J57" t="n">
        <v>0</v>
      </c>
      <c r="K57" t="n">
        <v>0</v>
      </c>
      <c r="L57" t="n">
        <v>0</v>
      </c>
      <c r="M57" t="n">
        <v>0</v>
      </c>
      <c r="N57" t="n">
        <v>0</v>
      </c>
    </row>
    <row r="58">
      <c r="A58" t="inlineStr">
        <is>
          <t>annual recognizance</t>
        </is>
      </c>
      <c r="B58" t="inlineStr">
        <is>
          <t>2pence from william glovere for the same, coming to the tourn of hockday.</t>
        </is>
      </c>
      <c r="C58" t="n">
        <v>0.01</v>
      </c>
      <c r="D58" t="n">
        <v>0</v>
      </c>
      <c r="E58" t="n">
        <v>0</v>
      </c>
      <c r="F58" t="n">
        <v>2</v>
      </c>
      <c r="H58" t="n">
        <v>0</v>
      </c>
      <c r="I58" t="n">
        <v>0</v>
      </c>
      <c r="J58" t="n">
        <v>0</v>
      </c>
      <c r="K58" t="n">
        <v>0</v>
      </c>
      <c r="L58" t="n">
        <v>0</v>
      </c>
      <c r="M58" t="n">
        <v>0</v>
      </c>
      <c r="N58" t="n">
        <v>0</v>
      </c>
    </row>
    <row r="59">
      <c r="A59" t="inlineStr">
        <is>
          <t>annual recognizance</t>
        </is>
      </c>
      <c r="B59" t="inlineStr">
        <is>
          <t>2pence from thomas gentylman for the same, coming to the tourn of hockday.</t>
        </is>
      </c>
      <c r="C59" t="n">
        <v>0.01</v>
      </c>
      <c r="D59" t="n">
        <v>0</v>
      </c>
      <c r="E59" t="n">
        <v>0</v>
      </c>
      <c r="F59" t="n">
        <v>2</v>
      </c>
      <c r="H59" t="n">
        <v>0</v>
      </c>
      <c r="I59" t="n">
        <v>0</v>
      </c>
      <c r="J59" t="n">
        <v>0</v>
      </c>
      <c r="K59" t="n">
        <v>0</v>
      </c>
      <c r="L59" t="n">
        <v>0</v>
      </c>
      <c r="M59" t="n">
        <v>0</v>
      </c>
      <c r="N59" t="n">
        <v>0</v>
      </c>
    </row>
    <row r="60">
      <c r="A60" t="inlineStr">
        <is>
          <t>annual recognizance</t>
        </is>
      </c>
      <c r="B60" t="inlineStr">
        <is>
          <t>1 shilling from william buryman' so that he may dwell outside the lord's liberty as long as it pleases the lord and come to the tourn of hockday and remain the lord's villein as before.</t>
        </is>
      </c>
      <c r="C60" t="n">
        <v>0.05</v>
      </c>
      <c r="D60" t="n">
        <v>0</v>
      </c>
      <c r="E60" t="n">
        <v>1</v>
      </c>
      <c r="F60" t="n">
        <v>0</v>
      </c>
      <c r="H60" t="n">
        <v>0</v>
      </c>
      <c r="I60" t="n">
        <v>0</v>
      </c>
      <c r="J60" t="n">
        <v>0</v>
      </c>
      <c r="K60" t="n">
        <v>0</v>
      </c>
      <c r="L60" t="n">
        <v>0</v>
      </c>
      <c r="M60" t="n">
        <v>0</v>
      </c>
      <c r="N60" t="n">
        <v>0</v>
      </c>
    </row>
    <row r="61">
      <c r="A61" t="inlineStr">
        <is>
          <t>annual recognizance</t>
        </is>
      </c>
      <c r="B61" t="inlineStr">
        <is>
          <t>1 shilling from richard somer for the same, remaining the lord's villein as before.</t>
        </is>
      </c>
      <c r="C61" t="n">
        <v>0.05</v>
      </c>
      <c r="D61" t="n">
        <v>0</v>
      </c>
      <c r="E61" t="n">
        <v>1</v>
      </c>
      <c r="F61" t="n">
        <v>0</v>
      </c>
      <c r="H61" t="n">
        <v>0</v>
      </c>
      <c r="I61" t="n">
        <v>0</v>
      </c>
      <c r="J61" t="n">
        <v>0</v>
      </c>
      <c r="K61" t="n">
        <v>0</v>
      </c>
      <c r="L61" t="n">
        <v>0</v>
      </c>
      <c r="M61" t="n">
        <v>0</v>
      </c>
      <c r="N61" t="n">
        <v>0</v>
      </c>
    </row>
    <row r="62">
      <c r="A62" t="inlineStr">
        <is>
          <t>annual recognizance</t>
        </is>
      </c>
      <c r="B62" t="inlineStr">
        <is>
          <t>3pence from john spycer so that he may dwell within the lord's liberty as long as it pleases the lord and himself and come to the tourn of hockday for the year.</t>
        </is>
      </c>
      <c r="C62" t="n">
        <v>0.01</v>
      </c>
      <c r="D62" t="n">
        <v>0</v>
      </c>
      <c r="E62" t="n">
        <v>0</v>
      </c>
      <c r="F62" t="n">
        <v>3</v>
      </c>
      <c r="H62" t="n">
        <v>0</v>
      </c>
      <c r="I62" t="n">
        <v>0</v>
      </c>
      <c r="J62" t="n">
        <v>0</v>
      </c>
      <c r="K62" t="n">
        <v>0</v>
      </c>
      <c r="L62" t="n">
        <v>0</v>
      </c>
      <c r="M62" t="n">
        <v>0</v>
      </c>
      <c r="N62" t="n">
        <v>0</v>
      </c>
    </row>
    <row r="63">
      <c r="A63" t="inlineStr">
        <is>
          <t>annual recognizance</t>
        </is>
      </c>
      <c r="B63" t="inlineStr">
        <is>
          <t>2pence from william shenston for the same.</t>
        </is>
      </c>
      <c r="C63" t="n">
        <v>0.01</v>
      </c>
      <c r="D63" t="n">
        <v>0</v>
      </c>
      <c r="E63" t="n">
        <v>0</v>
      </c>
      <c r="F63" t="n">
        <v>2</v>
      </c>
      <c r="H63" t="n">
        <v>0</v>
      </c>
      <c r="I63" t="n">
        <v>0</v>
      </c>
      <c r="J63" t="n">
        <v>0</v>
      </c>
      <c r="K63" t="n">
        <v>0</v>
      </c>
      <c r="L63" t="n">
        <v>0</v>
      </c>
      <c r="M63" t="n">
        <v>0</v>
      </c>
      <c r="N63" t="n">
        <v>0</v>
      </c>
    </row>
    <row r="64">
      <c r="A64" t="inlineStr">
        <is>
          <t>annual recognizance</t>
        </is>
      </c>
      <c r="B64" t="inlineStr">
        <is>
          <t>2pence from william wener' for the same.</t>
        </is>
      </c>
      <c r="C64" t="n">
        <v>0.01</v>
      </c>
      <c r="D64" t="n">
        <v>0</v>
      </c>
      <c r="E64" t="n">
        <v>0</v>
      </c>
      <c r="F64" t="n">
        <v>2</v>
      </c>
      <c r="H64" t="n">
        <v>0</v>
      </c>
      <c r="I64" t="n">
        <v>0</v>
      </c>
      <c r="J64" t="n">
        <v>0</v>
      </c>
      <c r="K64" t="n">
        <v>0</v>
      </c>
      <c r="L64" t="n">
        <v>0</v>
      </c>
      <c r="M64" t="n">
        <v>0</v>
      </c>
      <c r="N64" t="n">
        <v>0</v>
      </c>
    </row>
    <row r="65">
      <c r="A65" t="inlineStr">
        <is>
          <t>annual recognizance</t>
        </is>
      </c>
      <c r="B65" t="inlineStr">
        <is>
          <t>4pence from john boys and simon bailly for the same.</t>
        </is>
      </c>
      <c r="C65" t="n">
        <v>0.02</v>
      </c>
      <c r="D65" t="n">
        <v>0</v>
      </c>
      <c r="E65" t="n">
        <v>0</v>
      </c>
      <c r="F65" t="n">
        <v>4</v>
      </c>
      <c r="H65" t="n">
        <v>0</v>
      </c>
      <c r="I65" t="n">
        <v>0</v>
      </c>
      <c r="J65" t="n">
        <v>0</v>
      </c>
      <c r="K65" t="n">
        <v>0</v>
      </c>
      <c r="L65" t="n">
        <v>0</v>
      </c>
      <c r="M65" t="n">
        <v>0</v>
      </c>
      <c r="N65" t="n">
        <v>0</v>
      </c>
    </row>
    <row r="66">
      <c r="A66" t="inlineStr">
        <is>
          <t>annual recognizance</t>
        </is>
      </c>
      <c r="B66" t="inlineStr">
        <is>
          <t>total, 4 shilling 11pence.</t>
        </is>
      </c>
      <c r="C66" t="n">
        <v>0.25</v>
      </c>
      <c r="D66" t="n">
        <v>0</v>
      </c>
      <c r="E66" t="n">
        <v>4</v>
      </c>
      <c r="F66" t="n">
        <v>11</v>
      </c>
      <c r="H66" t="n">
        <v>0</v>
      </c>
      <c r="I66" t="n">
        <v>0</v>
      </c>
      <c r="J66" t="n">
        <v>0</v>
      </c>
      <c r="K66" t="n">
        <v>0</v>
      </c>
      <c r="L66" t="n">
        <v>0</v>
      </c>
      <c r="M66" t="n">
        <v>0</v>
      </c>
      <c r="N66" t="n">
        <v>0</v>
      </c>
    </row>
    <row r="67">
      <c r="A67" t="inlineStr">
        <is>
          <t>issues of the manor</t>
        </is>
      </c>
      <c r="B67" t="inlineStr">
        <is>
          <t>and for 5 shilling 6.5pence from the pannage of the pigs of the customary tenants at martinmas.</t>
        </is>
      </c>
      <c r="C67" t="n">
        <v>0.28</v>
      </c>
      <c r="D67" t="n">
        <v>0</v>
      </c>
      <c r="E67" t="n">
        <v>5</v>
      </c>
      <c r="F67" t="n">
        <v>6.5</v>
      </c>
      <c r="H67" t="n">
        <v>0</v>
      </c>
      <c r="I67" t="n">
        <v>0</v>
      </c>
      <c r="J67" t="n">
        <v>0</v>
      </c>
      <c r="K67" t="n">
        <v>0</v>
      </c>
      <c r="L67" t="n">
        <v>0</v>
      </c>
      <c r="M67" t="n">
        <v>0</v>
      </c>
      <c r="N67" t="n">
        <v>0</v>
      </c>
    </row>
    <row r="68">
      <c r="A68" t="inlineStr">
        <is>
          <t>issues of the manor</t>
        </is>
      </c>
      <c r="B68" t="inlineStr">
        <is>
          <t>nothing from the pasturage in le wymore because it pertains to the farmer.</t>
        </is>
      </c>
      <c r="C68" t="n">
        <v>0</v>
      </c>
      <c r="D68" t="n">
        <v>0</v>
      </c>
      <c r="E68" t="n">
        <v>0</v>
      </c>
      <c r="F68" t="n">
        <v>0</v>
      </c>
      <c r="H68" t="n">
        <v>0</v>
      </c>
      <c r="I68" t="n">
        <v>0</v>
      </c>
      <c r="J68" t="n">
        <v>0</v>
      </c>
      <c r="K68" t="n">
        <v>0</v>
      </c>
      <c r="L68" t="n">
        <v>0</v>
      </c>
      <c r="M68" t="n">
        <v>0</v>
      </c>
      <c r="N68" t="n">
        <v>0</v>
      </c>
    </row>
    <row r="69">
      <c r="A69" t="inlineStr">
        <is>
          <t>issues of the manor</t>
        </is>
      </c>
      <c r="B69" t="inlineStr">
        <is>
          <t>nothing from the pasturage in mykelham, buryhok', halywellesturton', fulput and slopet for the aforesaid reason.</t>
        </is>
      </c>
      <c r="C69" t="n">
        <v>0</v>
      </c>
      <c r="D69" t="n">
        <v>0</v>
      </c>
      <c r="E69" t="n">
        <v>0</v>
      </c>
      <c r="F69" t="n">
        <v>0</v>
      </c>
      <c r="H69" t="n">
        <v>0</v>
      </c>
      <c r="I69" t="n">
        <v>0</v>
      </c>
      <c r="J69" t="n">
        <v>0</v>
      </c>
      <c r="K69" t="n">
        <v>0</v>
      </c>
      <c r="L69" t="n">
        <v>0</v>
      </c>
      <c r="M69" t="n">
        <v>0</v>
      </c>
      <c r="N69" t="n">
        <v>0</v>
      </c>
    </row>
    <row r="70">
      <c r="A70" t="inlineStr">
        <is>
          <t>issues of the manor</t>
        </is>
      </c>
      <c r="B70" t="inlineStr">
        <is>
          <t>nothing from the agistment of cattle with the lord's cattle for the aforesaid reason.</t>
        </is>
      </c>
      <c r="C70" t="n">
        <v>0</v>
      </c>
      <c r="D70" t="n">
        <v>0</v>
      </c>
      <c r="E70" t="n">
        <v>0</v>
      </c>
      <c r="F70" t="n">
        <v>0</v>
      </c>
      <c r="H70" t="n">
        <v>0</v>
      </c>
      <c r="I70" t="n">
        <v>0</v>
      </c>
      <c r="J70" t="n">
        <v>0</v>
      </c>
      <c r="K70" t="n">
        <v>0</v>
      </c>
      <c r="L70" t="n">
        <v>0</v>
      </c>
      <c r="M70" t="n">
        <v>0</v>
      </c>
      <c r="N70" t="n">
        <v>0</v>
      </c>
    </row>
    <row r="71">
      <c r="A71" t="inlineStr">
        <is>
          <t>issues of the manor</t>
        </is>
      </c>
      <c r="B71" t="inlineStr">
        <is>
          <t>nothing from winter and summer pasturage in goldwellefurlong' because it is demised to william bourton' as made clear in the farms above.</t>
        </is>
      </c>
      <c r="C71" t="n">
        <v>0</v>
      </c>
      <c r="D71" t="n">
        <v>0</v>
      </c>
      <c r="E71" t="n">
        <v>0</v>
      </c>
      <c r="F71" t="n">
        <v>0</v>
      </c>
      <c r="H71" t="n">
        <v>0</v>
      </c>
      <c r="I71" t="n">
        <v>0</v>
      </c>
      <c r="J71" t="n">
        <v>0</v>
      </c>
      <c r="K71" t="n">
        <v>0</v>
      </c>
      <c r="L71" t="n">
        <v>0</v>
      </c>
      <c r="M71" t="n">
        <v>0</v>
      </c>
      <c r="N71" t="n">
        <v>0</v>
      </c>
    </row>
    <row r="72">
      <c r="A72" t="inlineStr">
        <is>
          <t>issues of the manor</t>
        </is>
      </c>
      <c r="B72" t="inlineStr">
        <is>
          <t>nothing of the 3 shilling for the winter pasturage in wynesterwell' because it is demised to john jakeman as made clear in the farms above.</t>
        </is>
      </c>
      <c r="C72" t="n">
        <v>0.15</v>
      </c>
      <c r="D72" t="n">
        <v>0</v>
      </c>
      <c r="E72" t="n">
        <v>3</v>
      </c>
      <c r="F72" t="n">
        <v>0</v>
      </c>
      <c r="H72" t="n">
        <v>0</v>
      </c>
      <c r="I72" t="n">
        <v>0</v>
      </c>
      <c r="J72" t="n">
        <v>0</v>
      </c>
      <c r="K72" t="n">
        <v>0</v>
      </c>
      <c r="L72" t="n">
        <v>0</v>
      </c>
      <c r="M72" t="n">
        <v>0</v>
      </c>
      <c r="N72" t="n">
        <v>0</v>
      </c>
    </row>
    <row r="73">
      <c r="A73" t="inlineStr">
        <is>
          <t>issues of the manor</t>
        </is>
      </c>
      <c r="B73" t="inlineStr">
        <is>
          <t>nothing from the pasturage in sweteneye because it pertains to the fanner.</t>
        </is>
      </c>
      <c r="C73" t="n">
        <v>0</v>
      </c>
      <c r="D73" t="n">
        <v>0</v>
      </c>
      <c r="E73" t="n">
        <v>0</v>
      </c>
      <c r="F73" t="n">
        <v>0</v>
      </c>
      <c r="H73" t="n">
        <v>0</v>
      </c>
      <c r="I73" t="n">
        <v>0</v>
      </c>
      <c r="J73" t="n">
        <v>0</v>
      </c>
      <c r="K73" t="n">
        <v>0</v>
      </c>
      <c r="L73" t="n">
        <v>0</v>
      </c>
      <c r="M73" t="n">
        <v>0</v>
      </c>
      <c r="N73" t="n">
        <v>0</v>
      </c>
    </row>
    <row r="74">
      <c r="A74" t="inlineStr">
        <is>
          <t>issues of the manor</t>
        </is>
      </c>
      <c r="B74" t="inlineStr">
        <is>
          <t>£1 from refusals to stack this year.</t>
        </is>
      </c>
      <c r="C74" t="n">
        <v>1</v>
      </c>
      <c r="D74" t="n">
        <v>1</v>
      </c>
      <c r="E74" t="n">
        <v>0</v>
      </c>
      <c r="F74" t="n">
        <v>0</v>
      </c>
      <c r="H74" t="n">
        <v>0</v>
      </c>
      <c r="I74" t="n">
        <v>0</v>
      </c>
      <c r="J74" t="n">
        <v>0</v>
      </c>
      <c r="K74" t="n">
        <v>0</v>
      </c>
      <c r="L74" t="n">
        <v>0</v>
      </c>
      <c r="M74" t="n">
        <v>0</v>
      </c>
      <c r="N74" t="n">
        <v>0</v>
      </c>
    </row>
    <row r="75">
      <c r="A75" t="inlineStr">
        <is>
          <t>issues of the manor</t>
        </is>
      </c>
      <c r="B75" t="inlineStr">
        <is>
          <t>nothing of the 13 shilling 4pence for the farm of the fishery in the cherwell because it pertains to the farmer.</t>
        </is>
      </c>
      <c r="C75" t="n">
        <v>0.67</v>
      </c>
      <c r="D75" t="n">
        <v>0</v>
      </c>
      <c r="E75" t="n">
        <v>13</v>
      </c>
      <c r="F75" t="n">
        <v>4</v>
      </c>
      <c r="H75" t="n">
        <v>0</v>
      </c>
      <c r="I75" t="n">
        <v>0</v>
      </c>
      <c r="J75" t="n">
        <v>0</v>
      </c>
      <c r="K75" t="n">
        <v>0</v>
      </c>
      <c r="L75" t="n">
        <v>0</v>
      </c>
      <c r="M75" t="n">
        <v>0</v>
      </c>
      <c r="N75" t="n">
        <v>0</v>
      </c>
    </row>
    <row r="76">
      <c r="A76" t="inlineStr">
        <is>
          <t>issues of the manor</t>
        </is>
      </c>
      <c r="B76" t="inlineStr">
        <is>
          <t>3 shilling from john eadburbury for oven-dues.</t>
        </is>
      </c>
      <c r="C76" t="n">
        <v>0.15</v>
      </c>
      <c r="D76" t="n">
        <v>0</v>
      </c>
      <c r="E76" t="n">
        <v>3</v>
      </c>
      <c r="F76" t="n">
        <v>0</v>
      </c>
      <c r="H76" t="n">
        <v>0</v>
      </c>
      <c r="I76" t="n">
        <v>0</v>
      </c>
      <c r="J76" t="n">
        <v>0</v>
      </c>
      <c r="K76" t="n">
        <v>0</v>
      </c>
      <c r="L76" t="n">
        <v>0</v>
      </c>
      <c r="M76" t="n">
        <v>0</v>
      </c>
      <c r="N76" t="n">
        <v>0</v>
      </c>
    </row>
    <row r="77">
      <c r="A77" t="inlineStr">
        <is>
          <t>issues of the manor</t>
        </is>
      </c>
      <c r="B77" t="inlineStr">
        <is>
          <t>nothing of the 13 shilling 4pence for the farm of the oven-dues which belonged to john benne because that rent is discharged by council of adam, recently lord bishop of winchester, as is made clear at the foot of the account for the sixth year of the same adam (1338-9).</t>
        </is>
      </c>
      <c r="C77" t="n">
        <v>0.67</v>
      </c>
      <c r="D77" t="n">
        <v>0</v>
      </c>
      <c r="E77" t="n">
        <v>13</v>
      </c>
      <c r="F77" t="n">
        <v>4</v>
      </c>
      <c r="H77" t="n">
        <v>0</v>
      </c>
      <c r="I77" t="n">
        <v>0</v>
      </c>
      <c r="J77" t="n">
        <v>0</v>
      </c>
      <c r="K77" t="n">
        <v>0</v>
      </c>
      <c r="L77" t="n">
        <v>0</v>
      </c>
      <c r="M77" t="n">
        <v>0</v>
      </c>
      <c r="N77" t="n">
        <v>0</v>
      </c>
    </row>
    <row r="78">
      <c r="A78" t="inlineStr">
        <is>
          <t>issues of the manor</t>
        </is>
      </c>
      <c r="B78" t="inlineStr">
        <is>
          <t>nothing from the herbage in mikelham and longmore because it is demised to the farmer.</t>
        </is>
      </c>
      <c r="C78" t="n">
        <v>0</v>
      </c>
      <c r="D78" t="n">
        <v>0</v>
      </c>
      <c r="E78" t="n">
        <v>0</v>
      </c>
      <c r="F78" t="n">
        <v>0</v>
      </c>
      <c r="H78" t="n">
        <v>0</v>
      </c>
      <c r="I78" t="n">
        <v>0</v>
      </c>
      <c r="J78" t="n">
        <v>0</v>
      </c>
      <c r="K78" t="n">
        <v>0</v>
      </c>
      <c r="L78" t="n">
        <v>0</v>
      </c>
      <c r="M78" t="n">
        <v>0</v>
      </c>
      <c r="N78" t="n">
        <v>0</v>
      </c>
    </row>
    <row r="79">
      <c r="A79" t="inlineStr">
        <is>
          <t>issues of the manor</t>
        </is>
      </c>
      <c r="B79" t="inlineStr">
        <is>
          <t>6 shilling from john eadburbury for release of his labour services.</t>
        </is>
      </c>
      <c r="C79" t="n">
        <v>0.3</v>
      </c>
      <c r="D79" t="n">
        <v>0</v>
      </c>
      <c r="E79" t="n">
        <v>6</v>
      </c>
      <c r="F79" t="n">
        <v>0</v>
      </c>
      <c r="H79" t="n">
        <v>0</v>
      </c>
      <c r="I79" t="n">
        <v>0</v>
      </c>
      <c r="J79" t="n">
        <v>0</v>
      </c>
      <c r="K79" t="n">
        <v>0</v>
      </c>
      <c r="L79" t="n">
        <v>0</v>
      </c>
      <c r="M79" t="n">
        <v>0</v>
      </c>
      <c r="N79" t="n">
        <v>0</v>
      </c>
    </row>
    <row r="80">
      <c r="A80" t="inlineStr">
        <is>
          <t>issues of the manor</t>
        </is>
      </c>
      <c r="B80" t="inlineStr">
        <is>
          <t>nothing from geese sold.</t>
        </is>
      </c>
      <c r="C80" t="n">
        <v>0</v>
      </c>
      <c r="D80" t="n">
        <v>0</v>
      </c>
      <c r="E80" t="n">
        <v>0</v>
      </c>
      <c r="F80" t="n">
        <v>0</v>
      </c>
      <c r="H80" t="n">
        <v>0</v>
      </c>
      <c r="I80" t="n">
        <v>0</v>
      </c>
      <c r="J80" t="n">
        <v>0</v>
      </c>
      <c r="K80" t="n">
        <v>0</v>
      </c>
      <c r="L80" t="n">
        <v>0</v>
      </c>
      <c r="M80" t="n">
        <v>0</v>
      </c>
      <c r="N80" t="n">
        <v>0</v>
      </c>
    </row>
    <row r="81">
      <c r="A81" t="inlineStr">
        <is>
          <t>issues of the manor</t>
        </is>
      </c>
      <c r="B81" t="inlineStr">
        <is>
          <t>1 shilling 6pence from 61 capons sold as made clear elsewhere, at 3pence each.</t>
        </is>
      </c>
      <c r="C81" t="n">
        <v>0.08</v>
      </c>
      <c r="D81" t="n">
        <v>0</v>
      </c>
      <c r="E81" t="n">
        <v>1</v>
      </c>
      <c r="F81" t="n">
        <v>6</v>
      </c>
      <c r="H81" t="n">
        <v>0</v>
      </c>
      <c r="I81" t="n">
        <v>0</v>
      </c>
      <c r="J81" t="n">
        <v>0</v>
      </c>
      <c r="K81" t="n">
        <v>0</v>
      </c>
      <c r="L81" t="n">
        <v>0</v>
      </c>
      <c r="M81" t="n">
        <v>0</v>
      </c>
      <c r="N81" t="n">
        <v>0</v>
      </c>
    </row>
    <row r="82">
      <c r="A82" t="inlineStr">
        <is>
          <t>issues of the manor</t>
        </is>
      </c>
      <c r="B82" t="inlineStr">
        <is>
          <t>1 shilling 8pence from 10 cocks and hens sold, at 2pence each.</t>
        </is>
      </c>
      <c r="C82" t="n">
        <v>0.08</v>
      </c>
      <c r="D82" t="n">
        <v>0</v>
      </c>
      <c r="E82" t="n">
        <v>1</v>
      </c>
      <c r="F82" t="n">
        <v>8</v>
      </c>
      <c r="H82" t="n">
        <v>0</v>
      </c>
      <c r="I82" t="n">
        <v>0</v>
      </c>
      <c r="J82" t="n">
        <v>0</v>
      </c>
      <c r="K82" t="n">
        <v>0</v>
      </c>
      <c r="L82" t="n">
        <v>0</v>
      </c>
      <c r="M82" t="n">
        <v>0</v>
      </c>
      <c r="N82" t="n">
        <v>0</v>
      </c>
    </row>
    <row r="83">
      <c r="A83" t="inlineStr">
        <is>
          <t>issues of the manor</t>
        </is>
      </c>
      <c r="B83" t="inlineStr">
        <is>
          <t>nothing from hens' eggs sold.</t>
        </is>
      </c>
      <c r="C83" t="n">
        <v>0</v>
      </c>
      <c r="D83" t="n">
        <v>0</v>
      </c>
      <c r="E83" t="n">
        <v>0</v>
      </c>
      <c r="F83" t="n">
        <v>0</v>
      </c>
      <c r="H83" t="n">
        <v>0</v>
      </c>
      <c r="I83" t="n">
        <v>0</v>
      </c>
      <c r="J83" t="n">
        <v>0</v>
      </c>
      <c r="K83" t="n">
        <v>0</v>
      </c>
      <c r="L83" t="n">
        <v>0</v>
      </c>
      <c r="M83" t="n">
        <v>0</v>
      </c>
      <c r="N83" t="n">
        <v>0</v>
      </c>
    </row>
    <row r="84">
      <c r="A84" t="inlineStr">
        <is>
          <t>issues of the manor</t>
        </is>
      </c>
      <c r="B84" t="inlineStr">
        <is>
          <t>nothing from the milking of cows or ewes.</t>
        </is>
      </c>
      <c r="C84" t="n">
        <v>0</v>
      </c>
      <c r="D84" t="n">
        <v>0</v>
      </c>
      <c r="E84" t="n">
        <v>0</v>
      </c>
      <c r="F84" t="n">
        <v>0</v>
      </c>
      <c r="H84" t="n">
        <v>0</v>
      </c>
      <c r="I84" t="n">
        <v>0</v>
      </c>
      <c r="J84" t="n">
        <v>0</v>
      </c>
      <c r="K84" t="n">
        <v>0</v>
      </c>
      <c r="L84" t="n">
        <v>0</v>
      </c>
      <c r="M84" t="n">
        <v>0</v>
      </c>
      <c r="N84" t="n">
        <v>0</v>
      </c>
    </row>
    <row r="85">
      <c r="A85" t="inlineStr">
        <is>
          <t>issues of the manor</t>
        </is>
      </c>
      <c r="B85" t="inlineStr">
        <is>
          <t>nothing for the farm of the lands and tenements in the lord's hands here because they are given separately below.</t>
        </is>
      </c>
      <c r="C85" t="n">
        <v>0</v>
      </c>
      <c r="D85" t="n">
        <v>0</v>
      </c>
      <c r="E85" t="n">
        <v>0</v>
      </c>
      <c r="F85" t="n">
        <v>0</v>
      </c>
      <c r="H85" t="n">
        <v>0</v>
      </c>
      <c r="I85" t="n">
        <v>0</v>
      </c>
      <c r="J85" t="n">
        <v>0</v>
      </c>
      <c r="K85" t="n">
        <v>0</v>
      </c>
      <c r="L85" t="n">
        <v>0</v>
      </c>
      <c r="M85" t="n">
        <v>0</v>
      </c>
      <c r="N85" t="n">
        <v>0</v>
      </c>
    </row>
    <row r="86">
      <c r="A86" t="inlineStr">
        <is>
          <t>issues of the manor</t>
        </is>
      </c>
      <c r="B86" t="inlineStr">
        <is>
          <t>nothing from wool sold this year.</t>
        </is>
      </c>
      <c r="C86" t="n">
        <v>0</v>
      </c>
      <c r="D86" t="n">
        <v>0</v>
      </c>
      <c r="E86" t="n">
        <v>0</v>
      </c>
      <c r="F86" t="n">
        <v>0</v>
      </c>
      <c r="H86" t="n">
        <v>0</v>
      </c>
      <c r="I86" t="n">
        <v>0</v>
      </c>
      <c r="J86" t="n">
        <v>0</v>
      </c>
      <c r="K86" t="n">
        <v>0</v>
      </c>
      <c r="L86" t="n">
        <v>0</v>
      </c>
      <c r="M86" t="n">
        <v>0</v>
      </c>
      <c r="N86" t="n">
        <v>0</v>
      </c>
    </row>
    <row r="87">
      <c r="A87" t="inlineStr">
        <is>
          <t>issues of the manor</t>
        </is>
      </c>
      <c r="B87" t="inlineStr">
        <is>
          <t>nothing from hay sold this year.</t>
        </is>
      </c>
      <c r="C87" t="n">
        <v>0</v>
      </c>
      <c r="D87" t="n">
        <v>0</v>
      </c>
      <c r="E87" t="n">
        <v>0</v>
      </c>
      <c r="F87" t="n">
        <v>0</v>
      </c>
      <c r="H87" t="n">
        <v>0</v>
      </c>
      <c r="I87" t="n">
        <v>0</v>
      </c>
      <c r="J87" t="n">
        <v>0</v>
      </c>
      <c r="K87" t="n">
        <v>0</v>
      </c>
      <c r="L87" t="n">
        <v>0</v>
      </c>
      <c r="M87" t="n">
        <v>0</v>
      </c>
      <c r="N87" t="n">
        <v>0</v>
      </c>
    </row>
    <row r="88">
      <c r="A88" t="inlineStr">
        <is>
          <t>issues of the manor</t>
        </is>
      </c>
      <c r="B88" t="inlineStr">
        <is>
          <t>1 shilling from 250 stone slates sold because unsuitable (inutil') for the use of the lord.</t>
        </is>
      </c>
      <c r="C88" t="n">
        <v>0.05</v>
      </c>
      <c r="D88" t="n">
        <v>0</v>
      </c>
      <c r="E88" t="n">
        <v>1</v>
      </c>
      <c r="F88" t="n">
        <v>0</v>
      </c>
      <c r="H88" t="n">
        <v>0</v>
      </c>
      <c r="I88" t="n">
        <v>0</v>
      </c>
      <c r="J88" t="n">
        <v>0</v>
      </c>
      <c r="K88" t="n">
        <v>0</v>
      </c>
      <c r="L88" t="n">
        <v>0</v>
      </c>
      <c r="M88" t="n">
        <v>0</v>
      </c>
      <c r="N88" t="n">
        <v>0</v>
      </c>
    </row>
    <row r="89">
      <c r="A89" t="inlineStr">
        <is>
          <t>issues of the manor</t>
        </is>
      </c>
      <c r="B89" t="inlineStr">
        <is>
          <t>3 shilling 4pence from 400 laths sold, at 10pence a 100.</t>
        </is>
      </c>
      <c r="C89" t="n">
        <v>0.17</v>
      </c>
      <c r="D89" t="n">
        <v>0</v>
      </c>
      <c r="E89" t="n">
        <v>3</v>
      </c>
      <c r="F89" t="n">
        <v>4</v>
      </c>
      <c r="H89" t="n">
        <v>0</v>
      </c>
      <c r="I89" t="n">
        <v>0</v>
      </c>
      <c r="J89" t="n">
        <v>0</v>
      </c>
      <c r="K89" t="n">
        <v>0</v>
      </c>
      <c r="L89" t="n">
        <v>0</v>
      </c>
      <c r="M89" t="n">
        <v>0</v>
      </c>
      <c r="N89" t="n">
        <v>0</v>
      </c>
    </row>
    <row r="90">
      <c r="A90" t="inlineStr">
        <is>
          <t>issues of the manor</t>
        </is>
      </c>
      <c r="B90" t="inlineStr">
        <is>
          <t>6pence from 6 worn out hurdles sold.</t>
        </is>
      </c>
      <c r="C90" t="n">
        <v>0.03</v>
      </c>
      <c r="D90" t="n">
        <v>0</v>
      </c>
      <c r="E90" t="n">
        <v>0</v>
      </c>
      <c r="F90" t="n">
        <v>6</v>
      </c>
      <c r="H90" t="n">
        <v>0</v>
      </c>
      <c r="I90" t="n">
        <v>0</v>
      </c>
      <c r="J90" t="n">
        <v>0</v>
      </c>
      <c r="K90" t="n">
        <v>0</v>
      </c>
      <c r="L90" t="n">
        <v>0</v>
      </c>
      <c r="M90" t="n">
        <v>0</v>
      </c>
      <c r="N90" t="n">
        <v>0</v>
      </c>
    </row>
    <row r="91">
      <c r="A91" t="inlineStr">
        <is>
          <t>issues of the manor</t>
        </is>
      </c>
      <c r="B91" t="inlineStr">
        <is>
          <t>total, £2 2 shilling 7.5pence.</t>
        </is>
      </c>
      <c r="C91" t="n">
        <v>2.13</v>
      </c>
      <c r="D91" t="n">
        <v>2</v>
      </c>
      <c r="E91" t="n">
        <v>2</v>
      </c>
      <c r="F91" t="n">
        <v>7.5</v>
      </c>
      <c r="H91" t="n">
        <v>0</v>
      </c>
      <c r="I91" t="n">
        <v>0</v>
      </c>
      <c r="J91" t="n">
        <v>0</v>
      </c>
      <c r="K91" t="n">
        <v>0</v>
      </c>
      <c r="L91" t="n">
        <v>0</v>
      </c>
      <c r="M91" t="n">
        <v>0</v>
      </c>
      <c r="N91" t="n">
        <v>0</v>
      </c>
    </row>
    <row r="92">
      <c r="A92" t="inlineStr">
        <is>
          <t>issues of the tenements in the lord's hands</t>
        </is>
      </c>
      <c r="B92" t="inlineStr">
        <is>
          <t>and for 10 shilling from richard atte mulle for the farm of 1 toft and 1 acreland formerly of richard bolt in the lord's hands.</t>
        </is>
      </c>
      <c r="C92" t="n">
        <v>0.5</v>
      </c>
      <c r="D92" t="n">
        <v>0</v>
      </c>
      <c r="E92" t="n">
        <v>10</v>
      </c>
      <c r="F92" t="n">
        <v>0</v>
      </c>
      <c r="H92" t="n">
        <v>0</v>
      </c>
      <c r="I92" t="n">
        <v>0</v>
      </c>
      <c r="J92" t="n">
        <v>0</v>
      </c>
      <c r="K92" t="n">
        <v>0</v>
      </c>
      <c r="L92" t="n">
        <v>0</v>
      </c>
      <c r="M92" t="n">
        <v>0</v>
      </c>
      <c r="N92" t="n">
        <v>0</v>
      </c>
    </row>
    <row r="93">
      <c r="A93" t="inlineStr">
        <is>
          <t>issues of the tenements in the lord's hands</t>
        </is>
      </c>
      <c r="B93" t="inlineStr">
        <is>
          <t>7 shilling 1pence from john jakeman for the farm for the year of 1 messuage and 1 acreland formerly of john stephen' and afterwards of mabel dawe in the lord's hands.</t>
        </is>
      </c>
      <c r="C93" t="n">
        <v>0.35</v>
      </c>
      <c r="D93" t="n">
        <v>0</v>
      </c>
      <c r="E93" t="n">
        <v>7</v>
      </c>
      <c r="F93" t="n">
        <v>1</v>
      </c>
      <c r="H93" t="n">
        <v>0</v>
      </c>
      <c r="I93" t="n">
        <v>0</v>
      </c>
      <c r="J93" t="n">
        <v>0</v>
      </c>
      <c r="K93" t="n">
        <v>0</v>
      </c>
      <c r="L93" t="n">
        <v>0</v>
      </c>
      <c r="M93" t="n">
        <v>0</v>
      </c>
      <c r="N93" t="n">
        <v>0</v>
      </c>
    </row>
    <row r="94">
      <c r="A94" t="inlineStr">
        <is>
          <t>issues of the tenements in the lord's hands</t>
        </is>
      </c>
      <c r="B94" t="inlineStr">
        <is>
          <t>10 shilling 8pence from william atte lee for the farm of 1 messuage and 1 acreland formerly of richard dolphin in the lord's hands.</t>
        </is>
      </c>
      <c r="C94" t="n">
        <v>0.53</v>
      </c>
      <c r="D94" t="n">
        <v>0</v>
      </c>
      <c r="E94" t="n">
        <v>10</v>
      </c>
      <c r="F94" t="n">
        <v>8</v>
      </c>
      <c r="H94" t="n">
        <v>0</v>
      </c>
      <c r="I94" t="n">
        <v>0</v>
      </c>
      <c r="J94" t="n">
        <v>0</v>
      </c>
      <c r="K94" t="n">
        <v>0</v>
      </c>
      <c r="L94" t="n">
        <v>0</v>
      </c>
      <c r="M94" t="n">
        <v>0</v>
      </c>
      <c r="N94" t="n">
        <v>0</v>
      </c>
    </row>
    <row r="95">
      <c r="A95" t="inlineStr">
        <is>
          <t>issues of the tenements in the lord's hands</t>
        </is>
      </c>
      <c r="B95" t="inlineStr">
        <is>
          <t>19 shilling 1pence from john andrew of bodicote for the farm of 1 messuage and 2 acrelands formerly of richard acreman and afterwards of alan acreman demised to the same at farm.</t>
        </is>
      </c>
      <c r="C95" t="n">
        <v>0.95</v>
      </c>
      <c r="D95" t="n">
        <v>0</v>
      </c>
      <c r="E95" t="n">
        <v>19</v>
      </c>
      <c r="F95" t="n">
        <v>1</v>
      </c>
      <c r="H95" t="n">
        <v>0</v>
      </c>
      <c r="I95" t="n">
        <v>0</v>
      </c>
      <c r="J95" t="n">
        <v>0</v>
      </c>
      <c r="K95" t="n">
        <v>0</v>
      </c>
      <c r="L95" t="n">
        <v>0</v>
      </c>
      <c r="M95" t="n">
        <v>0</v>
      </c>
      <c r="N95" t="n">
        <v>0</v>
      </c>
    </row>
    <row r="96">
      <c r="A96" t="inlineStr">
        <is>
          <t>issues of the tenements in the lord's hands</t>
        </is>
      </c>
      <c r="B96" t="inlineStr">
        <is>
          <t>12 shilling from richard atte mulle for the farm of 1 toft and 1 acreland formerly of john osebam' and afterwards of john dolphyn demised to the same.</t>
        </is>
      </c>
      <c r="C96" t="n">
        <v>0.6</v>
      </c>
      <c r="D96" t="n">
        <v>0</v>
      </c>
      <c r="E96" t="n">
        <v>12</v>
      </c>
      <c r="F96" t="n">
        <v>0</v>
      </c>
      <c r="H96" t="n">
        <v>0</v>
      </c>
      <c r="I96" t="n">
        <v>0</v>
      </c>
      <c r="J96" t="n">
        <v>0</v>
      </c>
      <c r="K96" t="n">
        <v>0</v>
      </c>
      <c r="L96" t="n">
        <v>0</v>
      </c>
      <c r="M96" t="n">
        <v>0</v>
      </c>
      <c r="N96" t="n">
        <v>0</v>
      </c>
    </row>
    <row r="97">
      <c r="A97" t="inlineStr">
        <is>
          <t>issues of the tenements in the lord's hands</t>
        </is>
      </c>
      <c r="B97" t="inlineStr">
        <is>
          <t>12 shilling 8pence from john stoketon' for the farm of 1 messuage and 1 acreland formerly of john buryman in the lord's hands.</t>
        </is>
      </c>
      <c r="C97" t="n">
        <v>0.63</v>
      </c>
      <c r="D97" t="n">
        <v>0</v>
      </c>
      <c r="E97" t="n">
        <v>12</v>
      </c>
      <c r="F97" t="n">
        <v>8</v>
      </c>
      <c r="H97" t="n">
        <v>0</v>
      </c>
      <c r="I97" t="n">
        <v>0</v>
      </c>
      <c r="J97" t="n">
        <v>0</v>
      </c>
      <c r="K97" t="n">
        <v>0</v>
      </c>
      <c r="L97" t="n">
        <v>0</v>
      </c>
      <c r="M97" t="n">
        <v>0</v>
      </c>
      <c r="N97" t="n">
        <v>0</v>
      </c>
    </row>
    <row r="98">
      <c r="A98" t="inlineStr">
        <is>
          <t>issues of the tenements in the lord's hands</t>
        </is>
      </c>
      <c r="B98" t="inlineStr">
        <is>
          <t>14 shilling from thomas lanure for 1 messuage and 1 acreland formerly of john geffrey and afterwards of richard smyth' in the lord's hands.</t>
        </is>
      </c>
      <c r="C98" t="n">
        <v>0.7</v>
      </c>
      <c r="D98" t="n">
        <v>0</v>
      </c>
      <c r="E98" t="n">
        <v>14</v>
      </c>
      <c r="F98" t="n">
        <v>0</v>
      </c>
      <c r="H98" t="n">
        <v>0</v>
      </c>
      <c r="I98" t="n">
        <v>0</v>
      </c>
      <c r="J98" t="n">
        <v>0</v>
      </c>
      <c r="K98" t="n">
        <v>0</v>
      </c>
      <c r="L98" t="n">
        <v>0</v>
      </c>
      <c r="M98" t="n">
        <v>0</v>
      </c>
      <c r="N98" t="n">
        <v>0</v>
      </c>
    </row>
    <row r="99">
      <c r="A99" t="inlineStr">
        <is>
          <t>cotlands</t>
        </is>
      </c>
      <c r="B99" t="inlineStr">
        <is>
          <t>and for 14 shilling from john knyght for the farm of 1 messuage and 1 cotland formerly of gilbert buryman and afterwards of william somer in the lord's hands.</t>
        </is>
      </c>
      <c r="C99" t="n">
        <v>0.7</v>
      </c>
      <c r="D99" t="n">
        <v>0</v>
      </c>
      <c r="E99" t="n">
        <v>14</v>
      </c>
      <c r="F99" t="n">
        <v>0</v>
      </c>
      <c r="H99" t="n">
        <v>0</v>
      </c>
      <c r="I99" t="n">
        <v>0</v>
      </c>
      <c r="J99" t="n">
        <v>0</v>
      </c>
      <c r="K99" t="n">
        <v>0</v>
      </c>
      <c r="L99" t="n">
        <v>0</v>
      </c>
      <c r="M99" t="n">
        <v>0</v>
      </c>
      <c r="N99" t="n">
        <v>0</v>
      </c>
    </row>
    <row r="100">
      <c r="A100" t="inlineStr">
        <is>
          <t>cotlands</t>
        </is>
      </c>
      <c r="B100" t="inlineStr">
        <is>
          <t>13 shilling 4pence from william rundell' for the farm of 1 messuage and 1 cotland formerly of richard janekyn and afterwards of william smyth' demised to the same at farm.</t>
        </is>
      </c>
      <c r="C100" t="n">
        <v>0.67</v>
      </c>
      <c r="D100" t="n">
        <v>0</v>
      </c>
      <c r="E100" t="n">
        <v>13</v>
      </c>
      <c r="F100" t="n">
        <v>4</v>
      </c>
      <c r="H100" t="n">
        <v>0</v>
      </c>
      <c r="I100" t="n">
        <v>0</v>
      </c>
      <c r="J100" t="n">
        <v>0</v>
      </c>
      <c r="K100" t="n">
        <v>0</v>
      </c>
      <c r="L100" t="n">
        <v>0</v>
      </c>
      <c r="M100" t="n">
        <v>0</v>
      </c>
      <c r="N100" t="n">
        <v>0</v>
      </c>
    </row>
    <row r="101">
      <c r="A101" t="inlineStr">
        <is>
          <t>cotlands</t>
        </is>
      </c>
      <c r="B101" t="inlineStr">
        <is>
          <t>12 shilling from john berewyk for the farm of 1 messuage and 1 cotland formerly of walter bolt and afterwards of thomas bolt demised to the same at farm.</t>
        </is>
      </c>
      <c r="C101" t="n">
        <v>0.6</v>
      </c>
      <c r="D101" t="n">
        <v>0</v>
      </c>
      <c r="E101" t="n">
        <v>12</v>
      </c>
      <c r="F101" t="n">
        <v>0</v>
      </c>
      <c r="H101" t="n">
        <v>0</v>
      </c>
      <c r="I101" t="n">
        <v>0</v>
      </c>
      <c r="J101" t="n">
        <v>0</v>
      </c>
      <c r="K101" t="n">
        <v>0</v>
      </c>
      <c r="L101" t="n">
        <v>0</v>
      </c>
      <c r="M101" t="n">
        <v>0</v>
      </c>
      <c r="N101" t="n">
        <v>0</v>
      </c>
    </row>
    <row r="102">
      <c r="A102" t="inlineStr">
        <is>
          <t>cotlands</t>
        </is>
      </c>
      <c r="B102" t="inlineStr">
        <is>
          <t>18 shilling from john yonge for the farm of 1 messuage and 1 cotland formerly of richard scryveyn and afterwards of richard andrew demised to the same at farm.</t>
        </is>
      </c>
      <c r="C102" t="n">
        <v>0.9</v>
      </c>
      <c r="D102" t="n">
        <v>0</v>
      </c>
      <c r="E102" t="n">
        <v>18</v>
      </c>
      <c r="F102" t="n">
        <v>0</v>
      </c>
      <c r="H102" t="n">
        <v>0</v>
      </c>
      <c r="I102" t="n">
        <v>0</v>
      </c>
      <c r="J102" t="n">
        <v>0</v>
      </c>
      <c r="K102" t="n">
        <v>0</v>
      </c>
      <c r="L102" t="n">
        <v>0</v>
      </c>
      <c r="M102" t="n">
        <v>0</v>
      </c>
      <c r="N102" t="n">
        <v>0</v>
      </c>
    </row>
    <row r="103">
      <c r="A103" t="inlineStr">
        <is>
          <t>cotlands</t>
        </is>
      </c>
      <c r="B103" t="inlineStr">
        <is>
          <t>12 shilling from richard clerk for the farm of 1 messuage and 1 cotland formerly of john gylot and william gylot demised to the same as above.</t>
        </is>
      </c>
      <c r="C103" t="n">
        <v>0.6</v>
      </c>
      <c r="D103" t="n">
        <v>0</v>
      </c>
      <c r="E103" t="n">
        <v>12</v>
      </c>
      <c r="F103" t="n">
        <v>0</v>
      </c>
      <c r="H103" t="n">
        <v>0</v>
      </c>
      <c r="I103" t="n">
        <v>0</v>
      </c>
      <c r="J103" t="n">
        <v>0</v>
      </c>
      <c r="K103" t="n">
        <v>0</v>
      </c>
      <c r="L103" t="n">
        <v>0</v>
      </c>
      <c r="M103" t="n">
        <v>0</v>
      </c>
      <c r="N103" t="n">
        <v>0</v>
      </c>
    </row>
    <row r="104">
      <c r="A104" t="inlineStr">
        <is>
          <t>cotlands</t>
        </is>
      </c>
      <c r="B104" t="inlineStr">
        <is>
          <t>10 shilling from henry gille for the farm of 1 messuage and 1 cotland formerly of alice atte halle and afterwards of thomas benne demised to the same as above.</t>
        </is>
      </c>
      <c r="C104" t="n">
        <v>0.5</v>
      </c>
      <c r="D104" t="n">
        <v>0</v>
      </c>
      <c r="E104" t="n">
        <v>10</v>
      </c>
      <c r="F104" t="n">
        <v>0</v>
      </c>
      <c r="H104" t="n">
        <v>0</v>
      </c>
      <c r="I104" t="n">
        <v>0</v>
      </c>
      <c r="J104" t="n">
        <v>0</v>
      </c>
      <c r="K104" t="n">
        <v>0</v>
      </c>
      <c r="L104" t="n">
        <v>0</v>
      </c>
      <c r="M104" t="n">
        <v>0</v>
      </c>
      <c r="N104" t="n">
        <v>0</v>
      </c>
    </row>
    <row r="105">
      <c r="A105" t="inlineStr">
        <is>
          <t>cotlands</t>
        </is>
      </c>
      <c r="B105" t="inlineStr">
        <is>
          <t>total, £8 3 shilling 10pence.</t>
        </is>
      </c>
      <c r="C105" t="n">
        <v>8.19</v>
      </c>
      <c r="D105" t="n">
        <v>8</v>
      </c>
      <c r="E105" t="n">
        <v>3</v>
      </c>
      <c r="F105" t="n">
        <v>10</v>
      </c>
      <c r="H105" t="n">
        <v>0</v>
      </c>
      <c r="I105" t="n">
        <v>0</v>
      </c>
      <c r="J105" t="n">
        <v>0</v>
      </c>
      <c r="K105" t="n">
        <v>0</v>
      </c>
      <c r="L105" t="n">
        <v>0</v>
      </c>
      <c r="M105" t="n">
        <v>0</v>
      </c>
      <c r="N105" t="n">
        <v>0</v>
      </c>
    </row>
    <row r="106">
      <c r="A106" t="inlineStr">
        <is>
          <t>sale of labour services</t>
        </is>
      </c>
      <c r="B106" t="inlineStr">
        <is>
          <t>and for £1 1 shilling for release of the labour services of 3.5 hides in bodicote this year, at 6 shillinga hide.</t>
        </is>
      </c>
      <c r="C106" t="n">
        <v>1.05</v>
      </c>
      <c r="D106" t="n">
        <v>1</v>
      </c>
      <c r="E106" t="n">
        <v>1</v>
      </c>
      <c r="F106" t="n">
        <v>0</v>
      </c>
      <c r="H106" t="n">
        <v>0</v>
      </c>
      <c r="I106" t="n">
        <v>0</v>
      </c>
      <c r="J106" t="n">
        <v>0</v>
      </c>
      <c r="K106" t="n">
        <v>0</v>
      </c>
      <c r="L106" t="n">
        <v>0</v>
      </c>
      <c r="M106" t="n">
        <v>0</v>
      </c>
      <c r="N106" t="n">
        <v>0</v>
      </c>
    </row>
    <row r="107">
      <c r="A107" t="inlineStr">
        <is>
          <t>sale of labour services</t>
        </is>
      </c>
      <c r="B107" t="inlineStr">
        <is>
          <t>£16 13 shilling for release of the labour services of 37 virgates for the year, at 9 shilling a virgate, and not more because of the 38 customary tenants to hold of the same tenure 1 is reeve and is quit by reason of his office.</t>
        </is>
      </c>
      <c r="C107" t="n">
        <v>16.65</v>
      </c>
      <c r="D107" t="n">
        <v>16</v>
      </c>
      <c r="E107" t="n">
        <v>13</v>
      </c>
      <c r="F107" t="n">
        <v>0</v>
      </c>
      <c r="H107" t="n">
        <v>0</v>
      </c>
      <c r="I107" t="n">
        <v>0</v>
      </c>
      <c r="J107" t="n">
        <v>0</v>
      </c>
      <c r="K107" t="n">
        <v>0</v>
      </c>
      <c r="L107" t="n">
        <v>0</v>
      </c>
      <c r="M107" t="n">
        <v>0</v>
      </c>
      <c r="N107" t="n">
        <v>0</v>
      </c>
    </row>
    <row r="108">
      <c r="A108" t="inlineStr">
        <is>
          <t>sale of labour services</t>
        </is>
      </c>
      <c r="B108" t="inlineStr">
        <is>
          <t>6 shilling 8pence from 40 cottars for 40 labour services making hay sold to the same this year, at 2pence a labour service.</t>
        </is>
      </c>
      <c r="C108" t="n">
        <v>0.33</v>
      </c>
      <c r="D108" t="n">
        <v>0</v>
      </c>
      <c r="E108" t="n">
        <v>6</v>
      </c>
      <c r="F108" t="n">
        <v>8</v>
      </c>
      <c r="H108" t="n">
        <v>0</v>
      </c>
      <c r="I108" t="n">
        <v>0</v>
      </c>
      <c r="J108" t="n">
        <v>0</v>
      </c>
      <c r="K108" t="n">
        <v>0</v>
      </c>
      <c r="L108" t="n">
        <v>0</v>
      </c>
      <c r="M108" t="n">
        <v>0</v>
      </c>
      <c r="N108" t="n">
        <v>0</v>
      </c>
    </row>
    <row r="109">
      <c r="A109" t="inlineStr">
        <is>
          <t>sale of labour services</t>
        </is>
      </c>
      <c r="B109" t="inlineStr">
        <is>
          <t>3 shilling 6pence from 21 cottars for 21 labour services weeding corn sold to the same this year, at 2pence a labour service.</t>
        </is>
      </c>
      <c r="C109" t="n">
        <v>0.17</v>
      </c>
      <c r="D109" t="n">
        <v>0</v>
      </c>
      <c r="E109" t="n">
        <v>3</v>
      </c>
      <c r="F109" t="n">
        <v>6</v>
      </c>
      <c r="H109" t="n">
        <v>0</v>
      </c>
      <c r="I109" t="n">
        <v>0</v>
      </c>
      <c r="J109" t="n">
        <v>0</v>
      </c>
      <c r="K109" t="n">
        <v>0</v>
      </c>
      <c r="L109" t="n">
        <v>0</v>
      </c>
      <c r="M109" t="n">
        <v>0</v>
      </c>
      <c r="N109" t="n">
        <v>0</v>
      </c>
    </row>
    <row r="110">
      <c r="A110" t="inlineStr">
        <is>
          <t>sale of labour services</t>
        </is>
      </c>
      <c r="B110" t="inlineStr">
        <is>
          <t>8 shilling from 16 cottars for 32 boon-works sold to the same this year, at 3pence a labour service.</t>
        </is>
      </c>
      <c r="C110" t="n">
        <v>0.41</v>
      </c>
      <c r="D110" t="n">
        <v>0</v>
      </c>
      <c r="E110" t="n">
        <v>8</v>
      </c>
      <c r="F110" t="n">
        <v>3</v>
      </c>
      <c r="H110" t="n">
        <v>0</v>
      </c>
      <c r="I110" t="n">
        <v>0</v>
      </c>
      <c r="J110" t="n">
        <v>0</v>
      </c>
      <c r="K110" t="n">
        <v>0</v>
      </c>
      <c r="L110" t="n">
        <v>0</v>
      </c>
      <c r="M110" t="n">
        <v>0</v>
      </c>
      <c r="N110" t="n">
        <v>0</v>
      </c>
    </row>
    <row r="111">
      <c r="A111" t="inlineStr">
        <is>
          <t>sale of labour services</t>
        </is>
      </c>
      <c r="B111" t="inlineStr">
        <is>
          <t>16 shilling for release of the labour services of 2 cotlands, at 8 shilling a cotland, and not more because of the 8 customary tenants to hold of the same tenure 6 are in the lord's hands, as made clear under the heading, issues of the tenements.</t>
        </is>
      </c>
      <c r="C111" t="n">
        <v>0.8</v>
      </c>
      <c r="D111" t="n">
        <v>0</v>
      </c>
      <c r="E111" t="n">
        <v>16</v>
      </c>
      <c r="F111" t="n">
        <v>0</v>
      </c>
      <c r="H111" t="n">
        <v>0</v>
      </c>
      <c r="I111" t="n">
        <v>0</v>
      </c>
      <c r="J111" t="n">
        <v>0</v>
      </c>
      <c r="K111" t="n">
        <v>0</v>
      </c>
      <c r="L111" t="n">
        <v>0</v>
      </c>
      <c r="M111" t="n">
        <v>0</v>
      </c>
      <c r="N111" t="n">
        <v>0</v>
      </c>
    </row>
    <row r="112">
      <c r="A112" t="inlineStr">
        <is>
          <t>sale of labour services</t>
        </is>
      </c>
      <c r="B112" t="inlineStr">
        <is>
          <t>total, £19 8 shilling 2pence.</t>
        </is>
      </c>
      <c r="C112" t="n">
        <v>19.41</v>
      </c>
      <c r="D112" t="n">
        <v>19</v>
      </c>
      <c r="E112" t="n">
        <v>8</v>
      </c>
      <c r="F112" t="n">
        <v>2</v>
      </c>
      <c r="H112" t="n">
        <v>0</v>
      </c>
      <c r="I112" t="n">
        <v>0</v>
      </c>
      <c r="J112" t="n">
        <v>0</v>
      </c>
      <c r="K112" t="n">
        <v>0</v>
      </c>
      <c r="L112" t="n">
        <v>0</v>
      </c>
      <c r="M112" t="n">
        <v>0</v>
      </c>
      <c r="N112" t="n">
        <v>0</v>
      </c>
    </row>
    <row r="113">
      <c r="A113" t="inlineStr">
        <is>
          <t>sale of corn</t>
        </is>
      </c>
      <c r="B113" t="inlineStr">
        <is>
          <t>nothing from the sale of corn for the reason made clear elsewhere.</t>
        </is>
      </c>
      <c r="C113" t="n">
        <v>0</v>
      </c>
      <c r="D113" t="n">
        <v>0</v>
      </c>
      <c r="E113" t="n">
        <v>0</v>
      </c>
      <c r="F113" t="n">
        <v>0</v>
      </c>
      <c r="H113" t="n">
        <v>0</v>
      </c>
      <c r="I113" t="n">
        <v>0</v>
      </c>
      <c r="J113" t="n">
        <v>0</v>
      </c>
      <c r="K113" t="n">
        <v>0</v>
      </c>
      <c r="L113" t="n">
        <v>0</v>
      </c>
      <c r="M113" t="n">
        <v>0</v>
      </c>
      <c r="N113" t="n">
        <v>0</v>
      </c>
    </row>
    <row r="114">
      <c r="A114" t="inlineStr">
        <is>
          <t>sale of stock</t>
        </is>
      </c>
      <c r="B114" t="inlineStr">
        <is>
          <t>and for 10 shilling 6pence from 1 horse sold as made clear elsewhere.</t>
        </is>
      </c>
      <c r="C114" t="n">
        <v>0.53</v>
      </c>
      <c r="D114" t="n">
        <v>0</v>
      </c>
      <c r="E114" t="n">
        <v>10</v>
      </c>
      <c r="F114" t="n">
        <v>6</v>
      </c>
      <c r="H114" t="n">
        <v>0</v>
      </c>
      <c r="I114" t="n">
        <v>0</v>
      </c>
      <c r="J114" t="n">
        <v>0</v>
      </c>
      <c r="K114" t="n">
        <v>0</v>
      </c>
      <c r="L114" t="n">
        <v>0</v>
      </c>
      <c r="M114" t="n">
        <v>0</v>
      </c>
      <c r="N114" t="n">
        <v>0</v>
      </c>
    </row>
    <row r="115">
      <c r="A115" t="inlineStr">
        <is>
          <t>sale of stock</t>
        </is>
      </c>
      <c r="B115" t="inlineStr">
        <is>
          <t>5 shilling from 1 colt sold as made clear elsewhere.</t>
        </is>
      </c>
      <c r="C115" t="n">
        <v>0.25</v>
      </c>
      <c r="D115" t="n">
        <v>0</v>
      </c>
      <c r="E115" t="n">
        <v>5</v>
      </c>
      <c r="F115" t="n">
        <v>0</v>
      </c>
      <c r="H115" t="n">
        <v>0</v>
      </c>
      <c r="I115" t="n">
        <v>0</v>
      </c>
      <c r="J115" t="n">
        <v>0</v>
      </c>
      <c r="K115" t="n">
        <v>0</v>
      </c>
      <c r="L115" t="n">
        <v>0</v>
      </c>
      <c r="M115" t="n">
        <v>0</v>
      </c>
      <c r="N115" t="n">
        <v>0</v>
      </c>
    </row>
    <row r="116">
      <c r="A116" t="inlineStr">
        <is>
          <t>sale of stock</t>
        </is>
      </c>
      <c r="B116" t="inlineStr">
        <is>
          <t>£1 10 shilling from 3 cows sold as made clear elsewhere.</t>
        </is>
      </c>
      <c r="C116" t="n">
        <v>1.5</v>
      </c>
      <c r="D116" t="n">
        <v>1</v>
      </c>
      <c r="E116" t="n">
        <v>10</v>
      </c>
      <c r="F116" t="n">
        <v>0</v>
      </c>
      <c r="H116" t="n">
        <v>0</v>
      </c>
      <c r="I116" t="n">
        <v>0</v>
      </c>
      <c r="J116" t="n">
        <v>0</v>
      </c>
      <c r="K116" t="n">
        <v>0</v>
      </c>
      <c r="L116" t="n">
        <v>0</v>
      </c>
      <c r="M116" t="n">
        <v>0</v>
      </c>
      <c r="N116" t="n">
        <v>0</v>
      </c>
    </row>
    <row r="117">
      <c r="A117" t="inlineStr">
        <is>
          <t>sale of stock</t>
        </is>
      </c>
      <c r="B117" t="inlineStr">
        <is>
          <t>8pence from 1 ewe sold as made clear elsewhere.</t>
        </is>
      </c>
      <c r="C117" t="n">
        <v>0.03</v>
      </c>
      <c r="D117" t="n">
        <v>0</v>
      </c>
      <c r="E117" t="n">
        <v>0</v>
      </c>
      <c r="F117" t="n">
        <v>8</v>
      </c>
      <c r="H117" t="n">
        <v>0</v>
      </c>
      <c r="I117" t="n">
        <v>0</v>
      </c>
      <c r="J117" t="n">
        <v>0</v>
      </c>
      <c r="K117" t="n">
        <v>0</v>
      </c>
      <c r="L117" t="n">
        <v>0</v>
      </c>
      <c r="M117" t="n">
        <v>0</v>
      </c>
      <c r="N117" t="n">
        <v>0</v>
      </c>
    </row>
    <row r="118">
      <c r="A118" t="inlineStr">
        <is>
          <t>sale of stock</t>
        </is>
      </c>
      <c r="B118" t="inlineStr">
        <is>
          <t>total, £2 6 shilling 2pence.</t>
        </is>
      </c>
      <c r="C118" t="n">
        <v>2.31</v>
      </c>
      <c r="D118" t="n">
        <v>2</v>
      </c>
      <c r="E118" t="n">
        <v>6</v>
      </c>
      <c r="F118" t="n">
        <v>2</v>
      </c>
      <c r="H118" t="n">
        <v>0</v>
      </c>
      <c r="I118" t="n">
        <v>0</v>
      </c>
      <c r="J118" t="n">
        <v>0</v>
      </c>
      <c r="K118" t="n">
        <v>0</v>
      </c>
      <c r="L118" t="n">
        <v>0</v>
      </c>
      <c r="M118" t="n">
        <v>0</v>
      </c>
      <c r="N118" t="n">
        <v>0</v>
      </c>
    </row>
    <row r="119">
      <c r="A119" t="inlineStr">
        <is>
          <t>entry and marriage fines</t>
        </is>
      </c>
      <c r="B119" t="inlineStr">
        <is>
          <t>and for £1 from fixed payments (certus visus) and tithingpenny at martinmas.</t>
        </is>
      </c>
      <c r="C119" t="n">
        <v>1</v>
      </c>
      <c r="D119" t="n">
        <v>1</v>
      </c>
      <c r="E119" t="n">
        <v>0</v>
      </c>
      <c r="F119" t="n">
        <v>0</v>
      </c>
      <c r="H119" t="n">
        <v>0</v>
      </c>
      <c r="I119" t="n">
        <v>0</v>
      </c>
      <c r="J119" t="n">
        <v>0</v>
      </c>
      <c r="K119" t="n">
        <v>0</v>
      </c>
      <c r="L119" t="n">
        <v>0</v>
      </c>
      <c r="M119" t="n">
        <v>0</v>
      </c>
      <c r="N119" t="n">
        <v>0</v>
      </c>
    </row>
    <row r="120">
      <c r="A120" t="inlineStr">
        <is>
          <t>entry and marriage fines</t>
        </is>
      </c>
      <c r="B120" t="inlineStr">
        <is>
          <t>£1 from fixed payments and tithingpenny at hockday.</t>
        </is>
      </c>
      <c r="C120" t="n">
        <v>1</v>
      </c>
      <c r="D120" t="n">
        <v>1</v>
      </c>
      <c r="E120" t="n">
        <v>0</v>
      </c>
      <c r="F120" t="n">
        <v>0</v>
      </c>
      <c r="H120" t="n">
        <v>0</v>
      </c>
      <c r="I120" t="n">
        <v>0</v>
      </c>
      <c r="J120" t="n">
        <v>0</v>
      </c>
      <c r="K120" t="n">
        <v>0</v>
      </c>
      <c r="L120" t="n">
        <v>0</v>
      </c>
      <c r="M120" t="n">
        <v>0</v>
      </c>
      <c r="N120" t="n">
        <v>0</v>
      </c>
    </row>
    <row r="121">
      <c r="A121" t="inlineStr">
        <is>
          <t>entry and marriage fines</t>
        </is>
      </c>
      <c r="B121" t="inlineStr">
        <is>
          <t>3 shilling 4pence from thomas mason' to have 3.5 acres of arable land and 1 acre of meadow in bodicote by surrender of richard umfray and alice his wife, and she is examined about this in court.</t>
        </is>
      </c>
      <c r="C121" t="n">
        <v>0.17</v>
      </c>
      <c r="D121" t="n">
        <v>0</v>
      </c>
      <c r="E121" t="n">
        <v>3</v>
      </c>
      <c r="F121" t="n">
        <v>4</v>
      </c>
      <c r="H121" t="n">
        <v>0</v>
      </c>
      <c r="I121" t="n">
        <v>0</v>
      </c>
      <c r="J121" t="n">
        <v>0</v>
      </c>
      <c r="K121" t="n">
        <v>0</v>
      </c>
      <c r="L121" t="n">
        <v>0</v>
      </c>
      <c r="M121" t="n">
        <v>0</v>
      </c>
      <c r="N121" t="n">
        <v>0</v>
      </c>
    </row>
    <row r="122">
      <c r="A122" t="inlineStr">
        <is>
          <t>entry and marriage fines</t>
        </is>
      </c>
      <c r="B122" t="inlineStr">
        <is>
          <t>£1 from robert clerk' to have 1 messuage with a curtilage and 1 cotland of villein land in adderbury which belonged to william gylot and which came into the lord's hands as his escheat because noone of the kin of the said william took steps to fine for the same although a proclamation was made according to the custom of the manor.</t>
        </is>
      </c>
      <c r="C122" t="n">
        <v>1</v>
      </c>
      <c r="D122" t="n">
        <v>1</v>
      </c>
      <c r="E122" t="n">
        <v>0</v>
      </c>
      <c r="F122" t="n">
        <v>0</v>
      </c>
      <c r="H122" t="n">
        <v>0</v>
      </c>
      <c r="I122" t="n">
        <v>0</v>
      </c>
      <c r="J122" t="n">
        <v>0</v>
      </c>
      <c r="K122" t="n">
        <v>0</v>
      </c>
      <c r="L122" t="n">
        <v>0</v>
      </c>
      <c r="M122" t="n">
        <v>0</v>
      </c>
      <c r="N122" t="n">
        <v>0</v>
      </c>
    </row>
    <row r="123">
      <c r="A123" t="inlineStr">
        <is>
          <t>entry and marriage fines</t>
        </is>
      </c>
      <c r="B123" t="inlineStr">
        <is>
          <t>£1 6 shilling 8pence from thomas ingram to have 1 messuage and 1 virgate of villein land in adderbury by surrender of richard asser, for which william, son and heir of the aforesaid richard, refused to make fine in full court and remised and released all his right and claim which he had or will be able to have in the same to the aforesaid thomas.</t>
        </is>
      </c>
      <c r="C123" t="n">
        <v>1.33</v>
      </c>
      <c r="D123" t="n">
        <v>1</v>
      </c>
      <c r="E123" t="n">
        <v>6</v>
      </c>
      <c r="F123" t="n">
        <v>8</v>
      </c>
      <c r="H123" t="n">
        <v>0</v>
      </c>
      <c r="I123" t="n">
        <v>0</v>
      </c>
      <c r="J123" t="n">
        <v>0</v>
      </c>
      <c r="K123" t="n">
        <v>0</v>
      </c>
      <c r="L123" t="n">
        <v>0</v>
      </c>
      <c r="M123" t="n">
        <v>0</v>
      </c>
      <c r="N123" t="n">
        <v>0</v>
      </c>
    </row>
    <row r="124">
      <c r="A124" t="inlineStr">
        <is>
          <t>entry and marriage fines</t>
        </is>
      </c>
      <c r="B124" t="inlineStr">
        <is>
          <t>£2 from richard atte mulle to have 1 toft called boltes and 1 other toft called osebarnes with 2 acrelands of villein land in adderbury which belonged to richard bolt and john osbarn and which came into the lord's hands as his escheat because noone of the kin of the said richard took steps to fine for the same although a proclamation was made according to the custom of the manor.</t>
        </is>
      </c>
      <c r="C124" t="n">
        <v>2</v>
      </c>
      <c r="D124" t="n">
        <v>2</v>
      </c>
      <c r="E124" t="n">
        <v>0</v>
      </c>
      <c r="F124" t="n">
        <v>0</v>
      </c>
      <c r="H124" t="n">
        <v>0</v>
      </c>
      <c r="I124" t="n">
        <v>0</v>
      </c>
      <c r="J124" t="n">
        <v>0</v>
      </c>
      <c r="K124" t="n">
        <v>0</v>
      </c>
      <c r="L124" t="n">
        <v>0</v>
      </c>
      <c r="M124" t="n">
        <v>0</v>
      </c>
      <c r="N124" t="n">
        <v>0</v>
      </c>
    </row>
    <row r="125">
      <c r="A125" t="inlineStr">
        <is>
          <t>entry and marriage fines</t>
        </is>
      </c>
      <c r="B125" t="inlineStr">
        <is>
          <t>6 shilling 8pence from amice, daughter of thomas hogg', for marrying herself outside.</t>
        </is>
      </c>
      <c r="C125" t="n">
        <v>0.33</v>
      </c>
      <c r="D125" t="n">
        <v>0</v>
      </c>
      <c r="E125" t="n">
        <v>6</v>
      </c>
      <c r="F125" t="n">
        <v>8</v>
      </c>
      <c r="H125" t="n">
        <v>0</v>
      </c>
      <c r="I125" t="n">
        <v>0</v>
      </c>
      <c r="J125" t="n">
        <v>0</v>
      </c>
      <c r="K125" t="n">
        <v>0</v>
      </c>
      <c r="L125" t="n">
        <v>0</v>
      </c>
      <c r="M125" t="n">
        <v>0</v>
      </c>
      <c r="N125" t="n">
        <v>0</v>
      </c>
    </row>
    <row r="126">
      <c r="A126" t="inlineStr">
        <is>
          <t>entry and marriage fines</t>
        </is>
      </c>
      <c r="B126" t="inlineStr">
        <is>
          <t>10 shilling from william, son of thomas benne, to have 1 messuage and .5 virgate of villein land in adderbury which belonged to the aforesaid thomas his father.</t>
        </is>
      </c>
      <c r="C126" t="n">
        <v>0.5</v>
      </c>
      <c r="D126" t="n">
        <v>0</v>
      </c>
      <c r="E126" t="n">
        <v>10</v>
      </c>
      <c r="F126" t="n">
        <v>0</v>
      </c>
      <c r="H126" t="n">
        <v>0</v>
      </c>
      <c r="I126" t="n">
        <v>0</v>
      </c>
      <c r="J126" t="n">
        <v>0</v>
      </c>
      <c r="K126" t="n">
        <v>0</v>
      </c>
      <c r="L126" t="n">
        <v>0</v>
      </c>
      <c r="M126" t="n">
        <v>0</v>
      </c>
      <c r="N126" t="n">
        <v>0</v>
      </c>
    </row>
    <row r="127">
      <c r="A127" t="inlineStr">
        <is>
          <t>entry and marriage fines</t>
        </is>
      </c>
      <c r="B127" t="inlineStr">
        <is>
          <t>£1 from william atte lee to have 1 messuage with a curtilage and 1 acreland of villein land in adderbury which belonged to richard dolphin and which came into the lord's hands as his escheat because noone of the kin of the said richard took steps to fine for the same although a proclamation was made according to the custom of the manor.</t>
        </is>
      </c>
      <c r="C127" t="n">
        <v>1</v>
      </c>
      <c r="D127" t="n">
        <v>1</v>
      </c>
      <c r="E127" t="n">
        <v>0</v>
      </c>
      <c r="F127" t="n">
        <v>0</v>
      </c>
      <c r="H127" t="n">
        <v>0</v>
      </c>
      <c r="I127" t="n">
        <v>0</v>
      </c>
      <c r="J127" t="n">
        <v>0</v>
      </c>
      <c r="K127" t="n">
        <v>0</v>
      </c>
      <c r="L127" t="n">
        <v>0</v>
      </c>
      <c r="M127" t="n">
        <v>0</v>
      </c>
      <c r="N127" t="n">
        <v>0</v>
      </c>
    </row>
    <row r="128">
      <c r="A128" t="inlineStr">
        <is>
          <t>entry and marriage fines</t>
        </is>
      </c>
      <c r="B128" t="inlineStr">
        <is>
          <t>£2 from simon holte to have 1 messuage 16 acres of land, 2 cottages, 9 acres of land and 1 acre of meadow, 1 messuage and 1 virgate of villein land and 1 water-mill in bodicote.</t>
        </is>
      </c>
      <c r="C128" t="n">
        <v>2</v>
      </c>
      <c r="D128" t="n">
        <v>2</v>
      </c>
      <c r="E128" t="n">
        <v>0</v>
      </c>
      <c r="F128" t="n">
        <v>0</v>
      </c>
      <c r="H128" t="n">
        <v>0</v>
      </c>
      <c r="I128" t="n">
        <v>0</v>
      </c>
      <c r="J128" t="n">
        <v>0</v>
      </c>
      <c r="K128" t="n">
        <v>0</v>
      </c>
      <c r="L128" t="n">
        <v>0</v>
      </c>
      <c r="M128" t="n">
        <v>0</v>
      </c>
      <c r="N128" t="n">
        <v>0</v>
      </c>
    </row>
    <row r="129">
      <c r="A129" t="inlineStr">
        <is>
          <t>entry and marriage fines</t>
        </is>
      </c>
      <c r="B129" t="inlineStr">
        <is>
          <t>£4 6 shilling 8pence from richard verdon' and alice his wife to have 1 messuage 36 acres of land and 7 acres of meadow in the meadow of bodicote together with common pasture for 3 cattle in the common pasture of bodicote and 5 cattle in the several pasture of the aforesaid vill by surrender of agnes hammeye.</t>
        </is>
      </c>
      <c r="C129" t="n">
        <v>4.33</v>
      </c>
      <c r="D129" t="n">
        <v>4</v>
      </c>
      <c r="E129" t="n">
        <v>6</v>
      </c>
      <c r="F129" t="n">
        <v>8</v>
      </c>
      <c r="H129" t="n">
        <v>0</v>
      </c>
      <c r="I129" t="n">
        <v>0</v>
      </c>
      <c r="J129" t="n">
        <v>0</v>
      </c>
      <c r="K129" t="n">
        <v>0</v>
      </c>
      <c r="L129" t="n">
        <v>0</v>
      </c>
      <c r="M129" t="n">
        <v>0</v>
      </c>
      <c r="N129" t="n">
        <v>0</v>
      </c>
    </row>
    <row r="130">
      <c r="A130" t="inlineStr">
        <is>
          <t>entry and marriage fines</t>
        </is>
      </c>
      <c r="B130" t="inlineStr">
        <is>
          <t>£3 6 shilling 8pence from john appuldor, of bodicote to have 1 messuage and 1 virgate of villein land in bodicote by surrender of adam chapeleyn.</t>
        </is>
      </c>
      <c r="C130" t="n">
        <v>3.33</v>
      </c>
      <c r="D130" t="n">
        <v>3</v>
      </c>
      <c r="E130" t="n">
        <v>6</v>
      </c>
      <c r="F130" t="n">
        <v>8</v>
      </c>
      <c r="H130" t="n">
        <v>0</v>
      </c>
      <c r="I130" t="n">
        <v>0</v>
      </c>
      <c r="J130" t="n">
        <v>0</v>
      </c>
      <c r="K130" t="n">
        <v>0</v>
      </c>
      <c r="L130" t="n">
        <v>0</v>
      </c>
      <c r="M130" t="n">
        <v>0</v>
      </c>
      <c r="N130" t="n">
        <v>0</v>
      </c>
    </row>
    <row r="131">
      <c r="A131" t="inlineStr">
        <is>
          <t>entry and marriage fines</t>
        </is>
      </c>
      <c r="B131" t="inlineStr">
        <is>
          <t>£1 from william verneye to have the reversion of the moiety of 1 messuage 2.5 virgates of land and 6 acres of meadow in bodicote, for which emma, who was wife of john whyte, had the estate for the term of her life.</t>
        </is>
      </c>
      <c r="C131" t="n">
        <v>1</v>
      </c>
      <c r="D131" t="n">
        <v>1</v>
      </c>
      <c r="E131" t="n">
        <v>0</v>
      </c>
      <c r="F131" t="n">
        <v>0</v>
      </c>
      <c r="H131" t="n">
        <v>0</v>
      </c>
      <c r="I131" t="n">
        <v>0</v>
      </c>
      <c r="J131" t="n">
        <v>0</v>
      </c>
      <c r="K131" t="n">
        <v>0</v>
      </c>
      <c r="L131" t="n">
        <v>0</v>
      </c>
      <c r="M131" t="n">
        <v>0</v>
      </c>
      <c r="N131" t="n">
        <v>0</v>
      </c>
    </row>
    <row r="132">
      <c r="A132" t="inlineStr">
        <is>
          <t>entry and marriage fines</t>
        </is>
      </c>
      <c r="B132" t="inlineStr">
        <is>
          <t>£1 from john white to have the reversion of the moiety of 1 messuage 2.5 virgates of land and 6 acres of meadow in bodicote by surrender of william verneye.</t>
        </is>
      </c>
      <c r="C132" t="n">
        <v>1</v>
      </c>
      <c r="D132" t="n">
        <v>1</v>
      </c>
      <c r="E132" t="n">
        <v>0</v>
      </c>
      <c r="F132" t="n">
        <v>0</v>
      </c>
      <c r="H132" t="n">
        <v>0</v>
      </c>
      <c r="I132" t="n">
        <v>0</v>
      </c>
      <c r="J132" t="n">
        <v>0</v>
      </c>
      <c r="K132" t="n">
        <v>0</v>
      </c>
      <c r="L132" t="n">
        <v>0</v>
      </c>
      <c r="M132" t="n">
        <v>0</v>
      </c>
      <c r="N132" t="n">
        <v>0</v>
      </c>
    </row>
    <row r="133">
      <c r="A133" t="inlineStr">
        <is>
          <t>entry and marriage fines</t>
        </is>
      </c>
      <c r="B133" t="inlineStr">
        <is>
          <t>2 shilling from william to have 1 toft with a croft and 2 acres of villein land in adderbury by 'surrender of john rundell' and agnes his wife, and she is examined about this in court.</t>
        </is>
      </c>
      <c r="C133" t="n">
        <v>0.1</v>
      </c>
      <c r="D133" t="n">
        <v>0</v>
      </c>
      <c r="E133" t="n">
        <v>2</v>
      </c>
      <c r="F133" t="n">
        <v>0</v>
      </c>
      <c r="H133" t="n">
        <v>0</v>
      </c>
      <c r="I133" t="n">
        <v>0</v>
      </c>
      <c r="J133" t="n">
        <v>0</v>
      </c>
      <c r="K133" t="n">
        <v>0</v>
      </c>
      <c r="L133" t="n">
        <v>0</v>
      </c>
      <c r="M133" t="n">
        <v>0</v>
      </c>
      <c r="N133" t="n">
        <v>0</v>
      </c>
    </row>
    <row r="134">
      <c r="A134" t="inlineStr">
        <is>
          <t>entry and marriage fines</t>
        </is>
      </c>
      <c r="B134" t="inlineStr">
        <is>
          <t>£3 6 shilling 8pence from john whityng to have 1 messuage and 1 virgate of villein land n adderbury which belonged to john dicon' and about which robert box and margery his wife are examined in full court, having remised and released all right and claim which they have or will be able to have in the same to the aforesaid john whytyng'.</t>
        </is>
      </c>
      <c r="C134" t="n">
        <v>3.33</v>
      </c>
      <c r="D134" t="n">
        <v>3</v>
      </c>
      <c r="E134" t="n">
        <v>6</v>
      </c>
      <c r="F134" t="n">
        <v>8</v>
      </c>
      <c r="H134" t="n">
        <v>0</v>
      </c>
      <c r="I134" t="n">
        <v>0</v>
      </c>
      <c r="J134" t="n">
        <v>0</v>
      </c>
      <c r="K134" t="n">
        <v>0</v>
      </c>
      <c r="L134" t="n">
        <v>0</v>
      </c>
      <c r="M134" t="n">
        <v>0</v>
      </c>
      <c r="N134" t="n">
        <v>0</v>
      </c>
    </row>
    <row r="135">
      <c r="A135" t="inlineStr">
        <is>
          <t>entry and marriage fines</t>
        </is>
      </c>
      <c r="B135" t="inlineStr">
        <is>
          <t>8pence from adam taillour to have 1 pig-sty of purpresture in adderbury by surrender of john coupere.</t>
        </is>
      </c>
      <c r="C135" t="n">
        <v>0.03</v>
      </c>
      <c r="D135" t="n">
        <v>0</v>
      </c>
      <c r="E135" t="n">
        <v>0</v>
      </c>
      <c r="F135" t="n">
        <v>8</v>
      </c>
      <c r="H135" t="n">
        <v>0</v>
      </c>
      <c r="I135" t="n">
        <v>0</v>
      </c>
      <c r="J135" t="n">
        <v>0</v>
      </c>
      <c r="K135" t="n">
        <v>0</v>
      </c>
      <c r="L135" t="n">
        <v>0</v>
      </c>
      <c r="M135" t="n">
        <v>0</v>
      </c>
      <c r="N135" t="n">
        <v>0</v>
      </c>
    </row>
    <row r="136">
      <c r="A136" t="inlineStr">
        <is>
          <t>entry and marriage fines</t>
        </is>
      </c>
      <c r="B136" t="inlineStr">
        <is>
          <t>6 shilling 8pence from emma atte mulle, otherwise known as emmeline, making fine with the lord to have licence to demise to richard atte mulle, her son, 1 messuage and 1 virgate of land, with 1 mill with its appurtenances, and 1 cottage called sybfordesplace in adderbury for the next 15 years.</t>
        </is>
      </c>
      <c r="C136" t="n">
        <v>0.33</v>
      </c>
      <c r="D136" t="n">
        <v>0</v>
      </c>
      <c r="E136" t="n">
        <v>6</v>
      </c>
      <c r="F136" t="n">
        <v>8</v>
      </c>
      <c r="H136" t="n">
        <v>0</v>
      </c>
      <c r="I136" t="n">
        <v>0</v>
      </c>
      <c r="J136" t="n">
        <v>0</v>
      </c>
      <c r="K136" t="n">
        <v>0</v>
      </c>
      <c r="L136" t="n">
        <v>0</v>
      </c>
      <c r="M136" t="n">
        <v>0</v>
      </c>
      <c r="N136" t="n">
        <v>0</v>
      </c>
    </row>
    <row r="137">
      <c r="A137" t="inlineStr">
        <is>
          <t>entry and marriage fines</t>
        </is>
      </c>
      <c r="B137" t="inlineStr">
        <is>
          <t>total, £24 16 shilling.</t>
        </is>
      </c>
      <c r="C137" t="n">
        <v>24.8</v>
      </c>
      <c r="D137" t="n">
        <v>24</v>
      </c>
      <c r="E137" t="n">
        <v>16</v>
      </c>
      <c r="F137" t="n">
        <v>0</v>
      </c>
      <c r="H137" t="n">
        <v>0</v>
      </c>
      <c r="I137" t="n">
        <v>0</v>
      </c>
      <c r="J137" t="n">
        <v>0</v>
      </c>
      <c r="K137" t="n">
        <v>0</v>
      </c>
      <c r="L137" t="n">
        <v>0</v>
      </c>
      <c r="M137" t="n">
        <v>0</v>
      </c>
      <c r="N137" t="n">
        <v>0</v>
      </c>
    </row>
    <row r="138">
      <c r="A138" t="inlineStr">
        <is>
          <t>perquisites</t>
        </is>
      </c>
      <c r="B138" t="inlineStr">
        <is>
          <t>and for 2 shilling 5pence from the perquisites of the tourn of martinmas (11 november).</t>
        </is>
      </c>
      <c r="C138" t="n">
        <v>0.12</v>
      </c>
      <c r="D138" t="n">
        <v>0</v>
      </c>
      <c r="E138" t="n">
        <v>2</v>
      </c>
      <c r="F138" t="n">
        <v>5</v>
      </c>
      <c r="H138" t="n">
        <v>0</v>
      </c>
      <c r="I138" t="n">
        <v>0</v>
      </c>
      <c r="J138" t="n">
        <v>0</v>
      </c>
      <c r="K138" t="n">
        <v>0</v>
      </c>
      <c r="L138" t="n">
        <v>0</v>
      </c>
      <c r="M138" t="n">
        <v>0</v>
      </c>
      <c r="N138" t="n">
        <v>0</v>
      </c>
    </row>
    <row r="139">
      <c r="A139" t="inlineStr">
        <is>
          <t>perquisites</t>
        </is>
      </c>
      <c r="B139" t="inlineStr">
        <is>
          <t>14 shilling 4pence from the perquisites of the courts held by the bailiff between the 2 tourns.</t>
        </is>
      </c>
      <c r="C139" t="n">
        <v>0.72</v>
      </c>
      <c r="D139" t="n">
        <v>0</v>
      </c>
      <c r="E139" t="n">
        <v>14</v>
      </c>
      <c r="F139" t="n">
        <v>4</v>
      </c>
      <c r="H139" t="n">
        <v>0</v>
      </c>
      <c r="I139" t="n">
        <v>0</v>
      </c>
      <c r="J139" t="n">
        <v>0</v>
      </c>
      <c r="K139" t="n">
        <v>0</v>
      </c>
      <c r="L139" t="n">
        <v>0</v>
      </c>
      <c r="M139" t="n">
        <v>0</v>
      </c>
      <c r="N139" t="n">
        <v>0</v>
      </c>
    </row>
    <row r="140">
      <c r="A140" t="inlineStr">
        <is>
          <t>perquisites</t>
        </is>
      </c>
      <c r="B140" t="inlineStr">
        <is>
          <t>12 shilling 2pence from the perquisites of the tourn of hockday (1 april).</t>
        </is>
      </c>
      <c r="C140" t="n">
        <v>0.61</v>
      </c>
      <c r="D140" t="n">
        <v>0</v>
      </c>
      <c r="E140" t="n">
        <v>12</v>
      </c>
      <c r="F140" t="n">
        <v>2</v>
      </c>
      <c r="H140" t="n">
        <v>0</v>
      </c>
      <c r="I140" t="n">
        <v>0</v>
      </c>
      <c r="J140" t="n">
        <v>0</v>
      </c>
      <c r="K140" t="n">
        <v>0</v>
      </c>
      <c r="L140" t="n">
        <v>0</v>
      </c>
      <c r="M140" t="n">
        <v>0</v>
      </c>
      <c r="N140" t="n">
        <v>0</v>
      </c>
    </row>
    <row r="141">
      <c r="A141" t="inlineStr">
        <is>
          <t>perquisites</t>
        </is>
      </c>
      <c r="B141" t="inlineStr">
        <is>
          <t>8 shilling 1pence from the perquisites of the courts held by the bailiff after the said tourn of hockday.</t>
        </is>
      </c>
      <c r="C141" t="n">
        <v>0.4</v>
      </c>
      <c r="D141" t="n">
        <v>0</v>
      </c>
      <c r="E141" t="n">
        <v>8</v>
      </c>
      <c r="F141" t="n">
        <v>1</v>
      </c>
      <c r="H141" t="n">
        <v>0</v>
      </c>
      <c r="I141" t="n">
        <v>0</v>
      </c>
      <c r="J141" t="n">
        <v>0</v>
      </c>
      <c r="K141" t="n">
        <v>0</v>
      </c>
      <c r="L141" t="n">
        <v>0</v>
      </c>
      <c r="M141" t="n">
        <v>0</v>
      </c>
      <c r="N141" t="n">
        <v>0</v>
      </c>
    </row>
    <row r="142">
      <c r="A142" t="inlineStr">
        <is>
          <t>perquisites</t>
        </is>
      </c>
      <c r="B142" t="inlineStr">
        <is>
          <t>total, £1 17 shilling.</t>
        </is>
      </c>
      <c r="C142" t="n">
        <v>1.85</v>
      </c>
      <c r="D142" t="n">
        <v>1</v>
      </c>
      <c r="E142" t="n">
        <v>17</v>
      </c>
      <c r="F142" t="n">
        <v>0</v>
      </c>
      <c r="H142" t="n">
        <v>0</v>
      </c>
      <c r="I142" t="n">
        <v>0</v>
      </c>
      <c r="J142" t="n">
        <v>0</v>
      </c>
      <c r="K142" t="n">
        <v>0</v>
      </c>
      <c r="L142" t="n">
        <v>0</v>
      </c>
      <c r="M142" t="n">
        <v>0</v>
      </c>
      <c r="N142" t="n">
        <v>0</v>
      </c>
    </row>
    <row r="143">
      <c r="A143" t="inlineStr">
        <is>
          <t>forfeited chattels</t>
        </is>
      </c>
      <c r="B143" t="inlineStr">
        <is>
          <t>and for 3 shilling from the chattels of a waif as made clear at the tourn of hockday.</t>
        </is>
      </c>
      <c r="C143" t="n">
        <v>0.15</v>
      </c>
      <c r="D143" t="n">
        <v>0</v>
      </c>
      <c r="E143" t="n">
        <v>3</v>
      </c>
      <c r="F143" t="n">
        <v>0</v>
      </c>
      <c r="H143" t="n">
        <v>0</v>
      </c>
      <c r="I143" t="n">
        <v>0</v>
      </c>
      <c r="J143" t="n">
        <v>0</v>
      </c>
      <c r="K143" t="n">
        <v>0</v>
      </c>
      <c r="L143" t="n">
        <v>0</v>
      </c>
      <c r="M143" t="n">
        <v>0</v>
      </c>
      <c r="N143" t="n">
        <v>0</v>
      </c>
    </row>
    <row r="144">
      <c r="A144" t="inlineStr">
        <is>
          <t>forfeited chattels</t>
        </is>
      </c>
      <c r="B144" t="inlineStr">
        <is>
          <t>total, 3 shilling.</t>
        </is>
      </c>
      <c r="C144" t="n">
        <v>0.15</v>
      </c>
      <c r="D144" t="n">
        <v>0</v>
      </c>
      <c r="E144" t="n">
        <v>3</v>
      </c>
      <c r="F144" t="n">
        <v>0</v>
      </c>
      <c r="H144" t="n">
        <v>0</v>
      </c>
      <c r="I144" t="n">
        <v>0</v>
      </c>
      <c r="J144" t="n">
        <v>0</v>
      </c>
      <c r="K144" t="n">
        <v>0</v>
      </c>
      <c r="L144" t="n">
        <v>0</v>
      </c>
      <c r="M144" t="n">
        <v>0</v>
      </c>
      <c r="N144" t="n">
        <v>0</v>
      </c>
    </row>
    <row r="145">
      <c r="A145" t="inlineStr">
        <is>
          <t>farm of the demesne land</t>
        </is>
      </c>
      <c r="B145" t="inlineStr">
        <is>
          <t>and for £15 16 shilling for the farm of the demesne land demised to john eadburbury for 12 years, this year being the fifth.</t>
        </is>
      </c>
      <c r="C145" t="n">
        <v>15.8</v>
      </c>
      <c r="D145" t="n">
        <v>15</v>
      </c>
      <c r="E145" t="n">
        <v>16</v>
      </c>
      <c r="F145" t="n">
        <v>0</v>
      </c>
      <c r="H145" t="n">
        <v>0</v>
      </c>
      <c r="I145" t="n">
        <v>0</v>
      </c>
      <c r="J145" t="n">
        <v>0</v>
      </c>
      <c r="K145" t="n">
        <v>0</v>
      </c>
      <c r="L145" t="n">
        <v>0</v>
      </c>
      <c r="M145" t="n">
        <v>0</v>
      </c>
      <c r="N145" t="n">
        <v>0</v>
      </c>
    </row>
    <row r="146">
      <c r="A146" t="inlineStr">
        <is>
          <t>farm of the demesne land</t>
        </is>
      </c>
      <c r="B146" t="inlineStr">
        <is>
          <t>total, £15 16 shilling.</t>
        </is>
      </c>
      <c r="C146" t="n">
        <v>15.8</v>
      </c>
      <c r="D146" t="n">
        <v>15</v>
      </c>
      <c r="E146" t="n">
        <v>16</v>
      </c>
      <c r="F146" t="n">
        <v>0</v>
      </c>
      <c r="H146" t="n">
        <v>0</v>
      </c>
      <c r="I146" t="n">
        <v>0</v>
      </c>
      <c r="J146" t="n">
        <v>0</v>
      </c>
      <c r="K146" t="n">
        <v>0</v>
      </c>
      <c r="L146" t="n">
        <v>0</v>
      </c>
      <c r="M146" t="n">
        <v>0</v>
      </c>
      <c r="N146" t="n">
        <v>0</v>
      </c>
    </row>
    <row r="147">
      <c r="A147" t="inlineStr">
        <is>
          <t>total of all receipts</t>
        </is>
      </c>
      <c r="B147" t="inlineStr">
        <is>
          <t>total of all receipts, £981 10 shilling 6pence.</t>
        </is>
      </c>
      <c r="C147" t="n">
        <v>981.52</v>
      </c>
      <c r="D147" t="n">
        <v>981</v>
      </c>
      <c r="E147" t="n">
        <v>10</v>
      </c>
      <c r="F147" t="n">
        <v>6</v>
      </c>
      <c r="H147" t="n">
        <v>0</v>
      </c>
      <c r="I147" t="n">
        <v>0</v>
      </c>
      <c r="J147" t="n">
        <v>0</v>
      </c>
      <c r="K147" t="n">
        <v>0</v>
      </c>
      <c r="L147" t="n">
        <v>0</v>
      </c>
      <c r="M147" t="n">
        <v>0</v>
      </c>
      <c r="N147" t="n">
        <v>0</v>
      </c>
    </row>
    <row r="148">
      <c r="A148" t="inlineStr">
        <is>
          <t>cost of buildings</t>
        </is>
      </c>
      <c r="B148" t="inlineStr">
        <is>
          <t>in 6,200 lath-nails bought for mending and making the barn, the hall and half of the kitchen 9 shilling 4.5pence, at 1 shilling 6pence a 1,000..</t>
        </is>
      </c>
      <c r="C148" t="n">
        <v>0.47</v>
      </c>
      <c r="D148" t="n">
        <v>0</v>
      </c>
      <c r="E148" t="n">
        <v>9</v>
      </c>
      <c r="F148" t="n">
        <v>4.5</v>
      </c>
      <c r="H148" t="n">
        <v>0</v>
      </c>
      <c r="I148" t="n">
        <v>0</v>
      </c>
      <c r="J148" t="n">
        <v>0</v>
      </c>
      <c r="K148" t="n">
        <v>0</v>
      </c>
      <c r="L148" t="n">
        <v>0</v>
      </c>
      <c r="M148" t="n">
        <v>0</v>
      </c>
      <c r="N148" t="n">
        <v>0</v>
      </c>
    </row>
    <row r="149">
      <c r="A149" t="inlineStr">
        <is>
          <t>cost of buildings</t>
        </is>
      </c>
      <c r="B149" t="inlineStr">
        <is>
          <t>board-nails and clout-nails bought for the same 1 shilling 4pence.</t>
        </is>
      </c>
      <c r="C149" t="n">
        <v>0.07000000000000001</v>
      </c>
      <c r="D149" t="n">
        <v>0</v>
      </c>
      <c r="E149" t="n">
        <v>1</v>
      </c>
      <c r="F149" t="n">
        <v>4</v>
      </c>
      <c r="H149" t="n">
        <v>0</v>
      </c>
      <c r="I149" t="n">
        <v>0</v>
      </c>
      <c r="J149" t="n">
        <v>0</v>
      </c>
      <c r="K149" t="n">
        <v>0</v>
      </c>
      <c r="L149" t="n">
        <v>0</v>
      </c>
      <c r="M149" t="n">
        <v>0</v>
      </c>
      <c r="N149" t="n">
        <v>0</v>
      </c>
    </row>
    <row r="150">
      <c r="A150" t="inlineStr">
        <is>
          <t>cost of buildings</t>
        </is>
      </c>
      <c r="B150" t="inlineStr">
        <is>
          <t>4 quarters 4 bushels of limestone bought at walton' 5 shilling 3pence, at 1 shilling 2pence a quarters.</t>
        </is>
      </c>
      <c r="C150" t="n">
        <v>0.26</v>
      </c>
      <c r="D150" t="n">
        <v>0</v>
      </c>
      <c r="E150" t="n">
        <v>5</v>
      </c>
      <c r="F150" t="n">
        <v>3</v>
      </c>
      <c r="H150" t="n">
        <v>4</v>
      </c>
      <c r="I150" t="n">
        <v>4</v>
      </c>
      <c r="J150" t="n">
        <v>4.5</v>
      </c>
      <c r="K150" t="n">
        <v>4.5</v>
      </c>
      <c r="L150" t="n">
        <v>0</v>
      </c>
      <c r="M150" t="n">
        <v>4</v>
      </c>
      <c r="N150" t="n">
        <v>4</v>
      </c>
      <c r="O150" t="n">
        <v>1</v>
      </c>
      <c r="P150" t="n">
        <v>2</v>
      </c>
    </row>
    <row r="151">
      <c r="A151" t="inlineStr">
        <is>
          <t>cost of buildings</t>
        </is>
      </c>
      <c r="B151" t="inlineStr">
        <is>
          <t>carrying the same 4pence.</t>
        </is>
      </c>
      <c r="C151" t="n">
        <v>0.02</v>
      </c>
      <c r="D151" t="n">
        <v>0</v>
      </c>
      <c r="E151" t="n">
        <v>0</v>
      </c>
      <c r="F151" t="n">
        <v>4</v>
      </c>
      <c r="H151" t="n">
        <v>0</v>
      </c>
      <c r="I151" t="n">
        <v>0</v>
      </c>
      <c r="J151" t="n">
        <v>0</v>
      </c>
      <c r="K151" t="n">
        <v>0</v>
      </c>
      <c r="L151" t="n">
        <v>0</v>
      </c>
      <c r="M151" t="n">
        <v>0</v>
      </c>
      <c r="N151" t="n">
        <v>0</v>
      </c>
    </row>
    <row r="152">
      <c r="A152" t="inlineStr">
        <is>
          <t>cost of buildings</t>
        </is>
      </c>
      <c r="B152" t="inlineStr">
        <is>
          <t>8 quarters of limestone bought at witney 10 shilling 4pence, at 1 shilling 31 pence a quarters.</t>
        </is>
      </c>
      <c r="C152" t="n">
        <v>0.52</v>
      </c>
      <c r="D152" t="n">
        <v>0</v>
      </c>
      <c r="E152" t="n">
        <v>10</v>
      </c>
      <c r="F152" t="n">
        <v>4</v>
      </c>
      <c r="H152" t="n">
        <v>8</v>
      </c>
      <c r="I152" t="n">
        <v>0</v>
      </c>
      <c r="J152" t="n">
        <v>8</v>
      </c>
      <c r="K152" t="n">
        <v>8</v>
      </c>
      <c r="L152" t="n">
        <v>0</v>
      </c>
      <c r="M152" t="n">
        <v>8</v>
      </c>
      <c r="N152" t="n">
        <v>0</v>
      </c>
      <c r="O152" t="n">
        <v>1</v>
      </c>
      <c r="P152" t="n">
        <v>31</v>
      </c>
    </row>
    <row r="153">
      <c r="A153" t="inlineStr">
        <is>
          <t>cost of buildings</t>
        </is>
      </c>
      <c r="B153" t="inlineStr">
        <is>
          <t>carrying the same from witney to adderbury 3 shilling 8pence.</t>
        </is>
      </c>
      <c r="C153" t="n">
        <v>0.18</v>
      </c>
      <c r="D153" t="n">
        <v>0</v>
      </c>
      <c r="E153" t="n">
        <v>3</v>
      </c>
      <c r="F153" t="n">
        <v>8</v>
      </c>
      <c r="H153" t="n">
        <v>0</v>
      </c>
      <c r="I153" t="n">
        <v>0</v>
      </c>
      <c r="J153" t="n">
        <v>0</v>
      </c>
      <c r="K153" t="n">
        <v>0</v>
      </c>
      <c r="L153" t="n">
        <v>0</v>
      </c>
      <c r="M153" t="n">
        <v>0</v>
      </c>
      <c r="N153" t="n">
        <v>0</v>
      </c>
    </row>
    <row r="154">
      <c r="A154" t="inlineStr">
        <is>
          <t>cost of buildings</t>
        </is>
      </c>
      <c r="B154" t="inlineStr">
        <is>
          <t>1,500 stone slates bought 6 shilling, at 4 shilling a 1,000..</t>
        </is>
      </c>
      <c r="C154" t="n">
        <v>0.3</v>
      </c>
      <c r="D154" t="n">
        <v>0</v>
      </c>
      <c r="E154" t="n">
        <v>6</v>
      </c>
      <c r="F154" t="n">
        <v>0</v>
      </c>
      <c r="H154" t="n">
        <v>0</v>
      </c>
      <c r="I154" t="n">
        <v>0</v>
      </c>
      <c r="J154" t="n">
        <v>0</v>
      </c>
      <c r="K154" t="n">
        <v>0</v>
      </c>
      <c r="L154" t="n">
        <v>0</v>
      </c>
      <c r="M154" t="n">
        <v>0</v>
      </c>
      <c r="N154" t="n">
        <v>0</v>
      </c>
    </row>
    <row r="155">
      <c r="A155" t="inlineStr">
        <is>
          <t>cost of buildings</t>
        </is>
      </c>
      <c r="B155" t="inlineStr">
        <is>
          <t>500 eaves-stones bought 2 shilling 6pence, at 6pence a 100..</t>
        </is>
      </c>
      <c r="C155" t="n">
        <v>0.12</v>
      </c>
      <c r="D155" t="n">
        <v>0</v>
      </c>
      <c r="E155" t="n">
        <v>2</v>
      </c>
      <c r="F155" t="n">
        <v>6</v>
      </c>
      <c r="H155" t="n">
        <v>0</v>
      </c>
      <c r="I155" t="n">
        <v>0</v>
      </c>
      <c r="J155" t="n">
        <v>0</v>
      </c>
      <c r="K155" t="n">
        <v>0</v>
      </c>
      <c r="L155" t="n">
        <v>0</v>
      </c>
      <c r="M155" t="n">
        <v>0</v>
      </c>
      <c r="N155" t="n">
        <v>0</v>
      </c>
    </row>
    <row r="156">
      <c r="A156" t="inlineStr">
        <is>
          <t>cost of buildings</t>
        </is>
      </c>
      <c r="B156" t="inlineStr">
        <is>
          <t>6,000 pins bought 2 shilling, at 4pence a 1,000..</t>
        </is>
      </c>
      <c r="C156" t="n">
        <v>0.12</v>
      </c>
      <c r="D156" t="n">
        <v>0</v>
      </c>
      <c r="E156" t="n">
        <v>2</v>
      </c>
      <c r="F156" t="n">
        <v>4</v>
      </c>
      <c r="H156" t="n">
        <v>0</v>
      </c>
      <c r="I156" t="n">
        <v>0</v>
      </c>
      <c r="J156" t="n">
        <v>0</v>
      </c>
      <c r="K156" t="n">
        <v>0</v>
      </c>
      <c r="L156" t="n">
        <v>0</v>
      </c>
      <c r="M156" t="n">
        <v>0</v>
      </c>
      <c r="N156" t="n">
        <v>0</v>
      </c>
    </row>
    <row r="157">
      <c r="A157" t="inlineStr">
        <is>
          <t>cost of buildings</t>
        </is>
      </c>
      <c r="B157" t="inlineStr">
        <is>
          <t>50 ridge-tiles bought 6 shilling 3pence, at 1.5pence each.</t>
        </is>
      </c>
      <c r="C157" t="n">
        <v>0.31</v>
      </c>
      <c r="D157" t="n">
        <v>0</v>
      </c>
      <c r="E157" t="n">
        <v>6</v>
      </c>
      <c r="F157" t="n">
        <v>3</v>
      </c>
      <c r="H157" t="n">
        <v>0</v>
      </c>
      <c r="I157" t="n">
        <v>0</v>
      </c>
      <c r="J157" t="n">
        <v>0</v>
      </c>
      <c r="K157" t="n">
        <v>0</v>
      </c>
      <c r="L157" t="n">
        <v>0</v>
      </c>
      <c r="M157" t="n">
        <v>0</v>
      </c>
      <c r="N157" t="n">
        <v>0</v>
      </c>
    </row>
    <row r="158">
      <c r="A158" t="inlineStr">
        <is>
          <t>cost of buildings</t>
        </is>
      </c>
      <c r="B158" t="inlineStr">
        <is>
          <t>sand bought and dug and quarried at tadmarton 10pence.</t>
        </is>
      </c>
      <c r="C158" t="n">
        <v>0.04</v>
      </c>
      <c r="D158" t="n">
        <v>0</v>
      </c>
      <c r="E158" t="n">
        <v>0</v>
      </c>
      <c r="F158" t="n">
        <v>10</v>
      </c>
      <c r="H158" t="n">
        <v>0</v>
      </c>
      <c r="I158" t="n">
        <v>0</v>
      </c>
      <c r="J158" t="n">
        <v>0</v>
      </c>
      <c r="K158" t="n">
        <v>0</v>
      </c>
      <c r="L158" t="n">
        <v>0</v>
      </c>
      <c r="M158" t="n">
        <v>0</v>
      </c>
      <c r="N158" t="n">
        <v>0</v>
      </c>
    </row>
    <row r="159">
      <c r="A159" t="inlineStr">
        <is>
          <t>cost of buildings</t>
        </is>
      </c>
      <c r="B159" t="inlineStr">
        <is>
          <t>stipend of 1 man going to walton' to quarry lime there 2pence.</t>
        </is>
      </c>
      <c r="C159" t="n">
        <v>0.01</v>
      </c>
      <c r="D159" t="n">
        <v>0</v>
      </c>
      <c r="E159" t="n">
        <v>0</v>
      </c>
      <c r="F159" t="n">
        <v>2</v>
      </c>
      <c r="H159" t="n">
        <v>0</v>
      </c>
      <c r="I159" t="n">
        <v>0</v>
      </c>
      <c r="J159" t="n">
        <v>0</v>
      </c>
      <c r="K159" t="n">
        <v>0</v>
      </c>
      <c r="L159" t="n">
        <v>0</v>
      </c>
      <c r="M159" t="n">
        <v>0</v>
      </c>
      <c r="N159" t="n">
        <v>0</v>
      </c>
    </row>
    <row r="160">
      <c r="A160" t="inlineStr">
        <is>
          <t>cost of buildings</t>
        </is>
      </c>
      <c r="B160" t="inlineStr">
        <is>
          <t>expenses of 12 men coming for a boon-work with 6 carts to quarry sand at newotele and carry it to adderbury, with the digging, 2 shilling 3pence.</t>
        </is>
      </c>
      <c r="C160" t="n">
        <v>0.11</v>
      </c>
      <c r="D160" t="n">
        <v>0</v>
      </c>
      <c r="E160" t="n">
        <v>2</v>
      </c>
      <c r="F160" t="n">
        <v>3</v>
      </c>
      <c r="H160" t="n">
        <v>0</v>
      </c>
      <c r="I160" t="n">
        <v>0</v>
      </c>
      <c r="J160" t="n">
        <v>0</v>
      </c>
      <c r="K160" t="n">
        <v>0</v>
      </c>
      <c r="L160" t="n">
        <v>0</v>
      </c>
      <c r="M160" t="n">
        <v>0</v>
      </c>
      <c r="N160" t="n">
        <v>0</v>
      </c>
    </row>
    <row r="161">
      <c r="A161" t="inlineStr">
        <is>
          <t>cost of buildings</t>
        </is>
      </c>
      <c r="B161" t="inlineStr">
        <is>
          <t>hiring 1 man to carry sand and lime from the warrener's chamber to the barn by piece-work 4pence.</t>
        </is>
      </c>
      <c r="C161" t="n">
        <v>0.02</v>
      </c>
      <c r="D161" t="n">
        <v>0</v>
      </c>
      <c r="E161" t="n">
        <v>0</v>
      </c>
      <c r="F161" t="n">
        <v>4</v>
      </c>
      <c r="H161" t="n">
        <v>0</v>
      </c>
      <c r="I161" t="n">
        <v>0</v>
      </c>
      <c r="J161" t="n">
        <v>0</v>
      </c>
      <c r="K161" t="n">
        <v>0</v>
      </c>
      <c r="L161" t="n">
        <v>0</v>
      </c>
      <c r="M161" t="n">
        <v>0</v>
      </c>
      <c r="N161" t="n">
        <v>0</v>
      </c>
    </row>
    <row r="162">
      <c r="A162" t="inlineStr">
        <is>
          <t>cost of buildings</t>
        </is>
      </c>
      <c r="B162" t="inlineStr">
        <is>
          <t>carrying the ridge-tiles bought above 8pence.</t>
        </is>
      </c>
      <c r="C162" t="n">
        <v>0.03</v>
      </c>
      <c r="D162" t="n">
        <v>0</v>
      </c>
      <c r="E162" t="n">
        <v>0</v>
      </c>
      <c r="F162" t="n">
        <v>8</v>
      </c>
      <c r="H162" t="n">
        <v>0</v>
      </c>
      <c r="I162" t="n">
        <v>0</v>
      </c>
      <c r="J162" t="n">
        <v>0</v>
      </c>
      <c r="K162" t="n">
        <v>0</v>
      </c>
      <c r="L162" t="n">
        <v>0</v>
      </c>
      <c r="M162" t="n">
        <v>0</v>
      </c>
      <c r="N162" t="n">
        <v>0</v>
      </c>
    </row>
    <row r="163">
      <c r="A163" t="inlineStr">
        <is>
          <t>cost of buildings</t>
        </is>
      </c>
      <c r="B163" t="inlineStr">
        <is>
          <t>expenses of various men coming for a boon-work to buy slates at aynho and carry them to adderbury with the expenses of 1 man there mending the said slates 2d 1 shilling 9.5pence.</t>
        </is>
      </c>
      <c r="C163" t="n">
        <v>0.09</v>
      </c>
      <c r="D163" t="n">
        <v>0</v>
      </c>
      <c r="E163" t="n">
        <v>1</v>
      </c>
      <c r="F163" t="n">
        <v>9.5</v>
      </c>
      <c r="H163" t="n">
        <v>0</v>
      </c>
      <c r="I163" t="n">
        <v>0</v>
      </c>
      <c r="J163" t="n">
        <v>0</v>
      </c>
      <c r="K163" t="n">
        <v>0</v>
      </c>
      <c r="L163" t="n">
        <v>0</v>
      </c>
      <c r="M163" t="n">
        <v>0</v>
      </c>
      <c r="N163" t="n">
        <v>0</v>
      </c>
    </row>
    <row r="164">
      <c r="A164" t="inlineStr">
        <is>
          <t>cost of buildings</t>
        </is>
      </c>
      <c r="B164" t="inlineStr">
        <is>
          <t>1 tine bought 8pence.</t>
        </is>
      </c>
      <c r="C164" t="n">
        <v>0.03</v>
      </c>
      <c r="D164" t="n">
        <v>0</v>
      </c>
      <c r="E164" t="n">
        <v>0</v>
      </c>
      <c r="F164" t="n">
        <v>8</v>
      </c>
      <c r="H164" t="n">
        <v>0</v>
      </c>
      <c r="I164" t="n">
        <v>0</v>
      </c>
      <c r="J164" t="n">
        <v>0</v>
      </c>
      <c r="K164" t="n">
        <v>0</v>
      </c>
      <c r="L164" t="n">
        <v>0</v>
      </c>
      <c r="M164" t="n">
        <v>0</v>
      </c>
      <c r="N164" t="n">
        <v>0</v>
      </c>
    </row>
    <row r="165">
      <c r="A165" t="inlineStr">
        <is>
          <t>cost of buildings</t>
        </is>
      </c>
      <c r="B165" t="inlineStr">
        <is>
          <t>1 bucket bought 3.5pence.</t>
        </is>
      </c>
      <c r="C165" t="n">
        <v>0.01</v>
      </c>
      <c r="D165" t="n">
        <v>0</v>
      </c>
      <c r="E165" t="n">
        <v>0</v>
      </c>
      <c r="F165" t="n">
        <v>3.5</v>
      </c>
      <c r="H165" t="n">
        <v>0</v>
      </c>
      <c r="I165" t="n">
        <v>0</v>
      </c>
      <c r="J165" t="n">
        <v>0</v>
      </c>
      <c r="K165" t="n">
        <v>0</v>
      </c>
      <c r="L165" t="n">
        <v>0</v>
      </c>
      <c r="M165" t="n">
        <v>0</v>
      </c>
      <c r="N165" t="n">
        <v>0</v>
      </c>
    </row>
    <row r="166">
      <c r="A166" t="inlineStr">
        <is>
          <t>cost of buildings</t>
        </is>
      </c>
      <c r="B166" t="inlineStr">
        <is>
          <t>1 riddle (redell') bought 2pence.</t>
        </is>
      </c>
      <c r="C166" t="n">
        <v>0.01</v>
      </c>
      <c r="D166" t="n">
        <v>0</v>
      </c>
      <c r="E166" t="n">
        <v>0</v>
      </c>
      <c r="F166" t="n">
        <v>2</v>
      </c>
      <c r="H166" t="n">
        <v>0</v>
      </c>
      <c r="I166" t="n">
        <v>0</v>
      </c>
      <c r="J166" t="n">
        <v>0</v>
      </c>
      <c r="K166" t="n">
        <v>0</v>
      </c>
      <c r="L166" t="n">
        <v>0</v>
      </c>
      <c r="M166" t="n">
        <v>0</v>
      </c>
      <c r="N166" t="n">
        <v>0</v>
      </c>
    </row>
    <row r="167">
      <c r="A167" t="inlineStr">
        <is>
          <t>cost of buildings</t>
        </is>
      </c>
      <c r="B167" t="inlineStr">
        <is>
          <t>1 ladder bought 1 shilling 4pence.</t>
        </is>
      </c>
      <c r="C167" t="n">
        <v>0.07000000000000001</v>
      </c>
      <c r="D167" t="n">
        <v>0</v>
      </c>
      <c r="E167" t="n">
        <v>1</v>
      </c>
      <c r="F167" t="n">
        <v>4</v>
      </c>
      <c r="H167" t="n">
        <v>0</v>
      </c>
      <c r="I167" t="n">
        <v>0</v>
      </c>
      <c r="J167" t="n">
        <v>0</v>
      </c>
      <c r="K167" t="n">
        <v>0</v>
      </c>
      <c r="L167" t="n">
        <v>0</v>
      </c>
      <c r="M167" t="n">
        <v>0</v>
      </c>
      <c r="N167" t="n">
        <v>0</v>
      </c>
    </row>
    <row r="168">
      <c r="A168" t="inlineStr">
        <is>
          <t>cost of buildings</t>
        </is>
      </c>
      <c r="B168" t="inlineStr">
        <is>
          <t>1 table bought to make 2 hawk-boards therefrom zd n agreement made with a certain slater to mend, remove and cover with laths various defects on the corn barn, hall and half of the kitchen by piece-work £6 13 shilling 4pence.</t>
        </is>
      </c>
      <c r="C168" t="n">
        <v>6.67</v>
      </c>
      <c r="D168" t="n">
        <v>6</v>
      </c>
      <c r="E168" t="n">
        <v>13</v>
      </c>
      <c r="F168" t="n">
        <v>4</v>
      </c>
      <c r="H168" t="n">
        <v>0</v>
      </c>
      <c r="I168" t="n">
        <v>0</v>
      </c>
      <c r="J168" t="n">
        <v>0</v>
      </c>
      <c r="K168" t="n">
        <v>0</v>
      </c>
      <c r="L168" t="n">
        <v>0</v>
      </c>
      <c r="M168" t="n">
        <v>0</v>
      </c>
      <c r="N168" t="n">
        <v>0</v>
      </c>
    </row>
    <row r="169">
      <c r="A169" t="inlineStr">
        <is>
          <t>cost of buildings</t>
        </is>
      </c>
      <c r="B169" t="inlineStr">
        <is>
          <t>total, £9 9 shilling 1.5pence.</t>
        </is>
      </c>
      <c r="C169" t="n">
        <v>9.460000000000001</v>
      </c>
      <c r="D169" t="n">
        <v>9</v>
      </c>
      <c r="E169" t="n">
        <v>9</v>
      </c>
      <c r="F169" t="n">
        <v>1.5</v>
      </c>
      <c r="H169" t="n">
        <v>0</v>
      </c>
      <c r="I169" t="n">
        <v>0</v>
      </c>
      <c r="J169" t="n">
        <v>0</v>
      </c>
      <c r="K169" t="n">
        <v>0</v>
      </c>
      <c r="L169" t="n">
        <v>0</v>
      </c>
      <c r="M169" t="n">
        <v>0</v>
      </c>
      <c r="N169" t="n">
        <v>0</v>
      </c>
    </row>
    <row r="170">
      <c r="A170" t="inlineStr">
        <is>
          <t>wages of the bailiff</t>
        </is>
      </c>
      <c r="B170" t="inlineStr">
        <is>
          <t>in wages of thomas bekyngham, bailiff, in part payment of his wages, £3 6 shilling 8pence.</t>
        </is>
      </c>
      <c r="C170" t="n">
        <v>3.33</v>
      </c>
      <c r="D170" t="n">
        <v>3</v>
      </c>
      <c r="E170" t="n">
        <v>6</v>
      </c>
      <c r="F170" t="n">
        <v>8</v>
      </c>
      <c r="H170" t="n">
        <v>0</v>
      </c>
      <c r="I170" t="n">
        <v>0</v>
      </c>
      <c r="J170" t="n">
        <v>0</v>
      </c>
      <c r="K170" t="n">
        <v>0</v>
      </c>
      <c r="L170" t="n">
        <v>0</v>
      </c>
      <c r="M170" t="n">
        <v>0</v>
      </c>
      <c r="N170" t="n">
        <v>0</v>
      </c>
    </row>
    <row r="171">
      <c r="A171" t="inlineStr">
        <is>
          <t>wages of the bailiff</t>
        </is>
      </c>
      <c r="B171" t="inlineStr">
        <is>
          <t>total, £3 6 shilling 8pence.</t>
        </is>
      </c>
      <c r="C171" t="n">
        <v>3.33</v>
      </c>
      <c r="D171" t="n">
        <v>3</v>
      </c>
      <c r="E171" t="n">
        <v>6</v>
      </c>
      <c r="F171" t="n">
        <v>8</v>
      </c>
      <c r="H171" t="n">
        <v>0</v>
      </c>
      <c r="I171" t="n">
        <v>0</v>
      </c>
      <c r="J171" t="n">
        <v>0</v>
      </c>
      <c r="K171" t="n">
        <v>0</v>
      </c>
      <c r="L171" t="n">
        <v>0</v>
      </c>
      <c r="M171" t="n">
        <v>0</v>
      </c>
      <c r="N171" t="n">
        <v>0</v>
      </c>
    </row>
    <row r="172">
      <c r="A172" t="inlineStr">
        <is>
          <t>expenses of the steward</t>
        </is>
      </c>
      <c r="B172" t="inlineStr">
        <is>
          <t>in expenses of richard wyot', steward, coming there to hold the tourns of martinmas and hockday, by 2 sealed bills, 14 shilling 9pence.</t>
        </is>
      </c>
      <c r="C172" t="n">
        <v>0.74</v>
      </c>
      <c r="D172" t="n">
        <v>0</v>
      </c>
      <c r="E172" t="n">
        <v>14</v>
      </c>
      <c r="F172" t="n">
        <v>9</v>
      </c>
      <c r="H172" t="n">
        <v>0</v>
      </c>
      <c r="I172" t="n">
        <v>0</v>
      </c>
      <c r="J172" t="n">
        <v>0</v>
      </c>
      <c r="K172" t="n">
        <v>0</v>
      </c>
      <c r="L172" t="n">
        <v>0</v>
      </c>
      <c r="M172" t="n">
        <v>0</v>
      </c>
      <c r="N172" t="n">
        <v>0</v>
      </c>
    </row>
    <row r="173">
      <c r="A173" t="inlineStr">
        <is>
          <t>annual fees</t>
        </is>
      </c>
      <c r="B173" t="inlineStr">
        <is>
          <t>paid to john wylkotes for the annual fee granted to him for the term of his life as made clear by the lord's letters patent and the quittance of the payment made therefor £20..</t>
        </is>
      </c>
      <c r="C173" t="n">
        <v>20</v>
      </c>
      <c r="D173" t="n">
        <v>20</v>
      </c>
      <c r="E173" t="n">
        <v>0</v>
      </c>
      <c r="F173" t="n">
        <v>0</v>
      </c>
      <c r="H173" t="n">
        <v>0</v>
      </c>
      <c r="I173" t="n">
        <v>0</v>
      </c>
      <c r="J173" t="n">
        <v>0</v>
      </c>
      <c r="K173" t="n">
        <v>0</v>
      </c>
      <c r="L173" t="n">
        <v>0</v>
      </c>
      <c r="M173" t="n">
        <v>0</v>
      </c>
      <c r="N173" t="n">
        <v>0</v>
      </c>
    </row>
    <row r="174">
      <c r="A174" t="inlineStr">
        <is>
          <t>annual fees</t>
        </is>
      </c>
      <c r="B174" t="inlineStr">
        <is>
          <t>total, £20..</t>
        </is>
      </c>
      <c r="C174" t="n">
        <v>20</v>
      </c>
      <c r="D174" t="n">
        <v>20</v>
      </c>
      <c r="E174" t="n">
        <v>0</v>
      </c>
      <c r="F174" t="n">
        <v>0</v>
      </c>
      <c r="H174" t="n">
        <v>0</v>
      </c>
      <c r="I174" t="n">
        <v>0</v>
      </c>
      <c r="J174" t="n">
        <v>0</v>
      </c>
      <c r="K174" t="n">
        <v>0</v>
      </c>
      <c r="L174" t="n">
        <v>0</v>
      </c>
      <c r="M174" t="n">
        <v>0</v>
      </c>
      <c r="N174" t="n">
        <v>0</v>
      </c>
    </row>
    <row r="175">
      <c r="A175" t="inlineStr">
        <is>
          <t>total of all expenses</t>
        </is>
      </c>
      <c r="B175" t="inlineStr">
        <is>
          <t>total of all expenses, £33 10 shilling 6.5pence.</t>
        </is>
      </c>
      <c r="C175" t="n">
        <v>33.53</v>
      </c>
      <c r="D175" t="n">
        <v>33</v>
      </c>
      <c r="E175" t="n">
        <v>10</v>
      </c>
      <c r="F175" t="n">
        <v>6.5</v>
      </c>
      <c r="H175" t="n">
        <v>0</v>
      </c>
      <c r="I175" t="n">
        <v>0</v>
      </c>
      <c r="J175" t="n">
        <v>0</v>
      </c>
      <c r="K175" t="n">
        <v>0</v>
      </c>
      <c r="L175" t="n">
        <v>0</v>
      </c>
      <c r="M175" t="n">
        <v>0</v>
      </c>
      <c r="N175" t="n">
        <v>0</v>
      </c>
    </row>
    <row r="176">
      <c r="A176" t="inlineStr">
        <is>
          <t>and he owes</t>
        </is>
      </c>
      <c r="B176" t="inlineStr">
        <is>
          <t>and he owes, £64 19 shilling 11.5pence.</t>
        </is>
      </c>
      <c r="C176" t="n">
        <v>65</v>
      </c>
      <c r="D176" t="n">
        <v>64</v>
      </c>
      <c r="E176" t="n">
        <v>19</v>
      </c>
      <c r="F176" t="n">
        <v>11.5</v>
      </c>
      <c r="H176" t="n">
        <v>0</v>
      </c>
      <c r="I176" t="n">
        <v>0</v>
      </c>
      <c r="J176" t="n">
        <v>0</v>
      </c>
      <c r="K176" t="n">
        <v>0</v>
      </c>
      <c r="L176" t="n">
        <v>0</v>
      </c>
      <c r="M176" t="n">
        <v>0</v>
      </c>
      <c r="N176" t="n">
        <v>0</v>
      </c>
    </row>
    <row r="177">
      <c r="A177" t="inlineStr">
        <is>
          <t>allowances without writ</t>
        </is>
      </c>
      <c r="B177" t="inlineStr">
        <is>
          <t>in allowance to the reeve for 6 shilling 8pence for the reward made to the warrener for summoning the courts and raising the money from the estreat of the courts this year, which was not allowed to him above.</t>
        </is>
      </c>
      <c r="C177" t="n">
        <v>0.33</v>
      </c>
      <c r="D177" t="n">
        <v>0</v>
      </c>
      <c r="E177" t="n">
        <v>6</v>
      </c>
      <c r="F177" t="n">
        <v>8</v>
      </c>
      <c r="H177" t="n">
        <v>0</v>
      </c>
      <c r="I177" t="n">
        <v>0</v>
      </c>
      <c r="J177" t="n">
        <v>0</v>
      </c>
      <c r="K177" t="n">
        <v>0</v>
      </c>
      <c r="L177" t="n">
        <v>0</v>
      </c>
      <c r="M177" t="n">
        <v>0</v>
      </c>
      <c r="N177" t="n">
        <v>0</v>
      </c>
    </row>
    <row r="178">
      <c r="A178" t="inlineStr">
        <is>
          <t>allowances without writ</t>
        </is>
      </c>
      <c r="B178" t="inlineStr">
        <is>
          <t>total, 6 shilling 8pence.</t>
        </is>
      </c>
      <c r="C178" t="n">
        <v>0.33</v>
      </c>
      <c r="D178" t="n">
        <v>0</v>
      </c>
      <c r="E178" t="n">
        <v>6</v>
      </c>
      <c r="F178" t="n">
        <v>8</v>
      </c>
      <c r="H178" t="n">
        <v>0</v>
      </c>
      <c r="I178" t="n">
        <v>0</v>
      </c>
      <c r="J178" t="n">
        <v>0</v>
      </c>
      <c r="K178" t="n">
        <v>0</v>
      </c>
      <c r="L178" t="n">
        <v>0</v>
      </c>
      <c r="M178" t="n">
        <v>0</v>
      </c>
      <c r="N178" t="n">
        <v>0</v>
      </c>
    </row>
    <row r="179">
      <c r="A179" t="inlineStr">
        <is>
          <t>cash deliveries</t>
        </is>
      </c>
      <c r="B179" t="inlineStr">
        <is>
          <t>delivered to john arnold', receiver of wolvesey, by 1 tally, £64 13 shilling 3.5pence.</t>
        </is>
      </c>
      <c r="C179" t="n">
        <v>64.66</v>
      </c>
      <c r="D179" t="n">
        <v>64</v>
      </c>
      <c r="E179" t="n">
        <v>13</v>
      </c>
      <c r="F179" t="n">
        <v>3.5</v>
      </c>
      <c r="H179" t="n">
        <v>0</v>
      </c>
      <c r="I179" t="n">
        <v>0</v>
      </c>
      <c r="J179" t="n">
        <v>0</v>
      </c>
      <c r="K179" t="n">
        <v>0</v>
      </c>
      <c r="L179" t="n">
        <v>0</v>
      </c>
      <c r="M179" t="n">
        <v>0</v>
      </c>
      <c r="N179" t="n">
        <v>0</v>
      </c>
    </row>
    <row r="180">
      <c r="A180" t="inlineStr">
        <is>
          <t>cash deliveries</t>
        </is>
      </c>
      <c r="B180" t="inlineStr">
        <is>
          <t>total, £64 13 shilling 3.5pence.</t>
        </is>
      </c>
      <c r="C180" t="n">
        <v>64.66</v>
      </c>
      <c r="D180" t="n">
        <v>64</v>
      </c>
      <c r="E180" t="n">
        <v>13</v>
      </c>
      <c r="F180" t="n">
        <v>3.5</v>
      </c>
      <c r="H180" t="n">
        <v>0</v>
      </c>
      <c r="I180" t="n">
        <v>0</v>
      </c>
      <c r="J180" t="n">
        <v>0</v>
      </c>
      <c r="K180" t="n">
        <v>0</v>
      </c>
      <c r="L180" t="n">
        <v>0</v>
      </c>
      <c r="M180" t="n">
        <v>0</v>
      </c>
      <c r="N180" t="n">
        <v>0</v>
      </c>
    </row>
    <row r="181">
      <c r="A181" t="inlineStr">
        <is>
          <t>total of all allowances</t>
        </is>
      </c>
      <c r="B181" t="inlineStr">
        <is>
          <t>total of all allowances and cash deliveries, £64 19 shilling 11.5pence he is quit.</t>
        </is>
      </c>
      <c r="C181" t="n">
        <v>65</v>
      </c>
      <c r="D181" t="n">
        <v>64</v>
      </c>
      <c r="E181" t="n">
        <v>19</v>
      </c>
      <c r="F181" t="n">
        <v>11.5</v>
      </c>
      <c r="H181" t="n">
        <v>0</v>
      </c>
      <c r="I181" t="n">
        <v>0</v>
      </c>
      <c r="J181" t="n">
        <v>0</v>
      </c>
      <c r="K181" t="n">
        <v>0</v>
      </c>
      <c r="L181" t="n">
        <v>0</v>
      </c>
      <c r="M181" t="n">
        <v>0</v>
      </c>
      <c r="N181" t="n">
        <v>0</v>
      </c>
    </row>
    <row r="182">
      <c r="A182" t="inlineStr">
        <is>
          <t>wheat</t>
        </is>
      </c>
      <c r="B182" t="inlineStr">
        <is>
          <t>william jakeman, reeve there, answers for 3 quarters of wheat remaining..</t>
        </is>
      </c>
      <c r="C182" t="n">
        <v>0</v>
      </c>
      <c r="D182" t="n">
        <v>0</v>
      </c>
      <c r="E182" t="n">
        <v>0</v>
      </c>
      <c r="F182" t="n">
        <v>0</v>
      </c>
      <c r="G182" t="inlineStr">
        <is>
          <t>wheat</t>
        </is>
      </c>
      <c r="H182" t="n">
        <v>3</v>
      </c>
      <c r="I182" t="n">
        <v>0</v>
      </c>
      <c r="J182" t="n">
        <v>3</v>
      </c>
      <c r="K182" t="n">
        <v>3</v>
      </c>
      <c r="L182" t="n">
        <v>0</v>
      </c>
      <c r="M182" t="n">
        <v>3</v>
      </c>
      <c r="N182" t="n">
        <v>0</v>
      </c>
    </row>
    <row r="183">
      <c r="A183" t="inlineStr">
        <is>
          <t>wheat</t>
        </is>
      </c>
      <c r="B183" t="inlineStr">
        <is>
          <t>total, 3 quarters..</t>
        </is>
      </c>
      <c r="C183" t="n">
        <v>0</v>
      </c>
      <c r="D183" t="n">
        <v>0</v>
      </c>
      <c r="E183" t="n">
        <v>0</v>
      </c>
      <c r="F183" t="n">
        <v>0</v>
      </c>
      <c r="H183" t="n">
        <v>3</v>
      </c>
      <c r="I183" t="n">
        <v>0</v>
      </c>
      <c r="J183" t="n">
        <v>3</v>
      </c>
      <c r="K183" t="n">
        <v>3</v>
      </c>
      <c r="L183" t="n">
        <v>0</v>
      </c>
      <c r="M183" t="n">
        <v>3</v>
      </c>
      <c r="N183" t="n">
        <v>0</v>
      </c>
    </row>
    <row r="184">
      <c r="A184" t="inlineStr">
        <is>
          <t>wheat</t>
        </is>
      </c>
      <c r="B184" t="inlineStr">
        <is>
          <t>3 quarters remain in the keeping of john eadburbury, farmer there, to be handed back and restored at the end of his farm of 12 years, this year being the fifth.</t>
        </is>
      </c>
      <c r="C184" t="n">
        <v>0</v>
      </c>
      <c r="D184" t="n">
        <v>0</v>
      </c>
      <c r="E184" t="n">
        <v>0</v>
      </c>
      <c r="F184" t="n">
        <v>0</v>
      </c>
      <c r="H184" t="n">
        <v>3</v>
      </c>
      <c r="I184" t="n">
        <v>0</v>
      </c>
      <c r="J184" t="n">
        <v>3</v>
      </c>
      <c r="K184" t="n">
        <v>3</v>
      </c>
      <c r="L184" t="n">
        <v>0</v>
      </c>
      <c r="M184" t="n">
        <v>3</v>
      </c>
      <c r="N184" t="n">
        <v>0</v>
      </c>
    </row>
    <row r="185">
      <c r="A185" t="inlineStr">
        <is>
          <t>rye</t>
        </is>
      </c>
      <c r="B185" t="inlineStr">
        <is>
          <t>and for 34 quarters of rye remaining..</t>
        </is>
      </c>
      <c r="C185" t="n">
        <v>0</v>
      </c>
      <c r="D185" t="n">
        <v>0</v>
      </c>
      <c r="E185" t="n">
        <v>0</v>
      </c>
      <c r="F185" t="n">
        <v>0</v>
      </c>
      <c r="G185" t="inlineStr">
        <is>
          <t>rye</t>
        </is>
      </c>
      <c r="H185" t="n">
        <v>34</v>
      </c>
      <c r="I185" t="n">
        <v>0</v>
      </c>
      <c r="J185" t="n">
        <v>34</v>
      </c>
      <c r="K185" t="n">
        <v>34</v>
      </c>
      <c r="L185" t="n">
        <v>0</v>
      </c>
      <c r="M185" t="n">
        <v>34</v>
      </c>
      <c r="N185" t="n">
        <v>0</v>
      </c>
    </row>
    <row r="186">
      <c r="A186" t="inlineStr">
        <is>
          <t>rye</t>
        </is>
      </c>
      <c r="B186" t="inlineStr">
        <is>
          <t>total, 34 quarters..</t>
        </is>
      </c>
      <c r="C186" t="n">
        <v>0</v>
      </c>
      <c r="D186" t="n">
        <v>0</v>
      </c>
      <c r="E186" t="n">
        <v>0</v>
      </c>
      <c r="F186" t="n">
        <v>0</v>
      </c>
      <c r="H186" t="n">
        <v>34</v>
      </c>
      <c r="I186" t="n">
        <v>0</v>
      </c>
      <c r="J186" t="n">
        <v>34</v>
      </c>
      <c r="K186" t="n">
        <v>34</v>
      </c>
      <c r="L186" t="n">
        <v>0</v>
      </c>
      <c r="M186" t="n">
        <v>34</v>
      </c>
      <c r="N186" t="n">
        <v>0</v>
      </c>
    </row>
    <row r="187">
      <c r="A187" t="inlineStr">
        <is>
          <t>rye</t>
        </is>
      </c>
      <c r="B187" t="inlineStr">
        <is>
          <t>34 quarters remain in the keeping of the said john eadburbury, farmer there, to be handed back and restored at the end of his farm as before.</t>
        </is>
      </c>
      <c r="C187" t="n">
        <v>0</v>
      </c>
      <c r="D187" t="n">
        <v>0</v>
      </c>
      <c r="E187" t="n">
        <v>0</v>
      </c>
      <c r="F187" t="n">
        <v>0</v>
      </c>
      <c r="H187" t="n">
        <v>34</v>
      </c>
      <c r="I187" t="n">
        <v>0</v>
      </c>
      <c r="J187" t="n">
        <v>34</v>
      </c>
      <c r="K187" t="n">
        <v>34</v>
      </c>
      <c r="L187" t="n">
        <v>0</v>
      </c>
      <c r="M187" t="n">
        <v>34</v>
      </c>
      <c r="N187" t="n">
        <v>0</v>
      </c>
    </row>
    <row r="188">
      <c r="A188" t="inlineStr">
        <is>
          <t>dredge</t>
        </is>
      </c>
      <c r="B188" t="inlineStr">
        <is>
          <t>and for 30 quarters of dredge remaining..</t>
        </is>
      </c>
      <c r="C188" t="n">
        <v>0</v>
      </c>
      <c r="D188" t="n">
        <v>0</v>
      </c>
      <c r="E188" t="n">
        <v>0</v>
      </c>
      <c r="F188" t="n">
        <v>0</v>
      </c>
      <c r="G188" t="inlineStr">
        <is>
          <t>dredge</t>
        </is>
      </c>
      <c r="H188" t="n">
        <v>30</v>
      </c>
      <c r="I188" t="n">
        <v>0</v>
      </c>
      <c r="J188" t="n">
        <v>30</v>
      </c>
      <c r="K188" t="n">
        <v>30</v>
      </c>
      <c r="L188" t="n">
        <v>0</v>
      </c>
      <c r="M188" t="n">
        <v>30</v>
      </c>
      <c r="N188" t="n">
        <v>0</v>
      </c>
    </row>
    <row r="189">
      <c r="A189" t="inlineStr">
        <is>
          <t>dredge</t>
        </is>
      </c>
      <c r="B189" t="inlineStr">
        <is>
          <t>total, 30 quarters..</t>
        </is>
      </c>
      <c r="C189" t="n">
        <v>0</v>
      </c>
      <c r="D189" t="n">
        <v>0</v>
      </c>
      <c r="E189" t="n">
        <v>0</v>
      </c>
      <c r="F189" t="n">
        <v>0</v>
      </c>
      <c r="H189" t="n">
        <v>30</v>
      </c>
      <c r="I189" t="n">
        <v>0</v>
      </c>
      <c r="J189" t="n">
        <v>30</v>
      </c>
      <c r="K189" t="n">
        <v>30</v>
      </c>
      <c r="L189" t="n">
        <v>0</v>
      </c>
      <c r="M189" t="n">
        <v>30</v>
      </c>
      <c r="N189" t="n">
        <v>0</v>
      </c>
    </row>
    <row r="190">
      <c r="A190" t="inlineStr">
        <is>
          <t>dredge</t>
        </is>
      </c>
      <c r="B190" t="inlineStr">
        <is>
          <t>30 quarters remain in the keeping of the said john eadburbury, farmer there, to be handed back and restored as before.</t>
        </is>
      </c>
      <c r="C190" t="n">
        <v>0</v>
      </c>
      <c r="D190" t="n">
        <v>0</v>
      </c>
      <c r="E190" t="n">
        <v>0</v>
      </c>
      <c r="F190" t="n">
        <v>0</v>
      </c>
      <c r="H190" t="n">
        <v>30</v>
      </c>
      <c r="I190" t="n">
        <v>0</v>
      </c>
      <c r="J190" t="n">
        <v>30</v>
      </c>
      <c r="K190" t="n">
        <v>30</v>
      </c>
      <c r="L190" t="n">
        <v>0</v>
      </c>
      <c r="M190" t="n">
        <v>30</v>
      </c>
      <c r="N190" t="n">
        <v>0</v>
      </c>
    </row>
    <row r="191">
      <c r="A191" t="inlineStr">
        <is>
          <t>pulses</t>
        </is>
      </c>
      <c r="B191" t="inlineStr">
        <is>
          <t>none remain.</t>
        </is>
      </c>
      <c r="C191" t="n">
        <v>0</v>
      </c>
      <c r="D191" t="n">
        <v>0</v>
      </c>
      <c r="E191" t="n">
        <v>0</v>
      </c>
      <c r="F191" t="n">
        <v>0</v>
      </c>
      <c r="H191" t="n">
        <v>0</v>
      </c>
      <c r="I191" t="n">
        <v>0</v>
      </c>
      <c r="J191" t="n">
        <v>0</v>
      </c>
      <c r="K191" t="n">
        <v>0</v>
      </c>
      <c r="L191" t="n">
        <v>0</v>
      </c>
      <c r="M191" t="n">
        <v>0</v>
      </c>
      <c r="N191" t="n">
        <v>0</v>
      </c>
    </row>
    <row r="192">
      <c r="A192" t="inlineStr">
        <is>
          <t>oats</t>
        </is>
      </c>
      <c r="B192" t="inlineStr">
        <is>
          <t>and for 10 quarters of oats..</t>
        </is>
      </c>
      <c r="C192" t="n">
        <v>0</v>
      </c>
      <c r="D192" t="n">
        <v>0</v>
      </c>
      <c r="E192" t="n">
        <v>0</v>
      </c>
      <c r="F192" t="n">
        <v>0</v>
      </c>
      <c r="G192" t="inlineStr">
        <is>
          <t>oats</t>
        </is>
      </c>
      <c r="H192" t="n">
        <v>10</v>
      </c>
      <c r="I192" t="n">
        <v>0</v>
      </c>
      <c r="J192" t="n">
        <v>10</v>
      </c>
      <c r="K192" t="n">
        <v>10</v>
      </c>
      <c r="L192" t="n">
        <v>0</v>
      </c>
      <c r="M192" t="n">
        <v>10</v>
      </c>
      <c r="N192" t="n">
        <v>0</v>
      </c>
    </row>
    <row r="193">
      <c r="A193" t="inlineStr">
        <is>
          <t>oats</t>
        </is>
      </c>
      <c r="B193" t="inlineStr">
        <is>
          <t>total, 10 quarters..</t>
        </is>
      </c>
      <c r="C193" t="n">
        <v>0</v>
      </c>
      <c r="D193" t="n">
        <v>0</v>
      </c>
      <c r="E193" t="n">
        <v>0</v>
      </c>
      <c r="F193" t="n">
        <v>0</v>
      </c>
      <c r="H193" t="n">
        <v>10</v>
      </c>
      <c r="I193" t="n">
        <v>0</v>
      </c>
      <c r="J193" t="n">
        <v>10</v>
      </c>
      <c r="K193" t="n">
        <v>10</v>
      </c>
      <c r="L193" t="n">
        <v>0</v>
      </c>
      <c r="M193" t="n">
        <v>10</v>
      </c>
      <c r="N193" t="n">
        <v>0</v>
      </c>
    </row>
    <row r="194">
      <c r="A194" t="inlineStr">
        <is>
          <t>oats</t>
        </is>
      </c>
      <c r="B194" t="inlineStr">
        <is>
          <t>10 quarters remain in the keeping of the said john eadburbury, farmer there, to be handed back and restored as before.</t>
        </is>
      </c>
      <c r="C194" t="n">
        <v>0</v>
      </c>
      <c r="D194" t="n">
        <v>0</v>
      </c>
      <c r="E194" t="n">
        <v>0</v>
      </c>
      <c r="F194" t="n">
        <v>0</v>
      </c>
      <c r="H194" t="n">
        <v>10</v>
      </c>
      <c r="I194" t="n">
        <v>0</v>
      </c>
      <c r="J194" t="n">
        <v>10</v>
      </c>
      <c r="K194" t="n">
        <v>10</v>
      </c>
      <c r="L194" t="n">
        <v>0</v>
      </c>
      <c r="M194" t="n">
        <v>10</v>
      </c>
      <c r="N194" t="n">
        <v>0</v>
      </c>
    </row>
    <row r="195">
      <c r="A195" t="inlineStr">
        <is>
          <t>oats</t>
        </is>
      </c>
      <c r="B195" t="inlineStr">
        <is>
          <t>eadburbury, farmer, to be handed back and restored at the end of his farm or the value of the same as before.</t>
        </is>
      </c>
      <c r="C195" t="n">
        <v>0</v>
      </c>
      <c r="D195" t="n">
        <v>0</v>
      </c>
      <c r="E195" t="n">
        <v>0</v>
      </c>
      <c r="F195" t="n">
        <v>0</v>
      </c>
      <c r="H195" t="n">
        <v>0</v>
      </c>
      <c r="I195" t="n">
        <v>0</v>
      </c>
      <c r="J195" t="n">
        <v>0</v>
      </c>
      <c r="K195" t="n">
        <v>0</v>
      </c>
      <c r="L195" t="n">
        <v>0</v>
      </c>
      <c r="M195" t="n">
        <v>0</v>
      </c>
      <c r="N195" t="n">
        <v>0</v>
      </c>
    </row>
    <row r="196">
      <c r="A196" t="inlineStr">
        <is>
          <t>stock</t>
        </is>
      </c>
      <c r="B196" t="inlineStr">
        <is>
          <t>horses: 4 remain.</t>
        </is>
      </c>
      <c r="C196" t="n">
        <v>0</v>
      </c>
      <c r="D196" t="n">
        <v>0</v>
      </c>
      <c r="E196" t="n">
        <v>0</v>
      </c>
      <c r="F196" t="n">
        <v>0</v>
      </c>
      <c r="H196" t="n">
        <v>0</v>
      </c>
      <c r="I196" t="n">
        <v>0</v>
      </c>
      <c r="J196" t="n">
        <v>0</v>
      </c>
      <c r="K196" t="n">
        <v>0</v>
      </c>
      <c r="L196" t="n">
        <v>0</v>
      </c>
      <c r="M196" t="n">
        <v>0</v>
      </c>
      <c r="N196" t="n">
        <v>0</v>
      </c>
    </row>
    <row r="197">
      <c r="A197" t="inlineStr">
        <is>
          <t>stock</t>
        </is>
      </c>
      <c r="B197" t="inlineStr">
        <is>
          <t>1 from the heriot of william rundell'.</t>
        </is>
      </c>
      <c r="C197" t="n">
        <v>0</v>
      </c>
      <c r="D197" t="n">
        <v>0</v>
      </c>
      <c r="E197" t="n">
        <v>0</v>
      </c>
      <c r="F197" t="n">
        <v>0</v>
      </c>
      <c r="H197" t="n">
        <v>0</v>
      </c>
      <c r="I197" t="n">
        <v>0</v>
      </c>
      <c r="J197" t="n">
        <v>0</v>
      </c>
      <c r="K197" t="n">
        <v>0</v>
      </c>
      <c r="L197" t="n">
        <v>0</v>
      </c>
      <c r="M197" t="n">
        <v>0</v>
      </c>
      <c r="N197" t="n">
        <v>0</v>
      </c>
    </row>
    <row r="198">
      <c r="A198" t="inlineStr">
        <is>
          <t>stock</t>
        </is>
      </c>
      <c r="B198" t="inlineStr">
        <is>
          <t>total 5. 1 sold within.</t>
        </is>
      </c>
      <c r="C198" t="n">
        <v>0</v>
      </c>
      <c r="D198" t="n">
        <v>0</v>
      </c>
      <c r="E198" t="n">
        <v>0</v>
      </c>
      <c r="F198" t="n">
        <v>0</v>
      </c>
      <c r="H198" t="n">
        <v>0</v>
      </c>
      <c r="I198" t="n">
        <v>0</v>
      </c>
      <c r="J198" t="n">
        <v>0</v>
      </c>
      <c r="K198" t="n">
        <v>0</v>
      </c>
      <c r="L198" t="n">
        <v>0</v>
      </c>
      <c r="M198" t="n">
        <v>0</v>
      </c>
      <c r="N198" t="n">
        <v>0</v>
      </c>
    </row>
    <row r="199">
      <c r="A199" t="inlineStr">
        <is>
          <t>stock</t>
        </is>
      </c>
      <c r="B199" t="inlineStr">
        <is>
          <t>4 cart-horses remain, of which 2 are worth £1 6s 8pence, 1 is worth £1, and 1 feeble one is worth 2 shilling, in the keeping of the said john eadburbury, farmer there, to be handed back and restored at the end of his farm or the value of the same at the choice of the lord bishop or his attorney.</t>
        </is>
      </c>
      <c r="C199" t="n">
        <v>1</v>
      </c>
      <c r="D199" t="n">
        <v>1</v>
      </c>
      <c r="E199" t="n">
        <v>0</v>
      </c>
      <c r="F199" t="n">
        <v>0</v>
      </c>
      <c r="H199" t="n">
        <v>0</v>
      </c>
      <c r="I199" t="n">
        <v>0</v>
      </c>
      <c r="J199" t="n">
        <v>0</v>
      </c>
      <c r="K199" t="n">
        <v>0</v>
      </c>
      <c r="L199" t="n">
        <v>0</v>
      </c>
      <c r="M199" t="n">
        <v>0</v>
      </c>
      <c r="N199" t="n">
        <v>0</v>
      </c>
    </row>
    <row r="200">
      <c r="A200" t="inlineStr">
        <is>
          <t>stock</t>
        </is>
      </c>
      <c r="B200" t="inlineStr">
        <is>
          <t>plough-horses: 6 remain.</t>
        </is>
      </c>
      <c r="C200" t="n">
        <v>0</v>
      </c>
      <c r="D200" t="n">
        <v>0</v>
      </c>
      <c r="E200" t="n">
        <v>0</v>
      </c>
      <c r="F200" t="n">
        <v>0</v>
      </c>
      <c r="H200" t="n">
        <v>0</v>
      </c>
      <c r="I200" t="n">
        <v>0</v>
      </c>
      <c r="J200" t="n">
        <v>0</v>
      </c>
      <c r="K200" t="n">
        <v>0</v>
      </c>
      <c r="L200" t="n">
        <v>0</v>
      </c>
      <c r="M200" t="n">
        <v>0</v>
      </c>
      <c r="N200" t="n">
        <v>0</v>
      </c>
    </row>
    <row r="201">
      <c r="A201" t="inlineStr">
        <is>
          <t>stock</t>
        </is>
      </c>
      <c r="B201" t="inlineStr">
        <is>
          <t>total, 6. 6 remain, worth £2, in the keeping of john.</t>
        </is>
      </c>
      <c r="C201" t="n">
        <v>2</v>
      </c>
      <c r="D201" t="n">
        <v>2</v>
      </c>
      <c r="E201" t="n">
        <v>0</v>
      </c>
      <c r="F201" t="n">
        <v>0</v>
      </c>
      <c r="H201" t="n">
        <v>0</v>
      </c>
      <c r="I201" t="n">
        <v>0</v>
      </c>
      <c r="J201" t="n">
        <v>0</v>
      </c>
      <c r="K201" t="n">
        <v>0</v>
      </c>
      <c r="L201" t="n">
        <v>0</v>
      </c>
      <c r="M201" t="n">
        <v>0</v>
      </c>
      <c r="N201" t="n">
        <v>0</v>
      </c>
    </row>
    <row r="202">
      <c r="A202" t="inlineStr">
        <is>
          <t>stock</t>
        </is>
      </c>
      <c r="B202" t="inlineStr">
        <is>
          <t>colts: 1 from the heriot of john diconurn.</t>
        </is>
      </c>
      <c r="C202" t="n">
        <v>0</v>
      </c>
      <c r="D202" t="n">
        <v>0</v>
      </c>
      <c r="E202" t="n">
        <v>0</v>
      </c>
      <c r="F202" t="n">
        <v>0</v>
      </c>
      <c r="H202" t="n">
        <v>0</v>
      </c>
      <c r="I202" t="n">
        <v>0</v>
      </c>
      <c r="J202" t="n">
        <v>0</v>
      </c>
      <c r="K202" t="n">
        <v>0</v>
      </c>
      <c r="L202" t="n">
        <v>0</v>
      </c>
      <c r="M202" t="n">
        <v>0</v>
      </c>
      <c r="N202" t="n">
        <v>0</v>
      </c>
    </row>
    <row r="203">
      <c r="A203" t="inlineStr">
        <is>
          <t>stock</t>
        </is>
      </c>
      <c r="B203" t="inlineStr">
        <is>
          <t>sold within.</t>
        </is>
      </c>
      <c r="C203" t="n">
        <v>0</v>
      </c>
      <c r="D203" t="n">
        <v>0</v>
      </c>
      <c r="E203" t="n">
        <v>0</v>
      </c>
      <c r="F203" t="n">
        <v>0</v>
      </c>
      <c r="H203" t="n">
        <v>0</v>
      </c>
      <c r="I203" t="n">
        <v>0</v>
      </c>
      <c r="J203" t="n">
        <v>0</v>
      </c>
      <c r="K203" t="n">
        <v>0</v>
      </c>
      <c r="L203" t="n">
        <v>0</v>
      </c>
      <c r="M203" t="n">
        <v>0</v>
      </c>
      <c r="N203" t="n">
        <v>0</v>
      </c>
    </row>
    <row r="204">
      <c r="A204" t="inlineStr">
        <is>
          <t>stock</t>
        </is>
      </c>
      <c r="B204" t="inlineStr">
        <is>
          <t>none remain.</t>
        </is>
      </c>
      <c r="C204" t="n">
        <v>0</v>
      </c>
      <c r="D204" t="n">
        <v>0</v>
      </c>
      <c r="E204" t="n">
        <v>0</v>
      </c>
      <c r="F204" t="n">
        <v>0</v>
      </c>
      <c r="H204" t="n">
        <v>0</v>
      </c>
      <c r="I204" t="n">
        <v>0</v>
      </c>
      <c r="J204" t="n">
        <v>0</v>
      </c>
      <c r="K204" t="n">
        <v>0</v>
      </c>
      <c r="L204" t="n">
        <v>0</v>
      </c>
      <c r="M204" t="n">
        <v>0</v>
      </c>
      <c r="N204" t="n">
        <v>0</v>
      </c>
    </row>
    <row r="205">
      <c r="A205" t="inlineStr">
        <is>
          <t>stock</t>
        </is>
      </c>
      <c r="B205" t="inlineStr">
        <is>
          <t>bulls: 2 remain.</t>
        </is>
      </c>
      <c r="C205" t="n">
        <v>0</v>
      </c>
      <c r="D205" t="n">
        <v>0</v>
      </c>
      <c r="E205" t="n">
        <v>0</v>
      </c>
      <c r="F205" t="n">
        <v>0</v>
      </c>
      <c r="H205" t="n">
        <v>0</v>
      </c>
      <c r="I205" t="n">
        <v>0</v>
      </c>
      <c r="J205" t="n">
        <v>0</v>
      </c>
      <c r="K205" t="n">
        <v>0</v>
      </c>
      <c r="L205" t="n">
        <v>0</v>
      </c>
      <c r="M205" t="n">
        <v>0</v>
      </c>
      <c r="N205" t="n">
        <v>0</v>
      </c>
    </row>
    <row r="206">
      <c r="A206" t="inlineStr">
        <is>
          <t>stock</t>
        </is>
      </c>
      <c r="B206" t="inlineStr">
        <is>
          <t>total, 2. 2 remain, worth 10 shilling each, in the keeping of the said john, to be handed back and restored at the end of his farm as before.</t>
        </is>
      </c>
      <c r="C206" t="n">
        <v>0.5</v>
      </c>
      <c r="D206" t="n">
        <v>0</v>
      </c>
      <c r="E206" t="n">
        <v>10</v>
      </c>
      <c r="F206" t="n">
        <v>0</v>
      </c>
      <c r="H206" t="n">
        <v>0</v>
      </c>
      <c r="I206" t="n">
        <v>0</v>
      </c>
      <c r="J206" t="n">
        <v>0</v>
      </c>
      <c r="K206" t="n">
        <v>0</v>
      </c>
      <c r="L206" t="n">
        <v>0</v>
      </c>
      <c r="M206" t="n">
        <v>0</v>
      </c>
      <c r="N206" t="n">
        <v>0</v>
      </c>
    </row>
    <row r="207">
      <c r="A207" t="inlineStr">
        <is>
          <t>stock</t>
        </is>
      </c>
      <c r="B207" t="inlineStr">
        <is>
          <t>oxen: none.</t>
        </is>
      </c>
      <c r="C207" t="n">
        <v>0</v>
      </c>
      <c r="D207" t="n">
        <v>0</v>
      </c>
      <c r="E207" t="n">
        <v>0</v>
      </c>
      <c r="F207" t="n">
        <v>0</v>
      </c>
      <c r="H207" t="n">
        <v>0</v>
      </c>
      <c r="I207" t="n">
        <v>0</v>
      </c>
      <c r="J207" t="n">
        <v>0</v>
      </c>
      <c r="K207" t="n">
        <v>0</v>
      </c>
      <c r="L207" t="n">
        <v>0</v>
      </c>
      <c r="M207" t="n">
        <v>0</v>
      </c>
      <c r="N207" t="n">
        <v>0</v>
      </c>
    </row>
    <row r="208">
      <c r="A208" t="inlineStr">
        <is>
          <t>stock</t>
        </is>
      </c>
      <c r="B208" t="inlineStr">
        <is>
          <t>cows: 19 remain.</t>
        </is>
      </c>
      <c r="C208" t="n">
        <v>0</v>
      </c>
      <c r="D208" t="n">
        <v>0</v>
      </c>
      <c r="E208" t="n">
        <v>0</v>
      </c>
      <c r="F208" t="n">
        <v>0</v>
      </c>
      <c r="H208" t="n">
        <v>0</v>
      </c>
      <c r="I208" t="n">
        <v>0</v>
      </c>
      <c r="J208" t="n">
        <v>0</v>
      </c>
      <c r="K208" t="n">
        <v>0</v>
      </c>
      <c r="L208" t="n">
        <v>0</v>
      </c>
      <c r="M208" t="n">
        <v>0</v>
      </c>
      <c r="N208" t="n">
        <v>0</v>
      </c>
    </row>
    <row r="209">
      <c r="A209" t="inlineStr">
        <is>
          <t>stock</t>
        </is>
      </c>
      <c r="B209" t="inlineStr">
        <is>
          <t>1 from the heriot of adam chapeleyn.</t>
        </is>
      </c>
      <c r="C209" t="n">
        <v>0</v>
      </c>
      <c r="D209" t="n">
        <v>0</v>
      </c>
      <c r="E209" t="n">
        <v>0</v>
      </c>
      <c r="F209" t="n">
        <v>0</v>
      </c>
      <c r="H209" t="n">
        <v>0</v>
      </c>
      <c r="I209" t="n">
        <v>0</v>
      </c>
      <c r="J209" t="n">
        <v>0</v>
      </c>
      <c r="K209" t="n">
        <v>0</v>
      </c>
      <c r="L209" t="n">
        <v>0</v>
      </c>
      <c r="M209" t="n">
        <v>0</v>
      </c>
      <c r="N209" t="n">
        <v>0</v>
      </c>
    </row>
    <row r="210">
      <c r="A210" t="inlineStr">
        <is>
          <t>stock</t>
        </is>
      </c>
      <c r="B210" t="inlineStr">
        <is>
          <t>1 from the heriot of john rundell'.</t>
        </is>
      </c>
      <c r="C210" t="n">
        <v>0</v>
      </c>
      <c r="D210" t="n">
        <v>0</v>
      </c>
      <c r="E210" t="n">
        <v>0</v>
      </c>
      <c r="F210" t="n">
        <v>0</v>
      </c>
      <c r="H210" t="n">
        <v>0</v>
      </c>
      <c r="I210" t="n">
        <v>0</v>
      </c>
      <c r="J210" t="n">
        <v>0</v>
      </c>
      <c r="K210" t="n">
        <v>0</v>
      </c>
      <c r="L210" t="n">
        <v>0</v>
      </c>
      <c r="M210" t="n">
        <v>0</v>
      </c>
      <c r="N210" t="n">
        <v>0</v>
      </c>
    </row>
    <row r="211">
      <c r="A211" t="inlineStr">
        <is>
          <t>stock</t>
        </is>
      </c>
      <c r="B211" t="inlineStr">
        <is>
          <t>1 from the heriot of john forde.</t>
        </is>
      </c>
      <c r="C211" t="n">
        <v>0</v>
      </c>
      <c r="D211" t="n">
        <v>0</v>
      </c>
      <c r="E211" t="n">
        <v>0</v>
      </c>
      <c r="F211" t="n">
        <v>0</v>
      </c>
      <c r="H211" t="n">
        <v>0</v>
      </c>
      <c r="I211" t="n">
        <v>0</v>
      </c>
      <c r="J211" t="n">
        <v>0</v>
      </c>
      <c r="K211" t="n">
        <v>0</v>
      </c>
      <c r="L211" t="n">
        <v>0</v>
      </c>
      <c r="M211" t="n">
        <v>0</v>
      </c>
      <c r="N211" t="n">
        <v>0</v>
      </c>
    </row>
    <row r="212">
      <c r="A212" t="inlineStr">
        <is>
          <t>stock</t>
        </is>
      </c>
      <c r="B212" t="inlineStr">
        <is>
          <t>total, 22. 3 sold within.</t>
        </is>
      </c>
      <c r="C212" t="n">
        <v>0</v>
      </c>
      <c r="D212" t="n">
        <v>0</v>
      </c>
      <c r="E212" t="n">
        <v>0</v>
      </c>
      <c r="F212" t="n">
        <v>0</v>
      </c>
      <c r="H212" t="n">
        <v>0</v>
      </c>
      <c r="I212" t="n">
        <v>0</v>
      </c>
      <c r="J212" t="n">
        <v>0</v>
      </c>
      <c r="K212" t="n">
        <v>0</v>
      </c>
      <c r="L212" t="n">
        <v>0</v>
      </c>
      <c r="M212" t="n">
        <v>0</v>
      </c>
      <c r="N212" t="n">
        <v>0</v>
      </c>
    </row>
    <row r="213">
      <c r="A213" t="inlineStr">
        <is>
          <t>stock</t>
        </is>
      </c>
      <c r="B213" t="inlineStr">
        <is>
          <t>total, 3. 19 remain, worth 10 shilling each, in the keeping of the said john, to be handed back and restored at the end of his farm as before.</t>
        </is>
      </c>
      <c r="C213" t="n">
        <v>0.5</v>
      </c>
      <c r="D213" t="n">
        <v>0</v>
      </c>
      <c r="E213" t="n">
        <v>10</v>
      </c>
      <c r="F213" t="n">
        <v>0</v>
      </c>
      <c r="H213" t="n">
        <v>0</v>
      </c>
      <c r="I213" t="n">
        <v>0</v>
      </c>
      <c r="J213" t="n">
        <v>0</v>
      </c>
      <c r="K213" t="n">
        <v>0</v>
      </c>
      <c r="L213" t="n">
        <v>0</v>
      </c>
      <c r="M213" t="n">
        <v>0</v>
      </c>
      <c r="N213" t="n">
        <v>0</v>
      </c>
    </row>
    <row r="214">
      <c r="A214" t="inlineStr">
        <is>
          <t>stock</t>
        </is>
      </c>
      <c r="B214" t="inlineStr">
        <is>
          <t>yearlings: 10 remain.</t>
        </is>
      </c>
      <c r="C214" t="n">
        <v>0</v>
      </c>
      <c r="D214" t="n">
        <v>0</v>
      </c>
      <c r="E214" t="n">
        <v>0</v>
      </c>
      <c r="F214" t="n">
        <v>0</v>
      </c>
      <c r="H214" t="n">
        <v>0</v>
      </c>
      <c r="I214" t="n">
        <v>0</v>
      </c>
      <c r="J214" t="n">
        <v>0</v>
      </c>
      <c r="K214" t="n">
        <v>0</v>
      </c>
      <c r="L214" t="n">
        <v>0</v>
      </c>
      <c r="M214" t="n">
        <v>0</v>
      </c>
      <c r="N214" t="n">
        <v>0</v>
      </c>
    </row>
    <row r="215">
      <c r="A215" t="inlineStr">
        <is>
          <t>stock</t>
        </is>
      </c>
      <c r="B215" t="inlineStr">
        <is>
          <t>total, 10. 10 remain, worth 3 shilling 4pence each, in the keeping of the said john, farmer, to be handed back and restored at the end of his farm as before.</t>
        </is>
      </c>
      <c r="C215" t="n">
        <v>0.17</v>
      </c>
      <c r="D215" t="n">
        <v>0</v>
      </c>
      <c r="E215" t="n">
        <v>3</v>
      </c>
      <c r="F215" t="n">
        <v>4</v>
      </c>
      <c r="H215" t="n">
        <v>0</v>
      </c>
      <c r="I215" t="n">
        <v>0</v>
      </c>
      <c r="J215" t="n">
        <v>0</v>
      </c>
      <c r="K215" t="n">
        <v>0</v>
      </c>
      <c r="L215" t="n">
        <v>0</v>
      </c>
      <c r="M215" t="n">
        <v>0</v>
      </c>
      <c r="N215" t="n">
        <v>0</v>
      </c>
    </row>
    <row r="216">
      <c r="A216" t="inlineStr">
        <is>
          <t>stock</t>
        </is>
      </c>
      <c r="B216" t="inlineStr">
        <is>
          <t>no calves this year.</t>
        </is>
      </c>
      <c r="C216" t="n">
        <v>0</v>
      </c>
      <c r="D216" t="n">
        <v>0</v>
      </c>
      <c r="E216" t="n">
        <v>0</v>
      </c>
      <c r="F216" t="n">
        <v>0</v>
      </c>
      <c r="H216" t="n">
        <v>0</v>
      </c>
      <c r="I216" t="n">
        <v>0</v>
      </c>
      <c r="J216" t="n">
        <v>0</v>
      </c>
      <c r="K216" t="n">
        <v>0</v>
      </c>
      <c r="L216" t="n">
        <v>0</v>
      </c>
      <c r="M216" t="n">
        <v>0</v>
      </c>
      <c r="N216" t="n">
        <v>0</v>
      </c>
    </row>
    <row r="217">
      <c r="A217" t="inlineStr">
        <is>
          <t>stock</t>
        </is>
      </c>
      <c r="B217" t="inlineStr">
        <is>
          <t>no wethers.</t>
        </is>
      </c>
      <c r="C217" t="n">
        <v>0</v>
      </c>
      <c r="D217" t="n">
        <v>0</v>
      </c>
      <c r="E217" t="n">
        <v>0</v>
      </c>
      <c r="F217" t="n">
        <v>0</v>
      </c>
      <c r="H217" t="n">
        <v>0</v>
      </c>
      <c r="I217" t="n">
        <v>0</v>
      </c>
      <c r="J217" t="n">
        <v>0</v>
      </c>
      <c r="K217" t="n">
        <v>0</v>
      </c>
      <c r="L217" t="n">
        <v>0</v>
      </c>
      <c r="M217" t="n">
        <v>0</v>
      </c>
      <c r="N217" t="n">
        <v>0</v>
      </c>
    </row>
    <row r="218">
      <c r="A218" t="inlineStr">
        <is>
          <t>stock</t>
        </is>
      </c>
      <c r="B218" t="inlineStr">
        <is>
          <t>no rams.</t>
        </is>
      </c>
      <c r="C218" t="n">
        <v>0</v>
      </c>
      <c r="D218" t="n">
        <v>0</v>
      </c>
      <c r="E218" t="n">
        <v>0</v>
      </c>
      <c r="F218" t="n">
        <v>0</v>
      </c>
      <c r="H218" t="n">
        <v>0</v>
      </c>
      <c r="I218" t="n">
        <v>0</v>
      </c>
      <c r="J218" t="n">
        <v>0</v>
      </c>
      <c r="K218" t="n">
        <v>0</v>
      </c>
      <c r="L218" t="n">
        <v>0</v>
      </c>
      <c r="M218" t="n">
        <v>0</v>
      </c>
      <c r="N218" t="n">
        <v>0</v>
      </c>
    </row>
    <row r="219">
      <c r="A219" t="inlineStr">
        <is>
          <t>stock</t>
        </is>
      </c>
      <c r="B219" t="inlineStr">
        <is>
          <t>ewes: 1 from the heriot of richard asser.</t>
        </is>
      </c>
      <c r="C219" t="n">
        <v>0</v>
      </c>
      <c r="D219" t="n">
        <v>0</v>
      </c>
      <c r="E219" t="n">
        <v>0</v>
      </c>
      <c r="F219" t="n">
        <v>0</v>
      </c>
      <c r="H219" t="n">
        <v>0</v>
      </c>
      <c r="I219" t="n">
        <v>0</v>
      </c>
      <c r="J219" t="n">
        <v>0</v>
      </c>
      <c r="K219" t="n">
        <v>0</v>
      </c>
      <c r="L219" t="n">
        <v>0</v>
      </c>
      <c r="M219" t="n">
        <v>0</v>
      </c>
      <c r="N219" t="n">
        <v>0</v>
      </c>
    </row>
    <row r="220">
      <c r="A220" t="inlineStr">
        <is>
          <t>stock</t>
        </is>
      </c>
      <c r="B220" t="inlineStr">
        <is>
          <t>sold within.</t>
        </is>
      </c>
      <c r="C220" t="n">
        <v>0</v>
      </c>
      <c r="D220" t="n">
        <v>0</v>
      </c>
      <c r="E220" t="n">
        <v>0</v>
      </c>
      <c r="F220" t="n">
        <v>0</v>
      </c>
      <c r="H220" t="n">
        <v>0</v>
      </c>
      <c r="I220" t="n">
        <v>0</v>
      </c>
      <c r="J220" t="n">
        <v>0</v>
      </c>
      <c r="K220" t="n">
        <v>0</v>
      </c>
      <c r="L220" t="n">
        <v>0</v>
      </c>
      <c r="M220" t="n">
        <v>0</v>
      </c>
      <c r="N220" t="n">
        <v>0</v>
      </c>
    </row>
    <row r="221">
      <c r="A221" t="inlineStr">
        <is>
          <t>stock</t>
        </is>
      </c>
      <c r="B221" t="inlineStr">
        <is>
          <t>none remain.</t>
        </is>
      </c>
      <c r="C221" t="n">
        <v>0</v>
      </c>
      <c r="D221" t="n">
        <v>0</v>
      </c>
      <c r="E221" t="n">
        <v>0</v>
      </c>
      <c r="F221" t="n">
        <v>0</v>
      </c>
      <c r="H221" t="n">
        <v>0</v>
      </c>
      <c r="I221" t="n">
        <v>0</v>
      </c>
      <c r="J221" t="n">
        <v>0</v>
      </c>
      <c r="K221" t="n">
        <v>0</v>
      </c>
      <c r="L221" t="n">
        <v>0</v>
      </c>
      <c r="M221" t="n">
        <v>0</v>
      </c>
      <c r="N221" t="n">
        <v>0</v>
      </c>
    </row>
    <row r="222">
      <c r="A222" t="inlineStr">
        <is>
          <t>stock</t>
        </is>
      </c>
      <c r="B222" t="inlineStr">
        <is>
          <t>none: no hoggs.</t>
        </is>
      </c>
      <c r="C222" t="n">
        <v>0</v>
      </c>
      <c r="D222" t="n">
        <v>0</v>
      </c>
      <c r="E222" t="n">
        <v>0</v>
      </c>
      <c r="F222" t="n">
        <v>0</v>
      </c>
      <c r="H222" t="n">
        <v>0</v>
      </c>
      <c r="I222" t="n">
        <v>0</v>
      </c>
      <c r="J222" t="n">
        <v>0</v>
      </c>
      <c r="K222" t="n">
        <v>0</v>
      </c>
      <c r="L222" t="n">
        <v>0</v>
      </c>
      <c r="M222" t="n">
        <v>0</v>
      </c>
      <c r="N222" t="n">
        <v>0</v>
      </c>
    </row>
    <row r="223">
      <c r="A223" t="inlineStr">
        <is>
          <t>stock</t>
        </is>
      </c>
      <c r="B223" t="inlineStr">
        <is>
          <t>no lambs.</t>
        </is>
      </c>
      <c r="C223" t="n">
        <v>0</v>
      </c>
      <c r="D223" t="n">
        <v>0</v>
      </c>
      <c r="E223" t="n">
        <v>0</v>
      </c>
      <c r="F223" t="n">
        <v>0</v>
      </c>
      <c r="H223" t="n">
        <v>0</v>
      </c>
      <c r="I223" t="n">
        <v>0</v>
      </c>
      <c r="J223" t="n">
        <v>0</v>
      </c>
      <c r="K223" t="n">
        <v>0</v>
      </c>
      <c r="L223" t="n">
        <v>0</v>
      </c>
      <c r="M223" t="n">
        <v>0</v>
      </c>
      <c r="N223" t="n">
        <v>0</v>
      </c>
    </row>
    <row r="224">
      <c r="A224" t="inlineStr">
        <is>
          <t>stock</t>
        </is>
      </c>
      <c r="B224" t="inlineStr">
        <is>
          <t>no boars.</t>
        </is>
      </c>
      <c r="C224" t="n">
        <v>0</v>
      </c>
      <c r="D224" t="n">
        <v>0</v>
      </c>
      <c r="E224" t="n">
        <v>0</v>
      </c>
      <c r="F224" t="n">
        <v>0</v>
      </c>
      <c r="H224" t="n">
        <v>0</v>
      </c>
      <c r="I224" t="n">
        <v>0</v>
      </c>
      <c r="J224" t="n">
        <v>0</v>
      </c>
      <c r="K224" t="n">
        <v>0</v>
      </c>
      <c r="L224" t="n">
        <v>0</v>
      </c>
      <c r="M224" t="n">
        <v>0</v>
      </c>
      <c r="N224" t="n">
        <v>0</v>
      </c>
    </row>
    <row r="225">
      <c r="A225" t="inlineStr">
        <is>
          <t>stock</t>
        </is>
      </c>
      <c r="B225" t="inlineStr">
        <is>
          <t>no sows.</t>
        </is>
      </c>
      <c r="C225" t="n">
        <v>0</v>
      </c>
      <c r="D225" t="n">
        <v>0</v>
      </c>
      <c r="E225" t="n">
        <v>0</v>
      </c>
      <c r="F225" t="n">
        <v>0</v>
      </c>
      <c r="H225" t="n">
        <v>0</v>
      </c>
      <c r="I225" t="n">
        <v>0</v>
      </c>
      <c r="J225" t="n">
        <v>0</v>
      </c>
      <c r="K225" t="n">
        <v>0</v>
      </c>
      <c r="L225" t="n">
        <v>0</v>
      </c>
      <c r="M225" t="n">
        <v>0</v>
      </c>
      <c r="N225" t="n">
        <v>0</v>
      </c>
    </row>
    <row r="226">
      <c r="A226" t="inlineStr">
        <is>
          <t>stock</t>
        </is>
      </c>
      <c r="B226" t="inlineStr">
        <is>
          <t>no pigs.</t>
        </is>
      </c>
      <c r="C226" t="n">
        <v>0</v>
      </c>
      <c r="D226" t="n">
        <v>0</v>
      </c>
      <c r="E226" t="n">
        <v>0</v>
      </c>
      <c r="F226" t="n">
        <v>0</v>
      </c>
      <c r="H226" t="n">
        <v>0</v>
      </c>
      <c r="I226" t="n">
        <v>0</v>
      </c>
      <c r="J226" t="n">
        <v>0</v>
      </c>
      <c r="K226" t="n">
        <v>0</v>
      </c>
      <c r="L226" t="n">
        <v>0</v>
      </c>
      <c r="M226" t="n">
        <v>0</v>
      </c>
      <c r="N226" t="n">
        <v>0</v>
      </c>
    </row>
    <row r="227">
      <c r="A227" t="inlineStr">
        <is>
          <t>stock</t>
        </is>
      </c>
      <c r="B227" t="inlineStr">
        <is>
          <t>no hoggets.</t>
        </is>
      </c>
      <c r="C227" t="n">
        <v>0</v>
      </c>
      <c r="D227" t="n">
        <v>0</v>
      </c>
      <c r="E227" t="n">
        <v>0</v>
      </c>
      <c r="F227" t="n">
        <v>0</v>
      </c>
      <c r="H227" t="n">
        <v>0</v>
      </c>
      <c r="I227" t="n">
        <v>0</v>
      </c>
      <c r="J227" t="n">
        <v>0</v>
      </c>
      <c r="K227" t="n">
        <v>0</v>
      </c>
      <c r="L227" t="n">
        <v>0</v>
      </c>
      <c r="M227" t="n">
        <v>0</v>
      </c>
      <c r="N227" t="n">
        <v>0</v>
      </c>
    </row>
    <row r="228">
      <c r="A228" t="inlineStr">
        <is>
          <t>stock</t>
        </is>
      </c>
      <c r="B228" t="inlineStr">
        <is>
          <t>no piglets.</t>
        </is>
      </c>
      <c r="C228" t="n">
        <v>0</v>
      </c>
      <c r="D228" t="n">
        <v>0</v>
      </c>
      <c r="E228" t="n">
        <v>0</v>
      </c>
      <c r="F228" t="n">
        <v>0</v>
      </c>
      <c r="H228" t="n">
        <v>0</v>
      </c>
      <c r="I228" t="n">
        <v>0</v>
      </c>
      <c r="J228" t="n">
        <v>0</v>
      </c>
      <c r="K228" t="n">
        <v>0</v>
      </c>
      <c r="L228" t="n">
        <v>0</v>
      </c>
      <c r="M228" t="n">
        <v>0</v>
      </c>
      <c r="N228" t="n">
        <v>0</v>
      </c>
    </row>
    <row r="229">
      <c r="A229" t="inlineStr">
        <is>
          <t>stock</t>
        </is>
      </c>
      <c r="B229" t="inlineStr">
        <is>
          <t>no hides.</t>
        </is>
      </c>
      <c r="C229" t="n">
        <v>0</v>
      </c>
      <c r="D229" t="n">
        <v>0</v>
      </c>
      <c r="E229" t="n">
        <v>0</v>
      </c>
      <c r="F229" t="n">
        <v>0</v>
      </c>
      <c r="H229" t="n">
        <v>0</v>
      </c>
      <c r="I229" t="n">
        <v>0</v>
      </c>
      <c r="J229" t="n">
        <v>0</v>
      </c>
      <c r="K229" t="n">
        <v>0</v>
      </c>
      <c r="L229" t="n">
        <v>0</v>
      </c>
      <c r="M229" t="n">
        <v>0</v>
      </c>
      <c r="N229" t="n">
        <v>0</v>
      </c>
    </row>
    <row r="230">
      <c r="A230" t="inlineStr">
        <is>
          <t>stock</t>
        </is>
      </c>
      <c r="B230" t="inlineStr">
        <is>
          <t>no wool.</t>
        </is>
      </c>
      <c r="C230" t="n">
        <v>0</v>
      </c>
      <c r="D230" t="n">
        <v>0</v>
      </c>
      <c r="E230" t="n">
        <v>0</v>
      </c>
      <c r="F230" t="n">
        <v>0</v>
      </c>
      <c r="H230" t="n">
        <v>0</v>
      </c>
      <c r="I230" t="n">
        <v>0</v>
      </c>
      <c r="J230" t="n">
        <v>0</v>
      </c>
      <c r="K230" t="n">
        <v>0</v>
      </c>
      <c r="L230" t="n">
        <v>0</v>
      </c>
      <c r="M230" t="n">
        <v>0</v>
      </c>
      <c r="N230" t="n">
        <v>0</v>
      </c>
    </row>
    <row r="231">
      <c r="A231" t="inlineStr">
        <is>
          <t>stock</t>
        </is>
      </c>
      <c r="B231" t="inlineStr">
        <is>
          <t>no skins.</t>
        </is>
      </c>
      <c r="C231" t="n">
        <v>0</v>
      </c>
      <c r="D231" t="n">
        <v>0</v>
      </c>
      <c r="E231" t="n">
        <v>0</v>
      </c>
      <c r="F231" t="n">
        <v>0</v>
      </c>
      <c r="H231" t="n">
        <v>0</v>
      </c>
      <c r="I231" t="n">
        <v>0</v>
      </c>
      <c r="J231" t="n">
        <v>0</v>
      </c>
      <c r="K231" t="n">
        <v>0</v>
      </c>
      <c r="L231" t="n">
        <v>0</v>
      </c>
      <c r="M231" t="n">
        <v>0</v>
      </c>
      <c r="N231" t="n">
        <v>0</v>
      </c>
    </row>
    <row r="232">
      <c r="A232" t="inlineStr">
        <is>
          <t>stock</t>
        </is>
      </c>
      <c r="B232" t="inlineStr">
        <is>
          <t>no milking.</t>
        </is>
      </c>
      <c r="C232" t="n">
        <v>0</v>
      </c>
      <c r="D232" t="n">
        <v>0</v>
      </c>
      <c r="E232" t="n">
        <v>0</v>
      </c>
      <c r="F232" t="n">
        <v>0</v>
      </c>
      <c r="H232" t="n">
        <v>0</v>
      </c>
      <c r="I232" t="n">
        <v>0</v>
      </c>
      <c r="J232" t="n">
        <v>0</v>
      </c>
      <c r="K232" t="n">
        <v>0</v>
      </c>
      <c r="L232" t="n">
        <v>0</v>
      </c>
      <c r="M232" t="n">
        <v>0</v>
      </c>
      <c r="N232" t="n">
        <v>0</v>
      </c>
    </row>
    <row r="233">
      <c r="A233" t="inlineStr">
        <is>
          <t>stock</t>
        </is>
      </c>
      <c r="B233" t="inlineStr">
        <is>
          <t>no geese.</t>
        </is>
      </c>
      <c r="C233" t="n">
        <v>0</v>
      </c>
      <c r="D233" t="n">
        <v>0</v>
      </c>
      <c r="E233" t="n">
        <v>0</v>
      </c>
      <c r="F233" t="n">
        <v>0</v>
      </c>
      <c r="H233" t="n">
        <v>0</v>
      </c>
      <c r="I233" t="n">
        <v>0</v>
      </c>
      <c r="J233" t="n">
        <v>0</v>
      </c>
      <c r="K233" t="n">
        <v>0</v>
      </c>
      <c r="L233" t="n">
        <v>0</v>
      </c>
      <c r="M233" t="n">
        <v>0</v>
      </c>
      <c r="N233" t="n">
        <v>0</v>
      </c>
    </row>
    <row r="234">
      <c r="A234" t="inlineStr">
        <is>
          <t>stock</t>
        </is>
      </c>
      <c r="B234" t="inlineStr">
        <is>
          <t>capons: none from stock.</t>
        </is>
      </c>
      <c r="C234" t="n">
        <v>0</v>
      </c>
      <c r="D234" t="n">
        <v>0</v>
      </c>
      <c r="E234" t="n">
        <v>0</v>
      </c>
      <c r="F234" t="n">
        <v>0</v>
      </c>
      <c r="H234" t="n">
        <v>0</v>
      </c>
      <c r="I234" t="n">
        <v>0</v>
      </c>
      <c r="J234" t="n">
        <v>0</v>
      </c>
      <c r="K234" t="n">
        <v>0</v>
      </c>
      <c r="L234" t="n">
        <v>0</v>
      </c>
      <c r="M234" t="n">
        <v>0</v>
      </c>
      <c r="N234" t="n">
        <v>0</v>
      </c>
    </row>
    <row r="235">
      <c r="A235" t="inlineStr">
        <is>
          <t>stock</t>
        </is>
      </c>
      <c r="B235" t="inlineStr">
        <is>
          <t>6 for the rent of emma atte mulle.</t>
        </is>
      </c>
      <c r="C235" t="n">
        <v>0</v>
      </c>
      <c r="D235" t="n">
        <v>0</v>
      </c>
      <c r="E235" t="n">
        <v>0</v>
      </c>
      <c r="F235" t="n">
        <v>0</v>
      </c>
      <c r="H235" t="n">
        <v>0</v>
      </c>
      <c r="I235" t="n">
        <v>0</v>
      </c>
      <c r="J235" t="n">
        <v>0</v>
      </c>
      <c r="K235" t="n">
        <v>0</v>
      </c>
      <c r="L235" t="n">
        <v>0</v>
      </c>
      <c r="M235" t="n">
        <v>0</v>
      </c>
      <c r="N235" t="n">
        <v>0</v>
      </c>
    </row>
    <row r="236">
      <c r="A236" t="inlineStr">
        <is>
          <t>stock</t>
        </is>
      </c>
      <c r="B236" t="inlineStr">
        <is>
          <t>total, 6. sold within.</t>
        </is>
      </c>
      <c r="C236" t="n">
        <v>0</v>
      </c>
      <c r="D236" t="n">
        <v>0</v>
      </c>
      <c r="E236" t="n">
        <v>0</v>
      </c>
      <c r="F236" t="n">
        <v>0</v>
      </c>
      <c r="H236" t="n">
        <v>0</v>
      </c>
      <c r="I236" t="n">
        <v>0</v>
      </c>
      <c r="J236" t="n">
        <v>0</v>
      </c>
      <c r="K236" t="n">
        <v>0</v>
      </c>
      <c r="L236" t="n">
        <v>0</v>
      </c>
      <c r="M236" t="n">
        <v>0</v>
      </c>
      <c r="N236" t="n">
        <v>0</v>
      </c>
    </row>
    <row r="237">
      <c r="A237" t="inlineStr">
        <is>
          <t>stock</t>
        </is>
      </c>
      <c r="B237" t="inlineStr">
        <is>
          <t>none remain.</t>
        </is>
      </c>
      <c r="C237" t="n">
        <v>0</v>
      </c>
      <c r="D237" t="n">
        <v>0</v>
      </c>
      <c r="E237" t="n">
        <v>0</v>
      </c>
      <c r="F237" t="n">
        <v>0</v>
      </c>
      <c r="H237" t="n">
        <v>0</v>
      </c>
      <c r="I237" t="n">
        <v>0</v>
      </c>
      <c r="J237" t="n">
        <v>0</v>
      </c>
      <c r="K237" t="n">
        <v>0</v>
      </c>
      <c r="L237" t="n">
        <v>0</v>
      </c>
      <c r="M237" t="n">
        <v>0</v>
      </c>
      <c r="N237" t="n">
        <v>0</v>
      </c>
    </row>
    <row r="238">
      <c r="A238" t="inlineStr">
        <is>
          <t>stock</t>
        </is>
      </c>
      <c r="B238" t="inlineStr">
        <is>
          <t>cocks and hens: none from stock.</t>
        </is>
      </c>
      <c r="C238" t="n">
        <v>0</v>
      </c>
      <c r="D238" t="n">
        <v>0</v>
      </c>
      <c r="E238" t="n">
        <v>0</v>
      </c>
      <c r="F238" t="n">
        <v>0</v>
      </c>
      <c r="H238" t="n">
        <v>0</v>
      </c>
      <c r="I238" t="n">
        <v>0</v>
      </c>
      <c r="J238" t="n">
        <v>0</v>
      </c>
      <c r="K238" t="n">
        <v>0</v>
      </c>
      <c r="L238" t="n">
        <v>0</v>
      </c>
      <c r="M238" t="n">
        <v>0</v>
      </c>
      <c r="N238" t="n">
        <v>0</v>
      </c>
    </row>
    <row r="239">
      <c r="A239" t="inlineStr">
        <is>
          <t>stock</t>
        </is>
      </c>
      <c r="B239" t="inlineStr">
        <is>
          <t>28 from churchscot at martinmas, of which 4 are from william prew, 3 from william tut, 4 from richard smyth' and john buryman, 6 from alice aylon, and 4 from alan acreman for 2 cotlands.</t>
        </is>
      </c>
      <c r="C239" t="n">
        <v>0</v>
      </c>
      <c r="D239" t="n">
        <v>0</v>
      </c>
      <c r="E239" t="n">
        <v>0</v>
      </c>
      <c r="F239" t="n">
        <v>0</v>
      </c>
      <c r="H239" t="n">
        <v>0</v>
      </c>
      <c r="I239" t="n">
        <v>0</v>
      </c>
      <c r="J239" t="n">
        <v>0</v>
      </c>
      <c r="K239" t="n">
        <v>0</v>
      </c>
      <c r="L239" t="n">
        <v>0</v>
      </c>
      <c r="M239" t="n">
        <v>0</v>
      </c>
      <c r="N239" t="n">
        <v>0</v>
      </c>
    </row>
    <row r="240">
      <c r="A240" t="inlineStr">
        <is>
          <t>stock</t>
        </is>
      </c>
      <c r="B240" t="inlineStr">
        <is>
          <t>total, 28. 4 in default of the churchscot of 1 cotland of john dawe which formerly belonged to william gilot and william gille because their tenements are in the lord's hands and at farm as made clear within.</t>
        </is>
      </c>
      <c r="C240" t="n">
        <v>0</v>
      </c>
      <c r="D240" t="n">
        <v>0</v>
      </c>
      <c r="E240" t="n">
        <v>0</v>
      </c>
      <c r="F240" t="n">
        <v>0</v>
      </c>
      <c r="H240" t="n">
        <v>0</v>
      </c>
      <c r="I240" t="n">
        <v>0</v>
      </c>
      <c r="J240" t="n">
        <v>0</v>
      </c>
      <c r="K240" t="n">
        <v>0</v>
      </c>
      <c r="L240" t="n">
        <v>0</v>
      </c>
      <c r="M240" t="n">
        <v>0</v>
      </c>
      <c r="N240" t="n">
        <v>0</v>
      </c>
    </row>
    <row r="241">
      <c r="A241" t="inlineStr">
        <is>
          <t>stock</t>
        </is>
      </c>
      <c r="B241" t="inlineStr">
        <is>
          <t>1 in default of 1 messuage and 1 acreland, containing 12 acres of land, and 1 acre of meadow formerly of richard smyth' and now of gregory benet, because he pays a fixed rent this year.</t>
        </is>
      </c>
      <c r="C241" t="n">
        <v>0</v>
      </c>
      <c r="D241" t="n">
        <v>0</v>
      </c>
      <c r="E241" t="n">
        <v>0</v>
      </c>
      <c r="F241" t="n">
        <v>0</v>
      </c>
      <c r="H241" t="n">
        <v>0</v>
      </c>
      <c r="I241" t="n">
        <v>0</v>
      </c>
      <c r="J241" t="n">
        <v>0</v>
      </c>
      <c r="K241" t="n">
        <v>0</v>
      </c>
      <c r="L241" t="n">
        <v>0</v>
      </c>
      <c r="M241" t="n">
        <v>0</v>
      </c>
      <c r="N241" t="n">
        <v>0</v>
      </c>
    </row>
    <row r="242">
      <c r="A242" t="inlineStr">
        <is>
          <t>stock</t>
        </is>
      </c>
      <c r="B242" t="inlineStr">
        <is>
          <t>6 in default of the churchscot of 2 acrelands formerly of richard bolt, mabel dawe and john dolphyn and now of richard white, alice wylot and richard atte mulle for the aforesaid reason.</t>
        </is>
      </c>
      <c r="C242" t="n">
        <v>0</v>
      </c>
      <c r="D242" t="n">
        <v>0</v>
      </c>
      <c r="E242" t="n">
        <v>0</v>
      </c>
      <c r="F242" t="n">
        <v>0</v>
      </c>
      <c r="H242" t="n">
        <v>0</v>
      </c>
      <c r="I242" t="n">
        <v>0</v>
      </c>
      <c r="J242" t="n">
        <v>0</v>
      </c>
      <c r="K242" t="n">
        <v>0</v>
      </c>
      <c r="L242" t="n">
        <v>0</v>
      </c>
      <c r="M242" t="n">
        <v>0</v>
      </c>
      <c r="N242" t="n">
        <v>0</v>
      </c>
    </row>
    <row r="243">
      <c r="A243" t="inlineStr">
        <is>
          <t>stock</t>
        </is>
      </c>
      <c r="B243" t="inlineStr">
        <is>
          <t>4 in default of 2 acrelands formerly of alan acreman and now of william jakeman and robert atte style for the aforesaid reason.</t>
        </is>
      </c>
      <c r="C243" t="n">
        <v>0</v>
      </c>
      <c r="D243" t="n">
        <v>0</v>
      </c>
      <c r="E243" t="n">
        <v>0</v>
      </c>
      <c r="F243" t="n">
        <v>0</v>
      </c>
      <c r="H243" t="n">
        <v>0</v>
      </c>
      <c r="I243" t="n">
        <v>0</v>
      </c>
      <c r="J243" t="n">
        <v>0</v>
      </c>
      <c r="K243" t="n">
        <v>0</v>
      </c>
      <c r="L243" t="n">
        <v>0</v>
      </c>
      <c r="M243" t="n">
        <v>0</v>
      </c>
      <c r="N243" t="n">
        <v>0</v>
      </c>
    </row>
    <row r="244">
      <c r="A244" t="inlineStr">
        <is>
          <t>stock</t>
        </is>
      </c>
      <c r="B244" t="inlineStr">
        <is>
          <t>1 in default of 1 acreland formerly of richard buryman and now of john scot for the aforesaid reason.</t>
        </is>
      </c>
      <c r="C244" t="n">
        <v>0</v>
      </c>
      <c r="D244" t="n">
        <v>0</v>
      </c>
      <c r="E244" t="n">
        <v>0</v>
      </c>
      <c r="F244" t="n">
        <v>0</v>
      </c>
      <c r="H244" t="n">
        <v>0</v>
      </c>
      <c r="I244" t="n">
        <v>0</v>
      </c>
      <c r="J244" t="n">
        <v>0</v>
      </c>
      <c r="K244" t="n">
        <v>0</v>
      </c>
      <c r="L244" t="n">
        <v>0</v>
      </c>
      <c r="M244" t="n">
        <v>0</v>
      </c>
      <c r="N244" t="n">
        <v>0</v>
      </c>
    </row>
    <row r="245">
      <c r="A245" t="inlineStr">
        <is>
          <t>stock</t>
        </is>
      </c>
      <c r="B245" t="inlineStr">
        <is>
          <t>2 in default of 1 cotland formerly of alice aylon and now of henry gille for the aforesaid reason.</t>
        </is>
      </c>
      <c r="C245" t="n">
        <v>0</v>
      </c>
      <c r="D245" t="n">
        <v>0</v>
      </c>
      <c r="E245" t="n">
        <v>0</v>
      </c>
      <c r="F245" t="n">
        <v>0</v>
      </c>
      <c r="H245" t="n">
        <v>0</v>
      </c>
      <c r="I245" t="n">
        <v>0</v>
      </c>
      <c r="J245" t="n">
        <v>0</v>
      </c>
      <c r="K245" t="n">
        <v>0</v>
      </c>
      <c r="L245" t="n">
        <v>0</v>
      </c>
      <c r="M245" t="n">
        <v>0</v>
      </c>
      <c r="N245" t="n">
        <v>0</v>
      </c>
    </row>
    <row r="246">
      <c r="A246" t="inlineStr">
        <is>
          <t>stock</t>
        </is>
      </c>
      <c r="B246" t="inlineStr">
        <is>
          <t>10 sold within.</t>
        </is>
      </c>
      <c r="C246" t="n">
        <v>0</v>
      </c>
      <c r="D246" t="n">
        <v>0</v>
      </c>
      <c r="E246" t="n">
        <v>0</v>
      </c>
      <c r="F246" t="n">
        <v>0</v>
      </c>
      <c r="H246" t="n">
        <v>0</v>
      </c>
      <c r="I246" t="n">
        <v>0</v>
      </c>
      <c r="J246" t="n">
        <v>0</v>
      </c>
      <c r="K246" t="n">
        <v>0</v>
      </c>
      <c r="L246" t="n">
        <v>0</v>
      </c>
      <c r="M246" t="n">
        <v>0</v>
      </c>
      <c r="N246" t="n">
        <v>0</v>
      </c>
    </row>
    <row r="247">
      <c r="A247" t="inlineStr">
        <is>
          <t>stock</t>
        </is>
      </c>
      <c r="B247" t="inlineStr">
        <is>
          <t>total as before.</t>
        </is>
      </c>
      <c r="C247" t="n">
        <v>0</v>
      </c>
      <c r="D247" t="n">
        <v>0</v>
      </c>
      <c r="E247" t="n">
        <v>0</v>
      </c>
      <c r="F247" t="n">
        <v>0</v>
      </c>
      <c r="H247" t="n">
        <v>0</v>
      </c>
      <c r="I247" t="n">
        <v>0</v>
      </c>
      <c r="J247" t="n">
        <v>0</v>
      </c>
      <c r="K247" t="n">
        <v>0</v>
      </c>
      <c r="L247" t="n">
        <v>0</v>
      </c>
      <c r="M247" t="n">
        <v>0</v>
      </c>
      <c r="N247" t="n">
        <v>0</v>
      </c>
    </row>
    <row r="248">
      <c r="A248" t="inlineStr">
        <is>
          <t>stock</t>
        </is>
      </c>
      <c r="B248" t="inlineStr">
        <is>
          <t>none remain.</t>
        </is>
      </c>
      <c r="C248" t="n">
        <v>0</v>
      </c>
      <c r="D248" t="n">
        <v>0</v>
      </c>
      <c r="E248" t="n">
        <v>0</v>
      </c>
      <c r="F248" t="n">
        <v>0</v>
      </c>
      <c r="H248" t="n">
        <v>0</v>
      </c>
      <c r="I248" t="n">
        <v>0</v>
      </c>
      <c r="J248" t="n">
        <v>0</v>
      </c>
      <c r="K248" t="n">
        <v>0</v>
      </c>
      <c r="L248" t="n">
        <v>0</v>
      </c>
      <c r="M248" t="n">
        <v>0</v>
      </c>
      <c r="N248" t="n">
        <v>0</v>
      </c>
    </row>
    <row r="249">
      <c r="A249" t="inlineStr">
        <is>
          <t>stock</t>
        </is>
      </c>
      <c r="B249" t="inlineStr">
        <is>
          <t>laths: 2,700 laths remain.</t>
        </is>
      </c>
      <c r="C249" t="n">
        <v>0</v>
      </c>
      <c r="D249" t="n">
        <v>0</v>
      </c>
      <c r="E249" t="n">
        <v>0</v>
      </c>
      <c r="F249" t="n">
        <v>0</v>
      </c>
      <c r="H249" t="n">
        <v>0</v>
      </c>
      <c r="I249" t="n">
        <v>0</v>
      </c>
      <c r="J249" t="n">
        <v>0</v>
      </c>
      <c r="K249" t="n">
        <v>0</v>
      </c>
      <c r="L249" t="n">
        <v>0</v>
      </c>
      <c r="M249" t="n">
        <v>0</v>
      </c>
      <c r="N249" t="n">
        <v>0</v>
      </c>
    </row>
    <row r="250">
      <c r="A250" t="inlineStr">
        <is>
          <t>stock</t>
        </is>
      </c>
      <c r="B250" t="inlineStr">
        <is>
          <t>total, 2,700. 2,000 used to repair the lord's barn, hall and kitchen.</t>
        </is>
      </c>
      <c r="C250" t="n">
        <v>0</v>
      </c>
      <c r="D250" t="n">
        <v>0</v>
      </c>
      <c r="E250" t="n">
        <v>0</v>
      </c>
      <c r="F250" t="n">
        <v>0</v>
      </c>
      <c r="H250" t="n">
        <v>0</v>
      </c>
      <c r="I250" t="n">
        <v>0</v>
      </c>
      <c r="J250" t="n">
        <v>0</v>
      </c>
      <c r="K250" t="n">
        <v>0</v>
      </c>
      <c r="L250" t="n">
        <v>0</v>
      </c>
      <c r="M250" t="n">
        <v>0</v>
      </c>
      <c r="N250" t="n">
        <v>0</v>
      </c>
    </row>
    <row r="251">
      <c r="A251" t="inlineStr">
        <is>
          <t>stock</t>
        </is>
      </c>
      <c r="B251" t="inlineStr">
        <is>
          <t>400 sold within.</t>
        </is>
      </c>
      <c r="C251" t="n">
        <v>0</v>
      </c>
      <c r="D251" t="n">
        <v>0</v>
      </c>
      <c r="E251" t="n">
        <v>0</v>
      </c>
      <c r="F251" t="n">
        <v>0</v>
      </c>
      <c r="H251" t="n">
        <v>0</v>
      </c>
      <c r="I251" t="n">
        <v>0</v>
      </c>
      <c r="J251" t="n">
        <v>0</v>
      </c>
      <c r="K251" t="n">
        <v>0</v>
      </c>
      <c r="L251" t="n">
        <v>0</v>
      </c>
      <c r="M251" t="n">
        <v>0</v>
      </c>
      <c r="N251" t="n">
        <v>0</v>
      </c>
    </row>
    <row r="252">
      <c r="A252" t="inlineStr">
        <is>
          <t>stock</t>
        </is>
      </c>
      <c r="B252" t="inlineStr">
        <is>
          <t>total, 2,400. 300 remain.</t>
        </is>
      </c>
      <c r="C252" t="n">
        <v>0</v>
      </c>
      <c r="D252" t="n">
        <v>0</v>
      </c>
      <c r="E252" t="n">
        <v>0</v>
      </c>
      <c r="F252" t="n">
        <v>0</v>
      </c>
      <c r="H252" t="n">
        <v>0</v>
      </c>
      <c r="I252" t="n">
        <v>0</v>
      </c>
      <c r="J252" t="n">
        <v>0</v>
      </c>
      <c r="K252" t="n">
        <v>0</v>
      </c>
      <c r="L252" t="n">
        <v>0</v>
      </c>
      <c r="M252" t="n">
        <v>0</v>
      </c>
      <c r="N252" t="n">
        <v>0</v>
      </c>
    </row>
    <row r="253">
      <c r="A253" t="inlineStr">
        <is>
          <t>stock</t>
        </is>
      </c>
      <c r="B253" t="inlineStr">
        <is>
          <t>lime: 6 quarters of limestone remain.</t>
        </is>
      </c>
      <c r="C253" t="n">
        <v>0</v>
      </c>
      <c r="D253" t="n">
        <v>0</v>
      </c>
      <c r="E253" t="n">
        <v>0</v>
      </c>
      <c r="F253" t="n">
        <v>0</v>
      </c>
      <c r="H253" t="n">
        <v>6</v>
      </c>
      <c r="I253" t="n">
        <v>0</v>
      </c>
      <c r="J253" t="n">
        <v>6</v>
      </c>
      <c r="K253" t="n">
        <v>6</v>
      </c>
      <c r="L253" t="n">
        <v>0</v>
      </c>
      <c r="M253" t="n">
        <v>6</v>
      </c>
      <c r="N253" t="n">
        <v>0</v>
      </c>
    </row>
    <row r="254">
      <c r="A254" t="inlineStr">
        <is>
          <t>stock</t>
        </is>
      </c>
      <c r="B254" t="inlineStr">
        <is>
          <t>4 quarters 4 bushels bought at walton'.</t>
        </is>
      </c>
      <c r="C254" t="n">
        <v>0</v>
      </c>
      <c r="D254" t="n">
        <v>0</v>
      </c>
      <c r="E254" t="n">
        <v>0</v>
      </c>
      <c r="F254" t="n">
        <v>0</v>
      </c>
      <c r="H254" t="n">
        <v>4</v>
      </c>
      <c r="I254" t="n">
        <v>4</v>
      </c>
      <c r="J254" t="n">
        <v>4.5</v>
      </c>
      <c r="K254" t="n">
        <v>4.5</v>
      </c>
      <c r="L254" t="n">
        <v>0</v>
      </c>
      <c r="M254" t="n">
        <v>4</v>
      </c>
      <c r="N254" t="n">
        <v>4</v>
      </c>
    </row>
    <row r="255">
      <c r="A255" t="inlineStr">
        <is>
          <t>stock</t>
        </is>
      </c>
      <c r="B255" t="inlineStr">
        <is>
          <t>8 quarters bought at wi.t ney.</t>
        </is>
      </c>
      <c r="C255" t="n">
        <v>0</v>
      </c>
      <c r="D255" t="n">
        <v>0</v>
      </c>
      <c r="E255" t="n">
        <v>0</v>
      </c>
      <c r="F255" t="n">
        <v>0</v>
      </c>
      <c r="H255" t="n">
        <v>8</v>
      </c>
      <c r="I255" t="n">
        <v>0</v>
      </c>
      <c r="J255" t="n">
        <v>8</v>
      </c>
      <c r="K255" t="n">
        <v>8</v>
      </c>
      <c r="L255" t="n">
        <v>0</v>
      </c>
      <c r="M255" t="n">
        <v>8</v>
      </c>
      <c r="N255" t="n">
        <v>0</v>
      </c>
    </row>
    <row r="256">
      <c r="A256" t="inlineStr">
        <is>
          <t>stock</t>
        </is>
      </c>
      <c r="B256" t="inlineStr">
        <is>
          <t>total, 18 quarters 4 bushels used to repair the lord's barn, hall and kitchen.</t>
        </is>
      </c>
      <c r="C256" t="n">
        <v>0</v>
      </c>
      <c r="D256" t="n">
        <v>0</v>
      </c>
      <c r="E256" t="n">
        <v>0</v>
      </c>
      <c r="F256" t="n">
        <v>0</v>
      </c>
      <c r="H256" t="n">
        <v>18</v>
      </c>
      <c r="I256" t="n">
        <v>4</v>
      </c>
      <c r="J256" t="n">
        <v>18.5</v>
      </c>
      <c r="K256" t="n">
        <v>18.5</v>
      </c>
      <c r="L256" t="n">
        <v>0</v>
      </c>
      <c r="M256" t="n">
        <v>18</v>
      </c>
      <c r="N256" t="n">
        <v>4</v>
      </c>
    </row>
    <row r="257">
      <c r="A257" t="inlineStr">
        <is>
          <t>stock</t>
        </is>
      </c>
      <c r="B257" t="inlineStr">
        <is>
          <t>none remains.</t>
        </is>
      </c>
      <c r="C257" t="n">
        <v>0</v>
      </c>
      <c r="D257" t="n">
        <v>0</v>
      </c>
      <c r="E257" t="n">
        <v>0</v>
      </c>
      <c r="F257" t="n">
        <v>0</v>
      </c>
      <c r="H257" t="n">
        <v>0</v>
      </c>
      <c r="I257" t="n">
        <v>0</v>
      </c>
      <c r="J257" t="n">
        <v>0</v>
      </c>
      <c r="K257" t="n">
        <v>0</v>
      </c>
      <c r="L257" t="n">
        <v>0</v>
      </c>
      <c r="M257" t="n">
        <v>0</v>
      </c>
      <c r="N257" t="n">
        <v>0</v>
      </c>
    </row>
    <row r="258">
      <c r="A258" t="inlineStr">
        <is>
          <t>stock</t>
        </is>
      </c>
      <c r="B258" t="inlineStr">
        <is>
          <t>stone slates: 3,000 stone slates remain.</t>
        </is>
      </c>
      <c r="C258" t="n">
        <v>0</v>
      </c>
      <c r="D258" t="n">
        <v>0</v>
      </c>
      <c r="E258" t="n">
        <v>0</v>
      </c>
      <c r="F258" t="n">
        <v>0</v>
      </c>
      <c r="H258" t="n">
        <v>0</v>
      </c>
      <c r="I258" t="n">
        <v>0</v>
      </c>
      <c r="J258" t="n">
        <v>0</v>
      </c>
      <c r="K258" t="n">
        <v>0</v>
      </c>
      <c r="L258" t="n">
        <v>0</v>
      </c>
      <c r="M258" t="n">
        <v>0</v>
      </c>
      <c r="N258" t="n">
        <v>0</v>
      </c>
    </row>
    <row r="259">
      <c r="A259" t="inlineStr">
        <is>
          <t>stock</t>
        </is>
      </c>
      <c r="B259" t="inlineStr">
        <is>
          <t>200 large stones remain.</t>
        </is>
      </c>
      <c r="C259" t="n">
        <v>0</v>
      </c>
      <c r="D259" t="n">
        <v>0</v>
      </c>
      <c r="E259" t="n">
        <v>0</v>
      </c>
      <c r="F259" t="n">
        <v>0</v>
      </c>
      <c r="H259" t="n">
        <v>0</v>
      </c>
      <c r="I259" t="n">
        <v>0</v>
      </c>
      <c r="J259" t="n">
        <v>0</v>
      </c>
      <c r="K259" t="n">
        <v>0</v>
      </c>
      <c r="L259" t="n">
        <v>0</v>
      </c>
      <c r="M259" t="n">
        <v>0</v>
      </c>
      <c r="N259" t="n">
        <v>0</v>
      </c>
    </row>
    <row r="260">
      <c r="A260" t="inlineStr">
        <is>
          <t>stock</t>
        </is>
      </c>
      <c r="B260" t="inlineStr">
        <is>
          <t>1,500 stone slates bought.</t>
        </is>
      </c>
      <c r="C260" t="n">
        <v>0</v>
      </c>
      <c r="D260" t="n">
        <v>0</v>
      </c>
      <c r="E260" t="n">
        <v>0</v>
      </c>
      <c r="F260" t="n">
        <v>0</v>
      </c>
      <c r="H260" t="n">
        <v>0</v>
      </c>
      <c r="I260" t="n">
        <v>0</v>
      </c>
      <c r="J260" t="n">
        <v>0</v>
      </c>
      <c r="K260" t="n">
        <v>0</v>
      </c>
      <c r="L260" t="n">
        <v>0</v>
      </c>
      <c r="M260" t="n">
        <v>0</v>
      </c>
      <c r="N260" t="n">
        <v>0</v>
      </c>
    </row>
    <row r="261">
      <c r="A261" t="inlineStr">
        <is>
          <t>stock</t>
        </is>
      </c>
      <c r="B261" t="inlineStr">
        <is>
          <t>500 eaves-stones bought.</t>
        </is>
      </c>
      <c r="C261" t="n">
        <v>0</v>
      </c>
      <c r="D261" t="n">
        <v>0</v>
      </c>
      <c r="E261" t="n">
        <v>0</v>
      </c>
      <c r="F261" t="n">
        <v>0</v>
      </c>
      <c r="H261" t="n">
        <v>0</v>
      </c>
      <c r="I261" t="n">
        <v>0</v>
      </c>
      <c r="J261" t="n">
        <v>0</v>
      </c>
      <c r="K261" t="n">
        <v>0</v>
      </c>
      <c r="L261" t="n">
        <v>0</v>
      </c>
      <c r="M261" t="n">
        <v>0</v>
      </c>
      <c r="N261" t="n">
        <v>0</v>
      </c>
    </row>
    <row r="262">
      <c r="A262" t="inlineStr">
        <is>
          <t>stock</t>
        </is>
      </c>
      <c r="B262" t="inlineStr">
        <is>
          <t>total, 5,200. 250 sold within because unsuitable for the use of the lord.</t>
        </is>
      </c>
      <c r="C262" t="n">
        <v>0</v>
      </c>
      <c r="D262" t="n">
        <v>0</v>
      </c>
      <c r="E262" t="n">
        <v>0</v>
      </c>
      <c r="F262" t="n">
        <v>0</v>
      </c>
      <c r="H262" t="n">
        <v>0</v>
      </c>
      <c r="I262" t="n">
        <v>0</v>
      </c>
      <c r="J262" t="n">
        <v>0</v>
      </c>
      <c r="K262" t="n">
        <v>0</v>
      </c>
      <c r="L262" t="n">
        <v>0</v>
      </c>
      <c r="M262" t="n">
        <v>0</v>
      </c>
      <c r="N262" t="n">
        <v>0</v>
      </c>
    </row>
    <row r="263">
      <c r="A263" t="inlineStr">
        <is>
          <t>stock</t>
        </is>
      </c>
      <c r="B263" t="inlineStr">
        <is>
          <t>4,950 used in mending the lord's barn, hall and kitchen.</t>
        </is>
      </c>
      <c r="C263" t="n">
        <v>0</v>
      </c>
      <c r="D263" t="n">
        <v>0</v>
      </c>
      <c r="E263" t="n">
        <v>0</v>
      </c>
      <c r="F263" t="n">
        <v>0</v>
      </c>
      <c r="H263" t="n">
        <v>0</v>
      </c>
      <c r="I263" t="n">
        <v>0</v>
      </c>
      <c r="J263" t="n">
        <v>0</v>
      </c>
      <c r="K263" t="n">
        <v>0</v>
      </c>
      <c r="L263" t="n">
        <v>0</v>
      </c>
      <c r="M263" t="n">
        <v>0</v>
      </c>
      <c r="N263" t="n">
        <v>0</v>
      </c>
    </row>
    <row r="264">
      <c r="A264" t="inlineStr">
        <is>
          <t>stock</t>
        </is>
      </c>
      <c r="B264" t="inlineStr">
        <is>
          <t>total as before.</t>
        </is>
      </c>
      <c r="C264" t="n">
        <v>0</v>
      </c>
      <c r="D264" t="n">
        <v>0</v>
      </c>
      <c r="E264" t="n">
        <v>0</v>
      </c>
      <c r="F264" t="n">
        <v>0</v>
      </c>
      <c r="H264" t="n">
        <v>0</v>
      </c>
      <c r="I264" t="n">
        <v>0</v>
      </c>
      <c r="J264" t="n">
        <v>0</v>
      </c>
      <c r="K264" t="n">
        <v>0</v>
      </c>
      <c r="L264" t="n">
        <v>0</v>
      </c>
      <c r="M264" t="n">
        <v>0</v>
      </c>
      <c r="N264" t="n">
        <v>0</v>
      </c>
    </row>
    <row r="265">
      <c r="A265" t="inlineStr">
        <is>
          <t>stock</t>
        </is>
      </c>
      <c r="B265" t="inlineStr">
        <is>
          <t>none remain.</t>
        </is>
      </c>
      <c r="C265" t="n">
        <v>0</v>
      </c>
      <c r="D265" t="n">
        <v>0</v>
      </c>
      <c r="E265" t="n">
        <v>0</v>
      </c>
      <c r="F265" t="n">
        <v>0</v>
      </c>
      <c r="H265" t="n">
        <v>0</v>
      </c>
      <c r="I265" t="n">
        <v>0</v>
      </c>
      <c r="J265" t="n">
        <v>0</v>
      </c>
      <c r="K265" t="n">
        <v>0</v>
      </c>
      <c r="L265" t="n">
        <v>0</v>
      </c>
      <c r="M265" t="n">
        <v>0</v>
      </c>
      <c r="N265" t="n">
        <v>0</v>
      </c>
    </row>
    <row r="266">
      <c r="A266" t="inlineStr">
        <is>
          <t>stock</t>
        </is>
      </c>
      <c r="B266" t="inlineStr">
        <is>
          <t>hurdles: 6 remain.</t>
        </is>
      </c>
      <c r="C266" t="n">
        <v>0</v>
      </c>
      <c r="D266" t="n">
        <v>0</v>
      </c>
      <c r="E266" t="n">
        <v>0</v>
      </c>
      <c r="F266" t="n">
        <v>0</v>
      </c>
      <c r="H266" t="n">
        <v>0</v>
      </c>
      <c r="I266" t="n">
        <v>0</v>
      </c>
      <c r="J266" t="n">
        <v>0</v>
      </c>
      <c r="K266" t="n">
        <v>0</v>
      </c>
      <c r="L266" t="n">
        <v>0</v>
      </c>
      <c r="M266" t="n">
        <v>0</v>
      </c>
      <c r="N266" t="n">
        <v>0</v>
      </c>
    </row>
    <row r="267">
      <c r="A267" t="inlineStr">
        <is>
          <t>stock</t>
        </is>
      </c>
      <c r="B267" t="inlineStr">
        <is>
          <t>total, 6. sold because useless for the stock.</t>
        </is>
      </c>
      <c r="C267" t="n">
        <v>0</v>
      </c>
      <c r="D267" t="n">
        <v>0</v>
      </c>
      <c r="E267" t="n">
        <v>0</v>
      </c>
      <c r="F267" t="n">
        <v>0</v>
      </c>
      <c r="H267" t="n">
        <v>0</v>
      </c>
      <c r="I267" t="n">
        <v>0</v>
      </c>
      <c r="J267" t="n">
        <v>0</v>
      </c>
      <c r="K267" t="n">
        <v>0</v>
      </c>
      <c r="L267" t="n">
        <v>0</v>
      </c>
      <c r="M267" t="n">
        <v>0</v>
      </c>
      <c r="N267" t="n">
        <v>0</v>
      </c>
    </row>
    <row r="268">
      <c r="A268" t="inlineStr">
        <is>
          <t>stock</t>
        </is>
      </c>
      <c r="B268" t="inlineStr">
        <is>
          <t>none remain. mid.</t>
        </is>
      </c>
      <c r="C268" t="n">
        <v>0</v>
      </c>
      <c r="D268" t="n">
        <v>0</v>
      </c>
      <c r="E268" t="n">
        <v>0</v>
      </c>
      <c r="F268" t="n">
        <v>0</v>
      </c>
      <c r="H268" t="n">
        <v>0</v>
      </c>
      <c r="I268" t="n">
        <v>0</v>
      </c>
      <c r="J268" t="n">
        <v>0</v>
      </c>
      <c r="K268" t="n">
        <v>0</v>
      </c>
      <c r="L268" t="n">
        <v>0</v>
      </c>
      <c r="M268" t="n">
        <v>0</v>
      </c>
      <c r="N26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8"/>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ADDERBURY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Rents of assize</t>
        </is>
      </c>
      <c r="B3" s="128" t="n">
        <v>6</v>
      </c>
      <c r="C3" s="128" t="n">
        <v>9</v>
      </c>
      <c r="D3" s="128" t="n">
        <v>6.25</v>
      </c>
      <c r="E3" s="128" t="n"/>
      <c r="F3" s="128" t="n">
        <v>6.48</v>
      </c>
      <c r="G3" s="128" t="n"/>
      <c r="H3" s="128" t="inlineStr">
        <is>
          <t>And for £6 9 shilling 6.25pence for all rents of assize at St Thomas the Apostle (21 December).</t>
        </is>
      </c>
      <c r="I3" s="128" t="n"/>
    </row>
    <row r="4">
      <c r="A4" s="136" t="inlineStr">
        <is>
          <t>Rents of assize</t>
        </is>
      </c>
      <c r="B4" s="128" t="n">
        <v>6</v>
      </c>
      <c r="C4" s="128" t="n">
        <v>9</v>
      </c>
      <c r="D4" s="128" t="n">
        <v>8.5</v>
      </c>
      <c r="E4" s="128" t="n"/>
      <c r="F4" s="128" t="n">
        <v>6.49</v>
      </c>
      <c r="G4" s="128" t="n"/>
      <c r="H4" s="128" t="inlineStr">
        <is>
          <t>£6 9 shilling 8.5pence at Easter (23 March).</t>
        </is>
      </c>
      <c r="I4" s="128" t="n"/>
    </row>
    <row r="5">
      <c r="A5" s="136" t="inlineStr">
        <is>
          <t>Rents of assize</t>
        </is>
      </c>
      <c r="B5" s="128" t="n">
        <v>6</v>
      </c>
      <c r="C5" s="128" t="n">
        <v>9</v>
      </c>
      <c r="D5" s="128" t="n">
        <v>6.25</v>
      </c>
      <c r="E5" s="128" t="n"/>
      <c r="F5" s="128" t="n">
        <v>6.48</v>
      </c>
      <c r="G5" s="128" t="n"/>
      <c r="H5" s="128" t="inlineStr">
        <is>
          <t>£6 9 shilling 6.25pence at the Nativity of St John the Baptist (24 June).</t>
        </is>
      </c>
      <c r="I5" s="128" t="n"/>
    </row>
    <row r="6">
      <c r="A6" s="136" t="inlineStr">
        <is>
          <t>Rents of assize</t>
        </is>
      </c>
      <c r="B6" s="128" t="n">
        <v>6</v>
      </c>
      <c r="C6" s="128" t="n">
        <v>10</v>
      </c>
      <c r="D6" s="128" t="n">
        <v>1.5</v>
      </c>
      <c r="E6" s="128" t="n"/>
      <c r="F6" s="128" t="n">
        <v>6.51</v>
      </c>
      <c r="G6" s="128" t="n"/>
      <c r="H6" s="128" t="inlineStr">
        <is>
          <t>£6 10 shilling 1.5pence at Michaelmas (29 September).</t>
        </is>
      </c>
      <c r="I6" s="128" t="n"/>
    </row>
    <row r="7">
      <c r="A7" s="136" t="inlineStr">
        <is>
          <t>Rents of assize</t>
        </is>
      </c>
      <c r="B7" s="128" t="n">
        <v>25</v>
      </c>
      <c r="C7" s="128" t="n">
        <v>18</v>
      </c>
      <c r="D7" s="128" t="n">
        <v>10.5</v>
      </c>
      <c r="E7" s="128" t="n"/>
      <c r="F7" s="128" t="n">
        <v>25.94</v>
      </c>
      <c r="G7" s="128" t="n"/>
      <c r="H7" s="128" t="inlineStr">
        <is>
          <t>Total, £25 18 shilling 10.5pence.</t>
        </is>
      </c>
      <c r="I7" s="128" t="n"/>
    </row>
    <row r="8">
      <c r="A8" s="138" t="inlineStr">
        <is>
          <t>Rents of assize total</t>
        </is>
      </c>
      <c r="B8" s="139" t="n"/>
      <c r="C8" s="139" t="n"/>
      <c r="D8" s="139" t="n"/>
      <c r="E8" s="139" t="n"/>
      <c r="F8" s="139" t="n">
        <v>25.96</v>
      </c>
      <c r="G8" s="139" t="n">
        <v>0.02</v>
      </c>
      <c r="H8" s="139" t="inlineStr">
        <is>
          <t>Total</t>
        </is>
      </c>
      <c r="I8" s="139" t="n"/>
    </row>
    <row r="9">
      <c r="A9" s="136" t="n"/>
      <c r="B9" s="128" t="n"/>
      <c r="C9" s="128" t="n"/>
      <c r="D9" s="128" t="n"/>
      <c r="E9" s="128" t="n"/>
      <c r="F9" s="128" t="n"/>
      <c r="G9" s="128" t="n"/>
      <c r="H9" s="128" t="n"/>
      <c r="I9" s="128" t="n"/>
    </row>
    <row r="10">
      <c r="A10" s="137" t="inlineStr">
        <is>
          <t>Defaults of rent</t>
        </is>
      </c>
      <c r="B10" s="128" t="n">
        <v>0</v>
      </c>
      <c r="C10" s="128" t="n">
        <v>10</v>
      </c>
      <c r="D10" s="128" t="n">
        <v>0</v>
      </c>
      <c r="E10" s="128" t="n"/>
      <c r="F10" s="128" t="n">
        <v>0.5</v>
      </c>
      <c r="G10" s="128" t="n"/>
      <c r="H10" s="128" t="inlineStr">
        <is>
          <t>Default of the meadow which John Bryddesthorn' held for his life drawn into demesne, 10 shilling for the year.</t>
        </is>
      </c>
      <c r="I10" s="128" t="n"/>
    </row>
    <row r="11">
      <c r="A11" s="136" t="inlineStr">
        <is>
          <t>Defaults of rent</t>
        </is>
      </c>
      <c r="B11" s="128" t="n">
        <v>0</v>
      </c>
      <c r="C11" s="128" t="n">
        <v>0</v>
      </c>
      <c r="D11" s="128" t="n">
        <v>6</v>
      </c>
      <c r="E11" s="128" t="n"/>
      <c r="F11" s="128" t="n">
        <v>0.03</v>
      </c>
      <c r="G11" s="128" t="n"/>
      <c r="H11" s="128" t="inlineStr">
        <is>
          <t>1 toft and 1 curtilage of villein land called Cokpedehall', in the lord's hands from a want of tenants because noone wished to hold it, 6pence.</t>
        </is>
      </c>
      <c r="I11" s="128" t="n"/>
    </row>
    <row r="12">
      <c r="A12" s="136" t="inlineStr">
        <is>
          <t>Defaults of rent</t>
        </is>
      </c>
      <c r="B12" s="128" t="n">
        <v>0</v>
      </c>
      <c r="C12" s="128" t="n">
        <v>10</v>
      </c>
      <c r="D12" s="128" t="n">
        <v>6</v>
      </c>
      <c r="E12" s="128" t="n"/>
      <c r="F12" s="128" t="n">
        <v>0.53</v>
      </c>
      <c r="G12" s="128" t="n"/>
      <c r="H12" s="128" t="inlineStr">
        <is>
          <t>Total, 10 shilling6pence.</t>
        </is>
      </c>
      <c r="I12" s="128" t="n"/>
    </row>
    <row r="13">
      <c r="A13" s="138" t="inlineStr">
        <is>
          <t>Defaults of rent total</t>
        </is>
      </c>
      <c r="B13" s="139" t="n"/>
      <c r="C13" s="139" t="n"/>
      <c r="D13" s="139" t="n"/>
      <c r="E13" s="139" t="n"/>
      <c r="F13" s="139" t="n">
        <v>0.53</v>
      </c>
      <c r="G13" s="139" t="n">
        <v>0</v>
      </c>
      <c r="H13" s="139" t="inlineStr">
        <is>
          <t>Total</t>
        </is>
      </c>
      <c r="I13" s="139" t="n"/>
    </row>
    <row r="14">
      <c r="A14" s="136" t="n"/>
      <c r="B14" s="128" t="n"/>
      <c r="C14" s="128" t="n"/>
      <c r="D14" s="128" t="n"/>
      <c r="E14" s="128" t="n"/>
      <c r="F14" s="128" t="n"/>
      <c r="G14" s="128" t="n"/>
      <c r="H14" s="128" t="n"/>
      <c r="I14" s="128" t="n"/>
    </row>
    <row r="15">
      <c r="A15" s="137" t="inlineStr">
        <is>
          <t>Total of quittances and defaults of rent</t>
        </is>
      </c>
      <c r="B15" s="128" t="n">
        <v>4</v>
      </c>
      <c r="C15" s="128" t="n">
        <v>11</v>
      </c>
      <c r="D15" s="128" t="n">
        <v>7</v>
      </c>
      <c r="E15" s="128" t="n"/>
      <c r="F15" s="128" t="n">
        <v>4.58</v>
      </c>
      <c r="G15" s="128" t="n"/>
      <c r="H15" s="128" t="inlineStr">
        <is>
          <t>Total of quittances and defaults of rent, £4 11 shilling 7pence.</t>
        </is>
      </c>
      <c r="I15" s="128" t="n"/>
    </row>
    <row r="16">
      <c r="A16" s="138" t="inlineStr">
        <is>
          <t>Total of quittances and defaults of rent total</t>
        </is>
      </c>
      <c r="B16" s="139" t="n"/>
      <c r="C16" s="139" t="n"/>
      <c r="D16" s="139" t="n"/>
      <c r="E16" s="139" t="n"/>
      <c r="F16" s="139" t="n">
        <v>4.58</v>
      </c>
      <c r="G16" s="139" t="n">
        <v>0</v>
      </c>
      <c r="H16" s="139" t="inlineStr">
        <is>
          <t>Total</t>
        </is>
      </c>
      <c r="I16" s="139" t="n"/>
    </row>
    <row r="17">
      <c r="A17" s="136" t="n"/>
      <c r="B17" s="128" t="n"/>
      <c r="C17" s="128" t="n"/>
      <c r="D17" s="128" t="n"/>
      <c r="E17" s="128" t="n"/>
      <c r="F17" s="128" t="n"/>
      <c r="G17" s="128" t="n"/>
      <c r="H17" s="128" t="n"/>
      <c r="I17" s="128" t="n"/>
    </row>
    <row r="18">
      <c r="A18" s="137" t="inlineStr">
        <is>
          <t>Total of rents remaining clear</t>
        </is>
      </c>
      <c r="B18" s="128" t="n">
        <v>21</v>
      </c>
      <c r="C18" s="128" t="n">
        <v>7</v>
      </c>
      <c r="D18" s="128" t="n">
        <v>3.5</v>
      </c>
      <c r="E18" s="128" t="n"/>
      <c r="F18" s="128" t="n">
        <v>21.36</v>
      </c>
      <c r="G18" s="128" t="n"/>
      <c r="H18" s="128" t="inlineStr">
        <is>
          <t>Total of rents remaining clear, £21 7 shilling 3.5pence.</t>
        </is>
      </c>
      <c r="I18" s="128" t="n"/>
    </row>
    <row r="19">
      <c r="A19" s="138" t="inlineStr">
        <is>
          <t>Total of rents remaining clear total</t>
        </is>
      </c>
      <c r="B19" s="139" t="n"/>
      <c r="C19" s="139" t="n"/>
      <c r="D19" s="139" t="n"/>
      <c r="E19" s="139" t="n"/>
      <c r="F19" s="139" t="n">
        <v>21.36</v>
      </c>
      <c r="G19" s="139" t="n">
        <v>0</v>
      </c>
      <c r="H19" s="139" t="inlineStr">
        <is>
          <t>Total</t>
        </is>
      </c>
      <c r="I19" s="139" t="n"/>
    </row>
    <row r="20">
      <c r="A20" s="136" t="n"/>
      <c r="B20" s="128" t="n"/>
      <c r="C20" s="128" t="n"/>
      <c r="D20" s="128" t="n"/>
      <c r="E20" s="128" t="n"/>
      <c r="F20" s="128" t="n"/>
      <c r="G20" s="128" t="n"/>
      <c r="H20" s="128" t="n"/>
      <c r="I20" s="128" t="n"/>
    </row>
    <row r="21">
      <c r="A21" s="137" t="inlineStr">
        <is>
          <t>Annual recognizance</t>
        </is>
      </c>
      <c r="B21" s="128" t="n">
        <v>0</v>
      </c>
      <c r="C21" s="128" t="n">
        <v>0</v>
      </c>
      <c r="D21" s="128" t="n">
        <v>2</v>
      </c>
      <c r="E21" s="128" t="n"/>
      <c r="F21" s="128" t="n">
        <v>0.01</v>
      </c>
      <c r="G21" s="128" t="n"/>
      <c r="H21" s="128" t="inlineStr">
        <is>
          <t>And for 2pence from Robert Coupere so that he may dwell within the lord's liberty as long as it pleases the lord and come to the 2 tourns.</t>
        </is>
      </c>
      <c r="I21" s="128" t="n"/>
    </row>
    <row r="22">
      <c r="A22" s="136" t="inlineStr">
        <is>
          <t>Annual recognizance</t>
        </is>
      </c>
      <c r="B22" s="128" t="n">
        <v>0</v>
      </c>
      <c r="C22" s="128" t="n">
        <v>0</v>
      </c>
      <c r="D22" s="128" t="n">
        <v>2</v>
      </c>
      <c r="E22" s="128" t="n"/>
      <c r="F22" s="128" t="n">
        <v>0.01</v>
      </c>
      <c r="G22" s="128" t="n"/>
      <c r="H22" s="128" t="inlineStr">
        <is>
          <t>2pence from John Balfr' for the same, coming to the tourn of Hockday.</t>
        </is>
      </c>
      <c r="I22" s="128" t="n"/>
    </row>
    <row r="23">
      <c r="A23" s="136" t="inlineStr">
        <is>
          <t>Annual recognizance</t>
        </is>
      </c>
      <c r="B23" s="128" t="n">
        <v>0</v>
      </c>
      <c r="C23" s="128" t="n">
        <v>0</v>
      </c>
      <c r="D23" s="128" t="n">
        <v>3</v>
      </c>
      <c r="E23" s="128" t="n"/>
      <c r="F23" s="128" t="n">
        <v>0.01</v>
      </c>
      <c r="G23" s="128" t="n"/>
      <c r="H23" s="128" t="inlineStr">
        <is>
          <t>3pence from Thomas Shiperde for the same, coming to the 2 tourns for the year.</t>
        </is>
      </c>
      <c r="I23" s="128" t="n"/>
    </row>
    <row r="24">
      <c r="A24" s="136" t="inlineStr">
        <is>
          <t>Annual recognizance</t>
        </is>
      </c>
      <c r="B24" s="128" t="n">
        <v>0</v>
      </c>
      <c r="C24" s="128" t="n">
        <v>0</v>
      </c>
      <c r="D24" s="128" t="n">
        <v>3</v>
      </c>
      <c r="E24" s="128" t="n"/>
      <c r="F24" s="128" t="n">
        <v>0.01</v>
      </c>
      <c r="G24" s="128" t="n"/>
      <c r="H24" s="128" t="inlineStr">
        <is>
          <t>3pence from Philip Berners for the same.</t>
        </is>
      </c>
      <c r="I24" s="128" t="n"/>
    </row>
    <row r="25">
      <c r="A25" s="136" t="inlineStr">
        <is>
          <t>Annual recognizance</t>
        </is>
      </c>
      <c r="B25" s="128" t="n">
        <v>0</v>
      </c>
      <c r="C25" s="128" t="n">
        <v>0</v>
      </c>
      <c r="D25" s="128" t="n">
        <v>2</v>
      </c>
      <c r="E25" s="128" t="n"/>
      <c r="F25" s="128" t="n">
        <v>0.01</v>
      </c>
      <c r="G25" s="128" t="n"/>
      <c r="H25" s="128" t="inlineStr">
        <is>
          <t>2pence from Roger Grynder' for the same.</t>
        </is>
      </c>
      <c r="I25" s="128" t="n"/>
    </row>
    <row r="26">
      <c r="A26" s="136" t="inlineStr">
        <is>
          <t>Annual recognizance</t>
        </is>
      </c>
      <c r="B26" s="128" t="n">
        <v>0</v>
      </c>
      <c r="C26" s="128" t="n">
        <v>0</v>
      </c>
      <c r="D26" s="128" t="n">
        <v>2</v>
      </c>
      <c r="E26" s="128" t="n"/>
      <c r="F26" s="128" t="n">
        <v>0.01</v>
      </c>
      <c r="G26" s="128" t="n"/>
      <c r="H26" s="128" t="inlineStr">
        <is>
          <t>2pence from John Aubry for the same, coming to the tourn of Hockday for the year.</t>
        </is>
      </c>
      <c r="I26" s="128" t="n"/>
    </row>
    <row r="27">
      <c r="A27" s="136" t="inlineStr">
        <is>
          <t>Annual recognizance</t>
        </is>
      </c>
      <c r="B27" s="128" t="n">
        <v>0</v>
      </c>
      <c r="C27" s="128" t="n">
        <v>0</v>
      </c>
      <c r="D27" s="128" t="n">
        <v>2</v>
      </c>
      <c r="E27" s="128" t="n"/>
      <c r="F27" s="128" t="n">
        <v>0.01</v>
      </c>
      <c r="G27" s="128" t="n"/>
      <c r="H27" s="128" t="inlineStr">
        <is>
          <t>2pence from William Ropere, coming to the tourn of Martinmas.</t>
        </is>
      </c>
      <c r="I27" s="128" t="n"/>
    </row>
    <row r="28">
      <c r="A28" s="136" t="inlineStr">
        <is>
          <t>Annual recognizance</t>
        </is>
      </c>
      <c r="B28" s="128" t="n">
        <v>0</v>
      </c>
      <c r="C28" s="128" t="n">
        <v>0</v>
      </c>
      <c r="D28" s="128" t="n">
        <v>2</v>
      </c>
      <c r="E28" s="128" t="n"/>
      <c r="F28" s="128" t="n">
        <v>0.01</v>
      </c>
      <c r="G28" s="128" t="n"/>
      <c r="H28" s="128" t="inlineStr">
        <is>
          <t>2pence from William Carpis' for the same, coming to the tourn of Hockday.</t>
        </is>
      </c>
      <c r="I28" s="128" t="n"/>
    </row>
    <row r="29">
      <c r="A29" s="136" t="inlineStr">
        <is>
          <t>Annual recognizance</t>
        </is>
      </c>
      <c r="B29" s="128" t="n">
        <v>0</v>
      </c>
      <c r="C29" s="128" t="n">
        <v>0</v>
      </c>
      <c r="D29" s="128" t="n">
        <v>2</v>
      </c>
      <c r="E29" s="128" t="n"/>
      <c r="F29" s="128" t="n">
        <v>0.01</v>
      </c>
      <c r="G29" s="128" t="n"/>
      <c r="H29" s="128" t="inlineStr">
        <is>
          <t>2pence from Hubert Beverle for the same, coming to the tourn of Martinmas.</t>
        </is>
      </c>
      <c r="I29" s="128" t="n"/>
    </row>
    <row r="30">
      <c r="A30" s="136" t="inlineStr">
        <is>
          <t>Annual recognizance</t>
        </is>
      </c>
      <c r="B30" s="128" t="n">
        <v>0</v>
      </c>
      <c r="C30" s="128" t="n">
        <v>0</v>
      </c>
      <c r="D30" s="128" t="n">
        <v>2</v>
      </c>
      <c r="E30" s="128" t="n"/>
      <c r="F30" s="128" t="n">
        <v>0.01</v>
      </c>
      <c r="G30" s="128" t="n"/>
      <c r="H30" s="128" t="inlineStr">
        <is>
          <t>2pence from William Glovere for the same, coming to the tourn of Hockday.</t>
        </is>
      </c>
      <c r="I30" s="128" t="n"/>
    </row>
    <row r="31">
      <c r="A31" s="136" t="inlineStr">
        <is>
          <t>Annual recognizance</t>
        </is>
      </c>
      <c r="B31" s="128" t="n">
        <v>0</v>
      </c>
      <c r="C31" s="128" t="n">
        <v>0</v>
      </c>
      <c r="D31" s="128" t="n">
        <v>2</v>
      </c>
      <c r="E31" s="128" t="n"/>
      <c r="F31" s="128" t="n">
        <v>0.01</v>
      </c>
      <c r="G31" s="128" t="n"/>
      <c r="H31" s="128" t="inlineStr">
        <is>
          <t>2pence from Thomas Gentylman for the same, coming to the tourn of Hockday.</t>
        </is>
      </c>
      <c r="I31" s="128" t="n"/>
    </row>
    <row r="32">
      <c r="A32" s="136" t="inlineStr">
        <is>
          <t>Annual recognizance</t>
        </is>
      </c>
      <c r="B32" s="128" t="n">
        <v>0</v>
      </c>
      <c r="C32" s="128" t="n">
        <v>1</v>
      </c>
      <c r="D32" s="128" t="n">
        <v>0</v>
      </c>
      <c r="E32" s="128" t="n"/>
      <c r="F32" s="128" t="n">
        <v>0.05</v>
      </c>
      <c r="G32" s="128" t="n"/>
      <c r="H32" s="128" t="inlineStr">
        <is>
          <t>1 shilling from William Buryman' so that he may dwell outside the lord's liberty as long as it pleases the lord and come to the tourn of Hockday and remain the lord's villein as before.</t>
        </is>
      </c>
      <c r="I32" s="128" t="n"/>
    </row>
    <row r="33">
      <c r="A33" s="136" t="inlineStr">
        <is>
          <t>Annual recognizance</t>
        </is>
      </c>
      <c r="B33" s="128" t="n">
        <v>0</v>
      </c>
      <c r="C33" s="128" t="n">
        <v>1</v>
      </c>
      <c r="D33" s="128" t="n">
        <v>0</v>
      </c>
      <c r="E33" s="128" t="n"/>
      <c r="F33" s="128" t="n">
        <v>0.05</v>
      </c>
      <c r="G33" s="128" t="n"/>
      <c r="H33" s="128" t="inlineStr">
        <is>
          <t>1 shilling from Richard Somer for the same, remaining the lord's villein as before.</t>
        </is>
      </c>
      <c r="I33" s="128" t="n"/>
    </row>
    <row r="34">
      <c r="A34" s="136" t="inlineStr">
        <is>
          <t>Annual recognizance</t>
        </is>
      </c>
      <c r="B34" s="128" t="n">
        <v>0</v>
      </c>
      <c r="C34" s="128" t="n">
        <v>0</v>
      </c>
      <c r="D34" s="128" t="n">
        <v>3</v>
      </c>
      <c r="E34" s="128" t="n"/>
      <c r="F34" s="128" t="n">
        <v>0.01</v>
      </c>
      <c r="G34" s="128" t="n"/>
      <c r="H34" s="128" t="inlineStr">
        <is>
          <t>3pence from John Spycer so that he may dwell within the lord's liberty as long as it pleases the lord and himself and come to the tourn of Hockday for the year.</t>
        </is>
      </c>
      <c r="I34" s="128" t="n"/>
    </row>
    <row r="35">
      <c r="A35" s="136" t="inlineStr">
        <is>
          <t>Annual recognizance</t>
        </is>
      </c>
      <c r="B35" s="128" t="n">
        <v>0</v>
      </c>
      <c r="C35" s="128" t="n">
        <v>0</v>
      </c>
      <c r="D35" s="128" t="n">
        <v>2</v>
      </c>
      <c r="E35" s="128" t="n"/>
      <c r="F35" s="128" t="n">
        <v>0.01</v>
      </c>
      <c r="G35" s="128" t="n"/>
      <c r="H35" s="128" t="inlineStr">
        <is>
          <t>2pence from William Shenston for the same.</t>
        </is>
      </c>
      <c r="I35" s="128" t="n"/>
    </row>
    <row r="36">
      <c r="A36" s="136" t="inlineStr">
        <is>
          <t>Annual recognizance</t>
        </is>
      </c>
      <c r="B36" s="128" t="n">
        <v>0</v>
      </c>
      <c r="C36" s="128" t="n">
        <v>0</v>
      </c>
      <c r="D36" s="128" t="n">
        <v>2</v>
      </c>
      <c r="E36" s="128" t="n"/>
      <c r="F36" s="128" t="n">
        <v>0.01</v>
      </c>
      <c r="G36" s="128" t="n"/>
      <c r="H36" s="128" t="inlineStr">
        <is>
          <t>2pence from William Wener' for the same.</t>
        </is>
      </c>
      <c r="I36" s="128" t="n"/>
    </row>
    <row r="37">
      <c r="A37" s="136" t="inlineStr">
        <is>
          <t>Annual recognizance</t>
        </is>
      </c>
      <c r="B37" s="128" t="n">
        <v>0</v>
      </c>
      <c r="C37" s="128" t="n">
        <v>0</v>
      </c>
      <c r="D37" s="128" t="n">
        <v>4</v>
      </c>
      <c r="E37" s="128" t="n"/>
      <c r="F37" s="128" t="n">
        <v>0.02</v>
      </c>
      <c r="G37" s="128" t="n"/>
      <c r="H37" s="128" t="inlineStr">
        <is>
          <t>4pence from John Boys and Simon Bailly for the same.</t>
        </is>
      </c>
      <c r="I37" s="128" t="n"/>
    </row>
    <row r="38">
      <c r="A38" s="136" t="inlineStr">
        <is>
          <t>Annual recognizance</t>
        </is>
      </c>
      <c r="B38" s="128" t="n">
        <v>0</v>
      </c>
      <c r="C38" s="128" t="n">
        <v>4</v>
      </c>
      <c r="D38" s="128" t="n">
        <v>11</v>
      </c>
      <c r="E38" s="128" t="n"/>
      <c r="F38" s="128" t="n">
        <v>0.25</v>
      </c>
      <c r="G38" s="128" t="n"/>
      <c r="H38" s="128" t="inlineStr">
        <is>
          <t>Total, 4 shilling 11pence.</t>
        </is>
      </c>
      <c r="I38" s="128" t="n"/>
    </row>
    <row r="39">
      <c r="A39" s="138" t="inlineStr">
        <is>
          <t>Annual recognizance total</t>
        </is>
      </c>
      <c r="B39" s="139" t="n"/>
      <c r="C39" s="139" t="n"/>
      <c r="D39" s="139" t="n"/>
      <c r="E39" s="139" t="n"/>
      <c r="F39" s="139" t="n">
        <v>0.26</v>
      </c>
      <c r="G39" s="139" t="n">
        <v>0.01</v>
      </c>
      <c r="H39" s="139" t="inlineStr">
        <is>
          <t>Total</t>
        </is>
      </c>
      <c r="I39" s="139" t="n"/>
    </row>
    <row r="40">
      <c r="A40" s="136" t="n"/>
      <c r="B40" s="128" t="n"/>
      <c r="C40" s="128" t="n"/>
      <c r="D40" s="128" t="n"/>
      <c r="E40" s="128" t="n"/>
      <c r="F40" s="128" t="n"/>
      <c r="G40" s="128" t="n"/>
      <c r="H40" s="128" t="n"/>
      <c r="I40" s="128" t="n"/>
    </row>
    <row r="41">
      <c r="A41" s="137" t="inlineStr">
        <is>
          <t>Issues of the manor</t>
        </is>
      </c>
      <c r="B41" s="128" t="n">
        <v>0</v>
      </c>
      <c r="C41" s="128" t="n">
        <v>5</v>
      </c>
      <c r="D41" s="128" t="n">
        <v>6.5</v>
      </c>
      <c r="E41" s="128" t="n"/>
      <c r="F41" s="128" t="n">
        <v>0.28</v>
      </c>
      <c r="G41" s="128" t="n"/>
      <c r="H41" s="128" t="inlineStr">
        <is>
          <t>And for 5 shilling 6.5pence from the pannage of the pigs of the customary tenants at Martinmas.</t>
        </is>
      </c>
      <c r="I41" s="128" t="n"/>
    </row>
    <row r="42">
      <c r="A42" s="136" t="inlineStr">
        <is>
          <t>Issues of the manor</t>
        </is>
      </c>
      <c r="B42" s="128" t="n">
        <v>0</v>
      </c>
      <c r="C42" s="128" t="n">
        <v>0</v>
      </c>
      <c r="D42" s="128" t="n">
        <v>0</v>
      </c>
      <c r="E42" s="128" t="n"/>
      <c r="F42" s="128" t="n">
        <v>0</v>
      </c>
      <c r="G42" s="128" t="n"/>
      <c r="H42" s="128" t="inlineStr">
        <is>
          <t>nothing from the pasturage in le Wymore because it pertains to the farmer.</t>
        </is>
      </c>
      <c r="I42" s="128" t="n"/>
    </row>
    <row r="43">
      <c r="A43" s="136" t="inlineStr">
        <is>
          <t>Issues of the manor</t>
        </is>
      </c>
      <c r="B43" s="128" t="n">
        <v>0</v>
      </c>
      <c r="C43" s="128" t="n">
        <v>0</v>
      </c>
      <c r="D43" s="128" t="n">
        <v>0</v>
      </c>
      <c r="E43" s="128" t="n"/>
      <c r="F43" s="128" t="n">
        <v>0</v>
      </c>
      <c r="G43" s="128" t="n"/>
      <c r="H43" s="128" t="inlineStr">
        <is>
          <t>nothing from the pasturage in Mykelham, Buryhok', Halywellesturton', Fulput and Slopet for the aforesaid reason.</t>
        </is>
      </c>
      <c r="I43" s="128" t="n"/>
    </row>
    <row r="44">
      <c r="A44" s="136" t="inlineStr">
        <is>
          <t>Issues of the manor</t>
        </is>
      </c>
      <c r="B44" s="128" t="n">
        <v>0</v>
      </c>
      <c r="C44" s="128" t="n">
        <v>0</v>
      </c>
      <c r="D44" s="128" t="n">
        <v>0</v>
      </c>
      <c r="E44" s="128" t="n"/>
      <c r="F44" s="128" t="n">
        <v>0</v>
      </c>
      <c r="G44" s="128" t="n"/>
      <c r="H44" s="128" t="inlineStr">
        <is>
          <t>nothing from the agistment of cattle with the lord's cattle for the aforesaid reason.</t>
        </is>
      </c>
      <c r="I44" s="128" t="n"/>
    </row>
    <row r="45">
      <c r="A45" s="136" t="inlineStr">
        <is>
          <t>Issues of the manor</t>
        </is>
      </c>
      <c r="B45" s="128" t="n">
        <v>0</v>
      </c>
      <c r="C45" s="128" t="n">
        <v>0</v>
      </c>
      <c r="D45" s="128" t="n">
        <v>0</v>
      </c>
      <c r="E45" s="128" t="n"/>
      <c r="F45" s="128" t="n">
        <v>0</v>
      </c>
      <c r="G45" s="128" t="n"/>
      <c r="H45" s="128" t="inlineStr">
        <is>
          <t>nothing from winter and summer pasturage in Goldwellefurlong' because it is demised to William Bourton' as made clear in the farms above.</t>
        </is>
      </c>
      <c r="I45" s="128" t="n"/>
    </row>
    <row r="46">
      <c r="A46" s="136" t="inlineStr">
        <is>
          <t>Issues of the manor</t>
        </is>
      </c>
      <c r="B46" s="128" t="n">
        <v>0</v>
      </c>
      <c r="C46" s="128" t="n">
        <v>3</v>
      </c>
      <c r="D46" s="128" t="n">
        <v>0</v>
      </c>
      <c r="E46" s="128" t="n"/>
      <c r="F46" s="128" t="n">
        <v>0.15</v>
      </c>
      <c r="G46" s="128" t="n"/>
      <c r="H46" s="128" t="inlineStr">
        <is>
          <t>nothing of the 3 shilling for the winter pasturage in Wynesterwell' because it is demised to John Jakeman as made clear in the farms above.</t>
        </is>
      </c>
      <c r="I46" s="128" t="n"/>
    </row>
    <row r="47">
      <c r="A47" s="136" t="inlineStr">
        <is>
          <t>Issues of the manor</t>
        </is>
      </c>
      <c r="B47" s="128" t="n">
        <v>0</v>
      </c>
      <c r="C47" s="128" t="n">
        <v>0</v>
      </c>
      <c r="D47" s="128" t="n">
        <v>0</v>
      </c>
      <c r="E47" s="128" t="n"/>
      <c r="F47" s="128" t="n">
        <v>0</v>
      </c>
      <c r="G47" s="128" t="n"/>
      <c r="H47" s="128" t="inlineStr">
        <is>
          <t>nothing from the pasturage in Sweteneye because it pertains to the fanner.</t>
        </is>
      </c>
      <c r="I47" s="128" t="n"/>
    </row>
    <row r="48">
      <c r="A48" s="136" t="inlineStr">
        <is>
          <t>Issues of the manor</t>
        </is>
      </c>
      <c r="B48" s="128" t="n">
        <v>1</v>
      </c>
      <c r="C48" s="128" t="n">
        <v>0</v>
      </c>
      <c r="D48" s="128" t="n">
        <v>0</v>
      </c>
      <c r="E48" s="128" t="n"/>
      <c r="F48" s="128" t="n">
        <v>1</v>
      </c>
      <c r="G48" s="128" t="n"/>
      <c r="H48" s="128" t="inlineStr">
        <is>
          <t>£1 from refusals to stack this year.</t>
        </is>
      </c>
      <c r="I48" s="128" t="n"/>
    </row>
    <row r="49">
      <c r="A49" s="136" t="inlineStr">
        <is>
          <t>Issues of the manor</t>
        </is>
      </c>
      <c r="B49" s="128" t="n">
        <v>0</v>
      </c>
      <c r="C49" s="128" t="n">
        <v>13</v>
      </c>
      <c r="D49" s="128" t="n">
        <v>4</v>
      </c>
      <c r="E49" s="128" t="n"/>
      <c r="F49" s="128" t="n">
        <v>0.67</v>
      </c>
      <c r="G49" s="128" t="n"/>
      <c r="H49" s="128" t="inlineStr">
        <is>
          <t>nothing of the 13 shilling 4pence for the farm of the fishery in the Cherwell because it pertains to the farmer.</t>
        </is>
      </c>
      <c r="I49" s="128" t="n"/>
    </row>
    <row r="50">
      <c r="A50" s="136" t="inlineStr">
        <is>
          <t>Issues of the manor</t>
        </is>
      </c>
      <c r="B50" s="128" t="n">
        <v>0</v>
      </c>
      <c r="C50" s="128" t="n">
        <v>3</v>
      </c>
      <c r="D50" s="128" t="n">
        <v>0</v>
      </c>
      <c r="E50" s="128" t="n"/>
      <c r="F50" s="128" t="n">
        <v>0.15</v>
      </c>
      <c r="G50" s="128" t="n"/>
      <c r="H50" s="128" t="inlineStr">
        <is>
          <t>3 shilling from John Eadburbury for oven-dues.</t>
        </is>
      </c>
      <c r="I50" s="128" t="n"/>
    </row>
    <row r="51">
      <c r="A51" s="136" t="inlineStr">
        <is>
          <t>Issues of the manor</t>
        </is>
      </c>
      <c r="B51" s="128" t="n">
        <v>0</v>
      </c>
      <c r="C51" s="128" t="n">
        <v>13</v>
      </c>
      <c r="D51" s="128" t="n">
        <v>4</v>
      </c>
      <c r="E51" s="128" t="n"/>
      <c r="F51" s="128" t="n">
        <v>0.67</v>
      </c>
      <c r="G51" s="128" t="n"/>
      <c r="H51" s="128" t="inlineStr">
        <is>
          <t>nothing of the 13 shilling 4pence for the farm of the oven-dues which belonged to John Benne because that rent is discharged by council of Adam, recently lord bishop of Winchester, as is made clear at the foot of the account for the sixth year of the same Adam (1338-9).</t>
        </is>
      </c>
      <c r="I51" s="128" t="n"/>
    </row>
    <row r="52">
      <c r="A52" s="136" t="inlineStr">
        <is>
          <t>Issues of the manor</t>
        </is>
      </c>
      <c r="B52" s="128" t="n">
        <v>0</v>
      </c>
      <c r="C52" s="128" t="n">
        <v>0</v>
      </c>
      <c r="D52" s="128" t="n">
        <v>0</v>
      </c>
      <c r="E52" s="128" t="n"/>
      <c r="F52" s="128" t="n">
        <v>0</v>
      </c>
      <c r="G52" s="128" t="n"/>
      <c r="H52" s="128" t="inlineStr">
        <is>
          <t>nothing from the herbage in Mikelham and Longmore because it is demised to the farmer.</t>
        </is>
      </c>
      <c r="I52" s="128" t="n"/>
    </row>
    <row r="53">
      <c r="A53" s="136" t="inlineStr">
        <is>
          <t>Issues of the manor</t>
        </is>
      </c>
      <c r="B53" s="128" t="n">
        <v>0</v>
      </c>
      <c r="C53" s="128" t="n">
        <v>6</v>
      </c>
      <c r="D53" s="128" t="n">
        <v>0</v>
      </c>
      <c r="E53" s="128" t="n"/>
      <c r="F53" s="128" t="n">
        <v>0.3</v>
      </c>
      <c r="G53" s="128" t="n"/>
      <c r="H53" s="128" t="inlineStr">
        <is>
          <t>6 shilling from John Eadburbury for release of his labour services.</t>
        </is>
      </c>
      <c r="I53" s="128" t="n"/>
    </row>
    <row r="54">
      <c r="A54" s="136" t="inlineStr">
        <is>
          <t>Issues of the manor</t>
        </is>
      </c>
      <c r="B54" s="128" t="n">
        <v>0</v>
      </c>
      <c r="C54" s="128" t="n">
        <v>0</v>
      </c>
      <c r="D54" s="128" t="n">
        <v>0</v>
      </c>
      <c r="E54" s="128" t="n"/>
      <c r="F54" s="128" t="n">
        <v>0</v>
      </c>
      <c r="G54" s="128" t="n"/>
      <c r="H54" s="128" t="inlineStr">
        <is>
          <t>nothing from geese sold.</t>
        </is>
      </c>
      <c r="I54" s="128" t="n"/>
    </row>
    <row r="55">
      <c r="A55" s="136" t="inlineStr">
        <is>
          <t>Issues of the manor</t>
        </is>
      </c>
      <c r="B55" s="128" t="n">
        <v>0</v>
      </c>
      <c r="C55" s="128" t="n">
        <v>1</v>
      </c>
      <c r="D55" s="128" t="n">
        <v>6</v>
      </c>
      <c r="E55" s="128" t="n"/>
      <c r="F55" s="128" t="n">
        <v>0.08</v>
      </c>
      <c r="G55" s="128" t="n"/>
      <c r="H55" s="128" t="inlineStr">
        <is>
          <t>1 shilling 6pence from 61 capons sold as made clear elsewhere, at 3pence each.</t>
        </is>
      </c>
      <c r="I55" s="128" t="n"/>
    </row>
    <row r="56">
      <c r="A56" s="136" t="inlineStr">
        <is>
          <t>Issues of the manor</t>
        </is>
      </c>
      <c r="B56" s="128" t="n">
        <v>0</v>
      </c>
      <c r="C56" s="128" t="n">
        <v>1</v>
      </c>
      <c r="D56" s="128" t="n">
        <v>8</v>
      </c>
      <c r="E56" s="128" t="n"/>
      <c r="F56" s="128" t="n">
        <v>0.08</v>
      </c>
      <c r="G56" s="128" t="n"/>
      <c r="H56" s="128" t="inlineStr">
        <is>
          <t>1 shilling 8pence from 10 cocks and hens sold, at 2pence each.</t>
        </is>
      </c>
      <c r="I56" s="128" t="n"/>
    </row>
    <row r="57">
      <c r="A57" s="136" t="inlineStr">
        <is>
          <t>Issues of the manor</t>
        </is>
      </c>
      <c r="B57" s="128" t="n">
        <v>0</v>
      </c>
      <c r="C57" s="128" t="n">
        <v>0</v>
      </c>
      <c r="D57" s="128" t="n">
        <v>0</v>
      </c>
      <c r="E57" s="128" t="n"/>
      <c r="F57" s="128" t="n">
        <v>0</v>
      </c>
      <c r="G57" s="128" t="n"/>
      <c r="H57" s="128" t="inlineStr">
        <is>
          <t>nothing from hens' eggs sold.</t>
        </is>
      </c>
      <c r="I57" s="128" t="n"/>
    </row>
    <row r="58">
      <c r="A58" s="136" t="inlineStr">
        <is>
          <t>Issues of the manor</t>
        </is>
      </c>
      <c r="B58" s="128" t="n">
        <v>0</v>
      </c>
      <c r="C58" s="128" t="n">
        <v>0</v>
      </c>
      <c r="D58" s="128" t="n">
        <v>0</v>
      </c>
      <c r="E58" s="128" t="n"/>
      <c r="F58" s="128" t="n">
        <v>0</v>
      </c>
      <c r="G58" s="128" t="n"/>
      <c r="H58" s="128" t="inlineStr">
        <is>
          <t>nothing from the milking of cows or ewes.</t>
        </is>
      </c>
      <c r="I58" s="128" t="n"/>
    </row>
    <row r="59">
      <c r="A59" s="136" t="inlineStr">
        <is>
          <t>Issues of the manor</t>
        </is>
      </c>
      <c r="B59" s="128" t="n">
        <v>0</v>
      </c>
      <c r="C59" s="128" t="n">
        <v>0</v>
      </c>
      <c r="D59" s="128" t="n">
        <v>0</v>
      </c>
      <c r="E59" s="128" t="n"/>
      <c r="F59" s="128" t="n">
        <v>0</v>
      </c>
      <c r="G59" s="128" t="n"/>
      <c r="H59" s="128" t="inlineStr">
        <is>
          <t>nothing for the farm of the lands and tenements in the lord's hands here because they are given separately below.</t>
        </is>
      </c>
      <c r="I59" s="128" t="n"/>
    </row>
    <row r="60">
      <c r="A60" s="136" t="inlineStr">
        <is>
          <t>Issues of the manor</t>
        </is>
      </c>
      <c r="B60" s="128" t="n">
        <v>0</v>
      </c>
      <c r="C60" s="128" t="n">
        <v>0</v>
      </c>
      <c r="D60" s="128" t="n">
        <v>0</v>
      </c>
      <c r="E60" s="128" t="n"/>
      <c r="F60" s="128" t="n">
        <v>0</v>
      </c>
      <c r="G60" s="128" t="n"/>
      <c r="H60" s="128" t="inlineStr">
        <is>
          <t>nothing from wool sold this year.</t>
        </is>
      </c>
      <c r="I60" s="128" t="n"/>
    </row>
    <row r="61">
      <c r="A61" s="136" t="inlineStr">
        <is>
          <t>Issues of the manor</t>
        </is>
      </c>
      <c r="B61" s="128" t="n">
        <v>0</v>
      </c>
      <c r="C61" s="128" t="n">
        <v>0</v>
      </c>
      <c r="D61" s="128" t="n">
        <v>0</v>
      </c>
      <c r="E61" s="128" t="n"/>
      <c r="F61" s="128" t="n">
        <v>0</v>
      </c>
      <c r="G61" s="128" t="n"/>
      <c r="H61" s="128" t="inlineStr">
        <is>
          <t>nothing from hay sold this year.</t>
        </is>
      </c>
      <c r="I61" s="128" t="n"/>
    </row>
    <row r="62">
      <c r="A62" s="136" t="inlineStr">
        <is>
          <t>Issues of the manor</t>
        </is>
      </c>
      <c r="B62" s="128" t="n">
        <v>0</v>
      </c>
      <c r="C62" s="128" t="n">
        <v>1</v>
      </c>
      <c r="D62" s="128" t="n">
        <v>0</v>
      </c>
      <c r="E62" s="128" t="n"/>
      <c r="F62" s="128" t="n">
        <v>0.05</v>
      </c>
      <c r="G62" s="128" t="n"/>
      <c r="H62" s="128" t="inlineStr">
        <is>
          <t>1 shilling from 250 stone slates sold because unsuitable (inutil') for the use of the lord.</t>
        </is>
      </c>
      <c r="I62" s="128" t="n"/>
    </row>
    <row r="63">
      <c r="A63" s="136" t="inlineStr">
        <is>
          <t>Issues of the manor</t>
        </is>
      </c>
      <c r="B63" s="128" t="n">
        <v>0</v>
      </c>
      <c r="C63" s="128" t="n">
        <v>3</v>
      </c>
      <c r="D63" s="128" t="n">
        <v>4</v>
      </c>
      <c r="E63" s="128" t="n"/>
      <c r="F63" s="128" t="n">
        <v>0.17</v>
      </c>
      <c r="G63" s="128" t="n"/>
      <c r="H63" s="128" t="inlineStr">
        <is>
          <t>3 shilling 4pence from 400 laths sold, at 10pence a 100.</t>
        </is>
      </c>
      <c r="I63" s="128" t="n"/>
    </row>
    <row r="64">
      <c r="A64" s="136" t="inlineStr">
        <is>
          <t>Issues of the manor</t>
        </is>
      </c>
      <c r="B64" s="128" t="n">
        <v>0</v>
      </c>
      <c r="C64" s="128" t="n">
        <v>0</v>
      </c>
      <c r="D64" s="128" t="n">
        <v>6</v>
      </c>
      <c r="E64" s="128" t="n"/>
      <c r="F64" s="128" t="n">
        <v>0.03</v>
      </c>
      <c r="G64" s="128" t="n"/>
      <c r="H64" s="128" t="inlineStr">
        <is>
          <t>6pence from 6 worn out hurdles sold.</t>
        </is>
      </c>
      <c r="I64" s="128" t="n"/>
    </row>
    <row r="65">
      <c r="A65" s="136" t="inlineStr">
        <is>
          <t>Issues of the manor</t>
        </is>
      </c>
      <c r="B65" s="128" t="n">
        <v>2</v>
      </c>
      <c r="C65" s="128" t="n">
        <v>2</v>
      </c>
      <c r="D65" s="128" t="n">
        <v>7.5</v>
      </c>
      <c r="E65" s="128" t="n"/>
      <c r="F65" s="128" t="n">
        <v>2.13</v>
      </c>
      <c r="G65" s="128" t="n"/>
      <c r="H65" s="128" t="inlineStr">
        <is>
          <t>Total, £2 2 shilling 7.5pence.</t>
        </is>
      </c>
      <c r="I65" s="128" t="n"/>
    </row>
    <row r="66">
      <c r="A66" s="138" t="inlineStr">
        <is>
          <t>Issues of the manor total</t>
        </is>
      </c>
      <c r="B66" s="139" t="n"/>
      <c r="C66" s="139" t="n"/>
      <c r="D66" s="139" t="n"/>
      <c r="E66" s="139" t="n"/>
      <c r="F66" s="139" t="n">
        <v>3.63</v>
      </c>
      <c r="G66" s="139" t="n">
        <v>1.5</v>
      </c>
      <c r="H66" s="139" t="inlineStr">
        <is>
          <t>Total</t>
        </is>
      </c>
      <c r="I66" s="139" t="n"/>
    </row>
    <row r="67">
      <c r="A67" s="136" t="n"/>
      <c r="B67" s="128" t="n"/>
      <c r="C67" s="128" t="n"/>
      <c r="D67" s="128" t="n"/>
      <c r="E67" s="128" t="n"/>
      <c r="F67" s="128" t="n"/>
      <c r="G67" s="128" t="n"/>
      <c r="H67" s="128" t="n"/>
      <c r="I67" s="128" t="n"/>
    </row>
    <row r="68">
      <c r="A68" s="137" t="inlineStr">
        <is>
          <t>Sale of corn</t>
        </is>
      </c>
      <c r="B68" s="128" t="n">
        <v>0</v>
      </c>
      <c r="C68" s="128" t="n">
        <v>0</v>
      </c>
      <c r="D68" s="128" t="n">
        <v>0</v>
      </c>
      <c r="E68" s="128" t="n"/>
      <c r="F68" s="128" t="n">
        <v>0</v>
      </c>
      <c r="G68" s="128" t="n"/>
      <c r="H68" s="128" t="inlineStr">
        <is>
          <t>Nothing from the sale of corn for the reason made clear elsewhere.</t>
        </is>
      </c>
      <c r="I68" s="128" t="n"/>
    </row>
    <row r="69">
      <c r="A69" s="138" t="inlineStr">
        <is>
          <t>Sale of corn total</t>
        </is>
      </c>
      <c r="B69" s="139" t="n"/>
      <c r="C69" s="139" t="n"/>
      <c r="D69" s="139" t="n"/>
      <c r="E69" s="139" t="n"/>
      <c r="F69" s="139" t="n">
        <v>0</v>
      </c>
      <c r="G69" s="139" t="n">
        <v>0</v>
      </c>
      <c r="H69" s="139" t="inlineStr">
        <is>
          <t>Total</t>
        </is>
      </c>
      <c r="I69" s="139" t="n"/>
    </row>
    <row r="70">
      <c r="A70" s="136" t="n"/>
      <c r="B70" s="128" t="n"/>
      <c r="C70" s="128" t="n"/>
      <c r="D70" s="128" t="n"/>
      <c r="E70" s="128" t="n"/>
      <c r="F70" s="128" t="n"/>
      <c r="G70" s="128" t="n"/>
      <c r="H70" s="128" t="n"/>
      <c r="I70" s="128" t="n"/>
    </row>
    <row r="71">
      <c r="A71" s="137" t="inlineStr">
        <is>
          <t>Sale of stock</t>
        </is>
      </c>
      <c r="B71" s="128" t="n">
        <v>0</v>
      </c>
      <c r="C71" s="128" t="n">
        <v>10</v>
      </c>
      <c r="D71" s="128" t="n">
        <v>6</v>
      </c>
      <c r="E71" s="128" t="n"/>
      <c r="F71" s="128" t="n">
        <v>0.53</v>
      </c>
      <c r="G71" s="128" t="n"/>
      <c r="H71" s="128" t="inlineStr">
        <is>
          <t>And for 10 shilling 6pence from 1 horse sold as made clear elsewhere.</t>
        </is>
      </c>
      <c r="I71" s="128" t="n"/>
    </row>
    <row r="72">
      <c r="A72" s="136" t="inlineStr">
        <is>
          <t>Sale of stock</t>
        </is>
      </c>
      <c r="B72" s="128" t="n">
        <v>0</v>
      </c>
      <c r="C72" s="128" t="n">
        <v>5</v>
      </c>
      <c r="D72" s="128" t="n">
        <v>0</v>
      </c>
      <c r="E72" s="128" t="n"/>
      <c r="F72" s="128" t="n">
        <v>0.25</v>
      </c>
      <c r="G72" s="128" t="n"/>
      <c r="H72" s="128" t="inlineStr">
        <is>
          <t>5 shilling from 1 colt sold as made clear elsewhere.</t>
        </is>
      </c>
      <c r="I72" s="128" t="n"/>
    </row>
    <row r="73">
      <c r="A73" s="136" t="inlineStr">
        <is>
          <t>Sale of stock</t>
        </is>
      </c>
      <c r="B73" s="128" t="n">
        <v>1</v>
      </c>
      <c r="C73" s="128" t="n">
        <v>10</v>
      </c>
      <c r="D73" s="128" t="n">
        <v>0</v>
      </c>
      <c r="E73" s="128" t="n"/>
      <c r="F73" s="128" t="n">
        <v>1.5</v>
      </c>
      <c r="G73" s="128" t="n"/>
      <c r="H73" s="128" t="inlineStr">
        <is>
          <t>£1 10 shilling from 3 cows sold as made clear elsewhere.</t>
        </is>
      </c>
      <c r="I73" s="128" t="n"/>
    </row>
    <row r="74">
      <c r="A74" s="136" t="inlineStr">
        <is>
          <t>Sale of stock</t>
        </is>
      </c>
      <c r="B74" s="128" t="n">
        <v>0</v>
      </c>
      <c r="C74" s="128" t="n">
        <v>0</v>
      </c>
      <c r="D74" s="128" t="n">
        <v>8</v>
      </c>
      <c r="E74" s="128" t="n"/>
      <c r="F74" s="128" t="n">
        <v>0.03</v>
      </c>
      <c r="G74" s="128" t="n"/>
      <c r="H74" s="128" t="inlineStr">
        <is>
          <t>8pence from 1 ewe sold as made clear elsewhere.</t>
        </is>
      </c>
      <c r="I74" s="128" t="n"/>
    </row>
    <row r="75">
      <c r="A75" s="136" t="inlineStr">
        <is>
          <t>Sale of stock</t>
        </is>
      </c>
      <c r="B75" s="128" t="n">
        <v>2</v>
      </c>
      <c r="C75" s="128" t="n">
        <v>6</v>
      </c>
      <c r="D75" s="128" t="n">
        <v>2</v>
      </c>
      <c r="E75" s="128" t="n"/>
      <c r="F75" s="128" t="n">
        <v>2.31</v>
      </c>
      <c r="G75" s="128" t="n"/>
      <c r="H75" s="128" t="inlineStr">
        <is>
          <t>Total, £2 6 shilling 2pence.</t>
        </is>
      </c>
      <c r="I75" s="128" t="n"/>
    </row>
    <row r="76">
      <c r="A76" s="138" t="inlineStr">
        <is>
          <t>Sale of stock total</t>
        </is>
      </c>
      <c r="B76" s="139" t="n"/>
      <c r="C76" s="139" t="n"/>
      <c r="D76" s="139" t="n"/>
      <c r="E76" s="139" t="n"/>
      <c r="F76" s="139" t="n">
        <v>2.31</v>
      </c>
      <c r="G76" s="139" t="n">
        <v>0</v>
      </c>
      <c r="H76" s="139" t="inlineStr">
        <is>
          <t>Total</t>
        </is>
      </c>
      <c r="I76" s="139" t="n"/>
    </row>
    <row r="77">
      <c r="A77" s="136" t="n"/>
      <c r="B77" s="128" t="n"/>
      <c r="C77" s="128" t="n"/>
      <c r="D77" s="128" t="n"/>
      <c r="E77" s="128" t="n"/>
      <c r="F77" s="128" t="n"/>
      <c r="G77" s="128" t="n"/>
      <c r="H77" s="128" t="n"/>
      <c r="I77" s="128" t="n"/>
    </row>
    <row r="78">
      <c r="A78" s="137" t="inlineStr">
        <is>
          <t>Entry and marriage fines</t>
        </is>
      </c>
      <c r="B78" s="128" t="n">
        <v>1</v>
      </c>
      <c r="C78" s="128" t="n">
        <v>0</v>
      </c>
      <c r="D78" s="128" t="n">
        <v>0</v>
      </c>
      <c r="E78" s="128" t="n"/>
      <c r="F78" s="128" t="n">
        <v>1</v>
      </c>
      <c r="G78" s="128" t="n"/>
      <c r="H78" s="128" t="inlineStr">
        <is>
          <t>And for £1 from fixed payments (certus visus) and tithingpenny at Martinmas.</t>
        </is>
      </c>
      <c r="I78" s="128" t="n"/>
    </row>
    <row r="79">
      <c r="A79" s="136" t="inlineStr">
        <is>
          <t>Entry and marriage fines</t>
        </is>
      </c>
      <c r="B79" s="128" t="n">
        <v>1</v>
      </c>
      <c r="C79" s="128" t="n">
        <v>0</v>
      </c>
      <c r="D79" s="128" t="n">
        <v>0</v>
      </c>
      <c r="E79" s="128" t="n"/>
      <c r="F79" s="128" t="n">
        <v>1</v>
      </c>
      <c r="G79" s="128" t="n"/>
      <c r="H79" s="128" t="inlineStr">
        <is>
          <t>£1 from fixed payments and tithingpenny at Hockday.</t>
        </is>
      </c>
      <c r="I79" s="128" t="n"/>
    </row>
    <row r="80">
      <c r="A80" s="136" t="inlineStr">
        <is>
          <t>Entry and marriage fines</t>
        </is>
      </c>
      <c r="B80" s="128" t="n">
        <v>0</v>
      </c>
      <c r="C80" s="128" t="n">
        <v>3</v>
      </c>
      <c r="D80" s="128" t="n">
        <v>4</v>
      </c>
      <c r="E80" s="128" t="n"/>
      <c r="F80" s="128" t="n">
        <v>0.17</v>
      </c>
      <c r="G80" s="128" t="n"/>
      <c r="H80" s="128" t="inlineStr">
        <is>
          <t>3 shilling 4pence from Thomas Mason' to have 3.5 acres of arable land and 1 acre of meadow in Bodicote by surrender of Richard Umfray and Alice his wife, and she is examined about this in court.</t>
        </is>
      </c>
      <c r="I80" s="128" t="n"/>
    </row>
    <row r="81">
      <c r="A81" s="136" t="inlineStr">
        <is>
          <t>Entry and marriage fines</t>
        </is>
      </c>
      <c r="B81" s="128" t="n">
        <v>1</v>
      </c>
      <c r="C81" s="128" t="n">
        <v>0</v>
      </c>
      <c r="D81" s="128" t="n">
        <v>0</v>
      </c>
      <c r="E81" s="128" t="n"/>
      <c r="F81" s="128" t="n">
        <v>1</v>
      </c>
      <c r="G81" s="128" t="n"/>
      <c r="H81" s="128" t="inlineStr">
        <is>
          <t>£1 from Robert Clerk' to have 1 messuage with a curtilage and 1 cotland of villein land in Adderbury which belonged to William Gylot and which came into the lord's hands as his escheat because noone of the kin of the said William took steps to fine for the same although a proclamation was made according to the custom of the manor.</t>
        </is>
      </c>
      <c r="I81" s="128" t="n"/>
    </row>
    <row r="82">
      <c r="A82" s="136" t="inlineStr">
        <is>
          <t>Entry and marriage fines</t>
        </is>
      </c>
      <c r="B82" s="128" t="n">
        <v>1</v>
      </c>
      <c r="C82" s="128" t="n">
        <v>6</v>
      </c>
      <c r="D82" s="128" t="n">
        <v>8</v>
      </c>
      <c r="E82" s="128" t="n"/>
      <c r="F82" s="128" t="n">
        <v>1.33</v>
      </c>
      <c r="G82" s="128" t="n"/>
      <c r="H82" s="128" t="inlineStr">
        <is>
          <t>£1 6 shilling 8pence from Thomas Ingram to have 1 messuage and 1 virgate of villein land in Adderbury by surrender of Richard Asser, for which William, son and heir of the aforesaid Richard, refused to make fine in full court and remised and released all his right and claim which he had or will be able to have in the same to the aforesaid Thomas.</t>
        </is>
      </c>
      <c r="I82" s="128" t="n"/>
    </row>
    <row r="83">
      <c r="A83" s="136" t="inlineStr">
        <is>
          <t>Entry and marriage fines</t>
        </is>
      </c>
      <c r="B83" s="128" t="n">
        <v>2</v>
      </c>
      <c r="C83" s="128" t="n">
        <v>0</v>
      </c>
      <c r="D83" s="128" t="n">
        <v>0</v>
      </c>
      <c r="E83" s="128" t="n"/>
      <c r="F83" s="128" t="n">
        <v>2</v>
      </c>
      <c r="G83" s="128" t="n"/>
      <c r="H83" s="128" t="inlineStr">
        <is>
          <t>£2 from Richard atte Mulle to have 1 toft called Boltes and 1 other toft called Osebarnes with 2 acrelands of villein land in Adderbury which belonged to Richard Bolt and John Osbarn and which came into the lord's hands as his escheat because noone of the kin of the said Richard took steps to fine for the same although a proclamation was made according to the custom of the manor.</t>
        </is>
      </c>
      <c r="I83" s="128" t="n"/>
    </row>
    <row r="84">
      <c r="A84" s="136" t="inlineStr">
        <is>
          <t>Entry and marriage fines</t>
        </is>
      </c>
      <c r="B84" s="128" t="n">
        <v>0</v>
      </c>
      <c r="C84" s="128" t="n">
        <v>6</v>
      </c>
      <c r="D84" s="128" t="n">
        <v>8</v>
      </c>
      <c r="E84" s="128" t="n"/>
      <c r="F84" s="128" t="n">
        <v>0.33</v>
      </c>
      <c r="G84" s="128" t="n"/>
      <c r="H84" s="128" t="inlineStr">
        <is>
          <t>6 shilling 8pence from Amice, daughter of Thomas Hogg', for marrying herself outside.</t>
        </is>
      </c>
      <c r="I84" s="128" t="n"/>
    </row>
    <row r="85">
      <c r="A85" s="136" t="inlineStr">
        <is>
          <t>Entry and marriage fines</t>
        </is>
      </c>
      <c r="B85" s="128" t="n">
        <v>0</v>
      </c>
      <c r="C85" s="128" t="n">
        <v>10</v>
      </c>
      <c r="D85" s="128" t="n">
        <v>0</v>
      </c>
      <c r="E85" s="128" t="n"/>
      <c r="F85" s="128" t="n">
        <v>0.5</v>
      </c>
      <c r="G85" s="128" t="n"/>
      <c r="H85" s="128" t="inlineStr">
        <is>
          <t>10 shilling from William, son of Thomas Benne, to have 1 messuage and .5 virgate of villein land in Adderbury which belonged to the aforesaid Thomas his father.</t>
        </is>
      </c>
      <c r="I85" s="128" t="n"/>
    </row>
    <row r="86">
      <c r="A86" s="136" t="inlineStr">
        <is>
          <t>Entry and marriage fines</t>
        </is>
      </c>
      <c r="B86" s="128" t="n">
        <v>1</v>
      </c>
      <c r="C86" s="128" t="n">
        <v>0</v>
      </c>
      <c r="D86" s="128" t="n">
        <v>0</v>
      </c>
      <c r="E86" s="128" t="n"/>
      <c r="F86" s="128" t="n">
        <v>1</v>
      </c>
      <c r="G86" s="128" t="n"/>
      <c r="H86" s="128" t="inlineStr">
        <is>
          <t>£1 from William atte Lee to have 1 messuage with a curtilage and 1 acreland of villein land in Adderbury which belonged to Richard Dolphin and which came into the lord's hands as his escheat because noone of the kin of the said Richard took steps to fine for the same although a proclamation was made according to the custom of the manor.</t>
        </is>
      </c>
      <c r="I86" s="128" t="n"/>
    </row>
    <row r="87">
      <c r="A87" s="136" t="inlineStr">
        <is>
          <t>Entry and marriage fines</t>
        </is>
      </c>
      <c r="B87" s="128" t="n">
        <v>2</v>
      </c>
      <c r="C87" s="128" t="n">
        <v>0</v>
      </c>
      <c r="D87" s="128" t="n">
        <v>0</v>
      </c>
      <c r="E87" s="128" t="n"/>
      <c r="F87" s="128" t="n">
        <v>2</v>
      </c>
      <c r="G87" s="128" t="n"/>
      <c r="H87" s="128" t="inlineStr">
        <is>
          <t>£2 from Simon Holte to have 1 messuage 16 acres of land, 2 cottages, 9 acres of land and 1 acre of meadow, 1 messuage and 1 virgate of villein land and 1 water-mill in Bodicote.</t>
        </is>
      </c>
      <c r="I87" s="128" t="n"/>
    </row>
    <row r="88">
      <c r="A88" s="136" t="inlineStr">
        <is>
          <t>Entry and marriage fines</t>
        </is>
      </c>
      <c r="B88" s="128" t="n">
        <v>4</v>
      </c>
      <c r="C88" s="128" t="n">
        <v>6</v>
      </c>
      <c r="D88" s="128" t="n">
        <v>8</v>
      </c>
      <c r="E88" s="128" t="n"/>
      <c r="F88" s="128" t="n">
        <v>4.33</v>
      </c>
      <c r="G88" s="128" t="n"/>
      <c r="H88" s="128" t="inlineStr">
        <is>
          <t>£4 6 shilling 8pence from Richard Verdon' and Alice his wife to have 1 messuage 36 acres of land and 7 acres of meadow in the meadow of Bodicote together with common pasture for 3 cattle in the common pasture of Bodicote and 5 cattle in the several pasture of the aforesaid vill by surrender of Agnes Hammeye.</t>
        </is>
      </c>
      <c r="I88" s="128" t="n"/>
    </row>
    <row r="89">
      <c r="A89" s="136" t="inlineStr">
        <is>
          <t>Entry and marriage fines</t>
        </is>
      </c>
      <c r="B89" s="128" t="n">
        <v>3</v>
      </c>
      <c r="C89" s="128" t="n">
        <v>6</v>
      </c>
      <c r="D89" s="128" t="n">
        <v>8</v>
      </c>
      <c r="E89" s="128" t="n"/>
      <c r="F89" s="128" t="n">
        <v>3.33</v>
      </c>
      <c r="G89" s="128" t="n"/>
      <c r="H89" s="128" t="inlineStr">
        <is>
          <t>£3 6 shilling 8pence from John Appuldor, of Bodicote to have 1 messuage and 1 virgate of villein land in Bodicote by surrender of Adam Chapeleyn.</t>
        </is>
      </c>
      <c r="I89" s="128" t="n"/>
    </row>
    <row r="90">
      <c r="A90" s="136" t="inlineStr">
        <is>
          <t>Entry and marriage fines</t>
        </is>
      </c>
      <c r="B90" s="128" t="n">
        <v>1</v>
      </c>
      <c r="C90" s="128" t="n">
        <v>0</v>
      </c>
      <c r="D90" s="128" t="n">
        <v>0</v>
      </c>
      <c r="E90" s="128" t="n"/>
      <c r="F90" s="128" t="n">
        <v>1</v>
      </c>
      <c r="G90" s="128" t="n"/>
      <c r="H90" s="128" t="inlineStr">
        <is>
          <t>£1 from William Verneye to have the reversion of the moiety of 1 messuage 2.5 virgates of land and 6 acres of meadow in Bodicote, for which Emma, who was wife of John Whyte, had the estate for the term of her life.</t>
        </is>
      </c>
      <c r="I90" s="128" t="n"/>
    </row>
    <row r="91">
      <c r="A91" s="136" t="inlineStr">
        <is>
          <t>Entry and marriage fines</t>
        </is>
      </c>
      <c r="B91" s="128" t="n">
        <v>1</v>
      </c>
      <c r="C91" s="128" t="n">
        <v>0</v>
      </c>
      <c r="D91" s="128" t="n">
        <v>0</v>
      </c>
      <c r="E91" s="128" t="n"/>
      <c r="F91" s="128" t="n">
        <v>1</v>
      </c>
      <c r="G91" s="128" t="n"/>
      <c r="H91" s="128" t="inlineStr">
        <is>
          <t>£1 from John White to have the reversion of the moiety of 1 messuage 2.5 virgates of land and 6 acres of meadow in Bodicote by surrender of William Verneye.</t>
        </is>
      </c>
      <c r="I91" s="128" t="n"/>
    </row>
    <row r="92">
      <c r="A92" s="136" t="inlineStr">
        <is>
          <t>Entry and marriage fines</t>
        </is>
      </c>
      <c r="B92" s="128" t="n">
        <v>0</v>
      </c>
      <c r="C92" s="128" t="n">
        <v>2</v>
      </c>
      <c r="D92" s="128" t="n">
        <v>0</v>
      </c>
      <c r="E92" s="128" t="n"/>
      <c r="F92" s="128" t="n">
        <v>0.1</v>
      </c>
      <c r="G92" s="128" t="n"/>
      <c r="H92" s="128" t="inlineStr">
        <is>
          <t>2 shilling from William to have 1 toft with a croft and 2 acres of villein land in Adderbury by 'surrender of John Rundell' and Agnes his wife, and she is examined about this in court.</t>
        </is>
      </c>
      <c r="I92" s="128" t="n"/>
    </row>
    <row r="93">
      <c r="A93" s="136" t="inlineStr">
        <is>
          <t>Entry and marriage fines</t>
        </is>
      </c>
      <c r="B93" s="128" t="n">
        <v>3</v>
      </c>
      <c r="C93" s="128" t="n">
        <v>6</v>
      </c>
      <c r="D93" s="128" t="n">
        <v>8</v>
      </c>
      <c r="E93" s="128" t="n"/>
      <c r="F93" s="128" t="n">
        <v>3.33</v>
      </c>
      <c r="G93" s="128" t="n"/>
      <c r="H93" s="128" t="inlineStr">
        <is>
          <t>£3 6 shilling 8pence from John Whityng to have 1 messuage and 1 virgate of villein land n Adderbury which belonged to John Dicon' and about which Robert Box and Margery his wife are examined in full court, having remised and released all right and claim which they have or will be able to have in the same to the aforesaid John whytyng'.</t>
        </is>
      </c>
      <c r="I93" s="128" t="n"/>
    </row>
    <row r="94">
      <c r="A94" s="136" t="inlineStr">
        <is>
          <t>Entry and marriage fines</t>
        </is>
      </c>
      <c r="B94" s="128" t="n">
        <v>0</v>
      </c>
      <c r="C94" s="128" t="n">
        <v>0</v>
      </c>
      <c r="D94" s="128" t="n">
        <v>8</v>
      </c>
      <c r="E94" s="128" t="n"/>
      <c r="F94" s="128" t="n">
        <v>0.03</v>
      </c>
      <c r="G94" s="128" t="n"/>
      <c r="H94" s="128" t="inlineStr">
        <is>
          <t>8pence from Adam Taillour to have 1 pig-sty of purpresture in Adderbury by surrender of John Coupere.</t>
        </is>
      </c>
      <c r="I94" s="128" t="n"/>
    </row>
    <row r="95">
      <c r="A95" s="136" t="inlineStr">
        <is>
          <t>Entry and marriage fines</t>
        </is>
      </c>
      <c r="B95" s="128" t="n">
        <v>0</v>
      </c>
      <c r="C95" s="128" t="n">
        <v>6</v>
      </c>
      <c r="D95" s="128" t="n">
        <v>8</v>
      </c>
      <c r="E95" s="128" t="n"/>
      <c r="F95" s="128" t="n">
        <v>0.33</v>
      </c>
      <c r="G95" s="128" t="n"/>
      <c r="H95" s="128" t="inlineStr">
        <is>
          <t>6 shilling 8pence from Emma atte Mulle, otherwise known as Emmeline, making fine with the lord to have licence to demise to Richard atte Mulle, her son, 1 messuage and 1 virgate of land, with 1 mill with its appurtenances, and 1 cottage called Sybfordesplace in Adderbury for the next 15 years.</t>
        </is>
      </c>
      <c r="I95" s="128" t="n"/>
    </row>
    <row r="96">
      <c r="A96" s="136" t="inlineStr">
        <is>
          <t>Entry and marriage fines</t>
        </is>
      </c>
      <c r="B96" s="128" t="n">
        <v>24</v>
      </c>
      <c r="C96" s="128" t="n">
        <v>16</v>
      </c>
      <c r="D96" s="128" t="n">
        <v>0</v>
      </c>
      <c r="E96" s="128" t="n"/>
      <c r="F96" s="128" t="n">
        <v>24.8</v>
      </c>
      <c r="G96" s="128" t="n"/>
      <c r="H96" s="128" t="inlineStr">
        <is>
          <t>Total, £24 16 shilling.</t>
        </is>
      </c>
      <c r="I96" s="128" t="n"/>
    </row>
    <row r="97">
      <c r="A97" s="138" t="inlineStr">
        <is>
          <t>Entry and marriage fines total</t>
        </is>
      </c>
      <c r="B97" s="139" t="n"/>
      <c r="C97" s="139" t="n"/>
      <c r="D97" s="139" t="n"/>
      <c r="E97" s="139" t="n"/>
      <c r="F97" s="139" t="n">
        <v>23.78</v>
      </c>
      <c r="G97" s="139" t="n">
        <v>-1.02</v>
      </c>
      <c r="H97" s="139" t="inlineStr">
        <is>
          <t>Total</t>
        </is>
      </c>
      <c r="I97" s="139" t="n"/>
    </row>
    <row r="98">
      <c r="A98" s="136" t="n"/>
      <c r="B98" s="128" t="n"/>
      <c r="C98" s="128" t="n"/>
      <c r="D98" s="128" t="n"/>
      <c r="E98" s="128" t="n"/>
      <c r="F98" s="128" t="n"/>
      <c r="G98" s="128" t="n"/>
      <c r="H98" s="128" t="n"/>
      <c r="I98" s="128" t="n"/>
    </row>
    <row r="99">
      <c r="A99" s="137" t="inlineStr">
        <is>
          <t>Perquisites</t>
        </is>
      </c>
      <c r="B99" s="128" t="n">
        <v>0</v>
      </c>
      <c r="C99" s="128" t="n">
        <v>2</v>
      </c>
      <c r="D99" s="128" t="n">
        <v>5</v>
      </c>
      <c r="E99" s="128" t="n"/>
      <c r="F99" s="128" t="n">
        <v>0.12</v>
      </c>
      <c r="G99" s="128" t="n"/>
      <c r="H99" s="128" t="inlineStr">
        <is>
          <t>And for 2 shilling 5pence from the perquisites of the tourn of Martinmas (11 November).</t>
        </is>
      </c>
      <c r="I99" s="128" t="n"/>
    </row>
    <row r="100">
      <c r="A100" s="136" t="inlineStr">
        <is>
          <t>Perquisites</t>
        </is>
      </c>
      <c r="B100" s="128" t="n">
        <v>0</v>
      </c>
      <c r="C100" s="128" t="n">
        <v>14</v>
      </c>
      <c r="D100" s="128" t="n">
        <v>4</v>
      </c>
      <c r="E100" s="128" t="n"/>
      <c r="F100" s="128" t="n">
        <v>0.72</v>
      </c>
      <c r="G100" s="128" t="n"/>
      <c r="H100" s="128" t="inlineStr">
        <is>
          <t>14 shilling 4pence from the perquisites of the courts held by the bailiff between the 2 tourns.</t>
        </is>
      </c>
      <c r="I100" s="128" t="n"/>
    </row>
    <row r="101">
      <c r="A101" s="136" t="inlineStr">
        <is>
          <t>Perquisites</t>
        </is>
      </c>
      <c r="B101" s="128" t="n">
        <v>0</v>
      </c>
      <c r="C101" s="128" t="n">
        <v>12</v>
      </c>
      <c r="D101" s="128" t="n">
        <v>2</v>
      </c>
      <c r="E101" s="128" t="n"/>
      <c r="F101" s="128" t="n">
        <v>0.61</v>
      </c>
      <c r="G101" s="128" t="n"/>
      <c r="H101" s="128" t="inlineStr">
        <is>
          <t>12 shilling 2pence from the perquisites of the tourn of Hockday (1 April).</t>
        </is>
      </c>
      <c r="I101" s="128" t="n"/>
    </row>
    <row r="102">
      <c r="A102" s="136" t="inlineStr">
        <is>
          <t>Perquisites</t>
        </is>
      </c>
      <c r="B102" s="128" t="n">
        <v>0</v>
      </c>
      <c r="C102" s="128" t="n">
        <v>8</v>
      </c>
      <c r="D102" s="128" t="n">
        <v>1</v>
      </c>
      <c r="E102" s="128" t="n"/>
      <c r="F102" s="128" t="n">
        <v>0.4</v>
      </c>
      <c r="G102" s="128" t="n"/>
      <c r="H102" s="128" t="inlineStr">
        <is>
          <t>8 shilling 1pence from the perquisites of the courts held by the bailiff after the said tourn of Hockday.</t>
        </is>
      </c>
      <c r="I102" s="128" t="n"/>
    </row>
    <row r="103">
      <c r="A103" s="136" t="inlineStr">
        <is>
          <t>Perquisites</t>
        </is>
      </c>
      <c r="B103" s="128" t="n">
        <v>1</v>
      </c>
      <c r="C103" s="128" t="n">
        <v>17</v>
      </c>
      <c r="D103" s="128" t="n">
        <v>0</v>
      </c>
      <c r="E103" s="128" t="n"/>
      <c r="F103" s="128" t="n">
        <v>1.85</v>
      </c>
      <c r="G103" s="128" t="n"/>
      <c r="H103" s="128" t="inlineStr">
        <is>
          <t>Total, £1 17 shilling.</t>
        </is>
      </c>
      <c r="I103" s="128" t="n"/>
    </row>
    <row r="104">
      <c r="A104" s="138" t="inlineStr">
        <is>
          <t>Perquisites total</t>
        </is>
      </c>
      <c r="B104" s="139" t="n"/>
      <c r="C104" s="139" t="n"/>
      <c r="D104" s="139" t="n"/>
      <c r="E104" s="139" t="n"/>
      <c r="F104" s="139" t="n">
        <v>1.85</v>
      </c>
      <c r="G104" s="139" t="n">
        <v>0</v>
      </c>
      <c r="H104" s="139" t="inlineStr">
        <is>
          <t>Total</t>
        </is>
      </c>
      <c r="I104" s="139" t="n"/>
    </row>
    <row r="105">
      <c r="A105" s="136" t="n"/>
      <c r="B105" s="128" t="n"/>
      <c r="C105" s="128" t="n"/>
      <c r="D105" s="128" t="n"/>
      <c r="E105" s="128" t="n"/>
      <c r="F105" s="128" t="n"/>
      <c r="G105" s="128" t="n"/>
      <c r="H105" s="128" t="n"/>
      <c r="I105" s="128" t="n"/>
    </row>
    <row r="106">
      <c r="A106" s="136" t="inlineStr">
        <is>
          <t>Total of all receipts</t>
        </is>
      </c>
      <c r="B106" s="128" t="n">
        <v>981</v>
      </c>
      <c r="C106" s="128" t="n">
        <v>10</v>
      </c>
      <c r="D106" s="128" t="n">
        <v>6</v>
      </c>
      <c r="E106" s="128" t="n"/>
      <c r="F106" s="128" t="n">
        <v>981.52</v>
      </c>
      <c r="G106" s="128" t="n"/>
      <c r="H106" s="128" t="inlineStr">
        <is>
          <t>Total of all receipts, £981 10 shilling 6pence.</t>
        </is>
      </c>
      <c r="I106" s="128" t="n"/>
    </row>
    <row r="107">
      <c r="A107" s="38" t="inlineStr">
        <is>
          <t>Total of all receipts recorded in accounts (calculated here)</t>
        </is>
      </c>
      <c r="F107">
        <f>SUMIF(A1:A106,"* total",F1:F106)-SUMIF(A1:A106,"Arrears total",F1:F106)</f>
        <v/>
      </c>
    </row>
    <row r="108">
      <c r="A108" s="38" t="inlineStr">
        <is>
          <t>Total of all receipts (calculated here) incl arrears</t>
        </is>
      </c>
      <c r="F108">
        <f>F107+SUMIF(A1:A106,"Arrears total",F1:F106)</f>
        <v/>
      </c>
      <c r="G108">
        <f>F106-F108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6"/>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4 remain.</t>
        </is>
      </c>
      <c r="C3" t="n">
        <v>0</v>
      </c>
      <c r="D3" t="n">
        <v>0</v>
      </c>
      <c r="F3" t="inlineStr">
        <is>
          <t>4</t>
        </is>
      </c>
    </row>
    <row r="4">
      <c r="A4" t="inlineStr">
        <is>
          <t>Stock</t>
        </is>
      </c>
      <c r="B4" t="inlineStr">
        <is>
          <t>1 from the heriot of William Rundell'.</t>
        </is>
      </c>
      <c r="C4" t="n">
        <v>0</v>
      </c>
      <c r="D4" t="n">
        <v>0</v>
      </c>
    </row>
    <row r="5">
      <c r="A5" t="inlineStr">
        <is>
          <t>Stock</t>
        </is>
      </c>
      <c r="B5" t="inlineStr">
        <is>
          <t>Total 5. 1 sold within.</t>
        </is>
      </c>
      <c r="C5" t="n">
        <v>0</v>
      </c>
      <c r="D5" t="n">
        <v>0</v>
      </c>
      <c r="I5" t="inlineStr">
        <is>
          <t>1</t>
        </is>
      </c>
    </row>
    <row r="6">
      <c r="A6" t="inlineStr">
        <is>
          <t>Stock</t>
        </is>
      </c>
      <c r="B6" t="inlineStr">
        <is>
          <t>4 cart-horses remain, of which 2 are worth £1 6s 8pence, 1 is worth £1, and 1 feeble one is worth 2 shilling, in the keeping of the said John Eadburbury, farmer there, to be handed back and restored at the end of his farm or the value of the same at the choice of the lord bishop or his attorney.</t>
        </is>
      </c>
      <c r="C6" t="n">
        <v>0</v>
      </c>
      <c r="D6" t="n">
        <v>0</v>
      </c>
    </row>
    <row r="7">
      <c r="A7" t="inlineStr">
        <is>
          <t>Stock</t>
        </is>
      </c>
      <c r="B7" t="inlineStr">
        <is>
          <t>Plough-horses: 6 remain.</t>
        </is>
      </c>
      <c r="C7" t="n">
        <v>0</v>
      </c>
      <c r="D7" t="n">
        <v>0</v>
      </c>
      <c r="E7" t="inlineStr">
        <is>
          <t>Plough-horses</t>
        </is>
      </c>
      <c r="F7" t="inlineStr">
        <is>
          <t>6</t>
        </is>
      </c>
    </row>
    <row r="8">
      <c r="A8" t="inlineStr">
        <is>
          <t>Stock</t>
        </is>
      </c>
      <c r="B8" t="inlineStr">
        <is>
          <t>Total, 6. 6 remain, worth £2, in the keeping of John.</t>
        </is>
      </c>
      <c r="C8" t="n">
        <v>0</v>
      </c>
      <c r="D8" t="n">
        <v>0</v>
      </c>
      <c r="E8" t="inlineStr">
        <is>
          <t>Plough-horses</t>
        </is>
      </c>
    </row>
    <row r="9">
      <c r="A9" t="inlineStr">
        <is>
          <t>Stock</t>
        </is>
      </c>
      <c r="B9" t="inlineStr">
        <is>
          <t>Colts: 1 from the heriot of John Diconurn.</t>
        </is>
      </c>
      <c r="C9" t="n">
        <v>0</v>
      </c>
      <c r="D9" t="n">
        <v>0</v>
      </c>
      <c r="E9" t="inlineStr">
        <is>
          <t>Plough-horses</t>
        </is>
      </c>
    </row>
    <row r="10">
      <c r="A10" t="inlineStr">
        <is>
          <t>Stock</t>
        </is>
      </c>
      <c r="B10" t="inlineStr">
        <is>
          <t>sold within.</t>
        </is>
      </c>
      <c r="C10" t="n">
        <v>0</v>
      </c>
      <c r="D10" t="n">
        <v>0</v>
      </c>
      <c r="E10" t="inlineStr">
        <is>
          <t>Plough-horses</t>
        </is>
      </c>
    </row>
    <row r="11">
      <c r="A11" t="inlineStr">
        <is>
          <t>Stock</t>
        </is>
      </c>
      <c r="B11" t="inlineStr">
        <is>
          <t>none remain.</t>
        </is>
      </c>
      <c r="C11" t="n">
        <v>0</v>
      </c>
      <c r="D11" t="n">
        <v>0</v>
      </c>
      <c r="E11" t="inlineStr">
        <is>
          <t>Plough-horses</t>
        </is>
      </c>
    </row>
    <row r="12">
      <c r="A12" t="inlineStr">
        <is>
          <t>Stock</t>
        </is>
      </c>
      <c r="B12" t="inlineStr">
        <is>
          <t>Bulls: 2 remain.</t>
        </is>
      </c>
      <c r="C12" t="n">
        <v>0</v>
      </c>
      <c r="D12" t="n">
        <v>0</v>
      </c>
      <c r="E12" t="inlineStr">
        <is>
          <t>Bulls</t>
        </is>
      </c>
      <c r="F12" t="inlineStr">
        <is>
          <t>2</t>
        </is>
      </c>
    </row>
    <row r="13">
      <c r="A13" t="inlineStr">
        <is>
          <t>Stock</t>
        </is>
      </c>
      <c r="B13" t="inlineStr">
        <is>
          <t>Total, 2. 2 remain, worth 10 shilling each, in the keeping of the said John, to be handed back and restored at the end of his farm as before.</t>
        </is>
      </c>
      <c r="C13" t="n">
        <v>0</v>
      </c>
      <c r="D13" t="n">
        <v>0</v>
      </c>
      <c r="E13" t="inlineStr">
        <is>
          <t>Bulls</t>
        </is>
      </c>
    </row>
    <row r="14">
      <c r="A14" t="inlineStr">
        <is>
          <t>Stock</t>
        </is>
      </c>
      <c r="B14" t="inlineStr">
        <is>
          <t>Oxen: none.</t>
        </is>
      </c>
      <c r="C14" t="n">
        <v>0</v>
      </c>
      <c r="D14" t="n">
        <v>0</v>
      </c>
      <c r="E14" t="inlineStr">
        <is>
          <t>Oxen</t>
        </is>
      </c>
    </row>
    <row r="15">
      <c r="A15" t="inlineStr">
        <is>
          <t>Stock</t>
        </is>
      </c>
      <c r="B15" t="inlineStr">
        <is>
          <t>Cows: 19 remain.</t>
        </is>
      </c>
      <c r="C15" t="n">
        <v>0</v>
      </c>
      <c r="D15" t="n">
        <v>0</v>
      </c>
      <c r="E15" t="inlineStr">
        <is>
          <t>Cows</t>
        </is>
      </c>
      <c r="F15" t="inlineStr">
        <is>
          <t>19</t>
        </is>
      </c>
    </row>
    <row r="16">
      <c r="A16" t="inlineStr">
        <is>
          <t>Stock</t>
        </is>
      </c>
      <c r="B16" t="inlineStr">
        <is>
          <t>1 from the heriot of Adam Chapeleyn.</t>
        </is>
      </c>
      <c r="C16" t="n">
        <v>0</v>
      </c>
      <c r="D16" t="n">
        <v>0</v>
      </c>
      <c r="E16" t="inlineStr">
        <is>
          <t>Cows</t>
        </is>
      </c>
    </row>
    <row r="17">
      <c r="A17" t="inlineStr">
        <is>
          <t>Stock</t>
        </is>
      </c>
      <c r="B17" t="inlineStr">
        <is>
          <t>1 from the heriot of John Rundell'.</t>
        </is>
      </c>
      <c r="C17" t="n">
        <v>0</v>
      </c>
      <c r="D17" t="n">
        <v>0</v>
      </c>
      <c r="E17" t="inlineStr">
        <is>
          <t>Cows</t>
        </is>
      </c>
    </row>
    <row r="18">
      <c r="A18" t="inlineStr">
        <is>
          <t>Stock</t>
        </is>
      </c>
      <c r="B18" t="inlineStr">
        <is>
          <t>1 from the heriot of John Forde.</t>
        </is>
      </c>
      <c r="C18" t="n">
        <v>0</v>
      </c>
      <c r="D18" t="n">
        <v>0</v>
      </c>
      <c r="E18" t="inlineStr">
        <is>
          <t>Cows</t>
        </is>
      </c>
    </row>
    <row r="19">
      <c r="A19" t="inlineStr">
        <is>
          <t>Stock</t>
        </is>
      </c>
      <c r="B19" t="inlineStr">
        <is>
          <t>Total, 22. 3 sold within.</t>
        </is>
      </c>
      <c r="C19" t="n">
        <v>0</v>
      </c>
      <c r="D19" t="n">
        <v>0</v>
      </c>
      <c r="E19" t="inlineStr">
        <is>
          <t>Cows</t>
        </is>
      </c>
      <c r="I19" t="inlineStr">
        <is>
          <t>3</t>
        </is>
      </c>
    </row>
    <row r="20">
      <c r="A20" t="inlineStr">
        <is>
          <t>Stock</t>
        </is>
      </c>
      <c r="B20" t="inlineStr">
        <is>
          <t>Total, 3. 19 remain, worth 10 shilling each, in the keeping of the said John, to be handed back and restored at the end of his farm as before.</t>
        </is>
      </c>
      <c r="C20" t="n">
        <v>0</v>
      </c>
      <c r="D20" t="n">
        <v>0</v>
      </c>
      <c r="E20" t="inlineStr">
        <is>
          <t>Cows</t>
        </is>
      </c>
    </row>
    <row r="21">
      <c r="A21" t="inlineStr">
        <is>
          <t>Stock</t>
        </is>
      </c>
      <c r="B21" t="inlineStr">
        <is>
          <t>Yearlings: 10 remain.</t>
        </is>
      </c>
      <c r="C21" t="n">
        <v>0</v>
      </c>
      <c r="D21" t="n">
        <v>0</v>
      </c>
      <c r="E21" t="inlineStr">
        <is>
          <t>Yearlings</t>
        </is>
      </c>
      <c r="F21" t="inlineStr">
        <is>
          <t>10</t>
        </is>
      </c>
    </row>
    <row r="22">
      <c r="A22" t="inlineStr">
        <is>
          <t>Stock</t>
        </is>
      </c>
      <c r="B22" t="inlineStr">
        <is>
          <t>Total, 10. 10 remain, worth 3 shilling 4pence each, in the keeping of the said John, farmer, to be handed back and restored at the end of his farm as before.</t>
        </is>
      </c>
      <c r="C22" t="n">
        <v>0</v>
      </c>
      <c r="D22" t="n">
        <v>0</v>
      </c>
      <c r="E22" t="inlineStr">
        <is>
          <t>Yearlings</t>
        </is>
      </c>
    </row>
    <row r="23">
      <c r="A23" t="inlineStr">
        <is>
          <t>Stock</t>
        </is>
      </c>
      <c r="B23" t="inlineStr">
        <is>
          <t>No calves this year.</t>
        </is>
      </c>
      <c r="C23" t="n">
        <v>0</v>
      </c>
      <c r="D23" t="n">
        <v>0</v>
      </c>
      <c r="E23" t="inlineStr">
        <is>
          <t>Yearlings</t>
        </is>
      </c>
    </row>
    <row r="24">
      <c r="A24" t="inlineStr">
        <is>
          <t>Stock</t>
        </is>
      </c>
      <c r="B24" t="inlineStr">
        <is>
          <t>No wethers.</t>
        </is>
      </c>
      <c r="C24" t="n">
        <v>0</v>
      </c>
      <c r="D24" t="n">
        <v>0</v>
      </c>
      <c r="E24" t="inlineStr">
        <is>
          <t>Yearlings</t>
        </is>
      </c>
    </row>
    <row r="25">
      <c r="A25" t="inlineStr">
        <is>
          <t>Stock</t>
        </is>
      </c>
      <c r="B25" t="inlineStr">
        <is>
          <t>No rams.</t>
        </is>
      </c>
      <c r="C25" t="n">
        <v>0</v>
      </c>
      <c r="D25" t="n">
        <v>0</v>
      </c>
      <c r="E25" t="inlineStr">
        <is>
          <t>Yearlings</t>
        </is>
      </c>
    </row>
    <row r="26">
      <c r="A26" t="inlineStr">
        <is>
          <t>Stock</t>
        </is>
      </c>
      <c r="B26" t="inlineStr">
        <is>
          <t>Ewes: 1 from the heriot of Richard Asser.</t>
        </is>
      </c>
      <c r="C26" t="n">
        <v>0</v>
      </c>
      <c r="D26" t="n">
        <v>0</v>
      </c>
      <c r="E26" t="inlineStr">
        <is>
          <t>Ewes</t>
        </is>
      </c>
    </row>
    <row r="27">
      <c r="A27" t="inlineStr">
        <is>
          <t>Stock</t>
        </is>
      </c>
      <c r="B27" t="inlineStr">
        <is>
          <t>sold within.</t>
        </is>
      </c>
      <c r="C27" t="n">
        <v>0</v>
      </c>
      <c r="D27" t="n">
        <v>0</v>
      </c>
      <c r="E27" t="inlineStr">
        <is>
          <t>Ewes</t>
        </is>
      </c>
    </row>
    <row r="28">
      <c r="A28" t="inlineStr">
        <is>
          <t>Stock</t>
        </is>
      </c>
      <c r="B28" t="inlineStr">
        <is>
          <t>none remain.</t>
        </is>
      </c>
      <c r="C28" t="n">
        <v>0</v>
      </c>
      <c r="D28" t="n">
        <v>0</v>
      </c>
      <c r="E28" t="inlineStr">
        <is>
          <t>Ewes</t>
        </is>
      </c>
    </row>
    <row r="29">
      <c r="A29" t="inlineStr">
        <is>
          <t>Stock</t>
        </is>
      </c>
      <c r="B29" t="inlineStr">
        <is>
          <t>None: No hoggs.</t>
        </is>
      </c>
      <c r="C29" t="n">
        <v>0</v>
      </c>
      <c r="D29" t="n">
        <v>0</v>
      </c>
      <c r="E29" t="inlineStr">
        <is>
          <t>Ewes</t>
        </is>
      </c>
    </row>
    <row r="30">
      <c r="A30" t="inlineStr">
        <is>
          <t>Stock</t>
        </is>
      </c>
      <c r="B30" t="inlineStr">
        <is>
          <t>No lambs.</t>
        </is>
      </c>
      <c r="C30" t="n">
        <v>0</v>
      </c>
      <c r="D30" t="n">
        <v>0</v>
      </c>
      <c r="E30" t="inlineStr">
        <is>
          <t>Ewes</t>
        </is>
      </c>
    </row>
    <row r="31">
      <c r="A31" t="inlineStr">
        <is>
          <t>Stock</t>
        </is>
      </c>
      <c r="B31" t="inlineStr">
        <is>
          <t>No boars.</t>
        </is>
      </c>
      <c r="C31" t="n">
        <v>0</v>
      </c>
      <c r="D31" t="n">
        <v>0</v>
      </c>
      <c r="E31" t="inlineStr">
        <is>
          <t>Ewes</t>
        </is>
      </c>
    </row>
    <row r="32">
      <c r="A32" t="inlineStr">
        <is>
          <t>Stock</t>
        </is>
      </c>
      <c r="B32" t="inlineStr">
        <is>
          <t>No sows.</t>
        </is>
      </c>
      <c r="C32" t="n">
        <v>0</v>
      </c>
      <c r="D32" t="n">
        <v>0</v>
      </c>
      <c r="E32" t="inlineStr">
        <is>
          <t>Ewes</t>
        </is>
      </c>
    </row>
    <row r="33">
      <c r="A33" t="inlineStr">
        <is>
          <t>Stock</t>
        </is>
      </c>
      <c r="B33" t="inlineStr">
        <is>
          <t>No pigs.</t>
        </is>
      </c>
      <c r="C33" t="n">
        <v>0</v>
      </c>
      <c r="D33" t="n">
        <v>0</v>
      </c>
      <c r="E33" t="inlineStr">
        <is>
          <t>Ewes</t>
        </is>
      </c>
    </row>
    <row r="34">
      <c r="A34" t="inlineStr">
        <is>
          <t>Stock</t>
        </is>
      </c>
      <c r="B34" t="inlineStr">
        <is>
          <t>No hoggets.</t>
        </is>
      </c>
      <c r="C34" t="n">
        <v>0</v>
      </c>
      <c r="D34" t="n">
        <v>0</v>
      </c>
      <c r="E34" t="inlineStr">
        <is>
          <t>Ewes</t>
        </is>
      </c>
    </row>
    <row r="35">
      <c r="A35" t="inlineStr">
        <is>
          <t>Stock</t>
        </is>
      </c>
      <c r="B35" t="inlineStr">
        <is>
          <t>No piglets.</t>
        </is>
      </c>
      <c r="C35" t="n">
        <v>0</v>
      </c>
      <c r="D35" t="n">
        <v>0</v>
      </c>
      <c r="E35" t="inlineStr">
        <is>
          <t>Ewes</t>
        </is>
      </c>
    </row>
    <row r="36">
      <c r="A36" t="inlineStr">
        <is>
          <t>Stock</t>
        </is>
      </c>
      <c r="B36" t="inlineStr">
        <is>
          <t>No hides.</t>
        </is>
      </c>
      <c r="C36" t="n">
        <v>0</v>
      </c>
      <c r="D36" t="n">
        <v>0</v>
      </c>
      <c r="E36" t="inlineStr">
        <is>
          <t>Ewes</t>
        </is>
      </c>
    </row>
    <row r="37">
      <c r="A37" t="inlineStr">
        <is>
          <t>Stock</t>
        </is>
      </c>
      <c r="B37" t="inlineStr">
        <is>
          <t>No wool.</t>
        </is>
      </c>
      <c r="C37" t="n">
        <v>0</v>
      </c>
      <c r="D37" t="n">
        <v>0</v>
      </c>
      <c r="E37" t="inlineStr">
        <is>
          <t>Ewes</t>
        </is>
      </c>
    </row>
    <row r="38">
      <c r="A38" t="inlineStr">
        <is>
          <t>Stock</t>
        </is>
      </c>
      <c r="B38" t="inlineStr">
        <is>
          <t>No skins.</t>
        </is>
      </c>
      <c r="C38" t="n">
        <v>0</v>
      </c>
      <c r="D38" t="n">
        <v>0</v>
      </c>
      <c r="E38" t="inlineStr">
        <is>
          <t>Ewes</t>
        </is>
      </c>
    </row>
    <row r="39">
      <c r="A39" t="inlineStr">
        <is>
          <t>Stock</t>
        </is>
      </c>
      <c r="B39" t="inlineStr">
        <is>
          <t>No milking.</t>
        </is>
      </c>
      <c r="C39" t="n">
        <v>0</v>
      </c>
      <c r="D39" t="n">
        <v>0</v>
      </c>
      <c r="E39" t="inlineStr">
        <is>
          <t>Ewes</t>
        </is>
      </c>
    </row>
    <row r="40">
      <c r="A40" t="inlineStr">
        <is>
          <t>Stock</t>
        </is>
      </c>
      <c r="B40" t="inlineStr">
        <is>
          <t>No geese.</t>
        </is>
      </c>
      <c r="C40" t="n">
        <v>0</v>
      </c>
      <c r="D40" t="n">
        <v>0</v>
      </c>
      <c r="E40" t="inlineStr">
        <is>
          <t>Ewes</t>
        </is>
      </c>
    </row>
    <row r="41">
      <c r="A41" t="inlineStr">
        <is>
          <t>Stock</t>
        </is>
      </c>
      <c r="B41" t="inlineStr">
        <is>
          <t>Capons: none from stock.</t>
        </is>
      </c>
      <c r="C41" t="n">
        <v>0</v>
      </c>
      <c r="D41" t="n">
        <v>0</v>
      </c>
      <c r="E41" t="inlineStr">
        <is>
          <t>Ewes</t>
        </is>
      </c>
    </row>
    <row r="42">
      <c r="A42" t="inlineStr">
        <is>
          <t>Stock</t>
        </is>
      </c>
      <c r="B42" t="inlineStr">
        <is>
          <t>6 for the rent of Emma atte Mulle.</t>
        </is>
      </c>
      <c r="C42" t="n">
        <v>0</v>
      </c>
      <c r="D42" t="n">
        <v>0</v>
      </c>
      <c r="E42" t="inlineStr">
        <is>
          <t>Ewes</t>
        </is>
      </c>
    </row>
    <row r="43">
      <c r="A43" t="inlineStr">
        <is>
          <t>Stock</t>
        </is>
      </c>
      <c r="B43" t="inlineStr">
        <is>
          <t>Total, 6. Sold within.</t>
        </is>
      </c>
      <c r="C43" t="n">
        <v>0</v>
      </c>
      <c r="D43" t="n">
        <v>0</v>
      </c>
      <c r="E43" t="inlineStr">
        <is>
          <t>Ewes</t>
        </is>
      </c>
    </row>
    <row r="44">
      <c r="A44" t="inlineStr">
        <is>
          <t>Stock</t>
        </is>
      </c>
      <c r="B44" t="inlineStr">
        <is>
          <t>none remain.</t>
        </is>
      </c>
      <c r="C44" t="n">
        <v>0</v>
      </c>
      <c r="D44" t="n">
        <v>0</v>
      </c>
      <c r="E44" t="inlineStr">
        <is>
          <t>Ewes</t>
        </is>
      </c>
    </row>
    <row r="45">
      <c r="A45" t="inlineStr">
        <is>
          <t>Stock</t>
        </is>
      </c>
      <c r="B45" t="inlineStr">
        <is>
          <t>Cocks and hens: none from stock.</t>
        </is>
      </c>
      <c r="C45" t="n">
        <v>0</v>
      </c>
      <c r="D45" t="n">
        <v>0</v>
      </c>
      <c r="E45" t="inlineStr">
        <is>
          <t>Poultry stock</t>
        </is>
      </c>
    </row>
    <row r="46">
      <c r="A46" t="inlineStr">
        <is>
          <t>Stock</t>
        </is>
      </c>
      <c r="B46" t="inlineStr">
        <is>
          <t>28 from churchscot at Martinmas, of which 4 are from William Prew, 3 from William Tut, 4 from Richard Smyth' and John Buryman, 6 from Alice Aylon, and 4 from Alan Acreman for 2 cotlands.</t>
        </is>
      </c>
      <c r="C46" t="n">
        <v>0</v>
      </c>
      <c r="D46" t="n">
        <v>0</v>
      </c>
      <c r="E46" t="inlineStr">
        <is>
          <t>Poultry stock</t>
        </is>
      </c>
    </row>
    <row r="47">
      <c r="A47" t="inlineStr">
        <is>
          <t>Stock</t>
        </is>
      </c>
      <c r="B47" t="inlineStr">
        <is>
          <t>Total, 28. 4 in default of the churchscot of 1 cotland of John Dawe which formerly belonged to William Gilot and William Gille because their tenements are in the lord's hands and at farm as made clear within.</t>
        </is>
      </c>
      <c r="C47" t="n">
        <v>0</v>
      </c>
      <c r="D47" t="n">
        <v>0</v>
      </c>
      <c r="E47" t="inlineStr">
        <is>
          <t>Poultry stock</t>
        </is>
      </c>
    </row>
    <row r="48">
      <c r="A48" t="inlineStr">
        <is>
          <t>Stock</t>
        </is>
      </c>
      <c r="B48" t="inlineStr">
        <is>
          <t>1 in default of 1 messuage and 1 acreland, containing 12 acres of land, and 1 acre of meadow formerly of Richard Smyth' and now of Gregory Benet, because he pays a fixed rent this year.</t>
        </is>
      </c>
      <c r="C48" t="n">
        <v>0</v>
      </c>
      <c r="D48" t="n">
        <v>0</v>
      </c>
      <c r="E48" t="inlineStr">
        <is>
          <t>Poultry stock</t>
        </is>
      </c>
    </row>
    <row r="49">
      <c r="A49" t="inlineStr">
        <is>
          <t>Stock</t>
        </is>
      </c>
      <c r="B49" t="inlineStr">
        <is>
          <t>6 in default of the churchscot of 2 acrelands formerly of Richard Bolt, Mabel Dawe and John Dolphyn and now of Richard White, Alice Wylot and Richard atte Mulle for the aforesaid reason.</t>
        </is>
      </c>
      <c r="C49" t="n">
        <v>0</v>
      </c>
      <c r="D49" t="n">
        <v>0</v>
      </c>
      <c r="E49" t="inlineStr">
        <is>
          <t>Poultry stock</t>
        </is>
      </c>
    </row>
    <row r="50">
      <c r="A50" t="inlineStr">
        <is>
          <t>Stock</t>
        </is>
      </c>
      <c r="B50" t="inlineStr">
        <is>
          <t>4 in default of 2 acrelands formerly of Alan Acreman and now of William Jakeman and Robert atte Style for the aforesaid reason.</t>
        </is>
      </c>
      <c r="C50" t="n">
        <v>0</v>
      </c>
      <c r="D50" t="n">
        <v>0</v>
      </c>
      <c r="E50" t="inlineStr">
        <is>
          <t>Poultry stock</t>
        </is>
      </c>
    </row>
    <row r="51">
      <c r="A51" t="inlineStr">
        <is>
          <t>Stock</t>
        </is>
      </c>
      <c r="B51" t="inlineStr">
        <is>
          <t>1 in default of 1 acreland formerly of Richard Buryman and now of John Scot for the aforesaid reason.</t>
        </is>
      </c>
      <c r="C51" t="n">
        <v>0</v>
      </c>
      <c r="D51" t="n">
        <v>0</v>
      </c>
      <c r="E51" t="inlineStr">
        <is>
          <t>Poultry stock</t>
        </is>
      </c>
    </row>
    <row r="52">
      <c r="A52" t="inlineStr">
        <is>
          <t>Stock</t>
        </is>
      </c>
      <c r="B52" t="inlineStr">
        <is>
          <t>2 in default of 1 cotland formerly of Alice Aylon and now of Henry Gille for the aforesaid reason.</t>
        </is>
      </c>
      <c r="C52" t="n">
        <v>0</v>
      </c>
      <c r="D52" t="n">
        <v>0</v>
      </c>
      <c r="E52" t="inlineStr">
        <is>
          <t>Poultry stock</t>
        </is>
      </c>
    </row>
    <row r="53">
      <c r="A53" t="inlineStr">
        <is>
          <t>Stock</t>
        </is>
      </c>
      <c r="B53" t="inlineStr">
        <is>
          <t>10 sold within.</t>
        </is>
      </c>
      <c r="C53" t="n">
        <v>0</v>
      </c>
      <c r="D53" t="n">
        <v>0</v>
      </c>
      <c r="E53" t="inlineStr">
        <is>
          <t>Poultry stock</t>
        </is>
      </c>
      <c r="I53" t="inlineStr">
        <is>
          <t>10</t>
        </is>
      </c>
    </row>
    <row r="54">
      <c r="A54" t="inlineStr">
        <is>
          <t>Stock</t>
        </is>
      </c>
      <c r="B54" t="inlineStr">
        <is>
          <t>Total as before.</t>
        </is>
      </c>
      <c r="C54" t="n">
        <v>0</v>
      </c>
      <c r="D54" t="n">
        <v>0</v>
      </c>
      <c r="E54" t="inlineStr">
        <is>
          <t>Poultry stock</t>
        </is>
      </c>
    </row>
    <row r="55">
      <c r="A55" t="inlineStr">
        <is>
          <t>Stock</t>
        </is>
      </c>
      <c r="B55" t="inlineStr">
        <is>
          <t>None remain.</t>
        </is>
      </c>
      <c r="C55" t="n">
        <v>0</v>
      </c>
      <c r="D55" t="n">
        <v>0</v>
      </c>
      <c r="E55" t="inlineStr">
        <is>
          <t>Poultry stock</t>
        </is>
      </c>
    </row>
    <row r="56">
      <c r="A56" t="inlineStr">
        <is>
          <t>Stock</t>
        </is>
      </c>
      <c r="B56" t="inlineStr">
        <is>
          <t>Laths: 2,700 laths remain.</t>
        </is>
      </c>
      <c r="C56" t="n">
        <v>0</v>
      </c>
      <c r="D56" t="n">
        <v>0</v>
      </c>
      <c r="E56" t="inlineStr">
        <is>
          <t>Poultry stock</t>
        </is>
      </c>
      <c r="F56" t="inlineStr">
        <is>
          <t>700</t>
        </is>
      </c>
    </row>
    <row r="57">
      <c r="A57" t="inlineStr">
        <is>
          <t>Stock</t>
        </is>
      </c>
      <c r="B57" t="inlineStr">
        <is>
          <t>Total, 2,700. 2,000 used to repair the lord's barn, hall and kitchen.</t>
        </is>
      </c>
      <c r="C57" t="n">
        <v>0</v>
      </c>
      <c r="D57" t="n">
        <v>0</v>
      </c>
      <c r="E57" t="inlineStr">
        <is>
          <t>Poultry stock</t>
        </is>
      </c>
    </row>
    <row r="58">
      <c r="A58" t="inlineStr">
        <is>
          <t>Stock</t>
        </is>
      </c>
      <c r="B58" t="inlineStr">
        <is>
          <t>400 sold within.</t>
        </is>
      </c>
      <c r="C58" t="n">
        <v>0</v>
      </c>
      <c r="D58" t="n">
        <v>0</v>
      </c>
      <c r="E58" t="inlineStr">
        <is>
          <t>Poultry stock</t>
        </is>
      </c>
      <c r="I58" t="inlineStr">
        <is>
          <t>400</t>
        </is>
      </c>
    </row>
    <row r="59">
      <c r="A59" t="inlineStr">
        <is>
          <t>Stock</t>
        </is>
      </c>
      <c r="B59" t="inlineStr">
        <is>
          <t>Total, 2,400. 300 remain.</t>
        </is>
      </c>
      <c r="C59" t="n">
        <v>0</v>
      </c>
      <c r="D59" t="n">
        <v>0</v>
      </c>
      <c r="E59" t="inlineStr">
        <is>
          <t>Poultry stock</t>
        </is>
      </c>
    </row>
    <row r="60">
      <c r="A60" t="inlineStr">
        <is>
          <t>Stock</t>
        </is>
      </c>
      <c r="B60" t="inlineStr">
        <is>
          <t>Lime: 6 quarters of limestone remain.</t>
        </is>
      </c>
      <c r="C60" t="n">
        <v>0</v>
      </c>
      <c r="D60" t="n">
        <v>0</v>
      </c>
      <c r="E60" t="inlineStr">
        <is>
          <t>Poultry stock</t>
        </is>
      </c>
    </row>
    <row r="61">
      <c r="A61" t="inlineStr">
        <is>
          <t>Stock</t>
        </is>
      </c>
      <c r="B61" t="inlineStr">
        <is>
          <t>4 quarters 4 bushels bought at Walton'.</t>
        </is>
      </c>
      <c r="C61" t="n">
        <v>0</v>
      </c>
      <c r="D61" t="n">
        <v>0</v>
      </c>
      <c r="E61" t="inlineStr">
        <is>
          <t>Poultry stock</t>
        </is>
      </c>
      <c r="G61" t="inlineStr">
        <is>
          <t>4</t>
        </is>
      </c>
    </row>
    <row r="62">
      <c r="A62" t="inlineStr">
        <is>
          <t>Stock</t>
        </is>
      </c>
      <c r="B62" t="inlineStr">
        <is>
          <t>8 quarters bought at wi.t ney.</t>
        </is>
      </c>
      <c r="C62" t="n">
        <v>0</v>
      </c>
      <c r="D62" t="n">
        <v>0</v>
      </c>
      <c r="E62" t="inlineStr">
        <is>
          <t>Poultry stock</t>
        </is>
      </c>
      <c r="G62" t="inlineStr">
        <is>
          <t>8</t>
        </is>
      </c>
    </row>
    <row r="63">
      <c r="A63" t="inlineStr">
        <is>
          <t>Stock</t>
        </is>
      </c>
      <c r="B63" t="inlineStr">
        <is>
          <t>Total, 18 quarters 4 bushels Used to repair the lord's barn, hall and kitchen.</t>
        </is>
      </c>
      <c r="C63" t="n">
        <v>0</v>
      </c>
      <c r="D63" t="n">
        <v>0</v>
      </c>
      <c r="E63" t="inlineStr">
        <is>
          <t>Poultry stock</t>
        </is>
      </c>
    </row>
    <row r="64">
      <c r="A64" t="inlineStr">
        <is>
          <t>Stock</t>
        </is>
      </c>
      <c r="B64" t="inlineStr">
        <is>
          <t>none remains.</t>
        </is>
      </c>
      <c r="C64" t="n">
        <v>0</v>
      </c>
      <c r="D64" t="n">
        <v>0</v>
      </c>
      <c r="E64" t="inlineStr">
        <is>
          <t>Poultry stock</t>
        </is>
      </c>
    </row>
    <row r="65">
      <c r="A65" t="inlineStr">
        <is>
          <t>Stock</t>
        </is>
      </c>
      <c r="B65" t="inlineStr">
        <is>
          <t>Stone slates: 3,000 stone slates remain.</t>
        </is>
      </c>
      <c r="C65" t="n">
        <v>0</v>
      </c>
      <c r="D65" t="n">
        <v>0</v>
      </c>
      <c r="E65" t="inlineStr">
        <is>
          <t>Poultry stock</t>
        </is>
      </c>
    </row>
    <row r="66">
      <c r="A66" t="inlineStr">
        <is>
          <t>Stock</t>
        </is>
      </c>
      <c r="B66" t="inlineStr">
        <is>
          <t>200 large stones remain.</t>
        </is>
      </c>
      <c r="C66" t="n">
        <v>0</v>
      </c>
      <c r="D66" t="n">
        <v>0</v>
      </c>
      <c r="E66" t="inlineStr">
        <is>
          <t>Poultry stock</t>
        </is>
      </c>
    </row>
    <row r="67">
      <c r="A67" t="inlineStr">
        <is>
          <t>Stock</t>
        </is>
      </c>
      <c r="B67" t="inlineStr">
        <is>
          <t>1,500 stone slates bought.</t>
        </is>
      </c>
      <c r="C67" t="n">
        <v>0</v>
      </c>
      <c r="D67" t="n">
        <v>0</v>
      </c>
      <c r="E67" t="inlineStr">
        <is>
          <t>Poultry stock</t>
        </is>
      </c>
      <c r="G67" t="inlineStr">
        <is>
          <t>500</t>
        </is>
      </c>
    </row>
    <row r="68">
      <c r="A68" t="inlineStr">
        <is>
          <t>Stock</t>
        </is>
      </c>
      <c r="B68" t="inlineStr">
        <is>
          <t>500 eaves-stones bought.</t>
        </is>
      </c>
      <c r="C68" t="n">
        <v>0</v>
      </c>
      <c r="D68" t="n">
        <v>0</v>
      </c>
      <c r="E68" t="inlineStr">
        <is>
          <t>Poultry stock</t>
        </is>
      </c>
      <c r="G68" t="inlineStr">
        <is>
          <t>500</t>
        </is>
      </c>
    </row>
    <row r="69">
      <c r="A69" t="inlineStr">
        <is>
          <t>Stock</t>
        </is>
      </c>
      <c r="B69" t="inlineStr">
        <is>
          <t>Total, 5,200. 250 sold within because unsuitable for the use of the lord.</t>
        </is>
      </c>
      <c r="C69" t="n">
        <v>0</v>
      </c>
      <c r="D69" t="n">
        <v>0</v>
      </c>
      <c r="E69" t="inlineStr">
        <is>
          <t>Poultry stock</t>
        </is>
      </c>
      <c r="I69" t="inlineStr">
        <is>
          <t>250</t>
        </is>
      </c>
    </row>
    <row r="70">
      <c r="A70" t="inlineStr">
        <is>
          <t>Stock</t>
        </is>
      </c>
      <c r="B70" t="inlineStr">
        <is>
          <t>4,950 used in mending the lord's barn, hall and kitchen.</t>
        </is>
      </c>
      <c r="C70" t="n">
        <v>0</v>
      </c>
      <c r="D70" t="n">
        <v>0</v>
      </c>
      <c r="E70" t="inlineStr">
        <is>
          <t>Poultry stock</t>
        </is>
      </c>
    </row>
    <row r="71">
      <c r="A71" t="inlineStr">
        <is>
          <t>Stock</t>
        </is>
      </c>
      <c r="B71" t="inlineStr">
        <is>
          <t>Total as before.</t>
        </is>
      </c>
      <c r="C71" t="n">
        <v>0</v>
      </c>
      <c r="D71" t="n">
        <v>0</v>
      </c>
      <c r="E71" t="inlineStr">
        <is>
          <t>Poultry stock</t>
        </is>
      </c>
    </row>
    <row r="72">
      <c r="A72" t="inlineStr">
        <is>
          <t>Stock</t>
        </is>
      </c>
      <c r="B72" t="inlineStr">
        <is>
          <t>None remain.</t>
        </is>
      </c>
      <c r="C72" t="n">
        <v>0</v>
      </c>
      <c r="D72" t="n">
        <v>0</v>
      </c>
      <c r="E72" t="inlineStr">
        <is>
          <t>Poultry stock</t>
        </is>
      </c>
    </row>
    <row r="73">
      <c r="A73" t="inlineStr">
        <is>
          <t>Stock</t>
        </is>
      </c>
      <c r="B73" t="inlineStr">
        <is>
          <t>Hurdles: 6 remain.</t>
        </is>
      </c>
      <c r="C73" t="n">
        <v>0</v>
      </c>
      <c r="D73" t="n">
        <v>0</v>
      </c>
      <c r="E73" t="inlineStr">
        <is>
          <t>Poultry stock</t>
        </is>
      </c>
    </row>
    <row r="74">
      <c r="A74" t="inlineStr">
        <is>
          <t>Stock</t>
        </is>
      </c>
      <c r="B74" t="inlineStr">
        <is>
          <t>Total, 6. Sold because useless for the stock.</t>
        </is>
      </c>
      <c r="C74" t="n">
        <v>0</v>
      </c>
      <c r="D74" t="n">
        <v>0</v>
      </c>
      <c r="E74" t="inlineStr">
        <is>
          <t>Poultry stock</t>
        </is>
      </c>
    </row>
    <row r="75">
      <c r="A75" t="inlineStr">
        <is>
          <t>Stock</t>
        </is>
      </c>
      <c r="B75" t="inlineStr">
        <is>
          <t>none remain. mid.</t>
        </is>
      </c>
      <c r="C75" t="n">
        <v>0</v>
      </c>
      <c r="D75" t="n">
        <v>0</v>
      </c>
      <c r="E75" t="inlineStr">
        <is>
          <t>Poultry stock</t>
        </is>
      </c>
    </row>
    <row r="76">
      <c r="A76" t="inlineStr">
        <is>
          <t>Stock</t>
        </is>
      </c>
      <c r="B76" t="inlineStr">
        <is>
          <t>Total</t>
        </is>
      </c>
      <c r="C76" t="n">
        <v>0</v>
      </c>
      <c r="D76" t="n">
        <v>0</v>
      </c>
      <c r="E76" t="inlineStr">
        <is>
          <t>Poultry stock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Total Bought Quarters</t>
        </is>
      </c>
    </row>
    <row r="2">
      <c r="A2" t="inlineStr">
        <is>
          <t>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E2" t="n">
        <v>0</v>
      </c>
    </row>
    <row r="3">
      <c r="A3" t="inlineStr">
        <is>
          <t>wheat</t>
        </is>
      </c>
      <c r="B3" t="inlineStr">
        <is>
          <t>william jakeman, reeve there, answers for 3 quarters of wheat remaining..</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3</v>
      </c>
      <c r="Y3" t="n">
        <v>0</v>
      </c>
      <c r="Z3" t="n">
        <v>3</v>
      </c>
      <c r="AA3" t="n">
        <v>3</v>
      </c>
      <c r="AB3" t="n">
        <v>0</v>
      </c>
      <c r="AC3" t="n">
        <v>3</v>
      </c>
      <c r="AD3" t="n">
        <v>0</v>
      </c>
      <c r="AE3" t="n">
        <v>0</v>
      </c>
    </row>
    <row r="4">
      <c r="A4" t="inlineStr">
        <is>
          <t>wheat</t>
        </is>
      </c>
      <c r="B4" t="inlineStr">
        <is>
          <t>total, 3 quarters..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3</v>
      </c>
      <c r="Y4" t="n">
        <v>0</v>
      </c>
      <c r="Z4" t="n">
        <v>3</v>
      </c>
      <c r="AA4" t="n">
        <v>3</v>
      </c>
      <c r="AB4" t="n">
        <v>0</v>
      </c>
      <c r="AC4" t="n">
        <v>3</v>
      </c>
      <c r="AD4" t="n">
        <v>0</v>
      </c>
      <c r="AE4" t="n">
        <v>0</v>
      </c>
    </row>
    <row r="5">
      <c r="A5" t="inlineStr">
        <is>
          <t>wheat</t>
        </is>
      </c>
      <c r="B5" t="inlineStr">
        <is>
          <t>3 quarters remain in the keeping of john eadburbury, farmer there, to be handed back and restored at the end of his farm of 12 years, this year being the fifth.</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3</v>
      </c>
      <c r="Y5" t="n">
        <v>0</v>
      </c>
      <c r="Z5" t="n">
        <v>3</v>
      </c>
      <c r="AA5" t="n">
        <v>3</v>
      </c>
      <c r="AB5" t="n">
        <v>0</v>
      </c>
      <c r="AC5" t="n">
        <v>3</v>
      </c>
      <c r="AD5" t="n">
        <v>0</v>
      </c>
      <c r="AE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E6" t="n">
        <v>0</v>
      </c>
    </row>
    <row r="7">
      <c r="A7" t="inlineStr">
        <is>
          <t>rye</t>
        </is>
      </c>
      <c r="B7" t="inlineStr">
        <is>
          <t>and for 34 quarters of rye remaining..</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34</v>
      </c>
      <c r="Y7" t="n">
        <v>0</v>
      </c>
      <c r="Z7" t="n">
        <v>34</v>
      </c>
      <c r="AA7" t="n">
        <v>34</v>
      </c>
      <c r="AB7" t="n">
        <v>0</v>
      </c>
      <c r="AC7" t="n">
        <v>34</v>
      </c>
      <c r="AD7" t="n">
        <v>0</v>
      </c>
      <c r="AE7" t="n">
        <v>0</v>
      </c>
    </row>
    <row r="8">
      <c r="A8" t="inlineStr">
        <is>
          <t>rye</t>
        </is>
      </c>
      <c r="B8" t="inlineStr">
        <is>
          <t>total, 34 quarters..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34</v>
      </c>
      <c r="Y8" t="n">
        <v>0</v>
      </c>
      <c r="Z8" t="n">
        <v>34</v>
      </c>
      <c r="AA8" t="n">
        <v>34</v>
      </c>
      <c r="AB8" t="n">
        <v>0</v>
      </c>
      <c r="AC8" t="n">
        <v>34</v>
      </c>
      <c r="AD8" t="n">
        <v>0</v>
      </c>
      <c r="AE8" t="n">
        <v>0</v>
      </c>
    </row>
    <row r="9">
      <c r="A9" t="inlineStr">
        <is>
          <t>rye</t>
        </is>
      </c>
      <c r="B9" t="inlineStr">
        <is>
          <t>34 quarters remain in the keeping of the said john eadburbury, farmer there, to be handed back and restored at the end of his farm as before.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34</v>
      </c>
      <c r="Y9" t="n">
        <v>0</v>
      </c>
      <c r="Z9" t="n">
        <v>34</v>
      </c>
      <c r="AA9" t="n">
        <v>34</v>
      </c>
      <c r="AB9" t="n">
        <v>0</v>
      </c>
      <c r="AC9" t="n">
        <v>34</v>
      </c>
      <c r="AD9" t="n">
        <v>0</v>
      </c>
      <c r="AE9" t="n">
        <v>0</v>
      </c>
    </row>
    <row r="10">
      <c r="A10" t="inlineStr">
        <is>
          <t>rye</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AE10" t="n">
        <v>0</v>
      </c>
    </row>
    <row r="11">
      <c r="A11" t="inlineStr">
        <is>
          <t>dredge</t>
        </is>
      </c>
      <c r="B11" t="inlineStr">
        <is>
          <t>and for 30 quarters of dredge remaining..</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30</v>
      </c>
      <c r="Y11" t="n">
        <v>0</v>
      </c>
      <c r="Z11" t="n">
        <v>30</v>
      </c>
      <c r="AA11" t="n">
        <v>30</v>
      </c>
      <c r="AB11" t="n">
        <v>0</v>
      </c>
      <c r="AC11" t="n">
        <v>30</v>
      </c>
      <c r="AD11" t="n">
        <v>0</v>
      </c>
      <c r="AE11" t="n">
        <v>0</v>
      </c>
    </row>
    <row r="12">
      <c r="A12" t="inlineStr">
        <is>
          <t>dredge</t>
        </is>
      </c>
      <c r="B12" t="inlineStr">
        <is>
          <t>total, 30 quarters..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30</v>
      </c>
      <c r="Y12" t="n">
        <v>0</v>
      </c>
      <c r="Z12" t="n">
        <v>30</v>
      </c>
      <c r="AA12" t="n">
        <v>30</v>
      </c>
      <c r="AB12" t="n">
        <v>0</v>
      </c>
      <c r="AC12" t="n">
        <v>30</v>
      </c>
      <c r="AD12" t="n">
        <v>0</v>
      </c>
      <c r="AE12" t="n">
        <v>0</v>
      </c>
    </row>
    <row r="13">
      <c r="A13" t="inlineStr">
        <is>
          <t>dredge</t>
        </is>
      </c>
      <c r="B13" t="inlineStr">
        <is>
          <t>30 quarters remain in the keeping of the said john eadburbury, farmer there, to be handed back and restored as before.</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30</v>
      </c>
      <c r="Y13" t="n">
        <v>0</v>
      </c>
      <c r="Z13" t="n">
        <v>30</v>
      </c>
      <c r="AA13" t="n">
        <v>30</v>
      </c>
      <c r="AB13" t="n">
        <v>0</v>
      </c>
      <c r="AC13" t="n">
        <v>30</v>
      </c>
      <c r="AD13" t="n">
        <v>0</v>
      </c>
      <c r="AE13" t="n">
        <v>0</v>
      </c>
    </row>
    <row r="14">
      <c r="A14" t="inlineStr">
        <is>
          <t>dredge</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E14" t="n">
        <v>0</v>
      </c>
    </row>
    <row r="15">
      <c r="A15" t="inlineStr">
        <is>
          <t>oats</t>
        </is>
      </c>
      <c r="B15" t="inlineStr">
        <is>
          <t>and for 10 quarters of oats..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10</v>
      </c>
      <c r="Y15" t="n">
        <v>0</v>
      </c>
      <c r="Z15" t="n">
        <v>10</v>
      </c>
      <c r="AA15" t="n">
        <v>10</v>
      </c>
      <c r="AB15" t="n">
        <v>0</v>
      </c>
      <c r="AC15" t="n">
        <v>10</v>
      </c>
      <c r="AD15" t="n">
        <v>0</v>
      </c>
      <c r="AE15" t="n">
        <v>0</v>
      </c>
    </row>
    <row r="16">
      <c r="A16" t="inlineStr">
        <is>
          <t>oats</t>
        </is>
      </c>
      <c r="B16" t="inlineStr">
        <is>
          <t>total, 10 quarters..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10</v>
      </c>
      <c r="Y16" t="n">
        <v>0</v>
      </c>
      <c r="Z16" t="n">
        <v>10</v>
      </c>
      <c r="AA16" t="n">
        <v>10</v>
      </c>
      <c r="AB16" t="n">
        <v>0</v>
      </c>
      <c r="AC16" t="n">
        <v>10</v>
      </c>
      <c r="AD16" t="n">
        <v>0</v>
      </c>
      <c r="AE16" t="n">
        <v>0</v>
      </c>
    </row>
    <row r="17">
      <c r="A17" t="inlineStr">
        <is>
          <t>oats</t>
        </is>
      </c>
      <c r="B17" t="inlineStr">
        <is>
          <t>10 quarters remain in the keeping of the said john eadburbury, farmer there, to be handed back and restored as before.</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10</v>
      </c>
      <c r="Y17" t="n">
        <v>0</v>
      </c>
      <c r="Z17" t="n">
        <v>10</v>
      </c>
      <c r="AA17" t="n">
        <v>10</v>
      </c>
      <c r="AB17" t="n">
        <v>0</v>
      </c>
      <c r="AC17" t="n">
        <v>10</v>
      </c>
      <c r="AD17" t="n">
        <v>0</v>
      </c>
      <c r="AE17" t="n">
        <v>0</v>
      </c>
    </row>
    <row r="18">
      <c r="A18" t="inlineStr">
        <is>
          <t>oats</t>
        </is>
      </c>
      <c r="B18" t="inlineStr">
        <is>
          <t>eadburbury, farmer, to be handed back and restored at the end of his farm or the value of the same as before.</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rye</t>
        </is>
      </c>
      <c r="B4" t="n">
        <v>0</v>
      </c>
      <c r="C4" t="n">
        <v>0</v>
      </c>
      <c r="D4" t="n">
        <v>0</v>
      </c>
      <c r="E4" t="n">
        <v>0</v>
      </c>
      <c r="F4" t="n">
        <v>0</v>
      </c>
      <c r="G4" t="n">
        <v>0</v>
      </c>
      <c r="H4" t="n">
        <v>0</v>
      </c>
      <c r="I4" t="n">
        <v>0</v>
      </c>
      <c r="J4" t="n">
        <v>0</v>
      </c>
      <c r="K4" t="n">
        <v>0</v>
      </c>
      <c r="L4" t="n">
        <v>0</v>
      </c>
      <c r="M4" t="n">
        <v>0</v>
      </c>
    </row>
    <row r="5">
      <c r="A5" t="inlineStr">
        <is>
          <t>dredge</t>
        </is>
      </c>
      <c r="B5" t="n">
        <v>0</v>
      </c>
      <c r="C5" t="n">
        <v>0</v>
      </c>
      <c r="D5" t="n">
        <v>0</v>
      </c>
      <c r="E5" t="n">
        <v>0</v>
      </c>
      <c r="F5" t="n">
        <v>0</v>
      </c>
      <c r="G5" t="n">
        <v>0</v>
      </c>
      <c r="H5" t="n">
        <v>0</v>
      </c>
      <c r="I5" t="n">
        <v>0</v>
      </c>
      <c r="J5" t="n">
        <v>0</v>
      </c>
      <c r="K5" t="n">
        <v>0</v>
      </c>
      <c r="L5" t="n">
        <v>0</v>
      </c>
      <c r="M5" t="n">
        <v>0</v>
      </c>
    </row>
    <row r="6">
      <c r="A6" t="inlineStr">
        <is>
          <t>oats</t>
        </is>
      </c>
      <c r="B6" t="n">
        <v>0</v>
      </c>
      <c r="C6" t="n">
        <v>0</v>
      </c>
      <c r="D6" t="n">
        <v>0</v>
      </c>
      <c r="E6" t="n">
        <v>0</v>
      </c>
      <c r="F6" t="n">
        <v>0</v>
      </c>
      <c r="G6" t="n">
        <v>0</v>
      </c>
      <c r="H6" t="n">
        <v>0</v>
      </c>
      <c r="I6" t="n">
        <v>0</v>
      </c>
      <c r="J6" t="n">
        <v>0</v>
      </c>
      <c r="K6" t="n">
        <v>0</v>
      </c>
      <c r="L6" t="n">
        <v>0</v>
      </c>
      <c r="M6" t="n">
        <v>0</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Barley</t>
        </is>
      </c>
      <c r="B9" t="n">
        <v>0</v>
      </c>
      <c r="C9" t="n">
        <v>0</v>
      </c>
      <c r="D9" t="n">
        <v>0</v>
      </c>
      <c r="E9" t="n">
        <v>0</v>
      </c>
      <c r="F9" t="n">
        <v>0</v>
      </c>
      <c r="G9" t="n">
        <v>0</v>
      </c>
      <c r="H9" t="n">
        <v>0</v>
      </c>
      <c r="I9" t="n">
        <v>0</v>
      </c>
      <c r="J9" t="n">
        <v>0</v>
      </c>
      <c r="K9" t="n">
        <v>0</v>
      </c>
      <c r="L9" t="n">
        <v>0</v>
      </c>
      <c r="M9" t="n">
        <v>0</v>
      </c>
    </row>
    <row r="10">
      <c r="A10" t="inlineStr">
        <is>
          <t>First-grade malt</t>
        </is>
      </c>
      <c r="B10" t="n">
        <v>0</v>
      </c>
      <c r="C10" t="n">
        <v>0</v>
      </c>
      <c r="D10" t="n">
        <v>0</v>
      </c>
      <c r="E10" t="n">
        <v>0</v>
      </c>
      <c r="F10" t="n">
        <v>0</v>
      </c>
      <c r="G10" t="n">
        <v>0</v>
      </c>
      <c r="H10" t="n">
        <v>0</v>
      </c>
      <c r="I10" t="n">
        <v>0</v>
      </c>
      <c r="J10" t="n">
        <v>0</v>
      </c>
      <c r="K10" t="n">
        <v>0</v>
      </c>
      <c r="L10" t="n">
        <v>0</v>
      </c>
      <c r="M10" t="n">
        <v>0</v>
      </c>
    </row>
    <row r="11">
      <c r="A11" t="inlineStr">
        <is>
          <t>Second-grade malt</t>
        </is>
      </c>
      <c r="B11" t="n">
        <v>0</v>
      </c>
      <c r="C11" t="n">
        <v>0</v>
      </c>
      <c r="D11" t="n">
        <v>0</v>
      </c>
      <c r="E11" t="n">
        <v>0</v>
      </c>
      <c r="F11" t="n">
        <v>0</v>
      </c>
      <c r="G11" t="n">
        <v>0</v>
      </c>
      <c r="H11" t="n">
        <v>0</v>
      </c>
      <c r="I11" t="n">
        <v>0</v>
      </c>
      <c r="J11" t="n">
        <v>0</v>
      </c>
      <c r="K11" t="n">
        <v>0</v>
      </c>
      <c r="L11" t="n">
        <v>0</v>
      </c>
      <c r="M11" t="n">
        <v>0</v>
      </c>
    </row>
    <row r="12">
      <c r="A12" t="inlineStr">
        <is>
          <t>Peas</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Vetches</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 a quarter 1</t>
        </is>
      </c>
      <c r="X1" t="inlineStr">
        <is>
          <t>£ a quarter 2</t>
        </is>
      </c>
      <c r="Y1" t="inlineStr">
        <is>
          <t>£ a quarter 3</t>
        </is>
      </c>
      <c r="Z1" t="inlineStr">
        <is>
          <t>£ a quarter 4</t>
        </is>
      </c>
      <c r="AA1" t="inlineStr">
        <is>
          <t>Quarters Sold</t>
        </is>
      </c>
      <c r="AB1" t="inlineStr">
        <is>
          <t>Weighted Average Price per Quarter</t>
        </is>
      </c>
      <c r="AC1" t="inlineStr">
        <is>
          <t>Non-Weighted Average Price per Quarter</t>
        </is>
      </c>
      <c r="AD1" t="inlineStr">
        <is>
          <t>Corn lowercase</t>
        </is>
      </c>
    </row>
    <row r="2">
      <c r="A2" t="inlineStr">
        <is>
          <t>sale of corn</t>
        </is>
      </c>
      <c r="B2" t="inlineStr">
        <is>
          <t>nothing from the sale of corn for the reason made clear elsewhere.</t>
        </is>
      </c>
      <c r="C2" t="n">
        <v>0</v>
      </c>
      <c r="D2" t="n">
        <v>0</v>
      </c>
      <c r="E2" t="n">
        <v>0</v>
      </c>
      <c r="F2" t="n">
        <v>0</v>
      </c>
      <c r="H2" t="n">
        <v>0</v>
      </c>
      <c r="I2" t="n">
        <v>0</v>
      </c>
      <c r="J2" t="n">
        <v>0</v>
      </c>
      <c r="K2" t="n">
        <v>0</v>
      </c>
      <c r="L2" t="n">
        <v>0</v>
      </c>
      <c r="M2" t="n">
        <v>0</v>
      </c>
      <c r="N2" t="n">
        <v>0</v>
      </c>
      <c r="AA2"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ADDERBURY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Cost of buildings</t>
        </is>
      </c>
      <c r="B4" s="128" t="n">
        <v>0</v>
      </c>
      <c r="C4" s="128" t="n">
        <v>9</v>
      </c>
      <c r="D4" s="128" t="n">
        <v>4.5</v>
      </c>
      <c r="E4" s="128" t="n"/>
      <c r="F4" s="128" t="n">
        <v>0.47</v>
      </c>
      <c r="G4" s="128" t="n"/>
      <c r="H4" s="128" t="n"/>
    </row>
    <row r="5">
      <c r="A5" s="136" t="inlineStr">
        <is>
          <t>Cost of buildings</t>
        </is>
      </c>
      <c r="B5" s="128" t="n">
        <v>0</v>
      </c>
      <c r="C5" s="128" t="n">
        <v>1</v>
      </c>
      <c r="D5" s="128" t="n">
        <v>4</v>
      </c>
      <c r="E5" s="128" t="n"/>
      <c r="F5" s="128" t="n">
        <v>0.07000000000000001</v>
      </c>
      <c r="G5" s="128" t="n"/>
      <c r="H5" s="128" t="n"/>
    </row>
    <row r="6">
      <c r="A6" s="136" t="inlineStr">
        <is>
          <t>Cost of buildings</t>
        </is>
      </c>
      <c r="B6" s="128" t="n">
        <v>0</v>
      </c>
      <c r="C6" s="128" t="n">
        <v>5</v>
      </c>
      <c r="D6" s="128" t="n">
        <v>3</v>
      </c>
      <c r="E6" s="128" t="n"/>
      <c r="F6" s="128" t="n">
        <v>0.26</v>
      </c>
      <c r="G6" s="128" t="n"/>
      <c r="H6" s="128" t="n"/>
    </row>
    <row r="7">
      <c r="A7" s="136" t="inlineStr">
        <is>
          <t>Cost of buildings</t>
        </is>
      </c>
      <c r="B7" s="128" t="n">
        <v>0</v>
      </c>
      <c r="C7" s="128" t="n">
        <v>0</v>
      </c>
      <c r="D7" s="128" t="n">
        <v>4</v>
      </c>
      <c r="E7" s="128" t="n"/>
      <c r="F7" s="128" t="n">
        <v>0.02</v>
      </c>
      <c r="G7" s="128" t="n"/>
      <c r="H7" s="128" t="n"/>
    </row>
    <row r="8">
      <c r="A8" s="136" t="inlineStr">
        <is>
          <t>Cost of buildings</t>
        </is>
      </c>
      <c r="B8" s="128" t="n">
        <v>0</v>
      </c>
      <c r="C8" s="128" t="n">
        <v>10</v>
      </c>
      <c r="D8" s="128" t="n">
        <v>4</v>
      </c>
      <c r="E8" s="128" t="n"/>
      <c r="F8" s="128" t="n">
        <v>0.52</v>
      </c>
      <c r="G8" s="128" t="n"/>
      <c r="H8" s="128" t="n"/>
    </row>
    <row r="9">
      <c r="A9" s="136" t="inlineStr">
        <is>
          <t>Cost of buildings</t>
        </is>
      </c>
      <c r="B9" s="128" t="n">
        <v>0</v>
      </c>
      <c r="C9" s="128" t="n">
        <v>3</v>
      </c>
      <c r="D9" s="128" t="n">
        <v>8</v>
      </c>
      <c r="E9" s="128" t="n"/>
      <c r="F9" s="128" t="n">
        <v>0.18</v>
      </c>
      <c r="G9" s="128" t="n"/>
      <c r="H9" s="128" t="n"/>
    </row>
    <row r="10">
      <c r="A10" s="136" t="inlineStr">
        <is>
          <t>Cost of buildings</t>
        </is>
      </c>
      <c r="B10" s="128" t="n">
        <v>0</v>
      </c>
      <c r="C10" s="128" t="n">
        <v>6</v>
      </c>
      <c r="D10" s="128" t="n">
        <v>0</v>
      </c>
      <c r="E10" s="128" t="n"/>
      <c r="F10" s="128" t="n">
        <v>0.3</v>
      </c>
      <c r="G10" s="128" t="n"/>
      <c r="H10" s="128" t="n"/>
    </row>
    <row r="11">
      <c r="A11" s="136" t="inlineStr">
        <is>
          <t>Cost of buildings</t>
        </is>
      </c>
      <c r="B11" s="128" t="n">
        <v>0</v>
      </c>
      <c r="C11" s="128" t="n">
        <v>2</v>
      </c>
      <c r="D11" s="128" t="n">
        <v>6</v>
      </c>
      <c r="E11" s="128" t="n"/>
      <c r="F11" s="128" t="n">
        <v>0.12</v>
      </c>
      <c r="G11" s="128" t="n"/>
      <c r="H11" s="128" t="n"/>
    </row>
    <row r="12">
      <c r="A12" s="136" t="inlineStr">
        <is>
          <t>Cost of buildings</t>
        </is>
      </c>
      <c r="B12" s="128" t="n">
        <v>0</v>
      </c>
      <c r="C12" s="128" t="n">
        <v>2</v>
      </c>
      <c r="D12" s="128" t="n">
        <v>4</v>
      </c>
      <c r="E12" s="128" t="n"/>
      <c r="F12" s="128" t="n">
        <v>0.12</v>
      </c>
      <c r="G12" s="128" t="n"/>
      <c r="H12" s="128" t="n"/>
    </row>
    <row r="13">
      <c r="A13" s="136" t="inlineStr">
        <is>
          <t>Cost of buildings</t>
        </is>
      </c>
      <c r="B13" s="128" t="n">
        <v>0</v>
      </c>
      <c r="C13" s="128" t="n">
        <v>6</v>
      </c>
      <c r="D13" s="128" t="n">
        <v>3</v>
      </c>
      <c r="E13" s="128" t="n"/>
      <c r="F13" s="128" t="n">
        <v>0.31</v>
      </c>
      <c r="G13" s="128" t="n"/>
      <c r="H13" s="128" t="n"/>
    </row>
    <row r="14">
      <c r="A14" s="136" t="inlineStr">
        <is>
          <t>Cost of buildings</t>
        </is>
      </c>
      <c r="B14" s="128" t="n">
        <v>0</v>
      </c>
      <c r="C14" s="128" t="n">
        <v>0</v>
      </c>
      <c r="D14" s="128" t="n">
        <v>10</v>
      </c>
      <c r="E14" s="128" t="n"/>
      <c r="F14" s="128" t="n">
        <v>0.04</v>
      </c>
      <c r="G14" s="128" t="n"/>
      <c r="H14" s="128" t="n"/>
    </row>
    <row r="15">
      <c r="A15" s="136" t="inlineStr">
        <is>
          <t>Cost of buildings</t>
        </is>
      </c>
      <c r="B15" s="128" t="n">
        <v>0</v>
      </c>
      <c r="C15" s="128" t="n">
        <v>0</v>
      </c>
      <c r="D15" s="128" t="n">
        <v>2</v>
      </c>
      <c r="E15" s="128" t="n"/>
      <c r="F15" s="128" t="n">
        <v>0.01</v>
      </c>
      <c r="G15" s="128" t="n"/>
      <c r="H15" s="128" t="n"/>
    </row>
    <row r="16">
      <c r="A16" s="136" t="inlineStr">
        <is>
          <t>Cost of buildings</t>
        </is>
      </c>
      <c r="B16" s="128" t="n">
        <v>0</v>
      </c>
      <c r="C16" s="128" t="n">
        <v>2</v>
      </c>
      <c r="D16" s="128" t="n">
        <v>3</v>
      </c>
      <c r="E16" s="128" t="n"/>
      <c r="F16" s="128" t="n">
        <v>0.11</v>
      </c>
      <c r="G16" s="128" t="n"/>
      <c r="H16" s="128" t="n"/>
    </row>
    <row r="17">
      <c r="A17" s="136" t="inlineStr">
        <is>
          <t>Cost of buildings</t>
        </is>
      </c>
      <c r="B17" s="128" t="n">
        <v>0</v>
      </c>
      <c r="C17" s="128" t="n">
        <v>0</v>
      </c>
      <c r="D17" s="128" t="n">
        <v>4</v>
      </c>
      <c r="E17" s="128" t="n"/>
      <c r="F17" s="128" t="n">
        <v>0.02</v>
      </c>
      <c r="G17" s="128" t="n"/>
      <c r="H17" s="128" t="n"/>
    </row>
    <row r="18">
      <c r="A18" s="136" t="inlineStr">
        <is>
          <t>Cost of buildings</t>
        </is>
      </c>
      <c r="B18" s="128" t="n">
        <v>0</v>
      </c>
      <c r="C18" s="128" t="n">
        <v>0</v>
      </c>
      <c r="D18" s="128" t="n">
        <v>8</v>
      </c>
      <c r="E18" s="128" t="n"/>
      <c r="F18" s="128" t="n">
        <v>0.03</v>
      </c>
      <c r="G18" s="128" t="n"/>
      <c r="H18" s="128" t="n"/>
    </row>
    <row r="19">
      <c r="A19" s="136" t="inlineStr">
        <is>
          <t>Cost of buildings</t>
        </is>
      </c>
      <c r="B19" s="128" t="n">
        <v>0</v>
      </c>
      <c r="C19" s="128" t="n">
        <v>1</v>
      </c>
      <c r="D19" s="128" t="n">
        <v>9.5</v>
      </c>
      <c r="E19" s="128" t="n"/>
      <c r="F19" s="128" t="n">
        <v>0.09</v>
      </c>
      <c r="G19" s="128" t="n"/>
      <c r="H19" s="128" t="n"/>
    </row>
    <row r="20">
      <c r="A20" s="136" t="inlineStr">
        <is>
          <t>Cost of buildings</t>
        </is>
      </c>
      <c r="B20" s="128" t="n">
        <v>0</v>
      </c>
      <c r="C20" s="128" t="n">
        <v>0</v>
      </c>
      <c r="D20" s="128" t="n">
        <v>8</v>
      </c>
      <c r="E20" s="128" t="n"/>
      <c r="F20" s="128" t="n">
        <v>0.03</v>
      </c>
      <c r="G20" s="128" t="n"/>
      <c r="H20" s="128" t="n"/>
    </row>
    <row r="21">
      <c r="A21" s="136" t="inlineStr">
        <is>
          <t>Cost of buildings</t>
        </is>
      </c>
      <c r="B21" s="128" t="n">
        <v>0</v>
      </c>
      <c r="C21" s="128" t="n">
        <v>0</v>
      </c>
      <c r="D21" s="128" t="n">
        <v>3.5</v>
      </c>
      <c r="E21" s="128" t="n"/>
      <c r="F21" s="128" t="n">
        <v>0.01</v>
      </c>
      <c r="G21" s="128" t="n"/>
      <c r="H21" s="128" t="n"/>
    </row>
    <row r="22">
      <c r="A22" s="136" t="inlineStr">
        <is>
          <t>Cost of buildings</t>
        </is>
      </c>
      <c r="B22" s="128" t="n">
        <v>0</v>
      </c>
      <c r="C22" s="128" t="n">
        <v>0</v>
      </c>
      <c r="D22" s="128" t="n">
        <v>2</v>
      </c>
      <c r="E22" s="128" t="n"/>
      <c r="F22" s="128" t="n">
        <v>0.01</v>
      </c>
      <c r="G22" s="128" t="n"/>
      <c r="H22" s="128" t="n"/>
    </row>
    <row r="23">
      <c r="A23" s="136" t="inlineStr">
        <is>
          <t>Cost of buildings</t>
        </is>
      </c>
      <c r="B23" s="128" t="n">
        <v>0</v>
      </c>
      <c r="C23" s="128" t="n">
        <v>1</v>
      </c>
      <c r="D23" s="128" t="n">
        <v>4</v>
      </c>
      <c r="E23" s="128" t="n"/>
      <c r="F23" s="128" t="n">
        <v>0.07000000000000001</v>
      </c>
      <c r="G23" s="128" t="n"/>
      <c r="H23" s="128" t="n"/>
    </row>
    <row r="24">
      <c r="A24" s="136" t="inlineStr">
        <is>
          <t>Cost of buildings</t>
        </is>
      </c>
      <c r="B24" s="128" t="n">
        <v>6</v>
      </c>
      <c r="C24" s="128" t="n">
        <v>13</v>
      </c>
      <c r="D24" s="128" t="n">
        <v>4</v>
      </c>
      <c r="E24" s="128" t="n"/>
      <c r="F24" s="128" t="n">
        <v>6.67</v>
      </c>
      <c r="G24" s="128" t="n"/>
      <c r="H24" s="128" t="n"/>
    </row>
    <row r="25">
      <c r="A25" s="136" t="inlineStr">
        <is>
          <t>Cost of buildings</t>
        </is>
      </c>
      <c r="B25" s="128" t="n">
        <v>9</v>
      </c>
      <c r="C25" s="128" t="n">
        <v>9</v>
      </c>
      <c r="D25" s="128" t="n">
        <v>1.5</v>
      </c>
      <c r="E25" s="128" t="n"/>
      <c r="F25" s="128" t="n">
        <v>9.460000000000001</v>
      </c>
      <c r="G25" s="128" t="n"/>
      <c r="H25" s="128" t="n"/>
    </row>
    <row r="26">
      <c r="A26" s="138" t="inlineStr">
        <is>
          <t>Cost of buildings total</t>
        </is>
      </c>
      <c r="B26" s="139" t="n"/>
      <c r="C26" s="139" t="n"/>
      <c r="D26" s="139" t="n"/>
      <c r="E26" s="139" t="n"/>
      <c r="F26" s="139" t="n">
        <v>9.460000000000001</v>
      </c>
      <c r="G26" s="139" t="n">
        <v>0</v>
      </c>
      <c r="H26" s="139" t="n"/>
    </row>
    <row r="27">
      <c r="A27" s="136" t="n"/>
      <c r="B27" s="128" t="n"/>
      <c r="C27" s="128" t="n"/>
      <c r="D27" s="128" t="n"/>
      <c r="E27" s="128" t="n"/>
      <c r="F27" s="128" t="n"/>
      <c r="G27" s="128" t="n"/>
      <c r="H27" s="128" t="n"/>
    </row>
    <row r="28">
      <c r="A28" s="137" t="inlineStr">
        <is>
          <t>Expenses of the steward</t>
        </is>
      </c>
      <c r="B28" s="128" t="n">
        <v>0</v>
      </c>
      <c r="C28" s="128" t="n">
        <v>14</v>
      </c>
      <c r="D28" s="128" t="n">
        <v>9</v>
      </c>
      <c r="E28" s="128" t="n"/>
      <c r="F28" s="128" t="n">
        <v>0.74</v>
      </c>
      <c r="G28" s="128" t="n"/>
      <c r="H28" s="128" t="n"/>
    </row>
    <row r="29">
      <c r="A29" s="138" t="inlineStr">
        <is>
          <t>Expenses of the steward total</t>
        </is>
      </c>
      <c r="B29" s="139" t="n"/>
      <c r="C29" s="139" t="n"/>
      <c r="D29" s="139" t="n"/>
      <c r="E29" s="139" t="n"/>
      <c r="F29" s="139" t="n">
        <v>0.74</v>
      </c>
      <c r="G29" s="139" t="n">
        <v>0</v>
      </c>
      <c r="H29" s="139" t="n"/>
    </row>
    <row r="30">
      <c r="A30" s="136" t="n"/>
      <c r="B30" s="128" t="n"/>
      <c r="C30" s="128" t="n"/>
      <c r="D30" s="128" t="n"/>
      <c r="E30" s="128" t="n"/>
      <c r="F30" s="128" t="n"/>
      <c r="G30" s="128" t="n"/>
      <c r="H30" s="128" t="n"/>
    </row>
    <row r="31">
      <c r="A31" s="136" t="inlineStr">
        <is>
          <t>Total of all expenses</t>
        </is>
      </c>
      <c r="B31" s="128" t="n">
        <v>33</v>
      </c>
      <c r="C31" s="128" t="n">
        <v>10</v>
      </c>
      <c r="D31" s="128" t="n">
        <v>6.5</v>
      </c>
      <c r="E31" s="128" t="n"/>
      <c r="F31" s="128" t="n">
        <v>33.53</v>
      </c>
      <c r="G31" s="128" t="n"/>
      <c r="H31" s="128" t="n"/>
    </row>
    <row r="32">
      <c r="A32" s="136" t="inlineStr">
        <is>
          <t>Total of all expenses</t>
        </is>
      </c>
      <c r="B32" s="128" t="n"/>
      <c r="C32" s="128" t="n"/>
      <c r="D32" s="128" t="n"/>
      <c r="E32" s="128" t="n"/>
      <c r="F32" s="128" t="n">
        <v>0</v>
      </c>
      <c r="G32" s="128" t="n">
        <v>-33.53</v>
      </c>
      <c r="H32" s="128" t="n"/>
    </row>
    <row r="33">
      <c r="A33" s="136" t="n"/>
      <c r="B33" s="128" t="n"/>
      <c r="C33" s="128" t="n"/>
      <c r="D33" s="128" t="n"/>
      <c r="E33" s="128" t="n"/>
      <c r="F33" s="128" t="n"/>
      <c r="G33" s="128" t="n"/>
      <c r="H33" s="128" t="n"/>
    </row>
    <row r="34">
      <c r="A34" s="137" t="inlineStr">
        <is>
          <t>And he owes</t>
        </is>
      </c>
      <c r="B34" s="128" t="n">
        <v>64</v>
      </c>
      <c r="C34" s="128" t="n">
        <v>19</v>
      </c>
      <c r="D34" s="128" t="n">
        <v>11.5</v>
      </c>
      <c r="E34" s="128" t="n"/>
      <c r="F34" s="128" t="n">
        <v>65</v>
      </c>
      <c r="G34" s="128" t="n"/>
      <c r="H34" s="128" t="n"/>
    </row>
    <row r="35">
      <c r="A35" s="138" t="inlineStr">
        <is>
          <t>And he owes total</t>
        </is>
      </c>
      <c r="B35" s="139" t="n"/>
      <c r="C35" s="139" t="n"/>
      <c r="D35" s="139" t="n"/>
      <c r="E35" s="139" t="n"/>
      <c r="F35" s="139" t="n">
        <v>65</v>
      </c>
      <c r="G35" s="139" t="n">
        <v>0</v>
      </c>
      <c r="H35" s="139" t="n"/>
    </row>
    <row r="36">
      <c r="A36" s="136" t="n"/>
      <c r="B36" s="128" t="n"/>
      <c r="C36" s="128" t="n"/>
      <c r="D36" s="128" t="n"/>
      <c r="E36" s="128" t="n"/>
      <c r="F36" s="128" t="n"/>
      <c r="G36" s="128" t="n"/>
      <c r="H36" s="128" t="n"/>
    </row>
    <row r="37">
      <c r="A37" s="137" t="inlineStr">
        <is>
          <t>Cash deliveries</t>
        </is>
      </c>
      <c r="B37" s="128" t="n">
        <v>64</v>
      </c>
      <c r="C37" s="128" t="n">
        <v>13</v>
      </c>
      <c r="D37" s="128" t="n">
        <v>3.5</v>
      </c>
      <c r="E37" s="128" t="n"/>
      <c r="F37" s="128" t="n">
        <v>64.66</v>
      </c>
      <c r="G37" s="128" t="n"/>
      <c r="H37" s="128" t="n"/>
    </row>
    <row r="38">
      <c r="A38" s="138" t="inlineStr">
        <is>
          <t>Cash deliveries total</t>
        </is>
      </c>
      <c r="B38" s="139" t="n">
        <v>64</v>
      </c>
      <c r="C38" s="139" t="n">
        <v>13</v>
      </c>
      <c r="D38" s="139" t="n">
        <v>3.5</v>
      </c>
      <c r="E38" s="139" t="n"/>
      <c r="F38" s="139" t="n">
        <v>64.66</v>
      </c>
      <c r="G38" s="139" t="n">
        <v>0</v>
      </c>
      <c r="H38" s="139" t="n"/>
    </row>
    <row r="40">
      <c r="A40" s="38" t="inlineStr">
        <is>
          <t>Total of all expenses per account</t>
        </is>
      </c>
      <c r="B40" t="n">
        <v>33</v>
      </c>
      <c r="C40" t="n">
        <v>10</v>
      </c>
      <c r="D40" t="n">
        <v>6.5</v>
      </c>
      <c r="F40">
        <f>F31</f>
        <v/>
      </c>
    </row>
    <row r="41">
      <c r="A41" s="38" t="inlineStr">
        <is>
          <t>Total of all expenses (calculated here)</t>
        </is>
      </c>
      <c r="F41">
        <f>SUMIF(A1:A30,"* total",F1:F30)</f>
        <v/>
      </c>
    </row>
    <row r="42">
      <c r="A42" s="38" t="inlineStr">
        <is>
          <t>Total fixed investment</t>
        </is>
      </c>
    </row>
    <row r="43">
      <c r="A43"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2026-01-17T10:57:14Z</dcterms:modified>
  <cp:lastModifiedBy>Kowalski, Kuba</cp:lastModifiedBy>
</cp:coreProperties>
</file>
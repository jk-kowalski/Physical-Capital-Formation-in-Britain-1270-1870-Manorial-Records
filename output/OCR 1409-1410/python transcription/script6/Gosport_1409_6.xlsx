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Adderbury Overview" sheetId="1" state="visible" r:id="rId1"/>
    <sheet xmlns:r="http://schemas.openxmlformats.org/officeDocument/2006/relationships" name="Gosport Stock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Receipts" sheetId="4" state="visible" r:id="rId4"/>
    <sheet xmlns:r="http://schemas.openxmlformats.org/officeDocument/2006/relationships" name="Overview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  <sheet xmlns:r="http://schemas.openxmlformats.org/officeDocument/2006/relationships" name="Expens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/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8" pivotButton="0" quotePrefix="0" xfId="0"/>
    <xf numFmtId="0" fontId="0" fillId="0" borderId="17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0" fillId="0" borderId="18" pivotButton="0" quotePrefix="0" xfId="0"/>
    <xf numFmtId="0" fontId="20" fillId="0" borderId="18" pivotButton="0" quotePrefix="0" xfId="0"/>
    <xf numFmtId="0" fontId="20" fillId="11" borderId="18" pivotButton="0" quotePrefix="0" xfId="0"/>
    <xf numFmtId="0" fontId="20" fillId="11" borderId="17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abSelected="1" workbookViewId="0">
      <pane xSplit="1" ySplit="2" topLeftCell="B126" activePane="bottomRight" state="frozen"/>
      <selection pane="topRight" activeCell="B1" sqref="B1"/>
      <selection pane="bottomLeft" activeCell="A3" sqref="A3"/>
      <selection pane="bottomRight" activeCell="A138" sqref="A138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ADDERBURY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inlineStr">
        <is>
          <t xml:space="preserve"> </t>
        </is>
      </c>
      <c r="D4" s="13" t="n"/>
      <c r="E4" s="13" t="n"/>
    </row>
    <row r="5">
      <c r="A5" s="15" t="inlineStr">
        <is>
          <t>Rents of assize total</t>
        </is>
      </c>
      <c r="B5" s="76">
        <f>'Adderbury Receipts'!F9</f>
        <v/>
      </c>
    </row>
    <row r="6">
      <c r="A6" s="15" t="inlineStr">
        <is>
          <t>Quittances total</t>
        </is>
      </c>
      <c r="B6" s="76">
        <f>'Adderbury Receipts'!F22</f>
        <v/>
      </c>
    </row>
    <row r="7">
      <c r="A7" s="15" t="inlineStr">
        <is>
          <t>Defaults of rent total</t>
        </is>
      </c>
      <c r="B7" s="76">
        <f>'Adderbury Receipts'!F27</f>
        <v/>
      </c>
    </row>
    <row r="8">
      <c r="A8" s="76" t="inlineStr">
        <is>
          <t>Defaults of rent through the pestilence total</t>
        </is>
      </c>
      <c r="B8" s="76">
        <f>'Adderbury Receipts'!F36</f>
        <v/>
      </c>
    </row>
    <row r="9">
      <c r="A9" s="76" t="inlineStr">
        <is>
          <t>Cotlands defaults total</t>
        </is>
      </c>
      <c r="B9" s="76">
        <f>'Adderbury Receipts'!F45</f>
        <v/>
      </c>
    </row>
    <row r="10">
      <c r="A10" s="76" t="inlineStr">
        <is>
          <t>Cotlands total</t>
        </is>
      </c>
      <c r="B10" s="76">
        <f>'Adderbury Receipts'!F54</f>
        <v/>
      </c>
    </row>
    <row r="11">
      <c r="A11" s="76" t="inlineStr">
        <is>
          <t>Total of quittances and defaults of rent total</t>
        </is>
      </c>
      <c r="B11" s="76">
        <f>'Adderbury Receipts'!F56</f>
        <v/>
      </c>
    </row>
    <row r="12">
      <c r="A12" s="76" t="inlineStr">
        <is>
          <t>Total of rents remaining clear total</t>
        </is>
      </c>
      <c r="B12" s="76">
        <f>'Adderbury Receipts'!F58</f>
        <v/>
      </c>
    </row>
    <row r="13">
      <c r="A13" s="76" t="inlineStr">
        <is>
          <t>Farms total</t>
        </is>
      </c>
      <c r="B13" s="76">
        <f>'Adderbury Receipts'!F70</f>
        <v/>
      </c>
    </row>
    <row r="14">
      <c r="A14" s="15" t="inlineStr">
        <is>
          <t>Annual recognizances total</t>
        </is>
      </c>
      <c r="B14" s="76">
        <f>'Adderbury Receipts'!F90</f>
        <v/>
      </c>
    </row>
    <row r="15">
      <c r="A15" s="15" t="inlineStr">
        <is>
          <t>Issues of the Manor total</t>
        </is>
      </c>
      <c r="B15" s="76">
        <f>'Adderbury Receipts'!F117</f>
        <v/>
      </c>
    </row>
    <row r="16">
      <c r="A16" s="76" t="inlineStr">
        <is>
          <t>Issues of the tenements in the lord's hands total</t>
        </is>
      </c>
      <c r="B16" s="76">
        <f>'Adderbury Receipts'!F126</f>
        <v/>
      </c>
    </row>
    <row r="17">
      <c r="A17" s="76" t="inlineStr">
        <is>
          <t>Sale of labour services total</t>
        </is>
      </c>
      <c r="B17" s="76">
        <f>'Adderbury Receipts'!F135</f>
        <v/>
      </c>
    </row>
    <row r="18">
      <c r="A18" s="15" t="inlineStr">
        <is>
          <t>Sale of corn total</t>
        </is>
      </c>
      <c r="B18" s="76">
        <f>'Adderbury Receipts'!F138</f>
        <v/>
      </c>
    </row>
    <row r="19">
      <c r="A19" s="15" t="inlineStr">
        <is>
          <t>Entry and marriage fines total</t>
        </is>
      </c>
      <c r="B19" s="76">
        <f>'Adderbury Receipts'!F166</f>
        <v/>
      </c>
    </row>
    <row r="20">
      <c r="A20" s="15" t="inlineStr">
        <is>
          <t>Pleas &amp; perquisites total</t>
        </is>
      </c>
      <c r="B20" s="76">
        <f>'Adderbury Receipts'!F173</f>
        <v/>
      </c>
    </row>
    <row r="21">
      <c r="A21" s="76" t="inlineStr">
        <is>
          <t>Forfeited chattels total</t>
        </is>
      </c>
      <c r="B21" s="76">
        <f>'Adderbury Receipts'!F177</f>
        <v/>
      </c>
    </row>
    <row r="22">
      <c r="A22" s="76" t="inlineStr">
        <is>
          <t>Farm of the demesne land total</t>
        </is>
      </c>
      <c r="B22" s="76">
        <f>'Adderbury Receipts'!F181</f>
        <v/>
      </c>
      <c r="D22" s="88" t="n"/>
    </row>
    <row r="23">
      <c r="A23" s="81" t="inlineStr">
        <is>
          <t>Total of all receipts (calculated here)</t>
        </is>
      </c>
      <c r="B23" s="79">
        <f>'Adderbury Receipts'!F185</f>
        <v/>
      </c>
      <c r="C23" s="80" t="n"/>
    </row>
    <row r="24">
      <c r="A24" s="82" t="inlineStr">
        <is>
          <t>Total of all receipts (calculated here) incl arrears</t>
        </is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'Adderbury Receipts'!F184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>
        <f>'Adderbury Expenses'!F26</f>
        <v/>
      </c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>
        <f>'Adderbury Expenses'!F30</f>
        <v/>
      </c>
    </row>
    <row r="42">
      <c r="A42" s="15" t="inlineStr">
        <is>
          <t>Steward's expenses total</t>
        </is>
      </c>
      <c r="B42" s="84">
        <f>'Adderbury Expenses'!F33</f>
        <v/>
      </c>
    </row>
    <row r="43">
      <c r="A43" s="85" t="inlineStr">
        <is>
          <t>Annual fees</t>
        </is>
      </c>
      <c r="B43" s="86">
        <f>'Adderbury Expenses'!F37</f>
        <v/>
      </c>
      <c r="C43" s="87" t="n"/>
      <c r="D43" s="88" t="n"/>
    </row>
    <row r="44">
      <c r="A44" s="82" t="inlineStr">
        <is>
          <t>Total of all expenses per account</t>
        </is>
      </c>
      <c r="B44" s="84" t="n"/>
    </row>
    <row r="45">
      <c r="A45" s="82" t="inlineStr">
        <is>
          <t>Total of all expenses (calculated here)</t>
        </is>
      </c>
      <c r="B45" s="84" t="n"/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>
        <f>'Adderbury Expenses'!F41</f>
        <v/>
      </c>
    </row>
    <row r="51">
      <c r="A51" s="15" t="n"/>
    </row>
    <row r="52">
      <c r="A52" s="18" t="inlineStr">
        <is>
          <t>Allowances</t>
        </is>
      </c>
      <c r="B52" s="84">
        <f>'Adderbury Expenses'!F45</f>
        <v/>
      </c>
    </row>
    <row r="53">
      <c r="A53" s="18" t="inlineStr">
        <is>
          <t>Cash deliveries</t>
        </is>
      </c>
      <c r="B53" s="84">
        <f>'Adderbury Expenses'!F48</f>
        <v/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F62" s="13" t="n"/>
    </row>
    <row r="63">
      <c r="A63" s="76" t="inlineStr">
        <is>
          <t>Rye</t>
        </is>
      </c>
      <c r="F63" s="13" t="n"/>
    </row>
    <row r="64">
      <c r="A64" s="76" t="inlineStr">
        <is>
          <t>Dredge</t>
        </is>
      </c>
      <c r="F64" s="13" t="n"/>
    </row>
    <row r="65">
      <c r="A65" s="76" t="inlineStr">
        <is>
          <t>Curall</t>
        </is>
      </c>
      <c r="F65" s="13" t="n"/>
    </row>
    <row r="66">
      <c r="A66" s="76" t="inlineStr">
        <is>
          <t>Barley</t>
        </is>
      </c>
      <c r="F66" s="13" t="n"/>
    </row>
    <row r="67">
      <c r="A67" s="76" t="inlineStr">
        <is>
          <t>Oats</t>
        </is>
      </c>
      <c r="F67" s="13" t="n"/>
    </row>
    <row r="68">
      <c r="A68" s="76" t="inlineStr">
        <is>
          <t>Beans</t>
        </is>
      </c>
      <c r="F68" s="13" t="n"/>
    </row>
    <row r="69">
      <c r="A69" s="76" t="inlineStr">
        <is>
          <t>Peas</t>
        </is>
      </c>
      <c r="F69" s="13" t="n"/>
    </row>
    <row r="70">
      <c r="A70" s="76" t="inlineStr">
        <is>
          <t>Vetches</t>
        </is>
      </c>
    </row>
    <row r="71">
      <c r="A71" s="17" t="inlineStr">
        <is>
          <t>Total value of gross production (sum of the above)</t>
        </is>
      </c>
      <c r="B71" s="93">
        <f>SUM(D62:D70)</f>
        <v/>
      </c>
      <c r="C71" s="94" t="n"/>
      <c r="D71" s="93" t="n"/>
      <c r="E71" s="93" t="n"/>
    </row>
    <row r="72">
      <c r="A72" s="17" t="inlineStr">
        <is>
          <t>Total value of net production</t>
        </is>
      </c>
      <c r="B72" s="93">
        <f>SUM(E62:E70)</f>
        <v/>
      </c>
      <c r="C72" s="94" t="n"/>
      <c r="D72" s="93" t="n"/>
      <c r="E72" s="93" t="n"/>
    </row>
    <row r="73">
      <c r="A73" s="17" t="inlineStr">
        <is>
          <t>Value of sales</t>
        </is>
      </c>
      <c r="B73" s="93" t="n"/>
      <c r="C73" s="94" t="n"/>
      <c r="D73" s="93" t="n"/>
      <c r="E73" s="93" t="n"/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  <c r="F75" s="13" t="inlineStr">
        <is>
          <t>Not yet implemented</t>
        </is>
      </c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>
        <f>'Adderbury Stock'!B5</f>
        <v/>
      </c>
      <c r="C87" s="76">
        <f>'Adderbury Stock'!K5</f>
        <v/>
      </c>
      <c r="D87" s="76">
        <f>'Adderbury Overview'!C87-'Adderbury Overview'!B87</f>
        <v/>
      </c>
      <c r="F87" s="84">
        <f>'Adderbury Stock'!P5</f>
        <v/>
      </c>
      <c r="G87" s="84">
        <f>'Adderbury Stock'!S5</f>
        <v/>
      </c>
    </row>
    <row r="88">
      <c r="A88" s="22" t="inlineStr">
        <is>
          <t>Mares</t>
        </is>
      </c>
      <c r="B88" s="76">
        <f>'Adderbury Stock'!B6</f>
        <v/>
      </c>
      <c r="C88" s="76">
        <f>'Adderbury Stock'!K6</f>
        <v/>
      </c>
      <c r="D88" s="76">
        <f>'Adderbury Overview'!C88-'Adderbury Overview'!B88</f>
        <v/>
      </c>
      <c r="F88" s="84">
        <f>'Adderbury Stock'!P6</f>
        <v/>
      </c>
      <c r="G88" s="84">
        <f>'Adderbury Stock'!S6</f>
        <v/>
      </c>
    </row>
    <row r="89">
      <c r="A89" s="15" t="inlineStr">
        <is>
          <t>Plough horses</t>
        </is>
      </c>
      <c r="B89" s="76">
        <f>'Adderbury Stock'!B7</f>
        <v/>
      </c>
      <c r="C89" s="76">
        <f>'Adderbury Stock'!K7</f>
        <v/>
      </c>
      <c r="D89" s="76">
        <f>'Adderbury Overview'!C89-'Adderbury Overview'!B89</f>
        <v/>
      </c>
      <c r="F89" s="84">
        <f>'Adderbury Stock'!P7</f>
        <v/>
      </c>
      <c r="G89" s="84">
        <f>'Adderbury Stock'!S7</f>
        <v/>
      </c>
    </row>
    <row r="90">
      <c r="A90" s="15" t="inlineStr">
        <is>
          <t>Colts (2 years)</t>
        </is>
      </c>
      <c r="B90" s="76">
        <f>'Adderbury Stock'!B8</f>
        <v/>
      </c>
      <c r="C90" s="76">
        <f>'Adderbury Stock'!K8</f>
        <v/>
      </c>
      <c r="D90" s="76">
        <f>'Adderbury Overview'!C90-'Adderbury Overview'!B90</f>
        <v/>
      </c>
      <c r="F90" s="84">
        <f>'Adderbury Stock'!P8</f>
        <v/>
      </c>
      <c r="G90" s="84">
        <f>'Adderbury Stock'!S8</f>
        <v/>
      </c>
    </row>
    <row r="91">
      <c r="A91" s="15" t="inlineStr">
        <is>
          <t>Colts (2 years)</t>
        </is>
      </c>
      <c r="B91" s="76">
        <f>'Adderbury Stock'!B9</f>
        <v/>
      </c>
      <c r="C91" s="76">
        <f>'Adderbury Stock'!K9</f>
        <v/>
      </c>
      <c r="D91" s="76">
        <f>'Adderbury Overview'!C91-'Adderbury Overview'!B91</f>
        <v/>
      </c>
      <c r="F91" s="84">
        <f>'Adderbury Stock'!P9</f>
        <v/>
      </c>
      <c r="G91" s="84">
        <f>'Adderbury Stock'!S9</f>
        <v/>
      </c>
    </row>
    <row r="92">
      <c r="A92" s="15" t="inlineStr">
        <is>
          <t>Colts (1 year)</t>
        </is>
      </c>
      <c r="B92" s="76">
        <f>'Adderbury Stock'!B10</f>
        <v/>
      </c>
      <c r="C92" s="76">
        <f>'Adderbury Stock'!K10</f>
        <v/>
      </c>
      <c r="D92" s="76">
        <f>'Adderbury Overview'!C92-'Adderbury Overview'!B92</f>
        <v/>
      </c>
      <c r="F92" s="84">
        <f>'Adderbury Stock'!P10</f>
        <v/>
      </c>
      <c r="G92" s="84">
        <f>'Adderbury Stock'!S10</f>
        <v/>
      </c>
    </row>
    <row r="93">
      <c r="A93" s="15" t="inlineStr">
        <is>
          <t>Foals</t>
        </is>
      </c>
      <c r="B93" s="76">
        <f>'Adderbury Stock'!B11</f>
        <v/>
      </c>
      <c r="C93" s="76">
        <f>'Adderbury Stock'!K11</f>
        <v/>
      </c>
      <c r="D93" s="76">
        <f>'Adderbury Overview'!C93-'Adderbury Overview'!B93</f>
        <v/>
      </c>
      <c r="F93" s="84">
        <f>'Adderbury Stock'!P11</f>
        <v/>
      </c>
      <c r="G93" s="84">
        <f>'Adderbury Stock'!S11</f>
        <v/>
      </c>
    </row>
    <row r="94">
      <c r="A94" s="15" t="inlineStr">
        <is>
          <t>Oxen</t>
        </is>
      </c>
      <c r="B94" s="76">
        <f>'Adderbury Stock'!B12</f>
        <v/>
      </c>
      <c r="C94" s="76">
        <f>'Adderbury Stock'!K12</f>
        <v/>
      </c>
      <c r="D94" s="76">
        <f>'Adderbury Overview'!C94-'Adderbury Overview'!B94</f>
        <v/>
      </c>
      <c r="F94" s="84">
        <f>'Adderbury Stock'!P12</f>
        <v/>
      </c>
      <c r="G94" s="84">
        <f>'Adderbury Stock'!S12</f>
        <v/>
      </c>
    </row>
    <row r="95">
      <c r="A95" s="15" t="inlineStr">
        <is>
          <t>Bulls</t>
        </is>
      </c>
      <c r="B95" s="76">
        <f>'Adderbury Stock'!B13</f>
        <v/>
      </c>
      <c r="C95" s="76">
        <f>'Adderbury Stock'!K13</f>
        <v/>
      </c>
      <c r="D95" s="76">
        <f>'Adderbury Overview'!C95-'Adderbury Overview'!B95</f>
        <v/>
      </c>
      <c r="F95" s="84">
        <f>'Adderbury Stock'!P13</f>
        <v/>
      </c>
      <c r="G95" s="84">
        <f>'Adderbury Stock'!S13</f>
        <v/>
      </c>
    </row>
    <row r="96">
      <c r="A96" s="15" t="inlineStr">
        <is>
          <t>Cows</t>
        </is>
      </c>
      <c r="B96" s="76">
        <f>'Adderbury Stock'!B14</f>
        <v/>
      </c>
      <c r="C96" s="76">
        <f>'Adderbury Stock'!K14</f>
        <v/>
      </c>
      <c r="D96" s="76">
        <f>'Adderbury Overview'!C96-'Adderbury Overview'!B96</f>
        <v/>
      </c>
      <c r="F96" s="84">
        <f>'Adderbury Stock'!P14</f>
        <v/>
      </c>
      <c r="G96" s="84">
        <f>'Adderbury Stock'!S14</f>
        <v/>
      </c>
    </row>
    <row r="97">
      <c r="A97" s="15" t="inlineStr">
        <is>
          <t>Steers</t>
        </is>
      </c>
      <c r="B97" s="76">
        <f>'Adderbury Stock'!B15</f>
        <v/>
      </c>
      <c r="C97" s="76">
        <f>'Adderbury Stock'!K15</f>
        <v/>
      </c>
      <c r="D97" s="76">
        <f>'Adderbury Overview'!C97-'Adderbury Overview'!B97</f>
        <v/>
      </c>
      <c r="F97" s="84">
        <f>'Adderbury Stock'!P15</f>
        <v/>
      </c>
      <c r="G97" s="84">
        <f>'Adderbury Stock'!S15</f>
        <v/>
      </c>
    </row>
    <row r="98">
      <c r="A98" s="15" t="inlineStr">
        <is>
          <t>Bullocks</t>
        </is>
      </c>
      <c r="B98" s="76">
        <f>'Adderbury Stock'!B16</f>
        <v/>
      </c>
      <c r="C98" s="76">
        <f>'Adderbury Stock'!K16</f>
        <v/>
      </c>
      <c r="D98" s="76">
        <f>'Adderbury Overview'!C98-'Adderbury Overview'!B98</f>
        <v/>
      </c>
      <c r="F98" s="84">
        <f>'Adderbury Stock'!P16</f>
        <v/>
      </c>
      <c r="G98" s="84">
        <f>'Adderbury Stock'!S16</f>
        <v/>
      </c>
    </row>
    <row r="99">
      <c r="A99" s="15" t="inlineStr">
        <is>
          <t>Yearlings</t>
        </is>
      </c>
      <c r="B99" s="76">
        <f>'Adderbury Stock'!B17</f>
        <v/>
      </c>
      <c r="C99" s="76">
        <f>'Adderbury Stock'!K17</f>
        <v/>
      </c>
      <c r="D99" s="76">
        <f>'Adderbury Overview'!C99-'Adderbury Overview'!B99</f>
        <v/>
      </c>
      <c r="F99" s="84">
        <f>'Adderbury Stock'!P17</f>
        <v/>
      </c>
      <c r="G99" s="84">
        <f>'Adderbury Stock'!S17</f>
        <v/>
      </c>
    </row>
    <row r="100">
      <c r="A100" s="15" t="inlineStr">
        <is>
          <t>Calves</t>
        </is>
      </c>
      <c r="B100" s="76">
        <f>'Adderbury Stock'!B18</f>
        <v/>
      </c>
      <c r="C100" s="76">
        <f>'Adderbury Stock'!K18</f>
        <v/>
      </c>
      <c r="D100" s="76">
        <f>'Adderbury Overview'!C100-'Adderbury Overview'!B100</f>
        <v/>
      </c>
      <c r="F100" s="84">
        <f>'Adderbury Stock'!P18</f>
        <v/>
      </c>
      <c r="G100" s="84">
        <f>'Adderbury Stock'!S18</f>
        <v/>
      </c>
    </row>
    <row r="101">
      <c r="A101" s="15" t="inlineStr">
        <is>
          <t>Wethers</t>
        </is>
      </c>
      <c r="B101" s="76">
        <f>'Adderbury Stock'!B19</f>
        <v/>
      </c>
      <c r="C101" s="76">
        <f>'Adderbury Stock'!K19</f>
        <v/>
      </c>
      <c r="D101" s="76">
        <f>'Adderbury Overview'!C101-'Adderbury Overview'!B101</f>
        <v/>
      </c>
      <c r="F101" s="84">
        <f>'Adderbury Stock'!P19</f>
        <v/>
      </c>
      <c r="G101" s="84">
        <f>'Adderbury Stock'!S19</f>
        <v/>
      </c>
    </row>
    <row r="102">
      <c r="A102" s="15" t="inlineStr">
        <is>
          <t>Rams</t>
        </is>
      </c>
      <c r="B102" s="76">
        <f>'Adderbury Stock'!B20</f>
        <v/>
      </c>
      <c r="C102" s="76">
        <f>'Adderbury Stock'!K20</f>
        <v/>
      </c>
      <c r="D102" s="76">
        <f>'Adderbury Overview'!C102-'Adderbury Overview'!B102</f>
        <v/>
      </c>
      <c r="F102" s="84">
        <f>'Adderbury Stock'!P20</f>
        <v/>
      </c>
      <c r="G102" s="84">
        <f>'Adderbury Stock'!S20</f>
        <v/>
      </c>
    </row>
    <row r="103">
      <c r="A103" s="15" t="inlineStr">
        <is>
          <t>Ewes</t>
        </is>
      </c>
      <c r="B103" s="76">
        <f>'Adderbury Stock'!B21</f>
        <v/>
      </c>
      <c r="C103" s="76">
        <f>'Adderbury Stock'!K21</f>
        <v/>
      </c>
      <c r="D103" s="76">
        <f>'Adderbury Overview'!C103-'Adderbury Overview'!B103</f>
        <v/>
      </c>
      <c r="F103" s="84">
        <f>'Adderbury Stock'!P21</f>
        <v/>
      </c>
      <c r="G103" s="84">
        <f>'Adderbury Stock'!S21</f>
        <v/>
      </c>
    </row>
    <row r="104">
      <c r="A104" s="15" t="inlineStr">
        <is>
          <t>Hoggs</t>
        </is>
      </c>
      <c r="B104" s="76">
        <f>'Adderbury Stock'!B22</f>
        <v/>
      </c>
      <c r="C104" s="76">
        <f>'Adderbury Stock'!K22</f>
        <v/>
      </c>
      <c r="D104" s="76">
        <f>'Adderbury Overview'!C104-'Adderbury Overview'!B104</f>
        <v/>
      </c>
      <c r="F104" s="84">
        <f>'Adderbury Stock'!P22</f>
        <v/>
      </c>
      <c r="G104" s="84">
        <f>'Adderbury Stock'!S22</f>
        <v/>
      </c>
    </row>
    <row r="105">
      <c r="A105" s="15" t="inlineStr">
        <is>
          <t>Lambs</t>
        </is>
      </c>
      <c r="B105" s="76">
        <f>'Adderbury Stock'!B23</f>
        <v/>
      </c>
      <c r="C105" s="76">
        <f>'Adderbury Stock'!K23</f>
        <v/>
      </c>
      <c r="D105" s="76">
        <f>'Adderbury Overview'!C105-'Adderbury Overview'!B105</f>
        <v/>
      </c>
      <c r="F105" s="84">
        <f>'Adderbury Stock'!P23</f>
        <v/>
      </c>
      <c r="G105" s="84">
        <f>'Adderbury Stock'!S23</f>
        <v/>
      </c>
    </row>
    <row r="106">
      <c r="A106" s="15" t="inlineStr">
        <is>
          <t>Boars</t>
        </is>
      </c>
      <c r="B106" s="76">
        <f>'Adderbury Stock'!B24</f>
        <v/>
      </c>
      <c r="C106" s="76">
        <f>'Adderbury Stock'!K24</f>
        <v/>
      </c>
      <c r="D106" s="76">
        <f>'Adderbury Overview'!C106-'Adderbury Overview'!B106</f>
        <v/>
      </c>
      <c r="F106" s="84">
        <f>'Adderbury Stock'!P24</f>
        <v/>
      </c>
      <c r="G106" s="84">
        <f>'Adderbury Stock'!S24</f>
        <v/>
      </c>
    </row>
    <row r="107">
      <c r="A107" s="15" t="inlineStr">
        <is>
          <t>Sows</t>
        </is>
      </c>
      <c r="B107" s="76">
        <f>'Adderbury Stock'!B25</f>
        <v/>
      </c>
      <c r="C107" s="76">
        <f>'Adderbury Stock'!K25</f>
        <v/>
      </c>
      <c r="D107" s="76">
        <f>'Adderbury Overview'!C107-'Adderbury Overview'!B107</f>
        <v/>
      </c>
      <c r="F107" s="84">
        <f>'Adderbury Stock'!P25</f>
        <v/>
      </c>
      <c r="G107" s="84">
        <f>'Adderbury Stock'!S25</f>
        <v/>
      </c>
    </row>
    <row r="108">
      <c r="A108" s="15" t="inlineStr">
        <is>
          <t>Pigs</t>
        </is>
      </c>
      <c r="B108" s="76">
        <f>'Adderbury Stock'!B26</f>
        <v/>
      </c>
      <c r="C108" s="76">
        <f>'Adderbury Stock'!K26</f>
        <v/>
      </c>
      <c r="D108" s="76">
        <f>'Adderbury Overview'!C108-'Adderbury Overview'!B108</f>
        <v/>
      </c>
      <c r="F108" s="84">
        <f>'Adderbury Stock'!P26</f>
        <v/>
      </c>
      <c r="G108" s="84">
        <f>'Adderbury Stock'!S26</f>
        <v/>
      </c>
    </row>
    <row r="109">
      <c r="A109" s="15" t="inlineStr">
        <is>
          <t>Hoggets</t>
        </is>
      </c>
      <c r="B109" s="76">
        <f>'Adderbury Stock'!B27</f>
        <v/>
      </c>
      <c r="C109" s="76">
        <f>'Adderbury Stock'!K27</f>
        <v/>
      </c>
      <c r="D109" s="76">
        <f>'Adderbury Overview'!C109-'Adderbury Overview'!B109</f>
        <v/>
      </c>
      <c r="F109" s="84">
        <f>'Adderbury Stock'!P27</f>
        <v/>
      </c>
      <c r="G109" s="84">
        <f>'Adderbury Stock'!S27</f>
        <v/>
      </c>
    </row>
    <row r="110">
      <c r="A110" s="15" t="inlineStr">
        <is>
          <t>Piglets</t>
        </is>
      </c>
      <c r="B110" s="76">
        <f>'Adderbury Stock'!B28</f>
        <v/>
      </c>
      <c r="C110" s="76">
        <f>'Adderbury Stock'!K28</f>
        <v/>
      </c>
      <c r="D110" s="76">
        <f>'Adderbury Overview'!C110-'Adderbury Overview'!B110</f>
        <v/>
      </c>
      <c r="F110" s="84">
        <f>'Adderbury Stock'!P28</f>
        <v/>
      </c>
      <c r="G110" s="84">
        <f>'Adderbury Stock'!S28</f>
        <v/>
      </c>
    </row>
    <row r="111">
      <c r="A111" s="15" t="inlineStr">
        <is>
          <t>Swans</t>
        </is>
      </c>
      <c r="B111" s="76">
        <f>'Adderbury Stock'!B29</f>
        <v/>
      </c>
      <c r="C111" s="76">
        <f>'Adderbury Stock'!K29</f>
        <v/>
      </c>
      <c r="D111" s="76">
        <f>'Adderbury Overview'!C111-'Adderbury Overview'!B111</f>
        <v/>
      </c>
      <c r="F111" s="84">
        <f>'Adderbury Stock'!P29</f>
        <v/>
      </c>
      <c r="G111" s="84">
        <f>'Adderbury Stock'!S29</f>
        <v/>
      </c>
    </row>
    <row r="112">
      <c r="A112" s="15" t="inlineStr">
        <is>
          <t>Peacocks</t>
        </is>
      </c>
      <c r="B112" s="76">
        <f>'Adderbury Stock'!B30</f>
        <v/>
      </c>
      <c r="C112" s="76">
        <f>'Adderbury Stock'!K30</f>
        <v/>
      </c>
      <c r="D112" s="76">
        <f>'Adderbury Overview'!C112-'Adderbury Overview'!B112</f>
        <v/>
      </c>
      <c r="F112" s="84">
        <f>'Adderbury Stock'!P30</f>
        <v/>
      </c>
      <c r="G112" s="84">
        <f>'Adderbury Stock'!S30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'Adderbury Stock'!S31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SUM('Adderbury Stock'!T5:T29)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SUM('Adderbury Stock'!R5:R23)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G118" s="96" t="n"/>
    </row>
    <row r="119">
      <c r="A119" s="15" t="inlineStr">
        <is>
          <t>Coarse wool</t>
        </is>
      </c>
    </row>
    <row r="120">
      <c r="A120" s="15" t="inlineStr">
        <is>
          <t>Lamb's wool</t>
        </is>
      </c>
    </row>
    <row r="121">
      <c r="A121" s="15" t="inlineStr">
        <is>
          <t>Wool locks</t>
        </is>
      </c>
    </row>
    <row r="122">
      <c r="A122" s="15" t="inlineStr">
        <is>
          <t>Wool sold at shearing</t>
        </is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 t="n"/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G127" s="96" t="n"/>
    </row>
    <row r="128">
      <c r="A128" s="15" t="inlineStr">
        <is>
          <t>Cow hides</t>
        </is>
      </c>
      <c r="F128" s="76" t="n">
        <v>1</v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total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total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>
        <f t="array" ref="F147">SUM(F127:F133+F138+F143+F144:F146)</f>
        <v/>
      </c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'Adderbury Stock'!B67</f>
        <v/>
      </c>
      <c r="C151" s="76">
        <f>'Adderbury Stock'!K67</f>
        <v/>
      </c>
      <c r="D151" s="76">
        <f>C151-B151</f>
        <v/>
      </c>
      <c r="F151" s="76">
        <f>'Adderbury Stock'!Q67</f>
        <v/>
      </c>
      <c r="G151" s="96" t="n"/>
    </row>
    <row r="152">
      <c r="A152" s="15" t="inlineStr">
        <is>
          <t>Geese</t>
        </is>
      </c>
      <c r="B152" s="76">
        <f>'Adderbury Stock'!B68</f>
        <v/>
      </c>
      <c r="C152" s="76">
        <f>'Adderbury Stock'!K68</f>
        <v/>
      </c>
      <c r="D152" s="76">
        <f>C152-B152</f>
        <v/>
      </c>
      <c r="F152" s="76">
        <f>'Adderbury Stock'!Q68</f>
        <v/>
      </c>
    </row>
    <row r="153">
      <c r="A153" s="15" t="inlineStr">
        <is>
          <t>Capons (from chickens)</t>
        </is>
      </c>
      <c r="B153" s="76">
        <f>'Adderbury Stock'!B69</f>
        <v/>
      </c>
      <c r="C153" s="76">
        <f>'Adderbury Stock'!K69</f>
        <v/>
      </c>
      <c r="D153" s="76">
        <f>C153-B153</f>
        <v/>
      </c>
      <c r="F153" s="76">
        <f>'Adderbury Stock'!Q69</f>
        <v/>
      </c>
    </row>
    <row r="154">
      <c r="A154" s="15" t="inlineStr">
        <is>
          <t>Cocks &amp; hens</t>
        </is>
      </c>
      <c r="B154" s="76">
        <f>'Adderbury Stock'!B70</f>
        <v/>
      </c>
      <c r="C154" s="76">
        <f>'Adderbury Stock'!K70</f>
        <v/>
      </c>
      <c r="D154" s="76">
        <f>C154-B154</f>
        <v/>
      </c>
      <c r="F154" s="76">
        <f>'Adderbury 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SUM('Adderbury Stock'!R69:R70)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G159" s="116" t="n"/>
    </row>
    <row r="160">
      <c r="A160" s="15" t="inlineStr">
        <is>
          <t>Cocks &amp; hens from churchscot of customary tenants</t>
        </is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G166" s="116" t="n"/>
    </row>
    <row r="167">
      <c r="A167" s="15" t="inlineStr">
        <is>
          <t>Winter Cheese</t>
        </is>
      </c>
    </row>
    <row r="168">
      <c r="A168" s="15" t="inlineStr">
        <is>
          <t>Summer Cheese</t>
        </is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F170+F163+F156+F148+F124+F115+E73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pane xSplit="1" ySplit="4" topLeftCell="B44" activePane="bottomRight" state="frozen"/>
      <selection pane="topRight" activeCell="B1" sqref="B1"/>
      <selection pane="bottomLeft" activeCell="A5" sqref="A5"/>
      <selection pane="bottomRight" activeCell="A59" sqref="A59"/>
    </sheetView>
  </sheetViews>
  <sheetFormatPr baseColWidth="8" defaultColWidth="8.81640625" defaultRowHeight="14.5"/>
  <cols>
    <col width="44.36328125" bestFit="1" customWidth="1" min="1" max="1"/>
    <col width="14.36328125" customWidth="1" min="2" max="2"/>
    <col width="9.81640625" bestFit="1" customWidth="1" min="6" max="6"/>
    <col width="16.6328125" bestFit="1" customWidth="1" min="7" max="7"/>
    <col width="16.1796875" customWidth="1" min="10" max="10"/>
    <col width="11.453125" customWidth="1" min="11" max="11"/>
    <col width="8.453125" bestFit="1" customWidth="1" min="13" max="13"/>
    <col width="10.6328125" customWidth="1" min="14" max="14"/>
    <col width="16.6328125" customWidth="1" style="72" min="16" max="16"/>
    <col width="17.36328125" customWidth="1" min="17" max="17"/>
    <col width="16.1796875" customWidth="1" min="19" max="20"/>
    <col width="13.1796875" customWidth="1" min="21" max="21"/>
  </cols>
  <sheetData>
    <row r="1" ht="15.5" customHeight="1">
      <c r="A1" s="12" t="inlineStr">
        <is>
          <t>GOSPORT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shilling a quarter 2</t>
        </is>
      </c>
      <c r="R1" t="inlineStr">
        <is>
          <t>pence a quarter 2</t>
        </is>
      </c>
      <c r="S1" t="inlineStr">
        <is>
          <t>shilling a quarter 3</t>
        </is>
      </c>
      <c r="T1" t="inlineStr">
        <is>
          <t>pence a quarter 3</t>
        </is>
      </c>
      <c r="U1" t="inlineStr">
        <is>
          <t>shilling a quarter 4</t>
        </is>
      </c>
      <c r="V1" t="inlineStr">
        <is>
          <t>pence a quarter 4</t>
        </is>
      </c>
      <c r="W1" t="inlineStr">
        <is>
          <t>shilling a bushel 1</t>
        </is>
      </c>
      <c r="X1" t="inlineStr">
        <is>
          <t>pence a bushel 1</t>
        </is>
      </c>
      <c r="Y1" t="inlineStr">
        <is>
          <t>shilling a bushel 2</t>
        </is>
      </c>
      <c r="Z1" t="inlineStr">
        <is>
          <t>pence a bushel 2</t>
        </is>
      </c>
      <c r="AA1" t="inlineStr">
        <is>
          <t>shilling a bushel 3</t>
        </is>
      </c>
      <c r="AB1" t="inlineStr">
        <is>
          <t>pence a bushel 3</t>
        </is>
      </c>
      <c r="AC1" t="inlineStr">
        <is>
          <t>shilling a bushel 4</t>
        </is>
      </c>
      <c r="AD1" t="inlineStr">
        <is>
          <t>pence a bushel 4</t>
        </is>
      </c>
    </row>
    <row r="2">
      <c r="A2" t="inlineStr">
        <is>
          <t>Gosport</t>
        </is>
      </c>
      <c r="B2" t="inlineStr">
        <is>
          <t>The account of Peter Mulward', there from Michaelmas to Michaelmas of the above year.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The same answers for 2 shilling 6pence of arrears from his last account of the preceding year.</t>
        </is>
      </c>
      <c r="C3" t="n">
        <v>0.12</v>
      </c>
      <c r="D3" t="n">
        <v>0</v>
      </c>
      <c r="E3" t="n">
        <v>2</v>
      </c>
      <c r="F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Arrears</t>
        </is>
      </c>
      <c r="B4" t="inlineStr">
        <is>
          <t>Total, 2 shilling 6pence.</t>
        </is>
      </c>
      <c r="C4" t="n">
        <v>0.12</v>
      </c>
      <c r="D4" t="n">
        <v>0</v>
      </c>
      <c r="E4" t="n">
        <v>2</v>
      </c>
      <c r="F4" t="n">
        <v>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 of assize</t>
        </is>
      </c>
      <c r="B5" t="inlineStr">
        <is>
          <t>And for £6 2 shilling 8.51. for all the rents of assize for the year at Michaelmas.</t>
        </is>
      </c>
      <c r="C5" t="n">
        <v>6.1</v>
      </c>
      <c r="D5" t="n">
        <v>6</v>
      </c>
      <c r="E5" t="n">
        <v>2</v>
      </c>
      <c r="F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 of assize</t>
        </is>
      </c>
      <c r="B6" t="inlineStr">
        <is>
          <t>Total, £6 2 shilling 8.5pence.</t>
        </is>
      </c>
      <c r="C6" t="n">
        <v>6.14</v>
      </c>
      <c r="D6" t="n">
        <v>6</v>
      </c>
      <c r="E6" t="n">
        <v>2</v>
      </c>
      <c r="F6" t="n">
        <v>8.5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Defaults of rent</t>
        </is>
      </c>
      <c r="B7" t="inlineStr">
        <is>
          <t>In default of 3.5 plots which belonged to Thomas Verehorn 1 shilling 2pence, and not more because 7pence is raised from the issue.</t>
        </is>
      </c>
      <c r="C7" t="n">
        <v>0.06</v>
      </c>
      <c r="D7" t="n">
        <v>0</v>
      </c>
      <c r="E7" t="n">
        <v>1</v>
      </c>
      <c r="F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Defaults of rent</t>
        </is>
      </c>
      <c r="B8" t="inlineStr">
        <is>
          <t>nothing of the 6pence for 1 plot which belonged to John Ropere because it is let for the said rent.</t>
        </is>
      </c>
      <c r="C8" t="n">
        <v>0.03</v>
      </c>
      <c r="D8" t="n">
        <v>0</v>
      </c>
      <c r="E8" t="n">
        <v>0</v>
      </c>
      <c r="F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Defaults of rent</t>
        </is>
      </c>
      <c r="B9" t="inlineStr">
        <is>
          <t>3 plots which belonged to Christine Bylde because in the marsh, 1 shilling 4pence for the year, and not more because 8pence is raised from the issue.</t>
        </is>
      </c>
      <c r="C9" t="n">
        <v>0.07000000000000001</v>
      </c>
      <c r="D9" t="n">
        <v>0</v>
      </c>
      <c r="E9" t="n">
        <v>1</v>
      </c>
      <c r="F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Defaults of rent</t>
        </is>
      </c>
      <c r="B10" t="inlineStr">
        <is>
          <t>.5 plots and a certain part of 1 plot of land which belonged to Matilda Louedryn, 7pence for the year, and not more because 4pence is raised from the issue.</t>
        </is>
      </c>
      <c r="C10" t="n">
        <v>0.03</v>
      </c>
      <c r="D10" t="n">
        <v>0</v>
      </c>
      <c r="E10" t="n">
        <v>0</v>
      </c>
      <c r="F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Defaults of rent</t>
        </is>
      </c>
      <c r="B11" t="inlineStr">
        <is>
          <t>nothing of the 1 shilling for 2 plots of land which belonged to John Gomes for the year because they are let for the said rent.</t>
        </is>
      </c>
      <c r="C11" t="n">
        <v>0.05</v>
      </c>
      <c r="D11" t="n">
        <v>0</v>
      </c>
      <c r="E11" t="n">
        <v>1</v>
      </c>
      <c r="F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Defaults of rent</t>
        </is>
      </c>
      <c r="B12" t="inlineStr">
        <is>
          <t>1 plot of land which belonged to John Jurde, 4pence for the year, and not more because 2pence is raised from the issue.</t>
        </is>
      </c>
      <c r="C12" t="n">
        <v>0.02</v>
      </c>
      <c r="D12" t="n">
        <v>0</v>
      </c>
      <c r="E12" t="n">
        <v>0</v>
      </c>
      <c r="F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Defaults of rent</t>
        </is>
      </c>
      <c r="B13" t="inlineStr">
        <is>
          <t>1 plot of land which belonged to Amice Tronk', 4pence for the year, and not more because 2pence is raised from the issue.</t>
        </is>
      </c>
      <c r="C13" t="n">
        <v>0.02</v>
      </c>
      <c r="D13" t="n">
        <v>0</v>
      </c>
      <c r="E13" t="n">
        <v>0</v>
      </c>
      <c r="F13" t="n">
        <v>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Defaults of rent</t>
        </is>
      </c>
      <c r="B14" t="inlineStr">
        <is>
          <t>1 plot of land which belonged to Thomas Gower', 4pence for the year, and not more because 2pence is raised from the issue.</t>
        </is>
      </c>
      <c r="C14" t="n">
        <v>0.02</v>
      </c>
      <c r="D14" t="n">
        <v>0</v>
      </c>
      <c r="E14" t="n">
        <v>0</v>
      </c>
      <c r="F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Defaults of rent</t>
        </is>
      </c>
      <c r="B15" t="inlineStr">
        <is>
          <t>1 plot of land which belonged to Thomas Godwyne, 4pence for the year, and not more because 2pence is raised from the issue.</t>
        </is>
      </c>
      <c r="C15" t="n">
        <v>0.02</v>
      </c>
      <c r="D15" t="n">
        <v>0</v>
      </c>
      <c r="E15" t="n">
        <v>0</v>
      </c>
      <c r="F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Defaults of rent</t>
        </is>
      </c>
      <c r="B16" t="inlineStr">
        <is>
          <t>1 plot of land which belonged to Richard Smart, 4pence for the year, and not more because 2pence is raised from the issue.</t>
        </is>
      </c>
      <c r="C16" t="n">
        <v>0.02</v>
      </c>
      <c r="D16" t="n">
        <v>0</v>
      </c>
      <c r="E16" t="n">
        <v>0</v>
      </c>
      <c r="F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Defaults of rent</t>
        </is>
      </c>
      <c r="B17" t="inlineStr">
        <is>
          <t>2 plots which belonged to John Byld' the elder, 8pence for the year, and not more because 4pence is raised from the issue.</t>
        </is>
      </c>
      <c r="C17" t="n">
        <v>0.03</v>
      </c>
      <c r="D17" t="n">
        <v>0</v>
      </c>
      <c r="E17" t="n">
        <v>0</v>
      </c>
      <c r="F17" t="n">
        <v>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Defaults of rent</t>
        </is>
      </c>
      <c r="B18" t="inlineStr">
        <is>
          <t>1% plots which belonged to Amilet' Walcok', 6pence for the year, and not more because 3pence is raised from the issue.</t>
        </is>
      </c>
      <c r="C18" t="n">
        <v>0.03</v>
      </c>
      <c r="D18" t="n">
        <v>0</v>
      </c>
      <c r="E18" t="n">
        <v>0</v>
      </c>
      <c r="F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Defaults of rent</t>
        </is>
      </c>
      <c r="B19" t="inlineStr">
        <is>
          <t>2 plots which belonged to Matilda Watte, 8pence for the year, and not more because 4pence is raised from the issue.</t>
        </is>
      </c>
      <c r="C19" t="n">
        <v>0.03</v>
      </c>
      <c r="D19" t="n">
        <v>0</v>
      </c>
      <c r="E19" t="n">
        <v>0</v>
      </c>
      <c r="F19" t="n">
        <v>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Defaults of rent</t>
        </is>
      </c>
      <c r="B20" t="inlineStr">
        <is>
          <t>1.5 plots which belonged to Emma Polayn, 6pence for the year, and not more because 3pence is raised from the issue.</t>
        </is>
      </c>
      <c r="C20" t="n">
        <v>0.03</v>
      </c>
      <c r="D20" t="n">
        <v>0</v>
      </c>
      <c r="E20" t="n">
        <v>0</v>
      </c>
      <c r="F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Defaults of rent</t>
        </is>
      </c>
      <c r="B21" t="inlineStr">
        <is>
          <t>3.5 plots which belonged to Richard Mausham, 1 shilling for the year, and not more because 6pence is raised from the issue.</t>
        </is>
      </c>
      <c r="C21" t="n">
        <v>0.08</v>
      </c>
      <c r="D21" t="n">
        <v>0</v>
      </c>
      <c r="E21" t="n">
        <v>1</v>
      </c>
      <c r="F21" t="n">
        <v>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Defaults of rent</t>
        </is>
      </c>
      <c r="B22" t="inlineStr">
        <is>
          <t>1 plot of land which belonged to Richard Fox, 4pence for the year, and not more because 2pence is raised from the issue.</t>
        </is>
      </c>
      <c r="C22" t="n">
        <v>0.02</v>
      </c>
      <c r="D22" t="n">
        <v>0</v>
      </c>
      <c r="E22" t="n">
        <v>0</v>
      </c>
      <c r="F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Defaults of rent</t>
        </is>
      </c>
      <c r="B23" t="inlineStr">
        <is>
          <t>1 plot of land which belonged to Robert Sone, 4pence for the year, and not more because 2pence is raised from the issue.</t>
        </is>
      </c>
      <c r="C23" t="n">
        <v>0.02</v>
      </c>
      <c r="D23" t="n">
        <v>0</v>
      </c>
      <c r="E23" t="n">
        <v>0</v>
      </c>
      <c r="F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Defaults of rent</t>
        </is>
      </c>
      <c r="B24" t="inlineStr">
        <is>
          <t>1 plot of land which belonged to William Bole, 4pence for the year, and not more because 2pence is raised from the issue.</t>
        </is>
      </c>
      <c r="C24" t="n">
        <v>0.02</v>
      </c>
      <c r="D24" t="n">
        <v>0</v>
      </c>
      <c r="E24" t="n">
        <v>0</v>
      </c>
      <c r="F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Defaults of rent</t>
        </is>
      </c>
      <c r="B25" t="inlineStr">
        <is>
          <t>2.5 plots which belonged to William Ropere, 10pence for the year, and not more because 5pence is raised from the issue.</t>
        </is>
      </c>
      <c r="C25" t="n">
        <v>0.04</v>
      </c>
      <c r="D25" t="n">
        <v>0</v>
      </c>
      <c r="E25" t="n">
        <v>0</v>
      </c>
      <c r="F25" t="n">
        <v>10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Defaults of rent</t>
        </is>
      </c>
      <c r="B26" t="inlineStr">
        <is>
          <t>3 plots of land which belonged to Alice Andevere, 1 shilling 4pence for the year, and not more because 8pence is raised from the issue.</t>
        </is>
      </c>
      <c r="C26" t="n">
        <v>0.07000000000000001</v>
      </c>
      <c r="D26" t="n">
        <v>0</v>
      </c>
      <c r="E26" t="n">
        <v>1</v>
      </c>
      <c r="F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Defaults of rent</t>
        </is>
      </c>
      <c r="B27" t="inlineStr">
        <is>
          <t>1 plot of land which belonged to Bartholomew Tronk' 4pence, and not more because 2pence is raised from the issue.</t>
        </is>
      </c>
      <c r="C27" t="n">
        <v>0.02</v>
      </c>
      <c r="D27" t="n">
        <v>0</v>
      </c>
      <c r="E27" t="n">
        <v>0</v>
      </c>
      <c r="F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Defaults of rent</t>
        </is>
      </c>
      <c r="B28" t="inlineStr">
        <is>
          <t>1.5 plots which belonged to William Skynnere 6pence, and not more because 3pence is raised from the issue.</t>
        </is>
      </c>
      <c r="C28" t="n">
        <v>0.03</v>
      </c>
      <c r="D28" t="n">
        <v>0</v>
      </c>
      <c r="E28" t="n">
        <v>0</v>
      </c>
      <c r="F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Defaults of rent</t>
        </is>
      </c>
      <c r="B29" t="inlineStr">
        <is>
          <t>1 plot of land which belonged to Matilda Reel, 1pence for the year.</t>
        </is>
      </c>
      <c r="C29" t="n">
        <v>0</v>
      </c>
      <c r="D29" t="n">
        <v>0</v>
      </c>
      <c r="E29" t="n">
        <v>0</v>
      </c>
      <c r="F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Defaults of rent</t>
        </is>
      </c>
      <c r="B30" t="inlineStr">
        <is>
          <t>5 plots which belonged to Alice Brekebet', 1 shilling 10pence for the year, and not more because 10pence is raised from the issue.</t>
        </is>
      </c>
      <c r="C30" t="n">
        <v>0.09</v>
      </c>
      <c r="D30" t="n">
        <v>0</v>
      </c>
      <c r="E30" t="n">
        <v>1</v>
      </c>
      <c r="F30" t="n">
        <v>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Defaults of rent</t>
        </is>
      </c>
      <c r="B31" t="inlineStr">
        <is>
          <t>2 plots and the seventh part of 1 plot of land which belonged to Agnes Brekebet, 8pence for the year, and not more because 4pence is raised from the issue.</t>
        </is>
      </c>
      <c r="C31" t="n">
        <v>0.03</v>
      </c>
      <c r="D31" t="n">
        <v>0</v>
      </c>
      <c r="E31" t="n">
        <v>0</v>
      </c>
      <c r="F31" t="n">
        <v>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Defaults of rent</t>
        </is>
      </c>
      <c r="B32" t="inlineStr">
        <is>
          <t>nothing of the 1 shilling for 2 plots of land which belonged to Robert Smyth' for the year because they are let for the said rent.</t>
        </is>
      </c>
      <c r="C32" t="n">
        <v>0.05</v>
      </c>
      <c r="D32" t="n">
        <v>0</v>
      </c>
      <c r="E32" t="n">
        <v>1</v>
      </c>
      <c r="F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Defaults of rent</t>
        </is>
      </c>
      <c r="B33" t="inlineStr">
        <is>
          <t>1.5 plots which belonged to John Pewe, 6pence for the year, and not more because 3pence is raised from the issue.</t>
        </is>
      </c>
      <c r="C33" t="n">
        <v>0.03</v>
      </c>
      <c r="D33" t="n">
        <v>0</v>
      </c>
      <c r="E33" t="n">
        <v>0</v>
      </c>
      <c r="F33" t="n">
        <v>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Defaults of rent</t>
        </is>
      </c>
      <c r="B34" t="inlineStr">
        <is>
          <t>1 plot of land which belonged to Robert Carpent', 2pence for the year, and not more because 1pence is raised from the issue.</t>
        </is>
      </c>
      <c r="C34" t="n">
        <v>0.01</v>
      </c>
      <c r="D34" t="n">
        <v>0</v>
      </c>
      <c r="E34" t="n">
        <v>0</v>
      </c>
      <c r="F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Defaults of rent</t>
        </is>
      </c>
      <c r="B35" t="inlineStr">
        <is>
          <t>1 plot of land which belonged to William Bouegat, 4pence for the year, and not more because 2pence is raised from the issue.</t>
        </is>
      </c>
      <c r="C35" t="n">
        <v>0.02</v>
      </c>
      <c r="D35" t="n">
        <v>0</v>
      </c>
      <c r="E35" t="n">
        <v>0</v>
      </c>
      <c r="F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Defaults of rent</t>
        </is>
      </c>
      <c r="B36" t="inlineStr">
        <is>
          <t>1 plot of land which belonged to John Crest, 4pence for the year, and not more because 2pence is raised from the issue.</t>
        </is>
      </c>
      <c r="C36" t="n">
        <v>0.02</v>
      </c>
      <c r="D36" t="n">
        <v>0</v>
      </c>
      <c r="E36" t="n">
        <v>0</v>
      </c>
      <c r="F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Defaults of rent</t>
        </is>
      </c>
      <c r="B37" t="inlineStr">
        <is>
          <t>1 plot of land which belonged to Nicholas Bylde the younger, 4pence for the year, and not more because 2pence is raised from the issue.</t>
        </is>
      </c>
      <c r="C37" t="n">
        <v>0.02</v>
      </c>
      <c r="D37" t="n">
        <v>0</v>
      </c>
      <c r="E37" t="n">
        <v>0</v>
      </c>
      <c r="F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Defaults of rent</t>
        </is>
      </c>
      <c r="B38" t="inlineStr">
        <is>
          <t>1.5 plots which belonged to Robert Soutere, 10penceI for the year, and not more because 5pence2 is raised from the issue.</t>
        </is>
      </c>
      <c r="C38" t="n">
        <v>0.04</v>
      </c>
      <c r="D38" t="n">
        <v>0</v>
      </c>
      <c r="E38" t="n">
        <v>0</v>
      </c>
      <c r="F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Defaults of rent</t>
        </is>
      </c>
      <c r="B39" t="inlineStr">
        <is>
          <t>1 plot of land which belonged to Emma Blake, 4pence for the year, and not more because 2pence is raised from the issue.</t>
        </is>
      </c>
      <c r="C39" t="n">
        <v>0.02</v>
      </c>
      <c r="D39" t="n">
        <v>0</v>
      </c>
      <c r="E39" t="n">
        <v>0</v>
      </c>
      <c r="F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Defaults of rent</t>
        </is>
      </c>
      <c r="B40" t="inlineStr">
        <is>
          <t>1 plot of land which belonged to Peter Pampeloun, 4pence for the year, and not more because 2pence is raised from the issue.</t>
        </is>
      </c>
      <c r="C40" t="n">
        <v>0.02</v>
      </c>
      <c r="D40" t="n">
        <v>0</v>
      </c>
      <c r="E40" t="n">
        <v>0</v>
      </c>
      <c r="F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Defaults of rent</t>
        </is>
      </c>
      <c r="B41" t="inlineStr">
        <is>
          <t>1 plot of land which belonged to John Cape, 4d for the year, and not more because 2pence is raised from the issue.</t>
        </is>
      </c>
      <c r="C41" t="n">
        <v>0.01</v>
      </c>
      <c r="D41" t="n">
        <v>0</v>
      </c>
      <c r="E41" t="n">
        <v>0</v>
      </c>
      <c r="F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Defaults of rent</t>
        </is>
      </c>
      <c r="B42" t="inlineStr">
        <is>
          <t>1.5 plots and the sixth pan of 1 plot of land which belonged to John Clericus, comforter (comforth'), 6pence, and not more because 3pence is raised from the issue.</t>
        </is>
      </c>
      <c r="C42" t="n">
        <v>0.03</v>
      </c>
      <c r="D42" t="n">
        <v>0</v>
      </c>
      <c r="E42" t="n">
        <v>0</v>
      </c>
      <c r="F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Defaults of rent</t>
        </is>
      </c>
      <c r="B43" t="inlineStr">
        <is>
          <t>1.5 plots which belonged to Robert Bylde, 6pence for the year, and not more 3pence is raised from the issue.</t>
        </is>
      </c>
      <c r="C43" t="n">
        <v>0.03</v>
      </c>
      <c r="D43" t="n">
        <v>0</v>
      </c>
      <c r="E43" t="n">
        <v>0</v>
      </c>
      <c r="F43" t="n">
        <v>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Defaults of rent</t>
        </is>
      </c>
      <c r="B44" t="inlineStr">
        <is>
          <t>1 plot and the fourth part of I plot of land which belonged to Richard Thome3, 3pence for the year, and not more because 1.5pence is raised from the issue.</t>
        </is>
      </c>
      <c r="C44" t="n">
        <v>0.01</v>
      </c>
      <c r="D44" t="n">
        <v>0</v>
      </c>
      <c r="E44" t="n">
        <v>0</v>
      </c>
      <c r="F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Defaults of rent</t>
        </is>
      </c>
      <c r="B45" t="inlineStr">
        <is>
          <t>2.5 plots which belonged to John Webbe, 1 shilling 3pence for the year, through enemy burnings (Mimic' combustor).</t>
        </is>
      </c>
      <c r="C45" t="n">
        <v>0.06</v>
      </c>
      <c r="D45" t="n">
        <v>0</v>
      </c>
      <c r="E45" t="n">
        <v>1</v>
      </c>
      <c r="F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Defaults of rent</t>
        </is>
      </c>
      <c r="B46" t="inlineStr">
        <is>
          <t>1 plot of land which belonged to Walter Page, 4pence for the year, and not more because 2pence is raised from the issue.</t>
        </is>
      </c>
      <c r="C46" t="n">
        <v>0.02</v>
      </c>
      <c r="D46" t="n">
        <v>0</v>
      </c>
      <c r="E46" t="n">
        <v>0</v>
      </c>
      <c r="F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Defaults of rent</t>
        </is>
      </c>
      <c r="B47" t="inlineStr">
        <is>
          <t>Total, £1 10pence.</t>
        </is>
      </c>
      <c r="C47" t="n">
        <v>1.04</v>
      </c>
      <c r="D47" t="n">
        <v>1</v>
      </c>
      <c r="E47" t="n">
        <v>0</v>
      </c>
      <c r="F47" t="n">
        <v>10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Total of rents remaining clear</t>
        </is>
      </c>
      <c r="B48" t="inlineStr">
        <is>
          <t>Total of rents remaining clear, £5 1 shilling 10.5pence.</t>
        </is>
      </c>
      <c r="C48" t="n">
        <v>5.09</v>
      </c>
      <c r="D48" t="n">
        <v>5</v>
      </c>
      <c r="E48" t="n">
        <v>1</v>
      </c>
      <c r="F48" t="n">
        <v>10.5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Issues of the land</t>
        </is>
      </c>
      <c r="B49" t="inlineStr">
        <is>
          <t>And for 10 shilling from the issues of the land and 1 vacant plot, for which allowance is made in the defaults of rent above, under the various names from which it is raised.</t>
        </is>
      </c>
      <c r="C49" t="n">
        <v>0.5</v>
      </c>
      <c r="D49" t="n">
        <v>0</v>
      </c>
      <c r="E49" t="n">
        <v>10</v>
      </c>
      <c r="F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Issues of the land</t>
        </is>
      </c>
      <c r="B50" t="inlineStr">
        <is>
          <t>Total, 10 shilling.</t>
        </is>
      </c>
      <c r="C50" t="n">
        <v>0.5</v>
      </c>
      <c r="D50" t="n">
        <v>0</v>
      </c>
      <c r="E50" t="n">
        <v>10</v>
      </c>
      <c r="F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Perquisites</t>
        </is>
      </c>
      <c r="B51" t="inlineStr">
        <is>
          <t>And for 6 shilling 10pence from the perquisites of the tourn of Martinmas (11 November).</t>
        </is>
      </c>
      <c r="C51" t="n">
        <v>0.34</v>
      </c>
      <c r="D51" t="n">
        <v>0</v>
      </c>
      <c r="E51" t="n">
        <v>6</v>
      </c>
      <c r="F51" t="n">
        <v>10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Perquisites</t>
        </is>
      </c>
      <c r="B52" t="inlineStr">
        <is>
          <t>5 shilling 2pence from the perquisites of the tourn of Hockday (1 April).</t>
        </is>
      </c>
      <c r="C52" t="n">
        <v>0.26</v>
      </c>
      <c r="D52" t="n">
        <v>0</v>
      </c>
      <c r="E52" t="n">
        <v>5</v>
      </c>
      <c r="F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Perquisites</t>
        </is>
      </c>
      <c r="B53" t="inlineStr">
        <is>
          <t>Total, 12 shilling.</t>
        </is>
      </c>
      <c r="C53" t="n">
        <v>0.6</v>
      </c>
      <c r="D53" t="n">
        <v>0</v>
      </c>
      <c r="E53" t="n">
        <v>12</v>
      </c>
      <c r="F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Total of all receipts with arrears</t>
        </is>
      </c>
      <c r="B54" t="inlineStr">
        <is>
          <t>Total of all receipts with arrears, £6 6 shilling 4.5pence.</t>
        </is>
      </c>
      <c r="C54" t="n">
        <v>6.32</v>
      </c>
      <c r="D54" t="n">
        <v>6</v>
      </c>
      <c r="E54" t="n">
        <v>6</v>
      </c>
      <c r="F54" t="n">
        <v>4.5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Cash deliveries</t>
        </is>
      </c>
      <c r="B55" t="inlineStr">
        <is>
          <t>Delivered to John Arnold, receiver of Wolvesey, by 1 tally, £6 3 shilling 10.5pence.</t>
        </is>
      </c>
      <c r="C55" t="n">
        <v>6.19</v>
      </c>
      <c r="D55" t="n">
        <v>6</v>
      </c>
      <c r="E55" t="n">
        <v>3</v>
      </c>
      <c r="F55" t="n">
        <v>10.5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And he owes clear</t>
        </is>
      </c>
      <c r="B56" t="inlineStr">
        <is>
          <t>And he owes clear, 2 shilling 6pence, all of which is in the hands of the escheator, for which he is charged in the following account.</t>
        </is>
      </c>
      <c r="C56" t="n">
        <v>0.12</v>
      </c>
      <c r="D56" t="n">
        <v>0</v>
      </c>
      <c r="E56" t="n">
        <v>2</v>
      </c>
      <c r="F56" t="n">
        <v>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GOSPORT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2" t="n"/>
      <c r="F2" s="143" t="inlineStr">
        <is>
          <t>Total in £</t>
        </is>
      </c>
      <c r="G2" s="144" t="inlineStr">
        <is>
          <t>Error</t>
        </is>
      </c>
      <c r="H2" s="145" t="inlineStr">
        <is>
          <t>Notes</t>
        </is>
      </c>
      <c r="I2" s="146" t="inlineStr">
        <is>
          <t>Own notes</t>
        </is>
      </c>
    </row>
    <row r="3">
      <c r="A3" s="137" t="inlineStr">
        <is>
          <t>Arrears</t>
        </is>
      </c>
      <c r="B3" s="128" t="n">
        <v>0</v>
      </c>
      <c r="C3" s="128" t="n">
        <v>2</v>
      </c>
      <c r="D3" s="128" t="n">
        <v>6</v>
      </c>
      <c r="E3" s="128" t="n"/>
      <c r="F3" s="128" t="n">
        <v>0.12</v>
      </c>
      <c r="G3" s="128" t="n"/>
      <c r="H3" s="128" t="inlineStr">
        <is>
          <t>The same answers for 2 shilling 6pence of arrears from his last account of the preceding year.</t>
        </is>
      </c>
      <c r="I3" s="128" t="n"/>
    </row>
    <row r="4">
      <c r="A4" s="136" t="inlineStr">
        <is>
          <t>Arrears</t>
        </is>
      </c>
      <c r="B4" s="128" t="n">
        <v>0</v>
      </c>
      <c r="C4" s="128" t="n">
        <v>2</v>
      </c>
      <c r="D4" s="128" t="n">
        <v>6</v>
      </c>
      <c r="E4" s="128" t="n"/>
      <c r="F4" s="128" t="n">
        <v>0.12</v>
      </c>
      <c r="G4" s="128" t="n"/>
      <c r="H4" s="128" t="inlineStr">
        <is>
          <t>Total, 2 shilling 6pence.</t>
        </is>
      </c>
      <c r="I4" s="128" t="n"/>
    </row>
    <row r="5">
      <c r="A5" s="138" t="inlineStr">
        <is>
          <t>Arrears total</t>
        </is>
      </c>
      <c r="B5" s="139" t="n"/>
      <c r="C5" s="139" t="n"/>
      <c r="D5" s="139" t="n"/>
      <c r="E5" s="139" t="n"/>
      <c r="F5" s="139" t="n">
        <v>0.12</v>
      </c>
      <c r="G5" s="139" t="n">
        <v>0</v>
      </c>
      <c r="H5" s="139" t="inlineStr">
        <is>
          <t>Total</t>
        </is>
      </c>
      <c r="I5" s="139" t="n"/>
    </row>
    <row r="6">
      <c r="A6" s="136" t="n"/>
      <c r="B6" s="128" t="n"/>
      <c r="C6" s="128" t="n"/>
      <c r="D6" s="128" t="n"/>
      <c r="E6" s="128" t="n"/>
      <c r="F6" s="128" t="n"/>
      <c r="G6" s="128" t="n"/>
      <c r="H6" s="128" t="n"/>
      <c r="I6" s="128" t="n"/>
    </row>
    <row r="7">
      <c r="A7" s="137" t="inlineStr">
        <is>
          <t>Rents of assize</t>
        </is>
      </c>
      <c r="B7" s="128" t="n">
        <v>6</v>
      </c>
      <c r="C7" s="128" t="n">
        <v>2</v>
      </c>
      <c r="D7" s="128" t="n">
        <v>0</v>
      </c>
      <c r="E7" s="128" t="n"/>
      <c r="F7" s="128" t="n">
        <v>6.1</v>
      </c>
      <c r="G7" s="128" t="n"/>
      <c r="H7" s="128" t="inlineStr">
        <is>
          <t>And for £6 2 shilling 8.51. for all the rents of assize for the year at Michaelmas.</t>
        </is>
      </c>
      <c r="I7" s="128" t="n"/>
    </row>
    <row r="8">
      <c r="A8" s="136" t="inlineStr">
        <is>
          <t>Rents of assize</t>
        </is>
      </c>
      <c r="B8" s="128" t="n">
        <v>6</v>
      </c>
      <c r="C8" s="128" t="n">
        <v>2</v>
      </c>
      <c r="D8" s="128" t="n">
        <v>8.5</v>
      </c>
      <c r="E8" s="128" t="n"/>
      <c r="F8" s="128" t="n">
        <v>6.14</v>
      </c>
      <c r="G8" s="128" t="n"/>
      <c r="H8" s="128" t="inlineStr">
        <is>
          <t>Total, £6 2 shilling 8.5pence.</t>
        </is>
      </c>
      <c r="I8" s="128" t="n"/>
    </row>
    <row r="9">
      <c r="A9" s="138" t="inlineStr">
        <is>
          <t>Rents of assize total</t>
        </is>
      </c>
      <c r="B9" s="139" t="n"/>
      <c r="C9" s="139" t="n"/>
      <c r="D9" s="139" t="n"/>
      <c r="E9" s="139" t="n"/>
      <c r="F9" s="139" t="n">
        <v>6.1</v>
      </c>
      <c r="G9" s="139" t="n">
        <v>-0.04</v>
      </c>
      <c r="H9" s="139" t="inlineStr">
        <is>
          <t>Total</t>
        </is>
      </c>
      <c r="I9" s="139" t="n"/>
    </row>
    <row r="10">
      <c r="A10" s="136" t="n"/>
      <c r="B10" s="128" t="n"/>
      <c r="C10" s="128" t="n"/>
      <c r="D10" s="128" t="n"/>
      <c r="E10" s="128" t="n"/>
      <c r="F10" s="128" t="n"/>
      <c r="G10" s="128" t="n"/>
      <c r="H10" s="128" t="n"/>
      <c r="I10" s="128" t="n"/>
    </row>
    <row r="11">
      <c r="A11" s="137" t="inlineStr">
        <is>
          <t>Defaults of rent</t>
        </is>
      </c>
      <c r="B11" s="128" t="n">
        <v>0</v>
      </c>
      <c r="C11" s="128" t="n">
        <v>1</v>
      </c>
      <c r="D11" s="128" t="n">
        <v>2</v>
      </c>
      <c r="E11" s="128" t="n"/>
      <c r="F11" s="128" t="n">
        <v>0.06</v>
      </c>
      <c r="G11" s="128" t="n"/>
      <c r="H11" s="128" t="inlineStr">
        <is>
          <t>In default of 3.5 plots which belonged to Thomas Verehorn 1 shilling 2pence, and not more because 7pence is raised from the issue.</t>
        </is>
      </c>
      <c r="I11" s="128" t="n"/>
    </row>
    <row r="12">
      <c r="A12" s="136" t="inlineStr">
        <is>
          <t>Defaults of rent</t>
        </is>
      </c>
      <c r="B12" s="128" t="n">
        <v>0</v>
      </c>
      <c r="C12" s="128" t="n">
        <v>0</v>
      </c>
      <c r="D12" s="128" t="n">
        <v>6</v>
      </c>
      <c r="E12" s="128" t="n"/>
      <c r="F12" s="128" t="n">
        <v>0.03</v>
      </c>
      <c r="G12" s="128" t="n"/>
      <c r="H12" s="128" t="inlineStr">
        <is>
          <t>nothing of the 6pence for 1 plot which belonged to John Ropere because it is let for the said rent.</t>
        </is>
      </c>
      <c r="I12" s="128" t="n"/>
    </row>
    <row r="13">
      <c r="A13" s="136" t="inlineStr">
        <is>
          <t>Defaults of rent</t>
        </is>
      </c>
      <c r="B13" s="128" t="n">
        <v>0</v>
      </c>
      <c r="C13" s="128" t="n">
        <v>1</v>
      </c>
      <c r="D13" s="128" t="n">
        <v>4</v>
      </c>
      <c r="E13" s="128" t="n"/>
      <c r="F13" s="128" t="n">
        <v>0.07000000000000001</v>
      </c>
      <c r="G13" s="128" t="n"/>
      <c r="H13" s="128" t="inlineStr">
        <is>
          <t>3 plots which belonged to Christine Bylde because in the marsh, 1 shilling 4pence for the year, and not more because 8pence is raised from the issue.</t>
        </is>
      </c>
      <c r="I13" s="128" t="n"/>
    </row>
    <row r="14">
      <c r="A14" s="136" t="inlineStr">
        <is>
          <t>Defaults of rent</t>
        </is>
      </c>
      <c r="B14" s="128" t="n">
        <v>0</v>
      </c>
      <c r="C14" s="128" t="n">
        <v>0</v>
      </c>
      <c r="D14" s="128" t="n">
        <v>7</v>
      </c>
      <c r="E14" s="128" t="n"/>
      <c r="F14" s="128" t="n">
        <v>0.03</v>
      </c>
      <c r="G14" s="128" t="n"/>
      <c r="H14" s="128" t="inlineStr">
        <is>
          <t>.5 plots and a certain part of 1 plot of land which belonged to Matilda Louedryn, 7pence for the year, and not more because 4pence is raised from the issue.</t>
        </is>
      </c>
      <c r="I14" s="128" t="n"/>
    </row>
    <row r="15">
      <c r="A15" s="136" t="inlineStr">
        <is>
          <t>Defaults of rent</t>
        </is>
      </c>
      <c r="B15" s="128" t="n">
        <v>0</v>
      </c>
      <c r="C15" s="128" t="n">
        <v>1</v>
      </c>
      <c r="D15" s="128" t="n">
        <v>0</v>
      </c>
      <c r="E15" s="128" t="n"/>
      <c r="F15" s="128" t="n">
        <v>0.05</v>
      </c>
      <c r="G15" s="128" t="n"/>
      <c r="H15" s="128" t="inlineStr">
        <is>
          <t>nothing of the 1 shilling for 2 plots of land which belonged to John Gomes for the year because they are let for the said rent.</t>
        </is>
      </c>
      <c r="I15" s="128" t="n"/>
    </row>
    <row r="16">
      <c r="A16" s="136" t="inlineStr">
        <is>
          <t>Defaults of rent</t>
        </is>
      </c>
      <c r="B16" s="128" t="n">
        <v>0</v>
      </c>
      <c r="C16" s="128" t="n">
        <v>0</v>
      </c>
      <c r="D16" s="128" t="n">
        <v>4</v>
      </c>
      <c r="E16" s="128" t="n"/>
      <c r="F16" s="128" t="n">
        <v>0.02</v>
      </c>
      <c r="G16" s="128" t="n"/>
      <c r="H16" s="128" t="inlineStr">
        <is>
          <t>1 plot of land which belonged to John Jurde, 4pence for the year, and not more because 2pence is raised from the issue.</t>
        </is>
      </c>
      <c r="I16" s="128" t="n"/>
    </row>
    <row r="17">
      <c r="A17" s="136" t="inlineStr">
        <is>
          <t>Defaults of rent</t>
        </is>
      </c>
      <c r="B17" s="128" t="n">
        <v>0</v>
      </c>
      <c r="C17" s="128" t="n">
        <v>0</v>
      </c>
      <c r="D17" s="128" t="n">
        <v>4</v>
      </c>
      <c r="E17" s="128" t="n"/>
      <c r="F17" s="128" t="n">
        <v>0.02</v>
      </c>
      <c r="G17" s="128" t="n"/>
      <c r="H17" s="128" t="inlineStr">
        <is>
          <t>1 plot of land which belonged to Amice Tronk', 4pence for the year, and not more because 2pence is raised from the issue.</t>
        </is>
      </c>
      <c r="I17" s="128" t="n"/>
    </row>
    <row r="18">
      <c r="A18" s="136" t="inlineStr">
        <is>
          <t>Defaults of rent</t>
        </is>
      </c>
      <c r="B18" s="128" t="n">
        <v>0</v>
      </c>
      <c r="C18" s="128" t="n">
        <v>0</v>
      </c>
      <c r="D18" s="128" t="n">
        <v>4</v>
      </c>
      <c r="E18" s="128" t="n"/>
      <c r="F18" s="128" t="n">
        <v>0.02</v>
      </c>
      <c r="G18" s="128" t="n"/>
      <c r="H18" s="128" t="inlineStr">
        <is>
          <t>1 plot of land which belonged to Thomas Gower', 4pence for the year, and not more because 2pence is raised from the issue.</t>
        </is>
      </c>
      <c r="I18" s="128" t="n"/>
    </row>
    <row r="19">
      <c r="A19" s="136" t="inlineStr">
        <is>
          <t>Defaults of rent</t>
        </is>
      </c>
      <c r="B19" s="128" t="n">
        <v>0</v>
      </c>
      <c r="C19" s="128" t="n">
        <v>0</v>
      </c>
      <c r="D19" s="128" t="n">
        <v>4</v>
      </c>
      <c r="E19" s="128" t="n"/>
      <c r="F19" s="128" t="n">
        <v>0.02</v>
      </c>
      <c r="G19" s="128" t="n"/>
      <c r="H19" s="128" t="inlineStr">
        <is>
          <t>1 plot of land which belonged to Thomas Godwyne, 4pence for the year, and not more because 2pence is raised from the issue.</t>
        </is>
      </c>
      <c r="I19" s="128" t="n"/>
    </row>
    <row r="20">
      <c r="A20" s="136" t="inlineStr">
        <is>
          <t>Defaults of rent</t>
        </is>
      </c>
      <c r="B20" s="128" t="n">
        <v>0</v>
      </c>
      <c r="C20" s="128" t="n">
        <v>0</v>
      </c>
      <c r="D20" s="128" t="n">
        <v>4</v>
      </c>
      <c r="E20" s="128" t="n"/>
      <c r="F20" s="128" t="n">
        <v>0.02</v>
      </c>
      <c r="G20" s="128" t="n"/>
      <c r="H20" s="128" t="inlineStr">
        <is>
          <t>1 plot of land which belonged to Richard Smart, 4pence for the year, and not more because 2pence is raised from the issue.</t>
        </is>
      </c>
      <c r="I20" s="128" t="n"/>
    </row>
    <row r="21">
      <c r="A21" s="136" t="inlineStr">
        <is>
          <t>Defaults of rent</t>
        </is>
      </c>
      <c r="B21" s="128" t="n">
        <v>0</v>
      </c>
      <c r="C21" s="128" t="n">
        <v>0</v>
      </c>
      <c r="D21" s="128" t="n">
        <v>8</v>
      </c>
      <c r="E21" s="128" t="n"/>
      <c r="F21" s="128" t="n">
        <v>0.03</v>
      </c>
      <c r="G21" s="128" t="n"/>
      <c r="H21" s="128" t="inlineStr">
        <is>
          <t>2 plots which belonged to John Byld' the elder, 8pence for the year, and not more because 4pence is raised from the issue.</t>
        </is>
      </c>
      <c r="I21" s="128" t="n"/>
    </row>
    <row r="22">
      <c r="A22" s="136" t="inlineStr">
        <is>
          <t>Defaults of rent</t>
        </is>
      </c>
      <c r="B22" s="128" t="n">
        <v>0</v>
      </c>
      <c r="C22" s="128" t="n">
        <v>0</v>
      </c>
      <c r="D22" s="128" t="n">
        <v>6</v>
      </c>
      <c r="E22" s="128" t="n"/>
      <c r="F22" s="128" t="n">
        <v>0.03</v>
      </c>
      <c r="G22" s="128" t="n"/>
      <c r="H22" s="128" t="inlineStr">
        <is>
          <t>1% plots which belonged to Amilet' Walcok', 6pence for the year, and not more because 3pence is raised from the issue.</t>
        </is>
      </c>
      <c r="I22" s="128" t="n"/>
    </row>
    <row r="23">
      <c r="A23" s="136" t="inlineStr">
        <is>
          <t>Defaults of rent</t>
        </is>
      </c>
      <c r="B23" s="128" t="n">
        <v>0</v>
      </c>
      <c r="C23" s="128" t="n">
        <v>0</v>
      </c>
      <c r="D23" s="128" t="n">
        <v>8</v>
      </c>
      <c r="E23" s="128" t="n"/>
      <c r="F23" s="128" t="n">
        <v>0.03</v>
      </c>
      <c r="G23" s="128" t="n"/>
      <c r="H23" s="128" t="inlineStr">
        <is>
          <t>2 plots which belonged to Matilda Watte, 8pence for the year, and not more because 4pence is raised from the issue.</t>
        </is>
      </c>
      <c r="I23" s="128" t="n"/>
    </row>
    <row r="24">
      <c r="A24" s="136" t="inlineStr">
        <is>
          <t>Defaults of rent</t>
        </is>
      </c>
      <c r="B24" s="128" t="n">
        <v>0</v>
      </c>
      <c r="C24" s="128" t="n">
        <v>0</v>
      </c>
      <c r="D24" s="128" t="n">
        <v>6</v>
      </c>
      <c r="E24" s="128" t="n"/>
      <c r="F24" s="128" t="n">
        <v>0.03</v>
      </c>
      <c r="G24" s="128" t="n"/>
      <c r="H24" s="128" t="inlineStr">
        <is>
          <t>1.5 plots which belonged to Emma Polayn, 6pence for the year, and not more because 3pence is raised from the issue.</t>
        </is>
      </c>
      <c r="I24" s="128" t="n"/>
    </row>
    <row r="25">
      <c r="A25" s="136" t="inlineStr">
        <is>
          <t>Defaults of rent</t>
        </is>
      </c>
      <c r="B25" s="128" t="n">
        <v>0</v>
      </c>
      <c r="C25" s="128" t="n">
        <v>1</v>
      </c>
      <c r="D25" s="128" t="n">
        <v>6</v>
      </c>
      <c r="E25" s="128" t="n"/>
      <c r="F25" s="128" t="n">
        <v>0.08</v>
      </c>
      <c r="G25" s="128" t="n"/>
      <c r="H25" s="128" t="inlineStr">
        <is>
          <t>3.5 plots which belonged to Richard Mausham, 1 shilling for the year, and not more because 6pence is raised from the issue.</t>
        </is>
      </c>
      <c r="I25" s="128" t="n"/>
    </row>
    <row r="26">
      <c r="A26" s="136" t="inlineStr">
        <is>
          <t>Defaults of rent</t>
        </is>
      </c>
      <c r="B26" s="128" t="n">
        <v>0</v>
      </c>
      <c r="C26" s="128" t="n">
        <v>0</v>
      </c>
      <c r="D26" s="128" t="n">
        <v>4</v>
      </c>
      <c r="E26" s="128" t="n"/>
      <c r="F26" s="128" t="n">
        <v>0.02</v>
      </c>
      <c r="G26" s="128" t="n"/>
      <c r="H26" s="128" t="inlineStr">
        <is>
          <t>1 plot of land which belonged to Richard Fox, 4pence for the year, and not more because 2pence is raised from the issue.</t>
        </is>
      </c>
      <c r="I26" s="128" t="n"/>
    </row>
    <row r="27">
      <c r="A27" s="136" t="inlineStr">
        <is>
          <t>Defaults of rent</t>
        </is>
      </c>
      <c r="B27" s="128" t="n">
        <v>0</v>
      </c>
      <c r="C27" s="128" t="n">
        <v>0</v>
      </c>
      <c r="D27" s="128" t="n">
        <v>4</v>
      </c>
      <c r="E27" s="128" t="n"/>
      <c r="F27" s="128" t="n">
        <v>0.02</v>
      </c>
      <c r="G27" s="128" t="n"/>
      <c r="H27" s="128" t="inlineStr">
        <is>
          <t>1 plot of land which belonged to Robert Sone, 4pence for the year, and not more because 2pence is raised from the issue.</t>
        </is>
      </c>
      <c r="I27" s="128" t="n"/>
    </row>
    <row r="28">
      <c r="A28" s="136" t="inlineStr">
        <is>
          <t>Defaults of rent</t>
        </is>
      </c>
      <c r="B28" s="128" t="n">
        <v>0</v>
      </c>
      <c r="C28" s="128" t="n">
        <v>0</v>
      </c>
      <c r="D28" s="128" t="n">
        <v>4</v>
      </c>
      <c r="E28" s="128" t="n"/>
      <c r="F28" s="128" t="n">
        <v>0.02</v>
      </c>
      <c r="G28" s="128" t="n"/>
      <c r="H28" s="128" t="inlineStr">
        <is>
          <t>1 plot of land which belonged to William Bole, 4pence for the year, and not more because 2pence is raised from the issue.</t>
        </is>
      </c>
      <c r="I28" s="128" t="n"/>
    </row>
    <row r="29">
      <c r="A29" s="136" t="inlineStr">
        <is>
          <t>Defaults of rent</t>
        </is>
      </c>
      <c r="B29" s="128" t="n">
        <v>0</v>
      </c>
      <c r="C29" s="128" t="n">
        <v>0</v>
      </c>
      <c r="D29" s="128" t="n">
        <v>10</v>
      </c>
      <c r="E29" s="128" t="n"/>
      <c r="F29" s="128" t="n">
        <v>0.04</v>
      </c>
      <c r="G29" s="128" t="n"/>
      <c r="H29" s="128" t="inlineStr">
        <is>
          <t>2.5 plots which belonged to William Ropere, 10pence for the year, and not more because 5pence is raised from the issue.</t>
        </is>
      </c>
      <c r="I29" s="128" t="n"/>
    </row>
    <row r="30">
      <c r="A30" s="136" t="inlineStr">
        <is>
          <t>Defaults of rent</t>
        </is>
      </c>
      <c r="B30" s="128" t="n">
        <v>0</v>
      </c>
      <c r="C30" s="128" t="n">
        <v>1</v>
      </c>
      <c r="D30" s="128" t="n">
        <v>4</v>
      </c>
      <c r="E30" s="128" t="n"/>
      <c r="F30" s="128" t="n">
        <v>0.07000000000000001</v>
      </c>
      <c r="G30" s="128" t="n"/>
      <c r="H30" s="128" t="inlineStr">
        <is>
          <t>3 plots of land which belonged to Alice Andevere, 1 shilling 4pence for the year, and not more because 8pence is raised from the issue.</t>
        </is>
      </c>
      <c r="I30" s="128" t="n"/>
    </row>
    <row r="31">
      <c r="A31" s="136" t="inlineStr">
        <is>
          <t>Defaults of rent</t>
        </is>
      </c>
      <c r="B31" s="128" t="n">
        <v>0</v>
      </c>
      <c r="C31" s="128" t="n">
        <v>0</v>
      </c>
      <c r="D31" s="128" t="n">
        <v>4</v>
      </c>
      <c r="E31" s="128" t="n"/>
      <c r="F31" s="128" t="n">
        <v>0.02</v>
      </c>
      <c r="G31" s="128" t="n"/>
      <c r="H31" s="128" t="inlineStr">
        <is>
          <t>1 plot of land which belonged to Bartholomew Tronk' 4pence, and not more because 2pence is raised from the issue.</t>
        </is>
      </c>
      <c r="I31" s="128" t="n"/>
    </row>
    <row r="32">
      <c r="A32" s="136" t="inlineStr">
        <is>
          <t>Defaults of rent</t>
        </is>
      </c>
      <c r="B32" s="128" t="n">
        <v>0</v>
      </c>
      <c r="C32" s="128" t="n">
        <v>0</v>
      </c>
      <c r="D32" s="128" t="n">
        <v>6</v>
      </c>
      <c r="E32" s="128" t="n"/>
      <c r="F32" s="128" t="n">
        <v>0.03</v>
      </c>
      <c r="G32" s="128" t="n"/>
      <c r="H32" s="128" t="inlineStr">
        <is>
          <t>1.5 plots which belonged to William Skynnere 6pence, and not more because 3pence is raised from the issue.</t>
        </is>
      </c>
      <c r="I32" s="128" t="n"/>
    </row>
    <row r="33">
      <c r="A33" s="136" t="inlineStr">
        <is>
          <t>Defaults of rent</t>
        </is>
      </c>
      <c r="B33" s="128" t="n">
        <v>0</v>
      </c>
      <c r="C33" s="128" t="n">
        <v>0</v>
      </c>
      <c r="D33" s="128" t="n">
        <v>1</v>
      </c>
      <c r="E33" s="128" t="n"/>
      <c r="F33" s="128" t="n">
        <v>0</v>
      </c>
      <c r="G33" s="128" t="n"/>
      <c r="H33" s="128" t="inlineStr">
        <is>
          <t>1 plot of land which belonged to Matilda Reel, 1pence for the year.</t>
        </is>
      </c>
      <c r="I33" s="128" t="n"/>
    </row>
    <row r="34">
      <c r="A34" s="136" t="inlineStr">
        <is>
          <t>Defaults of rent</t>
        </is>
      </c>
      <c r="B34" s="128" t="n">
        <v>0</v>
      </c>
      <c r="C34" s="128" t="n">
        <v>1</v>
      </c>
      <c r="D34" s="128" t="n">
        <v>10</v>
      </c>
      <c r="E34" s="128" t="n"/>
      <c r="F34" s="128" t="n">
        <v>0.09</v>
      </c>
      <c r="G34" s="128" t="n"/>
      <c r="H34" s="128" t="inlineStr">
        <is>
          <t>5 plots which belonged to Alice Brekebet', 1 shilling 10pence for the year, and not more because 10pence is raised from the issue.</t>
        </is>
      </c>
      <c r="I34" s="128" t="n"/>
    </row>
    <row r="35">
      <c r="A35" s="136" t="inlineStr">
        <is>
          <t>Defaults of rent</t>
        </is>
      </c>
      <c r="B35" s="128" t="n">
        <v>0</v>
      </c>
      <c r="C35" s="128" t="n">
        <v>0</v>
      </c>
      <c r="D35" s="128" t="n">
        <v>8</v>
      </c>
      <c r="E35" s="128" t="n"/>
      <c r="F35" s="128" t="n">
        <v>0.03</v>
      </c>
      <c r="G35" s="128" t="n"/>
      <c r="H35" s="128" t="inlineStr">
        <is>
          <t>2 plots and the seventh part of 1 plot of land which belonged to Agnes Brekebet, 8pence for the year, and not more because 4pence is raised from the issue.</t>
        </is>
      </c>
      <c r="I35" s="128" t="n"/>
    </row>
    <row r="36">
      <c r="A36" s="136" t="inlineStr">
        <is>
          <t>Defaults of rent</t>
        </is>
      </c>
      <c r="B36" s="128" t="n">
        <v>0</v>
      </c>
      <c r="C36" s="128" t="n">
        <v>1</v>
      </c>
      <c r="D36" s="128" t="n">
        <v>0</v>
      </c>
      <c r="E36" s="128" t="n"/>
      <c r="F36" s="128" t="n">
        <v>0.05</v>
      </c>
      <c r="G36" s="128" t="n"/>
      <c r="H36" s="128" t="inlineStr">
        <is>
          <t>nothing of the 1 shilling for 2 plots of land which belonged to Robert Smyth' for the year because they are let for the said rent.</t>
        </is>
      </c>
      <c r="I36" s="128" t="n"/>
    </row>
    <row r="37">
      <c r="A37" s="136" t="inlineStr">
        <is>
          <t>Defaults of rent</t>
        </is>
      </c>
      <c r="B37" s="128" t="n">
        <v>0</v>
      </c>
      <c r="C37" s="128" t="n">
        <v>0</v>
      </c>
      <c r="D37" s="128" t="n">
        <v>6</v>
      </c>
      <c r="E37" s="128" t="n"/>
      <c r="F37" s="128" t="n">
        <v>0.03</v>
      </c>
      <c r="G37" s="128" t="n"/>
      <c r="H37" s="128" t="inlineStr">
        <is>
          <t>1.5 plots which belonged to John Pewe, 6pence for the year, and not more because 3pence is raised from the issue.</t>
        </is>
      </c>
      <c r="I37" s="128" t="n"/>
    </row>
    <row r="38">
      <c r="A38" s="136" t="inlineStr">
        <is>
          <t>Defaults of rent</t>
        </is>
      </c>
      <c r="B38" s="128" t="n">
        <v>0</v>
      </c>
      <c r="C38" s="128" t="n">
        <v>0</v>
      </c>
      <c r="D38" s="128" t="n">
        <v>2</v>
      </c>
      <c r="E38" s="128" t="n"/>
      <c r="F38" s="128" t="n">
        <v>0.01</v>
      </c>
      <c r="G38" s="128" t="n"/>
      <c r="H38" s="128" t="inlineStr">
        <is>
          <t>1 plot of land which belonged to Robert Carpent', 2pence for the year, and not more because 1pence is raised from the issue.</t>
        </is>
      </c>
      <c r="I38" s="128" t="n"/>
    </row>
    <row r="39">
      <c r="A39" s="136" t="inlineStr">
        <is>
          <t>Defaults of rent</t>
        </is>
      </c>
      <c r="B39" s="128" t="n">
        <v>0</v>
      </c>
      <c r="C39" s="128" t="n">
        <v>0</v>
      </c>
      <c r="D39" s="128" t="n">
        <v>4</v>
      </c>
      <c r="E39" s="128" t="n"/>
      <c r="F39" s="128" t="n">
        <v>0.02</v>
      </c>
      <c r="G39" s="128" t="n"/>
      <c r="H39" s="128" t="inlineStr">
        <is>
          <t>1 plot of land which belonged to William Bouegat, 4pence for the year, and not more because 2pence is raised from the issue.</t>
        </is>
      </c>
      <c r="I39" s="128" t="n"/>
    </row>
    <row r="40">
      <c r="A40" s="136" t="inlineStr">
        <is>
          <t>Defaults of rent</t>
        </is>
      </c>
      <c r="B40" s="128" t="n">
        <v>0</v>
      </c>
      <c r="C40" s="128" t="n">
        <v>0</v>
      </c>
      <c r="D40" s="128" t="n">
        <v>4</v>
      </c>
      <c r="E40" s="128" t="n"/>
      <c r="F40" s="128" t="n">
        <v>0.02</v>
      </c>
      <c r="G40" s="128" t="n"/>
      <c r="H40" s="128" t="inlineStr">
        <is>
          <t>1 plot of land which belonged to John Crest, 4pence for the year, and not more because 2pence is raised from the issue.</t>
        </is>
      </c>
      <c r="I40" s="128" t="n"/>
    </row>
    <row r="41">
      <c r="A41" s="136" t="inlineStr">
        <is>
          <t>Defaults of rent</t>
        </is>
      </c>
      <c r="B41" s="128" t="n">
        <v>0</v>
      </c>
      <c r="C41" s="128" t="n">
        <v>0</v>
      </c>
      <c r="D41" s="128" t="n">
        <v>4</v>
      </c>
      <c r="E41" s="128" t="n"/>
      <c r="F41" s="128" t="n">
        <v>0.02</v>
      </c>
      <c r="G41" s="128" t="n"/>
      <c r="H41" s="128" t="inlineStr">
        <is>
          <t>1 plot of land which belonged to Nicholas Bylde the younger, 4pence for the year, and not more because 2pence is raised from the issue.</t>
        </is>
      </c>
      <c r="I41" s="128" t="n"/>
    </row>
    <row r="42">
      <c r="A42" s="136" t="inlineStr">
        <is>
          <t>Defaults of rent</t>
        </is>
      </c>
      <c r="B42" s="128" t="n">
        <v>0</v>
      </c>
      <c r="C42" s="128" t="n">
        <v>0</v>
      </c>
      <c r="D42" s="128" t="n">
        <v>10</v>
      </c>
      <c r="E42" s="128" t="n"/>
      <c r="F42" s="128" t="n">
        <v>0.04</v>
      </c>
      <c r="G42" s="128" t="n"/>
      <c r="H42" s="128" t="inlineStr">
        <is>
          <t>1.5 plots which belonged to Robert Soutere, 10penceI for the year, and not more because 5pence2 is raised from the issue.</t>
        </is>
      </c>
      <c r="I42" s="128" t="n"/>
    </row>
    <row r="43">
      <c r="A43" s="136" t="inlineStr">
        <is>
          <t>Defaults of rent</t>
        </is>
      </c>
      <c r="B43" s="128" t="n">
        <v>0</v>
      </c>
      <c r="C43" s="128" t="n">
        <v>0</v>
      </c>
      <c r="D43" s="128" t="n">
        <v>4</v>
      </c>
      <c r="E43" s="128" t="n"/>
      <c r="F43" s="128" t="n">
        <v>0.02</v>
      </c>
      <c r="G43" s="128" t="n"/>
      <c r="H43" s="128" t="inlineStr">
        <is>
          <t>1 plot of land which belonged to Emma Blake, 4pence for the year, and not more because 2pence is raised from the issue.</t>
        </is>
      </c>
      <c r="I43" s="128" t="n"/>
    </row>
    <row r="44">
      <c r="A44" s="136" t="inlineStr">
        <is>
          <t>Defaults of rent</t>
        </is>
      </c>
      <c r="B44" s="128" t="n">
        <v>0</v>
      </c>
      <c r="C44" s="128" t="n">
        <v>0</v>
      </c>
      <c r="D44" s="128" t="n">
        <v>4</v>
      </c>
      <c r="E44" s="128" t="n"/>
      <c r="F44" s="128" t="n">
        <v>0.02</v>
      </c>
      <c r="G44" s="128" t="n"/>
      <c r="H44" s="128" t="inlineStr">
        <is>
          <t>1 plot of land which belonged to Peter Pampeloun, 4pence for the year, and not more because 2pence is raised from the issue.</t>
        </is>
      </c>
      <c r="I44" s="128" t="n"/>
    </row>
    <row r="45">
      <c r="A45" s="136" t="inlineStr">
        <is>
          <t>Defaults of rent</t>
        </is>
      </c>
      <c r="B45" s="128" t="n">
        <v>0</v>
      </c>
      <c r="C45" s="128" t="n">
        <v>0</v>
      </c>
      <c r="D45" s="128" t="n">
        <v>2</v>
      </c>
      <c r="E45" s="128" t="n"/>
      <c r="F45" s="128" t="n">
        <v>0.01</v>
      </c>
      <c r="G45" s="128" t="n"/>
      <c r="H45" s="128" t="inlineStr">
        <is>
          <t>1 plot of land which belonged to John Cape, 4d for the year, and not more because 2pence is raised from the issue.</t>
        </is>
      </c>
      <c r="I45" s="128" t="n"/>
    </row>
    <row r="46">
      <c r="A46" s="136" t="inlineStr">
        <is>
          <t>Defaults of rent</t>
        </is>
      </c>
      <c r="B46" s="128" t="n">
        <v>0</v>
      </c>
      <c r="C46" s="128" t="n">
        <v>0</v>
      </c>
      <c r="D46" s="128" t="n">
        <v>6</v>
      </c>
      <c r="E46" s="128" t="n"/>
      <c r="F46" s="128" t="n">
        <v>0.03</v>
      </c>
      <c r="G46" s="128" t="n"/>
      <c r="H46" s="128" t="inlineStr">
        <is>
          <t>1.5 plots and the sixth pan of 1 plot of land which belonged to John Clericus, comforter (comforth'), 6pence, and not more because 3pence is raised from the issue.</t>
        </is>
      </c>
      <c r="I46" s="128" t="n"/>
    </row>
    <row r="47">
      <c r="A47" s="136" t="inlineStr">
        <is>
          <t>Defaults of rent</t>
        </is>
      </c>
      <c r="B47" s="128" t="n">
        <v>0</v>
      </c>
      <c r="C47" s="128" t="n">
        <v>0</v>
      </c>
      <c r="D47" s="128" t="n">
        <v>6</v>
      </c>
      <c r="E47" s="128" t="n"/>
      <c r="F47" s="128" t="n">
        <v>0.03</v>
      </c>
      <c r="G47" s="128" t="n"/>
      <c r="H47" s="128" t="inlineStr">
        <is>
          <t>1.5 plots which belonged to Robert Bylde, 6pence for the year, and not more 3pence is raised from the issue.</t>
        </is>
      </c>
      <c r="I47" s="128" t="n"/>
    </row>
    <row r="48">
      <c r="A48" s="136" t="inlineStr">
        <is>
          <t>Defaults of rent</t>
        </is>
      </c>
      <c r="B48" s="128" t="n">
        <v>0</v>
      </c>
      <c r="C48" s="128" t="n">
        <v>0</v>
      </c>
      <c r="D48" s="128" t="n">
        <v>3</v>
      </c>
      <c r="E48" s="128" t="n"/>
      <c r="F48" s="128" t="n">
        <v>0.01</v>
      </c>
      <c r="G48" s="128" t="n"/>
      <c r="H48" s="128" t="inlineStr">
        <is>
          <t>1 plot and the fourth part of I plot of land which belonged to Richard Thome3, 3pence for the year, and not more because 1.5pence is raised from the issue.</t>
        </is>
      </c>
      <c r="I48" s="128" t="n"/>
    </row>
    <row r="49">
      <c r="A49" s="136" t="inlineStr">
        <is>
          <t>Defaults of rent</t>
        </is>
      </c>
      <c r="B49" s="128" t="n">
        <v>0</v>
      </c>
      <c r="C49" s="128" t="n">
        <v>1</v>
      </c>
      <c r="D49" s="128" t="n">
        <v>3</v>
      </c>
      <c r="E49" s="128" t="n"/>
      <c r="F49" s="128" t="n">
        <v>0.06</v>
      </c>
      <c r="G49" s="128" t="n"/>
      <c r="H49" s="128" t="inlineStr">
        <is>
          <t>2.5 plots which belonged to John Webbe, 1 shilling 3pence for the year, through enemy burnings (Mimic' combustor).</t>
        </is>
      </c>
      <c r="I49" s="128" t="n"/>
    </row>
    <row r="50">
      <c r="A50" s="136" t="inlineStr">
        <is>
          <t>Defaults of rent</t>
        </is>
      </c>
      <c r="B50" s="128" t="n">
        <v>0</v>
      </c>
      <c r="C50" s="128" t="n">
        <v>0</v>
      </c>
      <c r="D50" s="128" t="n">
        <v>4</v>
      </c>
      <c r="E50" s="128" t="n"/>
      <c r="F50" s="128" t="n">
        <v>0.02</v>
      </c>
      <c r="G50" s="128" t="n"/>
      <c r="H50" s="128" t="inlineStr">
        <is>
          <t>1 plot of land which belonged to Walter Page, 4pence for the year, and not more because 2pence is raised from the issue.</t>
        </is>
      </c>
      <c r="I50" s="128" t="n"/>
    </row>
    <row r="51">
      <c r="A51" s="136" t="inlineStr">
        <is>
          <t>Defaults of rent</t>
        </is>
      </c>
      <c r="B51" s="128" t="n">
        <v>1</v>
      </c>
      <c r="C51" s="128" t="n">
        <v>0</v>
      </c>
      <c r="D51" s="128" t="n">
        <v>10</v>
      </c>
      <c r="E51" s="128" t="n"/>
      <c r="F51" s="128" t="n">
        <v>1.04</v>
      </c>
      <c r="G51" s="128" t="n"/>
      <c r="H51" s="128" t="inlineStr">
        <is>
          <t>Total, £1 10pence.</t>
        </is>
      </c>
      <c r="I51" s="128" t="n"/>
    </row>
    <row r="52">
      <c r="A52" s="138" t="inlineStr">
        <is>
          <t>Defaults of rent total</t>
        </is>
      </c>
      <c r="B52" s="139" t="n"/>
      <c r="C52" s="139" t="n"/>
      <c r="D52" s="139" t="n"/>
      <c r="E52" s="139" t="n"/>
      <c r="F52" s="139" t="n">
        <v>1.27</v>
      </c>
      <c r="G52" s="139" t="n">
        <v>0.23</v>
      </c>
      <c r="H52" s="139" t="inlineStr">
        <is>
          <t>Total</t>
        </is>
      </c>
      <c r="I52" s="139" t="n"/>
    </row>
    <row r="53">
      <c r="A53" s="136" t="n"/>
      <c r="B53" s="128" t="n"/>
      <c r="C53" s="128" t="n"/>
      <c r="D53" s="128" t="n"/>
      <c r="E53" s="128" t="n"/>
      <c r="F53" s="128" t="n"/>
      <c r="G53" s="128" t="n"/>
      <c r="H53" s="128" t="n"/>
      <c r="I53" s="128" t="n"/>
    </row>
    <row r="54">
      <c r="A54" s="137" t="inlineStr">
        <is>
          <t>Total of rents remaining clear</t>
        </is>
      </c>
      <c r="B54" s="128" t="n">
        <v>5</v>
      </c>
      <c r="C54" s="128" t="n">
        <v>1</v>
      </c>
      <c r="D54" s="128" t="n">
        <v>10.5</v>
      </c>
      <c r="E54" s="128" t="n"/>
      <c r="F54" s="128" t="n">
        <v>5.09</v>
      </c>
      <c r="G54" s="128" t="n"/>
      <c r="H54" s="128" t="inlineStr">
        <is>
          <t>Total of rents remaining clear, £5 1 shilling 10.5pence.</t>
        </is>
      </c>
      <c r="I54" s="128" t="n"/>
    </row>
    <row r="55">
      <c r="A55" s="138" t="inlineStr">
        <is>
          <t>Total of rents remaining clear total</t>
        </is>
      </c>
      <c r="B55" s="139" t="n"/>
      <c r="C55" s="139" t="n"/>
      <c r="D55" s="139" t="n"/>
      <c r="E55" s="139" t="n"/>
      <c r="F55" s="139" t="n">
        <v>5.09</v>
      </c>
      <c r="G55" s="139" t="n">
        <v>0</v>
      </c>
      <c r="H55" s="139" t="inlineStr">
        <is>
          <t>Total</t>
        </is>
      </c>
      <c r="I55" s="139" t="n"/>
    </row>
    <row r="56">
      <c r="A56" s="136" t="n"/>
      <c r="B56" s="128" t="n"/>
      <c r="C56" s="128" t="n"/>
      <c r="D56" s="128" t="n"/>
      <c r="E56" s="128" t="n"/>
      <c r="F56" s="128" t="n"/>
      <c r="G56" s="128" t="n"/>
      <c r="H56" s="128" t="n"/>
      <c r="I56" s="128" t="n"/>
    </row>
    <row r="57">
      <c r="A57" s="137" t="inlineStr">
        <is>
          <t>Perquisites</t>
        </is>
      </c>
      <c r="B57" s="128" t="n">
        <v>0</v>
      </c>
      <c r="C57" s="128" t="n">
        <v>6</v>
      </c>
      <c r="D57" s="128" t="n">
        <v>10</v>
      </c>
      <c r="E57" s="128" t="n"/>
      <c r="F57" s="128" t="n">
        <v>0.34</v>
      </c>
      <c r="G57" s="128" t="n"/>
      <c r="H57" s="128" t="inlineStr">
        <is>
          <t>And for 6 shilling 10pence from the perquisites of the tourn of Martinmas (11 November).</t>
        </is>
      </c>
      <c r="I57" s="128" t="n"/>
    </row>
    <row r="58">
      <c r="A58" s="136" t="inlineStr">
        <is>
          <t>Perquisites</t>
        </is>
      </c>
      <c r="B58" s="128" t="n">
        <v>0</v>
      </c>
      <c r="C58" s="128" t="n">
        <v>5</v>
      </c>
      <c r="D58" s="128" t="n">
        <v>2</v>
      </c>
      <c r="E58" s="128" t="n"/>
      <c r="F58" s="128" t="n">
        <v>0.26</v>
      </c>
      <c r="G58" s="128" t="n"/>
      <c r="H58" s="128" t="inlineStr">
        <is>
          <t>5 shilling 2pence from the perquisites of the tourn of Hockday (1 April).</t>
        </is>
      </c>
      <c r="I58" s="128" t="n"/>
    </row>
    <row r="59">
      <c r="A59" s="138" t="inlineStr">
        <is>
          <t>Perquisites total</t>
        </is>
      </c>
      <c r="B59" s="139" t="n">
        <v>0</v>
      </c>
      <c r="C59" s="139" t="n">
        <v>12</v>
      </c>
      <c r="D59" s="139" t="n">
        <v>0</v>
      </c>
      <c r="E59" s="139" t="n"/>
      <c r="F59" s="139" t="n">
        <v>0.6</v>
      </c>
      <c r="G59" s="139" t="n">
        <v>0.34</v>
      </c>
      <c r="H59" s="139" t="inlineStr">
        <is>
          <t>Total, 12 shilling.</t>
        </is>
      </c>
      <c r="I59" s="139" t="n"/>
    </row>
    <row r="60">
      <c r="A60" s="38" t="inlineStr">
        <is>
          <t>Total of all receipts recorded in accounts (calculated here)</t>
        </is>
      </c>
      <c r="F60">
        <f>SUMIF(A1:A59,"* total",F1:F59)-SUMIF(A1:A59,"Arrears total",F1:F59)</f>
        <v/>
      </c>
    </row>
    <row r="61">
      <c r="A61" s="38" t="inlineStr">
        <is>
          <t>Total of all receipts (calculated here) incl arrears</t>
        </is>
      </c>
      <c r="F61">
        <f>F60+SUMIF(A1:A59,"Arrears total",F1:F59)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GOSPORT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2" t="n"/>
      <c r="F2" s="133" t="inlineStr">
        <is>
          <t>Total in £</t>
        </is>
      </c>
      <c r="G2" s="134" t="inlineStr">
        <is>
          <t>Error</t>
        </is>
      </c>
      <c r="H2" s="135" t="inlineStr">
        <is>
          <t>Notes</t>
        </is>
      </c>
    </row>
    <row r="3">
      <c r="A3" s="136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7" t="inlineStr">
        <is>
          <t>Cash deliveries</t>
        </is>
      </c>
      <c r="B4" s="128" t="n">
        <v>6</v>
      </c>
      <c r="C4" s="128" t="n">
        <v>3</v>
      </c>
      <c r="D4" s="128" t="n">
        <v>10.5</v>
      </c>
      <c r="E4" s="128" t="n"/>
      <c r="F4" s="128" t="n">
        <v>6.19</v>
      </c>
      <c r="G4" s="128" t="n"/>
      <c r="H4" s="128" t="n"/>
    </row>
    <row r="5">
      <c r="A5" s="138" t="inlineStr">
        <is>
          <t>Cash deliveries total</t>
        </is>
      </c>
      <c r="B5" s="139" t="n"/>
      <c r="C5" s="139" t="n"/>
      <c r="D5" s="139" t="n"/>
      <c r="E5" s="139" t="n"/>
      <c r="F5" s="139" t="n">
        <v>6.19</v>
      </c>
      <c r="G5" s="139" t="n">
        <v>0</v>
      </c>
      <c r="H5" s="13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2026-01-17T10:57:20Z</dcterms:modified>
  <cp:lastModifiedBy>Kowalski, Kuba</cp:lastModifiedBy>
</cp:coreProperties>
</file>
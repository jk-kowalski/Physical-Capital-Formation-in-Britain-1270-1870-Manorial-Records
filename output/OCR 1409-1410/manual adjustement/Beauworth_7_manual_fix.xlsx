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threadedComments/threadedComment1.xml" ContentType="application/vnd.ms-excel.threadedcomments+xml"/>
  <Override PartName="/xl/comments3.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wageningenur4-my.sharepoint.com/personal/kuba_kowalski_wur_nl/Documents/WUR/2024-2025/research_assistant_ox/workfolder/output/OCR 1409-1410/manual adjustement/"/>
    </mc:Choice>
  </mc:AlternateContent>
  <xr:revisionPtr revIDLastSave="48" documentId="11_5EF01219DC015D664E9177EC34EA84E0B46CE9C0" xr6:coauthVersionLast="47" xr6:coauthVersionMax="47" xr10:uidLastSave="{5AFA2C91-0B97-4CC5-854A-74DD336E89C2}"/>
  <bookViews>
    <workbookView xWindow="2160" yWindow="2160" windowWidth="32990" windowHeight="18180" activeTab="1" xr2:uid="{00000000-000D-0000-FFFF-FFFF00000000}"/>
  </bookViews>
  <sheets>
    <sheet name="Overview" sheetId="1" r:id="rId1"/>
    <sheet name="Receipts" sheetId="2" r:id="rId2"/>
    <sheet name="Expenses" sheetId="3" r:id="rId3"/>
    <sheet name="Stock" sheetId="4" r:id="rId4"/>
    <sheet name="raw data" sheetId="5" r:id="rId5"/>
    <sheet name="Stock_raw" sheetId="6" r:id="rId6"/>
    <sheet name="Issues of the Mills" sheetId="7" r:id="rId7"/>
    <sheet name="Prices" sheetId="8" r:id="rId8"/>
    <sheet name="Labour Rents" sheetId="9" r:id="rId9"/>
    <sheet name="not needed" sheetId="10" r:id="rId10"/>
    <sheet name="Issues of the Grange raw" sheetId="11" r:id="rId11"/>
    <sheet name="Issues of the Grange" sheetId="12" r:id="rId12"/>
    <sheet name="Sale of Corn Prices" sheetId="13" r:id="rId1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76" i="2" l="1"/>
  <c r="F73" i="2"/>
  <c r="G73" i="2" s="1"/>
  <c r="M19" i="4"/>
  <c r="T93" i="4"/>
  <c r="S93" i="4"/>
  <c r="T89" i="4"/>
  <c r="S89" i="4"/>
  <c r="T88" i="4"/>
  <c r="S88" i="4"/>
  <c r="T84" i="4"/>
  <c r="S84" i="4"/>
  <c r="T83" i="4"/>
  <c r="S83" i="4"/>
  <c r="T82" i="4"/>
  <c r="S82" i="4"/>
  <c r="T76" i="4"/>
  <c r="S76" i="4"/>
  <c r="T75" i="4"/>
  <c r="T77" i="4" s="1"/>
  <c r="S75" i="4"/>
  <c r="S77" i="4" s="1"/>
  <c r="Q70" i="4"/>
  <c r="F154" i="1" s="1"/>
  <c r="N70" i="4"/>
  <c r="T70" i="4" s="1"/>
  <c r="L70" i="4"/>
  <c r="M70" i="4" s="1"/>
  <c r="Q69" i="4"/>
  <c r="F153" i="1" s="1"/>
  <c r="N69" i="4"/>
  <c r="T69" i="4" s="1"/>
  <c r="L69" i="4"/>
  <c r="M69" i="4" s="1"/>
  <c r="T68" i="4"/>
  <c r="Q68" i="4"/>
  <c r="N68" i="4"/>
  <c r="L68" i="4"/>
  <c r="M68" i="4" s="1"/>
  <c r="Q67" i="4"/>
  <c r="N67" i="4"/>
  <c r="T67" i="4" s="1"/>
  <c r="L67" i="4"/>
  <c r="M67" i="4" s="1"/>
  <c r="T30" i="4"/>
  <c r="N30" i="4"/>
  <c r="L30" i="4"/>
  <c r="F112" i="1" s="1"/>
  <c r="K30" i="4"/>
  <c r="P30" i="4" s="1"/>
  <c r="N29" i="4"/>
  <c r="T29" i="4" s="1"/>
  <c r="L29" i="4"/>
  <c r="C111" i="1" s="1"/>
  <c r="D111" i="1" s="1"/>
  <c r="G111" i="1" s="1"/>
  <c r="K29" i="4"/>
  <c r="P29" i="4" s="1"/>
  <c r="N28" i="4"/>
  <c r="T28" i="4" s="1"/>
  <c r="L28" i="4"/>
  <c r="M28" i="4" s="1"/>
  <c r="S28" i="4" s="1"/>
  <c r="K28" i="4"/>
  <c r="P28" i="4" s="1"/>
  <c r="T27" i="4"/>
  <c r="N27" i="4"/>
  <c r="L27" i="4"/>
  <c r="M27" i="4" s="1"/>
  <c r="S27" i="4" s="1"/>
  <c r="K27" i="4"/>
  <c r="P27" i="4" s="1"/>
  <c r="P26" i="4"/>
  <c r="N26" i="4"/>
  <c r="T26" i="4" s="1"/>
  <c r="L26" i="4"/>
  <c r="M26" i="4" s="1"/>
  <c r="S26" i="4" s="1"/>
  <c r="K26" i="4"/>
  <c r="N25" i="4"/>
  <c r="T25" i="4" s="1"/>
  <c r="M25" i="4"/>
  <c r="S25" i="4" s="1"/>
  <c r="L25" i="4"/>
  <c r="K25" i="4"/>
  <c r="P25" i="4" s="1"/>
  <c r="N24" i="4"/>
  <c r="T24" i="4" s="1"/>
  <c r="L24" i="4"/>
  <c r="M24" i="4" s="1"/>
  <c r="S24" i="4" s="1"/>
  <c r="K24" i="4"/>
  <c r="P24" i="4" s="1"/>
  <c r="P23" i="4"/>
  <c r="N23" i="4"/>
  <c r="T23" i="4" s="1"/>
  <c r="M23" i="4"/>
  <c r="S23" i="4" s="1"/>
  <c r="L23" i="4"/>
  <c r="K23" i="4"/>
  <c r="N22" i="4"/>
  <c r="T22" i="4" s="1"/>
  <c r="L22" i="4"/>
  <c r="C104" i="1" s="1"/>
  <c r="D104" i="1" s="1"/>
  <c r="G104" i="1" s="1"/>
  <c r="K22" i="4"/>
  <c r="P22" i="4" s="1"/>
  <c r="T21" i="4"/>
  <c r="P21" i="4"/>
  <c r="N21" i="4"/>
  <c r="L21" i="4"/>
  <c r="F103" i="1" s="1"/>
  <c r="K21" i="4"/>
  <c r="N20" i="4"/>
  <c r="T20" i="4" s="1"/>
  <c r="L20" i="4"/>
  <c r="F102" i="1" s="1"/>
  <c r="K20" i="4"/>
  <c r="P20" i="4" s="1"/>
  <c r="N19" i="4"/>
  <c r="T19" i="4" s="1"/>
  <c r="L19" i="4"/>
  <c r="F101" i="1" s="1"/>
  <c r="K19" i="4"/>
  <c r="P19" i="4" s="1"/>
  <c r="T18" i="4"/>
  <c r="N18" i="4"/>
  <c r="L18" i="4"/>
  <c r="M18" i="4" s="1"/>
  <c r="S18" i="4" s="1"/>
  <c r="K18" i="4"/>
  <c r="P18" i="4" s="1"/>
  <c r="N17" i="4"/>
  <c r="T17" i="4" s="1"/>
  <c r="L17" i="4"/>
  <c r="M17" i="4" s="1"/>
  <c r="S17" i="4" s="1"/>
  <c r="K17" i="4"/>
  <c r="P17" i="4" s="1"/>
  <c r="N16" i="4"/>
  <c r="T16" i="4" s="1"/>
  <c r="L16" i="4"/>
  <c r="M16" i="4" s="1"/>
  <c r="S16" i="4" s="1"/>
  <c r="K16" i="4"/>
  <c r="P16" i="4" s="1"/>
  <c r="N15" i="4"/>
  <c r="T15" i="4" s="1"/>
  <c r="L15" i="4"/>
  <c r="C97" i="1" s="1"/>
  <c r="D97" i="1" s="1"/>
  <c r="G97" i="1" s="1"/>
  <c r="K15" i="4"/>
  <c r="P15" i="4" s="1"/>
  <c r="P14" i="4"/>
  <c r="N14" i="4"/>
  <c r="T14" i="4" s="1"/>
  <c r="L14" i="4"/>
  <c r="C96" i="1" s="1"/>
  <c r="D96" i="1" s="1"/>
  <c r="G96" i="1" s="1"/>
  <c r="K14" i="4"/>
  <c r="N13" i="4"/>
  <c r="T13" i="4" s="1"/>
  <c r="L13" i="4"/>
  <c r="M13" i="4" s="1"/>
  <c r="S13" i="4" s="1"/>
  <c r="K13" i="4"/>
  <c r="P13" i="4" s="1"/>
  <c r="P12" i="4"/>
  <c r="N12" i="4"/>
  <c r="T12" i="4" s="1"/>
  <c r="L12" i="4"/>
  <c r="M12" i="4" s="1"/>
  <c r="S12" i="4" s="1"/>
  <c r="K12" i="4"/>
  <c r="N11" i="4"/>
  <c r="T11" i="4" s="1"/>
  <c r="L11" i="4"/>
  <c r="F93" i="1" s="1"/>
  <c r="K11" i="4"/>
  <c r="P11" i="4" s="1"/>
  <c r="N10" i="4"/>
  <c r="T10" i="4" s="1"/>
  <c r="L10" i="4"/>
  <c r="C92" i="1" s="1"/>
  <c r="D92" i="1" s="1"/>
  <c r="G92" i="1" s="1"/>
  <c r="K10" i="4"/>
  <c r="P10" i="4" s="1"/>
  <c r="T9" i="4"/>
  <c r="P9" i="4"/>
  <c r="N9" i="4"/>
  <c r="L9" i="4"/>
  <c r="M9" i="4" s="1"/>
  <c r="S9" i="4" s="1"/>
  <c r="K9" i="4"/>
  <c r="N8" i="4"/>
  <c r="T8" i="4" s="1"/>
  <c r="L8" i="4"/>
  <c r="M8" i="4" s="1"/>
  <c r="S8" i="4" s="1"/>
  <c r="K8" i="4"/>
  <c r="P8" i="4" s="1"/>
  <c r="T7" i="4"/>
  <c r="N7" i="4"/>
  <c r="L7" i="4"/>
  <c r="C89" i="1" s="1"/>
  <c r="D89" i="1" s="1"/>
  <c r="G89" i="1" s="1"/>
  <c r="K7" i="4"/>
  <c r="P7" i="4" s="1"/>
  <c r="N6" i="4"/>
  <c r="T6" i="4" s="1"/>
  <c r="L6" i="4"/>
  <c r="F88" i="1" s="1"/>
  <c r="K6" i="4"/>
  <c r="P6" i="4" s="1"/>
  <c r="N5" i="4"/>
  <c r="T5" i="4" s="1"/>
  <c r="L5" i="4"/>
  <c r="F87" i="1" s="1"/>
  <c r="K5" i="4"/>
  <c r="P5" i="4" s="1"/>
  <c r="F46" i="3"/>
  <c r="F45" i="3"/>
  <c r="F75" i="2"/>
  <c r="F76" i="2" s="1"/>
  <c r="B26" i="1" s="1"/>
  <c r="B177" i="1"/>
  <c r="F169" i="1"/>
  <c r="F162" i="1"/>
  <c r="F156" i="1"/>
  <c r="F152" i="1"/>
  <c r="B152" i="1"/>
  <c r="F151" i="1"/>
  <c r="B151" i="1"/>
  <c r="F123" i="1"/>
  <c r="F115" i="1"/>
  <c r="B176" i="1" s="1"/>
  <c r="F109" i="1"/>
  <c r="C109" i="1"/>
  <c r="D109" i="1" s="1"/>
  <c r="G109" i="1" s="1"/>
  <c r="C108" i="1"/>
  <c r="D108" i="1" s="1"/>
  <c r="G108" i="1" s="1"/>
  <c r="F107" i="1"/>
  <c r="C107" i="1"/>
  <c r="D107" i="1" s="1"/>
  <c r="G107" i="1" s="1"/>
  <c r="F106" i="1"/>
  <c r="C106" i="1"/>
  <c r="D106" i="1" s="1"/>
  <c r="G106" i="1" s="1"/>
  <c r="F105" i="1"/>
  <c r="D105" i="1"/>
  <c r="G105" i="1" s="1"/>
  <c r="C105" i="1"/>
  <c r="C103" i="1"/>
  <c r="D103" i="1" s="1"/>
  <c r="G103" i="1" s="1"/>
  <c r="F100" i="1"/>
  <c r="C100" i="1"/>
  <c r="D100" i="1" s="1"/>
  <c r="G100" i="1" s="1"/>
  <c r="F99" i="1"/>
  <c r="C99" i="1"/>
  <c r="D99" i="1" s="1"/>
  <c r="G99" i="1" s="1"/>
  <c r="F98" i="1"/>
  <c r="C98" i="1"/>
  <c r="D98" i="1" s="1"/>
  <c r="G98" i="1" s="1"/>
  <c r="F97" i="1"/>
  <c r="F95" i="1"/>
  <c r="C95" i="1"/>
  <c r="D95" i="1" s="1"/>
  <c r="G95" i="1" s="1"/>
  <c r="F94" i="1"/>
  <c r="F91" i="1"/>
  <c r="C91" i="1"/>
  <c r="D91" i="1" s="1"/>
  <c r="G91" i="1" s="1"/>
  <c r="F90" i="1"/>
  <c r="C90" i="1"/>
  <c r="D90" i="1" s="1"/>
  <c r="G90" i="1" s="1"/>
  <c r="F89" i="1"/>
  <c r="E72" i="1"/>
  <c r="E71" i="1"/>
  <c r="B57" i="1"/>
  <c r="B54" i="1"/>
  <c r="B45" i="1"/>
  <c r="B44" i="1"/>
  <c r="B24" i="1"/>
  <c r="B23" i="1"/>
  <c r="B49" i="1" s="1"/>
  <c r="B25" i="1" l="1"/>
  <c r="C25" i="1" s="1"/>
  <c r="F114" i="1"/>
  <c r="S69" i="4"/>
  <c r="C153" i="1"/>
  <c r="D153" i="1" s="1"/>
  <c r="C154" i="1"/>
  <c r="D154" i="1" s="1"/>
  <c r="S70" i="4"/>
  <c r="C151" i="1"/>
  <c r="S67" i="4"/>
  <c r="D151" i="1"/>
  <c r="C152" i="1"/>
  <c r="D152" i="1" s="1"/>
  <c r="S68" i="4"/>
  <c r="F155" i="1"/>
  <c r="B175" i="1" s="1"/>
  <c r="M5" i="4"/>
  <c r="S5" i="4" s="1"/>
  <c r="S19" i="4"/>
  <c r="M6" i="4"/>
  <c r="S6" i="4" s="1"/>
  <c r="M20" i="4"/>
  <c r="S20" i="4" s="1"/>
  <c r="M11" i="4"/>
  <c r="S11" i="4" s="1"/>
  <c r="F92" i="1"/>
  <c r="F113" i="1" s="1"/>
  <c r="F108" i="1"/>
  <c r="C93" i="1"/>
  <c r="D93" i="1" s="1"/>
  <c r="G93" i="1" s="1"/>
  <c r="C101" i="1"/>
  <c r="D101" i="1" s="1"/>
  <c r="G101" i="1" s="1"/>
  <c r="M7" i="4"/>
  <c r="S7" i="4" s="1"/>
  <c r="M30" i="4"/>
  <c r="S30" i="4" s="1"/>
  <c r="M21" i="4"/>
  <c r="S21" i="4" s="1"/>
  <c r="C94" i="1"/>
  <c r="D94" i="1" s="1"/>
  <c r="G94" i="1" s="1"/>
  <c r="C102" i="1"/>
  <c r="D102" i="1" s="1"/>
  <c r="G102" i="1" s="1"/>
  <c r="C110" i="1"/>
  <c r="D110" i="1" s="1"/>
  <c r="G110" i="1" s="1"/>
  <c r="M10" i="4"/>
  <c r="S10" i="4" s="1"/>
  <c r="M29" i="4"/>
  <c r="S29" i="4" s="1"/>
  <c r="M22" i="4"/>
  <c r="S22" i="4" s="1"/>
  <c r="M14" i="4"/>
  <c r="S14" i="4" s="1"/>
  <c r="F110" i="1"/>
  <c r="C87" i="1"/>
  <c r="D87" i="1" s="1"/>
  <c r="G87" i="1" s="1"/>
  <c r="F111" i="1"/>
  <c r="C88" i="1"/>
  <c r="D88" i="1" s="1"/>
  <c r="G88" i="1" s="1"/>
  <c r="C112" i="1"/>
  <c r="D112" i="1" s="1"/>
  <c r="G112" i="1" s="1"/>
  <c r="F96" i="1"/>
  <c r="F104" i="1"/>
  <c r="M15" i="4"/>
  <c r="S15" i="4" s="1"/>
  <c r="B178" i="1" l="1"/>
  <c r="B181" i="1" s="1"/>
  <c r="B180" i="1"/>
  <c r="G11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Victoria Gierok</author>
  </authors>
  <commentList>
    <comment ref="F86" authorId="0" shapeId="0" xr:uid="{00000000-0006-0000-0000-000001000000}">
      <text>
        <r>
          <rPr>
            <sz val="11"/>
            <color theme="1"/>
            <rFont val="Calibri"/>
            <family val="2"/>
            <scheme val="minor"/>
          </rPr>
          <t>Victoria Gierok:
valued at sales prices where available</t>
        </r>
      </text>
    </comment>
    <comment ref="F117" authorId="0" shapeId="0" xr:uid="{00000000-0006-0000-0000-000002000000}">
      <text>
        <r>
          <rPr>
            <sz val="11"/>
            <color theme="1"/>
            <rFont val="Calibri"/>
            <family val="2"/>
            <scheme val="minor"/>
          </rPr>
          <t>Victoria Gierok:
valued at sales prices where available</t>
        </r>
      </text>
    </comment>
    <comment ref="F126" authorId="0" shapeId="0" xr:uid="{00000000-0006-0000-0000-000003000000}">
      <text>
        <r>
          <rPr>
            <sz val="11"/>
            <color theme="1"/>
            <rFont val="Calibri"/>
            <family val="2"/>
            <scheme val="minor"/>
          </rPr>
          <t>Victoria Gierok:
valued at sales prices where available</t>
        </r>
      </text>
    </comment>
    <comment ref="F150" authorId="0" shapeId="0" xr:uid="{00000000-0006-0000-0000-000004000000}">
      <text>
        <r>
          <rPr>
            <sz val="11"/>
            <color theme="1"/>
            <rFont val="Calibri"/>
            <family val="2"/>
            <scheme val="minor"/>
          </rPr>
          <t>Victoria Gierok:
valued at sales prices where available</t>
        </r>
      </text>
    </comment>
    <comment ref="F158" authorId="0" shapeId="0" xr:uid="{00000000-0006-0000-0000-000005000000}">
      <text>
        <r>
          <rPr>
            <sz val="11"/>
            <color theme="1"/>
            <rFont val="Calibri"/>
            <family val="2"/>
            <scheme val="minor"/>
          </rPr>
          <t>Victoria Gierok:
valued at sales prices where available</t>
        </r>
      </text>
    </comment>
    <comment ref="F165" authorId="0" shapeId="0" xr:uid="{00000000-0006-0000-0000-000006000000}">
      <text>
        <r>
          <rPr>
            <sz val="11"/>
            <color theme="1"/>
            <rFont val="Calibri"/>
            <family val="2"/>
            <scheme val="minor"/>
          </rPr>
          <t>Victoria Gierok:
valued at sales prices where available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tc={027F74E2-F5E7-44A1-9326-8806B57E49F6}</author>
    <author>tc={0FEFA3C5-06D8-4A5C-B828-711B0B03AE75}</author>
  </authors>
  <commentList>
    <comment ref="I10" authorId="0" shapeId="0" xr:uid="{027F74E2-F5E7-44A1-9326-8806B57E49F6}">
      <text>
        <t>[Threaded comment]
Your version of Excel allows you to read this threaded comment; however, any edits to it will get removed if the file is opened in a newer version of Excel. Learn more: https://go.microsoft.com/fwlink/?linkid=870924
Comment:
    New tool, not maintenance</t>
      </text>
    </comment>
    <comment ref="J10" authorId="1" shapeId="0" xr:uid="{0FEFA3C5-06D8-4A5C-B828-711B0B03AE75}">
      <text>
        <t>[Threaded comment]
Your version of Excel allows you to read this threaded comment; however, any edits to it will get removed if the file is opened in a newer version of Excel. Learn more: https://go.microsoft.com/fwlink/?linkid=870924
Comment:
    New tool, presumed for demesne use</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Victoria Gierok</author>
    <author>tc={C30107AC-D04F-4B28-9A8D-ABFAADF410D9}</author>
    <author>tc={8FA1BC74-337F-4483-AF18-37D7125D8C23}</author>
  </authors>
  <commentList>
    <comment ref="D4" authorId="0" shapeId="0" xr:uid="{00000000-0006-0000-0300-000001000000}">
      <text>
        <r>
          <rPr>
            <sz val="11"/>
            <color theme="1"/>
            <rFont val="Calibri"/>
            <family val="2"/>
            <scheme val="minor"/>
          </rPr>
          <t>Victoria Gierok:
strays that the seem to have added to their own stock?</t>
        </r>
      </text>
    </comment>
    <comment ref="E4" authorId="0" shapeId="0" xr:uid="{00000000-0006-0000-0300-000002000000}">
      <text>
        <r>
          <rPr>
            <sz val="11"/>
            <color theme="1"/>
            <rFont val="Calibri"/>
            <family val="2"/>
            <scheme val="minor"/>
          </rPr>
          <t>Victoria Gierok:
herbage = a type of customary payment to the lord; hence an addition to the stock</t>
        </r>
      </text>
    </comment>
    <comment ref="O7" authorId="1" shapeId="0" xr:uid="{C30107AC-D04F-4B28-9A8D-ABFAADF410D9}">
      <text>
        <t>[Threaded comment]
Your version of Excel allows you to read this threaded comment; however, any edits to it will get removed if the file is opened in a newer version of Excel. Learn more: https://go.microsoft.com/fwlink/?linkid=870924
Comment:
    Lack of purchase price</t>
      </text>
    </comment>
    <comment ref="O22" authorId="2" shapeId="0" xr:uid="{8FA1BC74-337F-4483-AF18-37D7125D8C23}">
      <text>
        <t>[Threaded comment]
Your version of Excel allows you to read this threaded comment; however, any edits to it will get removed if the file is opened in a newer version of Excel. Learn more: https://go.microsoft.com/fwlink/?linkid=870924
Comment:
    Found unit price in raw_data, 1s 8p</t>
      </text>
    </comment>
  </commentList>
</comments>
</file>

<file path=xl/sharedStrings.xml><?xml version="1.0" encoding="utf-8"?>
<sst xmlns="http://schemas.openxmlformats.org/spreadsheetml/2006/main" count="1376" uniqueCount="690">
  <si>
    <t>BEAUWORTH OVERVIEW - COMPLETED</t>
  </si>
  <si>
    <t>Total in £</t>
  </si>
  <si>
    <t>Error</t>
  </si>
  <si>
    <t>Note</t>
  </si>
  <si>
    <t>CASH ACCOUNT</t>
  </si>
  <si>
    <t>RECEIPTS</t>
  </si>
  <si>
    <t>Arrears total</t>
  </si>
  <si>
    <t>Rents of assize total</t>
  </si>
  <si>
    <t>Quittances total</t>
  </si>
  <si>
    <t>Defaults of rent total</t>
  </si>
  <si>
    <t>Defaults of rent through the pestilence total</t>
  </si>
  <si>
    <t>Cotlands defaults total</t>
  </si>
  <si>
    <t>Cotlands total</t>
  </si>
  <si>
    <t>Total of quittances and defaults of rent total</t>
  </si>
  <si>
    <t>Total of rents remaining clear total</t>
  </si>
  <si>
    <t>Farms total</t>
  </si>
  <si>
    <t>Annual recognizances total</t>
  </si>
  <si>
    <t>Issues of the Manor total</t>
  </si>
  <si>
    <t>Issues of the tenements in the lord's hands total</t>
  </si>
  <si>
    <t>Sale of labour services total</t>
  </si>
  <si>
    <t>Sale of corn total</t>
  </si>
  <si>
    <t>Entry and marriage fines total</t>
  </si>
  <si>
    <t>Pleas &amp; perquisites total</t>
  </si>
  <si>
    <t>Forfeited chattels total</t>
  </si>
  <si>
    <t>Farm of the demesne land total</t>
  </si>
  <si>
    <t>Total of all receipts (calculated here)</t>
  </si>
  <si>
    <t>Total of all receipts (calculated here) incl arrears</t>
  </si>
  <si>
    <t>Total recorded in the accounts excl. arrears</t>
  </si>
  <si>
    <t>Total recorded in the accounts incl. arrears</t>
  </si>
  <si>
    <t>EXPENSES</t>
  </si>
  <si>
    <t>Cost of ploughs total</t>
  </si>
  <si>
    <t>Purchase of corn total</t>
  </si>
  <si>
    <t>Cost of carts and wagons total</t>
  </si>
  <si>
    <t>Cost of dairy total</t>
  </si>
  <si>
    <t>Purchase of stock total</t>
  </si>
  <si>
    <t>Sheepcote total</t>
  </si>
  <si>
    <t>Cost of buildings total</t>
  </si>
  <si>
    <t>Threshing total</t>
  </si>
  <si>
    <t>Barley expenses</t>
  </si>
  <si>
    <t>Expenses of the harvest total</t>
  </si>
  <si>
    <t>Necessary expenses</t>
  </si>
  <si>
    <t>Wages of the bailiff</t>
  </si>
  <si>
    <t>Steward's expenses total</t>
  </si>
  <si>
    <t>Annual fees</t>
  </si>
  <si>
    <t>Total of all expenses per account</t>
  </si>
  <si>
    <t>Total of all expenses (calculated here)</t>
  </si>
  <si>
    <t>Total fixed investment</t>
  </si>
  <si>
    <t>Total Demesne fixed investment</t>
  </si>
  <si>
    <t>Owed by the reeve</t>
  </si>
  <si>
    <t>From accounts</t>
  </si>
  <si>
    <t>Allowances</t>
  </si>
  <si>
    <t>Cash deliveries</t>
  </si>
  <si>
    <t>Sum of the above</t>
  </si>
  <si>
    <t>Total of all allowances and cash deliveries in accounts</t>
  </si>
  <si>
    <t>Net amount owed</t>
  </si>
  <si>
    <t>Net amount owed in accounts</t>
  </si>
  <si>
    <t xml:space="preserve">GRANGE ACCOUNT </t>
  </si>
  <si>
    <t>Total Production</t>
  </si>
  <si>
    <t>Value of total gross production in £</t>
  </si>
  <si>
    <t>Value of total net production in £</t>
  </si>
  <si>
    <t>Grange</t>
  </si>
  <si>
    <t>qrs</t>
  </si>
  <si>
    <t>bus</t>
  </si>
  <si>
    <t>Wheat</t>
  </si>
  <si>
    <t>Rye</t>
  </si>
  <si>
    <t>Dredge</t>
  </si>
  <si>
    <t>Curall</t>
  </si>
  <si>
    <t>Barley</t>
  </si>
  <si>
    <t>Oats</t>
  </si>
  <si>
    <t>Beans</t>
  </si>
  <si>
    <t>Peas</t>
  </si>
  <si>
    <t>Vetches</t>
  </si>
  <si>
    <t>Total value of gross production (sum of the above)</t>
  </si>
  <si>
    <t>Total value of net production</t>
  </si>
  <si>
    <t>Value of sales</t>
  </si>
  <si>
    <t>MILL ACCOUNT</t>
  </si>
  <si>
    <t>Issues of the mill</t>
  </si>
  <si>
    <t>Oatmeal</t>
  </si>
  <si>
    <t>1st grade malt</t>
  </si>
  <si>
    <t>2nd grade malt</t>
  </si>
  <si>
    <t>Maslin</t>
  </si>
  <si>
    <t>Total value of production (sum of the above)</t>
  </si>
  <si>
    <t>STOCK ACCOUNT</t>
  </si>
  <si>
    <t>Livestock</t>
  </si>
  <si>
    <t>Begin stock</t>
  </si>
  <si>
    <t>End stock</t>
  </si>
  <si>
    <t>Stockbuilding</t>
  </si>
  <si>
    <t>Value of stock in £</t>
  </si>
  <si>
    <t>Value of stockbuilding</t>
  </si>
  <si>
    <t>Cart-horses</t>
  </si>
  <si>
    <t>Mares</t>
  </si>
  <si>
    <t>Plough horses</t>
  </si>
  <si>
    <t>Colts (2 years)</t>
  </si>
  <si>
    <t>Colts (1 year)</t>
  </si>
  <si>
    <t>Foals</t>
  </si>
  <si>
    <t>Oxen</t>
  </si>
  <si>
    <t>Bulls</t>
  </si>
  <si>
    <t>Cows</t>
  </si>
  <si>
    <t>Steers</t>
  </si>
  <si>
    <t>Bullocks</t>
  </si>
  <si>
    <t>Yearlings</t>
  </si>
  <si>
    <t>Calves</t>
  </si>
  <si>
    <t>Wethers</t>
  </si>
  <si>
    <t>Rams</t>
  </si>
  <si>
    <t>Ewes</t>
  </si>
  <si>
    <t>Hoggs</t>
  </si>
  <si>
    <t>Lambs</t>
  </si>
  <si>
    <t>Boars</t>
  </si>
  <si>
    <t>Sows</t>
  </si>
  <si>
    <t>Pigs</t>
  </si>
  <si>
    <t>Hoggets</t>
  </si>
  <si>
    <t>Piglets</t>
  </si>
  <si>
    <t>Swans</t>
  </si>
  <si>
    <t>Peacocks</t>
  </si>
  <si>
    <t>Total value of stock (sum of the above)</t>
  </si>
  <si>
    <t>Total value of production</t>
  </si>
  <si>
    <t>Wool</t>
  </si>
  <si>
    <t>Fleeces</t>
  </si>
  <si>
    <t>Coarse wool</t>
  </si>
  <si>
    <t>Lamb's wool</t>
  </si>
  <si>
    <t>Wool locks</t>
  </si>
  <si>
    <t>Wool sold at shearing</t>
  </si>
  <si>
    <t>Hides</t>
  </si>
  <si>
    <t>Ox hides</t>
  </si>
  <si>
    <t>Cow hides</t>
  </si>
  <si>
    <t>Mare hides</t>
  </si>
  <si>
    <t>Steer hides</t>
  </si>
  <si>
    <t>Yearling Calf hides</t>
  </si>
  <si>
    <t>Calf hides</t>
  </si>
  <si>
    <t>Pig hides</t>
  </si>
  <si>
    <t>Wether woolskins</t>
  </si>
  <si>
    <t>Ram woolskins</t>
  </si>
  <si>
    <t>Ewe woolskins</t>
  </si>
  <si>
    <t>Hogg woolskins</t>
  </si>
  <si>
    <t>Woolskins (total)</t>
  </si>
  <si>
    <t>Wether bareskins</t>
  </si>
  <si>
    <t>Ram bareskins</t>
  </si>
  <si>
    <t>Ewe bareskins</t>
  </si>
  <si>
    <t>Hogg bareskins</t>
  </si>
  <si>
    <t>Bareskins (total)</t>
  </si>
  <si>
    <t>Lambskins</t>
  </si>
  <si>
    <t>Rotted skins</t>
  </si>
  <si>
    <t>Shorn skins</t>
  </si>
  <si>
    <t>Poultry stock</t>
  </si>
  <si>
    <t>Hens</t>
  </si>
  <si>
    <t>Geese</t>
  </si>
  <si>
    <t>Capons (from chickens)</t>
  </si>
  <si>
    <t>Cocks &amp; hens</t>
  </si>
  <si>
    <t>Poultry production</t>
  </si>
  <si>
    <t>Eggs</t>
  </si>
  <si>
    <t>Cocks &amp; hens from churchscot of customary tenants</t>
  </si>
  <si>
    <t>Sum of above</t>
  </si>
  <si>
    <t>Total value of stock</t>
  </si>
  <si>
    <t>Dairy Production</t>
  </si>
  <si>
    <t>Butter</t>
  </si>
  <si>
    <t>Winter Cheese</t>
  </si>
  <si>
    <t>Summer Cheese</t>
  </si>
  <si>
    <t>Total Production Value of all Output (Grange, Dairy, Livestock Sales, Wools, Skins - NO Mill)</t>
  </si>
  <si>
    <t>Total Sales Value of all Output as defined above</t>
  </si>
  <si>
    <t>Total Sales of Corn + Issues of the Manor as recorded in account</t>
  </si>
  <si>
    <t>Production Value + Cash Receipts (excl. Arrears, Issues, Corn and Mill)</t>
  </si>
  <si>
    <t>% of capital expenses in terms of total production</t>
  </si>
  <si>
    <t>% of capital expenses in terms of total production + cash receipts</t>
  </si>
  <si>
    <t>% of capital expenses as calculated previously</t>
  </si>
  <si>
    <t>n/a</t>
  </si>
  <si>
    <t>BEAUWORTH RECEIPTS</t>
  </si>
  <si>
    <t>Heading</t>
  </si>
  <si>
    <t>£</t>
  </si>
  <si>
    <t>s</t>
  </si>
  <si>
    <t>d</t>
  </si>
  <si>
    <t>Notes</t>
  </si>
  <si>
    <t>Own notes</t>
  </si>
  <si>
    <t>Arrears</t>
  </si>
  <si>
    <t>The same answers for 9 shilling of arrears from his last account of the preceding year.</t>
  </si>
  <si>
    <t>Total, 9 shilling.</t>
  </si>
  <si>
    <t>Total</t>
  </si>
  <si>
    <t>Rents of assize</t>
  </si>
  <si>
    <t>And for £5 16 shilling 10pence for all rents of assize for the year and all paid at Michaelmas (29 September).</t>
  </si>
  <si>
    <t>Total, £5 16 shilling 10pence.</t>
  </si>
  <si>
    <t>Quittances</t>
  </si>
  <si>
    <t>In quittance of rent of 1 reeve for the year 5 shilling.</t>
  </si>
  <si>
    <t>1 shepherd for the year, nothing, because.</t>
  </si>
  <si>
    <t>he has the lord's livery as made clear elsewhere.</t>
  </si>
  <si>
    <t>Total, 5 shilling.</t>
  </si>
  <si>
    <t>Defaults of rent</t>
  </si>
  <si>
    <t>In default of 1 virgate of land which belonged to Richard Gilberd' drawn into demesne, 2 shilling 6pence for the year.</t>
  </si>
  <si>
    <t>1 cotland of John Persones in the lord's hands through the death of the same 2 shilling.</t>
  </si>
  <si>
    <t>1 cotland of Edwin Walys for the same 2 shilling 1pence.</t>
  </si>
  <si>
    <t>4.5 acres of purpresture which belonged to Richard Amfrith for the same 2 shilling 3pence.</t>
  </si>
  <si>
    <t>9 acres of land of various tenants in the common field for the same 2 shilling 0.75pence.</t>
  </si>
  <si>
    <t>1 cotland of Alice Amfrith' for the same 2 shilling.</t>
  </si>
  <si>
    <t>1 half-virgate of land of John Walys in the lord's hands because the said John abandoned it and refused to hold it any longer 2 shilling.</t>
  </si>
  <si>
    <t>Total, 14 shilling 10.25pence.</t>
  </si>
  <si>
    <t>Total of quittances and defaults of rent</t>
  </si>
  <si>
    <t>Total of quittances and defaults of rent, 19 shilling 10.75pence.</t>
  </si>
  <si>
    <t>Total of rents remaining clear</t>
  </si>
  <si>
    <t>Total of rents remaining clear, £4 16 shilling 11.25pence.</t>
  </si>
  <si>
    <t>Issues of the manor</t>
  </si>
  <si>
    <t>And for 5 shilling 2pence from the pannage of the pigs of the customary tenants at Martinmas, at 1pence a pig over a year old, and 0.5pence for a weaned piglet.</t>
  </si>
  <si>
    <t>2 shilling from the skins sold of 8 wethers in murrain before shearing, at 3pence a skin.</t>
  </si>
  <si>
    <t>11pence from the skins sold of 11 wethers in murrain after shearing.</t>
  </si>
  <si>
    <t>nothing from the pinfold of the ewes this year because there was none.</t>
  </si>
  <si>
    <t>3 shilling from the pasturage of the meadow below St Catherine's Hill sold, and not more from a want of buyers.</t>
  </si>
  <si>
    <t>nothing from the pasturage in Nedon', Aldebury and Herialk' or from the pasturage around the strips (rencas) in Estdoune because it was for the lord's cattle.</t>
  </si>
  <si>
    <t>nothing from the sale of scrags or underwood in Aldebury because there was none.</t>
  </si>
  <si>
    <t>nothing from underwood or oak saplings in Westewode this year.</t>
  </si>
  <si>
    <t>nothing from the agistment of plough-horses in the lord's wood this year.</t>
  </si>
  <si>
    <t>2 shilling from 12 cocks and hens sold.</t>
  </si>
  <si>
    <t>nothing from oak scrags or underwood in Holmeswode this year.</t>
  </si>
  <si>
    <t>Total, 13 shilling 1pence.</t>
  </si>
  <si>
    <t>Issues of the manor total</t>
  </si>
  <si>
    <t>Sale of corn</t>
  </si>
  <si>
    <t>And for £8 6 shilling 9pence from 16 quarters 7 bushels of wheat sold, of which 1 qr sold to the lord's household for 8 shilling, and 15 quarters 7 bushels per mutuum, at 10 shilling a qr.</t>
  </si>
  <si>
    <t>13 shilling 1.5pence from 2 quarters 1.5 bushels of barley sold, at 6 shilling a qr.</t>
  </si>
  <si>
    <t>£1 8 shilling 4pence from 8 quarters 4 bushels of oats sold, at 3 shilling 4pence a qr.</t>
  </si>
  <si>
    <t>Total, £10 8 shilling 2.5pence.</t>
  </si>
  <si>
    <t>Sale of stock</t>
  </si>
  <si>
    <t>And for 16 shilling from 2 cows from a heriot sold.</t>
  </si>
  <si>
    <t>14 shilling from 12 kebb wethers sold to the lord's household before shearing.</t>
  </si>
  <si>
    <t>17 shilling 6pence from 15 kebb wethers sold to the same household after shearing, at 1 shilling 2pence each.</t>
  </si>
  <si>
    <t>18 shilling from 9 hoggets sold.</t>
  </si>
  <si>
    <t>5 shilling from 5 piglets sold.</t>
  </si>
  <si>
    <t>Total, £3 10 shilling 6pence.</t>
  </si>
  <si>
    <t>Sale of stock total</t>
  </si>
  <si>
    <t>Entry and marriage fines</t>
  </si>
  <si>
    <t>And for 4 shilling from tithingpenny at the tourns of Martinmas and Hockday.</t>
  </si>
  <si>
    <t>£1 10 shilling from John Martyn to have 1 messuage and 1 virgate of villein land, 4 acres of purpresture and 1 toft and 1 virgate of villein land in Beauworth which belonged to John Gibbes and for which John Godefrey, kinsman of the said John Gybbes, remised and released entirely to the aforesaid John Martyn all his right and claim which he had in the same for himself and his heirs.</t>
  </si>
  <si>
    <t>3 shilling 4pence from Stephen Aleyn the younger to have 1 messuage and 1 virgate of villein land in Beauworth which belonged to Richard Rydyng' and which the same Richard forfeited on account of laying waste and destroying the same.</t>
  </si>
  <si>
    <t>1 shilling from Nicholas Basset and Agnes his wife to have 1 cottage with a curtilage, 6 perches long and 3 perches wide, which belonged to Richard Jacob, father of the aforesaid Alice.</t>
  </si>
  <si>
    <t>Total, £1 18 shilling 4pence.</t>
  </si>
  <si>
    <t>Perquisites</t>
  </si>
  <si>
    <t>And for 3pence from the perquisites of the tourn of Martinmas (11 November).</t>
  </si>
  <si>
    <t>3 shilling 2pence from the perquisites of the courts held by the bailiff after the said tourn of Martinmas.</t>
  </si>
  <si>
    <t>' nothing from the perquisites of the tourn of Hockday (1 April).</t>
  </si>
  <si>
    <t>4 shilling 4pence from the perquisites of the courts held after the said tourn of Hockday.</t>
  </si>
  <si>
    <t>Perquisites total</t>
  </si>
  <si>
    <t>Total, 7 shilling 9pence.</t>
  </si>
  <si>
    <t>Total of all receipts recorded in accounts (calculated here)</t>
  </si>
  <si>
    <t>BEAUWORTH EXPENSES</t>
  </si>
  <si>
    <t>Sentence</t>
  </si>
  <si>
    <t>Fixed Investments</t>
  </si>
  <si>
    <t>Demesne Fixed Investments</t>
  </si>
  <si>
    <t>Cost of ploughs</t>
  </si>
  <si>
    <t>In iron and steel bought for the ironwork of 1 plough with the stipend of the smith for the year 6 shilling 6pence.</t>
  </si>
  <si>
    <t>fitting the plough with share-beams and mould-boards 6pence.</t>
  </si>
  <si>
    <t>1 plough foot with nails bought for the same 7pence.</t>
  </si>
  <si>
    <t>shoeing 5 oxen and fastening them again 1 shilling 3pence.</t>
  </si>
  <si>
    <t>1 new plough made 6pence.</t>
  </si>
  <si>
    <t>fitting the same with old tyres with nails again bought for the same 2pence.</t>
  </si>
  <si>
    <t>1 pair of wheels bought for the plough 8pence.</t>
  </si>
  <si>
    <t>mending the harrows 6pence.</t>
  </si>
  <si>
    <t>customary payment to 4 customary tenants ploughing 4 acres at the winter sowing and 4 acres at the Lenten sowing 1 shilling 4pence.</t>
  </si>
  <si>
    <t>stipend of 2 ploughmen for the year 8 shilling.</t>
  </si>
  <si>
    <t>2 yokes made 2pence.</t>
  </si>
  <si>
    <t>Total, £1 2pence.</t>
  </si>
  <si>
    <t>Threshing and winnowing</t>
  </si>
  <si>
    <t>In threshing 23 quarters 7 bushels of wheat, 2 quarters of curall and 4 bushels of pulses by piece-work 6 shilling 7.25pence, at 3pence a qr.</t>
  </si>
  <si>
    <t>threshing 23 quarters 4 bushels of barley by piece-work 3 shilling 11pence, at 2pence a qr.</t>
  </si>
  <si>
    <t>threshing 20 quarters 4 bushels of oats by piece-work 2 shilling 6.75pence, at 1.5pence a qr.</t>
  </si>
  <si>
    <t>winnowing all the aforesaid corn by piece-work, that is, 70 quarters 3 bushels of various kinds of corn, 1 shilling 11.25pence, at 1pence per 3 quarters.</t>
  </si>
  <si>
    <t>Total, 15 shilling 0.25pence.</t>
  </si>
  <si>
    <t>Threshing and winnowing total</t>
  </si>
  <si>
    <t>Cost of the harvest</t>
  </si>
  <si>
    <t>In bread bought for 8 harvest boon-works of 248 men with the reeve who reaped, bound and carried 28 acres of wheat, 15.5 acres of barley, 4 acres of pulses and 17 acres of oats, 10 shilling 4pence, or 0.5pence of bread each.</t>
  </si>
  <si>
    <t>992 herrings bought for the same 9 shilling 11.5pence, at 1 shilling a 100, and thus each reaper had 4 herrings.</t>
  </si>
  <si>
    <t>stipend of 1 reap-reeve who supervised the reapers at harvest-time 2 shilling.</t>
  </si>
  <si>
    <t>Total, £1 2 shilling 3.5pence.</t>
  </si>
  <si>
    <t>Cost of the harvest total</t>
  </si>
  <si>
    <t>Total of all expenses</t>
  </si>
  <si>
    <t>Total of all expenses, £12 1 shilling 3.5pence1.</t>
  </si>
  <si>
    <t>And he owes</t>
  </si>
  <si>
    <t>And he owes, £14 9 shilling 6pence.</t>
  </si>
  <si>
    <t>And he owes total</t>
  </si>
  <si>
    <t>And he owes, 2 shilling 4pence, all of which is in the hands of the escheator.</t>
  </si>
  <si>
    <t>Delivered to John Arnold', receiver of Wolvesey, by 1 tally, £11..</t>
  </si>
  <si>
    <t>Total, £11..</t>
  </si>
  <si>
    <t>Cash deliveries total</t>
  </si>
  <si>
    <t>Total of all allowances and cash deliveries</t>
  </si>
  <si>
    <t>Total of all allowances and cash deliveries, £14 7 shilling 2pence.</t>
  </si>
  <si>
    <t>Total of all allowances and cash deliveries total</t>
  </si>
  <si>
    <t>BEAUWORTH STOCK ACCOUNT</t>
  </si>
  <si>
    <t>added</t>
  </si>
  <si>
    <t>subtracted</t>
  </si>
  <si>
    <t>Inherited stock</t>
  </si>
  <si>
    <t>strays</t>
  </si>
  <si>
    <t>herbage</t>
  </si>
  <si>
    <t>churchscot</t>
  </si>
  <si>
    <t>of which in default</t>
  </si>
  <si>
    <t>sold</t>
  </si>
  <si>
    <t>in murrain</t>
  </si>
  <si>
    <t>accounted for elsewhere</t>
  </si>
  <si>
    <t>End-period  stock</t>
  </si>
  <si>
    <t>cross-check</t>
  </si>
  <si>
    <t>stock building</t>
  </si>
  <si>
    <t>raw production</t>
  </si>
  <si>
    <t>Unit price (£)</t>
  </si>
  <si>
    <t>Value of stock  (£) at given value</t>
  </si>
  <si>
    <t>Value of stock  (£) at sales prices</t>
  </si>
  <si>
    <t>Sales in (£)</t>
  </si>
  <si>
    <t>Value of stock building (£)</t>
  </si>
  <si>
    <t>Value of production (£) at sales prices</t>
  </si>
  <si>
    <t>Details</t>
  </si>
  <si>
    <t>Colts (unspecified years)</t>
  </si>
  <si>
    <t>Total Value</t>
  </si>
  <si>
    <t>Total wool</t>
  </si>
  <si>
    <t>Mare</t>
  </si>
  <si>
    <t>Steer</t>
  </si>
  <si>
    <t>calves</t>
  </si>
  <si>
    <t>pigs</t>
  </si>
  <si>
    <t xml:space="preserve">Woolskins </t>
  </si>
  <si>
    <t>wethers</t>
  </si>
  <si>
    <t>rams</t>
  </si>
  <si>
    <t>ewes</t>
  </si>
  <si>
    <t>hoggs</t>
  </si>
  <si>
    <t>Woolskins total</t>
  </si>
  <si>
    <t>Bareskins</t>
  </si>
  <si>
    <t>Bareskins total</t>
  </si>
  <si>
    <t xml:space="preserve">Total </t>
  </si>
  <si>
    <t>Total poultry stock</t>
  </si>
  <si>
    <t>Total poultry excluding churchscot</t>
  </si>
  <si>
    <t>Meat</t>
  </si>
  <si>
    <t>Beef</t>
  </si>
  <si>
    <t>Mutton</t>
  </si>
  <si>
    <t>Pork</t>
  </si>
  <si>
    <t>Cheese</t>
  </si>
  <si>
    <t>Winter cheese</t>
  </si>
  <si>
    <t>Summer cheese</t>
  </si>
  <si>
    <t>Total Dairy Sales</t>
  </si>
  <si>
    <t>Cider</t>
  </si>
  <si>
    <t>Additional Information (not necessarily useful)</t>
  </si>
  <si>
    <t>Utensils</t>
  </si>
  <si>
    <t>ploughs</t>
  </si>
  <si>
    <t>carts</t>
  </si>
  <si>
    <t>cart-ropes</t>
  </si>
  <si>
    <t>corn baskets</t>
  </si>
  <si>
    <t>seed-sacks</t>
  </si>
  <si>
    <t>seed basket</t>
  </si>
  <si>
    <t>locks for the doors</t>
  </si>
  <si>
    <t>lead vessel</t>
  </si>
  <si>
    <t>brass pots</t>
  </si>
  <si>
    <t>pans</t>
  </si>
  <si>
    <t>tripods</t>
  </si>
  <si>
    <t>mortar</t>
  </si>
  <si>
    <t>axe</t>
  </si>
  <si>
    <t>casks</t>
  </si>
  <si>
    <t>tubs</t>
  </si>
  <si>
    <t>troughs</t>
  </si>
  <si>
    <t>bucket</t>
  </si>
  <si>
    <t>cheese basket</t>
  </si>
  <si>
    <t>tables</t>
  </si>
  <si>
    <t>table with trestles</t>
  </si>
  <si>
    <t>benches</t>
  </si>
  <si>
    <t>ewer with a basin</t>
  </si>
  <si>
    <t>ladders</t>
  </si>
  <si>
    <t>cloth</t>
  </si>
  <si>
    <t>brass posnets</t>
  </si>
  <si>
    <t>Total in Pounds</t>
  </si>
  <si>
    <t>Pounds</t>
  </si>
  <si>
    <t>Shillings</t>
  </si>
  <si>
    <t>Pence</t>
  </si>
  <si>
    <t>Corn</t>
  </si>
  <si>
    <t>Total Quarters Except 1</t>
  </si>
  <si>
    <t>Total Bushels Except 1</t>
  </si>
  <si>
    <t>Total Corn Cross-Check</t>
  </si>
  <si>
    <t>Total Corn Manorial Account</t>
  </si>
  <si>
    <t>Corn Quantity Error</t>
  </si>
  <si>
    <t>Quarters 1</t>
  </si>
  <si>
    <t>Bushels 1</t>
  </si>
  <si>
    <t>Quarters 2</t>
  </si>
  <si>
    <t>Bushels 2</t>
  </si>
  <si>
    <t>Quarters 3</t>
  </si>
  <si>
    <t>Bushels 3</t>
  </si>
  <si>
    <t>shilling a quarter 1</t>
  </si>
  <si>
    <t>pence a quarter 1</t>
  </si>
  <si>
    <t>shilling a quarter 2</t>
  </si>
  <si>
    <t>pence a quarter 2</t>
  </si>
  <si>
    <t>shilling a quarter 3</t>
  </si>
  <si>
    <t>pence a quarter 3</t>
  </si>
  <si>
    <t>shilling a quarter 4</t>
  </si>
  <si>
    <t>pence a quarter 4</t>
  </si>
  <si>
    <t>shilling a bushel 1</t>
  </si>
  <si>
    <t>pence a bushel 1</t>
  </si>
  <si>
    <t>shilling a bushel 2</t>
  </si>
  <si>
    <t>pence a bushel 2</t>
  </si>
  <si>
    <t>shilling a bushel 3</t>
  </si>
  <si>
    <t>pence a bushel 3</t>
  </si>
  <si>
    <t>shilling a bushel 4</t>
  </si>
  <si>
    <t>pence a bushel 4</t>
  </si>
  <si>
    <t>beauworth</t>
  </si>
  <si>
    <t>the account of william yate, reeve there, from michaelmas of the fifth year of the translation of henry beaufort', lord bishop of winchester, until michaelmas of the sixth year, and the eleventh year of the reign of king henry the fourth.</t>
  </si>
  <si>
    <t>arrears</t>
  </si>
  <si>
    <t>the same answers for 9 shilling of arrears from his last account of the preceding year.</t>
  </si>
  <si>
    <t>total, 9 shilling.</t>
  </si>
  <si>
    <t>rents of assize</t>
  </si>
  <si>
    <t>and for £5 16 shilling 10pence for all rents of assize for the year and all paid at michaelmas (29 september).</t>
  </si>
  <si>
    <t>total, £5 16 shilling 10pence.</t>
  </si>
  <si>
    <t>quittances</t>
  </si>
  <si>
    <t>in quittance of rent of 1 reeve for the year 5 shilling.</t>
  </si>
  <si>
    <t>total, 5 shilling.</t>
  </si>
  <si>
    <t>defaults of rent</t>
  </si>
  <si>
    <t>in default of 1 virgate of land which belonged to richard gilberd' drawn into demesne, 2 shilling 6pence for the year.</t>
  </si>
  <si>
    <t>1 cotland of john persones in the lord's hands through the death of the same 2 shilling.</t>
  </si>
  <si>
    <t>1 cotland of edwin walys for the same 2 shilling 1pence.</t>
  </si>
  <si>
    <t>4.5 acres of purpresture which belonged to richard amfrith for the same 2 shilling 3pence.</t>
  </si>
  <si>
    <t>1 cotland of alice amfrith' for the same 2 shilling.</t>
  </si>
  <si>
    <t>1 half-virgate of land of john walys in the lord's hands because the said john abandoned it and refused to hold it any longer 2 shilling.</t>
  </si>
  <si>
    <t>total, 14 shilling 10.25pence.</t>
  </si>
  <si>
    <t>total of quittances and defaults of rent</t>
  </si>
  <si>
    <t>total of quittances and defaults of rent, 19 shilling 10.75pence.</t>
  </si>
  <si>
    <t>total of rents remaining clear</t>
  </si>
  <si>
    <t>total of rents remaining clear, £4 16 shilling 11.25pence.</t>
  </si>
  <si>
    <t>issues of the manor</t>
  </si>
  <si>
    <t>and for 5 shilling 2pence from the pannage of the pigs of the customary tenants at martinmas, at 1pence a pig over a year old, and 0.5pence for a weaned piglet.</t>
  </si>
  <si>
    <t>3 shilling from the pasturage of the meadow below st catherine's hill sold, and not more from a want of buyers.</t>
  </si>
  <si>
    <t>nothing from the pasturage in nedon', aldebury and herialk' or from the pasturage around the strips (rencas) in estdoune because it was for the lord's cattle.</t>
  </si>
  <si>
    <t>nothing from the sale of scrags or underwood in aldebury because there was none.</t>
  </si>
  <si>
    <t>nothing from underwood or oak saplings in westewode this year.</t>
  </si>
  <si>
    <t>nothing from oak scrags or underwood in holmeswode this year.</t>
  </si>
  <si>
    <t>total, 13 shilling 1pence.</t>
  </si>
  <si>
    <t>issues of land in the lord's hands through the pestilence</t>
  </si>
  <si>
    <t>and for 5 shilling from the issue of 1 cotland of john persones in the lord's hands through thedeath of the same.</t>
  </si>
  <si>
    <t>5 shilling from 1 cotland of edwin walys for the same.</t>
  </si>
  <si>
    <t>2 shilling 3pence from 41.</t>
  </si>
  <si>
    <t>acres of land which belonged to richard amfrith' for the same.</t>
  </si>
  <si>
    <t>2 shilling 0.75pence from 9 acres  of land of various tenants in the common field.</t>
  </si>
  <si>
    <t>5 shilling from 1 cotland of richard angryth'  for the same.</t>
  </si>
  <si>
    <t>6 shilling 8pence from 1 half-virgate of land of john walys in the lord's hands because the said john abandoned it and refused to hold it any longer.</t>
  </si>
  <si>
    <t>total, £1 5 shilling 11.75pence.</t>
  </si>
  <si>
    <t>sale of corn</t>
  </si>
  <si>
    <t>and for £8 6 shilling 9pence from 16 quarters 7 bushels of wheat sold, of which 1 quarters sold to the lord's household for 8 shilling, and 15 quarters 7 bushels per mutuum, at 10 shilling a quarters.</t>
  </si>
  <si>
    <t>wheat</t>
  </si>
  <si>
    <t>13 shilling 1.5pence from 2 quarters 1.5 bushels of barley sold, at 6 shilling a quarters.</t>
  </si>
  <si>
    <t>barley</t>
  </si>
  <si>
    <t>£1 8 shilling 4pence from 8 quarters 4 bushels of oats sold, at 3 shilling 4pence a quarters.</t>
  </si>
  <si>
    <t>oats</t>
  </si>
  <si>
    <t>total, £10 8 shilling 2.5pence.</t>
  </si>
  <si>
    <t>sale of stock</t>
  </si>
  <si>
    <t>and for 16 shilling from 2 cows from a heriot sold.</t>
  </si>
  <si>
    <t>total, £3 10 shilling 6pence.</t>
  </si>
  <si>
    <t>entry and marriage fines</t>
  </si>
  <si>
    <t>and for 4 shilling from tithingpenny at the tourns of martinmas and hockday.</t>
  </si>
  <si>
    <t>£1 10 shilling from john martyn to have 1 messuage and 1 virgate of villein land, 4 acres of purpresture and 1 toft and 1 virgate of villein land in beauworth which belonged to john gibbes and for which john godefrey, kinsman of the said john gybbes, remised and released entirely to the aforesaid john martyn all his right and claim which he had in the same for himself and his heirs.</t>
  </si>
  <si>
    <t>3 shilling 4pence from stephen aleyn the younger to have 1 messuage and 1 virgate of villein land in beauworth which belonged to richard rydyng' and which the same richard forfeited on account of laying waste and destroying the same.</t>
  </si>
  <si>
    <t>1 shilling from nicholas basset and agnes his wife to have 1 cottage with a curtilage, 6 perches long and 3 perches wide, which belonged to richard jacob, father of the aforesaid alice.</t>
  </si>
  <si>
    <t>total, £1 18 shilling 4pence.</t>
  </si>
  <si>
    <t>perquisites</t>
  </si>
  <si>
    <t>and for 3pence from the perquisites of the tourn of martinmas (11 november).</t>
  </si>
  <si>
    <t>3 shilling 2pence from the perquisites of the courts held by the bailiff after the said tourn of martinmas.</t>
  </si>
  <si>
    <t>' nothing from the perquisites of the tourn of hockday (1 april).</t>
  </si>
  <si>
    <t>4 shilling 4pence from the perquisites of the courts held after the said tourn of hockday.</t>
  </si>
  <si>
    <t>total, 7 shilling 9pence.</t>
  </si>
  <si>
    <t>sales at the audit</t>
  </si>
  <si>
    <t>and for £3 1 shilling from various sales at the audit as made clear elsewhere.</t>
  </si>
  <si>
    <t>total, £3 1 shilling.</t>
  </si>
  <si>
    <t>total of all receipts with arrears</t>
  </si>
  <si>
    <t>total of all receipts with arrears, £26 10 shilling 9.5pence.</t>
  </si>
  <si>
    <t>cost of ploughs</t>
  </si>
  <si>
    <t>in iron and steel bought for the ironwork of 1 plough with the stipend of the smith for the year 6 shilling 6pence.</t>
  </si>
  <si>
    <t>customary payment to 4 customary tenants ploughing 4 acres at the winter sowing and 4 acres at the lenten sowing 1 shilling 4pence.</t>
  </si>
  <si>
    <t>total, £1 2pence.</t>
  </si>
  <si>
    <t>cost of carts</t>
  </si>
  <si>
    <t>in fitting the cart with axles 4pence.</t>
  </si>
  <si>
    <t>greasing the same 4pence.</t>
  </si>
  <si>
    <t>shoeing 4 plough-horses for the year 6 shilling.</t>
  </si>
  <si>
    <t>4 halters bought 4pence.</t>
  </si>
  <si>
    <t>total, 7 shilling.</t>
  </si>
  <si>
    <t>purchase of corn and stock</t>
  </si>
  <si>
    <t>in 4 bushels of pulses bought for sowing 2 shilling.</t>
  </si>
  <si>
    <t>1 plough-horse bought 12 shilling.</t>
  </si>
  <si>
    <t>76 hoggs bought from the reeve of cheriton before shearing £6 6 shilling 8pence, at 1 shilling 8pence each.</t>
  </si>
  <si>
    <t>total, £7 8pence.</t>
  </si>
  <si>
    <t>cost of buildings and necessaries</t>
  </si>
  <si>
    <t>in hiring 1 roofer to mend various defects on the barn for 2 days 8pence.</t>
  </si>
  <si>
    <t>stipend of his mate for the same time 4pence.</t>
  </si>
  <si>
    <t>1 sack bought 1 shilling.</t>
  </si>
  <si>
    <t>1 sieve and 1 riddle bought 5pence.</t>
  </si>
  <si>
    <t>enclosing with new hedge 2 furlongs between the lord's wood called holmeswode and the wood of kilmeston 3 shilling 4pence, at .5pence a perch.</t>
  </si>
  <si>
    <t>total, 5 shilling 9pence.</t>
  </si>
  <si>
    <t>cost of the fold</t>
  </si>
  <si>
    <t>in tar and grease bought for greasing the lord's sheep 4 shilling.</t>
  </si>
  <si>
    <t>red ochre bought 6pence.</t>
  </si>
  <si>
    <t>15 hurdles made from the lord's withies 7.5pence.</t>
  </si>
  <si>
    <t>making well 28 female hoggs 9pence.</t>
  </si>
  <si>
    <t>stipend of 1 shepherd for the year 4 shilling.</t>
  </si>
  <si>
    <t>total, 9 shilling 10.5pence.</t>
  </si>
  <si>
    <t>weeding and mowing</t>
  </si>
  <si>
    <t>in weeding the lord's corn this year, nothing, because it was done by the customary tenants.</t>
  </si>
  <si>
    <t>mowing the meadow, nothing, for the same.</t>
  </si>
  <si>
    <t>spreading the hay of the said meadow 6pence.</t>
  </si>
  <si>
    <t>total, 6pence.</t>
  </si>
  <si>
    <t>threshing and winnowing</t>
  </si>
  <si>
    <t>in threshing 23 quarters 7 bushels of wheat, 2 quarters of curall and 4 bushels of pulses by piece-work 6 shilling 7.25pence, at 3pence a quarters.</t>
  </si>
  <si>
    <t>wheat, curall</t>
  </si>
  <si>
    <t>threshing 23 quarters 4 bushels of barley by piece-work 3 shilling 11pence, at 2pence a quarters.</t>
  </si>
  <si>
    <t>threshing 20 quarters 4 bushels of oats by piece-work 2 shilling 6.75pence, at 1.5pence a quarters.</t>
  </si>
  <si>
    <t>total, 15 shilling 0.25pence.</t>
  </si>
  <si>
    <t>cost of the harvest</t>
  </si>
  <si>
    <t>in bread bought for 8 harvest boon-works of 248 men with the reeve who reaped, bound and carried 28 acres of wheat, 15.5 acres of barley, 4 acres of pulses and 17 acres of oats, 10 shilling 4pence, or 0.5pence of bread each.</t>
  </si>
  <si>
    <t>wheat, barley, oats</t>
  </si>
  <si>
    <t>total, £1 2 shilling 3.5pence.</t>
  </si>
  <si>
    <t>wages of the bailiff</t>
  </si>
  <si>
    <t>in wages of edward coudray, bailiff, in part payment of his wages, £1, and he takes the rest elsewhere.</t>
  </si>
  <si>
    <t>total, £1..</t>
  </si>
  <si>
    <t>total of all expenses</t>
  </si>
  <si>
    <t>total of all expenses, £12 1 shilling 3.5pence1.</t>
  </si>
  <si>
    <t>and he owes</t>
  </si>
  <si>
    <t>and he owes, £14 9 shilling 6pence.</t>
  </si>
  <si>
    <t>allowances without writ</t>
  </si>
  <si>
    <t>in allowance to the same for £1 7 shilling 8pence for the storage of various grains, disallowed both within and outside this present account.</t>
  </si>
  <si>
    <t>total, £1 7 shilling 8pence.</t>
  </si>
  <si>
    <t>allowances by writ</t>
  </si>
  <si>
    <t>in allowance to the same for £1 19 shilling 6pence delivered to john reede, treasurer of the lord's household, as the price of various victuals for the provision of the said household, just as is made clear by the evidence of the same john addressed to the auditor of this account.</t>
  </si>
  <si>
    <t>total, £1 19 shilling 6pence.</t>
  </si>
  <si>
    <t>cash deliveries</t>
  </si>
  <si>
    <t>delivered to john arnold', receiver of wolvesey, by 1 tally, £11..</t>
  </si>
  <si>
    <t>total, £11..</t>
  </si>
  <si>
    <t>total of all allowances and cash deliveries</t>
  </si>
  <si>
    <t>total of all allowances and cash deliveries, £14 7 shilling 2pence.</t>
  </si>
  <si>
    <t>and he owes, 2 shilling 4pence, all of which is in the hands of the escheator.</t>
  </si>
  <si>
    <t>william atte yate, reeve there, answers for 22 quarters 7 bushels from the whole issue, threshed by piece-work.</t>
  </si>
  <si>
    <t>1 quarters of new grain from the issue, threshed by piece-work.</t>
  </si>
  <si>
    <t>2 quarters 7.5 bushels surcharged so that he answers for a 3.5-fold yie1pence.</t>
  </si>
  <si>
    <t>total, 26 quarters 6.5 bushels.</t>
  </si>
  <si>
    <t>sown over 28 acres in la westfeld', 7 quarters.</t>
  </si>
  <si>
    <t>that is, 2 bushels an acre..</t>
  </si>
  <si>
    <t>sold, 16 quarters 7 bushels, of which 1 quarters sold to the lord's househo1pence.</t>
  </si>
  <si>
    <t>sold at the audit, 2 quarters 7.5 bushels for £1 3 shilling 6pence.</t>
  </si>
  <si>
    <t>total as before.</t>
  </si>
  <si>
    <t>it balances.</t>
  </si>
  <si>
    <t>curall</t>
  </si>
  <si>
    <t>and for 2 quarters of curall from the issue of the said wheat, threshed by piece-work.</t>
  </si>
  <si>
    <t>liveries of the manorial servants.</t>
  </si>
  <si>
    <t>and for 23 quarters 4 bushels from the whole issue, threshed by piece-work.</t>
  </si>
  <si>
    <t>4 quarters 4 bushels surcharged so that he answers for a 3.5-fold yie1pence.</t>
  </si>
  <si>
    <t>total, 28 quarters.</t>
  </si>
  <si>
    <t>sown over 15.5 acres in westedoune, 7 quarters 6 bushels.</t>
  </si>
  <si>
    <t>that is, 4 bushels an acre.</t>
  </si>
  <si>
    <t>liveries of the manorial servants below, 13 quarters 4.5 bushels.</t>
  </si>
  <si>
    <t>sold within, 2 quarters 1.5 bushels.</t>
  </si>
  <si>
    <t>sold at the audit, 4 quarters 4 bushels for £1 2 shilling 6pence.</t>
  </si>
  <si>
    <t>pulses</t>
  </si>
  <si>
    <t>and for 4 bushels from the whole issue, threshed by piece-work.</t>
  </si>
  <si>
    <t>1 quarters 4 bushels from the same.</t>
  </si>
  <si>
    <t>issue by estimation in husks.</t>
  </si>
  <si>
    <t>4 bushels bought for sowing..</t>
  </si>
  <si>
    <t>total, 2 quarters 4 bushels.</t>
  </si>
  <si>
    <t>sown over 4 acres by the perch in la westfeld', 1 quarters.</t>
  </si>
  <si>
    <t>that is, 2 bushels an acre.</t>
  </si>
  <si>
    <t>given to the feeble plough-horses and sheep, 1 quarters 4 bushels by estimation in husks..</t>
  </si>
  <si>
    <t>it balances..</t>
  </si>
  <si>
    <t>and for 20 quarters 4 bushels from the issue, threshed by piece-work, besides 4 quarters 4 bushels from the same issue threshed the preceding year.</t>
  </si>
  <si>
    <t>1 quarters 4 bushels from the same issue by estimation in sheaves.</t>
  </si>
  <si>
    <t>5 quarters surcharged so that he answers for a 3-fold yield..</t>
  </si>
  <si>
    <t>total, 27 quarters.</t>
  </si>
  <si>
    <t>sown over 17 acres by the perch in la westdoune and westfeld', 8 quarters 4 bushels.</t>
  </si>
  <si>
    <t>fodder of oxen, 1 quarters 4 bushels by estimation in sheaves.</t>
  </si>
  <si>
    <t>meal made for the pottage of the manorial servants for the year, 1 quarters 4 bushels.</t>
  </si>
  <si>
    <t>meal</t>
  </si>
  <si>
    <t>fodder of the plough-horses at both sowings, 2 quarters..</t>
  </si>
  <si>
    <t>sold within, 8 quarters 4 bushels.</t>
  </si>
  <si>
    <t>sold at the audit, 5 quarters for 15 shilling.</t>
  </si>
  <si>
    <t>liveries of the manorial servants</t>
  </si>
  <si>
    <t>and for 2 quarters of curall and 13 quarters 4.5 bushels of barley received above for the liveries of the manorial servants..</t>
  </si>
  <si>
    <t>barley, curall</t>
  </si>
  <si>
    <t>total, 15 quarters 4.5 bushels.</t>
  </si>
  <si>
    <t>all accounted for in liveries of 1 ploughman, 1 drover and 1 shepherd for the year, each.</t>
  </si>
  <si>
    <t>of whom takes a quarter every 10 weeks..</t>
  </si>
  <si>
    <t>stock</t>
  </si>
  <si>
    <t>plough-horses: 4 remain.</t>
  </si>
  <si>
    <t>1 bought.</t>
  </si>
  <si>
    <t>5 remain, 1 of them feeble.</t>
  </si>
  <si>
    <t>oxen: 5 remain.</t>
  </si>
  <si>
    <t>total, 5. 5 remain.</t>
  </si>
  <si>
    <t>cows: 2 from the heriot of christine gibbes.</t>
  </si>
  <si>
    <t>sold within.</t>
  </si>
  <si>
    <t>none remain.</t>
  </si>
  <si>
    <t>wethers: 376 remain.</t>
  </si>
  <si>
    <t>76 added from hoggs below.</t>
  </si>
  <si>
    <t>2 from strays before shearing.</t>
  </si>
  <si>
    <t>total, 454. 8 in murrain before shearing and 11 after shearing, 4 of them kebbs.</t>
  </si>
  <si>
    <t>1 in customary payment to the customary tenants mowing the lord's meadow after shearing.</t>
  </si>
  <si>
    <t>12 kebbs sold to the lord's household before shearing and 15 after shearing.</t>
  </si>
  <si>
    <t>total, 47. 407 remain, 18 of them kebbs.</t>
  </si>
  <si>
    <t>hoggs: 76 bought from the reeve of cheriton before shearing.</t>
  </si>
  <si>
    <t>added to the wethers above.</t>
  </si>
  <si>
    <t>sows: 1 remains.</t>
  </si>
  <si>
    <t>hoggets: 9 remain from the piglets.</t>
  </si>
  <si>
    <t>piglets: 15 from the offspring of the said sow.</t>
  </si>
  <si>
    <t>1 in tithe.</t>
  </si>
  <si>
    <t>5 sold within.</t>
  </si>
  <si>
    <t>9 remain.</t>
  </si>
  <si>
    <t>coarse wool: 358 fleeces from wethers and 76 from hoggs produced at the shearing this year.</t>
  </si>
  <si>
    <t>total, 434. 1 in agreement with the shepherd.</t>
  </si>
  <si>
    <t>433 delivered to the receiver of wolvesey, weighing 1.5 sacks 2 cloves.</t>
  </si>
  <si>
    <t>woolskins: 8 from wethers in murrain before shearing as made clear above.</t>
  </si>
  <si>
    <t>bare skins: 11 from wethers in murrain after shearing as made clear above.</t>
  </si>
  <si>
    <t>cocks and hens: 24 from the churchscot of the customary tenants at martinmas.</t>
  </si>
  <si>
    <t>total, 24. 12 in default of 2 cotlands of nicholas beoworth' and 1 cotland of john walys because in the lord's hands because the said nicholas and john abandoned them and refused to hold them any longer.</t>
  </si>
  <si>
    <t>12 sold within.</t>
  </si>
  <si>
    <t>utensils: 1 cart with unshod wheels with all equipment, one cart saddle2 with saddle-pads, 1 thill hame, 4 collars, 3 pairs of traces, 1 plough with a coulter, 1 ploughshare with all equipment, 1 seed-basket, 3 wooden harrows, 1 canvas winnowing-fan, 1 iron bushel measure, 1 basket for carrying corn and 1 sieve remain.</t>
  </si>
  <si>
    <t>all this remains.</t>
  </si>
  <si>
    <t>inherited stock</t>
  </si>
  <si>
    <t>murrain</t>
  </si>
  <si>
    <t>Stock</t>
  </si>
  <si>
    <t>Plough-horses: 4 remain.</t>
  </si>
  <si>
    <t>Plough-horses</t>
  </si>
  <si>
    <t>4</t>
  </si>
  <si>
    <t>1</t>
  </si>
  <si>
    <t>Oxen: 5 remain.</t>
  </si>
  <si>
    <t>5</t>
  </si>
  <si>
    <t>Total, 5. 5 remain.</t>
  </si>
  <si>
    <t>Cows: 2 from the heriot of Christine Gibbes.</t>
  </si>
  <si>
    <t>Wethers: 376 remain.</t>
  </si>
  <si>
    <t>376</t>
  </si>
  <si>
    <t>Total, 454. 8 in murrain before shearing and 11 after shearing, 4 of them kebbs.</t>
  </si>
  <si>
    <t>8</t>
  </si>
  <si>
    <t>12</t>
  </si>
  <si>
    <t>Total, 47. 407 remain, 18 of them kebbs.</t>
  </si>
  <si>
    <t>Hoggs: 76 bought from the reeve of Cheriton before shearing.</t>
  </si>
  <si>
    <t>76</t>
  </si>
  <si>
    <t>Sows: 1 remains.</t>
  </si>
  <si>
    <t>Hoggets: 9 remain from the piglets.</t>
  </si>
  <si>
    <t>9</t>
  </si>
  <si>
    <t>Piglets: 15 from the offspring of the said sow.</t>
  </si>
  <si>
    <t>15</t>
  </si>
  <si>
    <t>Coarse wool: 358 fleeces from wethers and 76 from hoggs produced at the shearing this year.</t>
  </si>
  <si>
    <t>Total, 434. 1 in agreement with the shepherd.</t>
  </si>
  <si>
    <t>433 delivered to the receiver of Wolvesey, weighing 1.5 sacks 2 cloves.</t>
  </si>
  <si>
    <t>Woolskins: 8 from wethers in murrain before shearing as made clear above.</t>
  </si>
  <si>
    <t>Woolskins</t>
  </si>
  <si>
    <t>Bare skins: 11 from wethers in murrain after shearing as made clear above.</t>
  </si>
  <si>
    <t>11</t>
  </si>
  <si>
    <t>Cocks and hens: 24 from the churchscot of the customary tenants at Martinmas.</t>
  </si>
  <si>
    <t>Total, 24. 12 in default of 2 cotlands of Nicholas Beoworth' and 1 cotland of John Walys because in the lord's hands because the said Nicholas and John abandoned them and refused to hold them any longer.</t>
  </si>
  <si>
    <t>Total as before.</t>
  </si>
  <si>
    <t>It balances..</t>
  </si>
  <si>
    <t>Utensils: 1 cart with unshod wheels with all equipment, one cart saddle2 with saddle-pads, 1 thill hame, 4 collars, 3 pairs of traces, 1 plough with a coulter, 1 ploughshare with all equipment, 1 seed-basket, 3 wooden harrows, 1 canvas winnowing-fan, 1 iron bushel measure, 1 basket for carrying corn and 1 sieve remain.</t>
  </si>
  <si>
    <t>All this remains.</t>
  </si>
  <si>
    <t>Quarters 1_x</t>
  </si>
  <si>
    <t>Bushels 1_x</t>
  </si>
  <si>
    <t>Sown Quarters</t>
  </si>
  <si>
    <t>Sown Bushels</t>
  </si>
  <si>
    <t>Sown Total Quarters</t>
  </si>
  <si>
    <t>Bought in Quarters</t>
  </si>
  <si>
    <t>Bought in Bushels</t>
  </si>
  <si>
    <t>Bought in Total Quarters</t>
  </si>
  <si>
    <t>Tithe Quarters</t>
  </si>
  <si>
    <t>Tithe Bushels</t>
  </si>
  <si>
    <t>Tithe Total Quarters</t>
  </si>
  <si>
    <t>Manorial servants &amp; livestock Quarters</t>
  </si>
  <si>
    <t>Manorial servants &amp; livestock Bushels</t>
  </si>
  <si>
    <t>Manorial servants &amp; livestock Total Quarters</t>
  </si>
  <si>
    <t>Sold Quarters</t>
  </si>
  <si>
    <t>Sold Bushels</t>
  </si>
  <si>
    <t>Sold Total Quarters</t>
  </si>
  <si>
    <t>Account Quarters</t>
  </si>
  <si>
    <t>Account Bushels</t>
  </si>
  <si>
    <t>Account Total Quarters</t>
  </si>
  <si>
    <t>bought only</t>
  </si>
  <si>
    <t>Quarters 1_y</t>
  </si>
  <si>
    <t>Bushels 1_y</t>
  </si>
  <si>
    <t>Total Bought Quarters</t>
  </si>
  <si>
    <t>total</t>
  </si>
  <si>
    <t>1 qr of new grain from the issue, threshed by piece-work.</t>
  </si>
  <si>
    <t>sold, 16 quarters 7 bushels, of which 1 qr sold to the lord's househo1pence.</t>
  </si>
  <si>
    <t>1 qr 4 bushels from the same issue by estimation in sheaves.</t>
  </si>
  <si>
    <t>fodder of oxen, 1 qr 4 bushels by estimation in sheaves.</t>
  </si>
  <si>
    <t>meal made for the pottage of the manorial servants for the year, 1 qr 4 bushels.</t>
  </si>
  <si>
    <t>Gross Output</t>
  </si>
  <si>
    <t>Bought Only Aggregated</t>
  </si>
  <si>
    <t>Total Corn Quantity</t>
  </si>
  <si>
    <t>Difference Produced+Bought-Sold</t>
  </si>
  <si>
    <t>Weighted Average Price per Quarter</t>
  </si>
  <si>
    <t>Non-Weighted Average Price per Quarter</t>
  </si>
  <si>
    <t>Value of Total Production weighted</t>
  </si>
  <si>
    <t>Value of Total Production unweighted</t>
  </si>
  <si>
    <t>Mancorn</t>
  </si>
  <si>
    <t>First-grade malt</t>
  </si>
  <si>
    <t>Second-grade malt</t>
  </si>
  <si>
    <t>Malt</t>
  </si>
  <si>
    <t>Meal</t>
  </si>
  <si>
    <t>Quarters 0</t>
  </si>
  <si>
    <t>Bushels 0</t>
  </si>
  <si>
    <t>£ a quarter 1</t>
  </si>
  <si>
    <t>£ a quarter 2</t>
  </si>
  <si>
    <t>£ a quarter 3</t>
  </si>
  <si>
    <t>£ a quarter 4</t>
  </si>
  <si>
    <t>Quarters Sold</t>
  </si>
  <si>
    <t>Corn lowercase</t>
  </si>
  <si>
    <t>inf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</si>
</sst>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rgb="FFFF0000"/>
      <name val="Calibri"/>
      <family val="2"/>
      <scheme val="minor"/>
    </font>
    <font>
      <b/>
      <sz val="12"/>
      <color theme="1"/>
      <name val="Calibri"/>
      <family val="2"/>
      <scheme val="minor"/>
    </font>
    <font>
      <b/>
      <sz val="12"/>
      <color theme="1"/>
      <name val="Calibri (Body)"/>
    </font>
    <font>
      <b/>
      <sz val="12"/>
      <color rgb="FFFF0000"/>
      <name val="Calibri (Body)"/>
    </font>
    <font>
      <b/>
      <sz val="12"/>
      <name val="Calibri"/>
      <family val="2"/>
    </font>
    <font>
      <b/>
      <sz val="12"/>
      <color rgb="FF000000"/>
      <name val="Calibri"/>
      <family val="2"/>
      <scheme val="minor"/>
    </font>
    <font>
      <i/>
      <sz val="12"/>
      <color theme="1"/>
      <name val="Calibri"/>
      <family val="2"/>
      <scheme val="minor"/>
    </font>
    <font>
      <b/>
      <i/>
      <sz val="12"/>
      <color theme="1"/>
      <name val="Calibri"/>
      <family val="2"/>
      <scheme val="minor"/>
    </font>
    <font>
      <sz val="12"/>
      <color rgb="FF000000"/>
      <name val="Calibri"/>
      <family val="2"/>
      <scheme val="minor"/>
    </font>
    <font>
      <i/>
      <sz val="12"/>
      <color rgb="FF000000"/>
      <name val="Calibri"/>
      <family val="2"/>
      <scheme val="minor"/>
    </font>
    <font>
      <b/>
      <i/>
      <sz val="12"/>
      <color rgb="FF000000"/>
      <name val="Calibri"/>
      <family val="2"/>
      <scheme val="minor"/>
    </font>
    <font>
      <b/>
      <sz val="11"/>
      <color theme="1"/>
      <name val="Calibri"/>
      <family val="2"/>
      <scheme val="minor"/>
    </font>
    <font>
      <b/>
      <sz val="12"/>
      <color rgb="FFFF0000"/>
      <name val="Calibri"/>
      <family val="2"/>
      <scheme val="minor"/>
    </font>
    <font>
      <sz val="11"/>
      <color rgb="FFFF0000"/>
      <name val="Calibri"/>
      <family val="2"/>
      <scheme val="minor"/>
    </font>
    <font>
      <sz val="9"/>
      <color indexed="81"/>
      <name val="Tahoma"/>
      <charset val="1"/>
    </font>
  </fonts>
  <fills count="12">
    <fill>
      <patternFill patternType="none"/>
    </fill>
    <fill>
      <patternFill patternType="gray125"/>
    </fill>
    <fill>
      <patternFill patternType="solid">
        <fgColor rgb="FFF2F2F2"/>
        <bgColor rgb="FF000000"/>
      </patternFill>
    </fill>
    <fill>
      <patternFill patternType="solid">
        <fgColor theme="7" tint="0.79998168889431442"/>
        <bgColor indexed="64"/>
      </patternFill>
    </fill>
    <fill>
      <patternFill patternType="solid">
        <fgColor theme="7" tint="0.79998168889431442"/>
        <bgColor rgb="FF000000"/>
      </patternFill>
    </fill>
    <fill>
      <patternFill patternType="solid">
        <fgColor theme="0" tint="-4.9989318521683403E-2"/>
        <bgColor indexed="64"/>
      </patternFill>
    </fill>
    <fill>
      <patternFill patternType="solid">
        <fgColor theme="6" tint="0.79998168889431442"/>
        <bgColor indexed="64"/>
      </patternFill>
    </fill>
    <fill>
      <patternFill patternType="solid">
        <fgColor rgb="FFFFFF00"/>
        <bgColor indexed="64"/>
      </patternFill>
    </fill>
    <fill>
      <patternFill patternType="solid">
        <fgColor theme="0" tint="-4.9989318521683403E-2"/>
        <bgColor rgb="FF000000"/>
      </patternFill>
    </fill>
    <fill>
      <patternFill patternType="solid">
        <fgColor rgb="FFF2F2F2"/>
        <bgColor rgb="FFF2F2F2"/>
      </patternFill>
    </fill>
    <fill>
      <patternFill patternType="solid">
        <fgColor rgb="FFFFFF00"/>
        <bgColor rgb="FFF2F2F2"/>
      </patternFill>
    </fill>
    <fill>
      <patternFill patternType="solid">
        <fgColor rgb="FFFF0000"/>
        <bgColor indexed="64"/>
      </patternFill>
    </fill>
  </fills>
  <borders count="18">
    <border>
      <left/>
      <right/>
      <top/>
      <bottom/>
      <diagonal/>
    </border>
    <border>
      <left/>
      <right/>
      <top/>
      <bottom style="thin">
        <color rgb="FFA6A6A6"/>
      </bottom>
      <diagonal/>
    </border>
    <border>
      <left/>
      <right/>
      <top/>
      <bottom style="thin">
        <color indexed="64"/>
      </bottom>
      <diagonal/>
    </border>
    <border>
      <left/>
      <right/>
      <top/>
      <bottom style="thin">
        <color theme="0" tint="-0.34998626667073579"/>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rgb="FF000000"/>
      </right>
      <top/>
      <bottom/>
      <diagonal/>
    </border>
    <border>
      <left/>
      <right/>
      <top/>
      <bottom/>
      <diagonal/>
    </border>
    <border>
      <left/>
      <right style="thin">
        <color rgb="FF000000"/>
      </right>
      <top/>
      <bottom style="thin">
        <color rgb="FF000000"/>
      </bottom>
      <diagonal/>
    </border>
    <border>
      <left/>
      <right/>
      <top/>
      <bottom style="thin">
        <color rgb="FF000000"/>
      </bottom>
      <diagonal/>
    </border>
  </borders>
  <cellStyleXfs count="1">
    <xf numFmtId="0" fontId="0" fillId="0" borderId="0"/>
  </cellStyleXfs>
  <cellXfs count="109">
    <xf numFmtId="0" fontId="0" fillId="0" borderId="0" xfId="0"/>
    <xf numFmtId="0" fontId="10" fillId="0" borderId="0" xfId="0" applyFont="1"/>
    <xf numFmtId="0" fontId="5" fillId="0" borderId="0" xfId="0" applyFont="1"/>
    <xf numFmtId="0" fontId="6" fillId="0" borderId="0" xfId="0" applyFont="1"/>
    <xf numFmtId="0" fontId="11" fillId="0" borderId="0" xfId="0" applyFont="1"/>
    <xf numFmtId="0" fontId="13" fillId="0" borderId="0" xfId="0" applyFont="1"/>
    <xf numFmtId="0" fontId="10" fillId="2" borderId="0" xfId="0" applyFont="1" applyFill="1"/>
    <xf numFmtId="0" fontId="14" fillId="2" borderId="0" xfId="0" applyFont="1" applyFill="1"/>
    <xf numFmtId="0" fontId="13" fillId="3" borderId="0" xfId="0" applyFont="1" applyFill="1"/>
    <xf numFmtId="0" fontId="14" fillId="3" borderId="0" xfId="0" applyFont="1" applyFill="1"/>
    <xf numFmtId="0" fontId="14" fillId="4" borderId="0" xfId="0" applyFont="1" applyFill="1"/>
    <xf numFmtId="0" fontId="10" fillId="5" borderId="0" xfId="0" applyFont="1" applyFill="1"/>
    <xf numFmtId="0" fontId="13" fillId="0" borderId="0" xfId="0" applyFont="1" applyAlignment="1">
      <alignment wrapText="1"/>
    </xf>
    <xf numFmtId="0" fontId="13" fillId="0" borderId="1" xfId="0" applyFont="1" applyBorder="1"/>
    <xf numFmtId="0" fontId="13" fillId="0" borderId="0" xfId="0" applyFont="1" applyAlignment="1">
      <alignment horizontal="right"/>
    </xf>
    <xf numFmtId="0" fontId="13" fillId="0" borderId="1" xfId="0" applyFont="1" applyBorder="1" applyAlignment="1">
      <alignment horizontal="left"/>
    </xf>
    <xf numFmtId="0" fontId="0" fillId="0" borderId="0" xfId="0" applyAlignment="1">
      <alignment horizontal="right"/>
    </xf>
    <xf numFmtId="0" fontId="6" fillId="0" borderId="0" xfId="0" applyFont="1" applyAlignment="1">
      <alignment horizontal="right" wrapText="1"/>
    </xf>
    <xf numFmtId="0" fontId="16" fillId="0" borderId="0" xfId="0" applyFont="1"/>
    <xf numFmtId="0" fontId="0" fillId="0" borderId="0" xfId="0" applyAlignment="1">
      <alignment horizontal="left"/>
    </xf>
    <xf numFmtId="0" fontId="0" fillId="0" borderId="0" xfId="0" applyAlignment="1">
      <alignment wrapText="1"/>
    </xf>
    <xf numFmtId="0" fontId="6" fillId="5" borderId="0" xfId="0" applyFont="1" applyFill="1"/>
    <xf numFmtId="0" fontId="11" fillId="5" borderId="0" xfId="0" applyFont="1" applyFill="1"/>
    <xf numFmtId="0" fontId="6" fillId="0" borderId="0" xfId="0" applyFont="1" applyAlignment="1">
      <alignment wrapText="1"/>
    </xf>
    <xf numFmtId="0" fontId="11" fillId="6" borderId="0" xfId="0" applyFont="1" applyFill="1"/>
    <xf numFmtId="0" fontId="0" fillId="0" borderId="3" xfId="0" applyBorder="1"/>
    <xf numFmtId="0" fontId="0" fillId="0" borderId="3" xfId="0" applyBorder="1" applyAlignment="1">
      <alignment horizontal="left"/>
    </xf>
    <xf numFmtId="0" fontId="0" fillId="5" borderId="0" xfId="0" applyFill="1"/>
    <xf numFmtId="0" fontId="0" fillId="7" borderId="0" xfId="0" applyFill="1"/>
    <xf numFmtId="2" fontId="0" fillId="0" borderId="0" xfId="0" applyNumberFormat="1"/>
    <xf numFmtId="2" fontId="0" fillId="0" borderId="0" xfId="0" applyNumberFormat="1" applyAlignment="1">
      <alignment wrapText="1"/>
    </xf>
    <xf numFmtId="2" fontId="6" fillId="0" borderId="0" xfId="0" applyNumberFormat="1" applyFont="1" applyAlignment="1">
      <alignment wrapText="1"/>
    </xf>
    <xf numFmtId="0" fontId="4" fillId="0" borderId="0" xfId="0" applyFont="1"/>
    <xf numFmtId="2" fontId="10" fillId="0" borderId="0" xfId="0" applyNumberFormat="1" applyFont="1" applyAlignment="1">
      <alignment horizontal="right"/>
    </xf>
    <xf numFmtId="2" fontId="17" fillId="0" borderId="0" xfId="0" applyNumberFormat="1" applyFont="1" applyAlignment="1">
      <alignment horizontal="right"/>
    </xf>
    <xf numFmtId="0" fontId="4" fillId="0" borderId="5" xfId="0" applyFont="1" applyBorder="1"/>
    <xf numFmtId="0" fontId="5" fillId="0" borderId="5" xfId="0" applyFont="1" applyBorder="1"/>
    <xf numFmtId="0" fontId="12" fillId="5" borderId="5" xfId="0" applyFont="1" applyFill="1" applyBorder="1"/>
    <xf numFmtId="0" fontId="12" fillId="5" borderId="0" xfId="0" applyFont="1" applyFill="1"/>
    <xf numFmtId="0" fontId="15" fillId="2" borderId="0" xfId="0" applyFont="1" applyFill="1"/>
    <xf numFmtId="2" fontId="4" fillId="0" borderId="0" xfId="0" applyNumberFormat="1" applyFont="1"/>
    <xf numFmtId="0" fontId="13" fillId="0" borderId="2" xfId="0" applyFont="1" applyBorder="1"/>
    <xf numFmtId="2" fontId="4" fillId="0" borderId="2" xfId="0" applyNumberFormat="1" applyFont="1" applyBorder="1"/>
    <xf numFmtId="0" fontId="5" fillId="0" borderId="2" xfId="0" applyFont="1" applyBorder="1"/>
    <xf numFmtId="0" fontId="4" fillId="0" borderId="2" xfId="0" applyFont="1" applyBorder="1"/>
    <xf numFmtId="4" fontId="6" fillId="0" borderId="0" xfId="0" applyNumberFormat="1" applyFont="1" applyAlignment="1">
      <alignment horizontal="right"/>
    </xf>
    <xf numFmtId="0" fontId="6" fillId="0" borderId="0" xfId="0" applyFont="1" applyAlignment="1">
      <alignment horizontal="right"/>
    </xf>
    <xf numFmtId="2" fontId="10" fillId="5" borderId="0" xfId="0" applyNumberFormat="1" applyFont="1" applyFill="1" applyAlignment="1">
      <alignment horizontal="right"/>
    </xf>
    <xf numFmtId="0" fontId="10" fillId="8" borderId="0" xfId="0" applyFont="1" applyFill="1"/>
    <xf numFmtId="0" fontId="4" fillId="5" borderId="0" xfId="0" applyFont="1" applyFill="1"/>
    <xf numFmtId="0" fontId="5" fillId="5" borderId="0" xfId="0" applyFont="1" applyFill="1"/>
    <xf numFmtId="0" fontId="6" fillId="5" borderId="0" xfId="0" applyFont="1" applyFill="1" applyAlignment="1">
      <alignment horizontal="right"/>
    </xf>
    <xf numFmtId="0" fontId="3" fillId="0" borderId="0" xfId="0" applyFont="1"/>
    <xf numFmtId="0" fontId="14" fillId="2" borderId="6" xfId="0" applyFont="1" applyFill="1" applyBorder="1"/>
    <xf numFmtId="0" fontId="14" fillId="4" borderId="6" xfId="0" applyFont="1" applyFill="1" applyBorder="1"/>
    <xf numFmtId="0" fontId="13" fillId="0" borderId="6" xfId="0" applyFont="1" applyBorder="1"/>
    <xf numFmtId="10" fontId="14" fillId="2" borderId="6" xfId="0" applyNumberFormat="1" applyFont="1" applyFill="1" applyBorder="1"/>
    <xf numFmtId="10" fontId="14" fillId="4" borderId="8" xfId="0" applyNumberFormat="1" applyFont="1" applyFill="1" applyBorder="1"/>
    <xf numFmtId="0" fontId="5" fillId="0" borderId="9" xfId="0" applyFont="1" applyBorder="1"/>
    <xf numFmtId="0" fontId="13" fillId="5" borderId="11" xfId="0" applyFont="1" applyFill="1" applyBorder="1"/>
    <xf numFmtId="2" fontId="10" fillId="5" borderId="12" xfId="0" applyNumberFormat="1" applyFont="1" applyFill="1" applyBorder="1" applyAlignment="1">
      <alignment horizontal="right"/>
    </xf>
    <xf numFmtId="0" fontId="5" fillId="5" borderId="12" xfId="0" applyFont="1" applyFill="1" applyBorder="1"/>
    <xf numFmtId="0" fontId="3" fillId="0" borderId="9" xfId="0" applyFont="1" applyBorder="1"/>
    <xf numFmtId="2" fontId="4" fillId="5" borderId="0" xfId="0" applyNumberFormat="1" applyFont="1" applyFill="1"/>
    <xf numFmtId="0" fontId="2" fillId="5" borderId="12" xfId="0" applyFont="1" applyFill="1" applyBorder="1"/>
    <xf numFmtId="0" fontId="2" fillId="5" borderId="13" xfId="0" applyFont="1" applyFill="1" applyBorder="1"/>
    <xf numFmtId="2" fontId="2" fillId="0" borderId="0" xfId="0" applyNumberFormat="1" applyFont="1"/>
    <xf numFmtId="0" fontId="2" fillId="0" borderId="0" xfId="0" applyFont="1"/>
    <xf numFmtId="0" fontId="2" fillId="0" borderId="7" xfId="0" applyFont="1" applyBorder="1"/>
    <xf numFmtId="10" fontId="2" fillId="0" borderId="0" xfId="0" applyNumberFormat="1" applyFont="1"/>
    <xf numFmtId="0" fontId="2" fillId="0" borderId="9" xfId="0" applyFont="1" applyBorder="1"/>
    <xf numFmtId="0" fontId="2" fillId="0" borderId="10" xfId="0" applyFont="1" applyBorder="1"/>
    <xf numFmtId="0" fontId="1" fillId="0" borderId="0" xfId="0" applyFont="1"/>
    <xf numFmtId="2" fontId="6" fillId="5" borderId="0" xfId="0" applyNumberFormat="1" applyFont="1" applyFill="1"/>
    <xf numFmtId="2" fontId="10" fillId="0" borderId="0" xfId="0" applyNumberFormat="1" applyFont="1" applyAlignment="1">
      <alignment horizontal="left" vertical="center" wrapText="1"/>
    </xf>
    <xf numFmtId="0" fontId="14" fillId="8" borderId="0" xfId="0" applyFont="1" applyFill="1"/>
    <xf numFmtId="0" fontId="7" fillId="0" borderId="14" xfId="0" applyFont="1" applyBorder="1"/>
    <xf numFmtId="0" fontId="0" fillId="0" borderId="15" xfId="0" applyBorder="1"/>
    <xf numFmtId="0" fontId="9" fillId="0" borderId="16" xfId="0" applyFont="1" applyBorder="1" applyAlignment="1">
      <alignment horizontal="center" vertical="top"/>
    </xf>
    <xf numFmtId="4" fontId="7" fillId="0" borderId="17" xfId="0" applyNumberFormat="1" applyFont="1" applyBorder="1" applyAlignment="1">
      <alignment horizontal="right"/>
    </xf>
    <xf numFmtId="0" fontId="7" fillId="0" borderId="17" xfId="0" applyFont="1" applyBorder="1" applyAlignment="1">
      <alignment horizontal="right"/>
    </xf>
    <xf numFmtId="4" fontId="6" fillId="0" borderId="17" xfId="0" applyNumberFormat="1" applyFont="1" applyBorder="1" applyAlignment="1">
      <alignment horizontal="center"/>
    </xf>
    <xf numFmtId="0" fontId="8" fillId="0" borderId="17" xfId="0" applyFont="1" applyBorder="1" applyAlignment="1">
      <alignment horizontal="center" vertical="top"/>
    </xf>
    <xf numFmtId="0" fontId="9" fillId="0" borderId="17" xfId="0" applyFont="1" applyBorder="1" applyAlignment="1">
      <alignment horizontal="left" vertical="top"/>
    </xf>
    <xf numFmtId="0" fontId="12" fillId="0" borderId="17" xfId="0" applyFont="1" applyBorder="1"/>
    <xf numFmtId="0" fontId="16" fillId="0" borderId="14" xfId="0" applyFont="1" applyBorder="1"/>
    <xf numFmtId="0" fontId="0" fillId="0" borderId="14" xfId="0" applyBorder="1"/>
    <xf numFmtId="0" fontId="16" fillId="9" borderId="14" xfId="0" applyFont="1" applyFill="1" applyBorder="1"/>
    <xf numFmtId="0" fontId="16" fillId="9" borderId="15" xfId="0" applyFont="1" applyFill="1" applyBorder="1"/>
    <xf numFmtId="0" fontId="9" fillId="0" borderId="16" xfId="0" applyFont="1" applyBorder="1" applyAlignment="1">
      <alignment horizontal="center" vertical="center"/>
    </xf>
    <xf numFmtId="4" fontId="7" fillId="0" borderId="17" xfId="0" applyNumberFormat="1" applyFont="1" applyBorder="1" applyAlignment="1">
      <alignment horizontal="center" vertical="center"/>
    </xf>
    <xf numFmtId="0" fontId="7" fillId="0" borderId="17" xfId="0" applyFont="1" applyBorder="1" applyAlignment="1">
      <alignment horizontal="center" vertical="center"/>
    </xf>
    <xf numFmtId="0" fontId="0" fillId="0" borderId="17" xfId="0" applyBorder="1"/>
    <xf numFmtId="2" fontId="6" fillId="0" borderId="17" xfId="0" applyNumberFormat="1" applyFont="1" applyBorder="1" applyAlignment="1">
      <alignment horizontal="center" vertical="center"/>
    </xf>
    <xf numFmtId="2" fontId="8" fillId="0" borderId="17" xfId="0" applyNumberFormat="1" applyFont="1" applyBorder="1" applyAlignment="1">
      <alignment horizontal="center" vertical="center"/>
    </xf>
    <xf numFmtId="0" fontId="9" fillId="0" borderId="17" xfId="0" applyFont="1" applyBorder="1" applyAlignment="1">
      <alignment horizontal="center" vertical="center"/>
    </xf>
    <xf numFmtId="0" fontId="6" fillId="5" borderId="0" xfId="0" applyFont="1" applyFill="1" applyAlignment="1">
      <alignment horizontal="center"/>
    </xf>
    <xf numFmtId="0" fontId="5" fillId="0" borderId="0" xfId="0" applyFont="1"/>
    <xf numFmtId="0" fontId="0" fillId="0" borderId="0" xfId="0" applyAlignment="1">
      <alignment horizontal="center" wrapText="1"/>
    </xf>
    <xf numFmtId="0" fontId="0" fillId="0" borderId="0" xfId="0"/>
    <xf numFmtId="0" fontId="0" fillId="0" borderId="4" xfId="0" applyBorder="1" applyAlignment="1">
      <alignment horizontal="center" wrapText="1"/>
    </xf>
    <xf numFmtId="0" fontId="0" fillId="7" borderId="14" xfId="0" applyFill="1" applyBorder="1"/>
    <xf numFmtId="0" fontId="0" fillId="7" borderId="15" xfId="0" applyFill="1" applyBorder="1"/>
    <xf numFmtId="0" fontId="16" fillId="10" borderId="15" xfId="0" applyFont="1" applyFill="1" applyBorder="1"/>
    <xf numFmtId="0" fontId="0" fillId="11" borderId="0" xfId="0" applyFill="1"/>
    <xf numFmtId="0" fontId="0" fillId="0" borderId="0" xfId="0" applyFill="1"/>
    <xf numFmtId="2" fontId="4" fillId="7" borderId="0" xfId="0" applyNumberFormat="1" applyFont="1" applyFill="1"/>
    <xf numFmtId="0" fontId="16" fillId="0" borderId="15" xfId="0" applyFont="1" applyFill="1" applyBorder="1"/>
    <xf numFmtId="0" fontId="18" fillId="7"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Kowalski, Kuba" id="{2F901E03-A0B3-420B-BF3A-BFB48E2688EA}" userId="S::kuba.kowalski@wur.nl::efd3b399-1095-4b34-9f84-abcd55d1b2f3"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I10" dT="2026-02-04T22:02:53.86" personId="{2F901E03-A0B3-420B-BF3A-BFB48E2688EA}" id="{027F74E2-F5E7-44A1-9326-8806B57E49F6}">
    <text>New tool, not maintenance</text>
  </threadedComment>
  <threadedComment ref="J10" dT="2026-02-04T22:02:53.86" personId="{2F901E03-A0B3-420B-BF3A-BFB48E2688EA}" id="{0FEFA3C5-06D8-4A5C-B828-711B0B03AE75}">
    <text>New tool, presumed for demesne use</text>
  </threadedComment>
</ThreadedComments>
</file>

<file path=xl/threadedComments/threadedComment2.xml><?xml version="1.0" encoding="utf-8"?>
<ThreadedComments xmlns="http://schemas.microsoft.com/office/spreadsheetml/2018/threadedcomments" xmlns:x="http://schemas.openxmlformats.org/spreadsheetml/2006/main">
  <threadedComment ref="O7" dT="2026-02-04T22:00:03.97" personId="{2F901E03-A0B3-420B-BF3A-BFB48E2688EA}" id="{C30107AC-D04F-4B28-9A8D-ABFAADF410D9}">
    <text>Lack of purchase price</text>
  </threadedComment>
  <threadedComment ref="O22" dT="2026-02-04T22:01:29.84" personId="{2F901E03-A0B3-420B-BF3A-BFB48E2688EA}" id="{8FA1BC74-337F-4483-AF18-37D7125D8C23}">
    <text>Found unit price in raw_data, 1s 8p</text>
  </threadedComment>
</ThreadedComments>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83"/>
  <sheetViews>
    <sheetView workbookViewId="0">
      <selection activeCell="C25" sqref="C25"/>
    </sheetView>
  </sheetViews>
  <sheetFormatPr defaultColWidth="10.81640625" defaultRowHeight="15.5"/>
  <cols>
    <col min="1" max="1" width="80" style="32" bestFit="1" customWidth="1"/>
    <col min="2" max="2" width="10.81640625" style="32" customWidth="1"/>
    <col min="3" max="3" width="10.81640625" style="2" customWidth="1"/>
    <col min="4" max="4" width="30.81640625" style="32" bestFit="1" customWidth="1"/>
    <col min="5" max="5" width="29.36328125" style="32" bestFit="1" customWidth="1"/>
    <col min="6" max="6" width="35.453125" style="32" bestFit="1" customWidth="1"/>
    <col min="7" max="7" width="21.1796875" style="32" customWidth="1"/>
    <col min="8" max="8" width="10.81640625" style="32" customWidth="1"/>
    <col min="9" max="16384" width="10.81640625" style="32"/>
  </cols>
  <sheetData>
    <row r="1" spans="1:5">
      <c r="A1" s="1" t="s">
        <v>0</v>
      </c>
      <c r="B1" s="33" t="s">
        <v>1</v>
      </c>
      <c r="C1" s="34" t="s">
        <v>2</v>
      </c>
      <c r="D1" s="3" t="s">
        <v>3</v>
      </c>
      <c r="E1" s="3"/>
    </row>
    <row r="2" spans="1:5">
      <c r="A2" s="1" t="s">
        <v>4</v>
      </c>
    </row>
    <row r="3" spans="1:5">
      <c r="A3" s="6" t="s">
        <v>5</v>
      </c>
    </row>
    <row r="4" spans="1:5">
      <c r="A4" s="5" t="s">
        <v>6</v>
      </c>
      <c r="B4" s="32">
        <v>0.45</v>
      </c>
      <c r="D4" s="4"/>
      <c r="E4" s="4"/>
    </row>
    <row r="5" spans="1:5">
      <c r="A5" s="5" t="s">
        <v>7</v>
      </c>
      <c r="B5" s="32">
        <v>5.84</v>
      </c>
    </row>
    <row r="6" spans="1:5">
      <c r="A6" s="5" t="s">
        <v>8</v>
      </c>
      <c r="B6" s="32">
        <v>0.25</v>
      </c>
    </row>
    <row r="7" spans="1:5">
      <c r="A7" s="5" t="s">
        <v>9</v>
      </c>
      <c r="B7" s="32">
        <v>0.73</v>
      </c>
    </row>
    <row r="8" spans="1:5">
      <c r="A8" s="32" t="s">
        <v>10</v>
      </c>
    </row>
    <row r="9" spans="1:5">
      <c r="A9" s="32" t="s">
        <v>11</v>
      </c>
    </row>
    <row r="10" spans="1:5">
      <c r="A10" s="32" t="s">
        <v>12</v>
      </c>
    </row>
    <row r="11" spans="1:5">
      <c r="A11" s="32" t="s">
        <v>13</v>
      </c>
      <c r="B11" s="32">
        <v>0.99</v>
      </c>
    </row>
    <row r="12" spans="1:5">
      <c r="A12" s="32" t="s">
        <v>14</v>
      </c>
      <c r="B12" s="32">
        <v>4.8499999999999996</v>
      </c>
    </row>
    <row r="13" spans="1:5">
      <c r="A13" s="32" t="s">
        <v>15</v>
      </c>
    </row>
    <row r="14" spans="1:5">
      <c r="A14" s="5" t="s">
        <v>16</v>
      </c>
    </row>
    <row r="15" spans="1:5">
      <c r="A15" s="5" t="s">
        <v>17</v>
      </c>
      <c r="B15" s="32">
        <v>0.67</v>
      </c>
    </row>
    <row r="16" spans="1:5">
      <c r="A16" s="32" t="s">
        <v>18</v>
      </c>
    </row>
    <row r="17" spans="1:5">
      <c r="A17" s="32" t="s">
        <v>19</v>
      </c>
    </row>
    <row r="18" spans="1:5">
      <c r="A18" s="5" t="s">
        <v>20</v>
      </c>
      <c r="B18" s="32">
        <v>10.42</v>
      </c>
    </row>
    <row r="19" spans="1:5">
      <c r="A19" s="5" t="s">
        <v>21</v>
      </c>
      <c r="B19" s="32">
        <v>1.92</v>
      </c>
    </row>
    <row r="20" spans="1:5">
      <c r="A20" s="5" t="s">
        <v>22</v>
      </c>
    </row>
    <row r="21" spans="1:5">
      <c r="A21" s="32" t="s">
        <v>23</v>
      </c>
    </row>
    <row r="22" spans="1:5">
      <c r="A22" s="32" t="s">
        <v>24</v>
      </c>
      <c r="D22" s="44"/>
    </row>
    <row r="23" spans="1:5">
      <c r="A23" s="37" t="s">
        <v>25</v>
      </c>
      <c r="B23" s="35">
        <f>SUM(B5:B11)</f>
        <v>7.8100000000000005</v>
      </c>
      <c r="C23" s="36"/>
    </row>
    <row r="24" spans="1:5">
      <c r="A24" s="38" t="s">
        <v>26</v>
      </c>
      <c r="B24">
        <f>SUM(B4:B11)</f>
        <v>8.26</v>
      </c>
      <c r="D24" s="4"/>
      <c r="E24" s="4"/>
    </row>
    <row r="25" spans="1:5">
      <c r="A25" s="39" t="s">
        <v>27</v>
      </c>
      <c r="B25" s="32">
        <f>Receipts!F75</f>
        <v>29.59</v>
      </c>
      <c r="C25" s="2">
        <f>B23-B25</f>
        <v>-21.78</v>
      </c>
    </row>
    <row r="26" spans="1:5">
      <c r="A26" s="39" t="s">
        <v>28</v>
      </c>
      <c r="B26">
        <f>Receipts!F76</f>
        <v>30.04</v>
      </c>
      <c r="D26" s="4"/>
      <c r="E26" s="4"/>
    </row>
    <row r="27" spans="1:5">
      <c r="A27" s="5"/>
    </row>
    <row r="28" spans="1:5">
      <c r="A28" s="5"/>
    </row>
    <row r="29" spans="1:5">
      <c r="A29" s="6" t="s">
        <v>29</v>
      </c>
    </row>
    <row r="30" spans="1:5">
      <c r="A30" s="5" t="s">
        <v>30</v>
      </c>
      <c r="B30">
        <v>1.03</v>
      </c>
    </row>
    <row r="31" spans="1:5">
      <c r="A31" s="5" t="s">
        <v>31</v>
      </c>
    </row>
    <row r="32" spans="1:5">
      <c r="A32" s="5" t="s">
        <v>32</v>
      </c>
    </row>
    <row r="33" spans="1:4">
      <c r="A33" s="5" t="s">
        <v>33</v>
      </c>
    </row>
    <row r="34" spans="1:4">
      <c r="A34" s="5" t="s">
        <v>34</v>
      </c>
    </row>
    <row r="35" spans="1:4">
      <c r="A35" s="5" t="s">
        <v>35</v>
      </c>
    </row>
    <row r="36" spans="1:4">
      <c r="A36" s="5" t="s">
        <v>36</v>
      </c>
      <c r="B36" s="40"/>
    </row>
    <row r="37" spans="1:4">
      <c r="A37" s="5" t="s">
        <v>37</v>
      </c>
      <c r="B37">
        <v>0.76</v>
      </c>
    </row>
    <row r="38" spans="1:4">
      <c r="A38" s="5" t="s">
        <v>38</v>
      </c>
    </row>
    <row r="39" spans="1:4">
      <c r="A39" s="5" t="s">
        <v>39</v>
      </c>
      <c r="B39">
        <v>1.1200000000000001</v>
      </c>
    </row>
    <row r="40" spans="1:4">
      <c r="A40" s="5" t="s">
        <v>40</v>
      </c>
    </row>
    <row r="41" spans="1:4">
      <c r="A41" s="5" t="s">
        <v>41</v>
      </c>
      <c r="B41" s="40"/>
    </row>
    <row r="42" spans="1:4">
      <c r="A42" s="5" t="s">
        <v>42</v>
      </c>
      <c r="B42" s="40"/>
    </row>
    <row r="43" spans="1:4">
      <c r="A43" s="41" t="s">
        <v>43</v>
      </c>
      <c r="B43" s="42"/>
      <c r="C43" s="43"/>
      <c r="D43" s="44"/>
    </row>
    <row r="44" spans="1:4">
      <c r="A44" s="38" t="s">
        <v>44</v>
      </c>
      <c r="B44" s="40">
        <f>Expenses!F45</f>
        <v>12.06</v>
      </c>
    </row>
    <row r="45" spans="1:4">
      <c r="A45" s="38" t="s">
        <v>45</v>
      </c>
      <c r="B45" s="40">
        <f>Expenses!F46</f>
        <v>2.91</v>
      </c>
    </row>
    <row r="46" spans="1:4">
      <c r="A46" s="38" t="s">
        <v>46</v>
      </c>
      <c r="B46" s="106">
        <v>0.03</v>
      </c>
    </row>
    <row r="47" spans="1:4">
      <c r="A47" s="38" t="s">
        <v>47</v>
      </c>
      <c r="B47" s="106">
        <v>0.03</v>
      </c>
    </row>
    <row r="48" spans="1:4">
      <c r="A48" s="3"/>
    </row>
    <row r="49" spans="1:6">
      <c r="A49" s="8" t="s">
        <v>48</v>
      </c>
      <c r="B49" s="40">
        <f>B23-B45</f>
        <v>4.9000000000000004</v>
      </c>
    </row>
    <row r="50" spans="1:6">
      <c r="A50" s="8" t="s">
        <v>49</v>
      </c>
      <c r="B50" s="40">
        <v>14.47</v>
      </c>
    </row>
    <row r="51" spans="1:6">
      <c r="A51" s="5"/>
    </row>
    <row r="52" spans="1:6">
      <c r="A52" s="8" t="s">
        <v>50</v>
      </c>
      <c r="B52" s="40"/>
    </row>
    <row r="53" spans="1:6">
      <c r="A53" s="8" t="s">
        <v>51</v>
      </c>
      <c r="B53" s="40">
        <v>11</v>
      </c>
    </row>
    <row r="54" spans="1:6">
      <c r="A54" s="9" t="s">
        <v>52</v>
      </c>
      <c r="B54" s="40">
        <f>SUM(B52:B53)</f>
        <v>11</v>
      </c>
    </row>
    <row r="55" spans="1:6">
      <c r="A55" s="10" t="s">
        <v>53</v>
      </c>
    </row>
    <row r="56" spans="1:6">
      <c r="A56" s="5"/>
    </row>
    <row r="57" spans="1:6">
      <c r="A57" s="8" t="s">
        <v>54</v>
      </c>
      <c r="B57" s="40">
        <f>B50-B54</f>
        <v>3.4700000000000006</v>
      </c>
    </row>
    <row r="58" spans="1:6">
      <c r="A58" s="8" t="s">
        <v>55</v>
      </c>
    </row>
    <row r="59" spans="1:6">
      <c r="A59" s="5"/>
    </row>
    <row r="60" spans="1:6">
      <c r="A60" s="6" t="s">
        <v>56</v>
      </c>
      <c r="B60" s="96" t="s">
        <v>57</v>
      </c>
      <c r="C60" s="97"/>
      <c r="D60" s="73" t="s">
        <v>58</v>
      </c>
      <c r="E60" s="73" t="s">
        <v>59</v>
      </c>
    </row>
    <row r="61" spans="1:6">
      <c r="A61" s="1" t="s">
        <v>60</v>
      </c>
      <c r="B61" s="45" t="s">
        <v>61</v>
      </c>
      <c r="C61" s="46" t="s">
        <v>62</v>
      </c>
    </row>
    <row r="62" spans="1:6">
      <c r="A62" s="32" t="s">
        <v>63</v>
      </c>
      <c r="B62">
        <v>22</v>
      </c>
      <c r="C62">
        <v>7</v>
      </c>
      <c r="D62">
        <v>11.44</v>
      </c>
      <c r="E62">
        <v>11.44</v>
      </c>
      <c r="F62" s="4"/>
    </row>
    <row r="63" spans="1:6">
      <c r="A63" s="32" t="s">
        <v>64</v>
      </c>
      <c r="B63">
        <v>0</v>
      </c>
      <c r="C63">
        <v>0</v>
      </c>
      <c r="E63">
        <v>0</v>
      </c>
      <c r="F63" s="4"/>
    </row>
    <row r="64" spans="1:6">
      <c r="A64" s="32" t="s">
        <v>65</v>
      </c>
      <c r="B64">
        <v>0</v>
      </c>
      <c r="C64">
        <v>0</v>
      </c>
      <c r="E64">
        <v>0</v>
      </c>
      <c r="F64" s="4"/>
    </row>
    <row r="65" spans="1:6">
      <c r="A65" s="32" t="s">
        <v>66</v>
      </c>
      <c r="B65">
        <v>0</v>
      </c>
      <c r="C65">
        <v>0</v>
      </c>
      <c r="E65">
        <v>0</v>
      </c>
      <c r="F65" s="4"/>
    </row>
    <row r="66" spans="1:6">
      <c r="A66" s="32" t="s">
        <v>67</v>
      </c>
      <c r="B66">
        <v>23</v>
      </c>
      <c r="C66">
        <v>4</v>
      </c>
      <c r="D66">
        <v>7.05</v>
      </c>
      <c r="E66">
        <v>7.05</v>
      </c>
      <c r="F66" s="4"/>
    </row>
    <row r="67" spans="1:6">
      <c r="A67" s="32" t="s">
        <v>68</v>
      </c>
      <c r="B67">
        <v>0</v>
      </c>
      <c r="C67">
        <v>0</v>
      </c>
      <c r="D67">
        <v>0</v>
      </c>
      <c r="E67">
        <v>0</v>
      </c>
      <c r="F67" s="4"/>
    </row>
    <row r="68" spans="1:6">
      <c r="A68" s="32" t="s">
        <v>69</v>
      </c>
      <c r="B68">
        <v>0</v>
      </c>
      <c r="C68">
        <v>0</v>
      </c>
      <c r="D68">
        <v>0</v>
      </c>
      <c r="E68">
        <v>0</v>
      </c>
      <c r="F68" s="4"/>
    </row>
    <row r="69" spans="1:6">
      <c r="A69" s="32" t="s">
        <v>70</v>
      </c>
      <c r="B69">
        <v>0</v>
      </c>
      <c r="C69">
        <v>0</v>
      </c>
      <c r="E69">
        <v>0</v>
      </c>
      <c r="F69" s="4"/>
    </row>
    <row r="70" spans="1:6">
      <c r="A70" s="32" t="s">
        <v>71</v>
      </c>
      <c r="B70">
        <v>0</v>
      </c>
      <c r="C70">
        <v>0</v>
      </c>
      <c r="E70">
        <v>0</v>
      </c>
    </row>
    <row r="71" spans="1:6">
      <c r="A71" s="7" t="s">
        <v>72</v>
      </c>
      <c r="B71" s="49"/>
      <c r="C71" s="50"/>
      <c r="D71" s="49"/>
      <c r="E71" s="49">
        <f>SUM(D62:D70)</f>
        <v>18.489999999999998</v>
      </c>
    </row>
    <row r="72" spans="1:6">
      <c r="A72" s="7" t="s">
        <v>73</v>
      </c>
      <c r="B72" s="49"/>
      <c r="C72" s="50"/>
      <c r="D72" s="49"/>
      <c r="E72" s="49">
        <f>SUM(E62:E70)</f>
        <v>18.489999999999998</v>
      </c>
    </row>
    <row r="73" spans="1:6">
      <c r="A73" s="7" t="s">
        <v>74</v>
      </c>
      <c r="B73" s="49"/>
      <c r="C73" s="50"/>
      <c r="D73" s="49"/>
      <c r="E73" s="49">
        <v>11.234999999999999</v>
      </c>
    </row>
    <row r="74" spans="1:6">
      <c r="A74" s="5"/>
    </row>
    <row r="75" spans="1:6">
      <c r="A75" s="6" t="s">
        <v>75</v>
      </c>
      <c r="B75" s="96" t="s">
        <v>57</v>
      </c>
      <c r="C75" s="97"/>
      <c r="D75" s="47" t="s">
        <v>1</v>
      </c>
      <c r="E75" s="47"/>
    </row>
    <row r="76" spans="1:6">
      <c r="A76" s="1" t="s">
        <v>76</v>
      </c>
      <c r="B76" s="45" t="s">
        <v>61</v>
      </c>
      <c r="C76" s="46" t="s">
        <v>62</v>
      </c>
    </row>
    <row r="77" spans="1:6">
      <c r="A77" s="5" t="s">
        <v>63</v>
      </c>
      <c r="F77" s="4"/>
    </row>
    <row r="78" spans="1:6">
      <c r="A78" s="5" t="s">
        <v>77</v>
      </c>
    </row>
    <row r="79" spans="1:6">
      <c r="A79" s="5" t="s">
        <v>78</v>
      </c>
    </row>
    <row r="80" spans="1:6">
      <c r="A80" s="5" t="s">
        <v>79</v>
      </c>
    </row>
    <row r="81" spans="1:7">
      <c r="A81" s="5" t="s">
        <v>80</v>
      </c>
    </row>
    <row r="82" spans="1:7">
      <c r="A82" s="7" t="s">
        <v>81</v>
      </c>
      <c r="B82" s="49"/>
      <c r="C82" s="50"/>
      <c r="D82" s="49"/>
      <c r="E82" s="49"/>
    </row>
    <row r="83" spans="1:7">
      <c r="A83" s="7" t="s">
        <v>74</v>
      </c>
      <c r="B83" s="49"/>
      <c r="C83" s="50"/>
      <c r="D83" s="49"/>
      <c r="E83" s="49"/>
    </row>
    <row r="84" spans="1:7">
      <c r="A84" s="5"/>
    </row>
    <row r="85" spans="1:7">
      <c r="A85" s="48" t="s">
        <v>82</v>
      </c>
      <c r="B85" s="49"/>
      <c r="C85" s="50"/>
      <c r="D85" s="49"/>
      <c r="E85" s="49"/>
      <c r="F85" s="49"/>
      <c r="G85" s="49"/>
    </row>
    <row r="86" spans="1:7">
      <c r="A86" s="11" t="s">
        <v>83</v>
      </c>
      <c r="B86" s="51" t="s">
        <v>84</v>
      </c>
      <c r="C86" s="51" t="s">
        <v>85</v>
      </c>
      <c r="D86" s="51" t="s">
        <v>86</v>
      </c>
      <c r="E86" s="51"/>
      <c r="F86" s="51" t="s">
        <v>87</v>
      </c>
      <c r="G86" s="21" t="s">
        <v>88</v>
      </c>
    </row>
    <row r="87" spans="1:7">
      <c r="A87" s="12" t="s">
        <v>89</v>
      </c>
      <c r="B87" s="32">
        <v>0</v>
      </c>
      <c r="C87" s="32">
        <f>Stock!L5</f>
        <v>0</v>
      </c>
      <c r="D87" s="32">
        <f t="shared" ref="D87:D112" si="0">C87-B87</f>
        <v>0</v>
      </c>
      <c r="F87" s="40">
        <f>Stock!L5*Stock!O5</f>
        <v>0</v>
      </c>
      <c r="G87" s="40">
        <f>D87*Stock!O5</f>
        <v>0</v>
      </c>
    </row>
    <row r="88" spans="1:7">
      <c r="A88" s="12" t="s">
        <v>90</v>
      </c>
      <c r="B88" s="32">
        <v>0</v>
      </c>
      <c r="C88" s="32">
        <f>Stock!L6</f>
        <v>0</v>
      </c>
      <c r="D88" s="32">
        <f t="shared" si="0"/>
        <v>0</v>
      </c>
      <c r="F88" s="40">
        <f>Stock!L6*Stock!O6</f>
        <v>0</v>
      </c>
      <c r="G88" s="40">
        <f>D88*Stock!O6</f>
        <v>0</v>
      </c>
    </row>
    <row r="89" spans="1:7">
      <c r="A89" s="5" t="s">
        <v>91</v>
      </c>
      <c r="B89" s="32">
        <v>4</v>
      </c>
      <c r="C89" s="32">
        <f>Stock!L7</f>
        <v>5</v>
      </c>
      <c r="D89" s="32">
        <f t="shared" si="0"/>
        <v>1</v>
      </c>
      <c r="F89" s="40">
        <f>Stock!L7*Stock!O7</f>
        <v>0</v>
      </c>
      <c r="G89" s="40">
        <f>D89*Stock!O7</f>
        <v>0</v>
      </c>
    </row>
    <row r="90" spans="1:7">
      <c r="A90" s="5" t="s">
        <v>92</v>
      </c>
      <c r="B90" s="32">
        <v>0</v>
      </c>
      <c r="C90" s="32">
        <f>Stock!L9</f>
        <v>0</v>
      </c>
      <c r="D90" s="32">
        <f t="shared" si="0"/>
        <v>0</v>
      </c>
      <c r="F90" s="40">
        <f>Stock!L9*Stock!O9</f>
        <v>0</v>
      </c>
      <c r="G90" s="40">
        <f>D90*Stock!O9</f>
        <v>0</v>
      </c>
    </row>
    <row r="91" spans="1:7">
      <c r="A91" s="5" t="s">
        <v>92</v>
      </c>
      <c r="B91" s="32">
        <v>0</v>
      </c>
      <c r="C91" s="32">
        <f>Stock!L9</f>
        <v>0</v>
      </c>
      <c r="D91" s="32">
        <f t="shared" si="0"/>
        <v>0</v>
      </c>
      <c r="F91" s="40">
        <f>Stock!L9*Stock!O9</f>
        <v>0</v>
      </c>
      <c r="G91" s="40">
        <f>D91*Stock!O9</f>
        <v>0</v>
      </c>
    </row>
    <row r="92" spans="1:7">
      <c r="A92" s="5" t="s">
        <v>93</v>
      </c>
      <c r="B92" s="32">
        <v>0</v>
      </c>
      <c r="C92" s="32">
        <f>Stock!L10</f>
        <v>0</v>
      </c>
      <c r="D92" s="32">
        <f t="shared" si="0"/>
        <v>0</v>
      </c>
      <c r="F92" s="40">
        <f>Stock!L10*Stock!O10</f>
        <v>0</v>
      </c>
      <c r="G92" s="40">
        <f>D92*Stock!O10</f>
        <v>0</v>
      </c>
    </row>
    <row r="93" spans="1:7">
      <c r="A93" s="5" t="s">
        <v>94</v>
      </c>
      <c r="B93" s="32">
        <v>0</v>
      </c>
      <c r="C93" s="32">
        <f>Stock!L11</f>
        <v>0</v>
      </c>
      <c r="D93" s="32">
        <f t="shared" si="0"/>
        <v>0</v>
      </c>
      <c r="F93" s="40">
        <f>Stock!L11*Stock!O11</f>
        <v>0</v>
      </c>
      <c r="G93" s="40">
        <f>D93*Stock!O11</f>
        <v>0</v>
      </c>
    </row>
    <row r="94" spans="1:7">
      <c r="A94" s="5" t="s">
        <v>95</v>
      </c>
      <c r="B94" s="32">
        <v>5</v>
      </c>
      <c r="C94" s="32">
        <f>Stock!L12</f>
        <v>5</v>
      </c>
      <c r="D94" s="32">
        <f t="shared" si="0"/>
        <v>0</v>
      </c>
      <c r="F94" s="40">
        <f>Stock!L12*Stock!O12</f>
        <v>0</v>
      </c>
      <c r="G94" s="40">
        <f>D94*Stock!O12</f>
        <v>0</v>
      </c>
    </row>
    <row r="95" spans="1:7">
      <c r="A95" s="5" t="s">
        <v>96</v>
      </c>
      <c r="B95" s="32">
        <v>0</v>
      </c>
      <c r="C95" s="32">
        <f>Stock!L13</f>
        <v>0</v>
      </c>
      <c r="D95" s="32">
        <f t="shared" si="0"/>
        <v>0</v>
      </c>
      <c r="F95" s="40">
        <f>Stock!L13*Stock!O13</f>
        <v>0</v>
      </c>
      <c r="G95" s="40">
        <f>D95*Stock!O13</f>
        <v>0</v>
      </c>
    </row>
    <row r="96" spans="1:7">
      <c r="A96" s="5" t="s">
        <v>97</v>
      </c>
      <c r="B96" s="32">
        <v>0</v>
      </c>
      <c r="C96" s="32">
        <f>Stock!L14</f>
        <v>0</v>
      </c>
      <c r="D96" s="32">
        <f t="shared" si="0"/>
        <v>0</v>
      </c>
      <c r="F96" s="40">
        <f>Stock!L14*Stock!O14</f>
        <v>0</v>
      </c>
      <c r="G96" s="40">
        <f>D96*Stock!O14</f>
        <v>0</v>
      </c>
    </row>
    <row r="97" spans="1:7">
      <c r="A97" s="5" t="s">
        <v>98</v>
      </c>
      <c r="B97" s="32">
        <v>0</v>
      </c>
      <c r="C97" s="32">
        <f>Stock!L15</f>
        <v>0</v>
      </c>
      <c r="D97" s="32">
        <f t="shared" si="0"/>
        <v>0</v>
      </c>
      <c r="F97" s="40">
        <f>Stock!L15*Stock!O15</f>
        <v>0</v>
      </c>
      <c r="G97" s="40">
        <f>D97*Stock!O15</f>
        <v>0</v>
      </c>
    </row>
    <row r="98" spans="1:7">
      <c r="A98" s="5" t="s">
        <v>99</v>
      </c>
      <c r="B98" s="32">
        <v>0</v>
      </c>
      <c r="C98" s="32">
        <f>Stock!L16</f>
        <v>0</v>
      </c>
      <c r="D98" s="32">
        <f t="shared" si="0"/>
        <v>0</v>
      </c>
      <c r="F98" s="40">
        <f>Stock!L16*Stock!O16</f>
        <v>0</v>
      </c>
      <c r="G98" s="40">
        <f>D98*Stock!O16</f>
        <v>0</v>
      </c>
    </row>
    <row r="99" spans="1:7">
      <c r="A99" s="5" t="s">
        <v>100</v>
      </c>
      <c r="B99" s="32">
        <v>0</v>
      </c>
      <c r="C99" s="32">
        <f>Stock!L17</f>
        <v>0</v>
      </c>
      <c r="D99" s="32">
        <f t="shared" si="0"/>
        <v>0</v>
      </c>
      <c r="F99" s="40">
        <f>Stock!L17*Stock!O17</f>
        <v>0</v>
      </c>
      <c r="G99" s="40">
        <f>D99*Stock!O17</f>
        <v>0</v>
      </c>
    </row>
    <row r="100" spans="1:7">
      <c r="A100" s="5" t="s">
        <v>101</v>
      </c>
      <c r="B100" s="32">
        <v>0</v>
      </c>
      <c r="C100" s="32">
        <f>Stock!L18</f>
        <v>0</v>
      </c>
      <c r="D100" s="32">
        <f t="shared" si="0"/>
        <v>0</v>
      </c>
      <c r="F100" s="40">
        <f>Stock!L18*Stock!O18</f>
        <v>0</v>
      </c>
      <c r="G100" s="40">
        <f>D100*Stock!O18</f>
        <v>0</v>
      </c>
    </row>
    <row r="101" spans="1:7">
      <c r="A101" s="5" t="s">
        <v>102</v>
      </c>
      <c r="B101" s="32">
        <v>376</v>
      </c>
      <c r="C101" s="32">
        <f>Stock!L19</f>
        <v>364</v>
      </c>
      <c r="D101" s="32">
        <f t="shared" si="0"/>
        <v>-12</v>
      </c>
      <c r="F101" s="40">
        <f>Stock!L19*Stock!O19</f>
        <v>47.926666666666684</v>
      </c>
      <c r="G101" s="40">
        <f>D101*Stock!O19</f>
        <v>-1.5800000000000005</v>
      </c>
    </row>
    <row r="102" spans="1:7">
      <c r="A102" s="5" t="s">
        <v>103</v>
      </c>
      <c r="B102" s="32">
        <v>0</v>
      </c>
      <c r="C102" s="32">
        <f>Stock!L20</f>
        <v>0</v>
      </c>
      <c r="D102" s="32">
        <f t="shared" si="0"/>
        <v>0</v>
      </c>
      <c r="F102" s="40">
        <f>Stock!L20*Stock!O20</f>
        <v>0</v>
      </c>
      <c r="G102" s="40">
        <f>D102*Stock!O20</f>
        <v>0</v>
      </c>
    </row>
    <row r="103" spans="1:7">
      <c r="A103" s="5" t="s">
        <v>104</v>
      </c>
      <c r="B103" s="32">
        <v>0</v>
      </c>
      <c r="C103" s="32">
        <f>Stock!L21</f>
        <v>0</v>
      </c>
      <c r="D103" s="32">
        <f t="shared" si="0"/>
        <v>0</v>
      </c>
      <c r="F103" s="40">
        <f>Stock!L21*Stock!O21</f>
        <v>0</v>
      </c>
      <c r="G103" s="40">
        <f>D103*Stock!O21</f>
        <v>0</v>
      </c>
    </row>
    <row r="104" spans="1:7">
      <c r="A104" s="5" t="s">
        <v>105</v>
      </c>
      <c r="B104" s="32">
        <v>0</v>
      </c>
      <c r="C104" s="32">
        <f>Stock!L22</f>
        <v>76</v>
      </c>
      <c r="D104" s="32">
        <f t="shared" si="0"/>
        <v>76</v>
      </c>
      <c r="F104" s="40">
        <f>Stock!L22*Stock!O22</f>
        <v>6.3308</v>
      </c>
      <c r="G104" s="40">
        <f>D104*Stock!O22</f>
        <v>6.3308</v>
      </c>
    </row>
    <row r="105" spans="1:7">
      <c r="A105" s="5" t="s">
        <v>106</v>
      </c>
      <c r="B105" s="32">
        <v>0</v>
      </c>
      <c r="C105" s="32">
        <f>Stock!L23</f>
        <v>0</v>
      </c>
      <c r="D105" s="32">
        <f t="shared" si="0"/>
        <v>0</v>
      </c>
      <c r="F105" s="40">
        <f>Stock!L23*Stock!O23</f>
        <v>0</v>
      </c>
      <c r="G105" s="40">
        <f>D105*Stock!O23</f>
        <v>0</v>
      </c>
    </row>
    <row r="106" spans="1:7">
      <c r="A106" s="5" t="s">
        <v>107</v>
      </c>
      <c r="B106" s="32">
        <v>0</v>
      </c>
      <c r="C106" s="32">
        <f>Stock!L24</f>
        <v>0</v>
      </c>
      <c r="D106" s="32">
        <f t="shared" si="0"/>
        <v>0</v>
      </c>
      <c r="F106" s="40">
        <f>Stock!L24*Stock!O24</f>
        <v>0</v>
      </c>
      <c r="G106" s="40">
        <f>D106*Stock!O24</f>
        <v>0</v>
      </c>
    </row>
    <row r="107" spans="1:7">
      <c r="A107" s="5" t="s">
        <v>108</v>
      </c>
      <c r="B107" s="32">
        <v>0</v>
      </c>
      <c r="C107" s="32">
        <f>Stock!L25</f>
        <v>0</v>
      </c>
      <c r="D107" s="32">
        <f t="shared" si="0"/>
        <v>0</v>
      </c>
      <c r="F107" s="40">
        <f>Stock!L25*Stock!O25</f>
        <v>0</v>
      </c>
      <c r="G107" s="40">
        <f>D107*Stock!O25</f>
        <v>0</v>
      </c>
    </row>
    <row r="108" spans="1:7">
      <c r="A108" s="5" t="s">
        <v>109</v>
      </c>
      <c r="B108" s="32">
        <v>0</v>
      </c>
      <c r="C108" s="32">
        <f>Stock!L26</f>
        <v>0</v>
      </c>
      <c r="D108" s="32">
        <f t="shared" si="0"/>
        <v>0</v>
      </c>
      <c r="F108" s="40">
        <f>Stock!L26*Stock!O26</f>
        <v>0</v>
      </c>
      <c r="G108" s="40">
        <f>D108*Stock!O26</f>
        <v>0</v>
      </c>
    </row>
    <row r="109" spans="1:7">
      <c r="A109" s="5" t="s">
        <v>110</v>
      </c>
      <c r="B109" s="32">
        <v>9</v>
      </c>
      <c r="C109" s="32">
        <f>Stock!L27</f>
        <v>9</v>
      </c>
      <c r="D109" s="32">
        <f t="shared" si="0"/>
        <v>0</v>
      </c>
      <c r="F109" s="40">
        <f>Stock!L27*Stock!O27</f>
        <v>0</v>
      </c>
      <c r="G109" s="40">
        <f>D109*Stock!O27</f>
        <v>0</v>
      </c>
    </row>
    <row r="110" spans="1:7">
      <c r="A110" s="5" t="s">
        <v>111</v>
      </c>
      <c r="B110" s="32">
        <v>9</v>
      </c>
      <c r="C110" s="32">
        <f>Stock!L28</f>
        <v>19</v>
      </c>
      <c r="D110" s="32">
        <f t="shared" si="0"/>
        <v>10</v>
      </c>
      <c r="F110" s="40">
        <f>Stock!L28*Stock!O28</f>
        <v>0.95000000000000007</v>
      </c>
      <c r="G110" s="40">
        <f>D110*Stock!O28</f>
        <v>0.5</v>
      </c>
    </row>
    <row r="111" spans="1:7">
      <c r="A111" s="5" t="s">
        <v>112</v>
      </c>
      <c r="B111" s="32">
        <v>0</v>
      </c>
      <c r="C111" s="32">
        <f>Stock!L29</f>
        <v>0</v>
      </c>
      <c r="D111" s="32">
        <f t="shared" si="0"/>
        <v>0</v>
      </c>
      <c r="F111" s="40">
        <f>Stock!L29*Stock!O29</f>
        <v>0</v>
      </c>
      <c r="G111" s="40">
        <f>D111*Stock!O29</f>
        <v>0</v>
      </c>
    </row>
    <row r="112" spans="1:7">
      <c r="A112" s="5" t="s">
        <v>113</v>
      </c>
      <c r="B112" s="32">
        <v>0</v>
      </c>
      <c r="C112" s="32">
        <f>Stock!L30</f>
        <v>0</v>
      </c>
      <c r="D112" s="32">
        <f t="shared" si="0"/>
        <v>0</v>
      </c>
      <c r="F112" s="40">
        <f>Stock!L30*Stock!O30</f>
        <v>0</v>
      </c>
      <c r="G112" s="40">
        <f>D112*Stock!O30</f>
        <v>0</v>
      </c>
    </row>
    <row r="113" spans="1:7">
      <c r="A113" s="7" t="s">
        <v>114</v>
      </c>
      <c r="B113" s="49"/>
      <c r="C113" s="50"/>
      <c r="D113" s="49"/>
      <c r="E113" s="49"/>
      <c r="F113" s="63">
        <f>SUM(F87:F112)</f>
        <v>55.20746666666669</v>
      </c>
      <c r="G113" s="63">
        <f>SUM(G87:G112)</f>
        <v>5.2507999999999999</v>
      </c>
    </row>
    <row r="114" spans="1:7">
      <c r="A114" s="7" t="s">
        <v>115</v>
      </c>
      <c r="B114" s="49"/>
      <c r="C114" s="50"/>
      <c r="D114" s="49"/>
      <c r="E114" s="49"/>
      <c r="F114" s="63">
        <f>SUM(Stock!T5:T30)</f>
        <v>7.0808</v>
      </c>
      <c r="G114" s="63"/>
    </row>
    <row r="115" spans="1:7">
      <c r="A115" s="7" t="s">
        <v>74</v>
      </c>
      <c r="B115" s="49"/>
      <c r="C115" s="50"/>
      <c r="D115" s="49"/>
      <c r="E115" s="49"/>
      <c r="F115" s="63">
        <f>SUM(Stock!R5:R30)</f>
        <v>3.53</v>
      </c>
      <c r="G115" s="63"/>
    </row>
    <row r="116" spans="1:7">
      <c r="A116" s="5"/>
    </row>
    <row r="117" spans="1:7">
      <c r="A117" s="6" t="s">
        <v>116</v>
      </c>
      <c r="B117" s="51" t="s">
        <v>84</v>
      </c>
      <c r="C117" s="51" t="s">
        <v>85</v>
      </c>
      <c r="D117" s="51" t="s">
        <v>86</v>
      </c>
      <c r="E117" s="51"/>
      <c r="F117" s="51" t="s">
        <v>87</v>
      </c>
    </row>
    <row r="118" spans="1:7">
      <c r="A118" s="12" t="s">
        <v>117</v>
      </c>
      <c r="B118">
        <v>0</v>
      </c>
      <c r="C118">
        <v>0</v>
      </c>
      <c r="D118">
        <v>0</v>
      </c>
      <c r="G118" s="52"/>
    </row>
    <row r="119" spans="1:7">
      <c r="A119" s="5" t="s">
        <v>118</v>
      </c>
      <c r="B119">
        <v>0</v>
      </c>
      <c r="C119">
        <v>0</v>
      </c>
      <c r="D119">
        <v>0</v>
      </c>
    </row>
    <row r="120" spans="1:7">
      <c r="A120" s="5" t="s">
        <v>119</v>
      </c>
      <c r="B120">
        <v>0</v>
      </c>
      <c r="C120">
        <v>0</v>
      </c>
      <c r="D120">
        <v>0</v>
      </c>
    </row>
    <row r="121" spans="1:7">
      <c r="A121" s="5" t="s">
        <v>120</v>
      </c>
      <c r="B121">
        <v>0</v>
      </c>
      <c r="C121">
        <v>0</v>
      </c>
      <c r="D121">
        <v>0</v>
      </c>
    </row>
    <row r="122" spans="1:7">
      <c r="A122" s="5" t="s">
        <v>121</v>
      </c>
      <c r="B122">
        <v>0</v>
      </c>
      <c r="C122">
        <v>0</v>
      </c>
      <c r="D122">
        <v>0</v>
      </c>
    </row>
    <row r="123" spans="1:7">
      <c r="A123" s="75" t="s">
        <v>81</v>
      </c>
      <c r="B123" s="49"/>
      <c r="C123" s="50"/>
      <c r="D123" s="49"/>
      <c r="E123" s="49"/>
      <c r="F123" s="49">
        <f>SUM(F118:F122)</f>
        <v>0</v>
      </c>
    </row>
    <row r="124" spans="1:7">
      <c r="A124" s="75" t="s">
        <v>74</v>
      </c>
      <c r="B124" s="49"/>
      <c r="C124" s="50"/>
      <c r="D124" s="49"/>
      <c r="E124" s="49"/>
      <c r="F124" s="49"/>
    </row>
    <row r="125" spans="1:7">
      <c r="A125" s="1"/>
    </row>
    <row r="126" spans="1:7">
      <c r="A126" s="6" t="s">
        <v>122</v>
      </c>
      <c r="B126" s="51" t="s">
        <v>84</v>
      </c>
      <c r="C126" s="51" t="s">
        <v>85</v>
      </c>
      <c r="D126" s="51" t="s">
        <v>86</v>
      </c>
      <c r="E126" s="51"/>
      <c r="F126" s="51" t="s">
        <v>87</v>
      </c>
    </row>
    <row r="127" spans="1:7">
      <c r="A127" s="5" t="s">
        <v>123</v>
      </c>
      <c r="B127">
        <v>0</v>
      </c>
      <c r="C127">
        <v>0</v>
      </c>
      <c r="D127">
        <v>0</v>
      </c>
      <c r="G127" s="52"/>
    </row>
    <row r="128" spans="1:7">
      <c r="A128" s="5" t="s">
        <v>124</v>
      </c>
      <c r="B128">
        <v>0</v>
      </c>
      <c r="C128">
        <v>0</v>
      </c>
      <c r="D128">
        <v>0</v>
      </c>
    </row>
    <row r="129" spans="1:4">
      <c r="A129" s="5" t="s">
        <v>125</v>
      </c>
      <c r="B129">
        <v>0</v>
      </c>
      <c r="C129">
        <v>0</v>
      </c>
      <c r="D129">
        <v>0</v>
      </c>
    </row>
    <row r="130" spans="1:4">
      <c r="A130" s="5" t="s">
        <v>126</v>
      </c>
      <c r="B130">
        <v>0</v>
      </c>
      <c r="C130">
        <v>0</v>
      </c>
      <c r="D130">
        <v>0</v>
      </c>
    </row>
    <row r="131" spans="1:4">
      <c r="A131" s="5" t="s">
        <v>127</v>
      </c>
      <c r="B131">
        <v>0</v>
      </c>
      <c r="C131">
        <v>0</v>
      </c>
      <c r="D131">
        <v>0</v>
      </c>
    </row>
    <row r="132" spans="1:4">
      <c r="A132" s="5" t="s">
        <v>128</v>
      </c>
      <c r="B132">
        <v>0</v>
      </c>
      <c r="C132">
        <v>0</v>
      </c>
      <c r="D132">
        <v>0</v>
      </c>
    </row>
    <row r="133" spans="1:4">
      <c r="A133" s="13" t="s">
        <v>129</v>
      </c>
      <c r="B133">
        <v>0</v>
      </c>
      <c r="C133">
        <v>0</v>
      </c>
      <c r="D133">
        <v>0</v>
      </c>
    </row>
    <row r="134" spans="1:4">
      <c r="A134" s="14" t="s">
        <v>130</v>
      </c>
    </row>
    <row r="135" spans="1:4">
      <c r="A135" s="14" t="s">
        <v>131</v>
      </c>
    </row>
    <row r="136" spans="1:4">
      <c r="A136" s="14" t="s">
        <v>132</v>
      </c>
    </row>
    <row r="137" spans="1:4">
      <c r="A137" s="14" t="s">
        <v>133</v>
      </c>
    </row>
    <row r="138" spans="1:4">
      <c r="A138" s="15" t="s">
        <v>134</v>
      </c>
      <c r="B138">
        <v>0</v>
      </c>
      <c r="C138">
        <v>0</v>
      </c>
      <c r="D138">
        <v>0</v>
      </c>
    </row>
    <row r="139" spans="1:4">
      <c r="A139" s="14" t="s">
        <v>135</v>
      </c>
    </row>
    <row r="140" spans="1:4">
      <c r="A140" s="14" t="s">
        <v>136</v>
      </c>
    </row>
    <row r="141" spans="1:4">
      <c r="A141" s="14" t="s">
        <v>137</v>
      </c>
    </row>
    <row r="142" spans="1:4">
      <c r="A142" s="14" t="s">
        <v>138</v>
      </c>
    </row>
    <row r="143" spans="1:4">
      <c r="A143" s="15" t="s">
        <v>139</v>
      </c>
      <c r="B143">
        <v>0</v>
      </c>
      <c r="C143">
        <v>0</v>
      </c>
      <c r="D143">
        <v>0</v>
      </c>
    </row>
    <row r="144" spans="1:4">
      <c r="A144" s="5" t="s">
        <v>140</v>
      </c>
      <c r="B144">
        <v>0</v>
      </c>
      <c r="C144">
        <v>0</v>
      </c>
      <c r="D144">
        <v>0</v>
      </c>
    </row>
    <row r="145" spans="1:7">
      <c r="A145" s="5" t="s">
        <v>141</v>
      </c>
      <c r="B145">
        <v>0</v>
      </c>
      <c r="C145">
        <v>0</v>
      </c>
      <c r="D145">
        <v>0</v>
      </c>
    </row>
    <row r="146" spans="1:7">
      <c r="A146" s="5" t="s">
        <v>142</v>
      </c>
      <c r="B146">
        <v>0</v>
      </c>
      <c r="C146">
        <v>0</v>
      </c>
      <c r="D146">
        <v>0</v>
      </c>
    </row>
    <row r="147" spans="1:7">
      <c r="A147" s="7" t="s">
        <v>81</v>
      </c>
      <c r="B147" s="49"/>
      <c r="C147" s="50"/>
      <c r="D147" s="49"/>
      <c r="E147" s="49"/>
      <c r="F147" s="49"/>
    </row>
    <row r="148" spans="1:7">
      <c r="A148" s="7" t="s">
        <v>74</v>
      </c>
      <c r="B148" s="49"/>
      <c r="C148" s="50"/>
      <c r="D148" s="49"/>
      <c r="E148" s="49"/>
      <c r="F148" s="49"/>
    </row>
    <row r="149" spans="1:7">
      <c r="A149" s="5"/>
    </row>
    <row r="150" spans="1:7">
      <c r="A150" s="6" t="s">
        <v>143</v>
      </c>
      <c r="B150" s="51" t="s">
        <v>84</v>
      </c>
      <c r="C150" s="51" t="s">
        <v>85</v>
      </c>
      <c r="D150" s="51" t="s">
        <v>86</v>
      </c>
      <c r="E150" s="51"/>
      <c r="F150" s="51" t="s">
        <v>87</v>
      </c>
    </row>
    <row r="151" spans="1:7">
      <c r="A151" s="12" t="s">
        <v>144</v>
      </c>
      <c r="B151" s="32">
        <f>Stock!B67</f>
        <v>0</v>
      </c>
      <c r="C151" s="32">
        <f>Stock!B67-Stock!M67</f>
        <v>0</v>
      </c>
      <c r="D151" s="32">
        <f>B151-C151</f>
        <v>0</v>
      </c>
      <c r="F151" s="32">
        <f>Stock!Q67</f>
        <v>0</v>
      </c>
      <c r="G151" s="52"/>
    </row>
    <row r="152" spans="1:7">
      <c r="A152" s="5" t="s">
        <v>145</v>
      </c>
      <c r="B152" s="32">
        <f>Stock!B68</f>
        <v>0</v>
      </c>
      <c r="C152" s="32">
        <f>Stock!B68-Stock!M68</f>
        <v>0</v>
      </c>
      <c r="D152" s="32">
        <f>B152-C152</f>
        <v>0</v>
      </c>
      <c r="F152" s="32">
        <f>Stock!Q68</f>
        <v>0</v>
      </c>
    </row>
    <row r="153" spans="1:7">
      <c r="A153" s="5" t="s">
        <v>146</v>
      </c>
      <c r="B153" s="32">
        <v>0</v>
      </c>
      <c r="C153" s="32">
        <f>Stock!B69-Stock!M69</f>
        <v>0</v>
      </c>
      <c r="D153" s="32">
        <f>B153-C153</f>
        <v>0</v>
      </c>
      <c r="F153" s="32">
        <f>Stock!Q69</f>
        <v>0</v>
      </c>
    </row>
    <row r="154" spans="1:7">
      <c r="A154" s="5" t="s">
        <v>147</v>
      </c>
      <c r="B154" s="32">
        <v>0</v>
      </c>
      <c r="C154" s="32">
        <f>Stock!B70-Stock!M70</f>
        <v>10</v>
      </c>
      <c r="D154" s="32">
        <f>B154-C154</f>
        <v>-10</v>
      </c>
      <c r="F154" s="32">
        <f>Stock!Q70</f>
        <v>0</v>
      </c>
    </row>
    <row r="155" spans="1:7">
      <c r="A155" s="75" t="s">
        <v>81</v>
      </c>
      <c r="B155" s="49"/>
      <c r="C155" s="49"/>
      <c r="D155" s="49"/>
      <c r="E155" s="49"/>
      <c r="F155" s="49">
        <f>SUM(F151:F154)</f>
        <v>0</v>
      </c>
    </row>
    <row r="156" spans="1:7">
      <c r="A156" s="75" t="s">
        <v>74</v>
      </c>
      <c r="B156" s="49"/>
      <c r="C156" s="50"/>
      <c r="D156" s="49"/>
      <c r="E156" s="49"/>
      <c r="F156" s="49">
        <f>SUM(Stock!R67:R70)</f>
        <v>0.1</v>
      </c>
    </row>
    <row r="157" spans="1:7">
      <c r="A157" s="5"/>
    </row>
    <row r="158" spans="1:7">
      <c r="A158" s="6" t="s">
        <v>148</v>
      </c>
      <c r="B158" s="51" t="s">
        <v>84</v>
      </c>
      <c r="C158" s="51" t="s">
        <v>85</v>
      </c>
      <c r="D158" s="51" t="s">
        <v>86</v>
      </c>
      <c r="E158" s="51"/>
      <c r="F158" s="51" t="s">
        <v>87</v>
      </c>
    </row>
    <row r="159" spans="1:7">
      <c r="A159" s="5" t="s">
        <v>149</v>
      </c>
      <c r="B159">
        <v>0</v>
      </c>
      <c r="C159">
        <v>0</v>
      </c>
      <c r="D159">
        <v>0</v>
      </c>
      <c r="G159" s="72"/>
    </row>
    <row r="160" spans="1:7">
      <c r="A160" s="5" t="s">
        <v>150</v>
      </c>
      <c r="B160">
        <v>0</v>
      </c>
      <c r="C160">
        <v>0</v>
      </c>
      <c r="D160">
        <v>0</v>
      </c>
    </row>
    <row r="161" spans="1:7">
      <c r="A161" s="5" t="s">
        <v>151</v>
      </c>
      <c r="B161">
        <v>0</v>
      </c>
      <c r="C161">
        <v>0</v>
      </c>
      <c r="D161">
        <v>0</v>
      </c>
    </row>
    <row r="162" spans="1:7">
      <c r="A162" s="7" t="s">
        <v>152</v>
      </c>
      <c r="B162" s="49"/>
      <c r="C162" s="50"/>
      <c r="D162" s="49"/>
      <c r="E162" s="49"/>
      <c r="F162" s="49">
        <f>SUM(F159:F160)</f>
        <v>0</v>
      </c>
    </row>
    <row r="163" spans="1:7">
      <c r="A163" s="7" t="s">
        <v>74</v>
      </c>
      <c r="B163" s="49"/>
      <c r="C163" s="50"/>
      <c r="D163" s="49"/>
      <c r="E163" s="49"/>
      <c r="F163" s="49"/>
    </row>
    <row r="164" spans="1:7">
      <c r="A164" s="5"/>
    </row>
    <row r="165" spans="1:7">
      <c r="A165" s="6" t="s">
        <v>153</v>
      </c>
      <c r="B165" s="51" t="s">
        <v>84</v>
      </c>
      <c r="C165" s="51" t="s">
        <v>85</v>
      </c>
      <c r="D165" s="51" t="s">
        <v>86</v>
      </c>
      <c r="E165" s="51"/>
      <c r="F165" s="51" t="s">
        <v>87</v>
      </c>
    </row>
    <row r="166" spans="1:7">
      <c r="A166" s="5" t="s">
        <v>154</v>
      </c>
      <c r="B166">
        <v>0</v>
      </c>
      <c r="C166">
        <v>0</v>
      </c>
      <c r="D166">
        <v>0</v>
      </c>
      <c r="G166" s="72"/>
    </row>
    <row r="167" spans="1:7">
      <c r="A167" s="5" t="s">
        <v>155</v>
      </c>
      <c r="B167">
        <v>0</v>
      </c>
      <c r="C167">
        <v>0</v>
      </c>
      <c r="D167">
        <v>0</v>
      </c>
    </row>
    <row r="168" spans="1:7">
      <c r="A168" s="5" t="s">
        <v>156</v>
      </c>
      <c r="B168">
        <v>0</v>
      </c>
      <c r="C168">
        <v>0</v>
      </c>
      <c r="D168">
        <v>0</v>
      </c>
    </row>
    <row r="169" spans="1:7">
      <c r="A169" s="7" t="s">
        <v>81</v>
      </c>
      <c r="B169" s="49"/>
      <c r="C169" s="50"/>
      <c r="D169" s="49"/>
      <c r="E169" s="49"/>
      <c r="F169" s="49">
        <f>SUM(F166:F168)</f>
        <v>0</v>
      </c>
    </row>
    <row r="170" spans="1:7">
      <c r="A170" s="7" t="s">
        <v>74</v>
      </c>
      <c r="B170" s="49"/>
      <c r="C170" s="50"/>
      <c r="D170" s="49"/>
      <c r="E170" s="49"/>
      <c r="F170" s="49"/>
    </row>
    <row r="171" spans="1:7">
      <c r="A171" s="5"/>
    </row>
    <row r="172" spans="1:7">
      <c r="A172" s="5"/>
    </row>
    <row r="173" spans="1:7" ht="16" customHeight="1" thickBot="1"/>
    <row r="174" spans="1:7" ht="16" customHeight="1" thickBot="1">
      <c r="A174" s="59"/>
      <c r="B174" s="60" t="s">
        <v>1</v>
      </c>
      <c r="C174" s="61"/>
      <c r="D174" s="64"/>
      <c r="E174" s="64"/>
      <c r="F174" s="65"/>
    </row>
    <row r="175" spans="1:7">
      <c r="A175" s="53" t="s">
        <v>157</v>
      </c>
      <c r="B175" s="66">
        <f>F169+F162+F155+F147+F123+F115+E72</f>
        <v>22.02</v>
      </c>
      <c r="D175" s="67"/>
      <c r="E175" s="67"/>
      <c r="F175" s="68"/>
    </row>
    <row r="176" spans="1:7">
      <c r="A176" s="54" t="s">
        <v>158</v>
      </c>
      <c r="B176" s="66">
        <f>F170+F163+F156+F148+F124+F115+D73</f>
        <v>3.63</v>
      </c>
      <c r="D176" s="67"/>
      <c r="E176" s="67"/>
      <c r="F176" s="68"/>
    </row>
    <row r="177" spans="1:6">
      <c r="A177" s="54" t="s">
        <v>159</v>
      </c>
      <c r="B177" s="66">
        <f>B15+B18</f>
        <v>11.09</v>
      </c>
      <c r="D177" s="67"/>
      <c r="E177" s="67"/>
      <c r="F177" s="68"/>
    </row>
    <row r="178" spans="1:6">
      <c r="A178" s="54" t="s">
        <v>160</v>
      </c>
      <c r="B178" s="66">
        <f>B175+B12+B13+B14+B16+B17+B19+B20+B21+B22</f>
        <v>28.79</v>
      </c>
      <c r="D178" s="67"/>
      <c r="E178" s="67"/>
      <c r="F178" s="68"/>
    </row>
    <row r="179" spans="1:6">
      <c r="A179" s="55"/>
      <c r="B179" s="67"/>
      <c r="D179" s="67"/>
      <c r="E179" s="67"/>
      <c r="F179" s="68"/>
    </row>
    <row r="180" spans="1:6">
      <c r="A180" s="56" t="s">
        <v>161</v>
      </c>
      <c r="B180" s="69">
        <f>B47/B175</f>
        <v>1.3623978201634877E-3</v>
      </c>
      <c r="C180" s="4"/>
      <c r="F180" s="68"/>
    </row>
    <row r="181" spans="1:6">
      <c r="A181" s="54" t="s">
        <v>162</v>
      </c>
      <c r="B181" s="69">
        <f>B47/B178</f>
        <v>1.0420284821118443E-3</v>
      </c>
      <c r="D181" s="67"/>
      <c r="E181" s="67"/>
      <c r="F181" s="68"/>
    </row>
    <row r="182" spans="1:6">
      <c r="A182" s="55"/>
      <c r="D182" s="67"/>
      <c r="E182" s="67"/>
      <c r="F182" s="68"/>
    </row>
    <row r="183" spans="1:6" ht="16" customHeight="1" thickBot="1">
      <c r="A183" s="57" t="s">
        <v>163</v>
      </c>
      <c r="B183" s="62" t="s">
        <v>164</v>
      </c>
      <c r="C183" s="58"/>
      <c r="D183" s="70"/>
      <c r="E183" s="70"/>
      <c r="F183" s="71"/>
    </row>
  </sheetData>
  <mergeCells count="2">
    <mergeCell ref="B60:C60"/>
    <mergeCell ref="B75:C75"/>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76"/>
  <sheetViews>
    <sheetView tabSelected="1" topLeftCell="A15" workbookViewId="0">
      <selection activeCell="J68" sqref="J68"/>
    </sheetView>
  </sheetViews>
  <sheetFormatPr defaultRowHeight="14.5"/>
  <cols>
    <col min="1" max="1" width="41.453125" customWidth="1"/>
    <col min="2" max="2" width="8.81640625" customWidth="1"/>
    <col min="6" max="6" width="12.81640625" customWidth="1"/>
    <col min="7" max="7" width="8.81640625" customWidth="1"/>
    <col min="8" max="8" width="12.453125" customWidth="1"/>
    <col min="9" max="10" width="8.81640625" customWidth="1"/>
  </cols>
  <sheetData>
    <row r="1" spans="1:9" ht="15.5">
      <c r="A1" s="76" t="s">
        <v>165</v>
      </c>
      <c r="B1" s="77"/>
      <c r="C1" s="77"/>
      <c r="D1" s="77"/>
      <c r="E1" s="77"/>
      <c r="F1" s="77"/>
      <c r="G1" s="77"/>
      <c r="H1" s="77"/>
      <c r="I1" s="77"/>
    </row>
    <row r="2" spans="1:9" ht="15.5">
      <c r="A2" s="78" t="s">
        <v>166</v>
      </c>
      <c r="B2" s="79" t="s">
        <v>167</v>
      </c>
      <c r="C2" s="80" t="s">
        <v>168</v>
      </c>
      <c r="D2" s="80" t="s">
        <v>169</v>
      </c>
      <c r="E2" s="80"/>
      <c r="F2" s="81" t="s">
        <v>1</v>
      </c>
      <c r="G2" s="82" t="s">
        <v>2</v>
      </c>
      <c r="H2" s="83" t="s">
        <v>170</v>
      </c>
      <c r="I2" s="84" t="s">
        <v>171</v>
      </c>
    </row>
    <row r="3" spans="1:9">
      <c r="A3" s="85" t="s">
        <v>172</v>
      </c>
      <c r="B3" s="77">
        <v>0</v>
      </c>
      <c r="C3" s="77">
        <v>9</v>
      </c>
      <c r="D3" s="77">
        <v>0</v>
      </c>
      <c r="E3" s="77"/>
      <c r="F3" s="77">
        <v>0.45</v>
      </c>
      <c r="G3" s="77"/>
      <c r="H3" s="77" t="s">
        <v>173</v>
      </c>
      <c r="I3" s="77"/>
    </row>
    <row r="4" spans="1:9">
      <c r="A4" s="86" t="s">
        <v>172</v>
      </c>
      <c r="B4" s="77">
        <v>0</v>
      </c>
      <c r="C4" s="77">
        <v>9</v>
      </c>
      <c r="D4" s="77">
        <v>0</v>
      </c>
      <c r="E4" s="77"/>
      <c r="F4" s="77">
        <v>0.45</v>
      </c>
      <c r="G4" s="77"/>
      <c r="H4" s="77" t="s">
        <v>174</v>
      </c>
      <c r="I4" s="77"/>
    </row>
    <row r="5" spans="1:9">
      <c r="A5" s="87" t="s">
        <v>6</v>
      </c>
      <c r="B5" s="88"/>
      <c r="C5" s="88"/>
      <c r="D5" s="88"/>
      <c r="E5" s="88"/>
      <c r="F5" s="88">
        <v>0.45</v>
      </c>
      <c r="G5" s="88">
        <v>0</v>
      </c>
      <c r="H5" s="88" t="s">
        <v>175</v>
      </c>
      <c r="I5" s="88"/>
    </row>
    <row r="6" spans="1:9">
      <c r="A6" s="86"/>
      <c r="B6" s="77"/>
      <c r="C6" s="77"/>
      <c r="D6" s="77"/>
      <c r="E6" s="77"/>
      <c r="F6" s="77"/>
      <c r="G6" s="77"/>
      <c r="H6" s="77"/>
      <c r="I6" s="77"/>
    </row>
    <row r="7" spans="1:9">
      <c r="A7" s="85" t="s">
        <v>176</v>
      </c>
      <c r="B7" s="77">
        <v>5</v>
      </c>
      <c r="C7" s="77">
        <v>16</v>
      </c>
      <c r="D7" s="77">
        <v>10</v>
      </c>
      <c r="E7" s="77"/>
      <c r="F7" s="77">
        <v>5.84</v>
      </c>
      <c r="G7" s="77"/>
      <c r="H7" s="77" t="s">
        <v>177</v>
      </c>
      <c r="I7" s="77"/>
    </row>
    <row r="8" spans="1:9">
      <c r="A8" s="86" t="s">
        <v>176</v>
      </c>
      <c r="B8" s="77">
        <v>5</v>
      </c>
      <c r="C8" s="77">
        <v>16</v>
      </c>
      <c r="D8" s="77">
        <v>10</v>
      </c>
      <c r="E8" s="77"/>
      <c r="F8" s="77">
        <v>5.84</v>
      </c>
      <c r="G8" s="77"/>
      <c r="H8" s="77" t="s">
        <v>178</v>
      </c>
      <c r="I8" s="77"/>
    </row>
    <row r="9" spans="1:9">
      <c r="A9" s="87" t="s">
        <v>7</v>
      </c>
      <c r="B9" s="88"/>
      <c r="C9" s="88"/>
      <c r="D9" s="88"/>
      <c r="E9" s="88"/>
      <c r="F9" s="88">
        <v>5.84</v>
      </c>
      <c r="G9" s="88">
        <v>0</v>
      </c>
      <c r="H9" s="88" t="s">
        <v>175</v>
      </c>
      <c r="I9" s="88"/>
    </row>
    <row r="10" spans="1:9">
      <c r="A10" s="86"/>
      <c r="B10" s="77"/>
      <c r="C10" s="77"/>
      <c r="D10" s="77"/>
      <c r="E10" s="77"/>
      <c r="F10" s="77"/>
      <c r="G10" s="77"/>
      <c r="H10" s="77"/>
      <c r="I10" s="77"/>
    </row>
    <row r="11" spans="1:9">
      <c r="A11" s="85" t="s">
        <v>179</v>
      </c>
      <c r="B11" s="77">
        <v>0</v>
      </c>
      <c r="C11" s="77">
        <v>5</v>
      </c>
      <c r="D11" s="77">
        <v>0</v>
      </c>
      <c r="E11" s="77"/>
      <c r="F11" s="77">
        <v>0.25</v>
      </c>
      <c r="G11" s="77"/>
      <c r="H11" s="77" t="s">
        <v>180</v>
      </c>
      <c r="I11" s="77"/>
    </row>
    <row r="12" spans="1:9">
      <c r="A12" s="86" t="s">
        <v>179</v>
      </c>
      <c r="B12" s="77">
        <v>0</v>
      </c>
      <c r="C12" s="77">
        <v>0</v>
      </c>
      <c r="D12" s="77">
        <v>0</v>
      </c>
      <c r="E12" s="77"/>
      <c r="F12" s="77">
        <v>0</v>
      </c>
      <c r="G12" s="77"/>
      <c r="H12" s="77" t="s">
        <v>181</v>
      </c>
      <c r="I12" s="77"/>
    </row>
    <row r="13" spans="1:9">
      <c r="A13" s="86" t="s">
        <v>179</v>
      </c>
      <c r="B13" s="77">
        <v>0</v>
      </c>
      <c r="C13" s="77">
        <v>0</v>
      </c>
      <c r="D13" s="77">
        <v>0</v>
      </c>
      <c r="E13" s="77"/>
      <c r="F13" s="77">
        <v>0</v>
      </c>
      <c r="G13" s="77"/>
      <c r="H13" s="77" t="s">
        <v>182</v>
      </c>
      <c r="I13" s="77"/>
    </row>
    <row r="14" spans="1:9">
      <c r="A14" s="86" t="s">
        <v>179</v>
      </c>
      <c r="B14" s="77">
        <v>0</v>
      </c>
      <c r="C14" s="77">
        <v>5</v>
      </c>
      <c r="D14" s="77">
        <v>0</v>
      </c>
      <c r="E14" s="77"/>
      <c r="F14" s="77">
        <v>0.25</v>
      </c>
      <c r="G14" s="77"/>
      <c r="H14" s="77" t="s">
        <v>183</v>
      </c>
      <c r="I14" s="77"/>
    </row>
    <row r="15" spans="1:9">
      <c r="A15" s="87" t="s">
        <v>8</v>
      </c>
      <c r="B15" s="88"/>
      <c r="C15" s="88"/>
      <c r="D15" s="88"/>
      <c r="E15" s="88"/>
      <c r="F15" s="88">
        <v>0.25</v>
      </c>
      <c r="G15" s="88">
        <v>0</v>
      </c>
      <c r="H15" s="88" t="s">
        <v>175</v>
      </c>
      <c r="I15" s="88"/>
    </row>
    <row r="16" spans="1:9">
      <c r="A16" s="86"/>
      <c r="B16" s="77"/>
      <c r="C16" s="77"/>
      <c r="D16" s="77"/>
      <c r="E16" s="77"/>
      <c r="F16" s="77"/>
      <c r="G16" s="77"/>
      <c r="H16" s="77"/>
      <c r="I16" s="77"/>
    </row>
    <row r="17" spans="1:9">
      <c r="A17" s="85" t="s">
        <v>184</v>
      </c>
      <c r="B17" s="77">
        <v>0</v>
      </c>
      <c r="C17" s="77">
        <v>2</v>
      </c>
      <c r="D17" s="77">
        <v>6</v>
      </c>
      <c r="E17" s="77"/>
      <c r="F17" s="77">
        <v>0.12</v>
      </c>
      <c r="G17" s="77"/>
      <c r="H17" s="77" t="s">
        <v>185</v>
      </c>
      <c r="I17" s="77"/>
    </row>
    <row r="18" spans="1:9">
      <c r="A18" s="86" t="s">
        <v>184</v>
      </c>
      <c r="B18" s="77">
        <v>0</v>
      </c>
      <c r="C18" s="77">
        <v>2</v>
      </c>
      <c r="D18" s="77">
        <v>0</v>
      </c>
      <c r="E18" s="77"/>
      <c r="F18" s="77">
        <v>0.1</v>
      </c>
      <c r="G18" s="77"/>
      <c r="H18" s="77" t="s">
        <v>186</v>
      </c>
      <c r="I18" s="77"/>
    </row>
    <row r="19" spans="1:9">
      <c r="A19" s="86" t="s">
        <v>184</v>
      </c>
      <c r="B19" s="77">
        <v>0</v>
      </c>
      <c r="C19" s="77">
        <v>2</v>
      </c>
      <c r="D19" s="77">
        <v>1</v>
      </c>
      <c r="E19" s="77"/>
      <c r="F19" s="77">
        <v>0.1</v>
      </c>
      <c r="G19" s="77"/>
      <c r="H19" s="77" t="s">
        <v>187</v>
      </c>
      <c r="I19" s="77"/>
    </row>
    <row r="20" spans="1:9">
      <c r="A20" s="86" t="s">
        <v>184</v>
      </c>
      <c r="B20" s="77">
        <v>0</v>
      </c>
      <c r="C20" s="77">
        <v>2</v>
      </c>
      <c r="D20" s="77">
        <v>3</v>
      </c>
      <c r="E20" s="77"/>
      <c r="F20" s="77">
        <v>0.11</v>
      </c>
      <c r="G20" s="77"/>
      <c r="H20" s="77" t="s">
        <v>188</v>
      </c>
      <c r="I20" s="77"/>
    </row>
    <row r="21" spans="1:9">
      <c r="A21" s="86" t="s">
        <v>184</v>
      </c>
      <c r="B21" s="77">
        <v>0</v>
      </c>
      <c r="C21" s="77">
        <v>2</v>
      </c>
      <c r="D21" s="77">
        <v>0.75</v>
      </c>
      <c r="E21" s="77"/>
      <c r="F21" s="77">
        <v>0.1</v>
      </c>
      <c r="G21" s="77"/>
      <c r="H21" s="77" t="s">
        <v>189</v>
      </c>
      <c r="I21" s="77"/>
    </row>
    <row r="22" spans="1:9">
      <c r="A22" s="86" t="s">
        <v>184</v>
      </c>
      <c r="B22" s="77">
        <v>0</v>
      </c>
      <c r="C22" s="77">
        <v>2</v>
      </c>
      <c r="D22" s="77">
        <v>0</v>
      </c>
      <c r="E22" s="77"/>
      <c r="F22" s="77">
        <v>0.1</v>
      </c>
      <c r="G22" s="77"/>
      <c r="H22" s="77" t="s">
        <v>190</v>
      </c>
      <c r="I22" s="77"/>
    </row>
    <row r="23" spans="1:9">
      <c r="A23" s="86" t="s">
        <v>184</v>
      </c>
      <c r="B23" s="77">
        <v>0</v>
      </c>
      <c r="C23" s="77">
        <v>2</v>
      </c>
      <c r="D23" s="77">
        <v>0</v>
      </c>
      <c r="E23" s="77"/>
      <c r="F23" s="77">
        <v>0.1</v>
      </c>
      <c r="G23" s="77"/>
      <c r="H23" s="77" t="s">
        <v>191</v>
      </c>
      <c r="I23" s="77"/>
    </row>
    <row r="24" spans="1:9">
      <c r="A24" s="86" t="s">
        <v>184</v>
      </c>
      <c r="B24" s="77">
        <v>0</v>
      </c>
      <c r="C24" s="77">
        <v>14</v>
      </c>
      <c r="D24" s="77">
        <v>10.25</v>
      </c>
      <c r="E24" s="77"/>
      <c r="F24" s="77">
        <v>0.74</v>
      </c>
      <c r="G24" s="77"/>
      <c r="H24" s="77" t="s">
        <v>192</v>
      </c>
      <c r="I24" s="77"/>
    </row>
    <row r="25" spans="1:9">
      <c r="A25" s="87" t="s">
        <v>9</v>
      </c>
      <c r="B25" s="88"/>
      <c r="C25" s="88"/>
      <c r="D25" s="88"/>
      <c r="E25" s="88"/>
      <c r="F25" s="88">
        <v>0.73</v>
      </c>
      <c r="G25" s="88">
        <v>-0.01</v>
      </c>
      <c r="H25" s="88" t="s">
        <v>175</v>
      </c>
      <c r="I25" s="88"/>
    </row>
    <row r="26" spans="1:9">
      <c r="A26" s="86"/>
      <c r="B26" s="77"/>
      <c r="C26" s="77"/>
      <c r="D26" s="77"/>
      <c r="E26" s="77"/>
      <c r="F26" s="77"/>
      <c r="G26" s="77"/>
      <c r="H26" s="77"/>
      <c r="I26" s="77"/>
    </row>
    <row r="27" spans="1:9">
      <c r="A27" s="85" t="s">
        <v>193</v>
      </c>
      <c r="B27" s="77">
        <v>0</v>
      </c>
      <c r="C27" s="77">
        <v>19</v>
      </c>
      <c r="D27" s="77">
        <v>10.75</v>
      </c>
      <c r="E27" s="77"/>
      <c r="F27" s="77">
        <v>0.99</v>
      </c>
      <c r="G27" s="77"/>
      <c r="H27" s="77" t="s">
        <v>194</v>
      </c>
      <c r="I27" s="77"/>
    </row>
    <row r="28" spans="1:9">
      <c r="A28" s="87" t="s">
        <v>13</v>
      </c>
      <c r="B28" s="88"/>
      <c r="C28" s="88"/>
      <c r="D28" s="88"/>
      <c r="E28" s="88"/>
      <c r="F28" s="88">
        <v>0.99</v>
      </c>
      <c r="G28" s="88">
        <v>0</v>
      </c>
      <c r="H28" s="88" t="s">
        <v>175</v>
      </c>
      <c r="I28" s="88"/>
    </row>
    <row r="29" spans="1:9">
      <c r="A29" s="86"/>
      <c r="B29" s="77"/>
      <c r="C29" s="77"/>
      <c r="D29" s="77"/>
      <c r="E29" s="77"/>
      <c r="F29" s="77"/>
      <c r="G29" s="77"/>
      <c r="H29" s="77"/>
      <c r="I29" s="77"/>
    </row>
    <row r="30" spans="1:9">
      <c r="A30" s="85" t="s">
        <v>195</v>
      </c>
      <c r="B30" s="77">
        <v>4</v>
      </c>
      <c r="C30" s="77">
        <v>16</v>
      </c>
      <c r="D30" s="77">
        <v>11.25</v>
      </c>
      <c r="E30" s="77"/>
      <c r="F30" s="77">
        <v>4.8499999999999996</v>
      </c>
      <c r="G30" s="77"/>
      <c r="H30" s="77" t="s">
        <v>196</v>
      </c>
      <c r="I30" s="77"/>
    </row>
    <row r="31" spans="1:9">
      <c r="A31" s="87" t="s">
        <v>14</v>
      </c>
      <c r="B31" s="88"/>
      <c r="C31" s="88"/>
      <c r="D31" s="88"/>
      <c r="E31" s="88"/>
      <c r="F31" s="88">
        <v>4.8499999999999996</v>
      </c>
      <c r="G31" s="88">
        <v>0</v>
      </c>
      <c r="H31" s="88" t="s">
        <v>175</v>
      </c>
      <c r="I31" s="88"/>
    </row>
    <row r="32" spans="1:9">
      <c r="A32" s="86"/>
      <c r="B32" s="77"/>
      <c r="C32" s="77"/>
      <c r="D32" s="77"/>
      <c r="E32" s="77"/>
      <c r="F32" s="77"/>
      <c r="G32" s="77"/>
      <c r="H32" s="77"/>
      <c r="I32" s="77"/>
    </row>
    <row r="33" spans="1:9">
      <c r="A33" s="85" t="s">
        <v>197</v>
      </c>
      <c r="B33" s="77">
        <v>0</v>
      </c>
      <c r="C33" s="77">
        <v>5</v>
      </c>
      <c r="D33" s="77">
        <v>2</v>
      </c>
      <c r="E33" s="77"/>
      <c r="F33" s="77">
        <v>0.26</v>
      </c>
      <c r="G33" s="77"/>
      <c r="H33" s="77" t="s">
        <v>198</v>
      </c>
      <c r="I33" s="77"/>
    </row>
    <row r="34" spans="1:9">
      <c r="A34" s="86" t="s">
        <v>197</v>
      </c>
      <c r="B34" s="77">
        <v>0</v>
      </c>
      <c r="C34" s="77">
        <v>2</v>
      </c>
      <c r="D34" s="77">
        <v>3</v>
      </c>
      <c r="E34" s="77"/>
      <c r="F34" s="77">
        <v>0.11</v>
      </c>
      <c r="G34" s="77"/>
      <c r="H34" s="77" t="s">
        <v>199</v>
      </c>
      <c r="I34" s="77"/>
    </row>
    <row r="35" spans="1:9">
      <c r="A35" s="86" t="s">
        <v>197</v>
      </c>
      <c r="B35" s="77">
        <v>0</v>
      </c>
      <c r="C35" s="77">
        <v>0</v>
      </c>
      <c r="D35" s="77">
        <v>11</v>
      </c>
      <c r="E35" s="77"/>
      <c r="F35" s="77">
        <v>0.05</v>
      </c>
      <c r="G35" s="77"/>
      <c r="H35" s="77" t="s">
        <v>200</v>
      </c>
      <c r="I35" s="77"/>
    </row>
    <row r="36" spans="1:9">
      <c r="A36" s="86" t="s">
        <v>197</v>
      </c>
      <c r="B36" s="77">
        <v>0</v>
      </c>
      <c r="C36" s="77">
        <v>0</v>
      </c>
      <c r="D36" s="77">
        <v>0</v>
      </c>
      <c r="E36" s="77"/>
      <c r="F36" s="77">
        <v>0</v>
      </c>
      <c r="G36" s="77"/>
      <c r="H36" s="77" t="s">
        <v>201</v>
      </c>
      <c r="I36" s="77"/>
    </row>
    <row r="37" spans="1:9">
      <c r="A37" s="86" t="s">
        <v>197</v>
      </c>
      <c r="B37" s="77">
        <v>0</v>
      </c>
      <c r="C37" s="77">
        <v>3</v>
      </c>
      <c r="D37" s="77">
        <v>0</v>
      </c>
      <c r="E37" s="77"/>
      <c r="F37" s="77">
        <v>0.15</v>
      </c>
      <c r="G37" s="77"/>
      <c r="H37" s="77" t="s">
        <v>202</v>
      </c>
      <c r="I37" s="77"/>
    </row>
    <row r="38" spans="1:9">
      <c r="A38" s="86" t="s">
        <v>197</v>
      </c>
      <c r="B38" s="77">
        <v>0</v>
      </c>
      <c r="C38" s="77">
        <v>0</v>
      </c>
      <c r="D38" s="77">
        <v>0</v>
      </c>
      <c r="E38" s="77"/>
      <c r="F38" s="77">
        <v>0</v>
      </c>
      <c r="G38" s="77"/>
      <c r="H38" s="77" t="s">
        <v>203</v>
      </c>
      <c r="I38" s="77"/>
    </row>
    <row r="39" spans="1:9">
      <c r="A39" s="86" t="s">
        <v>197</v>
      </c>
      <c r="B39" s="77">
        <v>0</v>
      </c>
      <c r="C39" s="77">
        <v>0</v>
      </c>
      <c r="D39" s="77">
        <v>0</v>
      </c>
      <c r="E39" s="77"/>
      <c r="F39" s="77">
        <v>0</v>
      </c>
      <c r="G39" s="77"/>
      <c r="H39" s="77" t="s">
        <v>204</v>
      </c>
      <c r="I39" s="77"/>
    </row>
    <row r="40" spans="1:9">
      <c r="A40" s="86" t="s">
        <v>197</v>
      </c>
      <c r="B40" s="77">
        <v>0</v>
      </c>
      <c r="C40" s="77">
        <v>0</v>
      </c>
      <c r="D40" s="77">
        <v>0</v>
      </c>
      <c r="E40" s="77"/>
      <c r="F40" s="77">
        <v>0</v>
      </c>
      <c r="G40" s="77"/>
      <c r="H40" s="77" t="s">
        <v>205</v>
      </c>
      <c r="I40" s="77"/>
    </row>
    <row r="41" spans="1:9">
      <c r="A41" s="86" t="s">
        <v>197</v>
      </c>
      <c r="B41" s="77">
        <v>0</v>
      </c>
      <c r="C41" s="77">
        <v>0</v>
      </c>
      <c r="D41" s="77">
        <v>0</v>
      </c>
      <c r="E41" s="77"/>
      <c r="F41" s="77">
        <v>0</v>
      </c>
      <c r="G41" s="77"/>
      <c r="H41" s="77" t="s">
        <v>206</v>
      </c>
      <c r="I41" s="77"/>
    </row>
    <row r="42" spans="1:9">
      <c r="A42" s="86" t="s">
        <v>197</v>
      </c>
      <c r="B42" s="77">
        <v>0</v>
      </c>
      <c r="C42" s="77">
        <v>2</v>
      </c>
      <c r="D42" s="77">
        <v>0</v>
      </c>
      <c r="E42" s="77"/>
      <c r="F42" s="77">
        <v>0.1</v>
      </c>
      <c r="G42" s="77"/>
      <c r="H42" s="77" t="s">
        <v>207</v>
      </c>
      <c r="I42" s="77"/>
    </row>
    <row r="43" spans="1:9">
      <c r="A43" s="86" t="s">
        <v>197</v>
      </c>
      <c r="B43" s="77">
        <v>0</v>
      </c>
      <c r="C43" s="77">
        <v>0</v>
      </c>
      <c r="D43" s="77">
        <v>0</v>
      </c>
      <c r="E43" s="77"/>
      <c r="F43" s="77">
        <v>0</v>
      </c>
      <c r="G43" s="77"/>
      <c r="H43" s="77" t="s">
        <v>208</v>
      </c>
      <c r="I43" s="77"/>
    </row>
    <row r="44" spans="1:9">
      <c r="A44" s="86" t="s">
        <v>197</v>
      </c>
      <c r="B44" s="77">
        <v>0</v>
      </c>
      <c r="C44" s="77">
        <v>13</v>
      </c>
      <c r="D44" s="77">
        <v>1</v>
      </c>
      <c r="E44" s="77"/>
      <c r="F44" s="77">
        <v>0.65</v>
      </c>
      <c r="G44" s="77"/>
      <c r="H44" s="77" t="s">
        <v>209</v>
      </c>
      <c r="I44" s="77"/>
    </row>
    <row r="45" spans="1:9">
      <c r="A45" s="87" t="s">
        <v>210</v>
      </c>
      <c r="B45" s="88"/>
      <c r="C45" s="88"/>
      <c r="D45" s="88"/>
      <c r="E45" s="88"/>
      <c r="F45" s="88">
        <v>0.67</v>
      </c>
      <c r="G45" s="88">
        <v>0.02</v>
      </c>
      <c r="H45" s="88" t="s">
        <v>175</v>
      </c>
      <c r="I45" s="88"/>
    </row>
    <row r="46" spans="1:9">
      <c r="A46" s="86"/>
      <c r="B46" s="77"/>
      <c r="C46" s="77"/>
      <c r="D46" s="77"/>
      <c r="E46" s="77"/>
      <c r="F46" s="77"/>
      <c r="G46" s="77"/>
      <c r="H46" s="77"/>
      <c r="I46" s="77"/>
    </row>
    <row r="47" spans="1:9">
      <c r="A47" s="85" t="s">
        <v>211</v>
      </c>
      <c r="B47" s="77">
        <v>8</v>
      </c>
      <c r="C47" s="77">
        <v>6</v>
      </c>
      <c r="D47" s="77">
        <v>9</v>
      </c>
      <c r="E47" s="77"/>
      <c r="F47" s="77">
        <v>8.34</v>
      </c>
      <c r="G47" s="77"/>
      <c r="H47" s="77" t="s">
        <v>212</v>
      </c>
      <c r="I47" s="77"/>
    </row>
    <row r="48" spans="1:9">
      <c r="A48" s="86" t="s">
        <v>211</v>
      </c>
      <c r="B48" s="77">
        <v>0</v>
      </c>
      <c r="C48" s="77">
        <v>13</v>
      </c>
      <c r="D48" s="77">
        <v>1.5</v>
      </c>
      <c r="E48" s="77"/>
      <c r="F48" s="77">
        <v>0.66</v>
      </c>
      <c r="G48" s="77"/>
      <c r="H48" s="77" t="s">
        <v>213</v>
      </c>
      <c r="I48" s="77"/>
    </row>
    <row r="49" spans="1:9">
      <c r="A49" s="86" t="s">
        <v>211</v>
      </c>
      <c r="B49" s="77">
        <v>1</v>
      </c>
      <c r="C49" s="77">
        <v>8</v>
      </c>
      <c r="D49" s="77">
        <v>4</v>
      </c>
      <c r="E49" s="77"/>
      <c r="F49" s="77">
        <v>1.42</v>
      </c>
      <c r="G49" s="77"/>
      <c r="H49" s="77" t="s">
        <v>214</v>
      </c>
      <c r="I49" s="77"/>
    </row>
    <row r="50" spans="1:9">
      <c r="A50" s="86" t="s">
        <v>211</v>
      </c>
      <c r="B50" s="77">
        <v>10</v>
      </c>
      <c r="C50" s="77">
        <v>8</v>
      </c>
      <c r="D50" s="77">
        <v>2.5</v>
      </c>
      <c r="E50" s="77"/>
      <c r="F50" s="77">
        <v>10.41</v>
      </c>
      <c r="G50" s="77"/>
      <c r="H50" s="77" t="s">
        <v>215</v>
      </c>
      <c r="I50" s="77"/>
    </row>
    <row r="51" spans="1:9">
      <c r="A51" s="87" t="s">
        <v>20</v>
      </c>
      <c r="B51" s="88"/>
      <c r="C51" s="88"/>
      <c r="D51" s="88"/>
      <c r="E51" s="88"/>
      <c r="F51" s="88">
        <v>10.42</v>
      </c>
      <c r="G51" s="88">
        <v>0.01</v>
      </c>
      <c r="H51" s="88" t="s">
        <v>175</v>
      </c>
      <c r="I51" s="88"/>
    </row>
    <row r="52" spans="1:9">
      <c r="A52" s="86"/>
      <c r="B52" s="77"/>
      <c r="C52" s="77"/>
      <c r="D52" s="77"/>
      <c r="E52" s="77"/>
      <c r="F52" s="77"/>
      <c r="G52" s="77"/>
      <c r="H52" s="77"/>
      <c r="I52" s="77"/>
    </row>
    <row r="53" spans="1:9">
      <c r="A53" s="85" t="s">
        <v>216</v>
      </c>
      <c r="B53" s="77">
        <v>0</v>
      </c>
      <c r="C53" s="77">
        <v>16</v>
      </c>
      <c r="D53" s="77">
        <v>0</v>
      </c>
      <c r="E53" s="77"/>
      <c r="F53" s="77">
        <v>0.8</v>
      </c>
      <c r="G53" s="77"/>
      <c r="H53" s="77" t="s">
        <v>217</v>
      </c>
      <c r="I53" s="77"/>
    </row>
    <row r="54" spans="1:9">
      <c r="A54" s="86" t="s">
        <v>216</v>
      </c>
      <c r="B54" s="77">
        <v>0</v>
      </c>
      <c r="C54" s="77">
        <v>14</v>
      </c>
      <c r="D54" s="77">
        <v>0</v>
      </c>
      <c r="E54" s="77"/>
      <c r="F54" s="77">
        <v>0.7</v>
      </c>
      <c r="G54" s="77"/>
      <c r="H54" s="77" t="s">
        <v>218</v>
      </c>
      <c r="I54" s="77"/>
    </row>
    <row r="55" spans="1:9">
      <c r="A55" s="86" t="s">
        <v>216</v>
      </c>
      <c r="B55" s="77">
        <v>0</v>
      </c>
      <c r="C55" s="77">
        <v>17</v>
      </c>
      <c r="D55" s="77">
        <v>6</v>
      </c>
      <c r="E55" s="77"/>
      <c r="F55" s="77">
        <v>0.88</v>
      </c>
      <c r="G55" s="77"/>
      <c r="H55" s="77" t="s">
        <v>219</v>
      </c>
      <c r="I55" s="77"/>
    </row>
    <row r="56" spans="1:9">
      <c r="A56" s="86" t="s">
        <v>216</v>
      </c>
      <c r="B56" s="77">
        <v>0</v>
      </c>
      <c r="C56" s="77">
        <v>18</v>
      </c>
      <c r="D56" s="77">
        <v>0</v>
      </c>
      <c r="E56" s="77"/>
      <c r="F56" s="77">
        <v>0.9</v>
      </c>
      <c r="G56" s="77"/>
      <c r="H56" s="77" t="s">
        <v>220</v>
      </c>
      <c r="I56" s="77"/>
    </row>
    <row r="57" spans="1:9">
      <c r="A57" s="86" t="s">
        <v>216</v>
      </c>
      <c r="B57" s="77">
        <v>0</v>
      </c>
      <c r="C57" s="77">
        <v>5</v>
      </c>
      <c r="D57" s="77">
        <v>0</v>
      </c>
      <c r="E57" s="77"/>
      <c r="F57" s="77">
        <v>0.25</v>
      </c>
      <c r="G57" s="77"/>
      <c r="H57" s="77" t="s">
        <v>221</v>
      </c>
      <c r="I57" s="77"/>
    </row>
    <row r="58" spans="1:9">
      <c r="A58" s="86" t="s">
        <v>216</v>
      </c>
      <c r="B58" s="77">
        <v>3</v>
      </c>
      <c r="C58" s="77">
        <v>10</v>
      </c>
      <c r="D58" s="77">
        <v>6</v>
      </c>
      <c r="E58" s="77"/>
      <c r="F58" s="77">
        <v>3.52</v>
      </c>
      <c r="G58" s="77"/>
      <c r="H58" s="77" t="s">
        <v>222</v>
      </c>
      <c r="I58" s="77"/>
    </row>
    <row r="59" spans="1:9">
      <c r="A59" s="87" t="s">
        <v>223</v>
      </c>
      <c r="B59" s="88"/>
      <c r="C59" s="88"/>
      <c r="D59" s="88"/>
      <c r="E59" s="88"/>
      <c r="F59" s="88">
        <v>3.53</v>
      </c>
      <c r="G59" s="88">
        <v>0.01</v>
      </c>
      <c r="H59" s="88" t="s">
        <v>175</v>
      </c>
      <c r="I59" s="88"/>
    </row>
    <row r="60" spans="1:9">
      <c r="A60" s="86"/>
      <c r="B60" s="77"/>
      <c r="C60" s="77"/>
      <c r="D60" s="77"/>
      <c r="E60" s="77"/>
      <c r="F60" s="77"/>
      <c r="G60" s="77"/>
      <c r="H60" s="77"/>
      <c r="I60" s="77"/>
    </row>
    <row r="61" spans="1:9">
      <c r="A61" s="85" t="s">
        <v>224</v>
      </c>
      <c r="B61" s="77">
        <v>0</v>
      </c>
      <c r="C61" s="77">
        <v>4</v>
      </c>
      <c r="D61" s="77">
        <v>0</v>
      </c>
      <c r="E61" s="77"/>
      <c r="F61" s="77">
        <v>0.2</v>
      </c>
      <c r="G61" s="77"/>
      <c r="H61" s="77" t="s">
        <v>225</v>
      </c>
      <c r="I61" s="77"/>
    </row>
    <row r="62" spans="1:9">
      <c r="A62" s="86" t="s">
        <v>224</v>
      </c>
      <c r="B62" s="77">
        <v>1</v>
      </c>
      <c r="C62" s="77">
        <v>10</v>
      </c>
      <c r="D62" s="77">
        <v>0</v>
      </c>
      <c r="E62" s="77"/>
      <c r="F62" s="77">
        <v>1.5</v>
      </c>
      <c r="G62" s="77"/>
      <c r="H62" s="77" t="s">
        <v>226</v>
      </c>
      <c r="I62" s="77"/>
    </row>
    <row r="63" spans="1:9">
      <c r="A63" s="86" t="s">
        <v>224</v>
      </c>
      <c r="B63" s="77">
        <v>0</v>
      </c>
      <c r="C63" s="77">
        <v>3</v>
      </c>
      <c r="D63" s="77">
        <v>4</v>
      </c>
      <c r="E63" s="77"/>
      <c r="F63" s="77">
        <v>0.17</v>
      </c>
      <c r="G63" s="77"/>
      <c r="H63" s="77" t="s">
        <v>227</v>
      </c>
      <c r="I63" s="77"/>
    </row>
    <row r="64" spans="1:9">
      <c r="A64" s="86" t="s">
        <v>224</v>
      </c>
      <c r="B64" s="77">
        <v>0</v>
      </c>
      <c r="C64" s="77">
        <v>1</v>
      </c>
      <c r="D64" s="77">
        <v>0</v>
      </c>
      <c r="E64" s="77"/>
      <c r="F64" s="77">
        <v>0.05</v>
      </c>
      <c r="G64" s="77"/>
      <c r="H64" s="77" t="s">
        <v>228</v>
      </c>
      <c r="I64" s="77"/>
    </row>
    <row r="65" spans="1:9">
      <c r="A65" s="86" t="s">
        <v>224</v>
      </c>
      <c r="B65" s="77">
        <v>1</v>
      </c>
      <c r="C65" s="77">
        <v>18</v>
      </c>
      <c r="D65" s="77">
        <v>4</v>
      </c>
      <c r="E65" s="77"/>
      <c r="F65" s="77">
        <v>1.92</v>
      </c>
      <c r="G65" s="77"/>
      <c r="H65" s="77" t="s">
        <v>229</v>
      </c>
      <c r="I65" s="77"/>
    </row>
    <row r="66" spans="1:9">
      <c r="A66" s="87" t="s">
        <v>21</v>
      </c>
      <c r="B66" s="88"/>
      <c r="C66" s="88"/>
      <c r="D66" s="88"/>
      <c r="E66" s="88"/>
      <c r="F66" s="88">
        <v>1.92</v>
      </c>
      <c r="G66" s="88">
        <v>0</v>
      </c>
      <c r="H66" s="88" t="s">
        <v>175</v>
      </c>
      <c r="I66" s="88"/>
    </row>
    <row r="67" spans="1:9">
      <c r="A67" s="86"/>
      <c r="B67" s="77"/>
      <c r="C67" s="77"/>
      <c r="D67" s="77"/>
      <c r="E67" s="77"/>
      <c r="F67" s="77"/>
      <c r="G67" s="77"/>
      <c r="H67" s="77"/>
      <c r="I67" s="77"/>
    </row>
    <row r="68" spans="1:9">
      <c r="A68" s="85" t="s">
        <v>230</v>
      </c>
      <c r="B68" s="77">
        <v>0</v>
      </c>
      <c r="C68" s="77">
        <v>0</v>
      </c>
      <c r="D68" s="77">
        <v>3</v>
      </c>
      <c r="E68" s="77"/>
      <c r="F68" s="77">
        <v>0.01</v>
      </c>
      <c r="G68" s="77"/>
      <c r="H68" s="77" t="s">
        <v>231</v>
      </c>
      <c r="I68" s="77"/>
    </row>
    <row r="69" spans="1:9">
      <c r="A69" s="86" t="s">
        <v>230</v>
      </c>
      <c r="B69" s="77">
        <v>0</v>
      </c>
      <c r="C69" s="77">
        <v>3</v>
      </c>
      <c r="D69" s="77">
        <v>2</v>
      </c>
      <c r="E69" s="77"/>
      <c r="F69" s="77">
        <v>0.16</v>
      </c>
      <c r="G69" s="77"/>
      <c r="H69" s="77" t="s">
        <v>232</v>
      </c>
      <c r="I69" s="77"/>
    </row>
    <row r="70" spans="1:9">
      <c r="A70" s="86" t="s">
        <v>230</v>
      </c>
      <c r="B70" s="77">
        <v>0</v>
      </c>
      <c r="C70" s="77">
        <v>0</v>
      </c>
      <c r="D70" s="77">
        <v>0</v>
      </c>
      <c r="E70" s="77"/>
      <c r="F70" s="77">
        <v>0</v>
      </c>
      <c r="G70" s="77"/>
      <c r="H70" s="77" t="s">
        <v>233</v>
      </c>
      <c r="I70" s="77"/>
    </row>
    <row r="71" spans="1:9">
      <c r="A71" s="86" t="s">
        <v>230</v>
      </c>
      <c r="B71" s="77">
        <v>0</v>
      </c>
      <c r="C71" s="77">
        <v>4</v>
      </c>
      <c r="D71" s="77">
        <v>4</v>
      </c>
      <c r="E71" s="77"/>
      <c r="F71" s="77">
        <v>0.22</v>
      </c>
      <c r="G71" s="77"/>
      <c r="H71" s="77" t="s">
        <v>234</v>
      </c>
      <c r="I71" s="77"/>
    </row>
    <row r="72" spans="1:9">
      <c r="A72" s="101" t="s">
        <v>230</v>
      </c>
      <c r="B72" s="102">
        <v>0</v>
      </c>
      <c r="C72" s="102">
        <v>7</v>
      </c>
      <c r="D72" s="102">
        <v>9</v>
      </c>
      <c r="E72" s="102"/>
      <c r="F72" s="102">
        <v>0.39</v>
      </c>
      <c r="G72" s="102"/>
      <c r="H72" s="103" t="s">
        <v>236</v>
      </c>
      <c r="I72" s="77"/>
    </row>
    <row r="73" spans="1:9">
      <c r="A73" s="87" t="s">
        <v>235</v>
      </c>
      <c r="B73" s="88">
        <v>0</v>
      </c>
      <c r="C73" s="88">
        <v>7</v>
      </c>
      <c r="D73" s="88">
        <v>9</v>
      </c>
      <c r="E73" s="88"/>
      <c r="F73" s="88">
        <f>SUM(F68:F71)</f>
        <v>0.39</v>
      </c>
      <c r="G73" s="103">
        <f>F72-F73</f>
        <v>0</v>
      </c>
      <c r="H73" s="88" t="s">
        <v>175</v>
      </c>
      <c r="I73" s="88"/>
    </row>
    <row r="74" spans="1:9" s="105" customFormat="1">
      <c r="A74" s="107"/>
      <c r="B74" s="107"/>
      <c r="C74" s="107"/>
      <c r="D74" s="107"/>
      <c r="E74" s="107"/>
      <c r="F74" s="107"/>
      <c r="G74" s="107"/>
      <c r="H74" s="107"/>
      <c r="I74" s="107"/>
    </row>
    <row r="75" spans="1:9">
      <c r="A75" s="18" t="s">
        <v>237</v>
      </c>
      <c r="F75">
        <f>SUMIF(A1:A73,"* total",F1:F73)-SUMIF(A1:A73,"Arrears total",F1:F73)</f>
        <v>29.59</v>
      </c>
    </row>
    <row r="76" spans="1:9">
      <c r="A76" s="18" t="s">
        <v>26</v>
      </c>
      <c r="F76">
        <f>F75+SUMIF(A1:A73,"Arrears total",F1:F73)</f>
        <v>30.04</v>
      </c>
      <c r="G76" s="108">
        <f>F75-F76</f>
        <v>-0.44999999999999929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48"/>
  <sheetViews>
    <sheetView workbookViewId="0">
      <selection activeCell="I10" sqref="I10"/>
    </sheetView>
  </sheetViews>
  <sheetFormatPr defaultRowHeight="14.5"/>
  <cols>
    <col min="1" max="1" width="34.453125" customWidth="1"/>
    <col min="2" max="2" width="8.81640625" customWidth="1"/>
    <col min="6" max="7" width="8.81640625" customWidth="1"/>
    <col min="8" max="8" width="43" customWidth="1"/>
  </cols>
  <sheetData>
    <row r="1" spans="1:10" ht="15.5">
      <c r="A1" s="76" t="s">
        <v>238</v>
      </c>
      <c r="B1" s="77"/>
      <c r="C1" s="77"/>
      <c r="D1" s="77"/>
      <c r="E1" s="77"/>
      <c r="F1" s="77"/>
      <c r="G1" s="77"/>
      <c r="H1" s="77"/>
    </row>
    <row r="2" spans="1:10" ht="31" customHeight="1">
      <c r="A2" s="89" t="s">
        <v>166</v>
      </c>
      <c r="B2" s="90" t="s">
        <v>167</v>
      </c>
      <c r="C2" s="91" t="s">
        <v>168</v>
      </c>
      <c r="D2" s="91" t="s">
        <v>169</v>
      </c>
      <c r="E2" s="92"/>
      <c r="F2" s="93" t="s">
        <v>1</v>
      </c>
      <c r="G2" s="94" t="s">
        <v>2</v>
      </c>
      <c r="H2" s="95" t="s">
        <v>239</v>
      </c>
      <c r="I2" t="s">
        <v>240</v>
      </c>
      <c r="J2" t="s">
        <v>241</v>
      </c>
    </row>
    <row r="3" spans="1:10">
      <c r="A3" s="86"/>
      <c r="B3" s="77"/>
      <c r="C3" s="77"/>
      <c r="D3" s="77"/>
      <c r="E3" s="77"/>
      <c r="F3" s="77"/>
      <c r="G3" s="77"/>
      <c r="H3" s="77"/>
    </row>
    <row r="4" spans="1:10">
      <c r="A4" s="85" t="s">
        <v>242</v>
      </c>
      <c r="B4" s="77">
        <v>0</v>
      </c>
      <c r="C4" s="77">
        <v>6</v>
      </c>
      <c r="D4" s="77">
        <v>6</v>
      </c>
      <c r="E4" s="77"/>
      <c r="F4" s="77">
        <v>0.33</v>
      </c>
      <c r="G4" s="77"/>
      <c r="H4" s="77" t="s">
        <v>243</v>
      </c>
      <c r="I4" s="28">
        <v>0</v>
      </c>
      <c r="J4" s="28">
        <v>0</v>
      </c>
    </row>
    <row r="5" spans="1:10">
      <c r="A5" s="86" t="s">
        <v>242</v>
      </c>
      <c r="B5" s="77">
        <v>0</v>
      </c>
      <c r="C5" s="77">
        <v>0</v>
      </c>
      <c r="D5" s="77">
        <v>6</v>
      </c>
      <c r="E5" s="77"/>
      <c r="F5" s="77">
        <v>0.03</v>
      </c>
      <c r="G5" s="77"/>
      <c r="H5" s="77" t="s">
        <v>244</v>
      </c>
      <c r="I5" s="28">
        <v>0</v>
      </c>
      <c r="J5" s="28">
        <v>0</v>
      </c>
    </row>
    <row r="6" spans="1:10">
      <c r="A6" s="86" t="s">
        <v>242</v>
      </c>
      <c r="B6" s="77">
        <v>0</v>
      </c>
      <c r="C6" s="77">
        <v>0</v>
      </c>
      <c r="D6" s="77">
        <v>7</v>
      </c>
      <c r="E6" s="77"/>
      <c r="F6" s="77">
        <v>0.03</v>
      </c>
      <c r="G6" s="77"/>
      <c r="H6" s="77" t="s">
        <v>245</v>
      </c>
      <c r="I6" s="28">
        <v>0</v>
      </c>
      <c r="J6" s="28">
        <v>0</v>
      </c>
    </row>
    <row r="7" spans="1:10">
      <c r="A7" s="86" t="s">
        <v>242</v>
      </c>
      <c r="B7" s="77">
        <v>0</v>
      </c>
      <c r="C7" s="77">
        <v>1</v>
      </c>
      <c r="D7" s="77">
        <v>3</v>
      </c>
      <c r="E7" s="77"/>
      <c r="F7" s="77">
        <v>0.06</v>
      </c>
      <c r="G7" s="77"/>
      <c r="H7" s="77" t="s">
        <v>246</v>
      </c>
      <c r="I7" s="28">
        <v>0</v>
      </c>
      <c r="J7" s="28">
        <v>0</v>
      </c>
    </row>
    <row r="8" spans="1:10">
      <c r="A8" s="86" t="s">
        <v>242</v>
      </c>
      <c r="B8" s="77">
        <v>0</v>
      </c>
      <c r="C8" s="77">
        <v>0</v>
      </c>
      <c r="D8" s="77">
        <v>6</v>
      </c>
      <c r="E8" s="77"/>
      <c r="F8" s="77">
        <v>0.03</v>
      </c>
      <c r="G8" s="77"/>
      <c r="H8" s="77" t="s">
        <v>247</v>
      </c>
      <c r="I8" s="28">
        <v>0</v>
      </c>
      <c r="J8" s="28">
        <v>0</v>
      </c>
    </row>
    <row r="9" spans="1:10">
      <c r="A9" s="86" t="s">
        <v>242</v>
      </c>
      <c r="B9" s="77">
        <v>0</v>
      </c>
      <c r="C9" s="77">
        <v>0</v>
      </c>
      <c r="D9" s="77">
        <v>2</v>
      </c>
      <c r="E9" s="77"/>
      <c r="F9" s="77">
        <v>0.01</v>
      </c>
      <c r="G9" s="77"/>
      <c r="H9" s="77" t="s">
        <v>248</v>
      </c>
      <c r="I9" s="28">
        <v>0</v>
      </c>
      <c r="J9" s="28">
        <v>0</v>
      </c>
    </row>
    <row r="10" spans="1:10">
      <c r="A10" s="86" t="s">
        <v>242</v>
      </c>
      <c r="B10" s="77">
        <v>0</v>
      </c>
      <c r="C10" s="77">
        <v>0</v>
      </c>
      <c r="D10" s="77">
        <v>8</v>
      </c>
      <c r="E10" s="77"/>
      <c r="F10" s="77">
        <v>0.03</v>
      </c>
      <c r="G10" s="77"/>
      <c r="H10" s="77" t="s">
        <v>249</v>
      </c>
      <c r="I10" s="102">
        <v>0.03</v>
      </c>
      <c r="J10" s="102">
        <v>0.03</v>
      </c>
    </row>
    <row r="11" spans="1:10">
      <c r="A11" s="86" t="s">
        <v>242</v>
      </c>
      <c r="B11" s="77">
        <v>0</v>
      </c>
      <c r="C11" s="77">
        <v>0</v>
      </c>
      <c r="D11" s="77">
        <v>6</v>
      </c>
      <c r="E11" s="77"/>
      <c r="F11" s="77">
        <v>0.03</v>
      </c>
      <c r="G11" s="77"/>
      <c r="H11" s="77" t="s">
        <v>250</v>
      </c>
      <c r="I11" s="102">
        <v>0</v>
      </c>
      <c r="J11" s="102">
        <v>0</v>
      </c>
    </row>
    <row r="12" spans="1:10">
      <c r="A12" s="86" t="s">
        <v>242</v>
      </c>
      <c r="B12" s="77">
        <v>0</v>
      </c>
      <c r="C12" s="77">
        <v>1</v>
      </c>
      <c r="D12" s="77">
        <v>4</v>
      </c>
      <c r="E12" s="77"/>
      <c r="F12" s="77">
        <v>7.0000000000000007E-2</v>
      </c>
      <c r="G12" s="77"/>
      <c r="H12" s="77" t="s">
        <v>251</v>
      </c>
      <c r="I12" s="28"/>
      <c r="J12" s="28"/>
    </row>
    <row r="13" spans="1:10">
      <c r="A13" s="86" t="s">
        <v>242</v>
      </c>
      <c r="B13" s="77">
        <v>0</v>
      </c>
      <c r="C13" s="77">
        <v>8</v>
      </c>
      <c r="D13" s="77">
        <v>0</v>
      </c>
      <c r="E13" s="77"/>
      <c r="F13" s="77">
        <v>0.4</v>
      </c>
      <c r="G13" s="77"/>
      <c r="H13" s="77" t="s">
        <v>252</v>
      </c>
      <c r="I13" s="28">
        <v>0</v>
      </c>
      <c r="J13" s="28">
        <v>0</v>
      </c>
    </row>
    <row r="14" spans="1:10">
      <c r="A14" s="86" t="s">
        <v>242</v>
      </c>
      <c r="B14" s="77">
        <v>0</v>
      </c>
      <c r="C14" s="77">
        <v>0</v>
      </c>
      <c r="D14" s="77">
        <v>2</v>
      </c>
      <c r="E14" s="77"/>
      <c r="F14" s="77">
        <v>0.01</v>
      </c>
      <c r="G14" s="77"/>
      <c r="H14" s="77" t="s">
        <v>253</v>
      </c>
      <c r="I14" s="28">
        <v>0</v>
      </c>
      <c r="J14" s="28">
        <v>0</v>
      </c>
    </row>
    <row r="15" spans="1:10">
      <c r="A15" s="86" t="s">
        <v>242</v>
      </c>
      <c r="B15" s="77">
        <v>1</v>
      </c>
      <c r="C15" s="77">
        <v>0</v>
      </c>
      <c r="D15" s="77">
        <v>2</v>
      </c>
      <c r="E15" s="77"/>
      <c r="F15" s="77">
        <v>1.01</v>
      </c>
      <c r="G15" s="77"/>
      <c r="H15" s="77" t="s">
        <v>254</v>
      </c>
      <c r="I15" s="28"/>
    </row>
    <row r="16" spans="1:10">
      <c r="A16" s="87" t="s">
        <v>30</v>
      </c>
      <c r="B16" s="88"/>
      <c r="C16" s="88"/>
      <c r="D16" s="88"/>
      <c r="E16" s="88"/>
      <c r="F16" s="88">
        <v>1.03</v>
      </c>
      <c r="G16" s="88">
        <v>0.02</v>
      </c>
      <c r="H16" s="88" t="s">
        <v>175</v>
      </c>
      <c r="I16" s="102">
        <v>0.03</v>
      </c>
      <c r="J16" s="102">
        <v>0.03</v>
      </c>
    </row>
    <row r="17" spans="1:9">
      <c r="A17" s="86"/>
      <c r="B17" s="77"/>
      <c r="C17" s="77"/>
      <c r="D17" s="77"/>
      <c r="E17" s="77"/>
      <c r="F17" s="77"/>
      <c r="G17" s="77"/>
      <c r="H17" s="77"/>
      <c r="I17" s="105"/>
    </row>
    <row r="18" spans="1:9">
      <c r="A18" s="85" t="s">
        <v>255</v>
      </c>
      <c r="B18" s="77">
        <v>0</v>
      </c>
      <c r="C18" s="77">
        <v>6</v>
      </c>
      <c r="D18" s="77">
        <v>7.25</v>
      </c>
      <c r="E18" s="77"/>
      <c r="F18" s="77">
        <v>0.33</v>
      </c>
      <c r="G18" s="77"/>
      <c r="H18" s="77" t="s">
        <v>256</v>
      </c>
    </row>
    <row r="19" spans="1:9">
      <c r="A19" s="86" t="s">
        <v>255</v>
      </c>
      <c r="B19" s="77">
        <v>0</v>
      </c>
      <c r="C19" s="77">
        <v>3</v>
      </c>
      <c r="D19" s="77">
        <v>11</v>
      </c>
      <c r="E19" s="77"/>
      <c r="F19" s="77">
        <v>0.2</v>
      </c>
      <c r="G19" s="77"/>
      <c r="H19" s="77" t="s">
        <v>257</v>
      </c>
    </row>
    <row r="20" spans="1:9">
      <c r="A20" s="86" t="s">
        <v>255</v>
      </c>
      <c r="B20" s="77">
        <v>0</v>
      </c>
      <c r="C20" s="77">
        <v>2</v>
      </c>
      <c r="D20" s="77">
        <v>6.75</v>
      </c>
      <c r="E20" s="77"/>
      <c r="F20" s="77">
        <v>0.13</v>
      </c>
      <c r="G20" s="77"/>
      <c r="H20" s="77" t="s">
        <v>258</v>
      </c>
    </row>
    <row r="21" spans="1:9">
      <c r="A21" s="86" t="s">
        <v>255</v>
      </c>
      <c r="B21" s="77">
        <v>0</v>
      </c>
      <c r="C21" s="77">
        <v>1</v>
      </c>
      <c r="D21" s="77">
        <v>11.25</v>
      </c>
      <c r="E21" s="77"/>
      <c r="F21" s="77">
        <v>0.1</v>
      </c>
      <c r="G21" s="77"/>
      <c r="H21" s="77" t="s">
        <v>259</v>
      </c>
    </row>
    <row r="22" spans="1:9">
      <c r="A22" s="86" t="s">
        <v>255</v>
      </c>
      <c r="B22" s="77">
        <v>0</v>
      </c>
      <c r="C22" s="77">
        <v>15</v>
      </c>
      <c r="D22" s="77">
        <v>0.25</v>
      </c>
      <c r="E22" s="77"/>
      <c r="F22" s="77">
        <v>0.75</v>
      </c>
      <c r="G22" s="77"/>
      <c r="H22" s="77" t="s">
        <v>260</v>
      </c>
    </row>
    <row r="23" spans="1:9">
      <c r="A23" s="87" t="s">
        <v>261</v>
      </c>
      <c r="B23" s="88"/>
      <c r="C23" s="88"/>
      <c r="D23" s="88"/>
      <c r="E23" s="88"/>
      <c r="F23" s="88">
        <v>0.76</v>
      </c>
      <c r="G23" s="88">
        <v>0.01</v>
      </c>
      <c r="H23" s="88" t="s">
        <v>175</v>
      </c>
    </row>
    <row r="24" spans="1:9">
      <c r="A24" s="86"/>
      <c r="B24" s="77"/>
      <c r="C24" s="77"/>
      <c r="D24" s="77"/>
      <c r="E24" s="77"/>
      <c r="F24" s="77"/>
      <c r="G24" s="77"/>
      <c r="H24" s="77"/>
    </row>
    <row r="25" spans="1:9">
      <c r="A25" s="85" t="s">
        <v>262</v>
      </c>
      <c r="B25" s="77">
        <v>0</v>
      </c>
      <c r="C25" s="77">
        <v>10</v>
      </c>
      <c r="D25" s="77">
        <v>4</v>
      </c>
      <c r="E25" s="77"/>
      <c r="F25" s="77">
        <v>0.52</v>
      </c>
      <c r="G25" s="77"/>
      <c r="H25" s="77" t="s">
        <v>263</v>
      </c>
    </row>
    <row r="26" spans="1:9">
      <c r="A26" s="86" t="s">
        <v>262</v>
      </c>
      <c r="B26" s="77">
        <v>0</v>
      </c>
      <c r="C26" s="77">
        <v>9</v>
      </c>
      <c r="D26" s="77">
        <v>11.5</v>
      </c>
      <c r="E26" s="77"/>
      <c r="F26" s="77">
        <v>0.5</v>
      </c>
      <c r="G26" s="77"/>
      <c r="H26" s="77" t="s">
        <v>264</v>
      </c>
    </row>
    <row r="27" spans="1:9">
      <c r="A27" s="86" t="s">
        <v>262</v>
      </c>
      <c r="B27" s="77">
        <v>0</v>
      </c>
      <c r="C27" s="77">
        <v>2</v>
      </c>
      <c r="D27" s="77">
        <v>0</v>
      </c>
      <c r="E27" s="77"/>
      <c r="F27" s="77">
        <v>0.1</v>
      </c>
      <c r="G27" s="77"/>
      <c r="H27" s="77" t="s">
        <v>265</v>
      </c>
    </row>
    <row r="28" spans="1:9">
      <c r="A28" s="86" t="s">
        <v>262</v>
      </c>
      <c r="B28" s="77">
        <v>1</v>
      </c>
      <c r="C28" s="77">
        <v>2</v>
      </c>
      <c r="D28" s="77">
        <v>3.5</v>
      </c>
      <c r="E28" s="77"/>
      <c r="F28" s="77">
        <v>1.1100000000000001</v>
      </c>
      <c r="G28" s="77"/>
      <c r="H28" s="77" t="s">
        <v>266</v>
      </c>
    </row>
    <row r="29" spans="1:9">
      <c r="A29" s="87" t="s">
        <v>267</v>
      </c>
      <c r="B29" s="88"/>
      <c r="C29" s="88"/>
      <c r="D29" s="88"/>
      <c r="E29" s="88"/>
      <c r="F29" s="88">
        <v>1.1200000000000001</v>
      </c>
      <c r="G29" s="88">
        <v>0.01</v>
      </c>
      <c r="H29" s="88" t="s">
        <v>175</v>
      </c>
    </row>
    <row r="30" spans="1:9">
      <c r="A30" s="86"/>
      <c r="B30" s="77"/>
      <c r="C30" s="77"/>
      <c r="D30" s="77"/>
      <c r="E30" s="77"/>
      <c r="F30" s="77"/>
      <c r="G30" s="77"/>
      <c r="H30" s="77"/>
    </row>
    <row r="31" spans="1:9">
      <c r="A31" s="86" t="s">
        <v>268</v>
      </c>
      <c r="B31" s="77">
        <v>12</v>
      </c>
      <c r="C31" s="77">
        <v>1</v>
      </c>
      <c r="D31" s="77">
        <v>3.5</v>
      </c>
      <c r="E31" s="77"/>
      <c r="F31" s="77">
        <v>12.06</v>
      </c>
      <c r="G31" s="77"/>
      <c r="H31" s="77" t="s">
        <v>269</v>
      </c>
    </row>
    <row r="32" spans="1:9">
      <c r="A32" s="86" t="s">
        <v>268</v>
      </c>
      <c r="B32" s="77"/>
      <c r="C32" s="77"/>
      <c r="D32" s="77"/>
      <c r="E32" s="77"/>
      <c r="F32" s="77">
        <v>0</v>
      </c>
      <c r="G32" s="77">
        <v>-12.06</v>
      </c>
      <c r="H32" s="77" t="s">
        <v>175</v>
      </c>
    </row>
    <row r="33" spans="1:8">
      <c r="A33" s="86"/>
      <c r="B33" s="77"/>
      <c r="C33" s="77"/>
      <c r="D33" s="77"/>
      <c r="E33" s="77"/>
      <c r="F33" s="77"/>
      <c r="G33" s="77"/>
      <c r="H33" s="77"/>
    </row>
    <row r="34" spans="1:8">
      <c r="A34" s="85" t="s">
        <v>270</v>
      </c>
      <c r="B34" s="77">
        <v>14</v>
      </c>
      <c r="C34" s="77">
        <v>9</v>
      </c>
      <c r="D34" s="77">
        <v>6</v>
      </c>
      <c r="E34" s="77"/>
      <c r="F34" s="77">
        <v>14.47</v>
      </c>
      <c r="G34" s="77"/>
      <c r="H34" s="77" t="s">
        <v>271</v>
      </c>
    </row>
    <row r="35" spans="1:8">
      <c r="A35" s="86" t="s">
        <v>270</v>
      </c>
      <c r="B35" s="77"/>
      <c r="C35" s="77"/>
      <c r="D35" s="77"/>
      <c r="E35" s="77"/>
      <c r="F35" s="77">
        <v>14.47</v>
      </c>
      <c r="G35" s="77"/>
      <c r="H35" s="77" t="s">
        <v>175</v>
      </c>
    </row>
    <row r="36" spans="1:8">
      <c r="A36" s="87" t="s">
        <v>272</v>
      </c>
      <c r="B36" s="88">
        <v>0</v>
      </c>
      <c r="C36" s="88">
        <v>2</v>
      </c>
      <c r="D36" s="88">
        <v>4</v>
      </c>
      <c r="E36" s="88"/>
      <c r="F36" s="88">
        <v>0.12</v>
      </c>
      <c r="G36" s="88">
        <v>-14.35</v>
      </c>
      <c r="H36" s="88" t="s">
        <v>273</v>
      </c>
    </row>
    <row r="37" spans="1:8">
      <c r="A37" s="86"/>
      <c r="B37" s="77"/>
      <c r="C37" s="77"/>
      <c r="D37" s="77"/>
      <c r="E37" s="77"/>
      <c r="F37" s="77"/>
      <c r="G37" s="77"/>
      <c r="H37" s="77"/>
    </row>
    <row r="38" spans="1:8">
      <c r="A38" s="85" t="s">
        <v>51</v>
      </c>
      <c r="B38" s="77">
        <v>11</v>
      </c>
      <c r="C38" s="77">
        <v>0</v>
      </c>
      <c r="D38" s="77">
        <v>0</v>
      </c>
      <c r="E38" s="77"/>
      <c r="F38" s="77">
        <v>11</v>
      </c>
      <c r="G38" s="77"/>
      <c r="H38" s="77" t="s">
        <v>274</v>
      </c>
    </row>
    <row r="39" spans="1:8">
      <c r="A39" s="86" t="s">
        <v>51</v>
      </c>
      <c r="B39" s="77">
        <v>11</v>
      </c>
      <c r="C39" s="77">
        <v>0</v>
      </c>
      <c r="D39" s="77">
        <v>0</v>
      </c>
      <c r="E39" s="77"/>
      <c r="F39" s="77">
        <v>11</v>
      </c>
      <c r="G39" s="77"/>
      <c r="H39" s="77" t="s">
        <v>275</v>
      </c>
    </row>
    <row r="40" spans="1:8">
      <c r="A40" s="87" t="s">
        <v>276</v>
      </c>
      <c r="B40" s="88"/>
      <c r="C40" s="88"/>
      <c r="D40" s="88"/>
      <c r="E40" s="88"/>
      <c r="F40" s="88">
        <v>11</v>
      </c>
      <c r="G40" s="88">
        <v>0</v>
      </c>
      <c r="H40" s="88" t="s">
        <v>175</v>
      </c>
    </row>
    <row r="41" spans="1:8">
      <c r="A41" s="86"/>
      <c r="B41" s="77"/>
      <c r="C41" s="77"/>
      <c r="D41" s="77"/>
      <c r="E41" s="77"/>
      <c r="F41" s="77"/>
      <c r="G41" s="77"/>
      <c r="H41" s="77"/>
    </row>
    <row r="42" spans="1:8">
      <c r="A42" s="85" t="s">
        <v>277</v>
      </c>
      <c r="B42" s="77">
        <v>14</v>
      </c>
      <c r="C42" s="77">
        <v>7</v>
      </c>
      <c r="D42" s="77">
        <v>2</v>
      </c>
      <c r="E42" s="77"/>
      <c r="F42" s="77">
        <v>14.36</v>
      </c>
      <c r="G42" s="77"/>
      <c r="H42" s="77" t="s">
        <v>278</v>
      </c>
    </row>
    <row r="43" spans="1:8">
      <c r="A43" s="87" t="s">
        <v>279</v>
      </c>
      <c r="B43" s="88"/>
      <c r="C43" s="88"/>
      <c r="D43" s="88"/>
      <c r="E43" s="88"/>
      <c r="F43" s="88">
        <v>0</v>
      </c>
      <c r="G43" s="88">
        <v>-14.36</v>
      </c>
      <c r="H43" s="88" t="s">
        <v>175</v>
      </c>
    </row>
    <row r="45" spans="1:8">
      <c r="A45" s="18" t="s">
        <v>44</v>
      </c>
      <c r="B45">
        <v>12</v>
      </c>
      <c r="C45">
        <v>1</v>
      </c>
      <c r="D45">
        <v>3.5</v>
      </c>
      <c r="F45">
        <f>F31</f>
        <v>12.06</v>
      </c>
    </row>
    <row r="46" spans="1:8">
      <c r="A46" s="18" t="s">
        <v>45</v>
      </c>
      <c r="F46">
        <f>SUMIF(A1:A30,"* total",F1:F30)</f>
        <v>2.91</v>
      </c>
    </row>
    <row r="47" spans="1:8">
      <c r="A47" s="18" t="s">
        <v>46</v>
      </c>
    </row>
    <row r="48" spans="1:8">
      <c r="A48" s="18" t="s">
        <v>47</v>
      </c>
    </row>
  </sheetData>
  <pageMargins left="0.75" right="0.75" top="1" bottom="1" header="0.5" footer="0.5"/>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128"/>
  <sheetViews>
    <sheetView topLeftCell="A3" workbookViewId="0">
      <selection activeCell="S30" sqref="S30"/>
    </sheetView>
  </sheetViews>
  <sheetFormatPr defaultRowHeight="14.5"/>
  <cols>
    <col min="1" max="1" width="44.36328125" customWidth="1"/>
    <col min="2" max="2" width="14.36328125" customWidth="1"/>
    <col min="6" max="6" width="9.81640625" customWidth="1"/>
    <col min="7" max="7" width="16.6328125" customWidth="1"/>
    <col min="10" max="10" width="16.1796875" customWidth="1"/>
    <col min="11" max="11" width="11.453125" customWidth="1"/>
    <col min="13" max="13" width="8.453125" customWidth="1"/>
    <col min="14" max="14" width="10.6328125" customWidth="1"/>
    <col min="16" max="16" width="16.6328125" customWidth="1"/>
    <col min="17" max="17" width="17.36328125" customWidth="1"/>
    <col min="19" max="19" width="16.1796875" customWidth="1"/>
    <col min="21" max="21" width="13.1796875" customWidth="1"/>
  </cols>
  <sheetData>
    <row r="1" spans="1:21" ht="15.5" customHeight="1">
      <c r="A1" s="3" t="s">
        <v>280</v>
      </c>
    </row>
    <row r="2" spans="1:21" ht="15.5" customHeight="1">
      <c r="A2" s="3"/>
    </row>
    <row r="3" spans="1:21" ht="17" customHeight="1">
      <c r="A3" s="20"/>
      <c r="B3" s="20"/>
      <c r="C3" s="98" t="s">
        <v>281</v>
      </c>
      <c r="D3" s="99"/>
      <c r="E3" s="99"/>
      <c r="F3" s="99"/>
      <c r="G3" s="100" t="s">
        <v>282</v>
      </c>
      <c r="H3" s="99"/>
      <c r="I3" s="99"/>
      <c r="J3" s="99"/>
      <c r="K3" s="20"/>
      <c r="L3" s="20"/>
      <c r="M3" s="20"/>
      <c r="N3" s="20"/>
      <c r="O3" s="20"/>
      <c r="P3" s="30"/>
      <c r="Q3" s="20"/>
      <c r="R3" s="20"/>
      <c r="S3" s="20"/>
      <c r="T3" s="20"/>
    </row>
    <row r="4" spans="1:21" ht="46.5" customHeight="1">
      <c r="A4" s="23" t="s">
        <v>83</v>
      </c>
      <c r="B4" s="17" t="s">
        <v>283</v>
      </c>
      <c r="C4" s="17" t="s">
        <v>281</v>
      </c>
      <c r="D4" s="3" t="s">
        <v>284</v>
      </c>
      <c r="E4" s="3" t="s">
        <v>285</v>
      </c>
      <c r="F4" s="3" t="s">
        <v>286</v>
      </c>
      <c r="G4" s="3" t="s">
        <v>287</v>
      </c>
      <c r="H4" s="17" t="s">
        <v>288</v>
      </c>
      <c r="I4" s="17" t="s">
        <v>289</v>
      </c>
      <c r="J4" s="17" t="s">
        <v>290</v>
      </c>
      <c r="K4" s="17" t="s">
        <v>291</v>
      </c>
      <c r="L4" s="17" t="s">
        <v>292</v>
      </c>
      <c r="M4" s="17" t="s">
        <v>293</v>
      </c>
      <c r="N4" s="17" t="s">
        <v>294</v>
      </c>
      <c r="O4" s="17" t="s">
        <v>295</v>
      </c>
      <c r="P4" s="31" t="s">
        <v>296</v>
      </c>
      <c r="Q4" s="23" t="s">
        <v>297</v>
      </c>
      <c r="R4" s="23" t="s">
        <v>298</v>
      </c>
      <c r="S4" s="23" t="s">
        <v>299</v>
      </c>
      <c r="T4" s="74" t="s">
        <v>300</v>
      </c>
      <c r="U4" s="17" t="s">
        <v>301</v>
      </c>
    </row>
    <row r="5" spans="1:21">
      <c r="A5" s="20" t="s">
        <v>89</v>
      </c>
      <c r="B5">
        <v>0</v>
      </c>
      <c r="C5">
        <v>0</v>
      </c>
      <c r="H5">
        <v>0</v>
      </c>
      <c r="I5">
        <v>0</v>
      </c>
      <c r="K5">
        <f t="shared" ref="K5:K30" si="0">B5+C5-H5-I5</f>
        <v>0</v>
      </c>
      <c r="L5">
        <f t="shared" ref="L5:L30" si="1">B5+C5-H5</f>
        <v>0</v>
      </c>
      <c r="M5">
        <f t="shared" ref="M5:M30" si="2">L5-B5</f>
        <v>0</v>
      </c>
      <c r="N5">
        <f t="shared" ref="N5:N30" si="3">C5</f>
        <v>0</v>
      </c>
      <c r="O5">
        <v>0</v>
      </c>
      <c r="P5" s="29">
        <f t="shared" ref="P5:P30" si="4">O5*K5</f>
        <v>0</v>
      </c>
      <c r="R5">
        <v>0</v>
      </c>
      <c r="S5">
        <f t="shared" ref="S5:S30" si="5">O5*M5</f>
        <v>0</v>
      </c>
      <c r="T5">
        <f t="shared" ref="T5:T30" si="6">O5*N5</f>
        <v>0</v>
      </c>
    </row>
    <row r="6" spans="1:21">
      <c r="A6" s="20" t="s">
        <v>90</v>
      </c>
      <c r="B6">
        <v>0</v>
      </c>
      <c r="C6">
        <v>0</v>
      </c>
      <c r="H6">
        <v>0</v>
      </c>
      <c r="I6">
        <v>0</v>
      </c>
      <c r="K6">
        <f t="shared" si="0"/>
        <v>0</v>
      </c>
      <c r="L6">
        <f t="shared" si="1"/>
        <v>0</v>
      </c>
      <c r="M6">
        <f t="shared" si="2"/>
        <v>0</v>
      </c>
      <c r="N6">
        <f t="shared" si="3"/>
        <v>0</v>
      </c>
      <c r="O6">
        <v>0</v>
      </c>
      <c r="P6" s="29">
        <f t="shared" si="4"/>
        <v>0</v>
      </c>
      <c r="R6">
        <v>0</v>
      </c>
      <c r="S6">
        <f t="shared" si="5"/>
        <v>0</v>
      </c>
      <c r="T6">
        <f t="shared" si="6"/>
        <v>0</v>
      </c>
    </row>
    <row r="7" spans="1:21">
      <c r="A7" t="s">
        <v>91</v>
      </c>
      <c r="B7">
        <v>4</v>
      </c>
      <c r="C7">
        <v>1</v>
      </c>
      <c r="H7">
        <v>0</v>
      </c>
      <c r="I7">
        <v>0</v>
      </c>
      <c r="K7">
        <f t="shared" si="0"/>
        <v>5</v>
      </c>
      <c r="L7">
        <f t="shared" si="1"/>
        <v>5</v>
      </c>
      <c r="M7">
        <f t="shared" si="2"/>
        <v>1</v>
      </c>
      <c r="N7">
        <f t="shared" si="3"/>
        <v>1</v>
      </c>
      <c r="O7" s="104">
        <v>0</v>
      </c>
      <c r="P7" s="29">
        <f t="shared" si="4"/>
        <v>0</v>
      </c>
      <c r="R7">
        <v>0</v>
      </c>
      <c r="S7">
        <f t="shared" si="5"/>
        <v>0</v>
      </c>
      <c r="T7">
        <f t="shared" si="6"/>
        <v>0</v>
      </c>
    </row>
    <row r="8" spans="1:21">
      <c r="A8" t="s">
        <v>302</v>
      </c>
      <c r="B8">
        <v>0</v>
      </c>
      <c r="C8">
        <v>0</v>
      </c>
      <c r="H8">
        <v>0</v>
      </c>
      <c r="I8">
        <v>0</v>
      </c>
      <c r="K8">
        <f t="shared" si="0"/>
        <v>0</v>
      </c>
      <c r="L8">
        <f t="shared" si="1"/>
        <v>0</v>
      </c>
      <c r="M8">
        <f t="shared" si="2"/>
        <v>0</v>
      </c>
      <c r="N8">
        <f t="shared" si="3"/>
        <v>0</v>
      </c>
      <c r="O8">
        <v>0</v>
      </c>
      <c r="P8" s="29">
        <f t="shared" si="4"/>
        <v>0</v>
      </c>
      <c r="R8">
        <v>0</v>
      </c>
      <c r="S8">
        <f t="shared" si="5"/>
        <v>0</v>
      </c>
      <c r="T8">
        <f t="shared" si="6"/>
        <v>0</v>
      </c>
    </row>
    <row r="9" spans="1:21">
      <c r="A9" t="s">
        <v>92</v>
      </c>
      <c r="B9">
        <v>0</v>
      </c>
      <c r="C9">
        <v>0</v>
      </c>
      <c r="H9">
        <v>0</v>
      </c>
      <c r="I9">
        <v>0</v>
      </c>
      <c r="K9">
        <f t="shared" si="0"/>
        <v>0</v>
      </c>
      <c r="L9">
        <f t="shared" si="1"/>
        <v>0</v>
      </c>
      <c r="M9">
        <f t="shared" si="2"/>
        <v>0</v>
      </c>
      <c r="N9">
        <f t="shared" si="3"/>
        <v>0</v>
      </c>
      <c r="O9">
        <v>0</v>
      </c>
      <c r="P9" s="29">
        <f t="shared" si="4"/>
        <v>0</v>
      </c>
      <c r="R9">
        <v>0</v>
      </c>
      <c r="S9">
        <f t="shared" si="5"/>
        <v>0</v>
      </c>
      <c r="T9">
        <f t="shared" si="6"/>
        <v>0</v>
      </c>
    </row>
    <row r="10" spans="1:21">
      <c r="A10" t="s">
        <v>93</v>
      </c>
      <c r="B10">
        <v>0</v>
      </c>
      <c r="C10">
        <v>0</v>
      </c>
      <c r="H10">
        <v>0</v>
      </c>
      <c r="I10">
        <v>0</v>
      </c>
      <c r="K10">
        <f t="shared" si="0"/>
        <v>0</v>
      </c>
      <c r="L10">
        <f t="shared" si="1"/>
        <v>0</v>
      </c>
      <c r="M10">
        <f t="shared" si="2"/>
        <v>0</v>
      </c>
      <c r="N10">
        <f t="shared" si="3"/>
        <v>0</v>
      </c>
      <c r="O10">
        <v>0</v>
      </c>
      <c r="P10" s="29">
        <f t="shared" si="4"/>
        <v>0</v>
      </c>
      <c r="R10">
        <v>0</v>
      </c>
      <c r="S10">
        <f t="shared" si="5"/>
        <v>0</v>
      </c>
      <c r="T10">
        <f t="shared" si="6"/>
        <v>0</v>
      </c>
    </row>
    <row r="11" spans="1:21">
      <c r="A11" t="s">
        <v>94</v>
      </c>
      <c r="B11">
        <v>0</v>
      </c>
      <c r="C11">
        <v>0</v>
      </c>
      <c r="H11">
        <v>0</v>
      </c>
      <c r="I11">
        <v>0</v>
      </c>
      <c r="K11">
        <f t="shared" si="0"/>
        <v>0</v>
      </c>
      <c r="L11">
        <f t="shared" si="1"/>
        <v>0</v>
      </c>
      <c r="M11">
        <f t="shared" si="2"/>
        <v>0</v>
      </c>
      <c r="N11">
        <f t="shared" si="3"/>
        <v>0</v>
      </c>
      <c r="O11">
        <v>0</v>
      </c>
      <c r="P11" s="29">
        <f t="shared" si="4"/>
        <v>0</v>
      </c>
      <c r="R11">
        <v>0</v>
      </c>
      <c r="S11">
        <f t="shared" si="5"/>
        <v>0</v>
      </c>
      <c r="T11">
        <f t="shared" si="6"/>
        <v>0</v>
      </c>
    </row>
    <row r="12" spans="1:21">
      <c r="A12" t="s">
        <v>95</v>
      </c>
      <c r="B12">
        <v>5</v>
      </c>
      <c r="C12">
        <v>0</v>
      </c>
      <c r="H12">
        <v>0</v>
      </c>
      <c r="I12">
        <v>0</v>
      </c>
      <c r="K12">
        <f t="shared" si="0"/>
        <v>5</v>
      </c>
      <c r="L12">
        <f t="shared" si="1"/>
        <v>5</v>
      </c>
      <c r="M12">
        <f t="shared" si="2"/>
        <v>0</v>
      </c>
      <c r="N12">
        <f t="shared" si="3"/>
        <v>0</v>
      </c>
      <c r="O12">
        <v>0</v>
      </c>
      <c r="P12" s="29">
        <f t="shared" si="4"/>
        <v>0</v>
      </c>
      <c r="R12">
        <v>0</v>
      </c>
      <c r="S12">
        <f t="shared" si="5"/>
        <v>0</v>
      </c>
      <c r="T12">
        <f t="shared" si="6"/>
        <v>0</v>
      </c>
    </row>
    <row r="13" spans="1:21">
      <c r="A13" t="s">
        <v>96</v>
      </c>
      <c r="B13">
        <v>0</v>
      </c>
      <c r="C13">
        <v>0</v>
      </c>
      <c r="H13">
        <v>0</v>
      </c>
      <c r="I13">
        <v>0</v>
      </c>
      <c r="K13">
        <f t="shared" si="0"/>
        <v>0</v>
      </c>
      <c r="L13">
        <f t="shared" si="1"/>
        <v>0</v>
      </c>
      <c r="M13">
        <f t="shared" si="2"/>
        <v>0</v>
      </c>
      <c r="N13">
        <f t="shared" si="3"/>
        <v>0</v>
      </c>
      <c r="O13">
        <v>0</v>
      </c>
      <c r="P13" s="29">
        <f t="shared" si="4"/>
        <v>0</v>
      </c>
      <c r="R13">
        <v>0</v>
      </c>
      <c r="S13">
        <f t="shared" si="5"/>
        <v>0</v>
      </c>
      <c r="T13">
        <f t="shared" si="6"/>
        <v>0</v>
      </c>
    </row>
    <row r="14" spans="1:21">
      <c r="A14" t="s">
        <v>97</v>
      </c>
      <c r="B14">
        <v>0</v>
      </c>
      <c r="C14">
        <v>0</v>
      </c>
      <c r="H14">
        <v>0</v>
      </c>
      <c r="I14">
        <v>0</v>
      </c>
      <c r="K14">
        <f t="shared" si="0"/>
        <v>0</v>
      </c>
      <c r="L14">
        <f t="shared" si="1"/>
        <v>0</v>
      </c>
      <c r="M14">
        <f t="shared" si="2"/>
        <v>0</v>
      </c>
      <c r="N14">
        <f t="shared" si="3"/>
        <v>0</v>
      </c>
      <c r="O14">
        <v>0</v>
      </c>
      <c r="P14" s="29">
        <f t="shared" si="4"/>
        <v>0</v>
      </c>
      <c r="R14">
        <v>0.8</v>
      </c>
      <c r="S14">
        <f t="shared" si="5"/>
        <v>0</v>
      </c>
      <c r="T14">
        <f t="shared" si="6"/>
        <v>0</v>
      </c>
    </row>
    <row r="15" spans="1:21">
      <c r="A15" t="s">
        <v>98</v>
      </c>
      <c r="B15">
        <v>0</v>
      </c>
      <c r="C15">
        <v>0</v>
      </c>
      <c r="H15">
        <v>0</v>
      </c>
      <c r="I15">
        <v>0</v>
      </c>
      <c r="K15">
        <f t="shared" si="0"/>
        <v>0</v>
      </c>
      <c r="L15">
        <f t="shared" si="1"/>
        <v>0</v>
      </c>
      <c r="M15">
        <f t="shared" si="2"/>
        <v>0</v>
      </c>
      <c r="N15">
        <f t="shared" si="3"/>
        <v>0</v>
      </c>
      <c r="O15">
        <v>0</v>
      </c>
      <c r="P15" s="29">
        <f t="shared" si="4"/>
        <v>0</v>
      </c>
      <c r="R15">
        <v>0</v>
      </c>
      <c r="S15">
        <f t="shared" si="5"/>
        <v>0</v>
      </c>
      <c r="T15">
        <f t="shared" si="6"/>
        <v>0</v>
      </c>
    </row>
    <row r="16" spans="1:21">
      <c r="A16" t="s">
        <v>99</v>
      </c>
      <c r="B16">
        <v>0</v>
      </c>
      <c r="C16">
        <v>0</v>
      </c>
      <c r="H16">
        <v>0</v>
      </c>
      <c r="I16">
        <v>0</v>
      </c>
      <c r="K16">
        <f t="shared" si="0"/>
        <v>0</v>
      </c>
      <c r="L16">
        <f t="shared" si="1"/>
        <v>0</v>
      </c>
      <c r="M16">
        <f t="shared" si="2"/>
        <v>0</v>
      </c>
      <c r="N16">
        <f t="shared" si="3"/>
        <v>0</v>
      </c>
      <c r="O16">
        <v>0</v>
      </c>
      <c r="P16" s="29">
        <f t="shared" si="4"/>
        <v>0</v>
      </c>
      <c r="R16">
        <v>0</v>
      </c>
      <c r="S16">
        <f t="shared" si="5"/>
        <v>0</v>
      </c>
      <c r="T16">
        <f t="shared" si="6"/>
        <v>0</v>
      </c>
    </row>
    <row r="17" spans="1:20">
      <c r="A17" t="s">
        <v>100</v>
      </c>
      <c r="B17">
        <v>0</v>
      </c>
      <c r="C17">
        <v>0</v>
      </c>
      <c r="H17">
        <v>0</v>
      </c>
      <c r="I17">
        <v>0</v>
      </c>
      <c r="K17">
        <f t="shared" si="0"/>
        <v>0</v>
      </c>
      <c r="L17">
        <f t="shared" si="1"/>
        <v>0</v>
      </c>
      <c r="M17">
        <f t="shared" si="2"/>
        <v>0</v>
      </c>
      <c r="N17">
        <f t="shared" si="3"/>
        <v>0</v>
      </c>
      <c r="O17">
        <v>0</v>
      </c>
      <c r="P17" s="29">
        <f t="shared" si="4"/>
        <v>0</v>
      </c>
      <c r="R17">
        <v>0</v>
      </c>
      <c r="S17">
        <f t="shared" si="5"/>
        <v>0</v>
      </c>
      <c r="T17">
        <f t="shared" si="6"/>
        <v>0</v>
      </c>
    </row>
    <row r="18" spans="1:20">
      <c r="A18" t="s">
        <v>101</v>
      </c>
      <c r="B18">
        <v>0</v>
      </c>
      <c r="C18">
        <v>0</v>
      </c>
      <c r="H18">
        <v>0</v>
      </c>
      <c r="I18">
        <v>0</v>
      </c>
      <c r="K18">
        <f t="shared" si="0"/>
        <v>0</v>
      </c>
      <c r="L18">
        <f t="shared" si="1"/>
        <v>0</v>
      </c>
      <c r="M18">
        <f t="shared" si="2"/>
        <v>0</v>
      </c>
      <c r="N18">
        <f t="shared" si="3"/>
        <v>0</v>
      </c>
      <c r="O18">
        <v>0</v>
      </c>
      <c r="P18" s="29">
        <f t="shared" si="4"/>
        <v>0</v>
      </c>
      <c r="R18">
        <v>0</v>
      </c>
      <c r="S18">
        <f t="shared" si="5"/>
        <v>0</v>
      </c>
      <c r="T18">
        <f t="shared" si="6"/>
        <v>0</v>
      </c>
    </row>
    <row r="19" spans="1:20">
      <c r="A19" t="s">
        <v>102</v>
      </c>
      <c r="B19">
        <v>376</v>
      </c>
      <c r="C19">
        <v>0</v>
      </c>
      <c r="H19">
        <v>12</v>
      </c>
      <c r="I19">
        <v>8</v>
      </c>
      <c r="K19">
        <f t="shared" si="0"/>
        <v>356</v>
      </c>
      <c r="L19">
        <f t="shared" si="1"/>
        <v>364</v>
      </c>
      <c r="M19">
        <f>L19-B19</f>
        <v>-12</v>
      </c>
      <c r="N19">
        <f t="shared" si="3"/>
        <v>0</v>
      </c>
      <c r="O19">
        <v>0.13166666666666671</v>
      </c>
      <c r="P19" s="29">
        <f t="shared" si="4"/>
        <v>46.873333333333349</v>
      </c>
      <c r="R19">
        <v>1.58</v>
      </c>
      <c r="S19">
        <f t="shared" si="5"/>
        <v>-1.5800000000000005</v>
      </c>
      <c r="T19">
        <f t="shared" si="6"/>
        <v>0</v>
      </c>
    </row>
    <row r="20" spans="1:20">
      <c r="A20" t="s">
        <v>103</v>
      </c>
      <c r="B20">
        <v>0</v>
      </c>
      <c r="C20">
        <v>0</v>
      </c>
      <c r="H20">
        <v>0</v>
      </c>
      <c r="I20">
        <v>0</v>
      </c>
      <c r="K20">
        <f t="shared" si="0"/>
        <v>0</v>
      </c>
      <c r="L20">
        <f t="shared" si="1"/>
        <v>0</v>
      </c>
      <c r="M20">
        <f t="shared" si="2"/>
        <v>0</v>
      </c>
      <c r="N20">
        <f t="shared" si="3"/>
        <v>0</v>
      </c>
      <c r="O20">
        <v>0</v>
      </c>
      <c r="P20" s="29">
        <f t="shared" si="4"/>
        <v>0</v>
      </c>
      <c r="R20">
        <v>0</v>
      </c>
      <c r="S20">
        <f t="shared" si="5"/>
        <v>0</v>
      </c>
      <c r="T20">
        <f t="shared" si="6"/>
        <v>0</v>
      </c>
    </row>
    <row r="21" spans="1:20">
      <c r="A21" t="s">
        <v>104</v>
      </c>
      <c r="B21">
        <v>0</v>
      </c>
      <c r="C21">
        <v>0</v>
      </c>
      <c r="H21">
        <v>0</v>
      </c>
      <c r="I21">
        <v>0</v>
      </c>
      <c r="K21">
        <f t="shared" si="0"/>
        <v>0</v>
      </c>
      <c r="L21">
        <f t="shared" si="1"/>
        <v>0</v>
      </c>
      <c r="M21">
        <f t="shared" si="2"/>
        <v>0</v>
      </c>
      <c r="N21">
        <f t="shared" si="3"/>
        <v>0</v>
      </c>
      <c r="O21">
        <v>0</v>
      </c>
      <c r="P21" s="29">
        <f t="shared" si="4"/>
        <v>0</v>
      </c>
      <c r="Q21">
        <v>0</v>
      </c>
      <c r="R21">
        <v>0</v>
      </c>
      <c r="S21">
        <f t="shared" si="5"/>
        <v>0</v>
      </c>
      <c r="T21">
        <f t="shared" si="6"/>
        <v>0</v>
      </c>
    </row>
    <row r="22" spans="1:20">
      <c r="A22" t="s">
        <v>105</v>
      </c>
      <c r="B22">
        <v>0</v>
      </c>
      <c r="C22">
        <v>76</v>
      </c>
      <c r="H22">
        <v>0</v>
      </c>
      <c r="I22">
        <v>0</v>
      </c>
      <c r="K22">
        <f t="shared" si="0"/>
        <v>76</v>
      </c>
      <c r="L22">
        <f t="shared" si="1"/>
        <v>76</v>
      </c>
      <c r="M22">
        <f t="shared" si="2"/>
        <v>76</v>
      </c>
      <c r="N22">
        <f t="shared" si="3"/>
        <v>76</v>
      </c>
      <c r="O22" s="28">
        <v>8.3299999999999999E-2</v>
      </c>
      <c r="P22" s="29">
        <f t="shared" si="4"/>
        <v>6.3308</v>
      </c>
      <c r="R22">
        <v>0</v>
      </c>
      <c r="S22">
        <f t="shared" si="5"/>
        <v>6.3308</v>
      </c>
      <c r="T22">
        <f t="shared" si="6"/>
        <v>6.3308</v>
      </c>
    </row>
    <row r="23" spans="1:20">
      <c r="A23" t="s">
        <v>106</v>
      </c>
      <c r="B23">
        <v>0</v>
      </c>
      <c r="C23">
        <v>0</v>
      </c>
      <c r="H23">
        <v>0</v>
      </c>
      <c r="I23">
        <v>0</v>
      </c>
      <c r="K23">
        <f t="shared" si="0"/>
        <v>0</v>
      </c>
      <c r="L23">
        <f t="shared" si="1"/>
        <v>0</v>
      </c>
      <c r="M23">
        <f t="shared" si="2"/>
        <v>0</v>
      </c>
      <c r="N23">
        <f t="shared" si="3"/>
        <v>0</v>
      </c>
      <c r="O23">
        <v>0</v>
      </c>
      <c r="P23" s="29">
        <f t="shared" si="4"/>
        <v>0</v>
      </c>
      <c r="R23">
        <v>0</v>
      </c>
      <c r="S23">
        <f t="shared" si="5"/>
        <v>0</v>
      </c>
      <c r="T23">
        <f t="shared" si="6"/>
        <v>0</v>
      </c>
    </row>
    <row r="24" spans="1:20">
      <c r="A24" t="s">
        <v>107</v>
      </c>
      <c r="B24">
        <v>0</v>
      </c>
      <c r="C24">
        <v>0</v>
      </c>
      <c r="H24">
        <v>0</v>
      </c>
      <c r="I24">
        <v>0</v>
      </c>
      <c r="K24">
        <f t="shared" si="0"/>
        <v>0</v>
      </c>
      <c r="L24">
        <f t="shared" si="1"/>
        <v>0</v>
      </c>
      <c r="M24">
        <f t="shared" si="2"/>
        <v>0</v>
      </c>
      <c r="N24">
        <f t="shared" si="3"/>
        <v>0</v>
      </c>
      <c r="O24">
        <v>0</v>
      </c>
      <c r="P24" s="29">
        <f t="shared" si="4"/>
        <v>0</v>
      </c>
      <c r="R24">
        <v>0</v>
      </c>
      <c r="S24">
        <f t="shared" si="5"/>
        <v>0</v>
      </c>
      <c r="T24">
        <f t="shared" si="6"/>
        <v>0</v>
      </c>
    </row>
    <row r="25" spans="1:20">
      <c r="A25" t="s">
        <v>108</v>
      </c>
      <c r="B25">
        <v>0</v>
      </c>
      <c r="C25">
        <v>0</v>
      </c>
      <c r="H25">
        <v>0</v>
      </c>
      <c r="I25">
        <v>0</v>
      </c>
      <c r="K25">
        <f t="shared" si="0"/>
        <v>0</v>
      </c>
      <c r="L25">
        <f t="shared" si="1"/>
        <v>0</v>
      </c>
      <c r="M25">
        <f t="shared" si="2"/>
        <v>0</v>
      </c>
      <c r="N25">
        <f t="shared" si="3"/>
        <v>0</v>
      </c>
      <c r="O25">
        <v>0</v>
      </c>
      <c r="P25" s="29">
        <f t="shared" si="4"/>
        <v>0</v>
      </c>
      <c r="R25">
        <v>0</v>
      </c>
      <c r="S25">
        <f t="shared" si="5"/>
        <v>0</v>
      </c>
      <c r="T25">
        <f t="shared" si="6"/>
        <v>0</v>
      </c>
    </row>
    <row r="26" spans="1:20">
      <c r="A26" t="s">
        <v>109</v>
      </c>
      <c r="B26">
        <v>0</v>
      </c>
      <c r="C26">
        <v>0</v>
      </c>
      <c r="H26">
        <v>0</v>
      </c>
      <c r="I26">
        <v>0</v>
      </c>
      <c r="K26">
        <f t="shared" si="0"/>
        <v>0</v>
      </c>
      <c r="L26">
        <f t="shared" si="1"/>
        <v>0</v>
      </c>
      <c r="M26">
        <f t="shared" si="2"/>
        <v>0</v>
      </c>
      <c r="N26">
        <f t="shared" si="3"/>
        <v>0</v>
      </c>
      <c r="O26">
        <v>0</v>
      </c>
      <c r="P26" s="29">
        <f t="shared" si="4"/>
        <v>0</v>
      </c>
      <c r="R26">
        <v>0</v>
      </c>
      <c r="S26">
        <f t="shared" si="5"/>
        <v>0</v>
      </c>
      <c r="T26">
        <f t="shared" si="6"/>
        <v>0</v>
      </c>
    </row>
    <row r="27" spans="1:20">
      <c r="A27" t="s">
        <v>110</v>
      </c>
      <c r="B27">
        <v>9</v>
      </c>
      <c r="C27">
        <v>0</v>
      </c>
      <c r="H27">
        <v>0</v>
      </c>
      <c r="I27">
        <v>0</v>
      </c>
      <c r="K27">
        <f t="shared" si="0"/>
        <v>9</v>
      </c>
      <c r="L27">
        <f t="shared" si="1"/>
        <v>9</v>
      </c>
      <c r="M27">
        <f t="shared" si="2"/>
        <v>0</v>
      </c>
      <c r="N27">
        <f t="shared" si="3"/>
        <v>0</v>
      </c>
      <c r="O27">
        <v>0</v>
      </c>
      <c r="P27" s="29">
        <f t="shared" si="4"/>
        <v>0</v>
      </c>
      <c r="R27">
        <v>0.9</v>
      </c>
      <c r="S27">
        <f t="shared" si="5"/>
        <v>0</v>
      </c>
      <c r="T27">
        <f t="shared" si="6"/>
        <v>0</v>
      </c>
    </row>
    <row r="28" spans="1:20">
      <c r="A28" t="s">
        <v>111</v>
      </c>
      <c r="B28">
        <v>9</v>
      </c>
      <c r="C28">
        <v>15</v>
      </c>
      <c r="H28">
        <v>5</v>
      </c>
      <c r="I28">
        <v>0</v>
      </c>
      <c r="K28">
        <f t="shared" si="0"/>
        <v>19</v>
      </c>
      <c r="L28">
        <f t="shared" si="1"/>
        <v>19</v>
      </c>
      <c r="M28">
        <f t="shared" si="2"/>
        <v>10</v>
      </c>
      <c r="N28">
        <f t="shared" si="3"/>
        <v>15</v>
      </c>
      <c r="O28">
        <v>0.05</v>
      </c>
      <c r="P28" s="29">
        <f t="shared" si="4"/>
        <v>0.95000000000000007</v>
      </c>
      <c r="R28">
        <v>0.25</v>
      </c>
      <c r="S28">
        <f t="shared" si="5"/>
        <v>0.5</v>
      </c>
      <c r="T28">
        <f t="shared" si="6"/>
        <v>0.75</v>
      </c>
    </row>
    <row r="29" spans="1:20">
      <c r="A29" t="s">
        <v>112</v>
      </c>
      <c r="B29">
        <v>0</v>
      </c>
      <c r="C29">
        <v>0</v>
      </c>
      <c r="H29">
        <v>0</v>
      </c>
      <c r="I29">
        <v>0</v>
      </c>
      <c r="K29">
        <f t="shared" si="0"/>
        <v>0</v>
      </c>
      <c r="L29">
        <f t="shared" si="1"/>
        <v>0</v>
      </c>
      <c r="M29">
        <f t="shared" si="2"/>
        <v>0</v>
      </c>
      <c r="N29">
        <f t="shared" si="3"/>
        <v>0</v>
      </c>
      <c r="O29">
        <v>0</v>
      </c>
      <c r="P29" s="29">
        <f t="shared" si="4"/>
        <v>0</v>
      </c>
      <c r="R29">
        <v>0</v>
      </c>
      <c r="S29">
        <f t="shared" si="5"/>
        <v>0</v>
      </c>
      <c r="T29">
        <f t="shared" si="6"/>
        <v>0</v>
      </c>
    </row>
    <row r="30" spans="1:20">
      <c r="A30" t="s">
        <v>113</v>
      </c>
      <c r="B30">
        <v>0</v>
      </c>
      <c r="C30">
        <v>0</v>
      </c>
      <c r="H30">
        <v>0</v>
      </c>
      <c r="I30">
        <v>0</v>
      </c>
      <c r="K30">
        <f t="shared" si="0"/>
        <v>0</v>
      </c>
      <c r="L30">
        <f t="shared" si="1"/>
        <v>0</v>
      </c>
      <c r="M30">
        <f t="shared" si="2"/>
        <v>0</v>
      </c>
      <c r="N30">
        <f t="shared" si="3"/>
        <v>0</v>
      </c>
      <c r="O30">
        <v>0</v>
      </c>
      <c r="P30" s="29">
        <f t="shared" si="4"/>
        <v>0</v>
      </c>
      <c r="R30">
        <v>0</v>
      </c>
      <c r="S30">
        <f t="shared" si="5"/>
        <v>0</v>
      </c>
      <c r="T30">
        <f t="shared" si="6"/>
        <v>0</v>
      </c>
    </row>
    <row r="31" spans="1:20" ht="15.5" customHeight="1">
      <c r="A31" s="24" t="s">
        <v>303</v>
      </c>
    </row>
    <row r="34" spans="1:9" ht="15.5" customHeight="1">
      <c r="A34" s="23" t="s">
        <v>116</v>
      </c>
      <c r="B34">
        <v>0</v>
      </c>
      <c r="C34">
        <v>0</v>
      </c>
      <c r="H34">
        <v>0</v>
      </c>
      <c r="I34">
        <v>0</v>
      </c>
    </row>
    <row r="35" spans="1:9">
      <c r="A35" t="s">
        <v>118</v>
      </c>
      <c r="B35">
        <v>0</v>
      </c>
      <c r="C35">
        <v>0</v>
      </c>
      <c r="H35">
        <v>0</v>
      </c>
      <c r="I35">
        <v>0</v>
      </c>
    </row>
    <row r="36" spans="1:9">
      <c r="A36" t="s">
        <v>119</v>
      </c>
      <c r="B36">
        <v>0</v>
      </c>
      <c r="C36">
        <v>0</v>
      </c>
      <c r="H36">
        <v>0</v>
      </c>
      <c r="I36">
        <v>0</v>
      </c>
    </row>
    <row r="37" spans="1:9">
      <c r="A37" t="s">
        <v>120</v>
      </c>
      <c r="B37">
        <v>0</v>
      </c>
      <c r="C37">
        <v>0</v>
      </c>
      <c r="H37">
        <v>0</v>
      </c>
      <c r="I37">
        <v>0</v>
      </c>
    </row>
    <row r="38" spans="1:9">
      <c r="A38" t="s">
        <v>121</v>
      </c>
      <c r="B38">
        <v>0</v>
      </c>
      <c r="C38">
        <v>0</v>
      </c>
      <c r="H38">
        <v>0</v>
      </c>
      <c r="I38">
        <v>0</v>
      </c>
    </row>
    <row r="39" spans="1:9" ht="15.5" customHeight="1">
      <c r="A39" s="24" t="s">
        <v>304</v>
      </c>
      <c r="B39">
        <v>0</v>
      </c>
      <c r="C39">
        <v>0</v>
      </c>
      <c r="H39">
        <v>0</v>
      </c>
      <c r="I39">
        <v>0</v>
      </c>
    </row>
    <row r="40" spans="1:9">
      <c r="B40">
        <v>0</v>
      </c>
      <c r="C40">
        <v>0</v>
      </c>
      <c r="H40">
        <v>0</v>
      </c>
      <c r="I40">
        <v>0</v>
      </c>
    </row>
    <row r="41" spans="1:9">
      <c r="B41">
        <v>0</v>
      </c>
      <c r="C41">
        <v>0</v>
      </c>
      <c r="H41">
        <v>0</v>
      </c>
      <c r="I41">
        <v>0</v>
      </c>
    </row>
    <row r="42" spans="1:9" ht="15.5" customHeight="1">
      <c r="A42" s="23" t="s">
        <v>122</v>
      </c>
      <c r="B42">
        <v>0</v>
      </c>
      <c r="C42">
        <v>0</v>
      </c>
      <c r="H42">
        <v>0</v>
      </c>
      <c r="I42">
        <v>0</v>
      </c>
    </row>
    <row r="43" spans="1:9">
      <c r="A43" t="s">
        <v>123</v>
      </c>
      <c r="B43">
        <v>0</v>
      </c>
      <c r="C43">
        <v>0</v>
      </c>
      <c r="H43">
        <v>0</v>
      </c>
      <c r="I43">
        <v>0</v>
      </c>
    </row>
    <row r="44" spans="1:9">
      <c r="A44" t="s">
        <v>305</v>
      </c>
      <c r="B44">
        <v>0</v>
      </c>
      <c r="C44">
        <v>0</v>
      </c>
      <c r="H44">
        <v>0</v>
      </c>
      <c r="I44">
        <v>0</v>
      </c>
    </row>
    <row r="45" spans="1:9">
      <c r="A45" t="s">
        <v>306</v>
      </c>
      <c r="B45">
        <v>0</v>
      </c>
      <c r="C45">
        <v>0</v>
      </c>
      <c r="H45">
        <v>0</v>
      </c>
      <c r="I45">
        <v>0</v>
      </c>
    </row>
    <row r="46" spans="1:9">
      <c r="A46" t="s">
        <v>307</v>
      </c>
      <c r="B46">
        <v>0</v>
      </c>
      <c r="C46">
        <v>0</v>
      </c>
      <c r="H46">
        <v>0</v>
      </c>
      <c r="I46">
        <v>0</v>
      </c>
    </row>
    <row r="47" spans="1:9">
      <c r="A47" s="25" t="s">
        <v>308</v>
      </c>
      <c r="B47">
        <v>0</v>
      </c>
      <c r="C47">
        <v>0</v>
      </c>
      <c r="H47">
        <v>0</v>
      </c>
      <c r="I47">
        <v>0</v>
      </c>
    </row>
    <row r="48" spans="1:9">
      <c r="A48" t="s">
        <v>309</v>
      </c>
    </row>
    <row r="49" spans="1:9">
      <c r="A49" s="16" t="s">
        <v>310</v>
      </c>
    </row>
    <row r="50" spans="1:9">
      <c r="A50" s="16" t="s">
        <v>311</v>
      </c>
    </row>
    <row r="51" spans="1:9">
      <c r="A51" s="16" t="s">
        <v>312</v>
      </c>
    </row>
    <row r="52" spans="1:9">
      <c r="A52" s="16" t="s">
        <v>313</v>
      </c>
    </row>
    <row r="53" spans="1:9">
      <c r="A53" s="26" t="s">
        <v>314</v>
      </c>
      <c r="B53">
        <v>0</v>
      </c>
      <c r="C53">
        <v>0</v>
      </c>
      <c r="H53">
        <v>0</v>
      </c>
      <c r="I53">
        <v>8</v>
      </c>
    </row>
    <row r="54" spans="1:9">
      <c r="A54" s="19" t="s">
        <v>315</v>
      </c>
    </row>
    <row r="55" spans="1:9">
      <c r="A55" s="16" t="s">
        <v>310</v>
      </c>
    </row>
    <row r="56" spans="1:9">
      <c r="A56" s="16" t="s">
        <v>311</v>
      </c>
    </row>
    <row r="57" spans="1:9">
      <c r="A57" s="16" t="s">
        <v>312</v>
      </c>
    </row>
    <row r="58" spans="1:9">
      <c r="A58" s="16" t="s">
        <v>313</v>
      </c>
    </row>
    <row r="59" spans="1:9">
      <c r="A59" s="26" t="s">
        <v>316</v>
      </c>
      <c r="B59">
        <v>0</v>
      </c>
      <c r="C59">
        <v>0</v>
      </c>
      <c r="H59">
        <v>0</v>
      </c>
      <c r="I59">
        <v>11</v>
      </c>
    </row>
    <row r="60" spans="1:9">
      <c r="A60" t="s">
        <v>140</v>
      </c>
      <c r="B60">
        <v>0</v>
      </c>
      <c r="C60">
        <v>0</v>
      </c>
      <c r="H60">
        <v>0</v>
      </c>
      <c r="I60">
        <v>0</v>
      </c>
    </row>
    <row r="61" spans="1:9">
      <c r="A61" t="s">
        <v>141</v>
      </c>
      <c r="B61">
        <v>0</v>
      </c>
      <c r="C61">
        <v>0</v>
      </c>
      <c r="H61">
        <v>0</v>
      </c>
      <c r="I61">
        <v>0</v>
      </c>
    </row>
    <row r="62" spans="1:9">
      <c r="A62" t="s">
        <v>142</v>
      </c>
      <c r="B62">
        <v>0</v>
      </c>
      <c r="C62">
        <v>0</v>
      </c>
      <c r="H62">
        <v>0</v>
      </c>
      <c r="I62">
        <v>0</v>
      </c>
    </row>
    <row r="63" spans="1:9">
      <c r="A63" s="27" t="s">
        <v>317</v>
      </c>
    </row>
    <row r="66" spans="1:20" ht="15.5" customHeight="1">
      <c r="A66" s="23" t="s">
        <v>143</v>
      </c>
    </row>
    <row r="67" spans="1:20">
      <c r="A67" s="20" t="s">
        <v>144</v>
      </c>
      <c r="L67">
        <f>B67+C67-H67</f>
        <v>0</v>
      </c>
      <c r="M67">
        <f>L67-B67</f>
        <v>0</v>
      </c>
      <c r="N67">
        <f>C67</f>
        <v>0</v>
      </c>
      <c r="O67">
        <v>0</v>
      </c>
      <c r="Q67">
        <f>R67*K67</f>
        <v>0</v>
      </c>
      <c r="R67">
        <v>0.1</v>
      </c>
      <c r="S67">
        <f>O67*M67</f>
        <v>0</v>
      </c>
      <c r="T67">
        <f>O67*N67</f>
        <v>0</v>
      </c>
    </row>
    <row r="68" spans="1:20">
      <c r="A68" t="s">
        <v>145</v>
      </c>
      <c r="L68">
        <f>B68+C68-H68</f>
        <v>0</v>
      </c>
      <c r="M68">
        <f>L68-B68</f>
        <v>0</v>
      </c>
      <c r="N68">
        <f>C68</f>
        <v>0</v>
      </c>
      <c r="O68">
        <v>0</v>
      </c>
      <c r="Q68">
        <f>R68*K68</f>
        <v>0</v>
      </c>
      <c r="R68">
        <v>0</v>
      </c>
      <c r="S68">
        <f>O68*M68</f>
        <v>0</v>
      </c>
      <c r="T68">
        <f>O68*N68</f>
        <v>0</v>
      </c>
    </row>
    <row r="69" spans="1:20">
      <c r="A69" t="s">
        <v>146</v>
      </c>
      <c r="B69">
        <v>0</v>
      </c>
      <c r="C69">
        <v>6</v>
      </c>
      <c r="H69">
        <v>6</v>
      </c>
      <c r="K69">
        <v>0</v>
      </c>
      <c r="L69">
        <f>B69+C69-H69</f>
        <v>0</v>
      </c>
      <c r="M69">
        <f>L69-B69</f>
        <v>0</v>
      </c>
      <c r="N69">
        <f>C69</f>
        <v>6</v>
      </c>
      <c r="O69">
        <v>0</v>
      </c>
      <c r="Q69">
        <f>R69*K69</f>
        <v>0</v>
      </c>
      <c r="R69">
        <v>0</v>
      </c>
      <c r="S69">
        <f>O69*M69</f>
        <v>0</v>
      </c>
      <c r="T69">
        <f>O69*N69</f>
        <v>0</v>
      </c>
    </row>
    <row r="70" spans="1:20">
      <c r="A70" t="s">
        <v>147</v>
      </c>
      <c r="B70">
        <v>0</v>
      </c>
      <c r="F70">
        <v>28</v>
      </c>
      <c r="G70">
        <v>18</v>
      </c>
      <c r="H70">
        <v>10</v>
      </c>
      <c r="K70">
        <v>0</v>
      </c>
      <c r="L70">
        <f>B70+C70-H70</f>
        <v>-10</v>
      </c>
      <c r="M70">
        <f>L70-B70</f>
        <v>-10</v>
      </c>
      <c r="N70">
        <f>C70</f>
        <v>0</v>
      </c>
      <c r="O70">
        <v>0</v>
      </c>
      <c r="Q70">
        <f>R70*K70</f>
        <v>0</v>
      </c>
      <c r="R70">
        <v>0</v>
      </c>
      <c r="S70">
        <f>O70*M70</f>
        <v>0</v>
      </c>
      <c r="T70">
        <f>O70*N70</f>
        <v>0</v>
      </c>
    </row>
    <row r="71" spans="1:20">
      <c r="A71" s="27" t="s">
        <v>318</v>
      </c>
    </row>
    <row r="72" spans="1:20">
      <c r="A72" s="28" t="s">
        <v>319</v>
      </c>
    </row>
    <row r="74" spans="1:20" ht="15.5" customHeight="1">
      <c r="A74" s="3" t="s">
        <v>148</v>
      </c>
    </row>
    <row r="75" spans="1:20">
      <c r="A75" t="s">
        <v>149</v>
      </c>
      <c r="B75">
        <v>0</v>
      </c>
      <c r="C75">
        <v>0</v>
      </c>
      <c r="H75">
        <v>0</v>
      </c>
      <c r="I75">
        <v>0</v>
      </c>
      <c r="S75">
        <f>O75*M75</f>
        <v>0</v>
      </c>
      <c r="T75">
        <f>O75*N75</f>
        <v>0</v>
      </c>
    </row>
    <row r="76" spans="1:20">
      <c r="A76" t="s">
        <v>150</v>
      </c>
      <c r="B76">
        <v>0</v>
      </c>
      <c r="C76">
        <v>0</v>
      </c>
      <c r="H76">
        <v>0</v>
      </c>
      <c r="I76">
        <v>0</v>
      </c>
      <c r="S76">
        <f>O76*M76</f>
        <v>0</v>
      </c>
      <c r="T76">
        <f>O76*N76</f>
        <v>0</v>
      </c>
    </row>
    <row r="77" spans="1:20">
      <c r="A77" t="s">
        <v>151</v>
      </c>
      <c r="S77">
        <f>SUM(S75:S76)</f>
        <v>0</v>
      </c>
      <c r="T77">
        <f>SUM(T75:T76)</f>
        <v>0</v>
      </c>
    </row>
    <row r="78" spans="1:20">
      <c r="A78" s="27" t="s">
        <v>175</v>
      </c>
    </row>
    <row r="81" spans="1:20" ht="15.5" customHeight="1">
      <c r="A81" s="3" t="s">
        <v>320</v>
      </c>
    </row>
    <row r="82" spans="1:20">
      <c r="A82" t="s">
        <v>321</v>
      </c>
      <c r="B82">
        <v>0</v>
      </c>
      <c r="C82">
        <v>0</v>
      </c>
      <c r="H82">
        <v>0</v>
      </c>
      <c r="I82">
        <v>0</v>
      </c>
      <c r="S82">
        <f>O82*M82</f>
        <v>0</v>
      </c>
      <c r="T82">
        <f>O82*N82</f>
        <v>0</v>
      </c>
    </row>
    <row r="83" spans="1:20">
      <c r="A83" t="s">
        <v>322</v>
      </c>
      <c r="B83">
        <v>0</v>
      </c>
      <c r="C83">
        <v>0</v>
      </c>
      <c r="H83">
        <v>0</v>
      </c>
      <c r="I83">
        <v>0</v>
      </c>
      <c r="S83">
        <f>O83*M83</f>
        <v>0</v>
      </c>
      <c r="T83">
        <f>O83*N83</f>
        <v>0</v>
      </c>
    </row>
    <row r="84" spans="1:20">
      <c r="A84" t="s">
        <v>323</v>
      </c>
      <c r="B84">
        <v>0</v>
      </c>
      <c r="C84">
        <v>0</v>
      </c>
      <c r="H84">
        <v>0</v>
      </c>
      <c r="I84">
        <v>0</v>
      </c>
      <c r="S84">
        <f>O84*M84</f>
        <v>0</v>
      </c>
      <c r="T84">
        <f>O84*N84</f>
        <v>0</v>
      </c>
    </row>
    <row r="85" spans="1:20" ht="15.5" customHeight="1">
      <c r="A85" s="22" t="s">
        <v>317</v>
      </c>
    </row>
    <row r="87" spans="1:20" ht="15.5" customHeight="1">
      <c r="A87" s="3" t="s">
        <v>324</v>
      </c>
    </row>
    <row r="88" spans="1:20">
      <c r="A88" t="s">
        <v>325</v>
      </c>
      <c r="B88">
        <v>0</v>
      </c>
      <c r="C88">
        <v>0</v>
      </c>
      <c r="H88">
        <v>0</v>
      </c>
      <c r="I88">
        <v>0</v>
      </c>
      <c r="S88">
        <f>O88*M88</f>
        <v>0</v>
      </c>
      <c r="T88">
        <f>O88*N88</f>
        <v>0</v>
      </c>
    </row>
    <row r="89" spans="1:20">
      <c r="A89" t="s">
        <v>326</v>
      </c>
      <c r="B89">
        <v>0</v>
      </c>
      <c r="C89">
        <v>0</v>
      </c>
      <c r="H89">
        <v>0</v>
      </c>
      <c r="I89">
        <v>0</v>
      </c>
      <c r="S89">
        <f>O89*M89</f>
        <v>0</v>
      </c>
      <c r="T89">
        <f>O89*N89</f>
        <v>0</v>
      </c>
    </row>
    <row r="90" spans="1:20" ht="15.5" customHeight="1">
      <c r="A90" s="22" t="s">
        <v>175</v>
      </c>
    </row>
    <row r="92" spans="1:20" ht="15.5" customHeight="1">
      <c r="A92" s="3" t="s">
        <v>154</v>
      </c>
    </row>
    <row r="93" spans="1:20">
      <c r="A93" t="s">
        <v>154</v>
      </c>
      <c r="B93">
        <v>0</v>
      </c>
      <c r="C93">
        <v>0</v>
      </c>
      <c r="H93">
        <v>0</v>
      </c>
      <c r="I93">
        <v>0</v>
      </c>
      <c r="S93">
        <f>O93*M93</f>
        <v>0</v>
      </c>
      <c r="T93">
        <f>O93*N93</f>
        <v>0</v>
      </c>
    </row>
    <row r="94" spans="1:20" ht="15.5" customHeight="1">
      <c r="A94" s="22" t="s">
        <v>175</v>
      </c>
    </row>
    <row r="95" spans="1:20" ht="15.5" customHeight="1">
      <c r="A95" s="4"/>
    </row>
    <row r="96" spans="1:20" ht="15.5" customHeight="1">
      <c r="A96" s="22" t="s">
        <v>327</v>
      </c>
    </row>
    <row r="99" spans="1:9" ht="15.5" customHeight="1">
      <c r="A99" s="3" t="s">
        <v>328</v>
      </c>
      <c r="B99">
        <v>0</v>
      </c>
      <c r="C99">
        <v>0</v>
      </c>
      <c r="H99">
        <v>0</v>
      </c>
      <c r="I99">
        <v>0</v>
      </c>
    </row>
    <row r="102" spans="1:9" ht="15.5" customHeight="1">
      <c r="A102" s="4" t="s">
        <v>329</v>
      </c>
    </row>
    <row r="103" spans="1:9" ht="15.5" customHeight="1">
      <c r="A103" s="3" t="s">
        <v>330</v>
      </c>
    </row>
    <row r="104" spans="1:9">
      <c r="A104" t="s">
        <v>331</v>
      </c>
    </row>
    <row r="105" spans="1:9">
      <c r="A105" t="s">
        <v>332</v>
      </c>
    </row>
    <row r="106" spans="1:9">
      <c r="A106" t="s">
        <v>333</v>
      </c>
    </row>
    <row r="107" spans="1:9">
      <c r="A107" t="s">
        <v>334</v>
      </c>
    </row>
    <row r="108" spans="1:9">
      <c r="A108" t="s">
        <v>335</v>
      </c>
    </row>
    <row r="109" spans="1:9">
      <c r="A109" t="s">
        <v>336</v>
      </c>
    </row>
    <row r="110" spans="1:9">
      <c r="A110" t="s">
        <v>337</v>
      </c>
    </row>
    <row r="111" spans="1:9">
      <c r="A111" t="s">
        <v>338</v>
      </c>
    </row>
    <row r="112" spans="1:9">
      <c r="A112" t="s">
        <v>339</v>
      </c>
    </row>
    <row r="113" spans="1:1">
      <c r="A113" t="s">
        <v>340</v>
      </c>
    </row>
    <row r="114" spans="1:1">
      <c r="A114" t="s">
        <v>341</v>
      </c>
    </row>
    <row r="115" spans="1:1">
      <c r="A115" t="s">
        <v>342</v>
      </c>
    </row>
    <row r="116" spans="1:1">
      <c r="A116" t="s">
        <v>343</v>
      </c>
    </row>
    <row r="117" spans="1:1">
      <c r="A117" t="s">
        <v>344</v>
      </c>
    </row>
    <row r="118" spans="1:1">
      <c r="A118" t="s">
        <v>345</v>
      </c>
    </row>
    <row r="119" spans="1:1">
      <c r="A119" t="s">
        <v>346</v>
      </c>
    </row>
    <row r="120" spans="1:1">
      <c r="A120" t="s">
        <v>347</v>
      </c>
    </row>
    <row r="121" spans="1:1">
      <c r="A121" t="s">
        <v>348</v>
      </c>
    </row>
    <row r="122" spans="1:1">
      <c r="A122" t="s">
        <v>349</v>
      </c>
    </row>
    <row r="123" spans="1:1">
      <c r="A123" t="s">
        <v>350</v>
      </c>
    </row>
    <row r="124" spans="1:1">
      <c r="A124" t="s">
        <v>351</v>
      </c>
    </row>
    <row r="125" spans="1:1">
      <c r="A125" t="s">
        <v>352</v>
      </c>
    </row>
    <row r="126" spans="1:1">
      <c r="A126" t="s">
        <v>353</v>
      </c>
    </row>
    <row r="127" spans="1:1">
      <c r="A127" t="s">
        <v>354</v>
      </c>
    </row>
    <row r="128" spans="1:1">
      <c r="A128" t="s">
        <v>355</v>
      </c>
    </row>
  </sheetData>
  <mergeCells count="2">
    <mergeCell ref="C3:F3"/>
    <mergeCell ref="G3:J3"/>
  </mergeCells>
  <pageMargins left="0.75" right="0.75" top="1" bottom="1" header="0.5" footer="0.5"/>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H215"/>
  <sheetViews>
    <sheetView topLeftCell="A64" workbookViewId="0">
      <selection activeCell="B83" sqref="B83"/>
    </sheetView>
  </sheetViews>
  <sheetFormatPr defaultRowHeight="14.5"/>
  <sheetData>
    <row r="1" spans="1:34">
      <c r="A1" t="s">
        <v>166</v>
      </c>
      <c r="B1" t="s">
        <v>239</v>
      </c>
      <c r="C1" t="s">
        <v>356</v>
      </c>
      <c r="D1" t="s">
        <v>357</v>
      </c>
      <c r="E1" t="s">
        <v>358</v>
      </c>
      <c r="F1" t="s">
        <v>359</v>
      </c>
      <c r="G1" t="s">
        <v>360</v>
      </c>
      <c r="H1" t="s">
        <v>361</v>
      </c>
      <c r="I1" t="s">
        <v>362</v>
      </c>
      <c r="J1" t="s">
        <v>363</v>
      </c>
      <c r="K1" t="s">
        <v>364</v>
      </c>
      <c r="L1" t="s">
        <v>365</v>
      </c>
      <c r="M1" t="s">
        <v>366</v>
      </c>
      <c r="N1" t="s">
        <v>367</v>
      </c>
      <c r="O1" t="s">
        <v>368</v>
      </c>
      <c r="P1" t="s">
        <v>369</v>
      </c>
      <c r="Q1" t="s">
        <v>370</v>
      </c>
      <c r="R1" t="s">
        <v>371</v>
      </c>
      <c r="S1" t="s">
        <v>372</v>
      </c>
      <c r="T1" t="s">
        <v>373</v>
      </c>
      <c r="U1" t="s">
        <v>374</v>
      </c>
      <c r="V1" t="s">
        <v>375</v>
      </c>
      <c r="W1" t="s">
        <v>376</v>
      </c>
      <c r="X1" t="s">
        <v>377</v>
      </c>
      <c r="Y1" t="s">
        <v>378</v>
      </c>
      <c r="Z1" t="s">
        <v>379</v>
      </c>
      <c r="AA1" t="s">
        <v>380</v>
      </c>
      <c r="AB1" t="s">
        <v>381</v>
      </c>
      <c r="AC1" t="s">
        <v>382</v>
      </c>
      <c r="AD1" t="s">
        <v>383</v>
      </c>
      <c r="AE1" t="s">
        <v>384</v>
      </c>
      <c r="AF1" t="s">
        <v>385</v>
      </c>
      <c r="AG1" t="s">
        <v>386</v>
      </c>
      <c r="AH1" t="s">
        <v>387</v>
      </c>
    </row>
    <row r="2" spans="1:34">
      <c r="A2" t="s">
        <v>388</v>
      </c>
      <c r="B2" t="s">
        <v>389</v>
      </c>
      <c r="C2">
        <v>0</v>
      </c>
      <c r="D2">
        <v>0</v>
      </c>
      <c r="E2">
        <v>0</v>
      </c>
      <c r="F2">
        <v>0</v>
      </c>
      <c r="H2">
        <v>0</v>
      </c>
      <c r="I2">
        <v>0</v>
      </c>
      <c r="J2">
        <v>0</v>
      </c>
      <c r="K2">
        <v>0</v>
      </c>
      <c r="L2">
        <v>0</v>
      </c>
      <c r="M2">
        <v>0</v>
      </c>
      <c r="N2">
        <v>0</v>
      </c>
    </row>
    <row r="3" spans="1:34">
      <c r="A3" t="s">
        <v>390</v>
      </c>
      <c r="B3" t="s">
        <v>391</v>
      </c>
      <c r="C3">
        <v>0.45</v>
      </c>
      <c r="D3">
        <v>0</v>
      </c>
      <c r="E3">
        <v>9</v>
      </c>
      <c r="F3">
        <v>0</v>
      </c>
      <c r="H3">
        <v>0</v>
      </c>
      <c r="I3">
        <v>0</v>
      </c>
      <c r="J3">
        <v>0</v>
      </c>
      <c r="K3">
        <v>0</v>
      </c>
      <c r="L3">
        <v>0</v>
      </c>
      <c r="M3">
        <v>0</v>
      </c>
      <c r="N3">
        <v>0</v>
      </c>
    </row>
    <row r="4" spans="1:34">
      <c r="A4" t="s">
        <v>390</v>
      </c>
      <c r="B4" t="s">
        <v>392</v>
      </c>
      <c r="C4">
        <v>0.45</v>
      </c>
      <c r="D4">
        <v>0</v>
      </c>
      <c r="E4">
        <v>9</v>
      </c>
      <c r="F4">
        <v>0</v>
      </c>
      <c r="H4">
        <v>0</v>
      </c>
      <c r="I4">
        <v>0</v>
      </c>
      <c r="J4">
        <v>0</v>
      </c>
      <c r="K4">
        <v>0</v>
      </c>
      <c r="L4">
        <v>0</v>
      </c>
      <c r="M4">
        <v>0</v>
      </c>
      <c r="N4">
        <v>0</v>
      </c>
    </row>
    <row r="5" spans="1:34">
      <c r="A5" t="s">
        <v>393</v>
      </c>
      <c r="B5" t="s">
        <v>394</v>
      </c>
      <c r="C5">
        <v>5.84</v>
      </c>
      <c r="D5">
        <v>5</v>
      </c>
      <c r="E5">
        <v>16</v>
      </c>
      <c r="F5">
        <v>10</v>
      </c>
      <c r="H5">
        <v>0</v>
      </c>
      <c r="I5">
        <v>0</v>
      </c>
      <c r="J5">
        <v>0</v>
      </c>
      <c r="K5">
        <v>0</v>
      </c>
      <c r="L5">
        <v>0</v>
      </c>
      <c r="M5">
        <v>0</v>
      </c>
      <c r="N5">
        <v>0</v>
      </c>
    </row>
    <row r="6" spans="1:34">
      <c r="A6" t="s">
        <v>393</v>
      </c>
      <c r="B6" t="s">
        <v>395</v>
      </c>
      <c r="C6">
        <v>5.84</v>
      </c>
      <c r="D6">
        <v>5</v>
      </c>
      <c r="E6">
        <v>16</v>
      </c>
      <c r="F6">
        <v>10</v>
      </c>
      <c r="H6">
        <v>0</v>
      </c>
      <c r="I6">
        <v>0</v>
      </c>
      <c r="J6">
        <v>0</v>
      </c>
      <c r="K6">
        <v>0</v>
      </c>
      <c r="L6">
        <v>0</v>
      </c>
      <c r="M6">
        <v>0</v>
      </c>
      <c r="N6">
        <v>0</v>
      </c>
    </row>
    <row r="7" spans="1:34">
      <c r="A7" t="s">
        <v>396</v>
      </c>
      <c r="B7" t="s">
        <v>397</v>
      </c>
      <c r="C7">
        <v>0.25</v>
      </c>
      <c r="D7">
        <v>0</v>
      </c>
      <c r="E7">
        <v>5</v>
      </c>
      <c r="F7">
        <v>0</v>
      </c>
      <c r="H7">
        <v>0</v>
      </c>
      <c r="I7">
        <v>0</v>
      </c>
      <c r="J7">
        <v>0</v>
      </c>
      <c r="K7">
        <v>0</v>
      </c>
      <c r="L7">
        <v>0</v>
      </c>
      <c r="M7">
        <v>0</v>
      </c>
      <c r="N7">
        <v>0</v>
      </c>
    </row>
    <row r="8" spans="1:34">
      <c r="A8" t="s">
        <v>396</v>
      </c>
      <c r="B8" t="s">
        <v>181</v>
      </c>
      <c r="C8">
        <v>0</v>
      </c>
      <c r="D8">
        <v>0</v>
      </c>
      <c r="E8">
        <v>0</v>
      </c>
      <c r="F8">
        <v>0</v>
      </c>
      <c r="H8">
        <v>0</v>
      </c>
      <c r="I8">
        <v>0</v>
      </c>
      <c r="J8">
        <v>0</v>
      </c>
      <c r="K8">
        <v>0</v>
      </c>
      <c r="L8">
        <v>0</v>
      </c>
      <c r="M8">
        <v>0</v>
      </c>
      <c r="N8">
        <v>0</v>
      </c>
    </row>
    <row r="9" spans="1:34">
      <c r="A9" t="s">
        <v>396</v>
      </c>
      <c r="B9" t="s">
        <v>182</v>
      </c>
      <c r="C9">
        <v>0</v>
      </c>
      <c r="D9">
        <v>0</v>
      </c>
      <c r="E9">
        <v>0</v>
      </c>
      <c r="F9">
        <v>0</v>
      </c>
      <c r="H9">
        <v>0</v>
      </c>
      <c r="I9">
        <v>0</v>
      </c>
      <c r="J9">
        <v>0</v>
      </c>
      <c r="K9">
        <v>0</v>
      </c>
      <c r="L9">
        <v>0</v>
      </c>
      <c r="M9">
        <v>0</v>
      </c>
      <c r="N9">
        <v>0</v>
      </c>
    </row>
    <row r="10" spans="1:34">
      <c r="A10" t="s">
        <v>396</v>
      </c>
      <c r="B10" t="s">
        <v>398</v>
      </c>
      <c r="C10">
        <v>0.25</v>
      </c>
      <c r="D10">
        <v>0</v>
      </c>
      <c r="E10">
        <v>5</v>
      </c>
      <c r="F10">
        <v>0</v>
      </c>
      <c r="H10">
        <v>0</v>
      </c>
      <c r="I10">
        <v>0</v>
      </c>
      <c r="J10">
        <v>0</v>
      </c>
      <c r="K10">
        <v>0</v>
      </c>
      <c r="L10">
        <v>0</v>
      </c>
      <c r="M10">
        <v>0</v>
      </c>
      <c r="N10">
        <v>0</v>
      </c>
    </row>
    <row r="11" spans="1:34">
      <c r="A11" t="s">
        <v>399</v>
      </c>
      <c r="B11" t="s">
        <v>400</v>
      </c>
      <c r="C11">
        <v>0.12</v>
      </c>
      <c r="D11">
        <v>0</v>
      </c>
      <c r="E11">
        <v>2</v>
      </c>
      <c r="F11">
        <v>6</v>
      </c>
      <c r="H11">
        <v>0</v>
      </c>
      <c r="I11">
        <v>0</v>
      </c>
      <c r="J11">
        <v>0</v>
      </c>
      <c r="K11">
        <v>0</v>
      </c>
      <c r="L11">
        <v>0</v>
      </c>
      <c r="M11">
        <v>0</v>
      </c>
      <c r="N11">
        <v>0</v>
      </c>
    </row>
    <row r="12" spans="1:34">
      <c r="A12" t="s">
        <v>399</v>
      </c>
      <c r="B12" t="s">
        <v>401</v>
      </c>
      <c r="C12">
        <v>0.1</v>
      </c>
      <c r="D12">
        <v>0</v>
      </c>
      <c r="E12">
        <v>2</v>
      </c>
      <c r="F12">
        <v>0</v>
      </c>
      <c r="H12">
        <v>0</v>
      </c>
      <c r="I12">
        <v>0</v>
      </c>
      <c r="J12">
        <v>0</v>
      </c>
      <c r="K12">
        <v>0</v>
      </c>
      <c r="L12">
        <v>0</v>
      </c>
      <c r="M12">
        <v>0</v>
      </c>
      <c r="N12">
        <v>0</v>
      </c>
    </row>
    <row r="13" spans="1:34">
      <c r="A13" t="s">
        <v>399</v>
      </c>
      <c r="B13" t="s">
        <v>402</v>
      </c>
      <c r="C13">
        <v>0.1</v>
      </c>
      <c r="D13">
        <v>0</v>
      </c>
      <c r="E13">
        <v>2</v>
      </c>
      <c r="F13">
        <v>1</v>
      </c>
      <c r="H13">
        <v>0</v>
      </c>
      <c r="I13">
        <v>0</v>
      </c>
      <c r="J13">
        <v>0</v>
      </c>
      <c r="K13">
        <v>0</v>
      </c>
      <c r="L13">
        <v>0</v>
      </c>
      <c r="M13">
        <v>0</v>
      </c>
      <c r="N13">
        <v>0</v>
      </c>
    </row>
    <row r="14" spans="1:34">
      <c r="A14" t="s">
        <v>399</v>
      </c>
      <c r="B14" t="s">
        <v>403</v>
      </c>
      <c r="C14">
        <v>0.11</v>
      </c>
      <c r="D14">
        <v>0</v>
      </c>
      <c r="E14">
        <v>2</v>
      </c>
      <c r="F14">
        <v>3</v>
      </c>
      <c r="H14">
        <v>0</v>
      </c>
      <c r="I14">
        <v>0</v>
      </c>
      <c r="J14">
        <v>0</v>
      </c>
      <c r="K14">
        <v>0</v>
      </c>
      <c r="L14">
        <v>0</v>
      </c>
      <c r="M14">
        <v>0</v>
      </c>
      <c r="N14">
        <v>0</v>
      </c>
    </row>
    <row r="15" spans="1:34">
      <c r="A15" t="s">
        <v>399</v>
      </c>
      <c r="B15" t="s">
        <v>189</v>
      </c>
      <c r="C15">
        <v>0.1</v>
      </c>
      <c r="D15">
        <v>0</v>
      </c>
      <c r="E15">
        <v>2</v>
      </c>
      <c r="F15">
        <v>0.75</v>
      </c>
      <c r="H15">
        <v>0</v>
      </c>
      <c r="I15">
        <v>0</v>
      </c>
      <c r="J15">
        <v>0</v>
      </c>
      <c r="K15">
        <v>0</v>
      </c>
      <c r="L15">
        <v>0</v>
      </c>
      <c r="M15">
        <v>0</v>
      </c>
      <c r="N15">
        <v>0</v>
      </c>
    </row>
    <row r="16" spans="1:34">
      <c r="A16" t="s">
        <v>399</v>
      </c>
      <c r="B16" t="s">
        <v>404</v>
      </c>
      <c r="C16">
        <v>0.1</v>
      </c>
      <c r="D16">
        <v>0</v>
      </c>
      <c r="E16">
        <v>2</v>
      </c>
      <c r="F16">
        <v>0</v>
      </c>
      <c r="H16">
        <v>0</v>
      </c>
      <c r="I16">
        <v>0</v>
      </c>
      <c r="J16">
        <v>0</v>
      </c>
      <c r="K16">
        <v>0</v>
      </c>
      <c r="L16">
        <v>0</v>
      </c>
      <c r="M16">
        <v>0</v>
      </c>
      <c r="N16">
        <v>0</v>
      </c>
    </row>
    <row r="17" spans="1:14">
      <c r="A17" t="s">
        <v>399</v>
      </c>
      <c r="B17" t="s">
        <v>405</v>
      </c>
      <c r="C17">
        <v>0.1</v>
      </c>
      <c r="D17">
        <v>0</v>
      </c>
      <c r="E17">
        <v>2</v>
      </c>
      <c r="F17">
        <v>0</v>
      </c>
      <c r="H17">
        <v>0</v>
      </c>
      <c r="I17">
        <v>0</v>
      </c>
      <c r="J17">
        <v>0</v>
      </c>
      <c r="K17">
        <v>0</v>
      </c>
      <c r="L17">
        <v>0</v>
      </c>
      <c r="M17">
        <v>0</v>
      </c>
      <c r="N17">
        <v>0</v>
      </c>
    </row>
    <row r="18" spans="1:14">
      <c r="A18" t="s">
        <v>399</v>
      </c>
      <c r="B18" t="s">
        <v>406</v>
      </c>
      <c r="C18">
        <v>0.74</v>
      </c>
      <c r="D18">
        <v>0</v>
      </c>
      <c r="E18">
        <v>14</v>
      </c>
      <c r="F18">
        <v>10.25</v>
      </c>
      <c r="H18">
        <v>0</v>
      </c>
      <c r="I18">
        <v>0</v>
      </c>
      <c r="J18">
        <v>0</v>
      </c>
      <c r="K18">
        <v>0</v>
      </c>
      <c r="L18">
        <v>0</v>
      </c>
      <c r="M18">
        <v>0</v>
      </c>
      <c r="N18">
        <v>0</v>
      </c>
    </row>
    <row r="19" spans="1:14">
      <c r="A19" t="s">
        <v>407</v>
      </c>
      <c r="B19" t="s">
        <v>408</v>
      </c>
      <c r="C19">
        <v>0.99</v>
      </c>
      <c r="D19">
        <v>0</v>
      </c>
      <c r="E19">
        <v>19</v>
      </c>
      <c r="F19">
        <v>10.75</v>
      </c>
      <c r="H19">
        <v>0</v>
      </c>
      <c r="I19">
        <v>0</v>
      </c>
      <c r="J19">
        <v>0</v>
      </c>
      <c r="K19">
        <v>0</v>
      </c>
      <c r="L19">
        <v>0</v>
      </c>
      <c r="M19">
        <v>0</v>
      </c>
      <c r="N19">
        <v>0</v>
      </c>
    </row>
    <row r="20" spans="1:14">
      <c r="A20" t="s">
        <v>409</v>
      </c>
      <c r="B20" t="s">
        <v>410</v>
      </c>
      <c r="C20">
        <v>4.8499999999999996</v>
      </c>
      <c r="D20">
        <v>4</v>
      </c>
      <c r="E20">
        <v>16</v>
      </c>
      <c r="F20">
        <v>11.25</v>
      </c>
      <c r="H20">
        <v>0</v>
      </c>
      <c r="I20">
        <v>0</v>
      </c>
      <c r="J20">
        <v>0</v>
      </c>
      <c r="K20">
        <v>0</v>
      </c>
      <c r="L20">
        <v>0</v>
      </c>
      <c r="M20">
        <v>0</v>
      </c>
      <c r="N20">
        <v>0</v>
      </c>
    </row>
    <row r="21" spans="1:14">
      <c r="A21" t="s">
        <v>411</v>
      </c>
      <c r="B21" t="s">
        <v>412</v>
      </c>
      <c r="C21">
        <v>0.26</v>
      </c>
      <c r="D21">
        <v>0</v>
      </c>
      <c r="E21">
        <v>5</v>
      </c>
      <c r="F21">
        <v>2</v>
      </c>
      <c r="H21">
        <v>0</v>
      </c>
      <c r="I21">
        <v>0</v>
      </c>
      <c r="J21">
        <v>0</v>
      </c>
      <c r="K21">
        <v>0</v>
      </c>
      <c r="L21">
        <v>0</v>
      </c>
      <c r="M21">
        <v>0</v>
      </c>
      <c r="N21">
        <v>0</v>
      </c>
    </row>
    <row r="22" spans="1:14">
      <c r="A22" t="s">
        <v>411</v>
      </c>
      <c r="B22" t="s">
        <v>199</v>
      </c>
      <c r="C22">
        <v>0.11</v>
      </c>
      <c r="D22">
        <v>0</v>
      </c>
      <c r="E22">
        <v>2</v>
      </c>
      <c r="F22">
        <v>3</v>
      </c>
      <c r="H22">
        <v>0</v>
      </c>
      <c r="I22">
        <v>0</v>
      </c>
      <c r="J22">
        <v>0</v>
      </c>
      <c r="K22">
        <v>0</v>
      </c>
      <c r="L22">
        <v>0</v>
      </c>
      <c r="M22">
        <v>0</v>
      </c>
      <c r="N22">
        <v>0</v>
      </c>
    </row>
    <row r="23" spans="1:14">
      <c r="A23" t="s">
        <v>411</v>
      </c>
      <c r="B23" t="s">
        <v>200</v>
      </c>
      <c r="C23">
        <v>0.05</v>
      </c>
      <c r="D23">
        <v>0</v>
      </c>
      <c r="E23">
        <v>0</v>
      </c>
      <c r="F23">
        <v>11</v>
      </c>
      <c r="H23">
        <v>0</v>
      </c>
      <c r="I23">
        <v>0</v>
      </c>
      <c r="J23">
        <v>0</v>
      </c>
      <c r="K23">
        <v>0</v>
      </c>
      <c r="L23">
        <v>0</v>
      </c>
      <c r="M23">
        <v>0</v>
      </c>
      <c r="N23">
        <v>0</v>
      </c>
    </row>
    <row r="24" spans="1:14">
      <c r="A24" t="s">
        <v>411</v>
      </c>
      <c r="B24" t="s">
        <v>201</v>
      </c>
      <c r="C24">
        <v>0</v>
      </c>
      <c r="D24">
        <v>0</v>
      </c>
      <c r="E24">
        <v>0</v>
      </c>
      <c r="F24">
        <v>0</v>
      </c>
      <c r="H24">
        <v>0</v>
      </c>
      <c r="I24">
        <v>0</v>
      </c>
      <c r="J24">
        <v>0</v>
      </c>
      <c r="K24">
        <v>0</v>
      </c>
      <c r="L24">
        <v>0</v>
      </c>
      <c r="M24">
        <v>0</v>
      </c>
      <c r="N24">
        <v>0</v>
      </c>
    </row>
    <row r="25" spans="1:14">
      <c r="A25" t="s">
        <v>411</v>
      </c>
      <c r="B25" t="s">
        <v>413</v>
      </c>
      <c r="C25">
        <v>0.15</v>
      </c>
      <c r="D25">
        <v>0</v>
      </c>
      <c r="E25">
        <v>3</v>
      </c>
      <c r="F25">
        <v>0</v>
      </c>
      <c r="H25">
        <v>0</v>
      </c>
      <c r="I25">
        <v>0</v>
      </c>
      <c r="J25">
        <v>0</v>
      </c>
      <c r="K25">
        <v>0</v>
      </c>
      <c r="L25">
        <v>0</v>
      </c>
      <c r="M25">
        <v>0</v>
      </c>
      <c r="N25">
        <v>0</v>
      </c>
    </row>
    <row r="26" spans="1:14">
      <c r="A26" t="s">
        <v>411</v>
      </c>
      <c r="B26" t="s">
        <v>414</v>
      </c>
      <c r="C26">
        <v>0</v>
      </c>
      <c r="D26">
        <v>0</v>
      </c>
      <c r="E26">
        <v>0</v>
      </c>
      <c r="F26">
        <v>0</v>
      </c>
      <c r="H26">
        <v>0</v>
      </c>
      <c r="I26">
        <v>0</v>
      </c>
      <c r="J26">
        <v>0</v>
      </c>
      <c r="K26">
        <v>0</v>
      </c>
      <c r="L26">
        <v>0</v>
      </c>
      <c r="M26">
        <v>0</v>
      </c>
      <c r="N26">
        <v>0</v>
      </c>
    </row>
    <row r="27" spans="1:14">
      <c r="A27" t="s">
        <v>411</v>
      </c>
      <c r="B27" t="s">
        <v>415</v>
      </c>
      <c r="C27">
        <v>0</v>
      </c>
      <c r="D27">
        <v>0</v>
      </c>
      <c r="E27">
        <v>0</v>
      </c>
      <c r="F27">
        <v>0</v>
      </c>
      <c r="H27">
        <v>0</v>
      </c>
      <c r="I27">
        <v>0</v>
      </c>
      <c r="J27">
        <v>0</v>
      </c>
      <c r="K27">
        <v>0</v>
      </c>
      <c r="L27">
        <v>0</v>
      </c>
      <c r="M27">
        <v>0</v>
      </c>
      <c r="N27">
        <v>0</v>
      </c>
    </row>
    <row r="28" spans="1:14">
      <c r="A28" t="s">
        <v>411</v>
      </c>
      <c r="B28" t="s">
        <v>416</v>
      </c>
      <c r="C28">
        <v>0</v>
      </c>
      <c r="D28">
        <v>0</v>
      </c>
      <c r="E28">
        <v>0</v>
      </c>
      <c r="F28">
        <v>0</v>
      </c>
      <c r="H28">
        <v>0</v>
      </c>
      <c r="I28">
        <v>0</v>
      </c>
      <c r="J28">
        <v>0</v>
      </c>
      <c r="K28">
        <v>0</v>
      </c>
      <c r="L28">
        <v>0</v>
      </c>
      <c r="M28">
        <v>0</v>
      </c>
      <c r="N28">
        <v>0</v>
      </c>
    </row>
    <row r="29" spans="1:14">
      <c r="A29" t="s">
        <v>411</v>
      </c>
      <c r="B29" t="s">
        <v>206</v>
      </c>
      <c r="C29">
        <v>0</v>
      </c>
      <c r="D29">
        <v>0</v>
      </c>
      <c r="E29">
        <v>0</v>
      </c>
      <c r="F29">
        <v>0</v>
      </c>
      <c r="H29">
        <v>0</v>
      </c>
      <c r="I29">
        <v>0</v>
      </c>
      <c r="J29">
        <v>0</v>
      </c>
      <c r="K29">
        <v>0</v>
      </c>
      <c r="L29">
        <v>0</v>
      </c>
      <c r="M29">
        <v>0</v>
      </c>
      <c r="N29">
        <v>0</v>
      </c>
    </row>
    <row r="30" spans="1:14">
      <c r="A30" t="s">
        <v>411</v>
      </c>
      <c r="B30" t="s">
        <v>207</v>
      </c>
      <c r="C30">
        <v>0.1</v>
      </c>
      <c r="D30">
        <v>0</v>
      </c>
      <c r="E30">
        <v>2</v>
      </c>
      <c r="F30">
        <v>0</v>
      </c>
      <c r="H30">
        <v>0</v>
      </c>
      <c r="I30">
        <v>0</v>
      </c>
      <c r="J30">
        <v>0</v>
      </c>
      <c r="K30">
        <v>0</v>
      </c>
      <c r="L30">
        <v>0</v>
      </c>
      <c r="M30">
        <v>0</v>
      </c>
      <c r="N30">
        <v>0</v>
      </c>
    </row>
    <row r="31" spans="1:14">
      <c r="A31" t="s">
        <v>411</v>
      </c>
      <c r="B31" t="s">
        <v>417</v>
      </c>
      <c r="C31">
        <v>0</v>
      </c>
      <c r="D31">
        <v>0</v>
      </c>
      <c r="E31">
        <v>0</v>
      </c>
      <c r="F31">
        <v>0</v>
      </c>
      <c r="H31">
        <v>0</v>
      </c>
      <c r="I31">
        <v>0</v>
      </c>
      <c r="J31">
        <v>0</v>
      </c>
      <c r="K31">
        <v>0</v>
      </c>
      <c r="L31">
        <v>0</v>
      </c>
      <c r="M31">
        <v>0</v>
      </c>
      <c r="N31">
        <v>0</v>
      </c>
    </row>
    <row r="32" spans="1:14">
      <c r="A32" t="s">
        <v>411</v>
      </c>
      <c r="B32" t="s">
        <v>418</v>
      </c>
      <c r="C32">
        <v>0.65</v>
      </c>
      <c r="D32">
        <v>0</v>
      </c>
      <c r="E32">
        <v>13</v>
      </c>
      <c r="F32">
        <v>1</v>
      </c>
      <c r="H32">
        <v>0</v>
      </c>
      <c r="I32">
        <v>0</v>
      </c>
      <c r="J32">
        <v>0</v>
      </c>
      <c r="K32">
        <v>0</v>
      </c>
      <c r="L32">
        <v>0</v>
      </c>
      <c r="M32">
        <v>0</v>
      </c>
      <c r="N32">
        <v>0</v>
      </c>
    </row>
    <row r="33" spans="1:20">
      <c r="A33" t="s">
        <v>419</v>
      </c>
      <c r="B33" t="s">
        <v>420</v>
      </c>
      <c r="C33">
        <v>0.25</v>
      </c>
      <c r="D33">
        <v>0</v>
      </c>
      <c r="E33">
        <v>5</v>
      </c>
      <c r="F33">
        <v>0</v>
      </c>
      <c r="H33">
        <v>0</v>
      </c>
      <c r="I33">
        <v>0</v>
      </c>
      <c r="J33">
        <v>0</v>
      </c>
      <c r="K33">
        <v>0</v>
      </c>
      <c r="L33">
        <v>0</v>
      </c>
      <c r="M33">
        <v>0</v>
      </c>
      <c r="N33">
        <v>0</v>
      </c>
    </row>
    <row r="34" spans="1:20">
      <c r="A34" t="s">
        <v>419</v>
      </c>
      <c r="B34" t="s">
        <v>421</v>
      </c>
      <c r="C34">
        <v>0.25</v>
      </c>
      <c r="D34">
        <v>0</v>
      </c>
      <c r="E34">
        <v>5</v>
      </c>
      <c r="F34">
        <v>0</v>
      </c>
      <c r="H34">
        <v>0</v>
      </c>
      <c r="I34">
        <v>0</v>
      </c>
      <c r="J34">
        <v>0</v>
      </c>
      <c r="K34">
        <v>0</v>
      </c>
      <c r="L34">
        <v>0</v>
      </c>
      <c r="M34">
        <v>0</v>
      </c>
      <c r="N34">
        <v>0</v>
      </c>
    </row>
    <row r="35" spans="1:20">
      <c r="A35" t="s">
        <v>419</v>
      </c>
      <c r="B35" t="s">
        <v>422</v>
      </c>
      <c r="C35">
        <v>0.11</v>
      </c>
      <c r="D35">
        <v>0</v>
      </c>
      <c r="E35">
        <v>2</v>
      </c>
      <c r="F35">
        <v>3</v>
      </c>
      <c r="H35">
        <v>0</v>
      </c>
      <c r="I35">
        <v>0</v>
      </c>
      <c r="J35">
        <v>0</v>
      </c>
      <c r="K35">
        <v>0</v>
      </c>
      <c r="L35">
        <v>0</v>
      </c>
      <c r="M35">
        <v>0</v>
      </c>
      <c r="N35">
        <v>0</v>
      </c>
    </row>
    <row r="36" spans="1:20">
      <c r="A36" t="s">
        <v>419</v>
      </c>
      <c r="B36" t="s">
        <v>423</v>
      </c>
      <c r="C36">
        <v>0</v>
      </c>
      <c r="D36">
        <v>0</v>
      </c>
      <c r="E36">
        <v>0</v>
      </c>
      <c r="F36">
        <v>0</v>
      </c>
      <c r="H36">
        <v>0</v>
      </c>
      <c r="I36">
        <v>0</v>
      </c>
      <c r="J36">
        <v>0</v>
      </c>
      <c r="K36">
        <v>0</v>
      </c>
      <c r="L36">
        <v>0</v>
      </c>
      <c r="M36">
        <v>0</v>
      </c>
      <c r="N36">
        <v>0</v>
      </c>
    </row>
    <row r="37" spans="1:20">
      <c r="A37" t="s">
        <v>419</v>
      </c>
      <c r="B37" t="s">
        <v>424</v>
      </c>
      <c r="C37">
        <v>0.1</v>
      </c>
      <c r="D37">
        <v>0</v>
      </c>
      <c r="E37">
        <v>2</v>
      </c>
      <c r="F37">
        <v>0.75</v>
      </c>
      <c r="H37">
        <v>0</v>
      </c>
      <c r="I37">
        <v>0</v>
      </c>
      <c r="J37">
        <v>0</v>
      </c>
      <c r="K37">
        <v>0</v>
      </c>
      <c r="L37">
        <v>0</v>
      </c>
      <c r="M37">
        <v>0</v>
      </c>
      <c r="N37">
        <v>0</v>
      </c>
    </row>
    <row r="38" spans="1:20">
      <c r="A38" t="s">
        <v>419</v>
      </c>
      <c r="B38" t="s">
        <v>425</v>
      </c>
      <c r="C38">
        <v>0.25</v>
      </c>
      <c r="D38">
        <v>0</v>
      </c>
      <c r="E38">
        <v>5</v>
      </c>
      <c r="F38">
        <v>0</v>
      </c>
      <c r="H38">
        <v>0</v>
      </c>
      <c r="I38">
        <v>0</v>
      </c>
      <c r="J38">
        <v>0</v>
      </c>
      <c r="K38">
        <v>0</v>
      </c>
      <c r="L38">
        <v>0</v>
      </c>
      <c r="M38">
        <v>0</v>
      </c>
      <c r="N38">
        <v>0</v>
      </c>
    </row>
    <row r="39" spans="1:20">
      <c r="A39" t="s">
        <v>419</v>
      </c>
      <c r="B39" t="s">
        <v>426</v>
      </c>
      <c r="C39">
        <v>0.33</v>
      </c>
      <c r="D39">
        <v>0</v>
      </c>
      <c r="E39">
        <v>6</v>
      </c>
      <c r="F39">
        <v>8</v>
      </c>
      <c r="H39">
        <v>0</v>
      </c>
      <c r="I39">
        <v>0</v>
      </c>
      <c r="J39">
        <v>0</v>
      </c>
      <c r="K39">
        <v>0</v>
      </c>
      <c r="L39">
        <v>0</v>
      </c>
      <c r="M39">
        <v>0</v>
      </c>
      <c r="N39">
        <v>0</v>
      </c>
    </row>
    <row r="40" spans="1:20">
      <c r="A40" t="s">
        <v>419</v>
      </c>
      <c r="B40" t="s">
        <v>427</v>
      </c>
      <c r="C40">
        <v>1.3</v>
      </c>
      <c r="D40">
        <v>1</v>
      </c>
      <c r="E40">
        <v>5</v>
      </c>
      <c r="F40">
        <v>11.75</v>
      </c>
      <c r="H40">
        <v>0</v>
      </c>
      <c r="I40">
        <v>0</v>
      </c>
      <c r="J40">
        <v>0</v>
      </c>
      <c r="K40">
        <v>0</v>
      </c>
      <c r="L40">
        <v>0</v>
      </c>
      <c r="M40">
        <v>0</v>
      </c>
      <c r="N40">
        <v>0</v>
      </c>
    </row>
    <row r="41" spans="1:20">
      <c r="A41" t="s">
        <v>428</v>
      </c>
      <c r="B41" t="s">
        <v>429</v>
      </c>
      <c r="C41">
        <v>8.34</v>
      </c>
      <c r="D41">
        <v>8</v>
      </c>
      <c r="E41">
        <v>6</v>
      </c>
      <c r="F41">
        <v>9</v>
      </c>
      <c r="G41" t="s">
        <v>430</v>
      </c>
      <c r="H41">
        <v>16</v>
      </c>
      <c r="I41">
        <v>7</v>
      </c>
      <c r="J41">
        <v>16.88</v>
      </c>
      <c r="K41">
        <v>16.88</v>
      </c>
      <c r="L41">
        <v>0</v>
      </c>
      <c r="M41">
        <v>16</v>
      </c>
      <c r="N41">
        <v>7</v>
      </c>
      <c r="O41">
        <v>1</v>
      </c>
      <c r="P41">
        <v>0</v>
      </c>
      <c r="Q41">
        <v>15</v>
      </c>
      <c r="R41">
        <v>7</v>
      </c>
      <c r="S41">
        <v>10</v>
      </c>
      <c r="T41">
        <v>0</v>
      </c>
    </row>
    <row r="42" spans="1:20">
      <c r="A42" t="s">
        <v>428</v>
      </c>
      <c r="B42" t="s">
        <v>431</v>
      </c>
      <c r="C42">
        <v>0.66</v>
      </c>
      <c r="D42">
        <v>0</v>
      </c>
      <c r="E42">
        <v>13</v>
      </c>
      <c r="F42">
        <v>1.5</v>
      </c>
      <c r="G42" t="s">
        <v>432</v>
      </c>
      <c r="H42">
        <v>2</v>
      </c>
      <c r="I42">
        <v>1.5</v>
      </c>
      <c r="J42">
        <v>2.19</v>
      </c>
      <c r="K42">
        <v>2.19</v>
      </c>
      <c r="L42">
        <v>0</v>
      </c>
      <c r="M42">
        <v>2</v>
      </c>
      <c r="N42">
        <v>1.5</v>
      </c>
      <c r="S42">
        <v>6</v>
      </c>
      <c r="T42">
        <v>0</v>
      </c>
    </row>
    <row r="43" spans="1:20">
      <c r="A43" t="s">
        <v>428</v>
      </c>
      <c r="B43" t="s">
        <v>433</v>
      </c>
      <c r="C43">
        <v>1.42</v>
      </c>
      <c r="D43">
        <v>1</v>
      </c>
      <c r="E43">
        <v>8</v>
      </c>
      <c r="F43">
        <v>4</v>
      </c>
      <c r="G43" t="s">
        <v>434</v>
      </c>
      <c r="H43">
        <v>8</v>
      </c>
      <c r="I43">
        <v>4</v>
      </c>
      <c r="J43">
        <v>8.5</v>
      </c>
      <c r="K43">
        <v>8.5</v>
      </c>
      <c r="L43">
        <v>0</v>
      </c>
      <c r="M43">
        <v>8</v>
      </c>
      <c r="N43">
        <v>4</v>
      </c>
      <c r="S43">
        <v>3</v>
      </c>
      <c r="T43">
        <v>4</v>
      </c>
    </row>
    <row r="44" spans="1:20">
      <c r="A44" t="s">
        <v>428</v>
      </c>
      <c r="B44" t="s">
        <v>435</v>
      </c>
      <c r="C44">
        <v>10.41</v>
      </c>
      <c r="D44">
        <v>10</v>
      </c>
      <c r="E44">
        <v>8</v>
      </c>
      <c r="F44">
        <v>2.5</v>
      </c>
      <c r="H44">
        <v>0</v>
      </c>
      <c r="I44">
        <v>0</v>
      </c>
      <c r="J44">
        <v>0</v>
      </c>
      <c r="K44">
        <v>0</v>
      </c>
      <c r="L44">
        <v>0</v>
      </c>
      <c r="M44">
        <v>0</v>
      </c>
      <c r="N44">
        <v>0</v>
      </c>
    </row>
    <row r="45" spans="1:20">
      <c r="A45" t="s">
        <v>436</v>
      </c>
      <c r="B45" t="s">
        <v>437</v>
      </c>
      <c r="C45">
        <v>0.8</v>
      </c>
      <c r="D45">
        <v>0</v>
      </c>
      <c r="E45">
        <v>16</v>
      </c>
      <c r="F45">
        <v>0</v>
      </c>
      <c r="H45">
        <v>0</v>
      </c>
      <c r="I45">
        <v>0</v>
      </c>
      <c r="J45">
        <v>0</v>
      </c>
      <c r="K45">
        <v>0</v>
      </c>
      <c r="L45">
        <v>0</v>
      </c>
      <c r="M45">
        <v>0</v>
      </c>
      <c r="N45">
        <v>0</v>
      </c>
    </row>
    <row r="46" spans="1:20">
      <c r="A46" t="s">
        <v>436</v>
      </c>
      <c r="B46" t="s">
        <v>218</v>
      </c>
      <c r="C46">
        <v>0.7</v>
      </c>
      <c r="D46">
        <v>0</v>
      </c>
      <c r="E46">
        <v>14</v>
      </c>
      <c r="F46">
        <v>0</v>
      </c>
      <c r="H46">
        <v>0</v>
      </c>
      <c r="I46">
        <v>0</v>
      </c>
      <c r="J46">
        <v>0</v>
      </c>
      <c r="K46">
        <v>0</v>
      </c>
      <c r="L46">
        <v>0</v>
      </c>
      <c r="M46">
        <v>0</v>
      </c>
      <c r="N46">
        <v>0</v>
      </c>
    </row>
    <row r="47" spans="1:20">
      <c r="A47" t="s">
        <v>436</v>
      </c>
      <c r="B47" t="s">
        <v>219</v>
      </c>
      <c r="C47">
        <v>0.88</v>
      </c>
      <c r="D47">
        <v>0</v>
      </c>
      <c r="E47">
        <v>17</v>
      </c>
      <c r="F47">
        <v>6</v>
      </c>
      <c r="H47">
        <v>0</v>
      </c>
      <c r="I47">
        <v>0</v>
      </c>
      <c r="J47">
        <v>0</v>
      </c>
      <c r="K47">
        <v>0</v>
      </c>
      <c r="L47">
        <v>0</v>
      </c>
      <c r="M47">
        <v>0</v>
      </c>
      <c r="N47">
        <v>0</v>
      </c>
    </row>
    <row r="48" spans="1:20">
      <c r="A48" t="s">
        <v>436</v>
      </c>
      <c r="B48" t="s">
        <v>220</v>
      </c>
      <c r="C48">
        <v>0.9</v>
      </c>
      <c r="D48">
        <v>0</v>
      </c>
      <c r="E48">
        <v>18</v>
      </c>
      <c r="F48">
        <v>0</v>
      </c>
      <c r="H48">
        <v>0</v>
      </c>
      <c r="I48">
        <v>0</v>
      </c>
      <c r="J48">
        <v>0</v>
      </c>
      <c r="K48">
        <v>0</v>
      </c>
      <c r="L48">
        <v>0</v>
      </c>
      <c r="M48">
        <v>0</v>
      </c>
      <c r="N48">
        <v>0</v>
      </c>
    </row>
    <row r="49" spans="1:14">
      <c r="A49" t="s">
        <v>436</v>
      </c>
      <c r="B49" t="s">
        <v>221</v>
      </c>
      <c r="C49">
        <v>0.25</v>
      </c>
      <c r="D49">
        <v>0</v>
      </c>
      <c r="E49">
        <v>5</v>
      </c>
      <c r="F49">
        <v>0</v>
      </c>
      <c r="H49">
        <v>0</v>
      </c>
      <c r="I49">
        <v>0</v>
      </c>
      <c r="J49">
        <v>0</v>
      </c>
      <c r="K49">
        <v>0</v>
      </c>
      <c r="L49">
        <v>0</v>
      </c>
      <c r="M49">
        <v>0</v>
      </c>
      <c r="N49">
        <v>0</v>
      </c>
    </row>
    <row r="50" spans="1:14">
      <c r="A50" t="s">
        <v>436</v>
      </c>
      <c r="B50" t="s">
        <v>438</v>
      </c>
      <c r="C50">
        <v>3.52</v>
      </c>
      <c r="D50">
        <v>3</v>
      </c>
      <c r="E50">
        <v>10</v>
      </c>
      <c r="F50">
        <v>6</v>
      </c>
      <c r="H50">
        <v>0</v>
      </c>
      <c r="I50">
        <v>0</v>
      </c>
      <c r="J50">
        <v>0</v>
      </c>
      <c r="K50">
        <v>0</v>
      </c>
      <c r="L50">
        <v>0</v>
      </c>
      <c r="M50">
        <v>0</v>
      </c>
      <c r="N50">
        <v>0</v>
      </c>
    </row>
    <row r="51" spans="1:14">
      <c r="A51" t="s">
        <v>439</v>
      </c>
      <c r="B51" t="s">
        <v>440</v>
      </c>
      <c r="C51">
        <v>0.2</v>
      </c>
      <c r="D51">
        <v>0</v>
      </c>
      <c r="E51">
        <v>4</v>
      </c>
      <c r="F51">
        <v>0</v>
      </c>
      <c r="H51">
        <v>0</v>
      </c>
      <c r="I51">
        <v>0</v>
      </c>
      <c r="J51">
        <v>0</v>
      </c>
      <c r="K51">
        <v>0</v>
      </c>
      <c r="L51">
        <v>0</v>
      </c>
      <c r="M51">
        <v>0</v>
      </c>
      <c r="N51">
        <v>0</v>
      </c>
    </row>
    <row r="52" spans="1:14">
      <c r="A52" t="s">
        <v>439</v>
      </c>
      <c r="B52" t="s">
        <v>441</v>
      </c>
      <c r="C52">
        <v>1.5</v>
      </c>
      <c r="D52">
        <v>1</v>
      </c>
      <c r="E52">
        <v>10</v>
      </c>
      <c r="F52">
        <v>0</v>
      </c>
      <c r="H52">
        <v>0</v>
      </c>
      <c r="I52">
        <v>0</v>
      </c>
      <c r="J52">
        <v>0</v>
      </c>
      <c r="K52">
        <v>0</v>
      </c>
      <c r="L52">
        <v>0</v>
      </c>
      <c r="M52">
        <v>0</v>
      </c>
      <c r="N52">
        <v>0</v>
      </c>
    </row>
    <row r="53" spans="1:14">
      <c r="A53" t="s">
        <v>439</v>
      </c>
      <c r="B53" t="s">
        <v>442</v>
      </c>
      <c r="C53">
        <v>0.17</v>
      </c>
      <c r="D53">
        <v>0</v>
      </c>
      <c r="E53">
        <v>3</v>
      </c>
      <c r="F53">
        <v>4</v>
      </c>
      <c r="H53">
        <v>0</v>
      </c>
      <c r="I53">
        <v>0</v>
      </c>
      <c r="J53">
        <v>0</v>
      </c>
      <c r="K53">
        <v>0</v>
      </c>
      <c r="L53">
        <v>0</v>
      </c>
      <c r="M53">
        <v>0</v>
      </c>
      <c r="N53">
        <v>0</v>
      </c>
    </row>
    <row r="54" spans="1:14">
      <c r="A54" t="s">
        <v>439</v>
      </c>
      <c r="B54" t="s">
        <v>443</v>
      </c>
      <c r="C54">
        <v>0.05</v>
      </c>
      <c r="D54">
        <v>0</v>
      </c>
      <c r="E54">
        <v>1</v>
      </c>
      <c r="F54">
        <v>0</v>
      </c>
      <c r="H54">
        <v>0</v>
      </c>
      <c r="I54">
        <v>0</v>
      </c>
      <c r="J54">
        <v>0</v>
      </c>
      <c r="K54">
        <v>0</v>
      </c>
      <c r="L54">
        <v>0</v>
      </c>
      <c r="M54">
        <v>0</v>
      </c>
      <c r="N54">
        <v>0</v>
      </c>
    </row>
    <row r="55" spans="1:14">
      <c r="A55" t="s">
        <v>439</v>
      </c>
      <c r="B55" t="s">
        <v>444</v>
      </c>
      <c r="C55">
        <v>1.92</v>
      </c>
      <c r="D55">
        <v>1</v>
      </c>
      <c r="E55">
        <v>18</v>
      </c>
      <c r="F55">
        <v>4</v>
      </c>
      <c r="H55">
        <v>0</v>
      </c>
      <c r="I55">
        <v>0</v>
      </c>
      <c r="J55">
        <v>0</v>
      </c>
      <c r="K55">
        <v>0</v>
      </c>
      <c r="L55">
        <v>0</v>
      </c>
      <c r="M55">
        <v>0</v>
      </c>
      <c r="N55">
        <v>0</v>
      </c>
    </row>
    <row r="56" spans="1:14">
      <c r="A56" t="s">
        <v>445</v>
      </c>
      <c r="B56" t="s">
        <v>446</v>
      </c>
      <c r="C56">
        <v>0.01</v>
      </c>
      <c r="D56">
        <v>0</v>
      </c>
      <c r="E56">
        <v>0</v>
      </c>
      <c r="F56">
        <v>3</v>
      </c>
      <c r="H56">
        <v>0</v>
      </c>
      <c r="I56">
        <v>0</v>
      </c>
      <c r="J56">
        <v>0</v>
      </c>
      <c r="K56">
        <v>0</v>
      </c>
      <c r="L56">
        <v>0</v>
      </c>
      <c r="M56">
        <v>0</v>
      </c>
      <c r="N56">
        <v>0</v>
      </c>
    </row>
    <row r="57" spans="1:14">
      <c r="A57" t="s">
        <v>445</v>
      </c>
      <c r="B57" t="s">
        <v>447</v>
      </c>
      <c r="C57">
        <v>0.16</v>
      </c>
      <c r="D57">
        <v>0</v>
      </c>
      <c r="E57">
        <v>3</v>
      </c>
      <c r="F57">
        <v>2</v>
      </c>
      <c r="H57">
        <v>0</v>
      </c>
      <c r="I57">
        <v>0</v>
      </c>
      <c r="J57">
        <v>0</v>
      </c>
      <c r="K57">
        <v>0</v>
      </c>
      <c r="L57">
        <v>0</v>
      </c>
      <c r="M57">
        <v>0</v>
      </c>
      <c r="N57">
        <v>0</v>
      </c>
    </row>
    <row r="58" spans="1:14">
      <c r="A58" t="s">
        <v>445</v>
      </c>
      <c r="B58" t="s">
        <v>448</v>
      </c>
      <c r="C58">
        <v>0</v>
      </c>
      <c r="D58">
        <v>0</v>
      </c>
      <c r="E58">
        <v>0</v>
      </c>
      <c r="F58">
        <v>0</v>
      </c>
      <c r="H58">
        <v>0</v>
      </c>
      <c r="I58">
        <v>0</v>
      </c>
      <c r="J58">
        <v>0</v>
      </c>
      <c r="K58">
        <v>0</v>
      </c>
      <c r="L58">
        <v>0</v>
      </c>
      <c r="M58">
        <v>0</v>
      </c>
      <c r="N58">
        <v>0</v>
      </c>
    </row>
    <row r="59" spans="1:14">
      <c r="A59" t="s">
        <v>445</v>
      </c>
      <c r="B59" t="s">
        <v>449</v>
      </c>
      <c r="C59">
        <v>0.22</v>
      </c>
      <c r="D59">
        <v>0</v>
      </c>
      <c r="E59">
        <v>4</v>
      </c>
      <c r="F59">
        <v>4</v>
      </c>
      <c r="H59">
        <v>0</v>
      </c>
      <c r="I59">
        <v>0</v>
      </c>
      <c r="J59">
        <v>0</v>
      </c>
      <c r="K59">
        <v>0</v>
      </c>
      <c r="L59">
        <v>0</v>
      </c>
      <c r="M59">
        <v>0</v>
      </c>
      <c r="N59">
        <v>0</v>
      </c>
    </row>
    <row r="60" spans="1:14">
      <c r="A60" t="s">
        <v>445</v>
      </c>
      <c r="B60" t="s">
        <v>450</v>
      </c>
      <c r="C60">
        <v>0.39</v>
      </c>
      <c r="D60">
        <v>0</v>
      </c>
      <c r="E60">
        <v>7</v>
      </c>
      <c r="F60">
        <v>9</v>
      </c>
      <c r="H60">
        <v>0</v>
      </c>
      <c r="I60">
        <v>0</v>
      </c>
      <c r="J60">
        <v>0</v>
      </c>
      <c r="K60">
        <v>0</v>
      </c>
      <c r="L60">
        <v>0</v>
      </c>
      <c r="M60">
        <v>0</v>
      </c>
      <c r="N60">
        <v>0</v>
      </c>
    </row>
    <row r="61" spans="1:14">
      <c r="A61" t="s">
        <v>451</v>
      </c>
      <c r="B61" t="s">
        <v>452</v>
      </c>
      <c r="C61">
        <v>3.05</v>
      </c>
      <c r="D61">
        <v>3</v>
      </c>
      <c r="E61">
        <v>1</v>
      </c>
      <c r="F61">
        <v>0</v>
      </c>
      <c r="H61">
        <v>0</v>
      </c>
      <c r="I61">
        <v>0</v>
      </c>
      <c r="J61">
        <v>0</v>
      </c>
      <c r="K61">
        <v>0</v>
      </c>
      <c r="L61">
        <v>0</v>
      </c>
      <c r="M61">
        <v>0</v>
      </c>
      <c r="N61">
        <v>0</v>
      </c>
    </row>
    <row r="62" spans="1:14">
      <c r="A62" t="s">
        <v>451</v>
      </c>
      <c r="B62" t="s">
        <v>453</v>
      </c>
      <c r="C62">
        <v>3.05</v>
      </c>
      <c r="D62">
        <v>3</v>
      </c>
      <c r="E62">
        <v>1</v>
      </c>
      <c r="F62">
        <v>0</v>
      </c>
      <c r="H62">
        <v>0</v>
      </c>
      <c r="I62">
        <v>0</v>
      </c>
      <c r="J62">
        <v>0</v>
      </c>
      <c r="K62">
        <v>0</v>
      </c>
      <c r="L62">
        <v>0</v>
      </c>
      <c r="M62">
        <v>0</v>
      </c>
      <c r="N62">
        <v>0</v>
      </c>
    </row>
    <row r="63" spans="1:14">
      <c r="A63" t="s">
        <v>454</v>
      </c>
      <c r="B63" t="s">
        <v>455</v>
      </c>
      <c r="C63">
        <v>26.54</v>
      </c>
      <c r="D63">
        <v>26</v>
      </c>
      <c r="E63">
        <v>10</v>
      </c>
      <c r="F63">
        <v>9.5</v>
      </c>
      <c r="H63">
        <v>0</v>
      </c>
      <c r="I63">
        <v>0</v>
      </c>
      <c r="J63">
        <v>0</v>
      </c>
      <c r="K63">
        <v>0</v>
      </c>
      <c r="L63">
        <v>0</v>
      </c>
      <c r="M63">
        <v>0</v>
      </c>
      <c r="N63">
        <v>0</v>
      </c>
    </row>
    <row r="64" spans="1:14">
      <c r="A64" t="s">
        <v>456</v>
      </c>
      <c r="B64" t="s">
        <v>457</v>
      </c>
      <c r="C64">
        <v>0.33</v>
      </c>
      <c r="D64">
        <v>0</v>
      </c>
      <c r="E64">
        <v>6</v>
      </c>
      <c r="F64">
        <v>6</v>
      </c>
      <c r="H64">
        <v>0</v>
      </c>
      <c r="I64">
        <v>0</v>
      </c>
      <c r="J64">
        <v>0</v>
      </c>
      <c r="K64">
        <v>0</v>
      </c>
      <c r="L64">
        <v>0</v>
      </c>
      <c r="M64">
        <v>0</v>
      </c>
      <c r="N64">
        <v>0</v>
      </c>
    </row>
    <row r="65" spans="1:14">
      <c r="A65" t="s">
        <v>456</v>
      </c>
      <c r="B65" t="s">
        <v>244</v>
      </c>
      <c r="C65">
        <v>0.03</v>
      </c>
      <c r="D65">
        <v>0</v>
      </c>
      <c r="E65">
        <v>0</v>
      </c>
      <c r="F65">
        <v>6</v>
      </c>
      <c r="H65">
        <v>0</v>
      </c>
      <c r="I65">
        <v>0</v>
      </c>
      <c r="J65">
        <v>0</v>
      </c>
      <c r="K65">
        <v>0</v>
      </c>
      <c r="L65">
        <v>0</v>
      </c>
      <c r="M65">
        <v>0</v>
      </c>
      <c r="N65">
        <v>0</v>
      </c>
    </row>
    <row r="66" spans="1:14">
      <c r="A66" t="s">
        <v>456</v>
      </c>
      <c r="B66" t="s">
        <v>245</v>
      </c>
      <c r="C66">
        <v>0.03</v>
      </c>
      <c r="D66">
        <v>0</v>
      </c>
      <c r="E66">
        <v>0</v>
      </c>
      <c r="F66">
        <v>7</v>
      </c>
      <c r="H66">
        <v>0</v>
      </c>
      <c r="I66">
        <v>0</v>
      </c>
      <c r="J66">
        <v>0</v>
      </c>
      <c r="K66">
        <v>0</v>
      </c>
      <c r="L66">
        <v>0</v>
      </c>
      <c r="M66">
        <v>0</v>
      </c>
      <c r="N66">
        <v>0</v>
      </c>
    </row>
    <row r="67" spans="1:14">
      <c r="A67" t="s">
        <v>456</v>
      </c>
      <c r="B67" t="s">
        <v>246</v>
      </c>
      <c r="C67">
        <v>0.06</v>
      </c>
      <c r="D67">
        <v>0</v>
      </c>
      <c r="E67">
        <v>1</v>
      </c>
      <c r="F67">
        <v>3</v>
      </c>
      <c r="H67">
        <v>0</v>
      </c>
      <c r="I67">
        <v>0</v>
      </c>
      <c r="J67">
        <v>0</v>
      </c>
      <c r="K67">
        <v>0</v>
      </c>
      <c r="L67">
        <v>0</v>
      </c>
      <c r="M67">
        <v>0</v>
      </c>
      <c r="N67">
        <v>0</v>
      </c>
    </row>
    <row r="68" spans="1:14">
      <c r="A68" t="s">
        <v>456</v>
      </c>
      <c r="B68" t="s">
        <v>247</v>
      </c>
      <c r="C68">
        <v>0.03</v>
      </c>
      <c r="D68">
        <v>0</v>
      </c>
      <c r="E68">
        <v>0</v>
      </c>
      <c r="F68">
        <v>6</v>
      </c>
      <c r="H68">
        <v>0</v>
      </c>
      <c r="I68">
        <v>0</v>
      </c>
      <c r="J68">
        <v>0</v>
      </c>
      <c r="K68">
        <v>0</v>
      </c>
      <c r="L68">
        <v>0</v>
      </c>
      <c r="M68">
        <v>0</v>
      </c>
      <c r="N68">
        <v>0</v>
      </c>
    </row>
    <row r="69" spans="1:14">
      <c r="A69" t="s">
        <v>456</v>
      </c>
      <c r="B69" t="s">
        <v>248</v>
      </c>
      <c r="C69">
        <v>0.01</v>
      </c>
      <c r="D69">
        <v>0</v>
      </c>
      <c r="E69">
        <v>0</v>
      </c>
      <c r="F69">
        <v>2</v>
      </c>
      <c r="H69">
        <v>0</v>
      </c>
      <c r="I69">
        <v>0</v>
      </c>
      <c r="J69">
        <v>0</v>
      </c>
      <c r="K69">
        <v>0</v>
      </c>
      <c r="L69">
        <v>0</v>
      </c>
      <c r="M69">
        <v>0</v>
      </c>
      <c r="N69">
        <v>0</v>
      </c>
    </row>
    <row r="70" spans="1:14">
      <c r="A70" t="s">
        <v>456</v>
      </c>
      <c r="B70" t="s">
        <v>249</v>
      </c>
      <c r="C70">
        <v>0.03</v>
      </c>
      <c r="D70">
        <v>0</v>
      </c>
      <c r="E70">
        <v>0</v>
      </c>
      <c r="F70">
        <v>8</v>
      </c>
      <c r="H70">
        <v>0</v>
      </c>
      <c r="I70">
        <v>0</v>
      </c>
      <c r="J70">
        <v>0</v>
      </c>
      <c r="K70">
        <v>0</v>
      </c>
      <c r="L70">
        <v>0</v>
      </c>
      <c r="M70">
        <v>0</v>
      </c>
      <c r="N70">
        <v>0</v>
      </c>
    </row>
    <row r="71" spans="1:14">
      <c r="A71" t="s">
        <v>456</v>
      </c>
      <c r="B71" t="s">
        <v>250</v>
      </c>
      <c r="C71">
        <v>0.03</v>
      </c>
      <c r="D71">
        <v>0</v>
      </c>
      <c r="E71">
        <v>0</v>
      </c>
      <c r="F71">
        <v>6</v>
      </c>
      <c r="H71">
        <v>0</v>
      </c>
      <c r="I71">
        <v>0</v>
      </c>
      <c r="J71">
        <v>0</v>
      </c>
      <c r="K71">
        <v>0</v>
      </c>
      <c r="L71">
        <v>0</v>
      </c>
      <c r="M71">
        <v>0</v>
      </c>
      <c r="N71">
        <v>0</v>
      </c>
    </row>
    <row r="72" spans="1:14">
      <c r="A72" t="s">
        <v>456</v>
      </c>
      <c r="B72" t="s">
        <v>458</v>
      </c>
      <c r="C72">
        <v>7.0000000000000007E-2</v>
      </c>
      <c r="D72">
        <v>0</v>
      </c>
      <c r="E72">
        <v>1</v>
      </c>
      <c r="F72">
        <v>4</v>
      </c>
      <c r="H72">
        <v>0</v>
      </c>
      <c r="I72">
        <v>0</v>
      </c>
      <c r="J72">
        <v>0</v>
      </c>
      <c r="K72">
        <v>0</v>
      </c>
      <c r="L72">
        <v>0</v>
      </c>
      <c r="M72">
        <v>0</v>
      </c>
      <c r="N72">
        <v>0</v>
      </c>
    </row>
    <row r="73" spans="1:14">
      <c r="A73" t="s">
        <v>456</v>
      </c>
      <c r="B73" t="s">
        <v>252</v>
      </c>
      <c r="C73">
        <v>0.4</v>
      </c>
      <c r="D73">
        <v>0</v>
      </c>
      <c r="E73">
        <v>8</v>
      </c>
      <c r="F73">
        <v>0</v>
      </c>
      <c r="H73">
        <v>0</v>
      </c>
      <c r="I73">
        <v>0</v>
      </c>
      <c r="J73">
        <v>0</v>
      </c>
      <c r="K73">
        <v>0</v>
      </c>
      <c r="L73">
        <v>0</v>
      </c>
      <c r="M73">
        <v>0</v>
      </c>
      <c r="N73">
        <v>0</v>
      </c>
    </row>
    <row r="74" spans="1:14">
      <c r="A74" t="s">
        <v>456</v>
      </c>
      <c r="B74" t="s">
        <v>253</v>
      </c>
      <c r="C74">
        <v>0.01</v>
      </c>
      <c r="D74">
        <v>0</v>
      </c>
      <c r="E74">
        <v>0</v>
      </c>
      <c r="F74">
        <v>2</v>
      </c>
      <c r="H74">
        <v>0</v>
      </c>
      <c r="I74">
        <v>0</v>
      </c>
      <c r="J74">
        <v>0</v>
      </c>
      <c r="K74">
        <v>0</v>
      </c>
      <c r="L74">
        <v>0</v>
      </c>
      <c r="M74">
        <v>0</v>
      </c>
      <c r="N74">
        <v>0</v>
      </c>
    </row>
    <row r="75" spans="1:14">
      <c r="A75" t="s">
        <v>456</v>
      </c>
      <c r="B75" t="s">
        <v>459</v>
      </c>
      <c r="C75">
        <v>1.01</v>
      </c>
      <c r="D75">
        <v>1</v>
      </c>
      <c r="E75">
        <v>0</v>
      </c>
      <c r="F75">
        <v>2</v>
      </c>
      <c r="H75">
        <v>0</v>
      </c>
      <c r="I75">
        <v>0</v>
      </c>
      <c r="J75">
        <v>0</v>
      </c>
      <c r="K75">
        <v>0</v>
      </c>
      <c r="L75">
        <v>0</v>
      </c>
      <c r="M75">
        <v>0</v>
      </c>
      <c r="N75">
        <v>0</v>
      </c>
    </row>
    <row r="76" spans="1:14">
      <c r="A76" t="s">
        <v>460</v>
      </c>
      <c r="B76" t="s">
        <v>461</v>
      </c>
      <c r="C76">
        <v>0.02</v>
      </c>
      <c r="D76">
        <v>0</v>
      </c>
      <c r="E76">
        <v>0</v>
      </c>
      <c r="F76">
        <v>4</v>
      </c>
      <c r="H76">
        <v>0</v>
      </c>
      <c r="I76">
        <v>0</v>
      </c>
      <c r="J76">
        <v>0</v>
      </c>
      <c r="K76">
        <v>0</v>
      </c>
      <c r="L76">
        <v>0</v>
      </c>
      <c r="M76">
        <v>0</v>
      </c>
      <c r="N76">
        <v>0</v>
      </c>
    </row>
    <row r="77" spans="1:14">
      <c r="A77" t="s">
        <v>460</v>
      </c>
      <c r="B77" t="s">
        <v>462</v>
      </c>
      <c r="C77">
        <v>0.02</v>
      </c>
      <c r="D77">
        <v>0</v>
      </c>
      <c r="E77">
        <v>0</v>
      </c>
      <c r="F77">
        <v>4</v>
      </c>
      <c r="H77">
        <v>0</v>
      </c>
      <c r="I77">
        <v>0</v>
      </c>
      <c r="J77">
        <v>0</v>
      </c>
      <c r="K77">
        <v>0</v>
      </c>
      <c r="L77">
        <v>0</v>
      </c>
      <c r="M77">
        <v>0</v>
      </c>
      <c r="N77">
        <v>0</v>
      </c>
    </row>
    <row r="78" spans="1:14">
      <c r="A78" t="s">
        <v>460</v>
      </c>
      <c r="B78" t="s">
        <v>463</v>
      </c>
      <c r="C78">
        <v>0.3</v>
      </c>
      <c r="D78">
        <v>0</v>
      </c>
      <c r="E78">
        <v>6</v>
      </c>
      <c r="F78">
        <v>0</v>
      </c>
      <c r="H78">
        <v>0</v>
      </c>
      <c r="I78">
        <v>0</v>
      </c>
      <c r="J78">
        <v>0</v>
      </c>
      <c r="K78">
        <v>0</v>
      </c>
      <c r="L78">
        <v>0</v>
      </c>
      <c r="M78">
        <v>0</v>
      </c>
      <c r="N78">
        <v>0</v>
      </c>
    </row>
    <row r="79" spans="1:14">
      <c r="A79" t="s">
        <v>460</v>
      </c>
      <c r="B79" t="s">
        <v>464</v>
      </c>
      <c r="C79">
        <v>0.02</v>
      </c>
      <c r="D79">
        <v>0</v>
      </c>
      <c r="E79">
        <v>0</v>
      </c>
      <c r="F79">
        <v>4</v>
      </c>
      <c r="H79">
        <v>0</v>
      </c>
      <c r="I79">
        <v>0</v>
      </c>
      <c r="J79">
        <v>0</v>
      </c>
      <c r="K79">
        <v>0</v>
      </c>
      <c r="L79">
        <v>0</v>
      </c>
      <c r="M79">
        <v>0</v>
      </c>
      <c r="N79">
        <v>0</v>
      </c>
    </row>
    <row r="80" spans="1:14">
      <c r="A80" t="s">
        <v>460</v>
      </c>
      <c r="B80" t="s">
        <v>465</v>
      </c>
      <c r="C80">
        <v>0.35</v>
      </c>
      <c r="D80">
        <v>0</v>
      </c>
      <c r="E80">
        <v>7</v>
      </c>
      <c r="F80">
        <v>0</v>
      </c>
      <c r="H80">
        <v>0</v>
      </c>
      <c r="I80">
        <v>0</v>
      </c>
      <c r="J80">
        <v>0</v>
      </c>
      <c r="K80">
        <v>0</v>
      </c>
      <c r="L80">
        <v>0</v>
      </c>
      <c r="M80">
        <v>0</v>
      </c>
      <c r="N80">
        <v>0</v>
      </c>
    </row>
    <row r="81" spans="1:14">
      <c r="A81" t="s">
        <v>466</v>
      </c>
      <c r="B81" t="s">
        <v>467</v>
      </c>
      <c r="C81">
        <v>0.1</v>
      </c>
      <c r="D81">
        <v>0</v>
      </c>
      <c r="E81">
        <v>2</v>
      </c>
      <c r="F81">
        <v>0</v>
      </c>
      <c r="H81">
        <v>0</v>
      </c>
      <c r="I81">
        <v>4</v>
      </c>
      <c r="J81">
        <v>0.5</v>
      </c>
      <c r="K81">
        <v>0.5</v>
      </c>
      <c r="L81">
        <v>0</v>
      </c>
      <c r="M81">
        <v>0</v>
      </c>
      <c r="N81">
        <v>4</v>
      </c>
    </row>
    <row r="82" spans="1:14">
      <c r="A82" t="s">
        <v>466</v>
      </c>
      <c r="B82" t="s">
        <v>468</v>
      </c>
      <c r="C82">
        <v>0.6</v>
      </c>
      <c r="D82">
        <v>0</v>
      </c>
      <c r="E82">
        <v>12</v>
      </c>
      <c r="F82">
        <v>0</v>
      </c>
      <c r="H82">
        <v>0</v>
      </c>
      <c r="I82">
        <v>0</v>
      </c>
      <c r="J82">
        <v>0</v>
      </c>
      <c r="K82">
        <v>0</v>
      </c>
      <c r="L82">
        <v>0</v>
      </c>
      <c r="M82">
        <v>0</v>
      </c>
      <c r="N82">
        <v>0</v>
      </c>
    </row>
    <row r="83" spans="1:14">
      <c r="A83" t="s">
        <v>466</v>
      </c>
      <c r="B83" t="s">
        <v>469</v>
      </c>
      <c r="C83">
        <v>6.33</v>
      </c>
      <c r="D83">
        <v>6</v>
      </c>
      <c r="E83">
        <v>6</v>
      </c>
      <c r="F83">
        <v>8</v>
      </c>
      <c r="H83">
        <v>0</v>
      </c>
      <c r="I83">
        <v>0</v>
      </c>
      <c r="J83">
        <v>0</v>
      </c>
      <c r="K83">
        <v>0</v>
      </c>
      <c r="L83">
        <v>0</v>
      </c>
      <c r="M83">
        <v>0</v>
      </c>
      <c r="N83">
        <v>0</v>
      </c>
    </row>
    <row r="84" spans="1:14">
      <c r="A84" t="s">
        <v>466</v>
      </c>
      <c r="B84" t="s">
        <v>470</v>
      </c>
      <c r="C84">
        <v>7.03</v>
      </c>
      <c r="D84">
        <v>7</v>
      </c>
      <c r="E84">
        <v>0</v>
      </c>
      <c r="F84">
        <v>8</v>
      </c>
      <c r="H84">
        <v>0</v>
      </c>
      <c r="I84">
        <v>0</v>
      </c>
      <c r="J84">
        <v>0</v>
      </c>
      <c r="K84">
        <v>0</v>
      </c>
      <c r="L84">
        <v>0</v>
      </c>
      <c r="M84">
        <v>0</v>
      </c>
      <c r="N84">
        <v>0</v>
      </c>
    </row>
    <row r="85" spans="1:14">
      <c r="A85" t="s">
        <v>471</v>
      </c>
      <c r="B85" t="s">
        <v>472</v>
      </c>
      <c r="C85">
        <v>0.03</v>
      </c>
      <c r="D85">
        <v>0</v>
      </c>
      <c r="E85">
        <v>0</v>
      </c>
      <c r="F85">
        <v>8</v>
      </c>
      <c r="H85">
        <v>0</v>
      </c>
      <c r="I85">
        <v>0</v>
      </c>
      <c r="J85">
        <v>0</v>
      </c>
      <c r="K85">
        <v>0</v>
      </c>
      <c r="L85">
        <v>0</v>
      </c>
      <c r="M85">
        <v>0</v>
      </c>
      <c r="N85">
        <v>0</v>
      </c>
    </row>
    <row r="86" spans="1:14">
      <c r="A86" t="s">
        <v>471</v>
      </c>
      <c r="B86" t="s">
        <v>473</v>
      </c>
      <c r="C86">
        <v>0.02</v>
      </c>
      <c r="D86">
        <v>0</v>
      </c>
      <c r="E86">
        <v>0</v>
      </c>
      <c r="F86">
        <v>4</v>
      </c>
      <c r="H86">
        <v>0</v>
      </c>
      <c r="I86">
        <v>0</v>
      </c>
      <c r="J86">
        <v>0</v>
      </c>
      <c r="K86">
        <v>0</v>
      </c>
      <c r="L86">
        <v>0</v>
      </c>
      <c r="M86">
        <v>0</v>
      </c>
      <c r="N86">
        <v>0</v>
      </c>
    </row>
    <row r="87" spans="1:14">
      <c r="A87" t="s">
        <v>471</v>
      </c>
      <c r="B87" t="s">
        <v>474</v>
      </c>
      <c r="C87">
        <v>0.05</v>
      </c>
      <c r="D87">
        <v>0</v>
      </c>
      <c r="E87">
        <v>1</v>
      </c>
      <c r="F87">
        <v>0</v>
      </c>
      <c r="H87">
        <v>0</v>
      </c>
      <c r="I87">
        <v>0</v>
      </c>
      <c r="J87">
        <v>0</v>
      </c>
      <c r="K87">
        <v>0</v>
      </c>
      <c r="L87">
        <v>0</v>
      </c>
      <c r="M87">
        <v>0</v>
      </c>
      <c r="N87">
        <v>0</v>
      </c>
    </row>
    <row r="88" spans="1:14">
      <c r="A88" t="s">
        <v>471</v>
      </c>
      <c r="B88" t="s">
        <v>475</v>
      </c>
      <c r="C88">
        <v>0.02</v>
      </c>
      <c r="D88">
        <v>0</v>
      </c>
      <c r="E88">
        <v>0</v>
      </c>
      <c r="F88">
        <v>5</v>
      </c>
      <c r="H88">
        <v>0</v>
      </c>
      <c r="I88">
        <v>0</v>
      </c>
      <c r="J88">
        <v>0</v>
      </c>
      <c r="K88">
        <v>0</v>
      </c>
      <c r="L88">
        <v>0</v>
      </c>
      <c r="M88">
        <v>0</v>
      </c>
      <c r="N88">
        <v>0</v>
      </c>
    </row>
    <row r="89" spans="1:14">
      <c r="A89" t="s">
        <v>471</v>
      </c>
      <c r="B89" t="s">
        <v>476</v>
      </c>
      <c r="C89">
        <v>0.17</v>
      </c>
      <c r="D89">
        <v>0</v>
      </c>
      <c r="E89">
        <v>3</v>
      </c>
      <c r="F89">
        <v>4</v>
      </c>
      <c r="H89">
        <v>0</v>
      </c>
      <c r="I89">
        <v>0</v>
      </c>
      <c r="J89">
        <v>0</v>
      </c>
      <c r="K89">
        <v>0</v>
      </c>
      <c r="L89">
        <v>0</v>
      </c>
      <c r="M89">
        <v>0</v>
      </c>
      <c r="N89">
        <v>0</v>
      </c>
    </row>
    <row r="90" spans="1:14">
      <c r="A90" t="s">
        <v>471</v>
      </c>
      <c r="B90" t="s">
        <v>477</v>
      </c>
      <c r="C90">
        <v>0.28999999999999998</v>
      </c>
      <c r="D90">
        <v>0</v>
      </c>
      <c r="E90">
        <v>5</v>
      </c>
      <c r="F90">
        <v>9</v>
      </c>
      <c r="H90">
        <v>0</v>
      </c>
      <c r="I90">
        <v>0</v>
      </c>
      <c r="J90">
        <v>0</v>
      </c>
      <c r="K90">
        <v>0</v>
      </c>
      <c r="L90">
        <v>0</v>
      </c>
      <c r="M90">
        <v>0</v>
      </c>
      <c r="N90">
        <v>0</v>
      </c>
    </row>
    <row r="91" spans="1:14">
      <c r="A91" t="s">
        <v>478</v>
      </c>
      <c r="B91" t="s">
        <v>479</v>
      </c>
      <c r="C91">
        <v>0.2</v>
      </c>
      <c r="D91">
        <v>0</v>
      </c>
      <c r="E91">
        <v>4</v>
      </c>
      <c r="F91">
        <v>0</v>
      </c>
      <c r="H91">
        <v>0</v>
      </c>
      <c r="I91">
        <v>0</v>
      </c>
      <c r="J91">
        <v>0</v>
      </c>
      <c r="K91">
        <v>0</v>
      </c>
      <c r="L91">
        <v>0</v>
      </c>
      <c r="M91">
        <v>0</v>
      </c>
      <c r="N91">
        <v>0</v>
      </c>
    </row>
    <row r="92" spans="1:14">
      <c r="A92" t="s">
        <v>478</v>
      </c>
      <c r="B92" t="s">
        <v>480</v>
      </c>
      <c r="C92">
        <v>0.03</v>
      </c>
      <c r="D92">
        <v>0</v>
      </c>
      <c r="E92">
        <v>0</v>
      </c>
      <c r="F92">
        <v>6</v>
      </c>
      <c r="H92">
        <v>0</v>
      </c>
      <c r="I92">
        <v>0</v>
      </c>
      <c r="J92">
        <v>0</v>
      </c>
      <c r="K92">
        <v>0</v>
      </c>
      <c r="L92">
        <v>0</v>
      </c>
      <c r="M92">
        <v>0</v>
      </c>
      <c r="N92">
        <v>0</v>
      </c>
    </row>
    <row r="93" spans="1:14">
      <c r="A93" t="s">
        <v>478</v>
      </c>
      <c r="B93" t="s">
        <v>481</v>
      </c>
      <c r="C93">
        <v>0.03</v>
      </c>
      <c r="D93">
        <v>0</v>
      </c>
      <c r="E93">
        <v>0</v>
      </c>
      <c r="F93">
        <v>7.5</v>
      </c>
      <c r="H93">
        <v>0</v>
      </c>
      <c r="I93">
        <v>0</v>
      </c>
      <c r="J93">
        <v>0</v>
      </c>
      <c r="K93">
        <v>0</v>
      </c>
      <c r="L93">
        <v>0</v>
      </c>
      <c r="M93">
        <v>0</v>
      </c>
      <c r="N93">
        <v>0</v>
      </c>
    </row>
    <row r="94" spans="1:14">
      <c r="A94" t="s">
        <v>478</v>
      </c>
      <c r="B94" t="s">
        <v>482</v>
      </c>
      <c r="C94">
        <v>0.04</v>
      </c>
      <c r="D94">
        <v>0</v>
      </c>
      <c r="E94">
        <v>0</v>
      </c>
      <c r="F94">
        <v>9</v>
      </c>
      <c r="H94">
        <v>0</v>
      </c>
      <c r="I94">
        <v>0</v>
      </c>
      <c r="J94">
        <v>0</v>
      </c>
      <c r="K94">
        <v>0</v>
      </c>
      <c r="L94">
        <v>0</v>
      </c>
      <c r="M94">
        <v>0</v>
      </c>
      <c r="N94">
        <v>0</v>
      </c>
    </row>
    <row r="95" spans="1:14">
      <c r="A95" t="s">
        <v>478</v>
      </c>
      <c r="B95" t="s">
        <v>483</v>
      </c>
      <c r="C95">
        <v>0.2</v>
      </c>
      <c r="D95">
        <v>0</v>
      </c>
      <c r="E95">
        <v>4</v>
      </c>
      <c r="F95">
        <v>0</v>
      </c>
      <c r="H95">
        <v>0</v>
      </c>
      <c r="I95">
        <v>0</v>
      </c>
      <c r="J95">
        <v>0</v>
      </c>
      <c r="K95">
        <v>0</v>
      </c>
      <c r="L95">
        <v>0</v>
      </c>
      <c r="M95">
        <v>0</v>
      </c>
      <c r="N95">
        <v>0</v>
      </c>
    </row>
    <row r="96" spans="1:14">
      <c r="A96" t="s">
        <v>478</v>
      </c>
      <c r="B96" t="s">
        <v>484</v>
      </c>
      <c r="C96">
        <v>0.49</v>
      </c>
      <c r="D96">
        <v>0</v>
      </c>
      <c r="E96">
        <v>9</v>
      </c>
      <c r="F96">
        <v>10.5</v>
      </c>
      <c r="H96">
        <v>0</v>
      </c>
      <c r="I96">
        <v>0</v>
      </c>
      <c r="J96">
        <v>0</v>
      </c>
      <c r="K96">
        <v>0</v>
      </c>
      <c r="L96">
        <v>0</v>
      </c>
      <c r="M96">
        <v>0</v>
      </c>
      <c r="N96">
        <v>0</v>
      </c>
    </row>
    <row r="97" spans="1:18">
      <c r="A97" t="s">
        <v>485</v>
      </c>
      <c r="B97" t="s">
        <v>486</v>
      </c>
      <c r="C97">
        <v>0</v>
      </c>
      <c r="D97">
        <v>0</v>
      </c>
      <c r="E97">
        <v>0</v>
      </c>
      <c r="F97">
        <v>0</v>
      </c>
      <c r="H97">
        <v>0</v>
      </c>
      <c r="I97">
        <v>0</v>
      </c>
      <c r="J97">
        <v>0</v>
      </c>
      <c r="K97">
        <v>0</v>
      </c>
      <c r="L97">
        <v>0</v>
      </c>
      <c r="M97">
        <v>0</v>
      </c>
      <c r="N97">
        <v>0</v>
      </c>
    </row>
    <row r="98" spans="1:18">
      <c r="A98" t="s">
        <v>485</v>
      </c>
      <c r="B98" t="s">
        <v>487</v>
      </c>
      <c r="C98">
        <v>0</v>
      </c>
      <c r="D98">
        <v>0</v>
      </c>
      <c r="E98">
        <v>0</v>
      </c>
      <c r="F98">
        <v>0</v>
      </c>
      <c r="H98">
        <v>0</v>
      </c>
      <c r="I98">
        <v>0</v>
      </c>
      <c r="J98">
        <v>0</v>
      </c>
      <c r="K98">
        <v>0</v>
      </c>
      <c r="L98">
        <v>0</v>
      </c>
      <c r="M98">
        <v>0</v>
      </c>
      <c r="N98">
        <v>0</v>
      </c>
    </row>
    <row r="99" spans="1:18">
      <c r="A99" t="s">
        <v>485</v>
      </c>
      <c r="B99" t="s">
        <v>488</v>
      </c>
      <c r="C99">
        <v>0.03</v>
      </c>
      <c r="D99">
        <v>0</v>
      </c>
      <c r="E99">
        <v>0</v>
      </c>
      <c r="F99">
        <v>6</v>
      </c>
      <c r="H99">
        <v>0</v>
      </c>
      <c r="I99">
        <v>0</v>
      </c>
      <c r="J99">
        <v>0</v>
      </c>
      <c r="K99">
        <v>0</v>
      </c>
      <c r="L99">
        <v>0</v>
      </c>
      <c r="M99">
        <v>0</v>
      </c>
      <c r="N99">
        <v>0</v>
      </c>
    </row>
    <row r="100" spans="1:18">
      <c r="A100" t="s">
        <v>485</v>
      </c>
      <c r="B100" t="s">
        <v>489</v>
      </c>
      <c r="C100">
        <v>0.03</v>
      </c>
      <c r="D100">
        <v>0</v>
      </c>
      <c r="E100">
        <v>0</v>
      </c>
      <c r="F100">
        <v>6</v>
      </c>
      <c r="H100">
        <v>0</v>
      </c>
      <c r="I100">
        <v>0</v>
      </c>
      <c r="J100">
        <v>0</v>
      </c>
      <c r="K100">
        <v>0</v>
      </c>
      <c r="L100">
        <v>0</v>
      </c>
      <c r="M100">
        <v>0</v>
      </c>
      <c r="N100">
        <v>0</v>
      </c>
    </row>
    <row r="101" spans="1:18">
      <c r="A101" t="s">
        <v>490</v>
      </c>
      <c r="B101" t="s">
        <v>491</v>
      </c>
      <c r="C101">
        <v>0.33</v>
      </c>
      <c r="D101">
        <v>0</v>
      </c>
      <c r="E101">
        <v>6</v>
      </c>
      <c r="F101">
        <v>7.25</v>
      </c>
      <c r="G101" t="s">
        <v>492</v>
      </c>
      <c r="H101">
        <v>2</v>
      </c>
      <c r="I101">
        <v>4</v>
      </c>
      <c r="J101">
        <v>2.5</v>
      </c>
      <c r="K101">
        <v>23.88</v>
      </c>
      <c r="L101">
        <v>-21.38</v>
      </c>
      <c r="M101">
        <v>23</v>
      </c>
      <c r="N101">
        <v>7</v>
      </c>
      <c r="O101">
        <v>2</v>
      </c>
      <c r="P101">
        <v>0</v>
      </c>
      <c r="Q101">
        <v>0</v>
      </c>
      <c r="R101">
        <v>4</v>
      </c>
    </row>
    <row r="102" spans="1:18">
      <c r="A102" t="s">
        <v>490</v>
      </c>
      <c r="B102" t="s">
        <v>493</v>
      </c>
      <c r="C102">
        <v>0.2</v>
      </c>
      <c r="D102">
        <v>0</v>
      </c>
      <c r="E102">
        <v>3</v>
      </c>
      <c r="F102">
        <v>11</v>
      </c>
      <c r="G102" t="s">
        <v>432</v>
      </c>
      <c r="H102">
        <v>23</v>
      </c>
      <c r="I102">
        <v>4</v>
      </c>
      <c r="J102">
        <v>23.5</v>
      </c>
      <c r="K102">
        <v>23.5</v>
      </c>
      <c r="L102">
        <v>0</v>
      </c>
      <c r="M102">
        <v>23</v>
      </c>
      <c r="N102">
        <v>4</v>
      </c>
    </row>
    <row r="103" spans="1:18">
      <c r="A103" t="s">
        <v>490</v>
      </c>
      <c r="B103" t="s">
        <v>494</v>
      </c>
      <c r="C103">
        <v>0.13</v>
      </c>
      <c r="D103">
        <v>0</v>
      </c>
      <c r="E103">
        <v>2</v>
      </c>
      <c r="F103">
        <v>6.75</v>
      </c>
      <c r="G103" t="s">
        <v>434</v>
      </c>
      <c r="H103">
        <v>20</v>
      </c>
      <c r="I103">
        <v>4</v>
      </c>
      <c r="J103">
        <v>20.5</v>
      </c>
      <c r="K103">
        <v>20.5</v>
      </c>
      <c r="L103">
        <v>0</v>
      </c>
      <c r="M103">
        <v>20</v>
      </c>
      <c r="N103">
        <v>4</v>
      </c>
    </row>
    <row r="104" spans="1:18">
      <c r="A104" t="s">
        <v>490</v>
      </c>
      <c r="B104" t="s">
        <v>259</v>
      </c>
      <c r="C104">
        <v>0.1</v>
      </c>
      <c r="D104">
        <v>0</v>
      </c>
      <c r="E104">
        <v>1</v>
      </c>
      <c r="F104">
        <v>11.25</v>
      </c>
      <c r="H104">
        <v>3</v>
      </c>
      <c r="I104">
        <v>3</v>
      </c>
      <c r="J104">
        <v>3.38</v>
      </c>
      <c r="K104">
        <v>70.38</v>
      </c>
      <c r="L104">
        <v>-67</v>
      </c>
      <c r="M104">
        <v>70</v>
      </c>
      <c r="N104">
        <v>3</v>
      </c>
      <c r="O104">
        <v>3</v>
      </c>
      <c r="P104">
        <v>0</v>
      </c>
    </row>
    <row r="105" spans="1:18">
      <c r="A105" t="s">
        <v>490</v>
      </c>
      <c r="B105" t="s">
        <v>495</v>
      </c>
      <c r="C105">
        <v>0.75</v>
      </c>
      <c r="D105">
        <v>0</v>
      </c>
      <c r="E105">
        <v>15</v>
      </c>
      <c r="F105">
        <v>0.25</v>
      </c>
      <c r="H105">
        <v>0</v>
      </c>
      <c r="I105">
        <v>0</v>
      </c>
      <c r="J105">
        <v>0</v>
      </c>
      <c r="K105">
        <v>0</v>
      </c>
      <c r="L105">
        <v>0</v>
      </c>
      <c r="M105">
        <v>0</v>
      </c>
      <c r="N105">
        <v>0</v>
      </c>
    </row>
    <row r="106" spans="1:18">
      <c r="A106" t="s">
        <v>496</v>
      </c>
      <c r="B106" t="s">
        <v>497</v>
      </c>
      <c r="C106">
        <v>0.52</v>
      </c>
      <c r="D106">
        <v>0</v>
      </c>
      <c r="E106">
        <v>10</v>
      </c>
      <c r="F106">
        <v>4</v>
      </c>
      <c r="G106" t="s">
        <v>498</v>
      </c>
      <c r="H106">
        <v>0</v>
      </c>
      <c r="I106">
        <v>0</v>
      </c>
      <c r="J106">
        <v>0</v>
      </c>
      <c r="K106">
        <v>0</v>
      </c>
      <c r="L106">
        <v>0</v>
      </c>
      <c r="M106">
        <v>0</v>
      </c>
      <c r="N106">
        <v>0</v>
      </c>
    </row>
    <row r="107" spans="1:18">
      <c r="A107" t="s">
        <v>496</v>
      </c>
      <c r="B107" t="s">
        <v>264</v>
      </c>
      <c r="C107">
        <v>0.5</v>
      </c>
      <c r="D107">
        <v>0</v>
      </c>
      <c r="E107">
        <v>9</v>
      </c>
      <c r="F107">
        <v>11.5</v>
      </c>
      <c r="H107">
        <v>0</v>
      </c>
      <c r="I107">
        <v>0</v>
      </c>
      <c r="J107">
        <v>0</v>
      </c>
      <c r="K107">
        <v>0</v>
      </c>
      <c r="L107">
        <v>0</v>
      </c>
      <c r="M107">
        <v>0</v>
      </c>
      <c r="N107">
        <v>0</v>
      </c>
    </row>
    <row r="108" spans="1:18">
      <c r="A108" t="s">
        <v>496</v>
      </c>
      <c r="B108" t="s">
        <v>265</v>
      </c>
      <c r="C108">
        <v>0.1</v>
      </c>
      <c r="D108">
        <v>0</v>
      </c>
      <c r="E108">
        <v>2</v>
      </c>
      <c r="F108">
        <v>0</v>
      </c>
      <c r="H108">
        <v>0</v>
      </c>
      <c r="I108">
        <v>0</v>
      </c>
      <c r="J108">
        <v>0</v>
      </c>
      <c r="K108">
        <v>0</v>
      </c>
      <c r="L108">
        <v>0</v>
      </c>
      <c r="M108">
        <v>0</v>
      </c>
      <c r="N108">
        <v>0</v>
      </c>
    </row>
    <row r="109" spans="1:18">
      <c r="A109" t="s">
        <v>496</v>
      </c>
      <c r="B109" t="s">
        <v>499</v>
      </c>
      <c r="C109">
        <v>1.1100000000000001</v>
      </c>
      <c r="D109">
        <v>1</v>
      </c>
      <c r="E109">
        <v>2</v>
      </c>
      <c r="F109">
        <v>3.5</v>
      </c>
      <c r="H109">
        <v>0</v>
      </c>
      <c r="I109">
        <v>0</v>
      </c>
      <c r="J109">
        <v>0</v>
      </c>
      <c r="K109">
        <v>0</v>
      </c>
      <c r="L109">
        <v>0</v>
      </c>
      <c r="M109">
        <v>0</v>
      </c>
      <c r="N109">
        <v>0</v>
      </c>
    </row>
    <row r="110" spans="1:18">
      <c r="A110" t="s">
        <v>500</v>
      </c>
      <c r="B110" t="s">
        <v>501</v>
      </c>
      <c r="C110">
        <v>1</v>
      </c>
      <c r="D110">
        <v>1</v>
      </c>
      <c r="E110">
        <v>0</v>
      </c>
      <c r="F110">
        <v>0</v>
      </c>
      <c r="H110">
        <v>0</v>
      </c>
      <c r="I110">
        <v>0</v>
      </c>
      <c r="J110">
        <v>0</v>
      </c>
      <c r="K110">
        <v>0</v>
      </c>
      <c r="L110">
        <v>0</v>
      </c>
      <c r="M110">
        <v>0</v>
      </c>
      <c r="N110">
        <v>0</v>
      </c>
    </row>
    <row r="111" spans="1:18">
      <c r="A111" t="s">
        <v>500</v>
      </c>
      <c r="B111" t="s">
        <v>502</v>
      </c>
      <c r="C111">
        <v>1</v>
      </c>
      <c r="D111">
        <v>1</v>
      </c>
      <c r="E111">
        <v>0</v>
      </c>
      <c r="F111">
        <v>0</v>
      </c>
      <c r="H111">
        <v>0</v>
      </c>
      <c r="I111">
        <v>0</v>
      </c>
      <c r="J111">
        <v>0</v>
      </c>
      <c r="K111">
        <v>0</v>
      </c>
      <c r="L111">
        <v>0</v>
      </c>
      <c r="M111">
        <v>0</v>
      </c>
      <c r="N111">
        <v>0</v>
      </c>
    </row>
    <row r="112" spans="1:18">
      <c r="A112" t="s">
        <v>503</v>
      </c>
      <c r="B112" t="s">
        <v>504</v>
      </c>
      <c r="C112">
        <v>12.06</v>
      </c>
      <c r="D112">
        <v>12</v>
      </c>
      <c r="E112">
        <v>1</v>
      </c>
      <c r="F112">
        <v>3.5</v>
      </c>
      <c r="H112">
        <v>0</v>
      </c>
      <c r="I112">
        <v>0</v>
      </c>
      <c r="J112">
        <v>0</v>
      </c>
      <c r="K112">
        <v>0</v>
      </c>
      <c r="L112">
        <v>0</v>
      </c>
      <c r="M112">
        <v>0</v>
      </c>
      <c r="N112">
        <v>0</v>
      </c>
    </row>
    <row r="113" spans="1:16">
      <c r="A113" t="s">
        <v>505</v>
      </c>
      <c r="B113" t="s">
        <v>506</v>
      </c>
      <c r="C113">
        <v>14.47</v>
      </c>
      <c r="D113">
        <v>14</v>
      </c>
      <c r="E113">
        <v>9</v>
      </c>
      <c r="F113">
        <v>6</v>
      </c>
      <c r="H113">
        <v>0</v>
      </c>
      <c r="I113">
        <v>0</v>
      </c>
      <c r="J113">
        <v>0</v>
      </c>
      <c r="K113">
        <v>0</v>
      </c>
      <c r="L113">
        <v>0</v>
      </c>
      <c r="M113">
        <v>0</v>
      </c>
      <c r="N113">
        <v>0</v>
      </c>
    </row>
    <row r="114" spans="1:16">
      <c r="A114" t="s">
        <v>507</v>
      </c>
      <c r="B114" t="s">
        <v>508</v>
      </c>
      <c r="C114">
        <v>1.38</v>
      </c>
      <c r="D114">
        <v>1</v>
      </c>
      <c r="E114">
        <v>7</v>
      </c>
      <c r="F114">
        <v>8</v>
      </c>
      <c r="H114">
        <v>0</v>
      </c>
      <c r="I114">
        <v>0</v>
      </c>
      <c r="J114">
        <v>0</v>
      </c>
      <c r="K114">
        <v>0</v>
      </c>
      <c r="L114">
        <v>0</v>
      </c>
      <c r="M114">
        <v>0</v>
      </c>
      <c r="N114">
        <v>0</v>
      </c>
    </row>
    <row r="115" spans="1:16">
      <c r="A115" t="s">
        <v>507</v>
      </c>
      <c r="B115" t="s">
        <v>509</v>
      </c>
      <c r="C115">
        <v>1.38</v>
      </c>
      <c r="D115">
        <v>1</v>
      </c>
      <c r="E115">
        <v>7</v>
      </c>
      <c r="F115">
        <v>8</v>
      </c>
      <c r="H115">
        <v>0</v>
      </c>
      <c r="I115">
        <v>0</v>
      </c>
      <c r="J115">
        <v>0</v>
      </c>
      <c r="K115">
        <v>0</v>
      </c>
      <c r="L115">
        <v>0</v>
      </c>
      <c r="M115">
        <v>0</v>
      </c>
      <c r="N115">
        <v>0</v>
      </c>
    </row>
    <row r="116" spans="1:16">
      <c r="A116" t="s">
        <v>510</v>
      </c>
      <c r="B116" t="s">
        <v>511</v>
      </c>
      <c r="C116">
        <v>1.97</v>
      </c>
      <c r="D116">
        <v>1</v>
      </c>
      <c r="E116">
        <v>19</v>
      </c>
      <c r="F116">
        <v>6</v>
      </c>
      <c r="H116">
        <v>0</v>
      </c>
      <c r="I116">
        <v>0</v>
      </c>
      <c r="J116">
        <v>0</v>
      </c>
      <c r="K116">
        <v>0</v>
      </c>
      <c r="L116">
        <v>0</v>
      </c>
      <c r="M116">
        <v>0</v>
      </c>
      <c r="N116">
        <v>0</v>
      </c>
    </row>
    <row r="117" spans="1:16">
      <c r="A117" t="s">
        <v>510</v>
      </c>
      <c r="B117" t="s">
        <v>512</v>
      </c>
      <c r="C117">
        <v>1.97</v>
      </c>
      <c r="D117">
        <v>1</v>
      </c>
      <c r="E117">
        <v>19</v>
      </c>
      <c r="F117">
        <v>6</v>
      </c>
      <c r="H117">
        <v>0</v>
      </c>
      <c r="I117">
        <v>0</v>
      </c>
      <c r="J117">
        <v>0</v>
      </c>
      <c r="K117">
        <v>0</v>
      </c>
      <c r="L117">
        <v>0</v>
      </c>
      <c r="M117">
        <v>0</v>
      </c>
      <c r="N117">
        <v>0</v>
      </c>
    </row>
    <row r="118" spans="1:16">
      <c r="A118" t="s">
        <v>513</v>
      </c>
      <c r="B118" t="s">
        <v>514</v>
      </c>
      <c r="C118">
        <v>11</v>
      </c>
      <c r="D118">
        <v>11</v>
      </c>
      <c r="E118">
        <v>0</v>
      </c>
      <c r="F118">
        <v>0</v>
      </c>
      <c r="H118">
        <v>0</v>
      </c>
      <c r="I118">
        <v>0</v>
      </c>
      <c r="J118">
        <v>0</v>
      </c>
      <c r="K118">
        <v>0</v>
      </c>
      <c r="L118">
        <v>0</v>
      </c>
      <c r="M118">
        <v>0</v>
      </c>
      <c r="N118">
        <v>0</v>
      </c>
    </row>
    <row r="119" spans="1:16">
      <c r="A119" t="s">
        <v>513</v>
      </c>
      <c r="B119" t="s">
        <v>515</v>
      </c>
      <c r="C119">
        <v>11</v>
      </c>
      <c r="D119">
        <v>11</v>
      </c>
      <c r="E119">
        <v>0</v>
      </c>
      <c r="F119">
        <v>0</v>
      </c>
      <c r="H119">
        <v>0</v>
      </c>
      <c r="I119">
        <v>0</v>
      </c>
      <c r="J119">
        <v>0</v>
      </c>
      <c r="K119">
        <v>0</v>
      </c>
      <c r="L119">
        <v>0</v>
      </c>
      <c r="M119">
        <v>0</v>
      </c>
      <c r="N119">
        <v>0</v>
      </c>
    </row>
    <row r="120" spans="1:16">
      <c r="A120" t="s">
        <v>516</v>
      </c>
      <c r="B120" t="s">
        <v>517</v>
      </c>
      <c r="C120">
        <v>14.36</v>
      </c>
      <c r="D120">
        <v>14</v>
      </c>
      <c r="E120">
        <v>7</v>
      </c>
      <c r="F120">
        <v>2</v>
      </c>
      <c r="H120">
        <v>0</v>
      </c>
      <c r="I120">
        <v>0</v>
      </c>
      <c r="J120">
        <v>0</v>
      </c>
      <c r="K120">
        <v>0</v>
      </c>
      <c r="L120">
        <v>0</v>
      </c>
      <c r="M120">
        <v>0</v>
      </c>
      <c r="N120">
        <v>0</v>
      </c>
    </row>
    <row r="121" spans="1:16">
      <c r="A121" t="s">
        <v>505</v>
      </c>
      <c r="B121" t="s">
        <v>518</v>
      </c>
      <c r="C121">
        <v>0.12</v>
      </c>
      <c r="D121">
        <v>0</v>
      </c>
      <c r="E121">
        <v>2</v>
      </c>
      <c r="F121">
        <v>4</v>
      </c>
      <c r="H121">
        <v>0</v>
      </c>
      <c r="I121">
        <v>0</v>
      </c>
      <c r="J121">
        <v>0</v>
      </c>
      <c r="K121">
        <v>0</v>
      </c>
      <c r="L121">
        <v>0</v>
      </c>
      <c r="M121">
        <v>0</v>
      </c>
      <c r="N121">
        <v>0</v>
      </c>
    </row>
    <row r="122" spans="1:16">
      <c r="A122" t="s">
        <v>430</v>
      </c>
      <c r="B122" t="s">
        <v>519</v>
      </c>
      <c r="C122">
        <v>0</v>
      </c>
      <c r="D122">
        <v>0</v>
      </c>
      <c r="E122">
        <v>0</v>
      </c>
      <c r="F122">
        <v>0</v>
      </c>
      <c r="H122">
        <v>22</v>
      </c>
      <c r="I122">
        <v>7</v>
      </c>
      <c r="J122">
        <v>22.88</v>
      </c>
      <c r="K122">
        <v>22.88</v>
      </c>
      <c r="L122">
        <v>0</v>
      </c>
      <c r="M122">
        <v>22</v>
      </c>
      <c r="N122">
        <v>7</v>
      </c>
    </row>
    <row r="123" spans="1:16">
      <c r="A123" t="s">
        <v>430</v>
      </c>
      <c r="B123" t="s">
        <v>520</v>
      </c>
      <c r="C123">
        <v>0</v>
      </c>
      <c r="D123">
        <v>0</v>
      </c>
      <c r="E123">
        <v>0</v>
      </c>
      <c r="F123">
        <v>0</v>
      </c>
      <c r="H123">
        <v>1</v>
      </c>
      <c r="I123">
        <v>0</v>
      </c>
      <c r="J123">
        <v>1</v>
      </c>
      <c r="K123">
        <v>1</v>
      </c>
      <c r="L123">
        <v>0</v>
      </c>
      <c r="M123">
        <v>1</v>
      </c>
      <c r="N123">
        <v>0</v>
      </c>
    </row>
    <row r="124" spans="1:16">
      <c r="A124" t="s">
        <v>430</v>
      </c>
      <c r="B124" t="s">
        <v>521</v>
      </c>
      <c r="C124">
        <v>0</v>
      </c>
      <c r="D124">
        <v>0</v>
      </c>
      <c r="E124">
        <v>0</v>
      </c>
      <c r="F124">
        <v>1</v>
      </c>
      <c r="H124">
        <v>2</v>
      </c>
      <c r="I124">
        <v>7.5</v>
      </c>
      <c r="J124">
        <v>2.94</v>
      </c>
      <c r="K124">
        <v>2.94</v>
      </c>
      <c r="L124">
        <v>0</v>
      </c>
      <c r="M124">
        <v>2</v>
      </c>
      <c r="N124">
        <v>7.5</v>
      </c>
    </row>
    <row r="125" spans="1:16">
      <c r="A125" t="s">
        <v>430</v>
      </c>
      <c r="B125" t="s">
        <v>522</v>
      </c>
      <c r="C125">
        <v>0</v>
      </c>
      <c r="D125">
        <v>0</v>
      </c>
      <c r="E125">
        <v>0</v>
      </c>
      <c r="F125">
        <v>0</v>
      </c>
      <c r="H125">
        <v>26</v>
      </c>
      <c r="I125">
        <v>6.5</v>
      </c>
      <c r="J125">
        <v>26.81</v>
      </c>
      <c r="K125">
        <v>26.81</v>
      </c>
      <c r="L125">
        <v>0</v>
      </c>
      <c r="M125">
        <v>26</v>
      </c>
      <c r="N125">
        <v>6.5</v>
      </c>
    </row>
    <row r="126" spans="1:16">
      <c r="A126" t="s">
        <v>430</v>
      </c>
      <c r="B126" t="s">
        <v>523</v>
      </c>
      <c r="C126">
        <v>0</v>
      </c>
      <c r="D126">
        <v>0</v>
      </c>
      <c r="E126">
        <v>0</v>
      </c>
      <c r="F126">
        <v>0</v>
      </c>
      <c r="H126">
        <v>7</v>
      </c>
      <c r="I126">
        <v>0</v>
      </c>
      <c r="J126">
        <v>7</v>
      </c>
      <c r="K126">
        <v>7</v>
      </c>
      <c r="L126">
        <v>0</v>
      </c>
      <c r="M126">
        <v>7</v>
      </c>
      <c r="N126">
        <v>0</v>
      </c>
    </row>
    <row r="127" spans="1:16">
      <c r="A127" t="s">
        <v>430</v>
      </c>
      <c r="B127" t="s">
        <v>524</v>
      </c>
      <c r="C127">
        <v>0</v>
      </c>
      <c r="D127">
        <v>0</v>
      </c>
      <c r="E127">
        <v>0</v>
      </c>
      <c r="F127">
        <v>0</v>
      </c>
      <c r="H127">
        <v>0</v>
      </c>
      <c r="I127">
        <v>2</v>
      </c>
      <c r="J127">
        <v>0.25</v>
      </c>
      <c r="K127">
        <v>0.25</v>
      </c>
      <c r="L127">
        <v>0</v>
      </c>
      <c r="M127">
        <v>0</v>
      </c>
      <c r="N127">
        <v>2</v>
      </c>
    </row>
    <row r="128" spans="1:16">
      <c r="A128" t="s">
        <v>430</v>
      </c>
      <c r="B128" t="s">
        <v>525</v>
      </c>
      <c r="C128">
        <v>0</v>
      </c>
      <c r="D128">
        <v>0</v>
      </c>
      <c r="E128">
        <v>0</v>
      </c>
      <c r="F128">
        <v>1</v>
      </c>
      <c r="H128">
        <v>1</v>
      </c>
      <c r="I128">
        <v>7</v>
      </c>
      <c r="J128">
        <v>1.88</v>
      </c>
      <c r="K128">
        <v>16.88</v>
      </c>
      <c r="L128">
        <v>-15</v>
      </c>
      <c r="M128">
        <v>16</v>
      </c>
      <c r="N128">
        <v>7</v>
      </c>
      <c r="O128">
        <v>1</v>
      </c>
      <c r="P128">
        <v>0</v>
      </c>
    </row>
    <row r="129" spans="1:14">
      <c r="A129" t="s">
        <v>430</v>
      </c>
      <c r="B129" t="s">
        <v>526</v>
      </c>
      <c r="C129">
        <v>1.17</v>
      </c>
      <c r="D129">
        <v>1</v>
      </c>
      <c r="E129">
        <v>3</v>
      </c>
      <c r="F129">
        <v>6</v>
      </c>
      <c r="H129">
        <v>2</v>
      </c>
      <c r="I129">
        <v>7.5</v>
      </c>
      <c r="J129">
        <v>2.94</v>
      </c>
      <c r="K129">
        <v>2.94</v>
      </c>
      <c r="L129">
        <v>0</v>
      </c>
      <c r="M129">
        <v>2</v>
      </c>
      <c r="N129">
        <v>7.5</v>
      </c>
    </row>
    <row r="130" spans="1:14">
      <c r="A130" t="s">
        <v>430</v>
      </c>
      <c r="B130" t="s">
        <v>527</v>
      </c>
      <c r="C130">
        <v>0</v>
      </c>
      <c r="D130">
        <v>0</v>
      </c>
      <c r="E130">
        <v>0</v>
      </c>
      <c r="F130">
        <v>0</v>
      </c>
      <c r="H130">
        <v>0</v>
      </c>
      <c r="I130">
        <v>0</v>
      </c>
      <c r="J130">
        <v>0</v>
      </c>
      <c r="K130">
        <v>0</v>
      </c>
      <c r="L130">
        <v>0</v>
      </c>
      <c r="M130">
        <v>0</v>
      </c>
      <c r="N130">
        <v>0</v>
      </c>
    </row>
    <row r="131" spans="1:14">
      <c r="A131" t="s">
        <v>430</v>
      </c>
      <c r="B131" t="s">
        <v>528</v>
      </c>
      <c r="C131">
        <v>0</v>
      </c>
      <c r="D131">
        <v>0</v>
      </c>
      <c r="E131">
        <v>0</v>
      </c>
      <c r="F131">
        <v>0</v>
      </c>
      <c r="H131">
        <v>0</v>
      </c>
      <c r="I131">
        <v>0</v>
      </c>
      <c r="J131">
        <v>0</v>
      </c>
      <c r="K131">
        <v>0</v>
      </c>
      <c r="L131">
        <v>0</v>
      </c>
      <c r="M131">
        <v>0</v>
      </c>
      <c r="N131">
        <v>0</v>
      </c>
    </row>
    <row r="132" spans="1:14">
      <c r="A132" t="s">
        <v>529</v>
      </c>
      <c r="B132" t="s">
        <v>530</v>
      </c>
      <c r="C132">
        <v>0</v>
      </c>
      <c r="D132">
        <v>0</v>
      </c>
      <c r="E132">
        <v>0</v>
      </c>
      <c r="F132">
        <v>0</v>
      </c>
      <c r="G132" t="s">
        <v>492</v>
      </c>
      <c r="H132">
        <v>2</v>
      </c>
      <c r="I132">
        <v>0</v>
      </c>
      <c r="J132">
        <v>2</v>
      </c>
      <c r="K132">
        <v>2</v>
      </c>
      <c r="L132">
        <v>0</v>
      </c>
      <c r="M132">
        <v>2</v>
      </c>
      <c r="N132">
        <v>0</v>
      </c>
    </row>
    <row r="133" spans="1:14">
      <c r="A133" t="s">
        <v>529</v>
      </c>
      <c r="B133" t="s">
        <v>531</v>
      </c>
      <c r="C133">
        <v>0</v>
      </c>
      <c r="D133">
        <v>0</v>
      </c>
      <c r="E133">
        <v>0</v>
      </c>
      <c r="F133">
        <v>0</v>
      </c>
      <c r="H133">
        <v>0</v>
      </c>
      <c r="I133">
        <v>0</v>
      </c>
      <c r="J133">
        <v>0</v>
      </c>
      <c r="K133">
        <v>0</v>
      </c>
      <c r="L133">
        <v>0</v>
      </c>
      <c r="M133">
        <v>0</v>
      </c>
      <c r="N133">
        <v>0</v>
      </c>
    </row>
    <row r="134" spans="1:14">
      <c r="A134" t="s">
        <v>529</v>
      </c>
      <c r="B134" t="s">
        <v>528</v>
      </c>
      <c r="C134">
        <v>0</v>
      </c>
      <c r="D134">
        <v>0</v>
      </c>
      <c r="E134">
        <v>0</v>
      </c>
      <c r="F134">
        <v>0</v>
      </c>
      <c r="H134">
        <v>0</v>
      </c>
      <c r="I134">
        <v>0</v>
      </c>
      <c r="J134">
        <v>0</v>
      </c>
      <c r="K134">
        <v>0</v>
      </c>
      <c r="L134">
        <v>0</v>
      </c>
      <c r="M134">
        <v>0</v>
      </c>
      <c r="N134">
        <v>0</v>
      </c>
    </row>
    <row r="135" spans="1:14">
      <c r="A135" t="s">
        <v>432</v>
      </c>
      <c r="B135" t="s">
        <v>532</v>
      </c>
      <c r="C135">
        <v>0</v>
      </c>
      <c r="D135">
        <v>0</v>
      </c>
      <c r="E135">
        <v>0</v>
      </c>
      <c r="F135">
        <v>0</v>
      </c>
      <c r="H135">
        <v>23</v>
      </c>
      <c r="I135">
        <v>4</v>
      </c>
      <c r="J135">
        <v>23.5</v>
      </c>
      <c r="K135">
        <v>23.5</v>
      </c>
      <c r="L135">
        <v>0</v>
      </c>
      <c r="M135">
        <v>23</v>
      </c>
      <c r="N135">
        <v>4</v>
      </c>
    </row>
    <row r="136" spans="1:14">
      <c r="A136" t="s">
        <v>432</v>
      </c>
      <c r="B136" t="s">
        <v>533</v>
      </c>
      <c r="C136">
        <v>0</v>
      </c>
      <c r="D136">
        <v>0</v>
      </c>
      <c r="E136">
        <v>0</v>
      </c>
      <c r="F136">
        <v>1</v>
      </c>
      <c r="H136">
        <v>4</v>
      </c>
      <c r="I136">
        <v>4</v>
      </c>
      <c r="J136">
        <v>4.5</v>
      </c>
      <c r="K136">
        <v>4.5</v>
      </c>
      <c r="L136">
        <v>0</v>
      </c>
      <c r="M136">
        <v>4</v>
      </c>
      <c r="N136">
        <v>4</v>
      </c>
    </row>
    <row r="137" spans="1:14">
      <c r="A137" t="s">
        <v>432</v>
      </c>
      <c r="B137" t="s">
        <v>534</v>
      </c>
      <c r="C137">
        <v>0</v>
      </c>
      <c r="D137">
        <v>0</v>
      </c>
      <c r="E137">
        <v>0</v>
      </c>
      <c r="F137">
        <v>0</v>
      </c>
      <c r="H137">
        <v>28</v>
      </c>
      <c r="I137">
        <v>0</v>
      </c>
      <c r="J137">
        <v>28</v>
      </c>
      <c r="K137">
        <v>28</v>
      </c>
      <c r="L137">
        <v>0</v>
      </c>
      <c r="M137">
        <v>28</v>
      </c>
      <c r="N137">
        <v>0</v>
      </c>
    </row>
    <row r="138" spans="1:14">
      <c r="A138" t="s">
        <v>432</v>
      </c>
      <c r="B138" t="s">
        <v>535</v>
      </c>
      <c r="C138">
        <v>0</v>
      </c>
      <c r="D138">
        <v>0</v>
      </c>
      <c r="E138">
        <v>0</v>
      </c>
      <c r="F138">
        <v>0</v>
      </c>
      <c r="H138">
        <v>7</v>
      </c>
      <c r="I138">
        <v>6</v>
      </c>
      <c r="J138">
        <v>7.75</v>
      </c>
      <c r="K138">
        <v>7.75</v>
      </c>
      <c r="L138">
        <v>0</v>
      </c>
      <c r="M138">
        <v>7</v>
      </c>
      <c r="N138">
        <v>6</v>
      </c>
    </row>
    <row r="139" spans="1:14">
      <c r="A139" t="s">
        <v>432</v>
      </c>
      <c r="B139" t="s">
        <v>536</v>
      </c>
      <c r="C139">
        <v>0</v>
      </c>
      <c r="D139">
        <v>0</v>
      </c>
      <c r="E139">
        <v>0</v>
      </c>
      <c r="F139">
        <v>0</v>
      </c>
      <c r="H139">
        <v>0</v>
      </c>
      <c r="I139">
        <v>4</v>
      </c>
      <c r="J139">
        <v>0.5</v>
      </c>
      <c r="K139">
        <v>0.5</v>
      </c>
      <c r="L139">
        <v>0</v>
      </c>
      <c r="M139">
        <v>0</v>
      </c>
      <c r="N139">
        <v>4</v>
      </c>
    </row>
    <row r="140" spans="1:14">
      <c r="A140" t="s">
        <v>432</v>
      </c>
      <c r="B140" t="s">
        <v>537</v>
      </c>
      <c r="C140">
        <v>0</v>
      </c>
      <c r="D140">
        <v>0</v>
      </c>
      <c r="E140">
        <v>0</v>
      </c>
      <c r="F140">
        <v>0</v>
      </c>
      <c r="H140">
        <v>13</v>
      </c>
      <c r="I140">
        <v>4.5</v>
      </c>
      <c r="J140">
        <v>13.56</v>
      </c>
      <c r="K140">
        <v>13.56</v>
      </c>
      <c r="L140">
        <v>0</v>
      </c>
      <c r="M140">
        <v>13</v>
      </c>
      <c r="N140">
        <v>4.5</v>
      </c>
    </row>
    <row r="141" spans="1:14">
      <c r="A141" t="s">
        <v>432</v>
      </c>
      <c r="B141" t="s">
        <v>538</v>
      </c>
      <c r="C141">
        <v>0</v>
      </c>
      <c r="D141">
        <v>0</v>
      </c>
      <c r="E141">
        <v>0</v>
      </c>
      <c r="F141">
        <v>0</v>
      </c>
      <c r="H141">
        <v>2</v>
      </c>
      <c r="I141">
        <v>1.5</v>
      </c>
      <c r="J141">
        <v>2.19</v>
      </c>
      <c r="K141">
        <v>2.19</v>
      </c>
      <c r="L141">
        <v>0</v>
      </c>
      <c r="M141">
        <v>2</v>
      </c>
      <c r="N141">
        <v>1.5</v>
      </c>
    </row>
    <row r="142" spans="1:14">
      <c r="A142" t="s">
        <v>432</v>
      </c>
      <c r="B142" t="s">
        <v>539</v>
      </c>
      <c r="C142">
        <v>1.1200000000000001</v>
      </c>
      <c r="D142">
        <v>1</v>
      </c>
      <c r="E142">
        <v>2</v>
      </c>
      <c r="F142">
        <v>6</v>
      </c>
      <c r="H142">
        <v>4</v>
      </c>
      <c r="I142">
        <v>4</v>
      </c>
      <c r="J142">
        <v>4.5</v>
      </c>
      <c r="K142">
        <v>4.5</v>
      </c>
      <c r="L142">
        <v>0</v>
      </c>
      <c r="M142">
        <v>4</v>
      </c>
      <c r="N142">
        <v>4</v>
      </c>
    </row>
    <row r="143" spans="1:14">
      <c r="A143" t="s">
        <v>432</v>
      </c>
      <c r="B143" t="s">
        <v>527</v>
      </c>
      <c r="C143">
        <v>0</v>
      </c>
      <c r="D143">
        <v>0</v>
      </c>
      <c r="E143">
        <v>0</v>
      </c>
      <c r="F143">
        <v>0</v>
      </c>
      <c r="H143">
        <v>0</v>
      </c>
      <c r="I143">
        <v>0</v>
      </c>
      <c r="J143">
        <v>0</v>
      </c>
      <c r="K143">
        <v>0</v>
      </c>
      <c r="L143">
        <v>0</v>
      </c>
      <c r="M143">
        <v>0</v>
      </c>
      <c r="N143">
        <v>0</v>
      </c>
    </row>
    <row r="144" spans="1:14">
      <c r="A144" t="s">
        <v>432</v>
      </c>
      <c r="B144" t="s">
        <v>528</v>
      </c>
      <c r="C144">
        <v>0</v>
      </c>
      <c r="D144">
        <v>0</v>
      </c>
      <c r="E144">
        <v>0</v>
      </c>
      <c r="F144">
        <v>0</v>
      </c>
      <c r="H144">
        <v>0</v>
      </c>
      <c r="I144">
        <v>0</v>
      </c>
      <c r="J144">
        <v>0</v>
      </c>
      <c r="K144">
        <v>0</v>
      </c>
      <c r="L144">
        <v>0</v>
      </c>
      <c r="M144">
        <v>0</v>
      </c>
      <c r="N144">
        <v>0</v>
      </c>
    </row>
    <row r="145" spans="1:16">
      <c r="A145" t="s">
        <v>540</v>
      </c>
      <c r="B145" t="s">
        <v>541</v>
      </c>
      <c r="C145">
        <v>0</v>
      </c>
      <c r="D145">
        <v>0</v>
      </c>
      <c r="E145">
        <v>0</v>
      </c>
      <c r="F145">
        <v>0</v>
      </c>
      <c r="H145">
        <v>0</v>
      </c>
      <c r="I145">
        <v>4</v>
      </c>
      <c r="J145">
        <v>0.5</v>
      </c>
      <c r="K145">
        <v>0.5</v>
      </c>
      <c r="L145">
        <v>0</v>
      </c>
      <c r="M145">
        <v>0</v>
      </c>
      <c r="N145">
        <v>4</v>
      </c>
    </row>
    <row r="146" spans="1:16">
      <c r="A146" t="s">
        <v>540</v>
      </c>
      <c r="B146" t="s">
        <v>542</v>
      </c>
      <c r="C146">
        <v>0</v>
      </c>
      <c r="D146">
        <v>0</v>
      </c>
      <c r="E146">
        <v>0</v>
      </c>
      <c r="F146">
        <v>0</v>
      </c>
      <c r="H146">
        <v>1</v>
      </c>
      <c r="I146">
        <v>4</v>
      </c>
      <c r="J146">
        <v>1.5</v>
      </c>
      <c r="K146">
        <v>1.5</v>
      </c>
      <c r="L146">
        <v>0</v>
      </c>
      <c r="M146">
        <v>1</v>
      </c>
      <c r="N146">
        <v>4</v>
      </c>
    </row>
    <row r="147" spans="1:16">
      <c r="A147" t="s">
        <v>540</v>
      </c>
      <c r="B147" t="s">
        <v>543</v>
      </c>
      <c r="C147">
        <v>0</v>
      </c>
      <c r="D147">
        <v>0</v>
      </c>
      <c r="E147">
        <v>0</v>
      </c>
      <c r="F147">
        <v>0</v>
      </c>
      <c r="H147">
        <v>0</v>
      </c>
      <c r="I147">
        <v>0</v>
      </c>
      <c r="J147">
        <v>0</v>
      </c>
      <c r="K147">
        <v>0</v>
      </c>
      <c r="L147">
        <v>0</v>
      </c>
      <c r="M147">
        <v>0</v>
      </c>
      <c r="N147">
        <v>0</v>
      </c>
    </row>
    <row r="148" spans="1:16">
      <c r="A148" t="s">
        <v>540</v>
      </c>
      <c r="B148" t="s">
        <v>544</v>
      </c>
      <c r="C148">
        <v>0</v>
      </c>
      <c r="D148">
        <v>0</v>
      </c>
      <c r="E148">
        <v>0</v>
      </c>
      <c r="F148">
        <v>0</v>
      </c>
      <c r="H148">
        <v>0</v>
      </c>
      <c r="I148">
        <v>4</v>
      </c>
      <c r="J148">
        <v>0.5</v>
      </c>
      <c r="K148">
        <v>0.5</v>
      </c>
      <c r="L148">
        <v>0</v>
      </c>
      <c r="M148">
        <v>0</v>
      </c>
      <c r="N148">
        <v>4</v>
      </c>
    </row>
    <row r="149" spans="1:16">
      <c r="A149" t="s">
        <v>540</v>
      </c>
      <c r="B149" t="s">
        <v>545</v>
      </c>
      <c r="C149">
        <v>0</v>
      </c>
      <c r="D149">
        <v>0</v>
      </c>
      <c r="E149">
        <v>0</v>
      </c>
      <c r="F149">
        <v>0</v>
      </c>
      <c r="H149">
        <v>2</v>
      </c>
      <c r="I149">
        <v>4</v>
      </c>
      <c r="J149">
        <v>2.5</v>
      </c>
      <c r="K149">
        <v>2.5</v>
      </c>
      <c r="L149">
        <v>0</v>
      </c>
      <c r="M149">
        <v>2</v>
      </c>
      <c r="N149">
        <v>4</v>
      </c>
    </row>
    <row r="150" spans="1:16">
      <c r="A150" t="s">
        <v>540</v>
      </c>
      <c r="B150" t="s">
        <v>546</v>
      </c>
      <c r="C150">
        <v>0</v>
      </c>
      <c r="D150">
        <v>0</v>
      </c>
      <c r="E150">
        <v>0</v>
      </c>
      <c r="F150">
        <v>0</v>
      </c>
      <c r="H150">
        <v>1</v>
      </c>
      <c r="I150">
        <v>0</v>
      </c>
      <c r="J150">
        <v>1</v>
      </c>
      <c r="K150">
        <v>1</v>
      </c>
      <c r="L150">
        <v>0</v>
      </c>
      <c r="M150">
        <v>1</v>
      </c>
      <c r="N150">
        <v>0</v>
      </c>
    </row>
    <row r="151" spans="1:16">
      <c r="A151" t="s">
        <v>540</v>
      </c>
      <c r="B151" t="s">
        <v>547</v>
      </c>
      <c r="C151">
        <v>0</v>
      </c>
      <c r="D151">
        <v>0</v>
      </c>
      <c r="E151">
        <v>0</v>
      </c>
      <c r="F151">
        <v>0</v>
      </c>
      <c r="H151">
        <v>0</v>
      </c>
      <c r="I151">
        <v>2</v>
      </c>
      <c r="J151">
        <v>0.25</v>
      </c>
      <c r="K151">
        <v>0.25</v>
      </c>
      <c r="L151">
        <v>0</v>
      </c>
      <c r="M151">
        <v>0</v>
      </c>
      <c r="N151">
        <v>2</v>
      </c>
    </row>
    <row r="152" spans="1:16">
      <c r="A152" t="s">
        <v>540</v>
      </c>
      <c r="B152" t="s">
        <v>548</v>
      </c>
      <c r="C152">
        <v>0</v>
      </c>
      <c r="D152">
        <v>0</v>
      </c>
      <c r="E152">
        <v>0</v>
      </c>
      <c r="F152">
        <v>0</v>
      </c>
      <c r="H152">
        <v>1</v>
      </c>
      <c r="I152">
        <v>4</v>
      </c>
      <c r="J152">
        <v>1.5</v>
      </c>
      <c r="K152">
        <v>1.5</v>
      </c>
      <c r="L152">
        <v>0</v>
      </c>
      <c r="M152">
        <v>1</v>
      </c>
      <c r="N152">
        <v>4</v>
      </c>
    </row>
    <row r="153" spans="1:16">
      <c r="A153" t="s">
        <v>540</v>
      </c>
      <c r="B153" t="s">
        <v>527</v>
      </c>
      <c r="C153">
        <v>0</v>
      </c>
      <c r="D153">
        <v>0</v>
      </c>
      <c r="E153">
        <v>0</v>
      </c>
      <c r="F153">
        <v>0</v>
      </c>
      <c r="H153">
        <v>0</v>
      </c>
      <c r="I153">
        <v>0</v>
      </c>
      <c r="J153">
        <v>0</v>
      </c>
      <c r="K153">
        <v>0</v>
      </c>
      <c r="L153">
        <v>0</v>
      </c>
      <c r="M153">
        <v>0</v>
      </c>
      <c r="N153">
        <v>0</v>
      </c>
    </row>
    <row r="154" spans="1:16">
      <c r="A154" t="s">
        <v>540</v>
      </c>
      <c r="B154" t="s">
        <v>549</v>
      </c>
      <c r="C154">
        <v>0</v>
      </c>
      <c r="D154">
        <v>0</v>
      </c>
      <c r="E154">
        <v>0</v>
      </c>
      <c r="F154">
        <v>0</v>
      </c>
      <c r="H154">
        <v>0</v>
      </c>
      <c r="I154">
        <v>0</v>
      </c>
      <c r="J154">
        <v>0</v>
      </c>
      <c r="K154">
        <v>0</v>
      </c>
      <c r="L154">
        <v>0</v>
      </c>
      <c r="M154">
        <v>0</v>
      </c>
      <c r="N154">
        <v>0</v>
      </c>
    </row>
    <row r="155" spans="1:16">
      <c r="A155" t="s">
        <v>434</v>
      </c>
      <c r="B155" t="s">
        <v>550</v>
      </c>
      <c r="C155">
        <v>0</v>
      </c>
      <c r="D155">
        <v>0</v>
      </c>
      <c r="E155">
        <v>0</v>
      </c>
      <c r="F155">
        <v>0</v>
      </c>
      <c r="H155">
        <v>4</v>
      </c>
      <c r="I155">
        <v>4</v>
      </c>
      <c r="J155">
        <v>4.5</v>
      </c>
      <c r="K155">
        <v>20.5</v>
      </c>
      <c r="L155">
        <v>-16</v>
      </c>
      <c r="M155">
        <v>20</v>
      </c>
      <c r="N155">
        <v>4</v>
      </c>
      <c r="O155">
        <v>4</v>
      </c>
      <c r="P155">
        <v>4</v>
      </c>
    </row>
    <row r="156" spans="1:16">
      <c r="A156" t="s">
        <v>434</v>
      </c>
      <c r="B156" t="s">
        <v>551</v>
      </c>
      <c r="C156">
        <v>0</v>
      </c>
      <c r="D156">
        <v>0</v>
      </c>
      <c r="E156">
        <v>0</v>
      </c>
      <c r="F156">
        <v>0</v>
      </c>
      <c r="H156">
        <v>1</v>
      </c>
      <c r="I156">
        <v>4</v>
      </c>
      <c r="J156">
        <v>1.5</v>
      </c>
      <c r="K156">
        <v>1.5</v>
      </c>
      <c r="L156">
        <v>0</v>
      </c>
      <c r="M156">
        <v>1</v>
      </c>
      <c r="N156">
        <v>4</v>
      </c>
    </row>
    <row r="157" spans="1:16">
      <c r="A157" t="s">
        <v>434</v>
      </c>
      <c r="B157" t="s">
        <v>552</v>
      </c>
      <c r="C157">
        <v>0</v>
      </c>
      <c r="D157">
        <v>0</v>
      </c>
      <c r="E157">
        <v>0</v>
      </c>
      <c r="F157">
        <v>0</v>
      </c>
      <c r="H157">
        <v>5</v>
      </c>
      <c r="I157">
        <v>0</v>
      </c>
      <c r="J157">
        <v>5</v>
      </c>
      <c r="K157">
        <v>5</v>
      </c>
      <c r="L157">
        <v>0</v>
      </c>
      <c r="M157">
        <v>5</v>
      </c>
      <c r="N157">
        <v>0</v>
      </c>
    </row>
    <row r="158" spans="1:16">
      <c r="A158" t="s">
        <v>434</v>
      </c>
      <c r="B158" t="s">
        <v>553</v>
      </c>
      <c r="C158">
        <v>0</v>
      </c>
      <c r="D158">
        <v>0</v>
      </c>
      <c r="E158">
        <v>0</v>
      </c>
      <c r="F158">
        <v>0</v>
      </c>
      <c r="H158">
        <v>27</v>
      </c>
      <c r="I158">
        <v>0</v>
      </c>
      <c r="J158">
        <v>27</v>
      </c>
      <c r="K158">
        <v>27</v>
      </c>
      <c r="L158">
        <v>0</v>
      </c>
      <c r="M158">
        <v>27</v>
      </c>
      <c r="N158">
        <v>0</v>
      </c>
    </row>
    <row r="159" spans="1:16">
      <c r="A159" t="s">
        <v>434</v>
      </c>
      <c r="B159" t="s">
        <v>554</v>
      </c>
      <c r="C159">
        <v>0</v>
      </c>
      <c r="D159">
        <v>0</v>
      </c>
      <c r="E159">
        <v>0</v>
      </c>
      <c r="F159">
        <v>0</v>
      </c>
      <c r="H159">
        <v>8</v>
      </c>
      <c r="I159">
        <v>4</v>
      </c>
      <c r="J159">
        <v>8.5</v>
      </c>
      <c r="K159">
        <v>8.5</v>
      </c>
      <c r="L159">
        <v>0</v>
      </c>
      <c r="M159">
        <v>8</v>
      </c>
      <c r="N159">
        <v>4</v>
      </c>
    </row>
    <row r="160" spans="1:16">
      <c r="A160" t="s">
        <v>434</v>
      </c>
      <c r="B160" t="s">
        <v>536</v>
      </c>
      <c r="C160">
        <v>0</v>
      </c>
      <c r="D160">
        <v>0</v>
      </c>
      <c r="E160">
        <v>0</v>
      </c>
      <c r="F160">
        <v>0</v>
      </c>
      <c r="H160">
        <v>0</v>
      </c>
      <c r="I160">
        <v>4</v>
      </c>
      <c r="J160">
        <v>0.5</v>
      </c>
      <c r="K160">
        <v>0.5</v>
      </c>
      <c r="L160">
        <v>0</v>
      </c>
      <c r="M160">
        <v>0</v>
      </c>
      <c r="N160">
        <v>4</v>
      </c>
    </row>
    <row r="161" spans="1:16">
      <c r="A161" t="s">
        <v>434</v>
      </c>
      <c r="B161" t="s">
        <v>555</v>
      </c>
      <c r="C161">
        <v>0</v>
      </c>
      <c r="D161">
        <v>0</v>
      </c>
      <c r="E161">
        <v>0</v>
      </c>
      <c r="F161">
        <v>0</v>
      </c>
      <c r="H161">
        <v>1</v>
      </c>
      <c r="I161">
        <v>4</v>
      </c>
      <c r="J161">
        <v>1.5</v>
      </c>
      <c r="K161">
        <v>1.5</v>
      </c>
      <c r="L161">
        <v>0</v>
      </c>
      <c r="M161">
        <v>1</v>
      </c>
      <c r="N161">
        <v>4</v>
      </c>
    </row>
    <row r="162" spans="1:16">
      <c r="A162" t="s">
        <v>434</v>
      </c>
      <c r="B162" t="s">
        <v>556</v>
      </c>
      <c r="C162">
        <v>0</v>
      </c>
      <c r="D162">
        <v>0</v>
      </c>
      <c r="E162">
        <v>0</v>
      </c>
      <c r="F162">
        <v>0</v>
      </c>
      <c r="G162" t="s">
        <v>557</v>
      </c>
      <c r="H162">
        <v>1</v>
      </c>
      <c r="I162">
        <v>4</v>
      </c>
      <c r="J162">
        <v>1.5</v>
      </c>
      <c r="K162">
        <v>1.5</v>
      </c>
      <c r="L162">
        <v>0</v>
      </c>
      <c r="M162">
        <v>1</v>
      </c>
      <c r="N162">
        <v>4</v>
      </c>
    </row>
    <row r="163" spans="1:16">
      <c r="A163" t="s">
        <v>434</v>
      </c>
      <c r="B163" t="s">
        <v>558</v>
      </c>
      <c r="C163">
        <v>0</v>
      </c>
      <c r="D163">
        <v>0</v>
      </c>
      <c r="E163">
        <v>0</v>
      </c>
      <c r="F163">
        <v>0</v>
      </c>
      <c r="H163">
        <v>2</v>
      </c>
      <c r="I163">
        <v>0</v>
      </c>
      <c r="J163">
        <v>2</v>
      </c>
      <c r="K163">
        <v>2</v>
      </c>
      <c r="L163">
        <v>0</v>
      </c>
      <c r="M163">
        <v>2</v>
      </c>
      <c r="N163">
        <v>0</v>
      </c>
    </row>
    <row r="164" spans="1:16">
      <c r="A164" t="s">
        <v>434</v>
      </c>
      <c r="B164" t="s">
        <v>559</v>
      </c>
      <c r="C164">
        <v>0</v>
      </c>
      <c r="D164">
        <v>0</v>
      </c>
      <c r="E164">
        <v>0</v>
      </c>
      <c r="F164">
        <v>0</v>
      </c>
      <c r="H164">
        <v>8</v>
      </c>
      <c r="I164">
        <v>4</v>
      </c>
      <c r="J164">
        <v>8.5</v>
      </c>
      <c r="K164">
        <v>8.5</v>
      </c>
      <c r="L164">
        <v>0</v>
      </c>
      <c r="M164">
        <v>8</v>
      </c>
      <c r="N164">
        <v>4</v>
      </c>
    </row>
    <row r="165" spans="1:16">
      <c r="A165" t="s">
        <v>434</v>
      </c>
      <c r="B165" t="s">
        <v>560</v>
      </c>
      <c r="C165">
        <v>0.75</v>
      </c>
      <c r="D165">
        <v>0</v>
      </c>
      <c r="E165">
        <v>15</v>
      </c>
      <c r="F165">
        <v>0</v>
      </c>
      <c r="H165">
        <v>5</v>
      </c>
      <c r="I165">
        <v>0</v>
      </c>
      <c r="J165">
        <v>5</v>
      </c>
      <c r="K165">
        <v>5</v>
      </c>
      <c r="L165">
        <v>0</v>
      </c>
      <c r="M165">
        <v>5</v>
      </c>
      <c r="N165">
        <v>0</v>
      </c>
    </row>
    <row r="166" spans="1:16">
      <c r="A166" t="s">
        <v>434</v>
      </c>
      <c r="B166" t="s">
        <v>527</v>
      </c>
      <c r="C166">
        <v>0</v>
      </c>
      <c r="D166">
        <v>0</v>
      </c>
      <c r="E166">
        <v>0</v>
      </c>
      <c r="F166">
        <v>0</v>
      </c>
      <c r="H166">
        <v>0</v>
      </c>
      <c r="I166">
        <v>0</v>
      </c>
      <c r="J166">
        <v>0</v>
      </c>
      <c r="K166">
        <v>0</v>
      </c>
      <c r="L166">
        <v>0</v>
      </c>
      <c r="M166">
        <v>0</v>
      </c>
      <c r="N166">
        <v>0</v>
      </c>
    </row>
    <row r="167" spans="1:16">
      <c r="A167" t="s">
        <v>434</v>
      </c>
      <c r="B167" t="s">
        <v>528</v>
      </c>
      <c r="C167">
        <v>0</v>
      </c>
      <c r="D167">
        <v>0</v>
      </c>
      <c r="E167">
        <v>0</v>
      </c>
      <c r="F167">
        <v>0</v>
      </c>
      <c r="H167">
        <v>0</v>
      </c>
      <c r="I167">
        <v>0</v>
      </c>
      <c r="J167">
        <v>0</v>
      </c>
      <c r="K167">
        <v>0</v>
      </c>
      <c r="L167">
        <v>0</v>
      </c>
      <c r="M167">
        <v>0</v>
      </c>
      <c r="N167">
        <v>0</v>
      </c>
    </row>
    <row r="168" spans="1:16">
      <c r="A168" t="s">
        <v>561</v>
      </c>
      <c r="B168" t="s">
        <v>562</v>
      </c>
      <c r="C168">
        <v>0</v>
      </c>
      <c r="D168">
        <v>0</v>
      </c>
      <c r="E168">
        <v>0</v>
      </c>
      <c r="F168">
        <v>0</v>
      </c>
      <c r="G168" t="s">
        <v>563</v>
      </c>
      <c r="H168">
        <v>13</v>
      </c>
      <c r="I168">
        <v>4.5</v>
      </c>
      <c r="J168">
        <v>13.56</v>
      </c>
      <c r="K168">
        <v>2</v>
      </c>
      <c r="L168">
        <v>11.56</v>
      </c>
      <c r="M168">
        <v>2</v>
      </c>
      <c r="N168">
        <v>0</v>
      </c>
      <c r="O168">
        <v>13</v>
      </c>
      <c r="P168">
        <v>4.5</v>
      </c>
    </row>
    <row r="169" spans="1:16">
      <c r="A169" t="s">
        <v>561</v>
      </c>
      <c r="B169" t="s">
        <v>564</v>
      </c>
      <c r="C169">
        <v>0</v>
      </c>
      <c r="D169">
        <v>0</v>
      </c>
      <c r="E169">
        <v>0</v>
      </c>
      <c r="F169">
        <v>0</v>
      </c>
      <c r="H169">
        <v>15</v>
      </c>
      <c r="I169">
        <v>4.5</v>
      </c>
      <c r="J169">
        <v>15.56</v>
      </c>
      <c r="K169">
        <v>15.56</v>
      </c>
      <c r="L169">
        <v>0</v>
      </c>
      <c r="M169">
        <v>15</v>
      </c>
      <c r="N169">
        <v>4.5</v>
      </c>
    </row>
    <row r="170" spans="1:16">
      <c r="A170" t="s">
        <v>561</v>
      </c>
      <c r="B170" t="s">
        <v>565</v>
      </c>
      <c r="C170">
        <v>0</v>
      </c>
      <c r="D170">
        <v>0</v>
      </c>
      <c r="E170">
        <v>0</v>
      </c>
      <c r="F170">
        <v>0</v>
      </c>
      <c r="H170">
        <v>0</v>
      </c>
      <c r="I170">
        <v>0</v>
      </c>
      <c r="J170">
        <v>0</v>
      </c>
      <c r="K170">
        <v>0</v>
      </c>
      <c r="L170">
        <v>0</v>
      </c>
      <c r="M170">
        <v>0</v>
      </c>
      <c r="N170">
        <v>0</v>
      </c>
    </row>
    <row r="171" spans="1:16">
      <c r="A171" t="s">
        <v>561</v>
      </c>
      <c r="B171" t="s">
        <v>566</v>
      </c>
      <c r="C171">
        <v>0</v>
      </c>
      <c r="D171">
        <v>0</v>
      </c>
      <c r="E171">
        <v>0</v>
      </c>
      <c r="F171">
        <v>0</v>
      </c>
      <c r="H171">
        <v>0</v>
      </c>
      <c r="I171">
        <v>0</v>
      </c>
      <c r="J171">
        <v>0</v>
      </c>
      <c r="K171">
        <v>0</v>
      </c>
      <c r="L171">
        <v>0</v>
      </c>
      <c r="M171">
        <v>0</v>
      </c>
      <c r="N171">
        <v>0</v>
      </c>
    </row>
    <row r="172" spans="1:16">
      <c r="A172" t="s">
        <v>561</v>
      </c>
      <c r="B172" t="s">
        <v>527</v>
      </c>
      <c r="C172">
        <v>0</v>
      </c>
      <c r="D172">
        <v>0</v>
      </c>
      <c r="E172">
        <v>0</v>
      </c>
      <c r="F172">
        <v>0</v>
      </c>
      <c r="H172">
        <v>0</v>
      </c>
      <c r="I172">
        <v>0</v>
      </c>
      <c r="J172">
        <v>0</v>
      </c>
      <c r="K172">
        <v>0</v>
      </c>
      <c r="L172">
        <v>0</v>
      </c>
      <c r="M172">
        <v>0</v>
      </c>
      <c r="N172">
        <v>0</v>
      </c>
    </row>
    <row r="173" spans="1:16">
      <c r="A173" t="s">
        <v>561</v>
      </c>
      <c r="B173" t="s">
        <v>528</v>
      </c>
      <c r="C173">
        <v>0</v>
      </c>
      <c r="D173">
        <v>0</v>
      </c>
      <c r="E173">
        <v>0</v>
      </c>
      <c r="F173">
        <v>0</v>
      </c>
      <c r="H173">
        <v>0</v>
      </c>
      <c r="I173">
        <v>0</v>
      </c>
      <c r="J173">
        <v>0</v>
      </c>
      <c r="K173">
        <v>0</v>
      </c>
      <c r="L173">
        <v>0</v>
      </c>
      <c r="M173">
        <v>0</v>
      </c>
      <c r="N173">
        <v>0</v>
      </c>
    </row>
    <row r="174" spans="1:16">
      <c r="A174" t="s">
        <v>567</v>
      </c>
      <c r="B174" t="s">
        <v>568</v>
      </c>
      <c r="C174">
        <v>0</v>
      </c>
      <c r="D174">
        <v>0</v>
      </c>
      <c r="E174">
        <v>0</v>
      </c>
      <c r="F174">
        <v>0</v>
      </c>
      <c r="H174">
        <v>0</v>
      </c>
      <c r="I174">
        <v>0</v>
      </c>
      <c r="J174">
        <v>0</v>
      </c>
      <c r="K174">
        <v>0</v>
      </c>
      <c r="L174">
        <v>0</v>
      </c>
      <c r="M174">
        <v>0</v>
      </c>
      <c r="N174">
        <v>0</v>
      </c>
    </row>
    <row r="175" spans="1:16">
      <c r="A175" t="s">
        <v>567</v>
      </c>
      <c r="B175" t="s">
        <v>569</v>
      </c>
      <c r="C175">
        <v>0</v>
      </c>
      <c r="D175">
        <v>0</v>
      </c>
      <c r="E175">
        <v>0</v>
      </c>
      <c r="F175">
        <v>0</v>
      </c>
      <c r="H175">
        <v>0</v>
      </c>
      <c r="I175">
        <v>0</v>
      </c>
      <c r="J175">
        <v>0</v>
      </c>
      <c r="K175">
        <v>0</v>
      </c>
      <c r="L175">
        <v>0</v>
      </c>
      <c r="M175">
        <v>0</v>
      </c>
      <c r="N175">
        <v>0</v>
      </c>
    </row>
    <row r="176" spans="1:16">
      <c r="A176" t="s">
        <v>567</v>
      </c>
      <c r="B176" t="s">
        <v>570</v>
      </c>
      <c r="C176">
        <v>0</v>
      </c>
      <c r="D176">
        <v>0</v>
      </c>
      <c r="E176">
        <v>0</v>
      </c>
      <c r="F176">
        <v>0</v>
      </c>
      <c r="H176">
        <v>0</v>
      </c>
      <c r="I176">
        <v>0</v>
      </c>
      <c r="J176">
        <v>0</v>
      </c>
      <c r="K176">
        <v>0</v>
      </c>
      <c r="L176">
        <v>0</v>
      </c>
      <c r="M176">
        <v>0</v>
      </c>
      <c r="N176">
        <v>0</v>
      </c>
    </row>
    <row r="177" spans="1:14">
      <c r="A177" t="s">
        <v>567</v>
      </c>
      <c r="B177" t="s">
        <v>571</v>
      </c>
      <c r="C177">
        <v>0</v>
      </c>
      <c r="D177">
        <v>0</v>
      </c>
      <c r="E177">
        <v>0</v>
      </c>
      <c r="F177">
        <v>0</v>
      </c>
      <c r="H177">
        <v>0</v>
      </c>
      <c r="I177">
        <v>0</v>
      </c>
      <c r="J177">
        <v>0</v>
      </c>
      <c r="K177">
        <v>0</v>
      </c>
      <c r="L177">
        <v>0</v>
      </c>
      <c r="M177">
        <v>0</v>
      </c>
      <c r="N177">
        <v>0</v>
      </c>
    </row>
    <row r="178" spans="1:14">
      <c r="A178" t="s">
        <v>567</v>
      </c>
      <c r="B178" t="s">
        <v>572</v>
      </c>
      <c r="C178">
        <v>0</v>
      </c>
      <c r="D178">
        <v>0</v>
      </c>
      <c r="E178">
        <v>0</v>
      </c>
      <c r="F178">
        <v>0</v>
      </c>
      <c r="H178">
        <v>0</v>
      </c>
      <c r="I178">
        <v>0</v>
      </c>
      <c r="J178">
        <v>0</v>
      </c>
      <c r="K178">
        <v>0</v>
      </c>
      <c r="L178">
        <v>0</v>
      </c>
      <c r="M178">
        <v>0</v>
      </c>
      <c r="N178">
        <v>0</v>
      </c>
    </row>
    <row r="179" spans="1:14">
      <c r="A179" t="s">
        <v>567</v>
      </c>
      <c r="B179" t="s">
        <v>573</v>
      </c>
      <c r="C179">
        <v>0</v>
      </c>
      <c r="D179">
        <v>0</v>
      </c>
      <c r="E179">
        <v>0</v>
      </c>
      <c r="F179">
        <v>0</v>
      </c>
      <c r="H179">
        <v>0</v>
      </c>
      <c r="I179">
        <v>0</v>
      </c>
      <c r="J179">
        <v>0</v>
      </c>
      <c r="K179">
        <v>0</v>
      </c>
      <c r="L179">
        <v>0</v>
      </c>
      <c r="M179">
        <v>0</v>
      </c>
      <c r="N179">
        <v>0</v>
      </c>
    </row>
    <row r="180" spans="1:14">
      <c r="A180" t="s">
        <v>567</v>
      </c>
      <c r="B180" t="s">
        <v>574</v>
      </c>
      <c r="C180">
        <v>0</v>
      </c>
      <c r="D180">
        <v>0</v>
      </c>
      <c r="E180">
        <v>0</v>
      </c>
      <c r="F180">
        <v>0</v>
      </c>
      <c r="H180">
        <v>0</v>
      </c>
      <c r="I180">
        <v>0</v>
      </c>
      <c r="J180">
        <v>0</v>
      </c>
      <c r="K180">
        <v>0</v>
      </c>
      <c r="L180">
        <v>0</v>
      </c>
      <c r="M180">
        <v>0</v>
      </c>
      <c r="N180">
        <v>0</v>
      </c>
    </row>
    <row r="181" spans="1:14">
      <c r="A181" t="s">
        <v>567</v>
      </c>
      <c r="B181" t="s">
        <v>575</v>
      </c>
      <c r="C181">
        <v>0</v>
      </c>
      <c r="D181">
        <v>0</v>
      </c>
      <c r="E181">
        <v>0</v>
      </c>
      <c r="F181">
        <v>0</v>
      </c>
      <c r="H181">
        <v>0</v>
      </c>
      <c r="I181">
        <v>0</v>
      </c>
      <c r="J181">
        <v>0</v>
      </c>
      <c r="K181">
        <v>0</v>
      </c>
      <c r="L181">
        <v>0</v>
      </c>
      <c r="M181">
        <v>0</v>
      </c>
      <c r="N181">
        <v>0</v>
      </c>
    </row>
    <row r="182" spans="1:14">
      <c r="A182" t="s">
        <v>567</v>
      </c>
      <c r="B182" t="s">
        <v>576</v>
      </c>
      <c r="C182">
        <v>0</v>
      </c>
      <c r="D182">
        <v>0</v>
      </c>
      <c r="E182">
        <v>0</v>
      </c>
      <c r="F182">
        <v>0</v>
      </c>
      <c r="H182">
        <v>0</v>
      </c>
      <c r="I182">
        <v>0</v>
      </c>
      <c r="J182">
        <v>0</v>
      </c>
      <c r="K182">
        <v>0</v>
      </c>
      <c r="L182">
        <v>0</v>
      </c>
      <c r="M182">
        <v>0</v>
      </c>
      <c r="N182">
        <v>0</v>
      </c>
    </row>
    <row r="183" spans="1:14">
      <c r="A183" t="s">
        <v>567</v>
      </c>
      <c r="B183" t="s">
        <v>577</v>
      </c>
      <c r="C183">
        <v>0</v>
      </c>
      <c r="D183">
        <v>0</v>
      </c>
      <c r="E183">
        <v>0</v>
      </c>
      <c r="F183">
        <v>0</v>
      </c>
      <c r="H183">
        <v>0</v>
      </c>
      <c r="I183">
        <v>0</v>
      </c>
      <c r="J183">
        <v>0</v>
      </c>
      <c r="K183">
        <v>0</v>
      </c>
      <c r="L183">
        <v>0</v>
      </c>
      <c r="M183">
        <v>0</v>
      </c>
      <c r="N183">
        <v>0</v>
      </c>
    </row>
    <row r="184" spans="1:14">
      <c r="A184" t="s">
        <v>567</v>
      </c>
      <c r="B184" t="s">
        <v>578</v>
      </c>
      <c r="C184">
        <v>0</v>
      </c>
      <c r="D184">
        <v>0</v>
      </c>
      <c r="E184">
        <v>0</v>
      </c>
      <c r="F184">
        <v>0</v>
      </c>
      <c r="H184">
        <v>0</v>
      </c>
      <c r="I184">
        <v>0</v>
      </c>
      <c r="J184">
        <v>0</v>
      </c>
      <c r="K184">
        <v>0</v>
      </c>
      <c r="L184">
        <v>0</v>
      </c>
      <c r="M184">
        <v>0</v>
      </c>
      <c r="N184">
        <v>0</v>
      </c>
    </row>
    <row r="185" spans="1:14">
      <c r="A185" t="s">
        <v>567</v>
      </c>
      <c r="B185" t="s">
        <v>579</v>
      </c>
      <c r="C185">
        <v>0</v>
      </c>
      <c r="D185">
        <v>0</v>
      </c>
      <c r="E185">
        <v>0</v>
      </c>
      <c r="F185">
        <v>0</v>
      </c>
      <c r="H185">
        <v>0</v>
      </c>
      <c r="I185">
        <v>0</v>
      </c>
      <c r="J185">
        <v>0</v>
      </c>
      <c r="K185">
        <v>0</v>
      </c>
      <c r="L185">
        <v>0</v>
      </c>
      <c r="M185">
        <v>0</v>
      </c>
      <c r="N185">
        <v>0</v>
      </c>
    </row>
    <row r="186" spans="1:14">
      <c r="A186" t="s">
        <v>567</v>
      </c>
      <c r="B186" t="s">
        <v>580</v>
      </c>
      <c r="C186">
        <v>0</v>
      </c>
      <c r="D186">
        <v>0</v>
      </c>
      <c r="E186">
        <v>0</v>
      </c>
      <c r="F186">
        <v>0</v>
      </c>
      <c r="H186">
        <v>0</v>
      </c>
      <c r="I186">
        <v>0</v>
      </c>
      <c r="J186">
        <v>0</v>
      </c>
      <c r="K186">
        <v>0</v>
      </c>
      <c r="L186">
        <v>0</v>
      </c>
      <c r="M186">
        <v>0</v>
      </c>
      <c r="N186">
        <v>0</v>
      </c>
    </row>
    <row r="187" spans="1:14">
      <c r="A187" t="s">
        <v>567</v>
      </c>
      <c r="B187" t="s">
        <v>581</v>
      </c>
      <c r="C187">
        <v>0</v>
      </c>
      <c r="D187">
        <v>0</v>
      </c>
      <c r="E187">
        <v>0</v>
      </c>
      <c r="F187">
        <v>0</v>
      </c>
      <c r="H187">
        <v>0</v>
      </c>
      <c r="I187">
        <v>0</v>
      </c>
      <c r="J187">
        <v>0</v>
      </c>
      <c r="K187">
        <v>0</v>
      </c>
      <c r="L187">
        <v>0</v>
      </c>
      <c r="M187">
        <v>0</v>
      </c>
      <c r="N187">
        <v>0</v>
      </c>
    </row>
    <row r="188" spans="1:14">
      <c r="A188" t="s">
        <v>567</v>
      </c>
      <c r="B188" t="s">
        <v>582</v>
      </c>
      <c r="C188">
        <v>0</v>
      </c>
      <c r="D188">
        <v>0</v>
      </c>
      <c r="E188">
        <v>0</v>
      </c>
      <c r="F188">
        <v>0</v>
      </c>
      <c r="H188">
        <v>0</v>
      </c>
      <c r="I188">
        <v>0</v>
      </c>
      <c r="J188">
        <v>0</v>
      </c>
      <c r="K188">
        <v>0</v>
      </c>
      <c r="L188">
        <v>0</v>
      </c>
      <c r="M188">
        <v>0</v>
      </c>
      <c r="N188">
        <v>0</v>
      </c>
    </row>
    <row r="189" spans="1:14">
      <c r="A189" t="s">
        <v>567</v>
      </c>
      <c r="B189" t="s">
        <v>583</v>
      </c>
      <c r="C189">
        <v>0</v>
      </c>
      <c r="D189">
        <v>0</v>
      </c>
      <c r="E189">
        <v>0</v>
      </c>
      <c r="F189">
        <v>0</v>
      </c>
      <c r="H189">
        <v>0</v>
      </c>
      <c r="I189">
        <v>0</v>
      </c>
      <c r="J189">
        <v>0</v>
      </c>
      <c r="K189">
        <v>0</v>
      </c>
      <c r="L189">
        <v>0</v>
      </c>
      <c r="M189">
        <v>0</v>
      </c>
      <c r="N189">
        <v>0</v>
      </c>
    </row>
    <row r="190" spans="1:14">
      <c r="A190" t="s">
        <v>567</v>
      </c>
      <c r="B190" t="s">
        <v>584</v>
      </c>
      <c r="C190">
        <v>0</v>
      </c>
      <c r="D190">
        <v>0</v>
      </c>
      <c r="E190">
        <v>0</v>
      </c>
      <c r="F190">
        <v>0</v>
      </c>
      <c r="H190">
        <v>0</v>
      </c>
      <c r="I190">
        <v>0</v>
      </c>
      <c r="J190">
        <v>0</v>
      </c>
      <c r="K190">
        <v>0</v>
      </c>
      <c r="L190">
        <v>0</v>
      </c>
      <c r="M190">
        <v>0</v>
      </c>
      <c r="N190">
        <v>0</v>
      </c>
    </row>
    <row r="191" spans="1:14">
      <c r="A191" t="s">
        <v>567</v>
      </c>
      <c r="B191" t="s">
        <v>528</v>
      </c>
      <c r="C191">
        <v>0</v>
      </c>
      <c r="D191">
        <v>0</v>
      </c>
      <c r="E191">
        <v>0</v>
      </c>
      <c r="F191">
        <v>0</v>
      </c>
      <c r="H191">
        <v>0</v>
      </c>
      <c r="I191">
        <v>0</v>
      </c>
      <c r="J191">
        <v>0</v>
      </c>
      <c r="K191">
        <v>0</v>
      </c>
      <c r="L191">
        <v>0</v>
      </c>
      <c r="M191">
        <v>0</v>
      </c>
      <c r="N191">
        <v>0</v>
      </c>
    </row>
    <row r="192" spans="1:14">
      <c r="A192" t="s">
        <v>567</v>
      </c>
      <c r="B192" t="s">
        <v>585</v>
      </c>
      <c r="C192">
        <v>0</v>
      </c>
      <c r="D192">
        <v>0</v>
      </c>
      <c r="E192">
        <v>0</v>
      </c>
      <c r="F192">
        <v>0</v>
      </c>
      <c r="H192">
        <v>0</v>
      </c>
      <c r="I192">
        <v>0</v>
      </c>
      <c r="J192">
        <v>0</v>
      </c>
      <c r="K192">
        <v>0</v>
      </c>
      <c r="L192">
        <v>0</v>
      </c>
      <c r="M192">
        <v>0</v>
      </c>
      <c r="N192">
        <v>0</v>
      </c>
    </row>
    <row r="193" spans="1:14">
      <c r="A193" t="s">
        <v>567</v>
      </c>
      <c r="B193" t="s">
        <v>586</v>
      </c>
      <c r="C193">
        <v>0</v>
      </c>
      <c r="D193">
        <v>0</v>
      </c>
      <c r="E193">
        <v>0</v>
      </c>
      <c r="F193">
        <v>0</v>
      </c>
      <c r="H193">
        <v>0</v>
      </c>
      <c r="I193">
        <v>0</v>
      </c>
      <c r="J193">
        <v>0</v>
      </c>
      <c r="K193">
        <v>0</v>
      </c>
      <c r="L193">
        <v>0</v>
      </c>
      <c r="M193">
        <v>0</v>
      </c>
      <c r="N193">
        <v>0</v>
      </c>
    </row>
    <row r="194" spans="1:14">
      <c r="A194" t="s">
        <v>567</v>
      </c>
      <c r="B194" t="s">
        <v>574</v>
      </c>
      <c r="C194">
        <v>0</v>
      </c>
      <c r="D194">
        <v>0</v>
      </c>
      <c r="E194">
        <v>0</v>
      </c>
      <c r="F194">
        <v>0</v>
      </c>
      <c r="H194">
        <v>0</v>
      </c>
      <c r="I194">
        <v>0</v>
      </c>
      <c r="J194">
        <v>0</v>
      </c>
      <c r="K194">
        <v>0</v>
      </c>
      <c r="L194">
        <v>0</v>
      </c>
      <c r="M194">
        <v>0</v>
      </c>
      <c r="N194">
        <v>0</v>
      </c>
    </row>
    <row r="195" spans="1:14">
      <c r="A195" t="s">
        <v>567</v>
      </c>
      <c r="B195" t="s">
        <v>575</v>
      </c>
      <c r="C195">
        <v>0</v>
      </c>
      <c r="D195">
        <v>0</v>
      </c>
      <c r="E195">
        <v>0</v>
      </c>
      <c r="F195">
        <v>0</v>
      </c>
      <c r="H195">
        <v>0</v>
      </c>
      <c r="I195">
        <v>0</v>
      </c>
      <c r="J195">
        <v>0</v>
      </c>
      <c r="K195">
        <v>0</v>
      </c>
      <c r="L195">
        <v>0</v>
      </c>
      <c r="M195">
        <v>0</v>
      </c>
      <c r="N195">
        <v>0</v>
      </c>
    </row>
    <row r="196" spans="1:14">
      <c r="A196" t="s">
        <v>567</v>
      </c>
      <c r="B196" t="s">
        <v>587</v>
      </c>
      <c r="C196">
        <v>0</v>
      </c>
      <c r="D196">
        <v>0</v>
      </c>
      <c r="E196">
        <v>0</v>
      </c>
      <c r="F196">
        <v>0</v>
      </c>
      <c r="H196">
        <v>0</v>
      </c>
      <c r="I196">
        <v>0</v>
      </c>
      <c r="J196">
        <v>0</v>
      </c>
      <c r="K196">
        <v>0</v>
      </c>
      <c r="L196">
        <v>0</v>
      </c>
      <c r="M196">
        <v>0</v>
      </c>
      <c r="N196">
        <v>0</v>
      </c>
    </row>
    <row r="197" spans="1:14">
      <c r="A197" t="s">
        <v>567</v>
      </c>
      <c r="B197" t="s">
        <v>588</v>
      </c>
      <c r="C197">
        <v>0</v>
      </c>
      <c r="D197">
        <v>0</v>
      </c>
      <c r="E197">
        <v>0</v>
      </c>
      <c r="F197">
        <v>0</v>
      </c>
      <c r="H197">
        <v>0</v>
      </c>
      <c r="I197">
        <v>0</v>
      </c>
      <c r="J197">
        <v>0</v>
      </c>
      <c r="K197">
        <v>0</v>
      </c>
      <c r="L197">
        <v>0</v>
      </c>
      <c r="M197">
        <v>0</v>
      </c>
      <c r="N197">
        <v>0</v>
      </c>
    </row>
    <row r="198" spans="1:14">
      <c r="A198" t="s">
        <v>567</v>
      </c>
      <c r="B198" t="s">
        <v>589</v>
      </c>
      <c r="C198">
        <v>0</v>
      </c>
      <c r="D198">
        <v>0</v>
      </c>
      <c r="E198">
        <v>0</v>
      </c>
      <c r="F198">
        <v>0</v>
      </c>
      <c r="H198">
        <v>0</v>
      </c>
      <c r="I198">
        <v>0</v>
      </c>
      <c r="J198">
        <v>0</v>
      </c>
      <c r="K198">
        <v>0</v>
      </c>
      <c r="L198">
        <v>0</v>
      </c>
      <c r="M198">
        <v>0</v>
      </c>
      <c r="N198">
        <v>0</v>
      </c>
    </row>
    <row r="199" spans="1:14">
      <c r="A199" t="s">
        <v>567</v>
      </c>
      <c r="B199" t="s">
        <v>590</v>
      </c>
      <c r="C199">
        <v>0</v>
      </c>
      <c r="D199">
        <v>0</v>
      </c>
      <c r="E199">
        <v>0</v>
      </c>
      <c r="F199">
        <v>0</v>
      </c>
      <c r="H199">
        <v>0</v>
      </c>
      <c r="I199">
        <v>0</v>
      </c>
      <c r="J199">
        <v>0</v>
      </c>
      <c r="K199">
        <v>0</v>
      </c>
      <c r="L199">
        <v>0</v>
      </c>
      <c r="M199">
        <v>0</v>
      </c>
      <c r="N199">
        <v>0</v>
      </c>
    </row>
    <row r="200" spans="1:14">
      <c r="A200" t="s">
        <v>567</v>
      </c>
      <c r="B200" t="s">
        <v>591</v>
      </c>
      <c r="C200">
        <v>0</v>
      </c>
      <c r="D200">
        <v>0</v>
      </c>
      <c r="E200">
        <v>0</v>
      </c>
      <c r="F200">
        <v>0</v>
      </c>
      <c r="H200">
        <v>0</v>
      </c>
      <c r="I200">
        <v>0</v>
      </c>
      <c r="J200">
        <v>0</v>
      </c>
      <c r="K200">
        <v>0</v>
      </c>
      <c r="L200">
        <v>0</v>
      </c>
      <c r="M200">
        <v>0</v>
      </c>
      <c r="N200">
        <v>0</v>
      </c>
    </row>
    <row r="201" spans="1:14">
      <c r="A201" t="s">
        <v>567</v>
      </c>
      <c r="B201" t="s">
        <v>592</v>
      </c>
      <c r="C201">
        <v>0</v>
      </c>
      <c r="D201">
        <v>0</v>
      </c>
      <c r="E201">
        <v>0</v>
      </c>
      <c r="F201">
        <v>0</v>
      </c>
      <c r="H201">
        <v>0</v>
      </c>
      <c r="I201">
        <v>0</v>
      </c>
      <c r="J201">
        <v>0</v>
      </c>
      <c r="K201">
        <v>0</v>
      </c>
      <c r="L201">
        <v>0</v>
      </c>
      <c r="M201">
        <v>0</v>
      </c>
      <c r="N201">
        <v>0</v>
      </c>
    </row>
    <row r="202" spans="1:14">
      <c r="A202" t="s">
        <v>567</v>
      </c>
      <c r="B202" t="s">
        <v>593</v>
      </c>
      <c r="C202">
        <v>0</v>
      </c>
      <c r="D202">
        <v>0</v>
      </c>
      <c r="E202">
        <v>0</v>
      </c>
      <c r="F202">
        <v>0</v>
      </c>
      <c r="H202">
        <v>0</v>
      </c>
      <c r="I202">
        <v>0</v>
      </c>
      <c r="J202">
        <v>0</v>
      </c>
      <c r="K202">
        <v>0</v>
      </c>
      <c r="L202">
        <v>0</v>
      </c>
      <c r="M202">
        <v>0</v>
      </c>
      <c r="N202">
        <v>0</v>
      </c>
    </row>
    <row r="203" spans="1:14">
      <c r="A203" t="s">
        <v>567</v>
      </c>
      <c r="B203" t="s">
        <v>594</v>
      </c>
      <c r="C203">
        <v>0</v>
      </c>
      <c r="D203">
        <v>0</v>
      </c>
      <c r="E203">
        <v>0</v>
      </c>
      <c r="F203">
        <v>0</v>
      </c>
      <c r="H203">
        <v>0</v>
      </c>
      <c r="I203">
        <v>0</v>
      </c>
      <c r="J203">
        <v>0</v>
      </c>
      <c r="K203">
        <v>0</v>
      </c>
      <c r="L203">
        <v>0</v>
      </c>
      <c r="M203">
        <v>0</v>
      </c>
      <c r="N203">
        <v>0</v>
      </c>
    </row>
    <row r="204" spans="1:14">
      <c r="A204" t="s">
        <v>567</v>
      </c>
      <c r="B204" t="s">
        <v>574</v>
      </c>
      <c r="C204">
        <v>0</v>
      </c>
      <c r="D204">
        <v>0</v>
      </c>
      <c r="E204">
        <v>0</v>
      </c>
      <c r="F204">
        <v>0</v>
      </c>
      <c r="H204">
        <v>0</v>
      </c>
      <c r="I204">
        <v>0</v>
      </c>
      <c r="J204">
        <v>0</v>
      </c>
      <c r="K204">
        <v>0</v>
      </c>
      <c r="L204">
        <v>0</v>
      </c>
      <c r="M204">
        <v>0</v>
      </c>
      <c r="N204">
        <v>0</v>
      </c>
    </row>
    <row r="205" spans="1:14">
      <c r="A205" t="s">
        <v>567</v>
      </c>
      <c r="B205" t="s">
        <v>575</v>
      </c>
      <c r="C205">
        <v>0</v>
      </c>
      <c r="D205">
        <v>0</v>
      </c>
      <c r="E205">
        <v>0</v>
      </c>
      <c r="F205">
        <v>0</v>
      </c>
      <c r="H205">
        <v>0</v>
      </c>
      <c r="I205">
        <v>0</v>
      </c>
      <c r="J205">
        <v>0</v>
      </c>
      <c r="K205">
        <v>0</v>
      </c>
      <c r="L205">
        <v>0</v>
      </c>
      <c r="M205">
        <v>0</v>
      </c>
      <c r="N205">
        <v>0</v>
      </c>
    </row>
    <row r="206" spans="1:14">
      <c r="A206" t="s">
        <v>567</v>
      </c>
      <c r="B206" t="s">
        <v>595</v>
      </c>
      <c r="C206">
        <v>0</v>
      </c>
      <c r="D206">
        <v>0</v>
      </c>
      <c r="E206">
        <v>0</v>
      </c>
      <c r="F206">
        <v>0</v>
      </c>
      <c r="H206">
        <v>0</v>
      </c>
      <c r="I206">
        <v>0</v>
      </c>
      <c r="J206">
        <v>0</v>
      </c>
      <c r="K206">
        <v>0</v>
      </c>
      <c r="L206">
        <v>0</v>
      </c>
      <c r="M206">
        <v>0</v>
      </c>
      <c r="N206">
        <v>0</v>
      </c>
    </row>
    <row r="207" spans="1:14">
      <c r="A207" t="s">
        <v>567</v>
      </c>
      <c r="B207" t="s">
        <v>574</v>
      </c>
      <c r="C207">
        <v>0</v>
      </c>
      <c r="D207">
        <v>0</v>
      </c>
      <c r="E207">
        <v>0</v>
      </c>
      <c r="F207">
        <v>0</v>
      </c>
      <c r="H207">
        <v>0</v>
      </c>
      <c r="I207">
        <v>0</v>
      </c>
      <c r="J207">
        <v>0</v>
      </c>
      <c r="K207">
        <v>0</v>
      </c>
      <c r="L207">
        <v>0</v>
      </c>
      <c r="M207">
        <v>0</v>
      </c>
      <c r="N207">
        <v>0</v>
      </c>
    </row>
    <row r="208" spans="1:14">
      <c r="A208" t="s">
        <v>567</v>
      </c>
      <c r="B208" t="s">
        <v>575</v>
      </c>
      <c r="C208">
        <v>0</v>
      </c>
      <c r="D208">
        <v>0</v>
      </c>
      <c r="E208">
        <v>0</v>
      </c>
      <c r="F208">
        <v>0</v>
      </c>
      <c r="H208">
        <v>0</v>
      </c>
      <c r="I208">
        <v>0</v>
      </c>
      <c r="J208">
        <v>0</v>
      </c>
      <c r="K208">
        <v>0</v>
      </c>
      <c r="L208">
        <v>0</v>
      </c>
      <c r="M208">
        <v>0</v>
      </c>
      <c r="N208">
        <v>0</v>
      </c>
    </row>
    <row r="209" spans="1:14">
      <c r="A209" t="s">
        <v>567</v>
      </c>
      <c r="B209" t="s">
        <v>596</v>
      </c>
      <c r="C209">
        <v>0</v>
      </c>
      <c r="D209">
        <v>0</v>
      </c>
      <c r="E209">
        <v>0</v>
      </c>
      <c r="F209">
        <v>0</v>
      </c>
      <c r="H209">
        <v>0</v>
      </c>
      <c r="I209">
        <v>0</v>
      </c>
      <c r="J209">
        <v>0</v>
      </c>
      <c r="K209">
        <v>0</v>
      </c>
      <c r="L209">
        <v>0</v>
      </c>
      <c r="M209">
        <v>0</v>
      </c>
      <c r="N209">
        <v>0</v>
      </c>
    </row>
    <row r="210" spans="1:14">
      <c r="A210" t="s">
        <v>567</v>
      </c>
      <c r="B210" t="s">
        <v>597</v>
      </c>
      <c r="C210">
        <v>0</v>
      </c>
      <c r="D210">
        <v>0</v>
      </c>
      <c r="E210">
        <v>0</v>
      </c>
      <c r="F210">
        <v>0</v>
      </c>
      <c r="H210">
        <v>0</v>
      </c>
      <c r="I210">
        <v>0</v>
      </c>
      <c r="J210">
        <v>0</v>
      </c>
      <c r="K210">
        <v>0</v>
      </c>
      <c r="L210">
        <v>0</v>
      </c>
      <c r="M210">
        <v>0</v>
      </c>
      <c r="N210">
        <v>0</v>
      </c>
    </row>
    <row r="211" spans="1:14">
      <c r="A211" t="s">
        <v>567</v>
      </c>
      <c r="B211" t="s">
        <v>598</v>
      </c>
      <c r="C211">
        <v>0</v>
      </c>
      <c r="D211">
        <v>0</v>
      </c>
      <c r="E211">
        <v>0</v>
      </c>
      <c r="F211">
        <v>0</v>
      </c>
      <c r="H211">
        <v>0</v>
      </c>
      <c r="I211">
        <v>0</v>
      </c>
      <c r="J211">
        <v>0</v>
      </c>
      <c r="K211">
        <v>0</v>
      </c>
      <c r="L211">
        <v>0</v>
      </c>
      <c r="M211">
        <v>0</v>
      </c>
      <c r="N211">
        <v>0</v>
      </c>
    </row>
    <row r="212" spans="1:14">
      <c r="A212" t="s">
        <v>567</v>
      </c>
      <c r="B212" t="s">
        <v>527</v>
      </c>
      <c r="C212">
        <v>0</v>
      </c>
      <c r="D212">
        <v>0</v>
      </c>
      <c r="E212">
        <v>0</v>
      </c>
      <c r="F212">
        <v>0</v>
      </c>
      <c r="H212">
        <v>0</v>
      </c>
      <c r="I212">
        <v>0</v>
      </c>
      <c r="J212">
        <v>0</v>
      </c>
      <c r="K212">
        <v>0</v>
      </c>
      <c r="L212">
        <v>0</v>
      </c>
      <c r="M212">
        <v>0</v>
      </c>
      <c r="N212">
        <v>0</v>
      </c>
    </row>
    <row r="213" spans="1:14">
      <c r="A213" t="s">
        <v>567</v>
      </c>
      <c r="B213" t="s">
        <v>549</v>
      </c>
      <c r="C213">
        <v>0</v>
      </c>
      <c r="D213">
        <v>0</v>
      </c>
      <c r="E213">
        <v>0</v>
      </c>
      <c r="F213">
        <v>0</v>
      </c>
      <c r="H213">
        <v>0</v>
      </c>
      <c r="I213">
        <v>0</v>
      </c>
      <c r="J213">
        <v>0</v>
      </c>
      <c r="K213">
        <v>0</v>
      </c>
      <c r="L213">
        <v>0</v>
      </c>
      <c r="M213">
        <v>0</v>
      </c>
      <c r="N213">
        <v>0</v>
      </c>
    </row>
    <row r="214" spans="1:14">
      <c r="A214" t="s">
        <v>567</v>
      </c>
      <c r="B214" t="s">
        <v>599</v>
      </c>
      <c r="C214">
        <v>0</v>
      </c>
      <c r="D214">
        <v>0</v>
      </c>
      <c r="E214">
        <v>0</v>
      </c>
      <c r="F214">
        <v>0</v>
      </c>
      <c r="H214">
        <v>0</v>
      </c>
      <c r="I214">
        <v>0</v>
      </c>
      <c r="J214">
        <v>0</v>
      </c>
      <c r="K214">
        <v>0</v>
      </c>
      <c r="L214">
        <v>0</v>
      </c>
      <c r="M214">
        <v>0</v>
      </c>
      <c r="N214">
        <v>0</v>
      </c>
    </row>
    <row r="215" spans="1:14">
      <c r="A215" t="s">
        <v>567</v>
      </c>
      <c r="B215" t="s">
        <v>600</v>
      </c>
      <c r="C215">
        <v>0</v>
      </c>
      <c r="D215">
        <v>0</v>
      </c>
      <c r="E215">
        <v>0</v>
      </c>
      <c r="F215">
        <v>0</v>
      </c>
      <c r="H215">
        <v>0</v>
      </c>
      <c r="I215">
        <v>0</v>
      </c>
      <c r="J215">
        <v>0</v>
      </c>
      <c r="K215">
        <v>0</v>
      </c>
      <c r="L215">
        <v>0</v>
      </c>
      <c r="M215">
        <v>0</v>
      </c>
      <c r="N215">
        <v>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45"/>
  <sheetViews>
    <sheetView workbookViewId="0">
      <selection activeCell="B5" sqref="B5"/>
    </sheetView>
  </sheetViews>
  <sheetFormatPr defaultRowHeight="14.5"/>
  <sheetData>
    <row r="1" spans="1:9">
      <c r="A1" t="s">
        <v>166</v>
      </c>
      <c r="B1" t="s">
        <v>239</v>
      </c>
      <c r="C1" t="s">
        <v>366</v>
      </c>
      <c r="D1" t="s">
        <v>367</v>
      </c>
      <c r="E1" t="s">
        <v>567</v>
      </c>
      <c r="F1" t="s">
        <v>601</v>
      </c>
      <c r="G1" t="s">
        <v>281</v>
      </c>
      <c r="H1" t="s">
        <v>602</v>
      </c>
      <c r="I1" t="s">
        <v>288</v>
      </c>
    </row>
    <row r="2" spans="1:9">
      <c r="A2" t="s">
        <v>68</v>
      </c>
      <c r="B2" t="s">
        <v>175</v>
      </c>
      <c r="C2">
        <v>0</v>
      </c>
      <c r="D2">
        <v>0</v>
      </c>
    </row>
    <row r="3" spans="1:9">
      <c r="A3" t="s">
        <v>603</v>
      </c>
      <c r="B3" t="s">
        <v>604</v>
      </c>
      <c r="C3">
        <v>0</v>
      </c>
      <c r="D3">
        <v>0</v>
      </c>
      <c r="E3" t="s">
        <v>605</v>
      </c>
      <c r="F3" t="s">
        <v>606</v>
      </c>
    </row>
    <row r="4" spans="1:9">
      <c r="A4" t="s">
        <v>603</v>
      </c>
      <c r="B4" t="s">
        <v>569</v>
      </c>
      <c r="C4">
        <v>0</v>
      </c>
      <c r="D4">
        <v>0</v>
      </c>
      <c r="E4" t="s">
        <v>605</v>
      </c>
      <c r="G4" t="s">
        <v>607</v>
      </c>
    </row>
    <row r="5" spans="1:9">
      <c r="A5" t="s">
        <v>603</v>
      </c>
      <c r="B5" t="s">
        <v>570</v>
      </c>
      <c r="C5">
        <v>0</v>
      </c>
      <c r="D5">
        <v>0</v>
      </c>
      <c r="E5" t="s">
        <v>605</v>
      </c>
    </row>
    <row r="6" spans="1:9">
      <c r="A6" t="s">
        <v>603</v>
      </c>
      <c r="B6" t="s">
        <v>608</v>
      </c>
      <c r="C6">
        <v>0</v>
      </c>
      <c r="D6">
        <v>0</v>
      </c>
      <c r="E6" t="s">
        <v>95</v>
      </c>
      <c r="F6" t="s">
        <v>609</v>
      </c>
    </row>
    <row r="7" spans="1:9">
      <c r="A7" t="s">
        <v>603</v>
      </c>
      <c r="B7" t="s">
        <v>610</v>
      </c>
      <c r="C7">
        <v>0</v>
      </c>
      <c r="D7">
        <v>0</v>
      </c>
      <c r="E7" t="s">
        <v>95</v>
      </c>
    </row>
    <row r="8" spans="1:9">
      <c r="A8" t="s">
        <v>603</v>
      </c>
      <c r="B8" t="s">
        <v>611</v>
      </c>
      <c r="C8">
        <v>0</v>
      </c>
      <c r="D8">
        <v>0</v>
      </c>
      <c r="E8" t="s">
        <v>97</v>
      </c>
    </row>
    <row r="9" spans="1:9">
      <c r="A9" t="s">
        <v>603</v>
      </c>
      <c r="B9" t="s">
        <v>574</v>
      </c>
      <c r="C9">
        <v>0</v>
      </c>
      <c r="D9">
        <v>0</v>
      </c>
      <c r="E9" t="s">
        <v>97</v>
      </c>
    </row>
    <row r="10" spans="1:9">
      <c r="A10" t="s">
        <v>603</v>
      </c>
      <c r="B10" t="s">
        <v>575</v>
      </c>
      <c r="C10">
        <v>0</v>
      </c>
      <c r="D10">
        <v>0</v>
      </c>
      <c r="E10" t="s">
        <v>97</v>
      </c>
    </row>
    <row r="11" spans="1:9">
      <c r="A11" t="s">
        <v>603</v>
      </c>
      <c r="B11" t="s">
        <v>612</v>
      </c>
      <c r="C11">
        <v>0</v>
      </c>
      <c r="D11">
        <v>0</v>
      </c>
      <c r="E11" t="s">
        <v>102</v>
      </c>
      <c r="F11" t="s">
        <v>613</v>
      </c>
    </row>
    <row r="12" spans="1:9">
      <c r="A12" t="s">
        <v>603</v>
      </c>
      <c r="B12" t="s">
        <v>577</v>
      </c>
      <c r="C12">
        <v>0</v>
      </c>
      <c r="D12">
        <v>0</v>
      </c>
      <c r="E12" t="s">
        <v>102</v>
      </c>
    </row>
    <row r="13" spans="1:9">
      <c r="A13" t="s">
        <v>603</v>
      </c>
      <c r="B13" t="s">
        <v>578</v>
      </c>
      <c r="C13">
        <v>0</v>
      </c>
      <c r="D13">
        <v>0</v>
      </c>
      <c r="E13" t="s">
        <v>102</v>
      </c>
    </row>
    <row r="14" spans="1:9">
      <c r="A14" t="s">
        <v>603</v>
      </c>
      <c r="B14" t="s">
        <v>614</v>
      </c>
      <c r="C14">
        <v>0</v>
      </c>
      <c r="D14">
        <v>0</v>
      </c>
      <c r="E14" t="s">
        <v>102</v>
      </c>
      <c r="H14" t="s">
        <v>615</v>
      </c>
    </row>
    <row r="15" spans="1:9">
      <c r="A15" t="s">
        <v>603</v>
      </c>
      <c r="B15" t="s">
        <v>580</v>
      </c>
      <c r="C15">
        <v>0</v>
      </c>
      <c r="D15">
        <v>0</v>
      </c>
      <c r="E15" t="s">
        <v>102</v>
      </c>
    </row>
    <row r="16" spans="1:9">
      <c r="A16" t="s">
        <v>603</v>
      </c>
      <c r="B16" t="s">
        <v>581</v>
      </c>
      <c r="C16">
        <v>0</v>
      </c>
      <c r="D16">
        <v>0</v>
      </c>
      <c r="E16" t="s">
        <v>102</v>
      </c>
      <c r="I16" t="s">
        <v>616</v>
      </c>
    </row>
    <row r="17" spans="1:9">
      <c r="A17" t="s">
        <v>603</v>
      </c>
      <c r="B17" t="s">
        <v>617</v>
      </c>
      <c r="C17">
        <v>0</v>
      </c>
      <c r="D17">
        <v>0</v>
      </c>
      <c r="E17" t="s">
        <v>102</v>
      </c>
    </row>
    <row r="18" spans="1:9">
      <c r="A18" t="s">
        <v>603</v>
      </c>
      <c r="B18" t="s">
        <v>618</v>
      </c>
      <c r="C18">
        <v>0</v>
      </c>
      <c r="D18">
        <v>0</v>
      </c>
      <c r="E18" t="s">
        <v>105</v>
      </c>
      <c r="G18" t="s">
        <v>619</v>
      </c>
    </row>
    <row r="19" spans="1:9">
      <c r="A19" t="s">
        <v>603</v>
      </c>
      <c r="B19" t="s">
        <v>584</v>
      </c>
      <c r="C19">
        <v>0</v>
      </c>
      <c r="D19">
        <v>0</v>
      </c>
      <c r="E19" t="s">
        <v>105</v>
      </c>
    </row>
    <row r="20" spans="1:9">
      <c r="A20" t="s">
        <v>603</v>
      </c>
      <c r="B20" t="s">
        <v>528</v>
      </c>
      <c r="C20">
        <v>0</v>
      </c>
      <c r="D20">
        <v>0</v>
      </c>
      <c r="E20" t="s">
        <v>105</v>
      </c>
    </row>
    <row r="21" spans="1:9">
      <c r="A21" t="s">
        <v>603</v>
      </c>
      <c r="B21" t="s">
        <v>620</v>
      </c>
      <c r="C21">
        <v>0</v>
      </c>
      <c r="D21">
        <v>0</v>
      </c>
      <c r="E21" t="s">
        <v>108</v>
      </c>
    </row>
    <row r="22" spans="1:9">
      <c r="A22" t="s">
        <v>603</v>
      </c>
      <c r="B22" t="s">
        <v>621</v>
      </c>
      <c r="C22">
        <v>0</v>
      </c>
      <c r="D22">
        <v>0</v>
      </c>
      <c r="E22" t="s">
        <v>110</v>
      </c>
      <c r="F22" t="s">
        <v>622</v>
      </c>
    </row>
    <row r="23" spans="1:9">
      <c r="A23" t="s">
        <v>603</v>
      </c>
      <c r="B23" t="s">
        <v>574</v>
      </c>
      <c r="C23">
        <v>0</v>
      </c>
      <c r="D23">
        <v>0</v>
      </c>
      <c r="E23" t="s">
        <v>110</v>
      </c>
    </row>
    <row r="24" spans="1:9">
      <c r="A24" t="s">
        <v>603</v>
      </c>
      <c r="B24" t="s">
        <v>575</v>
      </c>
      <c r="C24">
        <v>0</v>
      </c>
      <c r="D24">
        <v>0</v>
      </c>
      <c r="E24" t="s">
        <v>110</v>
      </c>
    </row>
    <row r="25" spans="1:9">
      <c r="A25" t="s">
        <v>603</v>
      </c>
      <c r="B25" t="s">
        <v>623</v>
      </c>
      <c r="C25">
        <v>0</v>
      </c>
      <c r="D25">
        <v>0</v>
      </c>
      <c r="E25" t="s">
        <v>111</v>
      </c>
      <c r="G25" t="s">
        <v>624</v>
      </c>
    </row>
    <row r="26" spans="1:9">
      <c r="A26" t="s">
        <v>603</v>
      </c>
      <c r="B26" t="s">
        <v>588</v>
      </c>
      <c r="C26">
        <v>0</v>
      </c>
      <c r="D26">
        <v>0</v>
      </c>
      <c r="E26" t="s">
        <v>111</v>
      </c>
    </row>
    <row r="27" spans="1:9">
      <c r="A27" t="s">
        <v>603</v>
      </c>
      <c r="B27" t="s">
        <v>589</v>
      </c>
      <c r="C27">
        <v>0</v>
      </c>
      <c r="D27">
        <v>0</v>
      </c>
      <c r="E27" t="s">
        <v>111</v>
      </c>
      <c r="I27" t="s">
        <v>609</v>
      </c>
    </row>
    <row r="28" spans="1:9">
      <c r="A28" t="s">
        <v>603</v>
      </c>
      <c r="B28" t="s">
        <v>590</v>
      </c>
      <c r="C28">
        <v>0</v>
      </c>
      <c r="D28">
        <v>0</v>
      </c>
      <c r="E28" t="s">
        <v>111</v>
      </c>
      <c r="F28" t="s">
        <v>622</v>
      </c>
    </row>
    <row r="29" spans="1:9">
      <c r="A29" t="s">
        <v>603</v>
      </c>
      <c r="B29" t="s">
        <v>625</v>
      </c>
      <c r="C29">
        <v>0</v>
      </c>
      <c r="D29">
        <v>0</v>
      </c>
      <c r="E29" t="s">
        <v>118</v>
      </c>
    </row>
    <row r="30" spans="1:9">
      <c r="A30" t="s">
        <v>603</v>
      </c>
      <c r="B30" t="s">
        <v>626</v>
      </c>
      <c r="C30">
        <v>0</v>
      </c>
      <c r="D30">
        <v>0</v>
      </c>
      <c r="E30" t="s">
        <v>118</v>
      </c>
    </row>
    <row r="31" spans="1:9">
      <c r="A31" t="s">
        <v>603</v>
      </c>
      <c r="B31" t="s">
        <v>627</v>
      </c>
      <c r="C31">
        <v>0</v>
      </c>
      <c r="D31">
        <v>0</v>
      </c>
      <c r="E31" t="s">
        <v>118</v>
      </c>
    </row>
    <row r="32" spans="1:9">
      <c r="A32" t="s">
        <v>603</v>
      </c>
      <c r="B32" t="s">
        <v>628</v>
      </c>
      <c r="C32">
        <v>0</v>
      </c>
      <c r="D32">
        <v>0</v>
      </c>
      <c r="E32" t="s">
        <v>629</v>
      </c>
      <c r="H32" t="s">
        <v>615</v>
      </c>
    </row>
    <row r="33" spans="1:9">
      <c r="A33" t="s">
        <v>603</v>
      </c>
      <c r="B33" t="s">
        <v>574</v>
      </c>
      <c r="C33">
        <v>0</v>
      </c>
      <c r="D33">
        <v>0</v>
      </c>
      <c r="E33" t="s">
        <v>629</v>
      </c>
    </row>
    <row r="34" spans="1:9">
      <c r="A34" t="s">
        <v>603</v>
      </c>
      <c r="B34" t="s">
        <v>575</v>
      </c>
      <c r="C34">
        <v>0</v>
      </c>
      <c r="D34">
        <v>0</v>
      </c>
      <c r="E34" t="s">
        <v>629</v>
      </c>
    </row>
    <row r="35" spans="1:9">
      <c r="A35" t="s">
        <v>603</v>
      </c>
      <c r="B35" t="s">
        <v>630</v>
      </c>
      <c r="C35">
        <v>0</v>
      </c>
      <c r="D35">
        <v>0</v>
      </c>
      <c r="E35" t="s">
        <v>315</v>
      </c>
      <c r="H35" t="s">
        <v>631</v>
      </c>
    </row>
    <row r="36" spans="1:9">
      <c r="A36" t="s">
        <v>603</v>
      </c>
      <c r="B36" t="s">
        <v>574</v>
      </c>
      <c r="C36">
        <v>0</v>
      </c>
      <c r="D36">
        <v>0</v>
      </c>
      <c r="E36" t="s">
        <v>315</v>
      </c>
    </row>
    <row r="37" spans="1:9">
      <c r="A37" t="s">
        <v>603</v>
      </c>
      <c r="B37" t="s">
        <v>575</v>
      </c>
      <c r="C37">
        <v>0</v>
      </c>
      <c r="D37">
        <v>0</v>
      </c>
      <c r="E37" t="s">
        <v>315</v>
      </c>
    </row>
    <row r="38" spans="1:9">
      <c r="A38" t="s">
        <v>603</v>
      </c>
      <c r="B38" t="s">
        <v>632</v>
      </c>
      <c r="C38">
        <v>0</v>
      </c>
      <c r="D38">
        <v>0</v>
      </c>
      <c r="E38" t="s">
        <v>143</v>
      </c>
    </row>
    <row r="39" spans="1:9">
      <c r="A39" t="s">
        <v>603</v>
      </c>
      <c r="B39" t="s">
        <v>633</v>
      </c>
      <c r="C39">
        <v>0</v>
      </c>
      <c r="D39">
        <v>0</v>
      </c>
      <c r="E39" t="s">
        <v>143</v>
      </c>
    </row>
    <row r="40" spans="1:9">
      <c r="A40" t="s">
        <v>603</v>
      </c>
      <c r="B40" t="s">
        <v>598</v>
      </c>
      <c r="C40">
        <v>0</v>
      </c>
      <c r="D40">
        <v>0</v>
      </c>
      <c r="E40" t="s">
        <v>143</v>
      </c>
      <c r="I40" t="s">
        <v>616</v>
      </c>
    </row>
    <row r="41" spans="1:9">
      <c r="A41" t="s">
        <v>603</v>
      </c>
      <c r="B41" t="s">
        <v>634</v>
      </c>
      <c r="C41">
        <v>0</v>
      </c>
      <c r="D41">
        <v>0</v>
      </c>
      <c r="E41" t="s">
        <v>143</v>
      </c>
    </row>
    <row r="42" spans="1:9">
      <c r="A42" t="s">
        <v>603</v>
      </c>
      <c r="B42" t="s">
        <v>635</v>
      </c>
      <c r="C42">
        <v>0</v>
      </c>
      <c r="D42">
        <v>0</v>
      </c>
      <c r="E42" t="s">
        <v>143</v>
      </c>
    </row>
    <row r="43" spans="1:9">
      <c r="A43" t="s">
        <v>603</v>
      </c>
      <c r="B43" t="s">
        <v>636</v>
      </c>
      <c r="C43">
        <v>0</v>
      </c>
      <c r="D43">
        <v>0</v>
      </c>
      <c r="E43" t="s">
        <v>330</v>
      </c>
      <c r="F43" t="s">
        <v>607</v>
      </c>
    </row>
    <row r="44" spans="1:9">
      <c r="A44" t="s">
        <v>603</v>
      </c>
      <c r="B44" t="s">
        <v>637</v>
      </c>
      <c r="C44">
        <v>0</v>
      </c>
      <c r="D44">
        <v>0</v>
      </c>
      <c r="E44" t="s">
        <v>330</v>
      </c>
    </row>
    <row r="45" spans="1:9">
      <c r="A45" t="s">
        <v>603</v>
      </c>
      <c r="B45" t="s">
        <v>175</v>
      </c>
      <c r="C45">
        <v>0</v>
      </c>
      <c r="D45">
        <v>0</v>
      </c>
      <c r="E45" t="s">
        <v>330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workbookViewId="0"/>
  </sheetViews>
  <sheetFormatPr defaultRowHeight="14.5"/>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
  <sheetViews>
    <sheetView workbookViewId="0"/>
  </sheetViews>
  <sheetFormatPr defaultRowHeight="14.5"/>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
  <sheetViews>
    <sheetView workbookViewId="0"/>
  </sheetViews>
  <sheetFormatPr defaultRowHeight="14.5"/>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
  <sheetViews>
    <sheetView workbookViewId="0"/>
  </sheetViews>
  <sheetFormatPr defaultRowHeight="14.5"/>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I41"/>
  <sheetViews>
    <sheetView workbookViewId="0"/>
  </sheetViews>
  <sheetFormatPr defaultRowHeight="14.5"/>
  <sheetData>
    <row r="1" spans="1:35">
      <c r="A1" t="s">
        <v>166</v>
      </c>
      <c r="B1" t="s">
        <v>239</v>
      </c>
      <c r="C1" t="s">
        <v>638</v>
      </c>
      <c r="D1" t="s">
        <v>639</v>
      </c>
      <c r="E1" t="s">
        <v>640</v>
      </c>
      <c r="F1" t="s">
        <v>641</v>
      </c>
      <c r="G1" t="s">
        <v>642</v>
      </c>
      <c r="H1" t="s">
        <v>643</v>
      </c>
      <c r="I1" t="s">
        <v>644</v>
      </c>
      <c r="J1" t="s">
        <v>645</v>
      </c>
      <c r="K1" t="s">
        <v>646</v>
      </c>
      <c r="L1" t="s">
        <v>647</v>
      </c>
      <c r="M1" t="s">
        <v>648</v>
      </c>
      <c r="N1" t="s">
        <v>649</v>
      </c>
      <c r="O1" t="s">
        <v>650</v>
      </c>
      <c r="P1" t="s">
        <v>651</v>
      </c>
      <c r="Q1" t="s">
        <v>652</v>
      </c>
      <c r="R1" t="s">
        <v>653</v>
      </c>
      <c r="S1" t="s">
        <v>654</v>
      </c>
      <c r="T1" t="s">
        <v>655</v>
      </c>
      <c r="U1" t="s">
        <v>656</v>
      </c>
      <c r="V1" t="s">
        <v>657</v>
      </c>
      <c r="W1" t="s">
        <v>658</v>
      </c>
      <c r="X1" t="s">
        <v>361</v>
      </c>
      <c r="Y1" t="s">
        <v>362</v>
      </c>
      <c r="Z1" t="s">
        <v>363</v>
      </c>
      <c r="AA1" t="s">
        <v>364</v>
      </c>
      <c r="AB1" t="s">
        <v>365</v>
      </c>
      <c r="AC1" t="s">
        <v>659</v>
      </c>
      <c r="AD1" t="s">
        <v>660</v>
      </c>
      <c r="AE1" t="s">
        <v>368</v>
      </c>
      <c r="AF1" t="s">
        <v>369</v>
      </c>
      <c r="AG1" t="s">
        <v>370</v>
      </c>
      <c r="AH1" t="s">
        <v>371</v>
      </c>
      <c r="AI1" t="s">
        <v>661</v>
      </c>
    </row>
    <row r="2" spans="1:35">
      <c r="A2" t="s">
        <v>505</v>
      </c>
      <c r="B2" t="s">
        <v>662</v>
      </c>
      <c r="C2">
        <v>0</v>
      </c>
      <c r="D2">
        <v>0</v>
      </c>
      <c r="E2">
        <v>0</v>
      </c>
      <c r="F2">
        <v>0</v>
      </c>
      <c r="G2">
        <v>0</v>
      </c>
      <c r="H2">
        <v>0</v>
      </c>
      <c r="I2">
        <v>0</v>
      </c>
      <c r="J2">
        <v>0</v>
      </c>
      <c r="K2">
        <v>0</v>
      </c>
      <c r="L2">
        <v>0</v>
      </c>
      <c r="M2">
        <v>0</v>
      </c>
      <c r="N2">
        <v>0</v>
      </c>
      <c r="O2">
        <v>0</v>
      </c>
      <c r="P2">
        <v>0</v>
      </c>
      <c r="Q2">
        <v>0</v>
      </c>
      <c r="R2">
        <v>0</v>
      </c>
      <c r="S2">
        <v>0</v>
      </c>
      <c r="T2">
        <v>0</v>
      </c>
      <c r="U2">
        <v>0</v>
      </c>
      <c r="V2">
        <v>0</v>
      </c>
      <c r="W2">
        <v>0</v>
      </c>
      <c r="AI2">
        <v>0</v>
      </c>
    </row>
    <row r="3" spans="1:35">
      <c r="A3" t="s">
        <v>430</v>
      </c>
      <c r="B3" t="s">
        <v>519</v>
      </c>
      <c r="C3">
        <v>0</v>
      </c>
      <c r="D3">
        <v>0</v>
      </c>
      <c r="E3">
        <v>0</v>
      </c>
      <c r="F3">
        <v>0</v>
      </c>
      <c r="G3">
        <v>0</v>
      </c>
      <c r="H3">
        <v>0</v>
      </c>
      <c r="I3">
        <v>0</v>
      </c>
      <c r="J3">
        <v>0</v>
      </c>
      <c r="K3">
        <v>0</v>
      </c>
      <c r="L3">
        <v>0</v>
      </c>
      <c r="M3">
        <v>0</v>
      </c>
      <c r="N3">
        <v>0</v>
      </c>
      <c r="O3">
        <v>0</v>
      </c>
      <c r="P3">
        <v>0</v>
      </c>
      <c r="Q3">
        <v>0</v>
      </c>
      <c r="R3">
        <v>0</v>
      </c>
      <c r="S3">
        <v>0</v>
      </c>
      <c r="T3">
        <v>22</v>
      </c>
      <c r="U3">
        <v>7</v>
      </c>
      <c r="V3">
        <v>22.88</v>
      </c>
      <c r="W3">
        <v>0</v>
      </c>
      <c r="X3">
        <v>22</v>
      </c>
      <c r="Y3">
        <v>7</v>
      </c>
      <c r="Z3">
        <v>22.88</v>
      </c>
      <c r="AA3">
        <v>22.88</v>
      </c>
      <c r="AB3">
        <v>0</v>
      </c>
      <c r="AC3">
        <v>22</v>
      </c>
      <c r="AD3">
        <v>7</v>
      </c>
      <c r="AI3">
        <v>0</v>
      </c>
    </row>
    <row r="4" spans="1:35">
      <c r="A4" t="s">
        <v>430</v>
      </c>
      <c r="B4" t="s">
        <v>663</v>
      </c>
      <c r="C4">
        <v>0</v>
      </c>
      <c r="D4">
        <v>0</v>
      </c>
      <c r="E4">
        <v>0</v>
      </c>
      <c r="F4">
        <v>0</v>
      </c>
      <c r="G4">
        <v>0</v>
      </c>
      <c r="H4">
        <v>0</v>
      </c>
      <c r="I4">
        <v>0</v>
      </c>
      <c r="J4">
        <v>0</v>
      </c>
      <c r="K4">
        <v>0</v>
      </c>
      <c r="L4">
        <v>0</v>
      </c>
      <c r="M4">
        <v>0</v>
      </c>
      <c r="N4">
        <v>0</v>
      </c>
      <c r="O4">
        <v>0</v>
      </c>
      <c r="P4">
        <v>0</v>
      </c>
      <c r="Q4">
        <v>0</v>
      </c>
      <c r="R4">
        <v>0</v>
      </c>
      <c r="S4">
        <v>0</v>
      </c>
      <c r="T4">
        <v>0</v>
      </c>
      <c r="U4">
        <v>0</v>
      </c>
      <c r="V4">
        <v>0</v>
      </c>
      <c r="W4">
        <v>0</v>
      </c>
      <c r="AI4">
        <v>0</v>
      </c>
    </row>
    <row r="5" spans="1:35">
      <c r="A5" t="s">
        <v>430</v>
      </c>
      <c r="B5" t="s">
        <v>521</v>
      </c>
      <c r="C5">
        <v>0</v>
      </c>
      <c r="D5">
        <v>0</v>
      </c>
      <c r="E5">
        <v>0</v>
      </c>
      <c r="F5">
        <v>0</v>
      </c>
      <c r="G5">
        <v>0</v>
      </c>
      <c r="H5">
        <v>0</v>
      </c>
      <c r="I5">
        <v>0</v>
      </c>
      <c r="J5">
        <v>0</v>
      </c>
      <c r="K5">
        <v>0</v>
      </c>
      <c r="L5">
        <v>0</v>
      </c>
      <c r="M5">
        <v>0</v>
      </c>
      <c r="N5">
        <v>0</v>
      </c>
      <c r="O5">
        <v>0</v>
      </c>
      <c r="P5">
        <v>0</v>
      </c>
      <c r="Q5">
        <v>0</v>
      </c>
      <c r="R5">
        <v>0</v>
      </c>
      <c r="S5">
        <v>0</v>
      </c>
      <c r="T5">
        <v>0</v>
      </c>
      <c r="U5">
        <v>0</v>
      </c>
      <c r="V5">
        <v>0</v>
      </c>
      <c r="W5">
        <v>0</v>
      </c>
      <c r="X5">
        <v>2</v>
      </c>
      <c r="Y5">
        <v>7.5</v>
      </c>
      <c r="Z5">
        <v>2.94</v>
      </c>
      <c r="AA5">
        <v>2.94</v>
      </c>
      <c r="AB5">
        <v>0</v>
      </c>
      <c r="AC5">
        <v>2</v>
      </c>
      <c r="AD5">
        <v>7.5</v>
      </c>
      <c r="AI5">
        <v>0</v>
      </c>
    </row>
    <row r="6" spans="1:35">
      <c r="A6" t="s">
        <v>430</v>
      </c>
      <c r="B6" t="s">
        <v>522</v>
      </c>
      <c r="C6">
        <v>0</v>
      </c>
      <c r="D6">
        <v>0</v>
      </c>
      <c r="E6">
        <v>0</v>
      </c>
      <c r="F6">
        <v>0</v>
      </c>
      <c r="G6">
        <v>0</v>
      </c>
      <c r="H6">
        <v>0</v>
      </c>
      <c r="I6">
        <v>0</v>
      </c>
      <c r="J6">
        <v>0</v>
      </c>
      <c r="K6">
        <v>0</v>
      </c>
      <c r="L6">
        <v>0</v>
      </c>
      <c r="M6">
        <v>0</v>
      </c>
      <c r="N6">
        <v>0</v>
      </c>
      <c r="O6">
        <v>0</v>
      </c>
      <c r="P6">
        <v>0</v>
      </c>
      <c r="Q6">
        <v>0</v>
      </c>
      <c r="R6">
        <v>0</v>
      </c>
      <c r="S6">
        <v>0</v>
      </c>
      <c r="T6">
        <v>0</v>
      </c>
      <c r="U6">
        <v>0</v>
      </c>
      <c r="V6">
        <v>0</v>
      </c>
      <c r="W6">
        <v>0</v>
      </c>
      <c r="X6">
        <v>26</v>
      </c>
      <c r="Y6">
        <v>6.5</v>
      </c>
      <c r="Z6">
        <v>26.81</v>
      </c>
      <c r="AA6">
        <v>26.81</v>
      </c>
      <c r="AB6">
        <v>0</v>
      </c>
      <c r="AC6">
        <v>26</v>
      </c>
      <c r="AD6">
        <v>6.5</v>
      </c>
      <c r="AI6">
        <v>0</v>
      </c>
    </row>
    <row r="7" spans="1:35">
      <c r="A7" t="s">
        <v>430</v>
      </c>
      <c r="B7" t="s">
        <v>523</v>
      </c>
      <c r="C7">
        <v>0</v>
      </c>
      <c r="D7">
        <v>0</v>
      </c>
      <c r="E7">
        <v>7</v>
      </c>
      <c r="F7">
        <v>0</v>
      </c>
      <c r="G7">
        <v>7</v>
      </c>
      <c r="H7">
        <v>0</v>
      </c>
      <c r="I7">
        <v>0</v>
      </c>
      <c r="J7">
        <v>0</v>
      </c>
      <c r="K7">
        <v>0</v>
      </c>
      <c r="L7">
        <v>0</v>
      </c>
      <c r="M7">
        <v>0</v>
      </c>
      <c r="N7">
        <v>0</v>
      </c>
      <c r="O7">
        <v>0</v>
      </c>
      <c r="P7">
        <v>0</v>
      </c>
      <c r="Q7">
        <v>0</v>
      </c>
      <c r="R7">
        <v>0</v>
      </c>
      <c r="S7">
        <v>0</v>
      </c>
      <c r="T7">
        <v>0</v>
      </c>
      <c r="U7">
        <v>0</v>
      </c>
      <c r="V7">
        <v>0</v>
      </c>
      <c r="W7">
        <v>0</v>
      </c>
      <c r="X7">
        <v>7</v>
      </c>
      <c r="Y7">
        <v>0</v>
      </c>
      <c r="Z7">
        <v>7</v>
      </c>
      <c r="AA7">
        <v>7</v>
      </c>
      <c r="AB7">
        <v>0</v>
      </c>
      <c r="AC7">
        <v>7</v>
      </c>
      <c r="AD7">
        <v>0</v>
      </c>
      <c r="AI7">
        <v>0</v>
      </c>
    </row>
    <row r="8" spans="1:35">
      <c r="A8" t="s">
        <v>430</v>
      </c>
      <c r="B8" t="s">
        <v>524</v>
      </c>
      <c r="C8">
        <v>0</v>
      </c>
      <c r="D8">
        <v>0</v>
      </c>
      <c r="E8">
        <v>0</v>
      </c>
      <c r="F8">
        <v>0</v>
      </c>
      <c r="G8">
        <v>0</v>
      </c>
      <c r="H8">
        <v>0</v>
      </c>
      <c r="I8">
        <v>0</v>
      </c>
      <c r="J8">
        <v>0</v>
      </c>
      <c r="K8">
        <v>0</v>
      </c>
      <c r="L8">
        <v>0</v>
      </c>
      <c r="M8">
        <v>0</v>
      </c>
      <c r="N8">
        <v>0</v>
      </c>
      <c r="O8">
        <v>0</v>
      </c>
      <c r="P8">
        <v>0</v>
      </c>
      <c r="Q8">
        <v>0</v>
      </c>
      <c r="R8">
        <v>0</v>
      </c>
      <c r="S8">
        <v>0</v>
      </c>
      <c r="T8">
        <v>0</v>
      </c>
      <c r="U8">
        <v>0</v>
      </c>
      <c r="V8">
        <v>0</v>
      </c>
      <c r="W8">
        <v>0</v>
      </c>
      <c r="X8">
        <v>0</v>
      </c>
      <c r="Y8">
        <v>2</v>
      </c>
      <c r="Z8">
        <v>0.25</v>
      </c>
      <c r="AA8">
        <v>0.25</v>
      </c>
      <c r="AB8">
        <v>0</v>
      </c>
      <c r="AC8">
        <v>0</v>
      </c>
      <c r="AD8">
        <v>2</v>
      </c>
      <c r="AI8">
        <v>0</v>
      </c>
    </row>
    <row r="9" spans="1:35">
      <c r="A9" t="s">
        <v>430</v>
      </c>
      <c r="B9" t="s">
        <v>664</v>
      </c>
      <c r="C9">
        <v>0</v>
      </c>
      <c r="D9">
        <v>0</v>
      </c>
      <c r="E9">
        <v>0</v>
      </c>
      <c r="F9">
        <v>0</v>
      </c>
      <c r="G9">
        <v>0</v>
      </c>
      <c r="H9">
        <v>0</v>
      </c>
      <c r="I9">
        <v>0</v>
      </c>
      <c r="J9">
        <v>0</v>
      </c>
      <c r="K9">
        <v>0</v>
      </c>
      <c r="L9">
        <v>0</v>
      </c>
      <c r="M9">
        <v>0</v>
      </c>
      <c r="N9">
        <v>0</v>
      </c>
      <c r="O9">
        <v>0</v>
      </c>
      <c r="P9">
        <v>0</v>
      </c>
      <c r="Q9">
        <v>16</v>
      </c>
      <c r="R9">
        <v>7</v>
      </c>
      <c r="S9">
        <v>16.88</v>
      </c>
      <c r="T9">
        <v>0</v>
      </c>
      <c r="U9">
        <v>0</v>
      </c>
      <c r="V9">
        <v>0</v>
      </c>
      <c r="W9">
        <v>0</v>
      </c>
      <c r="AI9">
        <v>0</v>
      </c>
    </row>
    <row r="10" spans="1:35">
      <c r="A10" t="s">
        <v>430</v>
      </c>
      <c r="B10" t="s">
        <v>526</v>
      </c>
      <c r="C10">
        <v>0</v>
      </c>
      <c r="D10">
        <v>0</v>
      </c>
      <c r="E10">
        <v>0</v>
      </c>
      <c r="F10">
        <v>0</v>
      </c>
      <c r="G10">
        <v>0</v>
      </c>
      <c r="H10">
        <v>0</v>
      </c>
      <c r="I10">
        <v>0</v>
      </c>
      <c r="J10">
        <v>0</v>
      </c>
      <c r="K10">
        <v>0</v>
      </c>
      <c r="L10">
        <v>0</v>
      </c>
      <c r="M10">
        <v>0</v>
      </c>
      <c r="N10">
        <v>0</v>
      </c>
      <c r="O10">
        <v>0</v>
      </c>
      <c r="P10">
        <v>0</v>
      </c>
      <c r="Q10">
        <v>2</v>
      </c>
      <c r="R10">
        <v>7.5</v>
      </c>
      <c r="S10">
        <v>2.94</v>
      </c>
      <c r="T10">
        <v>0</v>
      </c>
      <c r="U10">
        <v>0</v>
      </c>
      <c r="V10">
        <v>0</v>
      </c>
      <c r="W10">
        <v>0</v>
      </c>
      <c r="X10">
        <v>2</v>
      </c>
      <c r="Y10">
        <v>7.5</v>
      </c>
      <c r="Z10">
        <v>2.94</v>
      </c>
      <c r="AA10">
        <v>2.94</v>
      </c>
      <c r="AB10">
        <v>0</v>
      </c>
      <c r="AC10">
        <v>2</v>
      </c>
      <c r="AD10">
        <v>7.5</v>
      </c>
      <c r="AI10">
        <v>0</v>
      </c>
    </row>
    <row r="11" spans="1:35">
      <c r="A11" t="s">
        <v>430</v>
      </c>
      <c r="B11" t="s">
        <v>527</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I11">
        <v>0</v>
      </c>
    </row>
    <row r="12" spans="1:35">
      <c r="A12" t="s">
        <v>430</v>
      </c>
      <c r="B12" t="s">
        <v>528</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I12">
        <v>0</v>
      </c>
    </row>
    <row r="13" spans="1:35">
      <c r="A13" t="s">
        <v>430</v>
      </c>
      <c r="B13" t="s">
        <v>662</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AI13">
        <v>0</v>
      </c>
    </row>
    <row r="14" spans="1:35">
      <c r="A14" t="s">
        <v>529</v>
      </c>
      <c r="B14" t="s">
        <v>530</v>
      </c>
      <c r="C14">
        <v>0</v>
      </c>
      <c r="D14">
        <v>0</v>
      </c>
      <c r="E14">
        <v>0</v>
      </c>
      <c r="F14">
        <v>0</v>
      </c>
      <c r="G14">
        <v>0</v>
      </c>
      <c r="H14">
        <v>0</v>
      </c>
      <c r="I14">
        <v>0</v>
      </c>
      <c r="J14">
        <v>0</v>
      </c>
      <c r="K14">
        <v>0</v>
      </c>
      <c r="L14">
        <v>0</v>
      </c>
      <c r="M14">
        <v>0</v>
      </c>
      <c r="N14">
        <v>0</v>
      </c>
      <c r="O14">
        <v>0</v>
      </c>
      <c r="P14">
        <v>0</v>
      </c>
      <c r="Q14">
        <v>0</v>
      </c>
      <c r="R14">
        <v>0</v>
      </c>
      <c r="S14">
        <v>0</v>
      </c>
      <c r="T14">
        <v>0</v>
      </c>
      <c r="U14">
        <v>0</v>
      </c>
      <c r="V14">
        <v>0</v>
      </c>
      <c r="W14">
        <v>0</v>
      </c>
      <c r="X14">
        <v>2</v>
      </c>
      <c r="Y14">
        <v>0</v>
      </c>
      <c r="Z14">
        <v>2</v>
      </c>
      <c r="AA14">
        <v>2</v>
      </c>
      <c r="AB14">
        <v>0</v>
      </c>
      <c r="AC14">
        <v>2</v>
      </c>
      <c r="AD14">
        <v>0</v>
      </c>
      <c r="AI14">
        <v>0</v>
      </c>
    </row>
    <row r="15" spans="1:35">
      <c r="A15" t="s">
        <v>529</v>
      </c>
      <c r="B15" t="s">
        <v>531</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I15">
        <v>0</v>
      </c>
    </row>
    <row r="16" spans="1:35">
      <c r="A16" t="s">
        <v>529</v>
      </c>
      <c r="B16" t="s">
        <v>528</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I16">
        <v>0</v>
      </c>
    </row>
    <row r="17" spans="1:35">
      <c r="A17" t="s">
        <v>529</v>
      </c>
      <c r="B17" t="s">
        <v>662</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AI17">
        <v>0</v>
      </c>
    </row>
    <row r="18" spans="1:35">
      <c r="A18" t="s">
        <v>432</v>
      </c>
      <c r="B18" t="s">
        <v>532</v>
      </c>
      <c r="C18">
        <v>0</v>
      </c>
      <c r="D18">
        <v>0</v>
      </c>
      <c r="E18">
        <v>0</v>
      </c>
      <c r="F18">
        <v>0</v>
      </c>
      <c r="G18">
        <v>0</v>
      </c>
      <c r="H18">
        <v>0</v>
      </c>
      <c r="I18">
        <v>0</v>
      </c>
      <c r="J18">
        <v>0</v>
      </c>
      <c r="K18">
        <v>0</v>
      </c>
      <c r="L18">
        <v>0</v>
      </c>
      <c r="M18">
        <v>0</v>
      </c>
      <c r="N18">
        <v>0</v>
      </c>
      <c r="O18">
        <v>0</v>
      </c>
      <c r="P18">
        <v>0</v>
      </c>
      <c r="Q18">
        <v>0</v>
      </c>
      <c r="R18">
        <v>0</v>
      </c>
      <c r="S18">
        <v>0</v>
      </c>
      <c r="T18">
        <v>23</v>
      </c>
      <c r="U18">
        <v>4</v>
      </c>
      <c r="V18">
        <v>23.5</v>
      </c>
      <c r="W18">
        <v>0</v>
      </c>
      <c r="X18">
        <v>23</v>
      </c>
      <c r="Y18">
        <v>4</v>
      </c>
      <c r="Z18">
        <v>23.5</v>
      </c>
      <c r="AA18">
        <v>23.5</v>
      </c>
      <c r="AB18">
        <v>0</v>
      </c>
      <c r="AC18">
        <v>23</v>
      </c>
      <c r="AD18">
        <v>4</v>
      </c>
      <c r="AI18">
        <v>0</v>
      </c>
    </row>
    <row r="19" spans="1:35">
      <c r="A19" t="s">
        <v>432</v>
      </c>
      <c r="B19" t="s">
        <v>533</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4</v>
      </c>
      <c r="Y19">
        <v>4</v>
      </c>
      <c r="Z19">
        <v>4.5</v>
      </c>
      <c r="AA19">
        <v>4.5</v>
      </c>
      <c r="AB19">
        <v>0</v>
      </c>
      <c r="AC19">
        <v>4</v>
      </c>
      <c r="AD19">
        <v>4</v>
      </c>
      <c r="AI19">
        <v>0</v>
      </c>
    </row>
    <row r="20" spans="1:35">
      <c r="A20" t="s">
        <v>432</v>
      </c>
      <c r="B20" t="s">
        <v>534</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28</v>
      </c>
      <c r="Y20">
        <v>0</v>
      </c>
      <c r="Z20">
        <v>28</v>
      </c>
      <c r="AA20">
        <v>28</v>
      </c>
      <c r="AB20">
        <v>0</v>
      </c>
      <c r="AC20">
        <v>28</v>
      </c>
      <c r="AD20">
        <v>0</v>
      </c>
      <c r="AI20">
        <v>0</v>
      </c>
    </row>
    <row r="21" spans="1:35">
      <c r="A21" t="s">
        <v>432</v>
      </c>
      <c r="B21" t="s">
        <v>535</v>
      </c>
      <c r="C21">
        <v>0</v>
      </c>
      <c r="D21">
        <v>0</v>
      </c>
      <c r="E21">
        <v>7</v>
      </c>
      <c r="F21">
        <v>6</v>
      </c>
      <c r="G21">
        <v>7.75</v>
      </c>
      <c r="H21">
        <v>0</v>
      </c>
      <c r="I21">
        <v>0</v>
      </c>
      <c r="J21">
        <v>0</v>
      </c>
      <c r="K21">
        <v>0</v>
      </c>
      <c r="L21">
        <v>0</v>
      </c>
      <c r="M21">
        <v>0</v>
      </c>
      <c r="N21">
        <v>0</v>
      </c>
      <c r="O21">
        <v>0</v>
      </c>
      <c r="P21">
        <v>0</v>
      </c>
      <c r="Q21">
        <v>0</v>
      </c>
      <c r="R21">
        <v>0</v>
      </c>
      <c r="S21">
        <v>0</v>
      </c>
      <c r="T21">
        <v>0</v>
      </c>
      <c r="U21">
        <v>0</v>
      </c>
      <c r="V21">
        <v>0</v>
      </c>
      <c r="W21">
        <v>0</v>
      </c>
      <c r="X21">
        <v>7</v>
      </c>
      <c r="Y21">
        <v>6</v>
      </c>
      <c r="Z21">
        <v>7.75</v>
      </c>
      <c r="AA21">
        <v>7.75</v>
      </c>
      <c r="AB21">
        <v>0</v>
      </c>
      <c r="AC21">
        <v>7</v>
      </c>
      <c r="AD21">
        <v>6</v>
      </c>
      <c r="AI21">
        <v>0</v>
      </c>
    </row>
    <row r="22" spans="1:35">
      <c r="A22" t="s">
        <v>432</v>
      </c>
      <c r="B22" t="s">
        <v>536</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4</v>
      </c>
      <c r="Z22">
        <v>0.5</v>
      </c>
      <c r="AA22">
        <v>0.5</v>
      </c>
      <c r="AB22">
        <v>0</v>
      </c>
      <c r="AC22">
        <v>0</v>
      </c>
      <c r="AD22">
        <v>4</v>
      </c>
      <c r="AI22">
        <v>0</v>
      </c>
    </row>
    <row r="23" spans="1:35">
      <c r="A23" t="s">
        <v>432</v>
      </c>
      <c r="B23" t="s">
        <v>537</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13</v>
      </c>
      <c r="Y23">
        <v>4.5</v>
      </c>
      <c r="Z23">
        <v>13.56</v>
      </c>
      <c r="AA23">
        <v>13.56</v>
      </c>
      <c r="AB23">
        <v>0</v>
      </c>
      <c r="AC23">
        <v>13</v>
      </c>
      <c r="AD23">
        <v>4.5</v>
      </c>
      <c r="AI23">
        <v>0</v>
      </c>
    </row>
    <row r="24" spans="1:35">
      <c r="A24" t="s">
        <v>432</v>
      </c>
      <c r="B24" t="s">
        <v>538</v>
      </c>
      <c r="C24">
        <v>0</v>
      </c>
      <c r="D24">
        <v>0</v>
      </c>
      <c r="E24">
        <v>0</v>
      </c>
      <c r="F24">
        <v>0</v>
      </c>
      <c r="G24">
        <v>0</v>
      </c>
      <c r="H24">
        <v>0</v>
      </c>
      <c r="I24">
        <v>0</v>
      </c>
      <c r="J24">
        <v>0</v>
      </c>
      <c r="K24">
        <v>0</v>
      </c>
      <c r="L24">
        <v>0</v>
      </c>
      <c r="M24">
        <v>0</v>
      </c>
      <c r="N24">
        <v>0</v>
      </c>
      <c r="O24">
        <v>0</v>
      </c>
      <c r="P24">
        <v>0</v>
      </c>
      <c r="Q24">
        <v>2</v>
      </c>
      <c r="R24">
        <v>1.5</v>
      </c>
      <c r="S24">
        <v>2.19</v>
      </c>
      <c r="T24">
        <v>0</v>
      </c>
      <c r="U24">
        <v>0</v>
      </c>
      <c r="V24">
        <v>0</v>
      </c>
      <c r="W24">
        <v>0</v>
      </c>
      <c r="X24">
        <v>2</v>
      </c>
      <c r="Y24">
        <v>1.5</v>
      </c>
      <c r="Z24">
        <v>2.19</v>
      </c>
      <c r="AA24">
        <v>2.19</v>
      </c>
      <c r="AB24">
        <v>0</v>
      </c>
      <c r="AC24">
        <v>2</v>
      </c>
      <c r="AD24">
        <v>1.5</v>
      </c>
      <c r="AI24">
        <v>0</v>
      </c>
    </row>
    <row r="25" spans="1:35">
      <c r="A25" t="s">
        <v>432</v>
      </c>
      <c r="B25" t="s">
        <v>539</v>
      </c>
      <c r="C25">
        <v>0</v>
      </c>
      <c r="D25">
        <v>0</v>
      </c>
      <c r="E25">
        <v>0</v>
      </c>
      <c r="F25">
        <v>0</v>
      </c>
      <c r="G25">
        <v>0</v>
      </c>
      <c r="H25">
        <v>0</v>
      </c>
      <c r="I25">
        <v>0</v>
      </c>
      <c r="J25">
        <v>0</v>
      </c>
      <c r="K25">
        <v>0</v>
      </c>
      <c r="L25">
        <v>0</v>
      </c>
      <c r="M25">
        <v>0</v>
      </c>
      <c r="N25">
        <v>0</v>
      </c>
      <c r="O25">
        <v>0</v>
      </c>
      <c r="P25">
        <v>0</v>
      </c>
      <c r="Q25">
        <v>4</v>
      </c>
      <c r="R25">
        <v>4</v>
      </c>
      <c r="S25">
        <v>4.5</v>
      </c>
      <c r="T25">
        <v>0</v>
      </c>
      <c r="U25">
        <v>0</v>
      </c>
      <c r="V25">
        <v>0</v>
      </c>
      <c r="W25">
        <v>0</v>
      </c>
      <c r="X25">
        <v>4</v>
      </c>
      <c r="Y25">
        <v>4</v>
      </c>
      <c r="Z25">
        <v>4.5</v>
      </c>
      <c r="AA25">
        <v>4.5</v>
      </c>
      <c r="AB25">
        <v>0</v>
      </c>
      <c r="AC25">
        <v>4</v>
      </c>
      <c r="AD25">
        <v>4</v>
      </c>
      <c r="AI25">
        <v>0</v>
      </c>
    </row>
    <row r="26" spans="1:35">
      <c r="A26" t="s">
        <v>432</v>
      </c>
      <c r="B26" t="s">
        <v>527</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I26">
        <v>0</v>
      </c>
    </row>
    <row r="27" spans="1:35">
      <c r="A27" t="s">
        <v>432</v>
      </c>
      <c r="B27" t="s">
        <v>528</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I27">
        <v>0</v>
      </c>
    </row>
    <row r="28" spans="1:35">
      <c r="A28" t="s">
        <v>432</v>
      </c>
      <c r="B28" t="s">
        <v>662</v>
      </c>
      <c r="C28">
        <v>0</v>
      </c>
      <c r="D28">
        <v>0</v>
      </c>
      <c r="E28">
        <v>0</v>
      </c>
      <c r="F28">
        <v>0</v>
      </c>
      <c r="G28">
        <v>0</v>
      </c>
      <c r="H28">
        <v>0</v>
      </c>
      <c r="I28">
        <v>0</v>
      </c>
      <c r="J28">
        <v>0</v>
      </c>
      <c r="K28">
        <v>0</v>
      </c>
      <c r="L28">
        <v>0</v>
      </c>
      <c r="M28">
        <v>0</v>
      </c>
      <c r="N28">
        <v>0</v>
      </c>
      <c r="O28">
        <v>0</v>
      </c>
      <c r="P28">
        <v>0</v>
      </c>
      <c r="Q28">
        <v>0</v>
      </c>
      <c r="R28">
        <v>0</v>
      </c>
      <c r="S28">
        <v>0</v>
      </c>
      <c r="T28">
        <v>0</v>
      </c>
      <c r="U28">
        <v>0</v>
      </c>
      <c r="V28">
        <v>0</v>
      </c>
      <c r="W28">
        <v>0</v>
      </c>
      <c r="AI28">
        <v>0</v>
      </c>
    </row>
    <row r="29" spans="1:35">
      <c r="A29" t="s">
        <v>434</v>
      </c>
      <c r="B29" t="s">
        <v>550</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4</v>
      </c>
      <c r="Y29">
        <v>4</v>
      </c>
      <c r="Z29">
        <v>4.5</v>
      </c>
      <c r="AA29">
        <v>20.5</v>
      </c>
      <c r="AB29">
        <v>-16</v>
      </c>
      <c r="AC29">
        <v>20</v>
      </c>
      <c r="AD29">
        <v>4</v>
      </c>
      <c r="AE29">
        <v>4</v>
      </c>
      <c r="AF29">
        <v>4</v>
      </c>
      <c r="AI29">
        <v>0</v>
      </c>
    </row>
    <row r="30" spans="1:35">
      <c r="A30" t="s">
        <v>434</v>
      </c>
      <c r="B30" t="s">
        <v>665</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AI30">
        <v>0</v>
      </c>
    </row>
    <row r="31" spans="1:35">
      <c r="A31" t="s">
        <v>434</v>
      </c>
      <c r="B31" t="s">
        <v>552</v>
      </c>
      <c r="C31">
        <v>0</v>
      </c>
      <c r="D31">
        <v>0</v>
      </c>
      <c r="E31">
        <v>0</v>
      </c>
      <c r="F31">
        <v>0</v>
      </c>
      <c r="G31">
        <v>0</v>
      </c>
      <c r="H31">
        <v>0</v>
      </c>
      <c r="I31">
        <v>0</v>
      </c>
      <c r="J31">
        <v>0</v>
      </c>
      <c r="K31">
        <v>0</v>
      </c>
      <c r="L31">
        <v>0</v>
      </c>
      <c r="M31">
        <v>0</v>
      </c>
      <c r="N31">
        <v>0</v>
      </c>
      <c r="O31">
        <v>0</v>
      </c>
      <c r="P31">
        <v>0</v>
      </c>
      <c r="Q31">
        <v>0</v>
      </c>
      <c r="R31">
        <v>0</v>
      </c>
      <c r="S31">
        <v>0</v>
      </c>
      <c r="T31">
        <v>0</v>
      </c>
      <c r="U31">
        <v>0</v>
      </c>
      <c r="V31">
        <v>0</v>
      </c>
      <c r="W31">
        <v>0</v>
      </c>
      <c r="X31">
        <v>5</v>
      </c>
      <c r="Y31">
        <v>0</v>
      </c>
      <c r="Z31">
        <v>5</v>
      </c>
      <c r="AA31">
        <v>5</v>
      </c>
      <c r="AB31">
        <v>0</v>
      </c>
      <c r="AC31">
        <v>5</v>
      </c>
      <c r="AD31">
        <v>0</v>
      </c>
      <c r="AI31">
        <v>0</v>
      </c>
    </row>
    <row r="32" spans="1:35">
      <c r="A32" t="s">
        <v>434</v>
      </c>
      <c r="B32" t="s">
        <v>553</v>
      </c>
      <c r="C32">
        <v>0</v>
      </c>
      <c r="D32">
        <v>0</v>
      </c>
      <c r="E32">
        <v>0</v>
      </c>
      <c r="F32">
        <v>0</v>
      </c>
      <c r="G32">
        <v>0</v>
      </c>
      <c r="H32">
        <v>0</v>
      </c>
      <c r="I32">
        <v>0</v>
      </c>
      <c r="J32">
        <v>0</v>
      </c>
      <c r="K32">
        <v>0</v>
      </c>
      <c r="L32">
        <v>0</v>
      </c>
      <c r="M32">
        <v>0</v>
      </c>
      <c r="N32">
        <v>0</v>
      </c>
      <c r="O32">
        <v>0</v>
      </c>
      <c r="P32">
        <v>0</v>
      </c>
      <c r="Q32">
        <v>0</v>
      </c>
      <c r="R32">
        <v>0</v>
      </c>
      <c r="S32">
        <v>0</v>
      </c>
      <c r="T32">
        <v>0</v>
      </c>
      <c r="U32">
        <v>0</v>
      </c>
      <c r="V32">
        <v>0</v>
      </c>
      <c r="W32">
        <v>0</v>
      </c>
      <c r="X32">
        <v>27</v>
      </c>
      <c r="Y32">
        <v>0</v>
      </c>
      <c r="Z32">
        <v>27</v>
      </c>
      <c r="AA32">
        <v>27</v>
      </c>
      <c r="AB32">
        <v>0</v>
      </c>
      <c r="AC32">
        <v>27</v>
      </c>
      <c r="AD32">
        <v>0</v>
      </c>
      <c r="AI32">
        <v>0</v>
      </c>
    </row>
    <row r="33" spans="1:35">
      <c r="A33" t="s">
        <v>434</v>
      </c>
      <c r="B33" t="s">
        <v>554</v>
      </c>
      <c r="C33">
        <v>0</v>
      </c>
      <c r="D33">
        <v>0</v>
      </c>
      <c r="E33">
        <v>8</v>
      </c>
      <c r="F33">
        <v>4</v>
      </c>
      <c r="G33">
        <v>8.5</v>
      </c>
      <c r="H33">
        <v>0</v>
      </c>
      <c r="I33">
        <v>0</v>
      </c>
      <c r="J33">
        <v>0</v>
      </c>
      <c r="K33">
        <v>0</v>
      </c>
      <c r="L33">
        <v>0</v>
      </c>
      <c r="M33">
        <v>0</v>
      </c>
      <c r="N33">
        <v>0</v>
      </c>
      <c r="O33">
        <v>0</v>
      </c>
      <c r="P33">
        <v>0</v>
      </c>
      <c r="Q33">
        <v>0</v>
      </c>
      <c r="R33">
        <v>0</v>
      </c>
      <c r="S33">
        <v>0</v>
      </c>
      <c r="T33">
        <v>0</v>
      </c>
      <c r="U33">
        <v>0</v>
      </c>
      <c r="V33">
        <v>0</v>
      </c>
      <c r="W33">
        <v>0</v>
      </c>
      <c r="X33">
        <v>8</v>
      </c>
      <c r="Y33">
        <v>4</v>
      </c>
      <c r="Z33">
        <v>8.5</v>
      </c>
      <c r="AA33">
        <v>8.5</v>
      </c>
      <c r="AB33">
        <v>0</v>
      </c>
      <c r="AC33">
        <v>8</v>
      </c>
      <c r="AD33">
        <v>4</v>
      </c>
      <c r="AI33">
        <v>0</v>
      </c>
    </row>
    <row r="34" spans="1:35">
      <c r="A34" t="s">
        <v>434</v>
      </c>
      <c r="B34" t="s">
        <v>536</v>
      </c>
      <c r="C34">
        <v>0</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4</v>
      </c>
      <c r="Z34">
        <v>0.5</v>
      </c>
      <c r="AA34">
        <v>0.5</v>
      </c>
      <c r="AB34">
        <v>0</v>
      </c>
      <c r="AC34">
        <v>0</v>
      </c>
      <c r="AD34">
        <v>4</v>
      </c>
      <c r="AI34">
        <v>0</v>
      </c>
    </row>
    <row r="35" spans="1:35">
      <c r="A35" t="s">
        <v>434</v>
      </c>
      <c r="B35" t="s">
        <v>666</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AI35">
        <v>0</v>
      </c>
    </row>
    <row r="36" spans="1:35">
      <c r="A36" t="s">
        <v>434</v>
      </c>
      <c r="B36" t="s">
        <v>667</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AI36">
        <v>0</v>
      </c>
    </row>
    <row r="37" spans="1:35">
      <c r="A37" t="s">
        <v>434</v>
      </c>
      <c r="B37" t="s">
        <v>558</v>
      </c>
      <c r="C37">
        <v>0</v>
      </c>
      <c r="D37">
        <v>0</v>
      </c>
      <c r="E37">
        <v>0</v>
      </c>
      <c r="F37">
        <v>0</v>
      </c>
      <c r="G37">
        <v>0</v>
      </c>
      <c r="H37">
        <v>0</v>
      </c>
      <c r="I37">
        <v>0</v>
      </c>
      <c r="J37">
        <v>0</v>
      </c>
      <c r="K37">
        <v>0</v>
      </c>
      <c r="L37">
        <v>0</v>
      </c>
      <c r="M37">
        <v>0</v>
      </c>
      <c r="N37">
        <v>2</v>
      </c>
      <c r="O37">
        <v>0</v>
      </c>
      <c r="P37">
        <v>2</v>
      </c>
      <c r="Q37">
        <v>0</v>
      </c>
      <c r="R37">
        <v>0</v>
      </c>
      <c r="S37">
        <v>0</v>
      </c>
      <c r="T37">
        <v>0</v>
      </c>
      <c r="U37">
        <v>0</v>
      </c>
      <c r="V37">
        <v>0</v>
      </c>
      <c r="W37">
        <v>0</v>
      </c>
      <c r="X37">
        <v>2</v>
      </c>
      <c r="Y37">
        <v>0</v>
      </c>
      <c r="Z37">
        <v>2</v>
      </c>
      <c r="AA37">
        <v>2</v>
      </c>
      <c r="AB37">
        <v>0</v>
      </c>
      <c r="AC37">
        <v>2</v>
      </c>
      <c r="AD37">
        <v>0</v>
      </c>
      <c r="AI37">
        <v>0</v>
      </c>
    </row>
    <row r="38" spans="1:35">
      <c r="A38" t="s">
        <v>434</v>
      </c>
      <c r="B38" t="s">
        <v>559</v>
      </c>
      <c r="C38">
        <v>0</v>
      </c>
      <c r="D38">
        <v>0</v>
      </c>
      <c r="E38">
        <v>0</v>
      </c>
      <c r="F38">
        <v>0</v>
      </c>
      <c r="G38">
        <v>0</v>
      </c>
      <c r="H38">
        <v>0</v>
      </c>
      <c r="I38">
        <v>0</v>
      </c>
      <c r="J38">
        <v>0</v>
      </c>
      <c r="K38">
        <v>0</v>
      </c>
      <c r="L38">
        <v>0</v>
      </c>
      <c r="M38">
        <v>0</v>
      </c>
      <c r="N38">
        <v>0</v>
      </c>
      <c r="O38">
        <v>0</v>
      </c>
      <c r="P38">
        <v>0</v>
      </c>
      <c r="Q38">
        <v>8</v>
      </c>
      <c r="R38">
        <v>4</v>
      </c>
      <c r="S38">
        <v>8.5</v>
      </c>
      <c r="T38">
        <v>0</v>
      </c>
      <c r="U38">
        <v>0</v>
      </c>
      <c r="V38">
        <v>0</v>
      </c>
      <c r="W38">
        <v>0</v>
      </c>
      <c r="X38">
        <v>8</v>
      </c>
      <c r="Y38">
        <v>4</v>
      </c>
      <c r="Z38">
        <v>8.5</v>
      </c>
      <c r="AA38">
        <v>8.5</v>
      </c>
      <c r="AB38">
        <v>0</v>
      </c>
      <c r="AC38">
        <v>8</v>
      </c>
      <c r="AD38">
        <v>4</v>
      </c>
      <c r="AI38">
        <v>0</v>
      </c>
    </row>
    <row r="39" spans="1:35">
      <c r="A39" t="s">
        <v>434</v>
      </c>
      <c r="B39" t="s">
        <v>560</v>
      </c>
      <c r="C39">
        <v>0</v>
      </c>
      <c r="D39">
        <v>0</v>
      </c>
      <c r="E39">
        <v>0</v>
      </c>
      <c r="F39">
        <v>0</v>
      </c>
      <c r="G39">
        <v>0</v>
      </c>
      <c r="H39">
        <v>0</v>
      </c>
      <c r="I39">
        <v>0</v>
      </c>
      <c r="J39">
        <v>0</v>
      </c>
      <c r="K39">
        <v>0</v>
      </c>
      <c r="L39">
        <v>0</v>
      </c>
      <c r="M39">
        <v>0</v>
      </c>
      <c r="N39">
        <v>0</v>
      </c>
      <c r="O39">
        <v>0</v>
      </c>
      <c r="P39">
        <v>0</v>
      </c>
      <c r="Q39">
        <v>5</v>
      </c>
      <c r="R39">
        <v>0</v>
      </c>
      <c r="S39">
        <v>5</v>
      </c>
      <c r="T39">
        <v>0</v>
      </c>
      <c r="U39">
        <v>0</v>
      </c>
      <c r="V39">
        <v>0</v>
      </c>
      <c r="W39">
        <v>0</v>
      </c>
      <c r="X39">
        <v>5</v>
      </c>
      <c r="Y39">
        <v>0</v>
      </c>
      <c r="Z39">
        <v>5</v>
      </c>
      <c r="AA39">
        <v>5</v>
      </c>
      <c r="AB39">
        <v>0</v>
      </c>
      <c r="AC39">
        <v>5</v>
      </c>
      <c r="AD39">
        <v>0</v>
      </c>
      <c r="AI39">
        <v>0</v>
      </c>
    </row>
    <row r="40" spans="1:35">
      <c r="A40" t="s">
        <v>434</v>
      </c>
      <c r="B40" t="s">
        <v>527</v>
      </c>
      <c r="C40">
        <v>0</v>
      </c>
      <c r="D40">
        <v>0</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I40">
        <v>0</v>
      </c>
    </row>
    <row r="41" spans="1:35">
      <c r="A41" t="s">
        <v>434</v>
      </c>
      <c r="B41" t="s">
        <v>528</v>
      </c>
      <c r="C41">
        <v>0</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I41">
        <v>0</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Q17"/>
  <sheetViews>
    <sheetView workbookViewId="0"/>
  </sheetViews>
  <sheetFormatPr defaultRowHeight="14.5"/>
  <sheetData>
    <row r="1" spans="1:17">
      <c r="A1" t="s">
        <v>668</v>
      </c>
      <c r="B1" t="s">
        <v>669</v>
      </c>
      <c r="C1" t="s">
        <v>655</v>
      </c>
      <c r="D1" t="s">
        <v>656</v>
      </c>
      <c r="E1" t="s">
        <v>657</v>
      </c>
      <c r="F1" t="s">
        <v>643</v>
      </c>
      <c r="G1" t="s">
        <v>644</v>
      </c>
      <c r="H1" t="s">
        <v>661</v>
      </c>
      <c r="I1" t="s">
        <v>652</v>
      </c>
      <c r="J1" t="s">
        <v>653</v>
      </c>
      <c r="K1" t="s">
        <v>654</v>
      </c>
      <c r="L1" t="s">
        <v>670</v>
      </c>
      <c r="M1" t="s">
        <v>671</v>
      </c>
      <c r="N1" t="s">
        <v>672</v>
      </c>
      <c r="O1" t="s">
        <v>673</v>
      </c>
      <c r="P1" t="s">
        <v>674</v>
      </c>
      <c r="Q1" t="s">
        <v>675</v>
      </c>
    </row>
    <row r="2" spans="1:17">
      <c r="A2" t="s">
        <v>505</v>
      </c>
      <c r="B2">
        <v>0</v>
      </c>
      <c r="C2">
        <v>0</v>
      </c>
      <c r="D2">
        <v>0</v>
      </c>
      <c r="E2">
        <v>0</v>
      </c>
      <c r="F2">
        <v>0</v>
      </c>
      <c r="G2">
        <v>0</v>
      </c>
      <c r="H2">
        <v>0</v>
      </c>
      <c r="I2">
        <v>0</v>
      </c>
      <c r="J2">
        <v>0</v>
      </c>
      <c r="K2">
        <v>0</v>
      </c>
      <c r="L2">
        <v>0</v>
      </c>
      <c r="M2">
        <v>0</v>
      </c>
    </row>
    <row r="3" spans="1:17">
      <c r="A3" t="s">
        <v>430</v>
      </c>
      <c r="B3">
        <v>0</v>
      </c>
      <c r="C3">
        <v>22</v>
      </c>
      <c r="D3">
        <v>7</v>
      </c>
      <c r="E3">
        <v>22.88</v>
      </c>
      <c r="F3">
        <v>0</v>
      </c>
      <c r="G3">
        <v>0</v>
      </c>
      <c r="H3">
        <v>0</v>
      </c>
      <c r="I3">
        <v>16</v>
      </c>
      <c r="J3">
        <v>7.5</v>
      </c>
      <c r="K3">
        <v>16.88</v>
      </c>
      <c r="L3">
        <v>22.88</v>
      </c>
      <c r="M3">
        <v>6</v>
      </c>
      <c r="N3">
        <v>0.5</v>
      </c>
      <c r="O3">
        <v>0.5</v>
      </c>
      <c r="P3">
        <v>11.44</v>
      </c>
      <c r="Q3">
        <v>11.44</v>
      </c>
    </row>
    <row r="4" spans="1:17">
      <c r="A4" t="s">
        <v>529</v>
      </c>
      <c r="B4">
        <v>0</v>
      </c>
      <c r="C4">
        <v>0</v>
      </c>
      <c r="D4">
        <v>0</v>
      </c>
      <c r="E4">
        <v>0</v>
      </c>
      <c r="F4">
        <v>0</v>
      </c>
      <c r="G4">
        <v>0</v>
      </c>
      <c r="H4">
        <v>0</v>
      </c>
      <c r="I4">
        <v>0</v>
      </c>
      <c r="J4">
        <v>0</v>
      </c>
      <c r="K4">
        <v>0</v>
      </c>
      <c r="L4">
        <v>0</v>
      </c>
      <c r="M4">
        <v>0</v>
      </c>
    </row>
    <row r="5" spans="1:17">
      <c r="A5" t="s">
        <v>432</v>
      </c>
      <c r="B5">
        <v>0</v>
      </c>
      <c r="C5">
        <v>23</v>
      </c>
      <c r="D5">
        <v>4</v>
      </c>
      <c r="E5">
        <v>23.5</v>
      </c>
      <c r="F5">
        <v>0</v>
      </c>
      <c r="G5">
        <v>0</v>
      </c>
      <c r="H5">
        <v>0</v>
      </c>
      <c r="I5">
        <v>4</v>
      </c>
      <c r="J5">
        <v>4</v>
      </c>
      <c r="K5">
        <v>4.5</v>
      </c>
      <c r="L5">
        <v>23.5</v>
      </c>
      <c r="M5">
        <v>19</v>
      </c>
      <c r="N5">
        <v>0.3</v>
      </c>
      <c r="O5">
        <v>0.3</v>
      </c>
      <c r="P5">
        <v>7.05</v>
      </c>
      <c r="Q5">
        <v>7.05</v>
      </c>
    </row>
    <row r="6" spans="1:17">
      <c r="A6" t="s">
        <v>434</v>
      </c>
      <c r="B6">
        <v>0</v>
      </c>
      <c r="C6">
        <v>0</v>
      </c>
      <c r="D6">
        <v>0</v>
      </c>
      <c r="E6">
        <v>0</v>
      </c>
      <c r="F6">
        <v>0</v>
      </c>
      <c r="G6">
        <v>0</v>
      </c>
      <c r="H6">
        <v>0</v>
      </c>
      <c r="I6">
        <v>8</v>
      </c>
      <c r="J6">
        <v>4</v>
      </c>
      <c r="K6">
        <v>8.5</v>
      </c>
      <c r="L6">
        <v>0</v>
      </c>
      <c r="M6">
        <v>-8.5</v>
      </c>
      <c r="N6">
        <v>0.17</v>
      </c>
      <c r="O6">
        <v>0.17</v>
      </c>
      <c r="P6">
        <v>0</v>
      </c>
      <c r="Q6">
        <v>0</v>
      </c>
    </row>
    <row r="7" spans="1:17">
      <c r="A7" t="s">
        <v>676</v>
      </c>
      <c r="B7">
        <v>0</v>
      </c>
      <c r="C7">
        <v>0</v>
      </c>
      <c r="D7">
        <v>0</v>
      </c>
      <c r="E7">
        <v>0</v>
      </c>
      <c r="F7">
        <v>0</v>
      </c>
      <c r="G7">
        <v>0</v>
      </c>
      <c r="H7">
        <v>0</v>
      </c>
      <c r="I7">
        <v>0</v>
      </c>
      <c r="J7">
        <v>0</v>
      </c>
      <c r="K7">
        <v>0</v>
      </c>
      <c r="L7">
        <v>0</v>
      </c>
      <c r="M7">
        <v>0</v>
      </c>
    </row>
    <row r="8" spans="1:17">
      <c r="A8" t="s">
        <v>80</v>
      </c>
      <c r="B8">
        <v>0</v>
      </c>
      <c r="C8">
        <v>0</v>
      </c>
      <c r="D8">
        <v>0</v>
      </c>
      <c r="E8">
        <v>0</v>
      </c>
      <c r="F8">
        <v>0</v>
      </c>
      <c r="G8">
        <v>0</v>
      </c>
      <c r="H8">
        <v>0</v>
      </c>
      <c r="I8">
        <v>0</v>
      </c>
      <c r="J8">
        <v>0</v>
      </c>
      <c r="K8">
        <v>0</v>
      </c>
      <c r="L8">
        <v>0</v>
      </c>
      <c r="M8">
        <v>0</v>
      </c>
    </row>
    <row r="9" spans="1:17">
      <c r="A9" t="s">
        <v>677</v>
      </c>
      <c r="B9">
        <v>0</v>
      </c>
      <c r="C9">
        <v>0</v>
      </c>
      <c r="D9">
        <v>0</v>
      </c>
      <c r="E9">
        <v>0</v>
      </c>
      <c r="F9">
        <v>0</v>
      </c>
      <c r="G9">
        <v>0</v>
      </c>
      <c r="H9">
        <v>0</v>
      </c>
      <c r="I9">
        <v>0</v>
      </c>
      <c r="J9">
        <v>0</v>
      </c>
      <c r="K9">
        <v>0</v>
      </c>
      <c r="L9">
        <v>0</v>
      </c>
      <c r="M9">
        <v>0</v>
      </c>
    </row>
    <row r="10" spans="1:17">
      <c r="A10" t="s">
        <v>678</v>
      </c>
      <c r="B10">
        <v>0</v>
      </c>
      <c r="C10">
        <v>0</v>
      </c>
      <c r="D10">
        <v>0</v>
      </c>
      <c r="E10">
        <v>0</v>
      </c>
      <c r="F10">
        <v>0</v>
      </c>
      <c r="G10">
        <v>0</v>
      </c>
      <c r="H10">
        <v>0</v>
      </c>
      <c r="I10">
        <v>0</v>
      </c>
      <c r="J10">
        <v>0</v>
      </c>
      <c r="K10">
        <v>0</v>
      </c>
      <c r="L10">
        <v>0</v>
      </c>
      <c r="M10">
        <v>0</v>
      </c>
    </row>
    <row r="11" spans="1:17">
      <c r="A11" t="s">
        <v>70</v>
      </c>
      <c r="B11">
        <v>0</v>
      </c>
      <c r="C11">
        <v>0</v>
      </c>
      <c r="D11">
        <v>0</v>
      </c>
      <c r="E11">
        <v>0</v>
      </c>
      <c r="F11">
        <v>0</v>
      </c>
      <c r="G11">
        <v>0</v>
      </c>
      <c r="H11">
        <v>0</v>
      </c>
      <c r="I11">
        <v>0</v>
      </c>
      <c r="J11">
        <v>0</v>
      </c>
      <c r="K11">
        <v>0</v>
      </c>
      <c r="L11">
        <v>0</v>
      </c>
      <c r="M11">
        <v>0</v>
      </c>
    </row>
    <row r="12" spans="1:17">
      <c r="A12" t="s">
        <v>77</v>
      </c>
      <c r="B12">
        <v>0</v>
      </c>
      <c r="C12">
        <v>0</v>
      </c>
      <c r="D12">
        <v>0</v>
      </c>
      <c r="E12">
        <v>0</v>
      </c>
      <c r="F12">
        <v>0</v>
      </c>
      <c r="G12">
        <v>0</v>
      </c>
      <c r="H12">
        <v>0</v>
      </c>
      <c r="I12">
        <v>0</v>
      </c>
      <c r="J12">
        <v>0</v>
      </c>
      <c r="K12">
        <v>0</v>
      </c>
      <c r="L12">
        <v>0</v>
      </c>
      <c r="M12">
        <v>0</v>
      </c>
    </row>
    <row r="13" spans="1:17">
      <c r="A13" t="s">
        <v>71</v>
      </c>
      <c r="B13">
        <v>0</v>
      </c>
      <c r="C13">
        <v>0</v>
      </c>
      <c r="D13">
        <v>0</v>
      </c>
      <c r="E13">
        <v>0</v>
      </c>
      <c r="F13">
        <v>0</v>
      </c>
      <c r="G13">
        <v>0</v>
      </c>
      <c r="H13">
        <v>0</v>
      </c>
      <c r="I13">
        <v>0</v>
      </c>
      <c r="J13">
        <v>0</v>
      </c>
      <c r="K13">
        <v>0</v>
      </c>
      <c r="L13">
        <v>0</v>
      </c>
      <c r="M13">
        <v>0</v>
      </c>
    </row>
    <row r="14" spans="1:17">
      <c r="A14" t="s">
        <v>64</v>
      </c>
      <c r="B14">
        <v>0</v>
      </c>
      <c r="C14">
        <v>0</v>
      </c>
      <c r="D14">
        <v>0</v>
      </c>
      <c r="E14">
        <v>0</v>
      </c>
      <c r="F14">
        <v>0</v>
      </c>
      <c r="G14">
        <v>0</v>
      </c>
      <c r="H14">
        <v>0</v>
      </c>
      <c r="I14">
        <v>0</v>
      </c>
      <c r="J14">
        <v>0</v>
      </c>
      <c r="K14">
        <v>0</v>
      </c>
      <c r="L14">
        <v>0</v>
      </c>
      <c r="M14">
        <v>0</v>
      </c>
    </row>
    <row r="15" spans="1:17">
      <c r="A15" t="s">
        <v>65</v>
      </c>
      <c r="B15">
        <v>0</v>
      </c>
      <c r="C15">
        <v>0</v>
      </c>
      <c r="D15">
        <v>0</v>
      </c>
      <c r="E15">
        <v>0</v>
      </c>
      <c r="F15">
        <v>0</v>
      </c>
      <c r="G15">
        <v>0</v>
      </c>
      <c r="H15">
        <v>0</v>
      </c>
      <c r="I15">
        <v>0</v>
      </c>
      <c r="J15">
        <v>0</v>
      </c>
      <c r="K15">
        <v>0</v>
      </c>
      <c r="L15">
        <v>0</v>
      </c>
      <c r="M15">
        <v>0</v>
      </c>
    </row>
    <row r="16" spans="1:17">
      <c r="A16" t="s">
        <v>679</v>
      </c>
      <c r="B16">
        <v>0</v>
      </c>
      <c r="C16">
        <v>0</v>
      </c>
      <c r="D16">
        <v>0</v>
      </c>
      <c r="E16">
        <v>0</v>
      </c>
      <c r="F16">
        <v>0</v>
      </c>
      <c r="G16">
        <v>0</v>
      </c>
      <c r="H16">
        <v>0</v>
      </c>
      <c r="I16">
        <v>0</v>
      </c>
      <c r="J16">
        <v>0</v>
      </c>
      <c r="K16">
        <v>0</v>
      </c>
      <c r="L16">
        <v>0</v>
      </c>
      <c r="M16">
        <v>0</v>
      </c>
    </row>
    <row r="17" spans="1:13">
      <c r="A17" t="s">
        <v>680</v>
      </c>
      <c r="B17">
        <v>0</v>
      </c>
      <c r="C17">
        <v>0</v>
      </c>
      <c r="D17">
        <v>0</v>
      </c>
      <c r="E17">
        <v>0</v>
      </c>
      <c r="F17">
        <v>0</v>
      </c>
      <c r="G17">
        <v>0</v>
      </c>
      <c r="H17">
        <v>0</v>
      </c>
      <c r="I17">
        <v>0</v>
      </c>
      <c r="J17">
        <v>0</v>
      </c>
      <c r="K17">
        <v>0</v>
      </c>
      <c r="L17">
        <v>0</v>
      </c>
      <c r="M17">
        <v>0</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H5"/>
  <sheetViews>
    <sheetView workbookViewId="0"/>
  </sheetViews>
  <sheetFormatPr defaultRowHeight="14.5"/>
  <sheetData>
    <row r="1" spans="1:34">
      <c r="A1" t="s">
        <v>166</v>
      </c>
      <c r="B1" t="s">
        <v>239</v>
      </c>
      <c r="C1" t="s">
        <v>356</v>
      </c>
      <c r="D1" t="s">
        <v>357</v>
      </c>
      <c r="E1" t="s">
        <v>358</v>
      </c>
      <c r="F1" t="s">
        <v>359</v>
      </c>
      <c r="G1" t="s">
        <v>360</v>
      </c>
      <c r="H1" t="s">
        <v>361</v>
      </c>
      <c r="I1" t="s">
        <v>362</v>
      </c>
      <c r="J1" t="s">
        <v>363</v>
      </c>
      <c r="K1" t="s">
        <v>364</v>
      </c>
      <c r="L1" t="s">
        <v>365</v>
      </c>
      <c r="M1" t="s">
        <v>681</v>
      </c>
      <c r="N1" t="s">
        <v>682</v>
      </c>
      <c r="O1" t="s">
        <v>372</v>
      </c>
      <c r="P1" t="s">
        <v>373</v>
      </c>
      <c r="Q1" t="s">
        <v>366</v>
      </c>
      <c r="R1" t="s">
        <v>367</v>
      </c>
      <c r="S1" t="s">
        <v>374</v>
      </c>
      <c r="T1" t="s">
        <v>375</v>
      </c>
      <c r="U1" t="s">
        <v>368</v>
      </c>
      <c r="V1" t="s">
        <v>369</v>
      </c>
      <c r="W1" t="s">
        <v>376</v>
      </c>
      <c r="X1" t="s">
        <v>377</v>
      </c>
      <c r="Y1" t="s">
        <v>378</v>
      </c>
      <c r="Z1" t="s">
        <v>379</v>
      </c>
      <c r="AA1" t="s">
        <v>683</v>
      </c>
      <c r="AB1" t="s">
        <v>684</v>
      </c>
      <c r="AC1" t="s">
        <v>685</v>
      </c>
      <c r="AD1" t="s">
        <v>686</v>
      </c>
      <c r="AE1" t="s">
        <v>687</v>
      </c>
      <c r="AF1" t="s">
        <v>672</v>
      </c>
      <c r="AG1" t="s">
        <v>673</v>
      </c>
      <c r="AH1" t="s">
        <v>688</v>
      </c>
    </row>
    <row r="2" spans="1:34">
      <c r="A2" t="s">
        <v>428</v>
      </c>
      <c r="B2" t="s">
        <v>429</v>
      </c>
      <c r="C2">
        <v>8.34</v>
      </c>
      <c r="D2">
        <v>8</v>
      </c>
      <c r="E2">
        <v>6</v>
      </c>
      <c r="F2">
        <v>9</v>
      </c>
      <c r="G2" t="s">
        <v>430</v>
      </c>
      <c r="H2">
        <v>16</v>
      </c>
      <c r="I2">
        <v>7</v>
      </c>
      <c r="J2">
        <v>16.88</v>
      </c>
      <c r="K2">
        <v>16.88</v>
      </c>
      <c r="L2">
        <v>0</v>
      </c>
      <c r="M2">
        <v>16</v>
      </c>
      <c r="N2">
        <v>7</v>
      </c>
      <c r="O2">
        <v>10</v>
      </c>
      <c r="P2">
        <v>0</v>
      </c>
      <c r="Q2">
        <v>1</v>
      </c>
      <c r="R2">
        <v>0</v>
      </c>
      <c r="U2">
        <v>15</v>
      </c>
      <c r="V2">
        <v>7</v>
      </c>
      <c r="AA2">
        <v>0.5</v>
      </c>
      <c r="AE2">
        <v>16.88</v>
      </c>
      <c r="AF2">
        <v>0.5</v>
      </c>
      <c r="AG2">
        <v>0.5</v>
      </c>
      <c r="AH2" t="s">
        <v>430</v>
      </c>
    </row>
    <row r="3" spans="1:34">
      <c r="A3" t="s">
        <v>428</v>
      </c>
      <c r="B3" t="s">
        <v>431</v>
      </c>
      <c r="C3">
        <v>0.66</v>
      </c>
      <c r="D3">
        <v>0</v>
      </c>
      <c r="E3">
        <v>13</v>
      </c>
      <c r="F3">
        <v>1.5</v>
      </c>
      <c r="G3" t="s">
        <v>432</v>
      </c>
      <c r="H3">
        <v>2</v>
      </c>
      <c r="I3">
        <v>1.5</v>
      </c>
      <c r="J3">
        <v>2.19</v>
      </c>
      <c r="K3">
        <v>2.19</v>
      </c>
      <c r="L3">
        <v>0</v>
      </c>
      <c r="M3">
        <v>2</v>
      </c>
      <c r="N3">
        <v>1.5</v>
      </c>
      <c r="O3">
        <v>6</v>
      </c>
      <c r="P3">
        <v>0</v>
      </c>
      <c r="AA3">
        <v>0.3</v>
      </c>
      <c r="AE3">
        <v>2.19</v>
      </c>
      <c r="AF3">
        <v>0.3</v>
      </c>
      <c r="AG3">
        <v>0.3</v>
      </c>
      <c r="AH3" t="s">
        <v>432</v>
      </c>
    </row>
    <row r="4" spans="1:34">
      <c r="A4" t="s">
        <v>428</v>
      </c>
      <c r="B4" t="s">
        <v>433</v>
      </c>
      <c r="C4">
        <v>1.42</v>
      </c>
      <c r="D4">
        <v>1</v>
      </c>
      <c r="E4">
        <v>8</v>
      </c>
      <c r="F4">
        <v>4</v>
      </c>
      <c r="G4" t="s">
        <v>434</v>
      </c>
      <c r="H4">
        <v>8</v>
      </c>
      <c r="I4">
        <v>4</v>
      </c>
      <c r="J4">
        <v>8.5</v>
      </c>
      <c r="K4">
        <v>8.5</v>
      </c>
      <c r="L4">
        <v>0</v>
      </c>
      <c r="M4">
        <v>8</v>
      </c>
      <c r="N4">
        <v>4</v>
      </c>
      <c r="O4">
        <v>3</v>
      </c>
      <c r="P4">
        <v>4</v>
      </c>
      <c r="AA4">
        <v>0.17</v>
      </c>
      <c r="AE4">
        <v>8.5</v>
      </c>
      <c r="AF4">
        <v>0.17</v>
      </c>
      <c r="AG4">
        <v>0.17</v>
      </c>
      <c r="AH4" t="s">
        <v>434</v>
      </c>
    </row>
    <row r="5" spans="1:34">
      <c r="A5" t="s">
        <v>428</v>
      </c>
      <c r="B5" t="s">
        <v>435</v>
      </c>
      <c r="C5">
        <v>10.41</v>
      </c>
      <c r="D5">
        <v>10</v>
      </c>
      <c r="E5">
        <v>8</v>
      </c>
      <c r="F5">
        <v>2.5</v>
      </c>
      <c r="H5">
        <v>0</v>
      </c>
      <c r="I5">
        <v>0</v>
      </c>
      <c r="J5">
        <v>0</v>
      </c>
      <c r="K5">
        <v>0</v>
      </c>
      <c r="L5">
        <v>0</v>
      </c>
      <c r="M5">
        <v>0</v>
      </c>
      <c r="N5">
        <v>0</v>
      </c>
      <c r="AA5" t="s">
        <v>689</v>
      </c>
      <c r="AE5">
        <v>0</v>
      </c>
      <c r="AF5" t="s">
        <v>689</v>
      </c>
      <c r="AG5" t="s">
        <v>689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Overview</vt:lpstr>
      <vt:lpstr>Receipts</vt:lpstr>
      <vt:lpstr>Expenses</vt:lpstr>
      <vt:lpstr>Stock</vt:lpstr>
      <vt:lpstr>raw data</vt:lpstr>
      <vt:lpstr>Stock_raw</vt:lpstr>
      <vt:lpstr>Issues of the Mills</vt:lpstr>
      <vt:lpstr>Prices</vt:lpstr>
      <vt:lpstr>Labour Rents</vt:lpstr>
      <vt:lpstr>not needed</vt:lpstr>
      <vt:lpstr>Issues of the Grange raw</vt:lpstr>
      <vt:lpstr>Issues of the Grange</vt:lpstr>
      <vt:lpstr>Sale of Corn Prices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Kowalski, Kuba</cp:lastModifiedBy>
  <dcterms:created xsi:type="dcterms:W3CDTF">2024-09-06T15:22:17Z</dcterms:created>
  <dcterms:modified xsi:type="dcterms:W3CDTF">2026-02-04T22:05:00Z</dcterms:modified>
</cp:coreProperties>
</file>
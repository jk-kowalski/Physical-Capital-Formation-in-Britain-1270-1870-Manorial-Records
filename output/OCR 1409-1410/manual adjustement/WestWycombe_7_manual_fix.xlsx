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520" yWindow="5790" windowWidth="38640" windowHeight="21120" tabRatio="600" firstSheet="0" activeTab="0" autoFilterDateGrouping="1"/>
  </bookViews>
  <sheets>
    <sheet xmlns:r="http://schemas.openxmlformats.org/officeDocument/2006/relationships" name="Overview"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Stock" sheetId="4" state="visible" r:id="rId4"/>
    <sheet xmlns:r="http://schemas.openxmlformats.org/officeDocument/2006/relationships" name="raw data" sheetId="5" state="visible" r:id="rId5"/>
    <sheet xmlns:r="http://schemas.openxmlformats.org/officeDocument/2006/relationships" name="Stock_raw" sheetId="6" state="visible" r:id="rId6"/>
    <sheet xmlns:r="http://schemas.openxmlformats.org/officeDocument/2006/relationships" name="Issues of the Mills"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 xmlns:r="http://schemas.openxmlformats.org/officeDocument/2006/relationships" name="Issues of the Grange raw" sheetId="11" state="visible" r:id="rId11"/>
    <sheet xmlns:r="http://schemas.openxmlformats.org/officeDocument/2006/relationships" name="Issues of the Grange" sheetId="12" state="visible" r:id="rId12"/>
    <sheet xmlns:r="http://schemas.openxmlformats.org/officeDocument/2006/relationships" name="Sale of Corn Prices" sheetId="13" state="visible" r:id="rId13"/>
  </sheets>
  <definedNames/>
  <calcPr calcId="191029" fullCalcOnLoad="1"/>
</workbook>
</file>

<file path=xl/styles.xml><?xml version="1.0" encoding="utf-8"?>
<styleSheet xmlns="http://schemas.openxmlformats.org/spreadsheetml/2006/main">
  <numFmts count="2">
    <numFmt numFmtId="164" formatCode="0.000000"/>
    <numFmt numFmtId="165" formatCode="#,##0.000000"/>
  </numFmts>
  <fonts count="28">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Body)"/>
      <color rgb="FFFF0000"/>
      <sz val="12"/>
    </font>
    <font>
      <name val="Calibri"/>
      <family val="2"/>
      <b val="1"/>
      <color theme="1"/>
      <sz val="11"/>
      <scheme val="minor"/>
    </font>
    <font>
      <name val="Calibri"/>
      <family val="2"/>
      <i val="1"/>
      <color rgb="FFFF0000"/>
      <sz val="12"/>
      <scheme val="minor"/>
    </font>
    <font>
      <name val="Tahoma"/>
      <family val="2"/>
      <b val="1"/>
      <color rgb="FF000000"/>
      <sz val="10"/>
    </font>
    <font>
      <name val="Tahoma"/>
      <family val="2"/>
      <color rgb="FF000000"/>
      <sz val="10"/>
    </font>
    <font>
      <name val="Calibri"/>
      <family val="2"/>
      <i val="1"/>
      <color theme="1"/>
      <sz val="11"/>
      <scheme val="minor"/>
    </font>
    <font>
      <name val="Calibri"/>
      <family val="2"/>
      <i val="1"/>
      <color rgb="FFFF0000"/>
      <sz val="11"/>
      <scheme val="minor"/>
    </font>
    <font>
      <name val="Calibri"/>
      <family val="2"/>
      <sz val="12"/>
      <scheme val="minor"/>
    </font>
    <font>
      <name val="Calibri"/>
      <family val="2"/>
      <b val="1"/>
      <color rgb="FFFF0000"/>
      <sz val="12"/>
      <scheme val="minor"/>
    </font>
  </fonts>
  <fills count="12">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0" tint="-0.0499893185216834"/>
        <bgColor rgb="FF000000"/>
      </patternFill>
    </fill>
    <fill>
      <patternFill patternType="solid">
        <fgColor rgb="00F2F2F2"/>
        <bgColor rgb="00F2F2F2"/>
      </patternFill>
    </fill>
  </fills>
  <borders count="21">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right style="thin">
        <color rgb="00000000"/>
      </right>
    </border>
    <border/>
    <border>
      <right style="thin">
        <color rgb="00000000"/>
      </right>
      <bottom style="thin">
        <color rgb="00000000"/>
      </bottom>
    </border>
    <border>
      <bottom style="thin">
        <color rgb="00000000"/>
      </bottom>
    </border>
  </borders>
  <cellStyleXfs count="1">
    <xf numFmtId="0" fontId="0" fillId="0" borderId="0"/>
  </cellStyleXfs>
  <cellXfs count="147">
    <xf numFmtId="0" fontId="0" fillId="0" borderId="0" pivotButton="0" quotePrefix="0" xfId="0"/>
    <xf numFmtId="0" fontId="7" fillId="0" borderId="1" applyAlignment="1" pivotButton="0" quotePrefix="0" xfId="0">
      <alignment horizontal="center" vertical="top"/>
    </xf>
    <xf numFmtId="0" fontId="10" fillId="0" borderId="0" pivotButton="0" quotePrefix="0" xfId="0"/>
    <xf numFmtId="4" fontId="10" fillId="0" borderId="0" applyAlignment="1" pivotButton="0" quotePrefix="0" xfId="0">
      <alignment horizontal="right"/>
    </xf>
    <xf numFmtId="0" fontId="10" fillId="0" borderId="0" applyAlignment="1" pivotButton="0" quotePrefix="0" xfId="0">
      <alignment horizontal="right"/>
    </xf>
    <xf numFmtId="4" fontId="9" fillId="0" borderId="0" applyAlignment="1" pivotButton="0" quotePrefix="0" xfId="0">
      <alignment horizontal="center"/>
    </xf>
    <xf numFmtId="0" fontId="11" fillId="0" borderId="0" applyAlignment="1" pivotButton="0" quotePrefix="0" xfId="0">
      <alignment horizontal="center" vertical="top"/>
    </xf>
    <xf numFmtId="0" fontId="12" fillId="0" borderId="0" applyAlignment="1" pivotButton="0" quotePrefix="0" xfId="0">
      <alignment horizontal="left" vertical="top"/>
    </xf>
    <xf numFmtId="0" fontId="13" fillId="0" borderId="0" pivotButton="0" quotePrefix="0" xfId="0"/>
    <xf numFmtId="0" fontId="6" fillId="0" borderId="0" pivotButton="0" quotePrefix="0" xfId="0"/>
    <xf numFmtId="0" fontId="8" fillId="0" borderId="0" pivotButton="0" quotePrefix="0" xfId="0"/>
    <xf numFmtId="0" fontId="12" fillId="0" borderId="0" applyAlignment="1" pivotButton="0" quotePrefix="0" xfId="0">
      <alignment horizontal="center" vertical="top"/>
    </xf>
    <xf numFmtId="0" fontId="9"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3" fillId="2" borderId="0" pivotButton="0" quotePrefix="0" xfId="0"/>
    <xf numFmtId="0" fontId="17" fillId="2" borderId="0" pivotButton="0" quotePrefix="0" xfId="0"/>
    <xf numFmtId="0" fontId="16" fillId="3" borderId="0" pivotButton="0" quotePrefix="0" xfId="0"/>
    <xf numFmtId="0" fontId="17" fillId="3" borderId="0" pivotButton="0" quotePrefix="0" xfId="0"/>
    <xf numFmtId="0" fontId="17" fillId="4" borderId="0" pivotButton="0" quotePrefix="0" xfId="0"/>
    <xf numFmtId="0" fontId="13" fillId="5" borderId="0" pivotButton="0" quotePrefix="0" xfId="0"/>
    <xf numFmtId="0" fontId="16" fillId="0" borderId="0" applyAlignment="1" pivotButton="0" quotePrefix="0" xfId="0">
      <alignment wrapText="1"/>
    </xf>
    <xf numFmtId="0" fontId="16" fillId="0" borderId="2" pivotButton="0" quotePrefix="0" xfId="0"/>
    <xf numFmtId="0" fontId="16" fillId="0" borderId="0" applyAlignment="1" pivotButton="0" quotePrefix="0" xfId="0">
      <alignment horizontal="right"/>
    </xf>
    <xf numFmtId="0" fontId="16" fillId="0" borderId="2" applyAlignment="1" pivotButton="0" quotePrefix="0" xfId="0">
      <alignment horizontal="left"/>
    </xf>
    <xf numFmtId="2" fontId="6"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right"/>
    </xf>
    <xf numFmtId="0" fontId="9" fillId="0" borderId="0" applyAlignment="1" pivotButton="0" quotePrefix="0" xfId="0">
      <alignment horizontal="right" wrapText="1"/>
    </xf>
    <xf numFmtId="0" fontId="12"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horizontal="center" vertical="center"/>
    </xf>
    <xf numFmtId="4" fontId="10" fillId="0" borderId="0" applyAlignment="1" pivotButton="0" quotePrefix="0" xfId="0">
      <alignment horizontal="center" vertical="center"/>
    </xf>
    <xf numFmtId="0" fontId="10" fillId="0" borderId="0" applyAlignment="1" pivotButton="0" quotePrefix="0" xfId="0">
      <alignment horizontal="center" vertical="center"/>
    </xf>
    <xf numFmtId="2" fontId="9" fillId="0" borderId="0" applyAlignment="1" pivotButton="0" quotePrefix="0" xfId="0">
      <alignment horizontal="center" vertical="center"/>
    </xf>
    <xf numFmtId="0" fontId="5" fillId="0" borderId="0" pivotButton="0" quotePrefix="0" xfId="0"/>
    <xf numFmtId="0" fontId="7" fillId="0" borderId="0" applyAlignment="1" pivotButton="0" quotePrefix="0" xfId="0">
      <alignment horizontal="center" vertical="top"/>
    </xf>
    <xf numFmtId="0" fontId="20" fillId="0" borderId="0" pivotButton="0" quotePrefix="0" xfId="0"/>
    <xf numFmtId="0" fontId="0" fillId="6" borderId="0" pivotButton="0" quotePrefix="0" xfId="0"/>
    <xf numFmtId="0" fontId="21" fillId="0" borderId="0" pivotButton="0" quotePrefix="0" xfId="0"/>
    <xf numFmtId="0" fontId="0" fillId="0" borderId="0" applyAlignment="1" pivotButton="0" quotePrefix="0" xfId="0">
      <alignment horizontal="center"/>
    </xf>
    <xf numFmtId="0" fontId="0" fillId="8" borderId="0" pivotButton="0" quotePrefix="0" xfId="0"/>
    <xf numFmtId="0" fontId="0" fillId="0" borderId="0" applyAlignment="1" pivotButton="0" quotePrefix="0" xfId="0">
      <alignment horizontal="left"/>
    </xf>
    <xf numFmtId="0" fontId="0" fillId="0" borderId="0" applyAlignment="1" pivotButton="0" quotePrefix="0" xfId="0">
      <alignment wrapText="1"/>
    </xf>
    <xf numFmtId="4" fontId="0" fillId="0" borderId="0" applyAlignment="1" pivotButton="0" quotePrefix="0" xfId="0">
      <alignment horizontal="right" wrapText="1"/>
    </xf>
    <xf numFmtId="0" fontId="0" fillId="0" borderId="3" applyAlignment="1" pivotButton="0" quotePrefix="0" xfId="0">
      <alignment horizontal="right"/>
    </xf>
    <xf numFmtId="0" fontId="0" fillId="0" borderId="4" applyAlignment="1" pivotButton="0" quotePrefix="0" xfId="0">
      <alignment horizontal="right"/>
    </xf>
    <xf numFmtId="0" fontId="0" fillId="0" borderId="5" applyAlignment="1" pivotButton="0" quotePrefix="0" xfId="0">
      <alignment horizontal="right"/>
    </xf>
    <xf numFmtId="0" fontId="0" fillId="0" borderId="4" applyAlignment="1" pivotButton="0" quotePrefix="0" xfId="0">
      <alignment horizontal="center"/>
    </xf>
    <xf numFmtId="2" fontId="19" fillId="0" borderId="0" pivotButton="0" quotePrefix="0" xfId="0"/>
    <xf numFmtId="2" fontId="11" fillId="0" borderId="0" applyAlignment="1" pivotButton="0" quotePrefix="0" xfId="0">
      <alignment horizontal="center" vertical="center"/>
    </xf>
    <xf numFmtId="2" fontId="9" fillId="0" borderId="0" applyAlignment="1" pivotButton="0" quotePrefix="0" xfId="0">
      <alignment horizontal="center" vertical="center" wrapText="1"/>
    </xf>
    <xf numFmtId="0" fontId="9" fillId="5" borderId="0" pivotButton="0" quotePrefix="0" xfId="0"/>
    <xf numFmtId="0" fontId="6" fillId="5" borderId="0" pivotButton="0" quotePrefix="0" xfId="0"/>
    <xf numFmtId="2" fontId="6" fillId="5" borderId="0" pivotButton="0" quotePrefix="0" xfId="0"/>
    <xf numFmtId="2" fontId="19" fillId="5" borderId="0" pivotButton="0" quotePrefix="0" xfId="0"/>
    <xf numFmtId="0" fontId="14" fillId="5" borderId="0" pivotButton="0" quotePrefix="0" xfId="0"/>
    <xf numFmtId="0" fontId="21" fillId="5" borderId="0" pivotButton="0" quotePrefix="0" xfId="0"/>
    <xf numFmtId="0" fontId="24" fillId="0" borderId="0" pivotButton="0" quotePrefix="0" xfId="0"/>
    <xf numFmtId="0" fontId="0" fillId="0" borderId="4" pivotButton="0" quotePrefix="0" xfId="0"/>
    <xf numFmtId="0" fontId="25" fillId="0" borderId="0" pivotButton="0" quotePrefix="0" xfId="0"/>
    <xf numFmtId="164" fontId="26" fillId="0" borderId="0" applyAlignment="1" pivotButton="0" quotePrefix="0" xfId="0">
      <alignment horizontal="right"/>
    </xf>
    <xf numFmtId="164" fontId="0" fillId="0" borderId="0" applyAlignment="1" pivotButton="0" quotePrefix="0" xfId="0">
      <alignment horizontal="right"/>
    </xf>
    <xf numFmtId="165" fontId="0" fillId="0" borderId="0" pivotButton="0" quotePrefix="0" xfId="0"/>
    <xf numFmtId="164" fontId="0" fillId="0" borderId="0" pivotButton="0" quotePrefix="0" xfId="0"/>
    <xf numFmtId="0" fontId="9" fillId="0" borderId="0" applyAlignment="1" pivotButton="0" quotePrefix="0" xfId="0">
      <alignment wrapText="1"/>
    </xf>
    <xf numFmtId="0" fontId="14" fillId="6" borderId="0" pivotButton="0" quotePrefix="0" xfId="0"/>
    <xf numFmtId="0" fontId="0" fillId="0" borderId="6" pivotButton="0" quotePrefix="0" xfId="0"/>
    <xf numFmtId="0" fontId="0" fillId="0" borderId="6" applyAlignment="1" pivotButton="0" quotePrefix="0" xfId="0">
      <alignment horizontal="left"/>
    </xf>
    <xf numFmtId="0" fontId="0" fillId="5" borderId="0" pivotButton="0" quotePrefix="0" xfId="0"/>
    <xf numFmtId="0" fontId="0" fillId="9" borderId="0" pivotButton="0" quotePrefix="0" xfId="0"/>
    <xf numFmtId="2" fontId="0" fillId="0" borderId="0" pivotButton="0" quotePrefix="0" xfId="0"/>
    <xf numFmtId="2" fontId="0" fillId="0" borderId="0" applyAlignment="1" pivotButton="0" quotePrefix="0" xfId="0">
      <alignment wrapText="1"/>
    </xf>
    <xf numFmtId="2" fontId="9" fillId="0" borderId="0" applyAlignment="1" pivotButton="0" quotePrefix="0" xfId="0">
      <alignment wrapText="1"/>
    </xf>
    <xf numFmtId="4" fontId="0" fillId="0" borderId="0" applyAlignment="1" pivotButton="0" quotePrefix="0" xfId="0">
      <alignment horizontal="right"/>
    </xf>
    <xf numFmtId="0" fontId="4" fillId="0" borderId="0" pivotButton="0" quotePrefix="0" xfId="0"/>
    <xf numFmtId="2" fontId="13" fillId="0" borderId="0" applyAlignment="1" pivotButton="0" quotePrefix="0" xfId="0">
      <alignment horizontal="right"/>
    </xf>
    <xf numFmtId="2" fontId="27" fillId="0" borderId="0" applyAlignment="1" pivotButton="0" quotePrefix="0" xfId="0">
      <alignment horizontal="right"/>
    </xf>
    <xf numFmtId="0" fontId="4" fillId="0" borderId="8" pivotButton="0" quotePrefix="0" xfId="0"/>
    <xf numFmtId="0" fontId="8" fillId="0" borderId="8" pivotButton="0" quotePrefix="0" xfId="0"/>
    <xf numFmtId="0" fontId="15" fillId="5" borderId="8" pivotButton="0" quotePrefix="0" xfId="0"/>
    <xf numFmtId="0" fontId="15" fillId="5" borderId="0" pivotButton="0" quotePrefix="0" xfId="0"/>
    <xf numFmtId="0" fontId="18" fillId="2" borderId="0" pivotButton="0" quotePrefix="0" xfId="0"/>
    <xf numFmtId="2" fontId="4" fillId="0" borderId="0" pivotButton="0" quotePrefix="0" xfId="0"/>
    <xf numFmtId="0" fontId="16" fillId="0" borderId="4" pivotButton="0" quotePrefix="0" xfId="0"/>
    <xf numFmtId="2" fontId="4" fillId="0" borderId="4" pivotButton="0" quotePrefix="0" xfId="0"/>
    <xf numFmtId="0" fontId="8" fillId="0" borderId="4" pivotButton="0" quotePrefix="0" xfId="0"/>
    <xf numFmtId="0" fontId="4" fillId="0" borderId="4" pivotButton="0" quotePrefix="0" xfId="0"/>
    <xf numFmtId="4" fontId="9" fillId="0" borderId="0" applyAlignment="1" pivotButton="0" quotePrefix="0" xfId="0">
      <alignment horizontal="right"/>
    </xf>
    <xf numFmtId="0" fontId="9" fillId="0" borderId="0" applyAlignment="1" pivotButton="0" quotePrefix="0" xfId="0">
      <alignment horizontal="right"/>
    </xf>
    <xf numFmtId="2" fontId="13" fillId="5" borderId="0" applyAlignment="1" pivotButton="0" quotePrefix="0" xfId="0">
      <alignment horizontal="right"/>
    </xf>
    <xf numFmtId="0" fontId="13" fillId="10" borderId="0" pivotButton="0" quotePrefix="0" xfId="0"/>
    <xf numFmtId="0" fontId="4" fillId="5" borderId="0" pivotButton="0" quotePrefix="0" xfId="0"/>
    <xf numFmtId="0" fontId="8" fillId="5" borderId="0" pivotButton="0" quotePrefix="0" xfId="0"/>
    <xf numFmtId="0" fontId="9" fillId="5" borderId="0" applyAlignment="1" pivotButton="0" quotePrefix="0" xfId="0">
      <alignment horizontal="right"/>
    </xf>
    <xf numFmtId="0" fontId="3" fillId="0" borderId="0" pivotButton="0" quotePrefix="0" xfId="0"/>
    <xf numFmtId="0" fontId="17" fillId="2" borderId="9" pivotButton="0" quotePrefix="0" xfId="0"/>
    <xf numFmtId="0" fontId="17" fillId="4" borderId="9" pivotButton="0" quotePrefix="0" xfId="0"/>
    <xf numFmtId="0" fontId="16" fillId="0" borderId="9" pivotButton="0" quotePrefix="0" xfId="0"/>
    <xf numFmtId="10" fontId="17" fillId="2" borderId="9" pivotButton="0" quotePrefix="0" xfId="0"/>
    <xf numFmtId="10" fontId="17" fillId="4" borderId="11" pivotButton="0" quotePrefix="0" xfId="0"/>
    <xf numFmtId="0" fontId="8" fillId="0" borderId="12" pivotButton="0" quotePrefix="0" xfId="0"/>
    <xf numFmtId="0" fontId="16" fillId="5" borderId="14" pivotButton="0" quotePrefix="0" xfId="0"/>
    <xf numFmtId="2" fontId="13" fillId="5" borderId="15" applyAlignment="1" pivotButton="0" quotePrefix="0" xfId="0">
      <alignment horizontal="right"/>
    </xf>
    <xf numFmtId="0" fontId="8" fillId="5" borderId="15" pivotButton="0" quotePrefix="0" xfId="0"/>
    <xf numFmtId="0" fontId="3" fillId="0" borderId="12" pivotButton="0" quotePrefix="0" xfId="0"/>
    <xf numFmtId="2" fontId="4" fillId="5" borderId="0" pivotButton="0" quotePrefix="0" xfId="0"/>
    <xf numFmtId="0" fontId="2" fillId="5" borderId="15" pivotButton="0" quotePrefix="0" xfId="0"/>
    <xf numFmtId="0" fontId="2" fillId="5" borderId="16" pivotButton="0" quotePrefix="0" xfId="0"/>
    <xf numFmtId="2" fontId="2" fillId="0" borderId="0" pivotButton="0" quotePrefix="0" xfId="0"/>
    <xf numFmtId="0" fontId="2" fillId="0" borderId="0" pivotButton="0" quotePrefix="0" xfId="0"/>
    <xf numFmtId="0" fontId="2" fillId="0" borderId="10" pivotButton="0" quotePrefix="0" xfId="0"/>
    <xf numFmtId="10" fontId="2" fillId="0" borderId="0" pivotButton="0" quotePrefix="0" xfId="0"/>
    <xf numFmtId="0" fontId="2" fillId="0" borderId="12" pivotButton="0" quotePrefix="0" xfId="0"/>
    <xf numFmtId="0" fontId="2" fillId="0" borderId="13" pivotButton="0" quotePrefix="0" xfId="0"/>
    <xf numFmtId="0" fontId="1" fillId="0" borderId="0" pivotButton="0" quotePrefix="0" xfId="0"/>
    <xf numFmtId="2" fontId="9" fillId="5" borderId="0" pivotButton="0" quotePrefix="0" xfId="0"/>
    <xf numFmtId="2" fontId="13" fillId="0" borderId="0" applyAlignment="1" pivotButton="0" quotePrefix="0" xfId="0">
      <alignment horizontal="left" vertical="center" wrapText="1"/>
    </xf>
    <xf numFmtId="0" fontId="17" fillId="10" borderId="0" pivotButton="0" quotePrefix="0" xfId="0"/>
    <xf numFmtId="0" fontId="9" fillId="5" borderId="0" applyAlignment="1" pivotButton="0" quotePrefix="0" xfId="0">
      <alignment horizontal="center"/>
    </xf>
    <xf numFmtId="0" fontId="0" fillId="7" borderId="0" applyAlignment="1" pivotButton="0" quotePrefix="0" xfId="0">
      <alignment horizontal="center"/>
    </xf>
    <xf numFmtId="0" fontId="0" fillId="3" borderId="0" applyAlignment="1" pivotButton="0" quotePrefix="0" xfId="0">
      <alignment horizontal="center"/>
    </xf>
    <xf numFmtId="0" fontId="0" fillId="3" borderId="3"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7" applyAlignment="1" pivotButton="0" quotePrefix="0" xfId="0">
      <alignment horizontal="center" wrapText="1"/>
    </xf>
    <xf numFmtId="0" fontId="10" fillId="0" borderId="17" pivotButton="0" quotePrefix="0" xfId="0"/>
    <xf numFmtId="0" fontId="0" fillId="0" borderId="18" pivotButton="0" quotePrefix="0" xfId="0"/>
    <xf numFmtId="0" fontId="12" fillId="0" borderId="19" applyAlignment="1" pivotButton="0" quotePrefix="0" xfId="0">
      <alignment horizontal="center" vertical="top"/>
    </xf>
    <xf numFmtId="4" fontId="10" fillId="0" borderId="20" applyAlignment="1" pivotButton="0" quotePrefix="0" xfId="0">
      <alignment horizontal="right"/>
    </xf>
    <xf numFmtId="0" fontId="10" fillId="0" borderId="20" applyAlignment="1" pivotButton="0" quotePrefix="0" xfId="0">
      <alignment horizontal="right"/>
    </xf>
    <xf numFmtId="4" fontId="9" fillId="0" borderId="20" applyAlignment="1" pivotButton="0" quotePrefix="0" xfId="0">
      <alignment horizontal="center"/>
    </xf>
    <xf numFmtId="0" fontId="11" fillId="0" borderId="20" applyAlignment="1" pivotButton="0" quotePrefix="0" xfId="0">
      <alignment horizontal="center" vertical="top"/>
    </xf>
    <xf numFmtId="0" fontId="12" fillId="0" borderId="20" applyAlignment="1" pivotButton="0" quotePrefix="0" xfId="0">
      <alignment horizontal="left" vertical="top"/>
    </xf>
    <xf numFmtId="0" fontId="15" fillId="0" borderId="20" pivotButton="0" quotePrefix="0" xfId="0"/>
    <xf numFmtId="0" fontId="20" fillId="0" borderId="17" pivotButton="0" quotePrefix="0" xfId="0"/>
    <xf numFmtId="0" fontId="0" fillId="0" borderId="17" pivotButton="0" quotePrefix="0" xfId="0"/>
    <xf numFmtId="0" fontId="20" fillId="11" borderId="17" pivotButton="0" quotePrefix="0" xfId="0"/>
    <xf numFmtId="0" fontId="20" fillId="11" borderId="18" pivotButton="0" quotePrefix="0" xfId="0"/>
    <xf numFmtId="0" fontId="12" fillId="0" borderId="19" applyAlignment="1" pivotButton="0" quotePrefix="0" xfId="0">
      <alignment horizontal="center" vertical="center"/>
    </xf>
    <xf numFmtId="4" fontId="10" fillId="0" borderId="20" applyAlignment="1" pivotButton="0" quotePrefix="0" xfId="0">
      <alignment horizontal="center" vertical="center"/>
    </xf>
    <xf numFmtId="0" fontId="10" fillId="0" borderId="20" applyAlignment="1" pivotButton="0" quotePrefix="0" xfId="0">
      <alignment horizontal="center" vertical="center"/>
    </xf>
    <xf numFmtId="0" fontId="0" fillId="0" borderId="20" pivotButton="0" quotePrefix="0" xfId="0"/>
    <xf numFmtId="2" fontId="9" fillId="0" borderId="20" applyAlignment="1" pivotButton="0" quotePrefix="0" xfId="0">
      <alignment horizontal="center" vertical="center"/>
    </xf>
    <xf numFmtId="2" fontId="11" fillId="0" borderId="20" applyAlignment="1" pivotButton="0" quotePrefix="0" xfId="0">
      <alignment horizontal="center" vertical="center"/>
    </xf>
    <xf numFmtId="0" fontId="12" fillId="0" borderId="20" applyAlignment="1" pivotButton="0" quotePrefix="0" xfId="0">
      <alignment horizontal="center"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comments/comment2.xml><?xml version="1.0" encoding="utf-8"?>
<comments xmlns="http://schemas.openxmlformats.org/spreadsheetml/2006/main">
  <authors>
    <author>Victoria Gierok</author>
  </authors>
  <commentList>
    <comment ref="D4" authorId="0" shapeId="0">
      <text>
        <t>Victoria Gierok:
strays that the seem to have added to their own stock?</t>
      </text>
    </comment>
    <comment ref="E4" authorId="0" shapeId="0">
      <text>
        <t>Victoria Gierok:
herbage = a type of customary payment to the lord; hence an addition to the stock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G183"/>
  <sheetViews>
    <sheetView topLeftCell="A1" workbookViewId="0">
      <selection activeCell="A1" sqref="A1"/>
    </sheetView>
  </sheetViews>
  <sheetFormatPr baseColWidth="8" defaultColWidth="10.81640625" defaultRowHeight="15.5"/>
  <cols>
    <col width="80" bestFit="1" customWidth="1" style="76" min="1" max="1"/>
    <col width="10.81640625" customWidth="1" style="76" min="2" max="2"/>
    <col width="10.81640625" customWidth="1" style="10" min="3" max="3"/>
    <col width="30.81640625" bestFit="1" customWidth="1" style="76" min="4" max="4"/>
    <col width="29.36328125" bestFit="1" customWidth="1" style="76" min="5" max="5"/>
    <col width="35.453125" bestFit="1" customWidth="1" style="76" min="6" max="6"/>
    <col width="21.1796875" customWidth="1" style="76" min="7" max="7"/>
    <col width="10.81640625" customWidth="1" style="76" min="8" max="16384"/>
  </cols>
  <sheetData>
    <row r="1">
      <c r="A1" s="8" t="inlineStr">
        <is>
          <t>WESTWYCOMBE OVERVIEW - COMPLETED</t>
        </is>
      </c>
      <c r="B1" s="77" t="inlineStr">
        <is>
          <t>Total in £</t>
        </is>
      </c>
      <c r="C1" s="78" t="inlineStr">
        <is>
          <t>Error</t>
        </is>
      </c>
      <c r="D1" s="12" t="inlineStr">
        <is>
          <t>Note</t>
        </is>
      </c>
      <c r="E1" s="12" t="n"/>
    </row>
    <row r="2">
      <c r="A2" s="8" t="inlineStr">
        <is>
          <t>CASH ACCOUNT</t>
        </is>
      </c>
    </row>
    <row r="3">
      <c r="A3" s="16" t="inlineStr">
        <is>
          <t>RECEIPTS</t>
        </is>
      </c>
    </row>
    <row r="4">
      <c r="A4" s="15" t="inlineStr">
        <is>
          <t>Arrears total</t>
        </is>
      </c>
      <c r="B4" s="76" t="n">
        <v>1.71</v>
      </c>
      <c r="D4" s="13" t="n"/>
      <c r="E4" s="13" t="n"/>
    </row>
    <row r="5">
      <c r="A5" s="15" t="inlineStr">
        <is>
          <t>Rents of assize total</t>
        </is>
      </c>
      <c r="B5" s="76" t="n"/>
    </row>
    <row r="6">
      <c r="A6" s="15" t="inlineStr">
        <is>
          <t>Quittances total</t>
        </is>
      </c>
      <c r="B6" s="76" t="n"/>
    </row>
    <row r="7">
      <c r="A7" s="15" t="inlineStr">
        <is>
          <t>Defaults of rent total</t>
        </is>
      </c>
      <c r="B7" s="76" t="n"/>
    </row>
    <row r="8">
      <c r="A8" s="76" t="inlineStr">
        <is>
          <t>Defaults of rent through the pestilence total</t>
        </is>
      </c>
      <c r="B8" s="76" t="n"/>
    </row>
    <row r="9">
      <c r="A9" s="76" t="inlineStr">
        <is>
          <t>Cotlands defaults total</t>
        </is>
      </c>
      <c r="B9" s="76" t="n"/>
    </row>
    <row r="10">
      <c r="A10" s="76" t="inlineStr">
        <is>
          <t>Cotlands total</t>
        </is>
      </c>
      <c r="B10" s="76" t="n"/>
    </row>
    <row r="11">
      <c r="A11" s="76" t="inlineStr">
        <is>
          <t>Total of quittances and defaults of rent total</t>
        </is>
      </c>
      <c r="B11" s="76" t="n"/>
    </row>
    <row r="12">
      <c r="A12" s="76" t="inlineStr">
        <is>
          <t>Total of rents remaining clear total</t>
        </is>
      </c>
      <c r="B12" s="76" t="n"/>
    </row>
    <row r="13">
      <c r="A13" s="76" t="inlineStr">
        <is>
          <t>Farms total</t>
        </is>
      </c>
      <c r="B13" s="76" t="n"/>
    </row>
    <row r="14">
      <c r="A14" s="15" t="inlineStr">
        <is>
          <t>Annual recognizances total</t>
        </is>
      </c>
      <c r="B14" s="76" t="n"/>
    </row>
    <row r="15">
      <c r="A15" s="15" t="inlineStr">
        <is>
          <t>Issues of the Manor total</t>
        </is>
      </c>
      <c r="B15" s="76" t="n">
        <v>0.68</v>
      </c>
    </row>
    <row r="16">
      <c r="A16" s="76" t="inlineStr">
        <is>
          <t>Issues of the tenements in the lord's hands total</t>
        </is>
      </c>
      <c r="B16" s="76" t="n"/>
    </row>
    <row r="17">
      <c r="A17" s="76" t="inlineStr">
        <is>
          <t>Sale of labour services total</t>
        </is>
      </c>
      <c r="B17" s="76" t="n"/>
    </row>
    <row r="18">
      <c r="A18" s="15" t="inlineStr">
        <is>
          <t>Sale of corn total</t>
        </is>
      </c>
      <c r="B18" s="76" t="n"/>
    </row>
    <row r="19">
      <c r="A19" s="15" t="inlineStr">
        <is>
          <t>Entry and marriage fines total</t>
        </is>
      </c>
      <c r="B19" s="76" t="n">
        <v>1.46</v>
      </c>
    </row>
    <row r="20">
      <c r="A20" s="15" t="inlineStr">
        <is>
          <t>Pleas &amp; perquisites total</t>
        </is>
      </c>
      <c r="B20" s="76" t="n">
        <v>0.65</v>
      </c>
    </row>
    <row r="21">
      <c r="A21" s="76" t="inlineStr">
        <is>
          <t>Forfeited chattels total</t>
        </is>
      </c>
      <c r="B21" s="76" t="n"/>
    </row>
    <row r="22">
      <c r="A22" s="76" t="inlineStr">
        <is>
          <t>Farm of the demesne land total</t>
        </is>
      </c>
      <c r="B22" s="76" t="n"/>
      <c r="D22" s="88" t="n"/>
    </row>
    <row r="23">
      <c r="A23" s="81" t="inlineStr">
        <is>
          <t>Total of all receipts (calculated here)</t>
        </is>
      </c>
      <c r="B23" s="79">
        <f>SUM(B5:B11)</f>
        <v/>
      </c>
      <c r="C23" s="80" t="n"/>
    </row>
    <row r="24">
      <c r="A24" s="82" t="inlineStr">
        <is>
          <t>Total of all receipts (calculated here) incl arrears</t>
        </is>
      </c>
      <c r="B24">
        <f>SUM(B4:B11)</f>
        <v/>
      </c>
      <c r="D24" s="13" t="n"/>
      <c r="E24" s="13" t="n"/>
    </row>
    <row r="25">
      <c r="A25" s="83" t="inlineStr">
        <is>
          <t>Total recorded in the accounts excl. arrears</t>
        </is>
      </c>
      <c r="B25" s="76">
        <f>'Receipts'!F26</f>
        <v/>
      </c>
      <c r="C25" s="10">
        <f>B23-B25</f>
        <v/>
      </c>
    </row>
    <row r="26">
      <c r="A26" s="83" t="inlineStr">
        <is>
          <t>Total recorded in the accounts incl. arrears</t>
        </is>
      </c>
      <c r="B26">
        <f>'Receipts'!F27</f>
        <v/>
      </c>
      <c r="D26" s="13" t="n"/>
      <c r="E26" s="13" t="n"/>
    </row>
    <row r="27">
      <c r="A27" s="15" t="n"/>
    </row>
    <row r="28">
      <c r="A28" s="15" t="n"/>
    </row>
    <row r="29">
      <c r="A29" s="16" t="inlineStr">
        <is>
          <t>EXPENSES</t>
        </is>
      </c>
    </row>
    <row r="30">
      <c r="A30" s="15" t="inlineStr">
        <is>
          <t>Cost of ploughs total</t>
        </is>
      </c>
    </row>
    <row r="31">
      <c r="A31" s="15" t="inlineStr">
        <is>
          <t>Purchase of corn total</t>
        </is>
      </c>
    </row>
    <row r="32">
      <c r="A32" s="15" t="inlineStr">
        <is>
          <t>Cost of carts and wagons total</t>
        </is>
      </c>
    </row>
    <row r="33">
      <c r="A33" s="15" t="inlineStr">
        <is>
          <t>Cost of dairy total</t>
        </is>
      </c>
    </row>
    <row r="34">
      <c r="A34" s="15" t="inlineStr">
        <is>
          <t>Purchase of stock total</t>
        </is>
      </c>
      <c r="B34" t="n">
        <v>3.67</v>
      </c>
    </row>
    <row r="35">
      <c r="A35" s="15" t="inlineStr">
        <is>
          <t>Sheepcote total</t>
        </is>
      </c>
    </row>
    <row r="36">
      <c r="A36" s="15" t="inlineStr">
        <is>
          <t>Cost of buildings total</t>
        </is>
      </c>
      <c r="B36" s="84" t="n">
        <v>4.77</v>
      </c>
    </row>
    <row r="37">
      <c r="A37" s="15" t="inlineStr">
        <is>
          <t>Threshing total</t>
        </is>
      </c>
    </row>
    <row r="38">
      <c r="A38" s="15" t="inlineStr">
        <is>
          <t>Barley expenses</t>
        </is>
      </c>
    </row>
    <row r="39">
      <c r="A39" s="15" t="inlineStr">
        <is>
          <t>Expenses of the harvest total</t>
        </is>
      </c>
    </row>
    <row r="40">
      <c r="A40" s="15" t="inlineStr">
        <is>
          <t>Necessary expenses</t>
        </is>
      </c>
    </row>
    <row r="41">
      <c r="A41" s="15" t="inlineStr">
        <is>
          <t>Wages of the bailiff</t>
        </is>
      </c>
      <c r="B41" s="84" t="n"/>
    </row>
    <row r="42">
      <c r="A42" s="15" t="inlineStr">
        <is>
          <t>Steward's expenses total</t>
        </is>
      </c>
      <c r="B42" s="84" t="n">
        <v>1.41</v>
      </c>
    </row>
    <row r="43">
      <c r="A43" s="85" t="inlineStr">
        <is>
          <t>Annual fees</t>
        </is>
      </c>
      <c r="B43" s="86" t="n"/>
      <c r="C43" s="87" t="n"/>
      <c r="D43" s="88" t="n"/>
    </row>
    <row r="44">
      <c r="A44" s="82" t="inlineStr">
        <is>
          <t>Total of all expenses per account</t>
        </is>
      </c>
      <c r="B44" s="84">
        <f>'Expenses'!F57</f>
        <v/>
      </c>
    </row>
    <row r="45">
      <c r="A45" s="82" t="inlineStr">
        <is>
          <t>Total of all expenses (calculated here)</t>
        </is>
      </c>
      <c r="B45" s="84">
        <f>'Expenses'!F58</f>
        <v/>
      </c>
    </row>
    <row r="46">
      <c r="A46" s="82" t="inlineStr">
        <is>
          <t>Total fixed investment</t>
        </is>
      </c>
      <c r="B46" s="84" t="n"/>
    </row>
    <row r="47">
      <c r="A47" s="82" t="inlineStr">
        <is>
          <t>Total Demesne fixed investment</t>
        </is>
      </c>
      <c r="B47" s="84" t="n"/>
    </row>
    <row r="48">
      <c r="A48" s="12" t="n"/>
    </row>
    <row r="49">
      <c r="A49" s="18" t="inlineStr">
        <is>
          <t>Owed by the reeve</t>
        </is>
      </c>
      <c r="B49" s="84">
        <f>B23-B45</f>
        <v/>
      </c>
    </row>
    <row r="50">
      <c r="A50" s="18" t="inlineStr">
        <is>
          <t>From accounts</t>
        </is>
      </c>
      <c r="B50" s="84" t="n">
        <v>68.7</v>
      </c>
    </row>
    <row r="51">
      <c r="A51" s="15" t="n"/>
    </row>
    <row r="52">
      <c r="A52" s="18" t="inlineStr">
        <is>
          <t>Allowances</t>
        </is>
      </c>
      <c r="B52" s="84" t="n"/>
    </row>
    <row r="53">
      <c r="A53" s="18" t="inlineStr">
        <is>
          <t>Cash deliveries</t>
        </is>
      </c>
      <c r="B53" s="84" t="n">
        <v>66.17</v>
      </c>
    </row>
    <row r="54">
      <c r="A54" s="19" t="inlineStr">
        <is>
          <t>Sum of the above</t>
        </is>
      </c>
      <c r="B54" s="84">
        <f>SUM(B52:B53)</f>
        <v/>
      </c>
    </row>
    <row r="55">
      <c r="A55" s="20" t="inlineStr">
        <is>
          <t>Total of all allowances and cash deliveries in accounts</t>
        </is>
      </c>
    </row>
    <row r="56">
      <c r="A56" s="15" t="n"/>
    </row>
    <row r="57">
      <c r="A57" s="18" t="inlineStr">
        <is>
          <t>Net amount owed</t>
        </is>
      </c>
      <c r="B57" s="84">
        <f>B50-B54</f>
        <v/>
      </c>
    </row>
    <row r="58">
      <c r="A58" s="18" t="inlineStr">
        <is>
          <t>Net amount owed in accounts</t>
        </is>
      </c>
    </row>
    <row r="59">
      <c r="A59" s="15" t="n"/>
    </row>
    <row r="60">
      <c r="A60" s="16" t="inlineStr">
        <is>
          <t xml:space="preserve">GRANGE ACCOUNT </t>
        </is>
      </c>
      <c r="B60" s="120" t="inlineStr">
        <is>
          <t>Total Production</t>
        </is>
      </c>
      <c r="D60" s="117" t="inlineStr">
        <is>
          <t>Value of total gross production in £</t>
        </is>
      </c>
      <c r="E60" s="117" t="inlineStr">
        <is>
          <t>Value of total net production in £</t>
        </is>
      </c>
    </row>
    <row r="61">
      <c r="A61" s="8" t="inlineStr">
        <is>
          <t>Grange</t>
        </is>
      </c>
      <c r="B61" s="89" t="inlineStr">
        <is>
          <t>qrs</t>
        </is>
      </c>
      <c r="C61" s="90" t="inlineStr">
        <is>
          <t>bus</t>
        </is>
      </c>
    </row>
    <row r="62">
      <c r="A62" s="76" t="inlineStr">
        <is>
          <t>Wheat</t>
        </is>
      </c>
      <c r="B62" t="n">
        <v>0</v>
      </c>
      <c r="C62" t="n">
        <v>0</v>
      </c>
      <c r="E62" t="n">
        <v>0</v>
      </c>
      <c r="F62" s="13" t="n"/>
    </row>
    <row r="63">
      <c r="A63" s="76" t="inlineStr">
        <is>
          <t>Rye</t>
        </is>
      </c>
      <c r="B63" t="n">
        <v>0</v>
      </c>
      <c r="C63" t="n">
        <v>0</v>
      </c>
      <c r="E63" t="n">
        <v>0</v>
      </c>
      <c r="F63" s="13" t="n"/>
    </row>
    <row r="64">
      <c r="A64" s="76" t="inlineStr">
        <is>
          <t>Dredge</t>
        </is>
      </c>
      <c r="B64" t="n">
        <v>0</v>
      </c>
      <c r="C64" t="n">
        <v>0</v>
      </c>
      <c r="E64" t="n">
        <v>0</v>
      </c>
      <c r="F64" s="13" t="n"/>
    </row>
    <row r="65">
      <c r="A65" s="76" t="inlineStr">
        <is>
          <t>Curall</t>
        </is>
      </c>
      <c r="B65" t="n">
        <v>0</v>
      </c>
      <c r="C65" t="n">
        <v>0</v>
      </c>
      <c r="E65" t="n">
        <v>0</v>
      </c>
      <c r="F65" s="13" t="n"/>
    </row>
    <row r="66">
      <c r="A66" s="76" t="inlineStr">
        <is>
          <t>Barley</t>
        </is>
      </c>
      <c r="B66" t="n">
        <v>0</v>
      </c>
      <c r="C66" t="n">
        <v>0</v>
      </c>
      <c r="E66" t="n">
        <v>0</v>
      </c>
      <c r="F66" s="13" t="n"/>
    </row>
    <row r="67">
      <c r="A67" s="76" t="inlineStr">
        <is>
          <t>Oats</t>
        </is>
      </c>
      <c r="B67" t="n">
        <v>0</v>
      </c>
      <c r="C67" t="n">
        <v>0</v>
      </c>
      <c r="E67" t="n">
        <v>0</v>
      </c>
      <c r="F67" s="13" t="n"/>
    </row>
    <row r="68">
      <c r="A68" s="76" t="inlineStr">
        <is>
          <t>Beans</t>
        </is>
      </c>
      <c r="B68" t="n">
        <v>0</v>
      </c>
      <c r="C68" t="n">
        <v>0</v>
      </c>
      <c r="D68" t="n">
        <v>0</v>
      </c>
      <c r="E68" t="n">
        <v>0</v>
      </c>
      <c r="F68" s="13" t="n"/>
    </row>
    <row r="69">
      <c r="A69" s="76" t="inlineStr">
        <is>
          <t>Peas</t>
        </is>
      </c>
      <c r="B69" t="n">
        <v>0</v>
      </c>
      <c r="C69" t="n">
        <v>0</v>
      </c>
      <c r="E69" t="n">
        <v>0</v>
      </c>
      <c r="F69" s="13" t="n"/>
    </row>
    <row r="70">
      <c r="A70" s="76" t="inlineStr">
        <is>
          <t>Vetches</t>
        </is>
      </c>
      <c r="B70" t="n">
        <v>0</v>
      </c>
      <c r="C70" t="n">
        <v>0</v>
      </c>
      <c r="E70" t="n">
        <v>0</v>
      </c>
    </row>
    <row r="71">
      <c r="A71" s="17" t="inlineStr">
        <is>
          <t>Total value of gross production (sum of the above)</t>
        </is>
      </c>
      <c r="B71" s="93" t="n"/>
      <c r="C71" s="94" t="n"/>
      <c r="D71" s="93" t="n"/>
      <c r="E71" s="93">
        <f>SUM(D62:D70)</f>
        <v/>
      </c>
    </row>
    <row r="72">
      <c r="A72" s="17" t="inlineStr">
        <is>
          <t>Total value of net production</t>
        </is>
      </c>
      <c r="B72" s="93" t="n"/>
      <c r="C72" s="94" t="n"/>
      <c r="D72" s="93" t="n"/>
      <c r="E72" s="93">
        <f>SUM(E62:E70)</f>
        <v/>
      </c>
    </row>
    <row r="73">
      <c r="A73" s="17" t="inlineStr">
        <is>
          <t>Value of sales</t>
        </is>
      </c>
      <c r="B73" s="93" t="n"/>
      <c r="C73" s="94" t="n"/>
      <c r="D73" s="93" t="n"/>
      <c r="E73" s="93" t="n">
        <v>0</v>
      </c>
    </row>
    <row r="74">
      <c r="A74" s="15" t="n"/>
    </row>
    <row r="75">
      <c r="A75" s="16" t="inlineStr">
        <is>
          <t>MILL ACCOUNT</t>
        </is>
      </c>
      <c r="B75" s="120" t="inlineStr">
        <is>
          <t>Total Production</t>
        </is>
      </c>
      <c r="D75" s="91" t="inlineStr">
        <is>
          <t>Total in £</t>
        </is>
      </c>
      <c r="E75" s="91" t="n"/>
    </row>
    <row r="76">
      <c r="A76" s="8" t="inlineStr">
        <is>
          <t>Issues of the mill</t>
        </is>
      </c>
      <c r="B76" s="89" t="inlineStr">
        <is>
          <t>qrs</t>
        </is>
      </c>
      <c r="C76" s="90" t="inlineStr">
        <is>
          <t>bus</t>
        </is>
      </c>
    </row>
    <row r="77">
      <c r="A77" s="15" t="inlineStr">
        <is>
          <t>Wheat</t>
        </is>
      </c>
      <c r="F77" s="13" t="n"/>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c r="B82" s="93" t="n"/>
      <c r="C82" s="94" t="n"/>
      <c r="D82" s="93" t="n"/>
      <c r="E82" s="93" t="n"/>
    </row>
    <row r="83">
      <c r="A83" s="17" t="inlineStr">
        <is>
          <t>Value of sales</t>
        </is>
      </c>
      <c r="B83" s="93" t="n"/>
      <c r="C83" s="94" t="n"/>
      <c r="D83" s="93" t="n"/>
      <c r="E83" s="93" t="n"/>
    </row>
    <row r="84">
      <c r="A84" s="15" t="n"/>
    </row>
    <row r="85">
      <c r="A85" s="92" t="inlineStr">
        <is>
          <t>STOCK ACCOUNT</t>
        </is>
      </c>
      <c r="B85" s="93" t="n"/>
      <c r="C85" s="94" t="n"/>
      <c r="D85" s="93" t="n"/>
      <c r="E85" s="93" t="n"/>
      <c r="F85" s="93" t="n"/>
      <c r="G85" s="93" t="n"/>
    </row>
    <row r="86">
      <c r="A86" s="21" t="inlineStr">
        <is>
          <t>Livestock</t>
        </is>
      </c>
      <c r="B86" s="95" t="inlineStr">
        <is>
          <t>Begin stock</t>
        </is>
      </c>
      <c r="C86" s="95" t="inlineStr">
        <is>
          <t>End stock</t>
        </is>
      </c>
      <c r="D86" s="95" t="inlineStr">
        <is>
          <t>Stockbuilding</t>
        </is>
      </c>
      <c r="E86" s="95" t="n"/>
      <c r="F86" s="95" t="inlineStr">
        <is>
          <t>Value of stock in £</t>
        </is>
      </c>
      <c r="G86" s="53" t="inlineStr">
        <is>
          <t>Value of stockbuilding</t>
        </is>
      </c>
    </row>
    <row r="87">
      <c r="A87" s="22" t="inlineStr">
        <is>
          <t>Cart-horses</t>
        </is>
      </c>
      <c r="B87" s="76" t="n">
        <v>0</v>
      </c>
      <c r="C87" s="76">
        <f>'Stock'!L5</f>
        <v/>
      </c>
      <c r="D87" s="76">
        <f>C87-B87</f>
        <v/>
      </c>
      <c r="F87" s="84">
        <f>'Stock'!L5*'Stock'!O5</f>
        <v/>
      </c>
      <c r="G87" s="84">
        <f>D87*'Stock'!O5</f>
        <v/>
      </c>
    </row>
    <row r="88">
      <c r="A88" s="22" t="inlineStr">
        <is>
          <t>Mares</t>
        </is>
      </c>
      <c r="B88" s="76" t="n">
        <v>0</v>
      </c>
      <c r="C88" s="76">
        <f>'Stock'!L6</f>
        <v/>
      </c>
      <c r="D88" s="76">
        <f>C88-B88</f>
        <v/>
      </c>
      <c r="F88" s="84">
        <f>'Stock'!L6*'Stock'!O6</f>
        <v/>
      </c>
      <c r="G88" s="84">
        <f>D88*'Stock'!O6</f>
        <v/>
      </c>
    </row>
    <row r="89">
      <c r="A89" s="15" t="inlineStr">
        <is>
          <t>Plough horses</t>
        </is>
      </c>
      <c r="B89" s="76" t="n">
        <v>12</v>
      </c>
      <c r="C89" s="76">
        <f>'Stock'!L7</f>
        <v/>
      </c>
      <c r="D89" s="76">
        <f>C89-B89</f>
        <v/>
      </c>
      <c r="F89" s="84">
        <f>'Stock'!L7*'Stock'!O7</f>
        <v/>
      </c>
      <c r="G89" s="84">
        <f>D89*'Stock'!O7</f>
        <v/>
      </c>
    </row>
    <row r="90">
      <c r="A90" s="15" t="inlineStr">
        <is>
          <t>Colts (2 years)</t>
        </is>
      </c>
      <c r="B90" s="76" t="n">
        <v>0</v>
      </c>
      <c r="C90" s="76">
        <f>'Stock'!L9</f>
        <v/>
      </c>
      <c r="D90" s="76">
        <f>C90-B90</f>
        <v/>
      </c>
      <c r="F90" s="84">
        <f>'Stock'!L9*'Stock'!O9</f>
        <v/>
      </c>
      <c r="G90" s="84">
        <f>D90*'Stock'!O9</f>
        <v/>
      </c>
    </row>
    <row r="91">
      <c r="A91" s="15" t="inlineStr">
        <is>
          <t>Colts (2 years)</t>
        </is>
      </c>
      <c r="B91" s="76" t="n">
        <v>0</v>
      </c>
      <c r="C91" s="76">
        <f>'Stock'!L9</f>
        <v/>
      </c>
      <c r="D91" s="76">
        <f>C91-B91</f>
        <v/>
      </c>
      <c r="F91" s="84">
        <f>'Stock'!L9*'Stock'!O9</f>
        <v/>
      </c>
      <c r="G91" s="84">
        <f>D91*'Stock'!O9</f>
        <v/>
      </c>
    </row>
    <row r="92">
      <c r="A92" s="15" t="inlineStr">
        <is>
          <t>Colts (1 year)</t>
        </is>
      </c>
      <c r="B92" s="76" t="n">
        <v>0</v>
      </c>
      <c r="C92" s="76">
        <f>'Stock'!L10</f>
        <v/>
      </c>
      <c r="D92" s="76">
        <f>C92-B92</f>
        <v/>
      </c>
      <c r="F92" s="84">
        <f>'Stock'!L10*'Stock'!O10</f>
        <v/>
      </c>
      <c r="G92" s="84">
        <f>D92*'Stock'!O10</f>
        <v/>
      </c>
    </row>
    <row r="93">
      <c r="A93" s="15" t="inlineStr">
        <is>
          <t>Foals</t>
        </is>
      </c>
      <c r="B93" s="76" t="n">
        <v>0</v>
      </c>
      <c r="C93" s="76">
        <f>'Stock'!L11</f>
        <v/>
      </c>
      <c r="D93" s="76">
        <f>C93-B93</f>
        <v/>
      </c>
      <c r="F93" s="84">
        <f>'Stock'!L11*'Stock'!O11</f>
        <v/>
      </c>
      <c r="G93" s="84">
        <f>D93*'Stock'!O11</f>
        <v/>
      </c>
    </row>
    <row r="94">
      <c r="A94" s="15" t="inlineStr">
        <is>
          <t>Oxen</t>
        </is>
      </c>
      <c r="B94" s="76" t="n">
        <v>0</v>
      </c>
      <c r="C94" s="76">
        <f>'Stock'!L12</f>
        <v/>
      </c>
      <c r="D94" s="76">
        <f>C94-B94</f>
        <v/>
      </c>
      <c r="F94" s="84">
        <f>'Stock'!L12*'Stock'!O12</f>
        <v/>
      </c>
      <c r="G94" s="84">
        <f>D94*'Stock'!O12</f>
        <v/>
      </c>
    </row>
    <row r="95">
      <c r="A95" s="15" t="inlineStr">
        <is>
          <t>Bulls</t>
        </is>
      </c>
      <c r="B95" s="76" t="n">
        <v>0</v>
      </c>
      <c r="C95" s="76">
        <f>'Stock'!L13</f>
        <v/>
      </c>
      <c r="D95" s="76">
        <f>C95-B95</f>
        <v/>
      </c>
      <c r="F95" s="84">
        <f>'Stock'!L13*'Stock'!O13</f>
        <v/>
      </c>
      <c r="G95" s="84">
        <f>D95*'Stock'!O13</f>
        <v/>
      </c>
    </row>
    <row r="96">
      <c r="A96" s="15" t="inlineStr">
        <is>
          <t>Cows</t>
        </is>
      </c>
      <c r="B96" s="76" t="n">
        <v>31</v>
      </c>
      <c r="C96" s="76">
        <f>'Stock'!L14</f>
        <v/>
      </c>
      <c r="D96" s="76">
        <f>C96-B96</f>
        <v/>
      </c>
      <c r="F96" s="84">
        <f>'Stock'!L14*'Stock'!O14</f>
        <v/>
      </c>
      <c r="G96" s="84">
        <f>D96*'Stock'!O14</f>
        <v/>
      </c>
    </row>
    <row r="97">
      <c r="A97" s="15" t="inlineStr">
        <is>
          <t>Steers</t>
        </is>
      </c>
      <c r="B97" s="76" t="n">
        <v>5</v>
      </c>
      <c r="C97" s="76">
        <f>'Stock'!L15</f>
        <v/>
      </c>
      <c r="D97" s="76">
        <f>C97-B97</f>
        <v/>
      </c>
      <c r="F97" s="84">
        <f>'Stock'!L15*'Stock'!O15</f>
        <v/>
      </c>
      <c r="G97" s="84">
        <f>D97*'Stock'!O15</f>
        <v/>
      </c>
    </row>
    <row r="98">
      <c r="A98" s="15" t="inlineStr">
        <is>
          <t>Bullocks</t>
        </is>
      </c>
      <c r="B98" s="76" t="n">
        <v>6</v>
      </c>
      <c r="C98" s="76">
        <f>'Stock'!L16</f>
        <v/>
      </c>
      <c r="D98" s="76">
        <f>C98-B98</f>
        <v/>
      </c>
      <c r="F98" s="84">
        <f>'Stock'!L16*'Stock'!O16</f>
        <v/>
      </c>
      <c r="G98" s="84">
        <f>D98*'Stock'!O16</f>
        <v/>
      </c>
    </row>
    <row r="99">
      <c r="A99" s="15" t="inlineStr">
        <is>
          <t>Yearlings</t>
        </is>
      </c>
      <c r="B99" s="76" t="n">
        <v>5</v>
      </c>
      <c r="C99" s="76">
        <f>'Stock'!L17</f>
        <v/>
      </c>
      <c r="D99" s="76">
        <f>C99-B99</f>
        <v/>
      </c>
      <c r="F99" s="84">
        <f>'Stock'!L17*'Stock'!O17</f>
        <v/>
      </c>
      <c r="G99" s="84">
        <f>D99*'Stock'!O17</f>
        <v/>
      </c>
    </row>
    <row r="100">
      <c r="A100" s="15" t="inlineStr">
        <is>
          <t>Calves</t>
        </is>
      </c>
      <c r="B100" s="76" t="n">
        <v>0</v>
      </c>
      <c r="C100" s="76">
        <f>'Stock'!L18</f>
        <v/>
      </c>
      <c r="D100" s="76">
        <f>C100-B100</f>
        <v/>
      </c>
      <c r="F100" s="84">
        <f>'Stock'!L18*'Stock'!O18</f>
        <v/>
      </c>
      <c r="G100" s="84">
        <f>D100*'Stock'!O18</f>
        <v/>
      </c>
    </row>
    <row r="101">
      <c r="A101" s="15" t="inlineStr">
        <is>
          <t>Wethers</t>
        </is>
      </c>
      <c r="B101" s="76" t="n">
        <v>0</v>
      </c>
      <c r="C101" s="76">
        <f>'Stock'!L19</f>
        <v/>
      </c>
      <c r="D101" s="76">
        <f>C101-B101</f>
        <v/>
      </c>
      <c r="F101" s="84">
        <f>'Stock'!L19*'Stock'!O19</f>
        <v/>
      </c>
      <c r="G101" s="84">
        <f>D101*'Stock'!O19</f>
        <v/>
      </c>
    </row>
    <row r="102">
      <c r="A102" s="15" t="inlineStr">
        <is>
          <t>Rams</t>
        </is>
      </c>
      <c r="B102" s="76" t="n">
        <v>8</v>
      </c>
      <c r="C102" s="76">
        <f>'Stock'!L20</f>
        <v/>
      </c>
      <c r="D102" s="76">
        <f>C102-B102</f>
        <v/>
      </c>
      <c r="F102" s="84">
        <f>'Stock'!L20*'Stock'!O20</f>
        <v/>
      </c>
      <c r="G102" s="84">
        <f>D102*'Stock'!O20</f>
        <v/>
      </c>
    </row>
    <row r="103">
      <c r="A103" s="15" t="inlineStr">
        <is>
          <t>Ewes</t>
        </is>
      </c>
      <c r="B103" s="76" t="n">
        <v>313</v>
      </c>
      <c r="C103" s="76">
        <f>'Stock'!L21</f>
        <v/>
      </c>
      <c r="D103" s="76">
        <f>C103-B103</f>
        <v/>
      </c>
      <c r="F103" s="84">
        <f>'Stock'!L21*'Stock'!O21</f>
        <v/>
      </c>
      <c r="G103" s="84">
        <f>D103*'Stock'!O21</f>
        <v/>
      </c>
    </row>
    <row r="104">
      <c r="A104" s="15" t="inlineStr">
        <is>
          <t>Hoggs</t>
        </is>
      </c>
      <c r="B104" s="76" t="n">
        <v>0</v>
      </c>
      <c r="C104" s="76">
        <f>'Stock'!L22</f>
        <v/>
      </c>
      <c r="D104" s="76">
        <f>C104-B104</f>
        <v/>
      </c>
      <c r="F104" s="84">
        <f>'Stock'!L22*'Stock'!O22</f>
        <v/>
      </c>
      <c r="G104" s="84">
        <f>D104*'Stock'!O22</f>
        <v/>
      </c>
    </row>
    <row r="105">
      <c r="A105" s="15" t="inlineStr">
        <is>
          <t>Lambs</t>
        </is>
      </c>
      <c r="B105" s="76" t="n">
        <v>84</v>
      </c>
      <c r="C105" s="76">
        <f>'Stock'!L23</f>
        <v/>
      </c>
      <c r="D105" s="76">
        <f>C105-B105</f>
        <v/>
      </c>
      <c r="F105" s="84">
        <f>'Stock'!L23*'Stock'!O23</f>
        <v/>
      </c>
      <c r="G105" s="84">
        <f>D105*'Stock'!O23</f>
        <v/>
      </c>
    </row>
    <row r="106">
      <c r="A106" s="15" t="inlineStr">
        <is>
          <t>Boars</t>
        </is>
      </c>
      <c r="B106" s="76" t="n">
        <v>0</v>
      </c>
      <c r="C106" s="76">
        <f>'Stock'!L24</f>
        <v/>
      </c>
      <c r="D106" s="76">
        <f>C106-B106</f>
        <v/>
      </c>
      <c r="F106" s="84">
        <f>'Stock'!L24*'Stock'!O24</f>
        <v/>
      </c>
      <c r="G106" s="84">
        <f>D106*'Stock'!O24</f>
        <v/>
      </c>
    </row>
    <row r="107">
      <c r="A107" s="15" t="inlineStr">
        <is>
          <t>Sows</t>
        </is>
      </c>
      <c r="B107" s="76" t="n">
        <v>3</v>
      </c>
      <c r="C107" s="76">
        <f>'Stock'!L25</f>
        <v/>
      </c>
      <c r="D107" s="76">
        <f>C107-B107</f>
        <v/>
      </c>
      <c r="F107" s="84">
        <f>'Stock'!L25*'Stock'!O25</f>
        <v/>
      </c>
      <c r="G107" s="84">
        <f>D107*'Stock'!O25</f>
        <v/>
      </c>
    </row>
    <row r="108">
      <c r="A108" s="15" t="inlineStr">
        <is>
          <t>Pigs</t>
        </is>
      </c>
      <c r="B108" s="76" t="n">
        <v>29</v>
      </c>
      <c r="C108" s="76">
        <f>'Stock'!L26</f>
        <v/>
      </c>
      <c r="D108" s="76">
        <f>C108-B108</f>
        <v/>
      </c>
      <c r="F108" s="84">
        <f>'Stock'!L26*'Stock'!O26</f>
        <v/>
      </c>
      <c r="G108" s="84">
        <f>D108*'Stock'!O26</f>
        <v/>
      </c>
    </row>
    <row r="109">
      <c r="A109" s="15" t="inlineStr">
        <is>
          <t>Hoggets</t>
        </is>
      </c>
      <c r="B109" s="76" t="n">
        <v>32</v>
      </c>
      <c r="C109" s="76">
        <f>'Stock'!L27</f>
        <v/>
      </c>
      <c r="D109" s="76">
        <f>C109-B109</f>
        <v/>
      </c>
      <c r="F109" s="84">
        <f>'Stock'!L27*'Stock'!O27</f>
        <v/>
      </c>
      <c r="G109" s="84">
        <f>D109*'Stock'!O27</f>
        <v/>
      </c>
    </row>
    <row r="110">
      <c r="A110" s="15" t="inlineStr">
        <is>
          <t>Piglets</t>
        </is>
      </c>
      <c r="B110" s="76" t="n">
        <v>13</v>
      </c>
      <c r="C110" s="76">
        <f>'Stock'!L28</f>
        <v/>
      </c>
      <c r="D110" s="76">
        <f>C110-B110</f>
        <v/>
      </c>
      <c r="F110" s="84">
        <f>'Stock'!L28*'Stock'!O28</f>
        <v/>
      </c>
      <c r="G110" s="84">
        <f>D110*'Stock'!O28</f>
        <v/>
      </c>
    </row>
    <row r="111">
      <c r="A111" s="15" t="inlineStr">
        <is>
          <t>Swans</t>
        </is>
      </c>
      <c r="B111" s="76" t="n">
        <v>0</v>
      </c>
      <c r="C111" s="76">
        <f>'Stock'!L29</f>
        <v/>
      </c>
      <c r="D111" s="76">
        <f>C111-B111</f>
        <v/>
      </c>
      <c r="F111" s="84">
        <f>'Stock'!L29*'Stock'!O29</f>
        <v/>
      </c>
      <c r="G111" s="84">
        <f>D111*'Stock'!O29</f>
        <v/>
      </c>
    </row>
    <row r="112">
      <c r="A112" s="15" t="inlineStr">
        <is>
          <t>Peacocks</t>
        </is>
      </c>
      <c r="B112" s="76" t="n">
        <v>0</v>
      </c>
      <c r="C112" s="76">
        <f>'Stock'!L30</f>
        <v/>
      </c>
      <c r="D112" s="76">
        <f>C112-B112</f>
        <v/>
      </c>
      <c r="F112" s="84">
        <f>'Stock'!L30*'Stock'!O30</f>
        <v/>
      </c>
      <c r="G112" s="84">
        <f>D112*'Stock'!O30</f>
        <v/>
      </c>
    </row>
    <row r="113">
      <c r="A113" s="17" t="inlineStr">
        <is>
          <t>Total value of stock (sum of the above)</t>
        </is>
      </c>
      <c r="B113" s="93" t="n"/>
      <c r="C113" s="94" t="n"/>
      <c r="D113" s="93" t="n"/>
      <c r="E113" s="93" t="n"/>
      <c r="F113" s="107">
        <f>SUM(F87:F112)</f>
        <v/>
      </c>
      <c r="G113" s="107">
        <f>SUM(G87:G112)</f>
        <v/>
      </c>
    </row>
    <row r="114">
      <c r="A114" s="17" t="inlineStr">
        <is>
          <t>Total value of production</t>
        </is>
      </c>
      <c r="B114" s="93" t="n"/>
      <c r="C114" s="94" t="n"/>
      <c r="D114" s="93" t="n"/>
      <c r="E114" s="93" t="n"/>
      <c r="F114" s="107">
        <f>SUM('Stock'!T5:T30)</f>
        <v/>
      </c>
      <c r="G114" s="107" t="n"/>
    </row>
    <row r="115">
      <c r="A115" s="17" t="inlineStr">
        <is>
          <t>Value of sales</t>
        </is>
      </c>
      <c r="B115" s="93" t="n"/>
      <c r="C115" s="94" t="n"/>
      <c r="D115" s="93" t="n"/>
      <c r="E115" s="93" t="n"/>
      <c r="F115" s="107">
        <f>SUM('Stock'!R5:R30)</f>
        <v/>
      </c>
      <c r="G115" s="107" t="n"/>
    </row>
    <row r="116">
      <c r="A116" s="15" t="n"/>
    </row>
    <row r="117">
      <c r="A117" s="16" t="inlineStr">
        <is>
          <t>Wool</t>
        </is>
      </c>
      <c r="B117" s="95" t="inlineStr">
        <is>
          <t>Begin stock</t>
        </is>
      </c>
      <c r="C117" s="95" t="inlineStr">
        <is>
          <t>End stock</t>
        </is>
      </c>
      <c r="D117" s="95" t="inlineStr">
        <is>
          <t>Stockbuilding</t>
        </is>
      </c>
      <c r="E117" s="95" t="n"/>
      <c r="F117" s="95" t="inlineStr">
        <is>
          <t>Value of stock in £</t>
        </is>
      </c>
    </row>
    <row r="118">
      <c r="A118" s="22" t="inlineStr">
        <is>
          <t>Fleeces</t>
        </is>
      </c>
      <c r="B118" t="n">
        <v>0</v>
      </c>
      <c r="C118" t="n">
        <v>0</v>
      </c>
      <c r="D118" t="n">
        <v>0</v>
      </c>
      <c r="G118" s="96" t="n"/>
    </row>
    <row r="119">
      <c r="A119" s="15" t="inlineStr">
        <is>
          <t>Coarse wool</t>
        </is>
      </c>
      <c r="B119" t="n">
        <v>0</v>
      </c>
      <c r="C119" t="n">
        <v>0</v>
      </c>
      <c r="D119" t="n">
        <v>0</v>
      </c>
    </row>
    <row r="120">
      <c r="A120" s="15" t="inlineStr">
        <is>
          <t>Lamb's wool</t>
        </is>
      </c>
      <c r="B120" t="n">
        <v>0</v>
      </c>
      <c r="C120" t="n">
        <v>0</v>
      </c>
      <c r="D120" t="n">
        <v>0</v>
      </c>
    </row>
    <row r="121">
      <c r="A121" s="15" t="inlineStr">
        <is>
          <t>Wool locks</t>
        </is>
      </c>
      <c r="B121" t="n">
        <v>0</v>
      </c>
      <c r="C121" t="n">
        <v>0</v>
      </c>
      <c r="D121" t="n">
        <v>0</v>
      </c>
    </row>
    <row r="122">
      <c r="A122" s="15" t="inlineStr">
        <is>
          <t>Wool sold at shearing</t>
        </is>
      </c>
      <c r="B122" t="n">
        <v>0</v>
      </c>
      <c r="C122" t="n">
        <v>0</v>
      </c>
      <c r="D122" t="n">
        <v>0</v>
      </c>
    </row>
    <row r="123">
      <c r="A123" s="119" t="inlineStr">
        <is>
          <t>Total value of production (sum of the above)</t>
        </is>
      </c>
      <c r="B123" s="93" t="n"/>
      <c r="C123" s="94" t="n"/>
      <c r="D123" s="93" t="n"/>
      <c r="E123" s="93" t="n"/>
      <c r="F123" s="93">
        <f>SUM(F118:F122)</f>
        <v/>
      </c>
    </row>
    <row r="124">
      <c r="A124" s="119" t="inlineStr">
        <is>
          <t>Value of sales</t>
        </is>
      </c>
      <c r="B124" s="93" t="n"/>
      <c r="C124" s="94" t="n"/>
      <c r="D124" s="93" t="n"/>
      <c r="E124" s="93" t="n"/>
      <c r="F124" s="93" t="n"/>
    </row>
    <row r="125">
      <c r="A125" s="8" t="n"/>
    </row>
    <row r="126">
      <c r="A126" s="16" t="inlineStr">
        <is>
          <t>Hides</t>
        </is>
      </c>
      <c r="B126" s="95" t="inlineStr">
        <is>
          <t>Begin stock</t>
        </is>
      </c>
      <c r="C126" s="95" t="inlineStr">
        <is>
          <t>End stock</t>
        </is>
      </c>
      <c r="D126" s="95" t="inlineStr">
        <is>
          <t>Stockbuilding</t>
        </is>
      </c>
      <c r="E126" s="95" t="n"/>
      <c r="F126" s="95" t="inlineStr">
        <is>
          <t>Value of stock in £</t>
        </is>
      </c>
    </row>
    <row r="127">
      <c r="A127" s="15" t="inlineStr">
        <is>
          <t>Ox hides</t>
        </is>
      </c>
      <c r="B127" t="n">
        <v>0</v>
      </c>
      <c r="C127" t="n">
        <v>0</v>
      </c>
      <c r="D127" t="n">
        <v>0</v>
      </c>
      <c r="G127" s="96" t="n"/>
    </row>
    <row r="128">
      <c r="A128" s="15" t="inlineStr">
        <is>
          <t>Cow hides</t>
        </is>
      </c>
      <c r="B128" t="n">
        <v>0</v>
      </c>
      <c r="C128" t="n">
        <v>0</v>
      </c>
      <c r="D128" t="n">
        <v>0</v>
      </c>
    </row>
    <row r="129">
      <c r="A129" s="15" t="inlineStr">
        <is>
          <t>Mare hides</t>
        </is>
      </c>
      <c r="B129" t="n">
        <v>0</v>
      </c>
      <c r="C129" t="n">
        <v>0</v>
      </c>
      <c r="D129" t="n">
        <v>0</v>
      </c>
    </row>
    <row r="130">
      <c r="A130" s="15" t="inlineStr">
        <is>
          <t>Steer hides</t>
        </is>
      </c>
      <c r="B130" t="n">
        <v>0</v>
      </c>
      <c r="C130" t="n">
        <v>0</v>
      </c>
      <c r="D130" t="n">
        <v>0</v>
      </c>
    </row>
    <row r="131">
      <c r="A131" s="15" t="inlineStr">
        <is>
          <t>Yearling Calf hides</t>
        </is>
      </c>
      <c r="B131" t="n">
        <v>0</v>
      </c>
      <c r="C131" t="n">
        <v>0</v>
      </c>
      <c r="D131" t="n">
        <v>0</v>
      </c>
    </row>
    <row r="132">
      <c r="A132" s="15" t="inlineStr">
        <is>
          <t>Calf hides</t>
        </is>
      </c>
      <c r="B132" t="n">
        <v>0</v>
      </c>
      <c r="C132" t="n">
        <v>0</v>
      </c>
      <c r="D132" t="n">
        <v>0</v>
      </c>
    </row>
    <row r="133">
      <c r="A133" s="23" t="inlineStr">
        <is>
          <t>Pig hides</t>
        </is>
      </c>
      <c r="B133" t="n">
        <v>0</v>
      </c>
      <c r="C133" t="n">
        <v>0</v>
      </c>
      <c r="D133" t="n">
        <v>0</v>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c r="B138" t="n">
        <v>0</v>
      </c>
      <c r="C138" t="n">
        <v>0</v>
      </c>
      <c r="D138" t="n">
        <v>0</v>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c r="B143" t="n">
        <v>0</v>
      </c>
      <c r="C143" t="n">
        <v>0</v>
      </c>
      <c r="D143" t="n">
        <v>0</v>
      </c>
    </row>
    <row r="144">
      <c r="A144" s="15" t="inlineStr">
        <is>
          <t>Lambskins</t>
        </is>
      </c>
      <c r="B144" t="n">
        <v>0</v>
      </c>
      <c r="C144" t="n">
        <v>0</v>
      </c>
      <c r="D144" t="n">
        <v>0</v>
      </c>
    </row>
    <row r="145">
      <c r="A145" s="15" t="inlineStr">
        <is>
          <t>Rotted skins</t>
        </is>
      </c>
      <c r="B145" t="n">
        <v>0</v>
      </c>
      <c r="C145" t="n">
        <v>0</v>
      </c>
      <c r="D145" t="n">
        <v>0</v>
      </c>
    </row>
    <row r="146">
      <c r="A146" s="15" t="inlineStr">
        <is>
          <t>Shorn skins</t>
        </is>
      </c>
      <c r="B146" t="n">
        <v>0</v>
      </c>
      <c r="C146" t="n">
        <v>0</v>
      </c>
      <c r="D146" t="n">
        <v>0</v>
      </c>
    </row>
    <row r="147">
      <c r="A147" s="17" t="inlineStr">
        <is>
          <t>Total value of production (sum of the above)</t>
        </is>
      </c>
      <c r="B147" s="93" t="n"/>
      <c r="C147" s="94" t="n"/>
      <c r="D147" s="93" t="n"/>
      <c r="E147" s="93" t="n"/>
      <c r="F147" s="93" t="n"/>
    </row>
    <row r="148">
      <c r="A148" s="17" t="inlineStr">
        <is>
          <t>Value of sales</t>
        </is>
      </c>
      <c r="B148" s="93" t="n"/>
      <c r="C148" s="94" t="n"/>
      <c r="D148" s="93" t="n"/>
      <c r="E148" s="93" t="n"/>
      <c r="F148" s="93" t="n"/>
    </row>
    <row r="149">
      <c r="A149" s="15" t="n"/>
    </row>
    <row r="150">
      <c r="A150" s="16" t="inlineStr">
        <is>
          <t>Poultry stock</t>
        </is>
      </c>
      <c r="B150" s="95" t="inlineStr">
        <is>
          <t>Begin stock</t>
        </is>
      </c>
      <c r="C150" s="95" t="inlineStr">
        <is>
          <t>End stock</t>
        </is>
      </c>
      <c r="D150" s="95" t="inlineStr">
        <is>
          <t>Stockbuilding</t>
        </is>
      </c>
      <c r="E150" s="95" t="n"/>
      <c r="F150" s="95" t="inlineStr">
        <is>
          <t>Value of stock in £</t>
        </is>
      </c>
    </row>
    <row r="151">
      <c r="A151" s="22" t="inlineStr">
        <is>
          <t>Hens</t>
        </is>
      </c>
      <c r="B151" s="76">
        <f>'Stock'!B67</f>
        <v/>
      </c>
      <c r="C151" s="76">
        <f>'Stock'!B67-'Stock'!M67</f>
        <v/>
      </c>
      <c r="D151" s="76">
        <f>B151-C151</f>
        <v/>
      </c>
      <c r="F151" s="76">
        <f>'Stock'!Q67</f>
        <v/>
      </c>
      <c r="G151" s="96" t="n"/>
    </row>
    <row r="152">
      <c r="A152" s="15" t="inlineStr">
        <is>
          <t>Geese</t>
        </is>
      </c>
      <c r="B152" s="76">
        <f>'Stock'!B68</f>
        <v/>
      </c>
      <c r="C152" s="76">
        <f>'Stock'!B68-'Stock'!M68</f>
        <v/>
      </c>
      <c r="D152" s="76">
        <f>B152-C152</f>
        <v/>
      </c>
      <c r="F152" s="76">
        <f>'Stock'!Q68</f>
        <v/>
      </c>
    </row>
    <row r="153">
      <c r="A153" s="15" t="inlineStr">
        <is>
          <t>Capons (from chickens)</t>
        </is>
      </c>
      <c r="B153" s="76" t="n">
        <v>0</v>
      </c>
      <c r="C153" s="76">
        <f>'Stock'!B69-'Stock'!M69</f>
        <v/>
      </c>
      <c r="D153" s="76">
        <f>B153-C153</f>
        <v/>
      </c>
      <c r="F153" s="76">
        <f>'Stock'!Q69</f>
        <v/>
      </c>
    </row>
    <row r="154">
      <c r="A154" s="15" t="inlineStr">
        <is>
          <t>Cocks &amp; hens</t>
        </is>
      </c>
      <c r="B154" s="76" t="n">
        <v>0</v>
      </c>
      <c r="C154" s="76">
        <f>'Stock'!B70-'Stock'!M70</f>
        <v/>
      </c>
      <c r="D154" s="76">
        <f>B154-C154</f>
        <v/>
      </c>
      <c r="F154" s="76">
        <f>'Stock'!Q70</f>
        <v/>
      </c>
    </row>
    <row r="155">
      <c r="A155" s="119" t="inlineStr">
        <is>
          <t>Total value of production (sum of the above)</t>
        </is>
      </c>
      <c r="B155" s="93" t="n"/>
      <c r="C155" s="93" t="n"/>
      <c r="D155" s="93" t="n"/>
      <c r="E155" s="93" t="n"/>
      <c r="F155" s="93">
        <f>SUM(F151:F154)</f>
        <v/>
      </c>
    </row>
    <row r="156">
      <c r="A156" s="119" t="inlineStr">
        <is>
          <t>Value of sales</t>
        </is>
      </c>
      <c r="B156" s="93" t="n"/>
      <c r="C156" s="94" t="n"/>
      <c r="D156" s="93" t="n"/>
      <c r="E156" s="93" t="n"/>
      <c r="F156" s="93">
        <f>SUM('Stock'!R67:R70)</f>
        <v/>
      </c>
    </row>
    <row r="157">
      <c r="A157" s="15" t="n"/>
    </row>
    <row r="158">
      <c r="A158" s="16" t="inlineStr">
        <is>
          <t>Poultry production</t>
        </is>
      </c>
      <c r="B158" s="95" t="inlineStr">
        <is>
          <t>Begin stock</t>
        </is>
      </c>
      <c r="C158" s="95" t="inlineStr">
        <is>
          <t>End stock</t>
        </is>
      </c>
      <c r="D158" s="95" t="inlineStr">
        <is>
          <t>Stockbuilding</t>
        </is>
      </c>
      <c r="E158" s="95" t="n"/>
      <c r="F158" s="95" t="inlineStr">
        <is>
          <t>Value of stock in £</t>
        </is>
      </c>
    </row>
    <row r="159">
      <c r="A159" s="15" t="inlineStr">
        <is>
          <t>Eggs</t>
        </is>
      </c>
      <c r="B159" t="n">
        <v>0</v>
      </c>
      <c r="C159" t="n">
        <v>0</v>
      </c>
      <c r="D159" t="n">
        <v>0</v>
      </c>
      <c r="G159" s="116" t="n"/>
    </row>
    <row r="160">
      <c r="A160" s="15" t="inlineStr">
        <is>
          <t>Cocks &amp; hens from churchscot of customary tenants</t>
        </is>
      </c>
      <c r="B160" t="n">
        <v>0</v>
      </c>
      <c r="C160" t="n">
        <v>0</v>
      </c>
      <c r="D160" t="n">
        <v>0</v>
      </c>
    </row>
    <row r="161">
      <c r="A161" s="15" t="inlineStr">
        <is>
          <t>Sum of above</t>
        </is>
      </c>
      <c r="B161" t="n">
        <v>0</v>
      </c>
      <c r="C161" t="n">
        <v>0</v>
      </c>
      <c r="D161" t="n">
        <v>0</v>
      </c>
    </row>
    <row r="162">
      <c r="A162" s="17" t="inlineStr">
        <is>
          <t>Total value of stock</t>
        </is>
      </c>
      <c r="B162" s="93" t="n"/>
      <c r="C162" s="94" t="n"/>
      <c r="D162" s="93" t="n"/>
      <c r="E162" s="93" t="n"/>
      <c r="F162" s="93">
        <f>SUM(F159:F160)</f>
        <v/>
      </c>
    </row>
    <row r="163">
      <c r="A163" s="17" t="inlineStr">
        <is>
          <t>Value of sales</t>
        </is>
      </c>
      <c r="B163" s="93" t="n"/>
      <c r="C163" s="94" t="n"/>
      <c r="D163" s="93" t="n"/>
      <c r="E163" s="93" t="n"/>
      <c r="F163" s="93" t="n"/>
    </row>
    <row r="164">
      <c r="A164" s="15" t="n"/>
    </row>
    <row r="165">
      <c r="A165" s="16" t="inlineStr">
        <is>
          <t>Dairy Production</t>
        </is>
      </c>
      <c r="B165" s="95" t="inlineStr">
        <is>
          <t>Begin stock</t>
        </is>
      </c>
      <c r="C165" s="95" t="inlineStr">
        <is>
          <t>End stock</t>
        </is>
      </c>
      <c r="D165" s="95" t="inlineStr">
        <is>
          <t>Stockbuilding</t>
        </is>
      </c>
      <c r="E165" s="95" t="n"/>
      <c r="F165" s="95" t="inlineStr">
        <is>
          <t>Value of stock in £</t>
        </is>
      </c>
    </row>
    <row r="166">
      <c r="A166" s="15" t="inlineStr">
        <is>
          <t>Butter</t>
        </is>
      </c>
      <c r="B166" t="n">
        <v>0</v>
      </c>
      <c r="C166" t="n">
        <v>0</v>
      </c>
      <c r="D166" t="n">
        <v>0</v>
      </c>
      <c r="G166" s="116" t="n"/>
    </row>
    <row r="167">
      <c r="A167" s="15" t="inlineStr">
        <is>
          <t>Winter Cheese</t>
        </is>
      </c>
      <c r="B167" t="n">
        <v>0</v>
      </c>
      <c r="C167" t="n">
        <v>0</v>
      </c>
      <c r="D167" t="n">
        <v>0</v>
      </c>
    </row>
    <row r="168">
      <c r="A168" s="15" t="inlineStr">
        <is>
          <t>Summer Cheese</t>
        </is>
      </c>
      <c r="B168" t="n">
        <v>0</v>
      </c>
      <c r="C168" t="n">
        <v>0</v>
      </c>
      <c r="D168" t="n">
        <v>0</v>
      </c>
    </row>
    <row r="169">
      <c r="A169" s="17" t="inlineStr">
        <is>
          <t>Total value of production (sum of the above)</t>
        </is>
      </c>
      <c r="B169" s="93" t="n"/>
      <c r="C169" s="94" t="n"/>
      <c r="D169" s="93" t="n"/>
      <c r="E169" s="93" t="n"/>
      <c r="F169" s="93">
        <f>SUM(F166:F168)</f>
        <v/>
      </c>
    </row>
    <row r="170">
      <c r="A170" s="17" t="inlineStr">
        <is>
          <t>Value of sales</t>
        </is>
      </c>
      <c r="B170" s="93" t="n"/>
      <c r="C170" s="94" t="n"/>
      <c r="D170" s="93" t="n"/>
      <c r="E170" s="93" t="n"/>
      <c r="F170" s="93" t="n"/>
    </row>
    <row r="171">
      <c r="A171" s="15" t="n"/>
    </row>
    <row r="172">
      <c r="A172" s="15" t="n"/>
    </row>
    <row r="173" ht="16" customHeight="1" thickBot="1"/>
    <row r="174" ht="16" customHeight="1" thickBot="1">
      <c r="A174" s="103" t="n"/>
      <c r="B174" s="104" t="inlineStr">
        <is>
          <t>Total in £</t>
        </is>
      </c>
      <c r="C174" s="105" t="n"/>
      <c r="D174" s="108" t="n"/>
      <c r="E174" s="108" t="n"/>
      <c r="F174" s="109" t="n"/>
    </row>
    <row r="175">
      <c r="A175" s="97" t="inlineStr">
        <is>
          <t>Total Production Value of all Output (Grange, Dairy, Livestock Sales, Wools, Skins - NO Mill)</t>
        </is>
      </c>
      <c r="B175" s="110">
        <f>F169+F162+F155+F147+F123+F115+E72</f>
        <v/>
      </c>
      <c r="D175" s="111" t="n"/>
      <c r="E175" s="111" t="n"/>
      <c r="F175" s="112" t="n"/>
    </row>
    <row r="176">
      <c r="A176" s="98" t="inlineStr">
        <is>
          <t>Total Sales Value of all Output as defined above</t>
        </is>
      </c>
      <c r="B176" s="110">
        <f>F170+F163+F156+F148+F124+F115+D73</f>
        <v/>
      </c>
      <c r="D176" s="111" t="n"/>
      <c r="E176" s="111" t="n"/>
      <c r="F176" s="112" t="n"/>
    </row>
    <row r="177">
      <c r="A177" s="98" t="inlineStr">
        <is>
          <t>Total Sales of Corn + Issues of the Manor as recorded in account</t>
        </is>
      </c>
      <c r="B177" s="110">
        <f>B15+B18</f>
        <v/>
      </c>
      <c r="D177" s="111" t="n"/>
      <c r="E177" s="111" t="n"/>
      <c r="F177" s="112" t="n"/>
    </row>
    <row r="178">
      <c r="A178" s="98" t="inlineStr">
        <is>
          <t>Production Value + Cash Receipts (excl. Arrears, Issues, Corn and Mill)</t>
        </is>
      </c>
      <c r="B178" s="110">
        <f>B175+B12+B13+B14+B16+B17+B19+B20+B21+B22</f>
        <v/>
      </c>
      <c r="D178" s="111" t="n"/>
      <c r="E178" s="111" t="n"/>
      <c r="F178" s="112" t="n"/>
    </row>
    <row r="179">
      <c r="A179" s="99" t="n"/>
      <c r="B179" s="111" t="n"/>
      <c r="D179" s="111" t="n"/>
      <c r="E179" s="111" t="n"/>
      <c r="F179" s="112" t="n"/>
    </row>
    <row r="180">
      <c r="A180" s="100" t="inlineStr">
        <is>
          <t>% of capital expenses in terms of total production</t>
        </is>
      </c>
      <c r="B180" s="113">
        <f>B47/B175</f>
        <v/>
      </c>
      <c r="C180" s="13" t="n"/>
      <c r="F180" s="112" t="n"/>
    </row>
    <row r="181">
      <c r="A181" s="98" t="inlineStr">
        <is>
          <t>% of capital expenses in terms of total production + cash receipts</t>
        </is>
      </c>
      <c r="B181" s="113">
        <f>B47/B178</f>
        <v/>
      </c>
      <c r="D181" s="111" t="n"/>
      <c r="E181" s="111" t="n"/>
      <c r="F181" s="112" t="n"/>
    </row>
    <row r="182">
      <c r="A182" s="99" t="n"/>
      <c r="D182" s="111" t="n"/>
      <c r="E182" s="111" t="n"/>
      <c r="F182" s="112" t="n"/>
    </row>
    <row r="183" ht="16" customHeight="1" thickBot="1">
      <c r="A183" s="101" t="inlineStr">
        <is>
          <t>% of capital expenses as calculated previously</t>
        </is>
      </c>
      <c r="B183" s="106" t="inlineStr">
        <is>
          <t>n/a</t>
        </is>
      </c>
      <c r="C183" s="102" t="n"/>
      <c r="D183" s="114" t="n"/>
      <c r="E183" s="114" t="n"/>
      <c r="F183" s="115"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27"/>
  <sheetViews>
    <sheetView topLeftCell="A1" workbookViewId="0">
      <selection activeCell="A1" sqref="A1"/>
    </sheetView>
  </sheetViews>
  <sheetFormatPr baseColWidth="8" defaultRowHeight="15"/>
  <cols>
    <col width="41.453125" customWidth="1" min="1" max="1"/>
    <col width="8.81640625" customWidth="1" min="2" max="2"/>
    <col width="12.81640625" customWidth="1" min="6" max="6"/>
    <col width="8.81640625" customWidth="1" min="7" max="7"/>
    <col width="12.453125" customWidth="1" min="8" max="8"/>
    <col width="8.81640625" customWidth="1" min="9" max="9"/>
    <col width="8.81640625" customWidth="1" min="10" max="10"/>
  </cols>
  <sheetData>
    <row r="1">
      <c r="A1" s="127" t="inlineStr">
        <is>
          <t>WESTWYCOMBE RECEIPTS</t>
        </is>
      </c>
      <c r="B1" s="128" t="n"/>
      <c r="C1" s="128" t="n"/>
      <c r="D1" s="128" t="n"/>
      <c r="E1" s="128" t="n"/>
      <c r="F1" s="128" t="n"/>
      <c r="G1" s="128" t="n"/>
      <c r="H1" s="128" t="n"/>
      <c r="I1" s="128" t="n"/>
    </row>
    <row r="2">
      <c r="A2" s="129" t="inlineStr">
        <is>
          <t>Heading</t>
        </is>
      </c>
      <c r="B2" s="130" t="inlineStr">
        <is>
          <t>£</t>
        </is>
      </c>
      <c r="C2" s="131" t="inlineStr">
        <is>
          <t>s</t>
        </is>
      </c>
      <c r="D2" s="131" t="inlineStr">
        <is>
          <t>d</t>
        </is>
      </c>
      <c r="E2" s="131" t="n"/>
      <c r="F2" s="132" t="inlineStr">
        <is>
          <t>Total in £</t>
        </is>
      </c>
      <c r="G2" s="133" t="inlineStr">
        <is>
          <t>Error</t>
        </is>
      </c>
      <c r="H2" s="134" t="inlineStr">
        <is>
          <t>Notes</t>
        </is>
      </c>
      <c r="I2" s="135" t="inlineStr">
        <is>
          <t>Own notes</t>
        </is>
      </c>
    </row>
    <row r="3">
      <c r="A3" s="136" t="inlineStr">
        <is>
          <t>Arrears</t>
        </is>
      </c>
      <c r="B3" s="128" t="n">
        <v>1</v>
      </c>
      <c r="C3" s="128" t="n">
        <v>14</v>
      </c>
      <c r="D3" s="128" t="n">
        <v>2</v>
      </c>
      <c r="E3" s="128" t="n"/>
      <c r="F3" s="128" t="n">
        <v>1.71</v>
      </c>
      <c r="G3" s="128" t="n"/>
      <c r="H3" s="128" t="inlineStr">
        <is>
          <t>William Lythewey, farmer there, answers for £1 14 shilling 2pence of arrears from the last account of the preceding year.</t>
        </is>
      </c>
      <c r="I3" s="128" t="n"/>
    </row>
    <row r="4">
      <c r="A4" s="137" t="inlineStr">
        <is>
          <t>Arrears</t>
        </is>
      </c>
      <c r="B4" s="128" t="n">
        <v>1</v>
      </c>
      <c r="C4" s="128" t="n">
        <v>14</v>
      </c>
      <c r="D4" s="128" t="n">
        <v>2</v>
      </c>
      <c r="E4" s="128" t="n"/>
      <c r="F4" s="128" t="n">
        <v>1.71</v>
      </c>
      <c r="G4" s="128" t="n"/>
      <c r="H4" s="128" t="inlineStr">
        <is>
          <t>Total, £1 14 shilling 2pence.</t>
        </is>
      </c>
      <c r="I4" s="128" t="n"/>
    </row>
    <row r="5">
      <c r="A5" s="138" t="inlineStr">
        <is>
          <t>Arrears total</t>
        </is>
      </c>
      <c r="B5" s="139" t="n"/>
      <c r="C5" s="139" t="n"/>
      <c r="D5" s="139" t="n"/>
      <c r="E5" s="139" t="n"/>
      <c r="F5" s="139" t="n">
        <v>1.71</v>
      </c>
      <c r="G5" s="139" t="n">
        <v>0</v>
      </c>
      <c r="H5" s="139" t="inlineStr">
        <is>
          <t>Total</t>
        </is>
      </c>
      <c r="I5" s="139" t="n"/>
    </row>
    <row r="6">
      <c r="A6" s="137" t="n"/>
      <c r="B6" s="128" t="n"/>
      <c r="C6" s="128" t="n"/>
      <c r="D6" s="128" t="n"/>
      <c r="E6" s="128" t="n"/>
      <c r="F6" s="128" t="n"/>
      <c r="G6" s="128" t="n"/>
      <c r="H6" s="128" t="n"/>
      <c r="I6" s="128" t="n"/>
    </row>
    <row r="7">
      <c r="A7" s="136" t="inlineStr">
        <is>
          <t>Issues of the manor</t>
        </is>
      </c>
      <c r="B7" s="128" t="n">
        <v>0</v>
      </c>
      <c r="C7" s="128" t="n">
        <v>13</v>
      </c>
      <c r="D7" s="128" t="n">
        <v>6</v>
      </c>
      <c r="E7" s="128" t="n"/>
      <c r="F7" s="128" t="n">
        <v>0.68</v>
      </c>
      <c r="G7" s="128" t="n"/>
      <c r="H7" s="128" t="inlineStr">
        <is>
          <t>And for 13 shilling 6pence from the woolskins sold of 50 ewes in murrain before shearing as made clear elsewhere, at 3pence a skin.</t>
        </is>
      </c>
      <c r="I7" s="128" t="n"/>
    </row>
    <row r="8">
      <c r="A8" s="137" t="inlineStr">
        <is>
          <t>Issues of the manor</t>
        </is>
      </c>
      <c r="B8" s="128" t="n">
        <v>0</v>
      </c>
      <c r="C8" s="128" t="n">
        <v>13</v>
      </c>
      <c r="D8" s="128" t="n">
        <v>6</v>
      </c>
      <c r="E8" s="128" t="n"/>
      <c r="F8" s="128" t="n">
        <v>0.68</v>
      </c>
      <c r="G8" s="128" t="n"/>
      <c r="H8" s="128" t="inlineStr">
        <is>
          <t>Total, 13 shilling 6pence.</t>
        </is>
      </c>
      <c r="I8" s="128" t="n"/>
    </row>
    <row r="9">
      <c r="A9" s="138" t="inlineStr">
        <is>
          <t>Issues of the manor total</t>
        </is>
      </c>
      <c r="B9" s="139" t="n"/>
      <c r="C9" s="139" t="n"/>
      <c r="D9" s="139" t="n"/>
      <c r="E9" s="139" t="n"/>
      <c r="F9" s="139" t="n">
        <v>0.68</v>
      </c>
      <c r="G9" s="139" t="n">
        <v>0</v>
      </c>
      <c r="H9" s="139" t="inlineStr">
        <is>
          <t>Total</t>
        </is>
      </c>
      <c r="I9" s="139" t="n"/>
    </row>
    <row r="10">
      <c r="A10" s="137" t="n"/>
      <c r="B10" s="128" t="n"/>
      <c r="C10" s="128" t="n"/>
      <c r="D10" s="128" t="n"/>
      <c r="E10" s="128" t="n"/>
      <c r="F10" s="128" t="n"/>
      <c r="G10" s="128" t="n"/>
      <c r="H10" s="128" t="n"/>
      <c r="I10" s="128" t="n"/>
    </row>
    <row r="11">
      <c r="A11" s="136" t="inlineStr">
        <is>
          <t>Entry and marriage fines</t>
        </is>
      </c>
      <c r="B11" s="128" t="n">
        <v>0</v>
      </c>
      <c r="C11" s="128" t="n">
        <v>3</v>
      </c>
      <c r="D11" s="128" t="n">
        <v>4</v>
      </c>
      <c r="E11" s="128" t="n"/>
      <c r="F11" s="128" t="n">
        <v>0.17</v>
      </c>
      <c r="G11" s="128" t="n"/>
      <c r="H11" s="128" t="inlineStr">
        <is>
          <t>And for 3 shilling 4pence from John Lylye and Isabel his wife to have 1 messuage, 16.5 acres and the sixth part of 1 acre of land and 1 messuage, 11 acres and 1 rood of purpresture in the tithing of Booker, which belonged to John Lymmer' and which came into the lord's hands as his escheat because noone of the kin of the said John took steps to fine for the same although a proclamation was made according to the custom of the manor.</t>
        </is>
      </c>
      <c r="I11" s="128" t="n"/>
    </row>
    <row r="12">
      <c r="A12" s="137" t="inlineStr">
        <is>
          <t>Entry and marriage fines</t>
        </is>
      </c>
      <c r="B12" s="128" t="n">
        <v>0</v>
      </c>
      <c r="C12" s="128" t="n">
        <v>3</v>
      </c>
      <c r="D12" s="128" t="n">
        <v>4</v>
      </c>
      <c r="E12" s="128" t="n"/>
      <c r="F12" s="128" t="n">
        <v>0.17</v>
      </c>
      <c r="G12" s="128" t="n"/>
      <c r="H12" s="128" t="inlineStr">
        <is>
          <t>3 shilling 4pence from John Lylye and Isabel his wife to have 1 toft and 1 ferling of villein land in the tithing of Towerage called Rammesmere and formerly Campeden' which belonged to John Kyng', a stranger, and which the same John forfeited as the penalty for a felony.</t>
        </is>
      </c>
      <c r="I12" s="128" t="n"/>
    </row>
    <row r="13">
      <c r="A13" s="137" t="inlineStr">
        <is>
          <t>Entry and marriage fines</t>
        </is>
      </c>
      <c r="B13" s="128" t="n">
        <v>0</v>
      </c>
      <c r="C13" s="128" t="n">
        <v>2</v>
      </c>
      <c r="D13" s="128" t="n">
        <v>0</v>
      </c>
      <c r="E13" s="128" t="n"/>
      <c r="F13" s="128" t="n">
        <v>0.1</v>
      </c>
      <c r="G13" s="128" t="n"/>
      <c r="H13" s="128" t="inlineStr">
        <is>
          <t>2 shilling from John Flat to have 1 cottage with a curtilage of villein land called Flattes in the tithing of West Wycombe by surrender of Margery his mother.</t>
        </is>
      </c>
      <c r="I13" s="128" t="n"/>
    </row>
    <row r="14">
      <c r="A14" s="137" t="inlineStr">
        <is>
          <t>Entry and marriage fines</t>
        </is>
      </c>
      <c r="B14" s="128" t="n">
        <v>0</v>
      </c>
      <c r="C14" s="128" t="n">
        <v>5</v>
      </c>
      <c r="D14" s="128" t="n">
        <v>0</v>
      </c>
      <c r="E14" s="128" t="n"/>
      <c r="F14" s="128" t="n">
        <v>0.25</v>
      </c>
      <c r="G14" s="128" t="n"/>
      <c r="H14" s="128" t="inlineStr">
        <is>
          <t>5 shilling from John Flat to have 1 toft and .5 virgate of villein land in the tithing of West Wycombe which belonged to Simon Flat and which came into the lord's hands as his escheat because noone of the kin of the said Simon took steps to fine for the same although a proclamation was made according to the custom of the manor.</t>
        </is>
      </c>
      <c r="I14" s="128" t="n"/>
    </row>
    <row r="15">
      <c r="A15" s="137" t="inlineStr">
        <is>
          <t>Entry and marriage fines</t>
        </is>
      </c>
      <c r="B15" s="128" t="n">
        <v>0</v>
      </c>
      <c r="C15" s="128" t="n">
        <v>5</v>
      </c>
      <c r="D15" s="128" t="n">
        <v>4</v>
      </c>
      <c r="E15" s="128" t="n"/>
      <c r="F15" s="128" t="n">
        <v>0.27</v>
      </c>
      <c r="G15" s="128" t="n"/>
      <c r="H15" s="128" t="inlineStr">
        <is>
          <t>5 shilling from John Loot to have 1 messuage 1 virgate of villein land and .5 acre of purpresture in the tithing of Dounle which belonged to Thomas Gilberd', by surrender of Hugh Loot and Isabel his wife, who are examined about this in full court, and for which Agnes, daughter of John Gilbard', brother of the aforesaid Thomas, refused to fine in full court, and the aforesaid Agnes remised and released entirely all right and claim which she has or in any way will be able to have for herself and her heirs to the aforesaid John Loot, on condition that within three years he repairs the aforesaid tenement well and suitably. 1 shilling 4pence from Thomas Thresshere to have 1 loft with an adjacent garden of purpresture' in the tithing of Dounle by surrender of Stephen Berefeld'.</t>
        </is>
      </c>
      <c r="I15" s="128" t="n"/>
    </row>
    <row r="16">
      <c r="A16" s="137" t="inlineStr">
        <is>
          <t>Entry and marriage fines</t>
        </is>
      </c>
      <c r="B16" s="128" t="n">
        <v>0</v>
      </c>
      <c r="C16" s="128" t="n">
        <v>6</v>
      </c>
      <c r="D16" s="128" t="n">
        <v>8</v>
      </c>
      <c r="E16" s="128" t="n"/>
      <c r="F16" s="128" t="n">
        <v>0.33</v>
      </c>
      <c r="G16" s="128" t="n"/>
      <c r="H16" s="128" t="inlineStr">
        <is>
          <t>6 shilling 8pence from Thomas Gardener Smyth' to have 1 cottage of purpresture in the tithing of Brokhende by surrender of William Lythewey.</t>
        </is>
      </c>
      <c r="I16" s="128" t="n"/>
    </row>
    <row r="17">
      <c r="A17" s="137" t="inlineStr">
        <is>
          <t>Entry and marriage fines</t>
        </is>
      </c>
      <c r="B17" s="128" t="n">
        <v>0</v>
      </c>
      <c r="C17" s="128" t="n">
        <v>3</v>
      </c>
      <c r="D17" s="128" t="n">
        <v>4</v>
      </c>
      <c r="E17" s="128" t="n"/>
      <c r="F17" s="128" t="n">
        <v>0.17</v>
      </c>
      <c r="G17" s="128" t="n"/>
      <c r="H17" s="128" t="inlineStr">
        <is>
          <t>3 shilling 4pence from William Lythewey to have 1 cottage, 6.5 perches 7.5 feet long and 3.5 perches wide, of purpresture in the tithing of Brokhende by surrender of Thomas Garden' Smyth'.</t>
        </is>
      </c>
      <c r="I17" s="128" t="n"/>
    </row>
    <row r="18">
      <c r="A18" s="137" t="inlineStr">
        <is>
          <t>Entry and marriage fines</t>
        </is>
      </c>
      <c r="B18" s="128" t="n">
        <v>1</v>
      </c>
      <c r="C18" s="128" t="n">
        <v>15</v>
      </c>
      <c r="D18" s="128" t="n">
        <v>0</v>
      </c>
      <c r="E18" s="128" t="n"/>
      <c r="F18" s="128" t="n">
        <v>1.75</v>
      </c>
      <c r="G18" s="128" t="n"/>
      <c r="H18" s="128" t="inlineStr">
        <is>
          <t>Total, £1 15 shilling.</t>
        </is>
      </c>
      <c r="I18" s="128" t="n"/>
    </row>
    <row r="19">
      <c r="A19" s="138" t="inlineStr">
        <is>
          <t>Entry and marriage fines total</t>
        </is>
      </c>
      <c r="B19" s="139" t="n"/>
      <c r="C19" s="139" t="n"/>
      <c r="D19" s="139" t="n"/>
      <c r="E19" s="139" t="n"/>
      <c r="F19" s="139" t="n">
        <v>1.46</v>
      </c>
      <c r="G19" s="139" t="n">
        <v>-0.29</v>
      </c>
      <c r="H19" s="139" t="inlineStr">
        <is>
          <t>Total</t>
        </is>
      </c>
      <c r="I19" s="139" t="n"/>
    </row>
    <row r="20">
      <c r="A20" s="137" t="n"/>
      <c r="B20" s="128" t="n"/>
      <c r="C20" s="128" t="n"/>
      <c r="D20" s="128" t="n"/>
      <c r="E20" s="128" t="n"/>
      <c r="F20" s="128" t="n"/>
      <c r="G20" s="128" t="n"/>
      <c r="H20" s="128" t="n"/>
      <c r="I20" s="128" t="n"/>
    </row>
    <row r="21">
      <c r="A21" s="136" t="inlineStr">
        <is>
          <t>Perquisites of court</t>
        </is>
      </c>
      <c r="B21" s="128" t="n">
        <v>0</v>
      </c>
      <c r="C21" s="128" t="n">
        <v>3</v>
      </c>
      <c r="D21" s="128" t="n">
        <v>6</v>
      </c>
      <c r="E21" s="128" t="n"/>
      <c r="F21" s="128" t="n">
        <v>0.17</v>
      </c>
      <c r="G21" s="128" t="n"/>
      <c r="H21" s="128" t="inlineStr">
        <is>
          <t>And for 3 shilling 6pence from the perquisites of the tourn of Martinmas (11 November).</t>
        </is>
      </c>
      <c r="I21" s="128" t="n"/>
    </row>
    <row r="22">
      <c r="A22" s="137" t="inlineStr">
        <is>
          <t>Perquisites of court</t>
        </is>
      </c>
      <c r="B22" s="128" t="n">
        <v>0</v>
      </c>
      <c r="C22" s="128" t="n">
        <v>8</v>
      </c>
      <c r="D22" s="128" t="n">
        <v>9</v>
      </c>
      <c r="E22" s="128" t="n"/>
      <c r="F22" s="128" t="n">
        <v>0.44</v>
      </c>
      <c r="G22" s="128" t="n"/>
      <c r="H22" s="128" t="inlineStr">
        <is>
          <t>8 shilling 9pence from the perquisites of the courts held between the 2 tourns.</t>
        </is>
      </c>
      <c r="I22" s="128" t="n"/>
    </row>
    <row r="23">
      <c r="A23" s="137" t="inlineStr">
        <is>
          <t>Perquisites of court</t>
        </is>
      </c>
      <c r="B23" s="128" t="n">
        <v>0</v>
      </c>
      <c r="C23" s="128" t="n">
        <v>3</v>
      </c>
      <c r="D23" s="128" t="n">
        <v>9</v>
      </c>
      <c r="E23" s="128" t="n"/>
      <c r="F23" s="128" t="n">
        <v>0.19</v>
      </c>
      <c r="G23" s="128" t="n"/>
      <c r="H23" s="128" t="inlineStr">
        <is>
          <t>3 shilling 9pence from the perquisites of the tourn of Hockday (1 April).</t>
        </is>
      </c>
      <c r="I23" s="128" t="n"/>
    </row>
    <row r="24">
      <c r="A24" s="137" t="inlineStr">
        <is>
          <t>Perquisites of court</t>
        </is>
      </c>
      <c r="B24" s="128" t="n">
        <v>0</v>
      </c>
      <c r="C24" s="128" t="n">
        <v>7</v>
      </c>
      <c r="D24" s="128" t="n">
        <v>8</v>
      </c>
      <c r="E24" s="128" t="n"/>
      <c r="F24" s="128" t="n">
        <v>0.38</v>
      </c>
      <c r="G24" s="128" t="n"/>
      <c r="H24" s="128" t="inlineStr">
        <is>
          <t>7 shilling 8pence from the perquisites of the courts held after the tourn of Hockday.</t>
        </is>
      </c>
      <c r="I24" s="128" t="n"/>
    </row>
    <row r="25">
      <c r="A25" s="138" t="inlineStr">
        <is>
          <t>Perquisites of court total</t>
        </is>
      </c>
      <c r="B25" s="139" t="n">
        <v>0</v>
      </c>
      <c r="C25" s="139" t="n">
        <v>12</v>
      </c>
      <c r="D25" s="139" t="n">
        <v>11</v>
      </c>
      <c r="E25" s="139" t="n"/>
      <c r="F25" s="139" t="n">
        <v>0.65</v>
      </c>
      <c r="G25" s="139" t="n">
        <v>0.27</v>
      </c>
      <c r="H25" s="139" t="inlineStr">
        <is>
          <t>Total, 12 shilling 11pence.</t>
        </is>
      </c>
      <c r="I25" s="139" t="n"/>
    </row>
    <row r="26">
      <c r="A26" s="38" t="inlineStr">
        <is>
          <t>Total of all receipts recorded in accounts (calculated here)</t>
        </is>
      </c>
      <c r="F26">
        <f>SUMIF(A1:A25,"* total",F1:F25)-SUMIF(A1:A25,"Arrears total",F1:F25)</f>
        <v/>
      </c>
    </row>
    <row r="27">
      <c r="A27" s="38" t="inlineStr">
        <is>
          <t>Total of all receipts (calculated here) incl arrears</t>
        </is>
      </c>
      <c r="F27">
        <f>F26+SUMIF(A1:A25,"Arrears total",F1:F25)</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60"/>
  <sheetViews>
    <sheetView topLeftCell="A1" workbookViewId="0">
      <selection activeCell="A1" sqref="A1"/>
    </sheetView>
  </sheetViews>
  <sheetFormatPr baseColWidth="8" defaultRowHeight="15"/>
  <cols>
    <col width="34.453125" customWidth="1" min="1" max="1"/>
    <col width="8.81640625" customWidth="1" min="2" max="2"/>
    <col width="8.81640625" customWidth="1" min="6" max="6"/>
    <col width="8.81640625" customWidth="1" min="7" max="7"/>
    <col width="43" customWidth="1" min="8" max="8"/>
  </cols>
  <sheetData>
    <row r="1">
      <c r="A1" s="127" t="inlineStr">
        <is>
          <t>WESTWYCOMBE EXPENSES</t>
        </is>
      </c>
      <c r="B1" s="128" t="n"/>
      <c r="C1" s="128" t="n"/>
      <c r="D1" s="128" t="n"/>
      <c r="E1" s="128" t="n"/>
      <c r="F1" s="128" t="n"/>
      <c r="G1" s="128" t="n"/>
      <c r="H1" s="128" t="n"/>
    </row>
    <row r="2" ht="31" customHeight="1">
      <c r="A2" s="140" t="inlineStr">
        <is>
          <t>Heading</t>
        </is>
      </c>
      <c r="B2" s="141" t="inlineStr">
        <is>
          <t>£</t>
        </is>
      </c>
      <c r="C2" s="142" t="inlineStr">
        <is>
          <t>s</t>
        </is>
      </c>
      <c r="D2" s="142" t="inlineStr">
        <is>
          <t>d</t>
        </is>
      </c>
      <c r="E2" s="143" t="n"/>
      <c r="F2" s="144" t="inlineStr">
        <is>
          <t>Total in £</t>
        </is>
      </c>
      <c r="G2" s="145" t="inlineStr">
        <is>
          <t>Error</t>
        </is>
      </c>
      <c r="H2" s="146" t="inlineStr">
        <is>
          <t>Sentence</t>
        </is>
      </c>
      <c r="I2" t="inlineStr">
        <is>
          <t>Fixed Investments</t>
        </is>
      </c>
      <c r="J2" t="inlineStr">
        <is>
          <t>Demesne Fixed Investments</t>
        </is>
      </c>
    </row>
    <row r="3">
      <c r="A3" s="137" t="n"/>
      <c r="B3" s="128" t="n"/>
      <c r="C3" s="128" t="n"/>
      <c r="D3" s="128" t="n"/>
      <c r="E3" s="128" t="n"/>
      <c r="F3" s="128" t="n"/>
      <c r="G3" s="128" t="n"/>
      <c r="H3" s="128" t="n"/>
    </row>
    <row r="4">
      <c r="A4" s="136" t="inlineStr">
        <is>
          <t>Purchase of stock</t>
        </is>
      </c>
      <c r="B4" s="128" t="n">
        <v>3</v>
      </c>
      <c r="C4" s="128" t="n">
        <v>13</v>
      </c>
      <c r="D4" s="128" t="n">
        <v>4</v>
      </c>
      <c r="E4" s="128" t="n"/>
      <c r="F4" s="128" t="n">
        <v>3.67</v>
      </c>
      <c r="G4" s="128" t="n"/>
      <c r="H4" s="128" t="inlineStr">
        <is>
          <t>In 55 ewes bought £3 13 shilling 4pence, at 1 shilling 4pence each.</t>
        </is>
      </c>
    </row>
    <row r="5">
      <c r="A5" s="137" t="inlineStr">
        <is>
          <t>Purchase of stock</t>
        </is>
      </c>
      <c r="B5" s="128" t="n">
        <v>3</v>
      </c>
      <c r="C5" s="128" t="n">
        <v>13</v>
      </c>
      <c r="D5" s="128" t="n">
        <v>4</v>
      </c>
      <c r="E5" s="128" t="n"/>
      <c r="F5" s="128" t="n">
        <v>3.67</v>
      </c>
      <c r="G5" s="128" t="n"/>
      <c r="H5" s="128" t="inlineStr">
        <is>
          <t>Total, £3 13 shilling 4pence.</t>
        </is>
      </c>
    </row>
    <row r="6">
      <c r="A6" s="138" t="inlineStr">
        <is>
          <t>Purchase of stock total</t>
        </is>
      </c>
      <c r="B6" s="139" t="n"/>
      <c r="C6" s="139" t="n"/>
      <c r="D6" s="139" t="n"/>
      <c r="E6" s="139" t="n"/>
      <c r="F6" s="139" t="n">
        <v>3.67</v>
      </c>
      <c r="G6" s="139" t="n">
        <v>0</v>
      </c>
      <c r="H6" s="139" t="inlineStr">
        <is>
          <t>Total</t>
        </is>
      </c>
    </row>
    <row r="7">
      <c r="A7" s="137" t="n"/>
      <c r="B7" s="128" t="n"/>
      <c r="C7" s="128" t="n"/>
      <c r="D7" s="128" t="n"/>
      <c r="E7" s="128" t="n"/>
      <c r="F7" s="128" t="n"/>
      <c r="G7" s="128" t="n"/>
      <c r="H7" s="128" t="n"/>
    </row>
    <row r="8">
      <c r="A8" s="136" t="inlineStr">
        <is>
          <t>Cost of buildings</t>
        </is>
      </c>
      <c r="B8" s="128" t="n">
        <v>1</v>
      </c>
      <c r="C8" s="128" t="n">
        <v>2</v>
      </c>
      <c r="D8" s="128" t="n">
        <v>0</v>
      </c>
      <c r="E8" s="128" t="n"/>
      <c r="F8" s="128" t="n">
        <v>1.1</v>
      </c>
      <c r="G8" s="128" t="n"/>
      <c r="H8" s="128" t="inlineStr">
        <is>
          <t>In hiring 1 carpenter to make 1 water-wheel from the lord's timber and to repair and restore (reparand' ac emend') all the defects of the waterworks (la waterwerk) of the lord's water-mill by piece-work £1 2 shilling.</t>
        </is>
      </c>
    </row>
    <row r="9">
      <c r="A9" s="137" t="inlineStr">
        <is>
          <t>Cost of buildings</t>
        </is>
      </c>
      <c r="B9" s="128" t="n">
        <v>0</v>
      </c>
      <c r="C9" s="128" t="n">
        <v>9</v>
      </c>
      <c r="D9" s="128" t="n">
        <v>6</v>
      </c>
      <c r="E9" s="128" t="n"/>
      <c r="F9" s="128" t="n">
        <v>0.48</v>
      </c>
      <c r="G9" s="128" t="n"/>
      <c r="H9" s="128" t="inlineStr">
        <is>
          <t>hiring 2 sawyers to saw planks from the lord's timber for the said mill for 9.5 days 9 shilling 6pence, taking between them 1 shilling a day.</t>
        </is>
      </c>
    </row>
    <row r="10">
      <c r="A10" s="137" t="inlineStr">
        <is>
          <t>Cost of buildings</t>
        </is>
      </c>
      <c r="B10" s="128" t="n">
        <v>0</v>
      </c>
      <c r="C10" s="128" t="n">
        <v>1</v>
      </c>
      <c r="D10" s="128" t="n">
        <v>8</v>
      </c>
      <c r="E10" s="128" t="n"/>
      <c r="F10" s="128" t="n">
        <v>0.08</v>
      </c>
      <c r="G10" s="128" t="n"/>
      <c r="H10" s="128" t="inlineStr">
        <is>
          <t>hiring 1 carpenter to make the head of the mill-dam from the lord's timber by piece-work 1 shilling 8pence.</t>
        </is>
      </c>
    </row>
    <row r="11">
      <c r="A11" s="137" t="inlineStr">
        <is>
          <t>Cost of buildings</t>
        </is>
      </c>
      <c r="B11" s="128" t="n">
        <v>0</v>
      </c>
      <c r="C11" s="128" t="n">
        <v>3</v>
      </c>
      <c r="D11" s="128" t="n">
        <v>4</v>
      </c>
      <c r="E11" s="128" t="n"/>
      <c r="F11" s="128" t="n">
        <v>0.17</v>
      </c>
      <c r="G11" s="128" t="n"/>
      <c r="H11" s="128" t="inlineStr">
        <is>
          <t>1 piece of millstone bought for the mill-dam 3 shilling 4pence.</t>
        </is>
      </c>
    </row>
    <row r="12">
      <c r="A12" s="137" t="inlineStr">
        <is>
          <t>Cost of buildings</t>
        </is>
      </c>
      <c r="B12" s="128" t="n">
        <v>0</v>
      </c>
      <c r="C12" s="128" t="n">
        <v>1</v>
      </c>
      <c r="D12" s="128" t="n">
        <v>0</v>
      </c>
      <c r="E12" s="128" t="n"/>
      <c r="F12" s="128" t="n">
        <v>0.05</v>
      </c>
      <c r="G12" s="128" t="n"/>
      <c r="H12" s="128" t="inlineStr">
        <is>
          <t>hiring 1 mason to lay and attach the said millstone together by piece-work 1 shilling.</t>
        </is>
      </c>
    </row>
    <row r="13">
      <c r="A13" s="137" t="inlineStr">
        <is>
          <t>Cost of buildings</t>
        </is>
      </c>
      <c r="B13" s="128" t="n">
        <v>0</v>
      </c>
      <c r="C13" s="128" t="n">
        <v>1</v>
      </c>
      <c r="D13" s="128" t="n">
        <v>6</v>
      </c>
      <c r="E13" s="128" t="n"/>
      <c r="F13" s="128" t="n">
        <v>0.08</v>
      </c>
      <c r="G13" s="128" t="n"/>
      <c r="H13" s="128" t="inlineStr">
        <is>
          <t>200 spike-nails bought for the waterworks 1 shilling 6pence, at 9pence a 100..</t>
        </is>
      </c>
    </row>
    <row r="14">
      <c r="A14" s="137" t="inlineStr">
        <is>
          <t>Cost of buildings</t>
        </is>
      </c>
      <c r="B14" s="128" t="n">
        <v>0</v>
      </c>
      <c r="C14" s="128" t="n">
        <v>1</v>
      </c>
      <c r="D14" s="128" t="n">
        <v>3</v>
      </c>
      <c r="E14" s="128" t="n"/>
      <c r="F14" s="128" t="n">
        <v>0.06</v>
      </c>
      <c r="G14" s="128" t="n"/>
      <c r="H14" s="128" t="inlineStr">
        <is>
          <t>hiring 1 man for 3 days to fell, lop and cut the lord's timber for the repair and restoration of the aforesaid mill 1 shilling 3pence, taking 5pence a day.</t>
        </is>
      </c>
    </row>
    <row r="15">
      <c r="A15" s="137" t="inlineStr">
        <is>
          <t>Cost of buildings</t>
        </is>
      </c>
      <c r="B15" s="128" t="n">
        <v>0</v>
      </c>
      <c r="C15" s="128" t="n">
        <v>2</v>
      </c>
      <c r="D15" s="128" t="n">
        <v>8</v>
      </c>
      <c r="E15" s="128" t="n"/>
      <c r="F15" s="128" t="n">
        <v>0.13</v>
      </c>
      <c r="G15" s="128" t="n"/>
      <c r="H15" s="128" t="inlineStr">
        <is>
          <t>hiring 1 man for 31 days to carry the said timber for the repair and restoration of the aforesaid mill 2 shilling 8pence, taking 1 shilling 4pence a day.</t>
        </is>
      </c>
    </row>
    <row r="16">
      <c r="A16" s="137" t="inlineStr">
        <is>
          <t>Cost of buildings</t>
        </is>
      </c>
      <c r="B16" s="128" t="n">
        <v>0</v>
      </c>
      <c r="C16" s="128" t="n">
        <v>1</v>
      </c>
      <c r="D16" s="128" t="n">
        <v>3</v>
      </c>
      <c r="E16" s="128" t="n"/>
      <c r="F16" s="128" t="n">
        <v>0.06</v>
      </c>
      <c r="G16" s="128" t="n"/>
      <c r="H16" s="128" t="inlineStr">
        <is>
          <t>hiring 1 carpenter for 3 days to underpin and fit with ground-sills and studs the aforesaid mill with the lord's timber for its repair and restoration 1 shilling 3pence, taking 5pence a day.</t>
        </is>
      </c>
    </row>
    <row r="17">
      <c r="A17" s="137" t="inlineStr">
        <is>
          <t>Cost of buildings</t>
        </is>
      </c>
      <c r="B17" s="128" t="n">
        <v>0</v>
      </c>
      <c r="C17" s="128" t="n">
        <v>2</v>
      </c>
      <c r="D17" s="128" t="n">
        <v>8</v>
      </c>
      <c r="E17" s="128" t="n"/>
      <c r="F17" s="128" t="n">
        <v>0.13</v>
      </c>
      <c r="G17" s="128" t="n"/>
      <c r="H17" s="128" t="inlineStr">
        <is>
          <t>hiring 1 man to carry the said timber for the aforesaid mill for 2 days 2 shilling 8pence, taking 1 shilling 4pence a day as before.</t>
        </is>
      </c>
    </row>
    <row r="18">
      <c r="A18" s="137" t="inlineStr">
        <is>
          <t>Cost of buildings</t>
        </is>
      </c>
      <c r="B18" s="128" t="n">
        <v>0</v>
      </c>
      <c r="C18" s="128" t="n">
        <v>5</v>
      </c>
      <c r="D18" s="128" t="n">
        <v>0</v>
      </c>
      <c r="E18" s="128" t="n"/>
      <c r="F18" s="128" t="n">
        <v>0.25</v>
      </c>
      <c r="G18" s="128" t="n"/>
      <c r="H18" s="128" t="inlineStr">
        <is>
          <t>hiring 1 carpenter to underpin and fit with ground-sills and studs 4 bays of the cow-shed by piece-work 5 shilling.</t>
        </is>
      </c>
    </row>
    <row r="19">
      <c r="A19" s="137" t="inlineStr">
        <is>
          <t>Cost of buildings</t>
        </is>
      </c>
      <c r="B19" s="128" t="n">
        <v>0</v>
      </c>
      <c r="C19" s="128" t="n">
        <v>0</v>
      </c>
      <c r="D19" s="128" t="n">
        <v>3</v>
      </c>
      <c r="E19" s="128" t="n"/>
      <c r="F19" s="128" t="n">
        <v>0.01</v>
      </c>
      <c r="G19" s="128" t="n"/>
      <c r="H19" s="128" t="inlineStr">
        <is>
          <t>hiring 1 mason to pin and mend all the defects of the ground-wheel (le groundwhele) of the said mill for 6 days 3pence,2 taking 6pence a day.</t>
        </is>
      </c>
    </row>
    <row r="20">
      <c r="A20" s="137" t="inlineStr">
        <is>
          <t>Cost of buildings</t>
        </is>
      </c>
      <c r="B20" s="128" t="n">
        <v>0</v>
      </c>
      <c r="C20" s="128" t="n">
        <v>3</v>
      </c>
      <c r="D20" s="128" t="n">
        <v>4</v>
      </c>
      <c r="E20" s="128" t="n"/>
      <c r="F20" s="128" t="n">
        <v>0.17</v>
      </c>
      <c r="G20" s="128" t="n"/>
      <c r="H20" s="128" t="inlineStr">
        <is>
          <t>hiring 1 man to wattle and daub the said 4 bays and to mend the defects of the said cow-shed by piece-work 3 shilling 4pence.</t>
        </is>
      </c>
    </row>
    <row r="21">
      <c r="A21" s="137" t="inlineStr">
        <is>
          <t>Cost of buildings</t>
        </is>
      </c>
      <c r="B21" s="128" t="n">
        <v>0</v>
      </c>
      <c r="C21" s="128" t="n">
        <v>12</v>
      </c>
      <c r="D21" s="128" t="n">
        <v>0</v>
      </c>
      <c r="E21" s="128" t="n"/>
      <c r="F21" s="128" t="n">
        <v>0.6</v>
      </c>
      <c r="G21" s="128" t="n"/>
      <c r="H21" s="128" t="inlineStr">
        <is>
          <t>3,000 tiles bought 12 shilling, at 4 shilling a 1,000..</t>
        </is>
      </c>
    </row>
    <row r="22">
      <c r="A22" s="137" t="inlineStr">
        <is>
          <t>Cost of buildings</t>
        </is>
      </c>
      <c r="B22" s="128" t="n">
        <v>0</v>
      </c>
      <c r="C22" s="128" t="n">
        <v>4</v>
      </c>
      <c r="D22" s="128" t="n">
        <v>0</v>
      </c>
      <c r="E22" s="128" t="n"/>
      <c r="F22" s="128" t="n">
        <v>0.2</v>
      </c>
      <c r="G22" s="128" t="n"/>
      <c r="H22" s="128" t="inlineStr">
        <is>
          <t>100 hollow tiles bought 4 shilling.</t>
        </is>
      </c>
    </row>
    <row r="23">
      <c r="A23" s="137" t="inlineStr">
        <is>
          <t>Cost of buildings</t>
        </is>
      </c>
      <c r="B23" s="128" t="n">
        <v>0</v>
      </c>
      <c r="C23" s="128" t="n">
        <v>4</v>
      </c>
      <c r="D23" s="128" t="n">
        <v>4</v>
      </c>
      <c r="E23" s="128" t="n"/>
      <c r="F23" s="128" t="n">
        <v>0.22</v>
      </c>
      <c r="G23" s="128" t="n"/>
      <c r="H23" s="128" t="inlineStr">
        <is>
          <t>3 quarters of limestone bought 4 shilling, at 1 shilling 4pence a qr.</t>
        </is>
      </c>
    </row>
    <row r="24">
      <c r="A24" s="137" t="inlineStr">
        <is>
          <t>Cost of buildings</t>
        </is>
      </c>
      <c r="B24" s="128" t="n">
        <v>0</v>
      </c>
      <c r="C24" s="128" t="n">
        <v>2</v>
      </c>
      <c r="D24" s="128" t="n">
        <v>8</v>
      </c>
      <c r="E24" s="128" t="n"/>
      <c r="F24" s="128" t="n">
        <v>0.13</v>
      </c>
      <c r="G24" s="128" t="n"/>
      <c r="H24" s="128" t="inlineStr">
        <is>
          <t>hiring 1 carter to carry the said 3,100 tiles and 3 quarters of lime 2 shilling 8pence.</t>
        </is>
      </c>
    </row>
    <row r="25">
      <c r="A25" s="137" t="inlineStr">
        <is>
          <t>Cost of buildings</t>
        </is>
      </c>
      <c r="B25" s="128" t="n">
        <v>0</v>
      </c>
      <c r="C25" s="128" t="n">
        <v>0</v>
      </c>
      <c r="D25" s="128" t="n">
        <v>4</v>
      </c>
      <c r="E25" s="128" t="n"/>
      <c r="F25" s="128" t="n">
        <v>0.02</v>
      </c>
      <c r="G25" s="128" t="n"/>
      <c r="H25" s="128" t="inlineStr">
        <is>
          <t>hiring 1 tiler to tile the said cow-shed by piece-work 11 s. 4pence.</t>
        </is>
      </c>
    </row>
    <row r="26">
      <c r="A26" s="137" t="inlineStr">
        <is>
          <t>Cost of buildings</t>
        </is>
      </c>
      <c r="B26" s="128" t="n">
        <v>0</v>
      </c>
      <c r="C26" s="128" t="n">
        <v>1</v>
      </c>
      <c r="D26" s="128" t="n">
        <v>6</v>
      </c>
      <c r="E26" s="128" t="n"/>
      <c r="F26" s="128" t="n">
        <v>0.08</v>
      </c>
      <c r="G26" s="128" t="n"/>
      <c r="H26" s="128" t="inlineStr">
        <is>
          <t>300 laths bought 1 shilling 6pence, at 6pence a 100..</t>
        </is>
      </c>
    </row>
    <row r="27">
      <c r="A27" s="137" t="inlineStr">
        <is>
          <t>Cost of buildings</t>
        </is>
      </c>
      <c r="B27" s="128" t="n">
        <v>0</v>
      </c>
      <c r="C27" s="128" t="n">
        <v>1</v>
      </c>
      <c r="D27" s="128" t="n">
        <v>2</v>
      </c>
      <c r="E27" s="128" t="n"/>
      <c r="F27" s="128" t="n">
        <v>0.06</v>
      </c>
      <c r="G27" s="128" t="n"/>
      <c r="H27" s="128" t="inlineStr">
        <is>
          <t>1,000 lath-nails bought for the same 1 shilling 2pence.</t>
        </is>
      </c>
    </row>
    <row r="28">
      <c r="A28" s="137" t="inlineStr">
        <is>
          <t>Cost of buildings</t>
        </is>
      </c>
      <c r="B28" s="128" t="n">
        <v>0</v>
      </c>
      <c r="C28" s="128" t="n">
        <v>0</v>
      </c>
      <c r="D28" s="128" t="n">
        <v>10</v>
      </c>
      <c r="E28" s="128" t="n"/>
      <c r="F28" s="128" t="n">
        <v>0.04</v>
      </c>
      <c r="G28" s="128" t="n"/>
      <c r="H28" s="128" t="inlineStr">
        <is>
          <t>tile-pins bought 10pence.</t>
        </is>
      </c>
    </row>
    <row r="29">
      <c r="A29" s="137" t="inlineStr">
        <is>
          <t>Cost of buildings</t>
        </is>
      </c>
      <c r="B29" s="128" t="n">
        <v>0</v>
      </c>
      <c r="C29" s="128" t="n">
        <v>2</v>
      </c>
      <c r="D29" s="128" t="n">
        <v>0</v>
      </c>
      <c r="E29" s="128" t="n"/>
      <c r="F29" s="128" t="n">
        <v>0.1</v>
      </c>
      <c r="G29" s="128" t="n"/>
      <c r="H29" s="128" t="inlineStr">
        <is>
          <t>hiring 1 carpenter to fit the north end of the barley barn with ground-sills and studs by piece-work 2 shilling.</t>
        </is>
      </c>
    </row>
    <row r="30">
      <c r="A30" s="137" t="inlineStr">
        <is>
          <t>Cost of buildings</t>
        </is>
      </c>
      <c r="B30" s="128" t="n">
        <v>0</v>
      </c>
      <c r="C30" s="128" t="n">
        <v>2</v>
      </c>
      <c r="D30" s="128" t="n">
        <v>2</v>
      </c>
      <c r="E30" s="128" t="n"/>
      <c r="F30" s="128" t="n">
        <v>0.11</v>
      </c>
      <c r="G30" s="128" t="n"/>
      <c r="H30" s="128" t="inlineStr">
        <is>
          <t>hiring 1 man to cover with laths, daub and pin the said end of the barn by piece-work 2 shilling 2pence.</t>
        </is>
      </c>
    </row>
    <row r="31">
      <c r="A31" s="137" t="inlineStr">
        <is>
          <t>Cost of buildings</t>
        </is>
      </c>
      <c r="B31" s="128" t="n">
        <v>0</v>
      </c>
      <c r="C31" s="128" t="n">
        <v>1</v>
      </c>
      <c r="D31" s="128" t="n">
        <v>8</v>
      </c>
      <c r="E31" s="128" t="n"/>
      <c r="F31" s="128" t="n">
        <v>0.08</v>
      </c>
      <c r="G31" s="128" t="n"/>
      <c r="H31" s="128" t="inlineStr">
        <is>
          <t>hiring 1 carpenter to underpin and fit with ground-sills and studs the great chamber for 4 days 1 shilling 8pence, taking 5pence a day.</t>
        </is>
      </c>
    </row>
    <row r="32">
      <c r="A32" s="137" t="inlineStr">
        <is>
          <t>Cost of buildings</t>
        </is>
      </c>
      <c r="B32" s="128" t="n">
        <v>0</v>
      </c>
      <c r="C32" s="128" t="n">
        <v>1</v>
      </c>
      <c r="D32" s="128" t="n">
        <v>4</v>
      </c>
      <c r="E32" s="128" t="n"/>
      <c r="F32" s="128" t="n">
        <v>0.07000000000000001</v>
      </c>
      <c r="G32" s="128" t="n"/>
      <c r="H32" s="128" t="inlineStr">
        <is>
          <t>hiring 1 man to wattle and daub the lower chamber under the great chamber for 3 days 1 shilling, taking 4pence a day.</t>
        </is>
      </c>
    </row>
    <row r="33">
      <c r="A33" s="137" t="inlineStr">
        <is>
          <t>Cost of buildings</t>
        </is>
      </c>
      <c r="B33" s="128" t="n">
        <v>0</v>
      </c>
      <c r="C33" s="128" t="n">
        <v>0</v>
      </c>
      <c r="D33" s="128" t="n">
        <v>4</v>
      </c>
      <c r="E33" s="128" t="n"/>
      <c r="F33" s="128" t="n">
        <v>0.02</v>
      </c>
      <c r="G33" s="128" t="n"/>
      <c r="H33" s="128" t="inlineStr">
        <is>
          <t>100 stud-nails bought 4pence.</t>
        </is>
      </c>
    </row>
    <row r="34">
      <c r="A34" s="137" t="inlineStr">
        <is>
          <t>Cost of buildings</t>
        </is>
      </c>
      <c r="B34" s="128" t="n">
        <v>0</v>
      </c>
      <c r="C34" s="128" t="n">
        <v>1</v>
      </c>
      <c r="D34" s="128" t="n">
        <v>4</v>
      </c>
      <c r="E34" s="128" t="n"/>
      <c r="F34" s="128" t="n">
        <v>0.07000000000000001</v>
      </c>
      <c r="G34" s="128" t="n"/>
      <c r="H34" s="128" t="inlineStr">
        <is>
          <t>hiring 1 man to dig earth and sand for the abovesaid repairs for 4 days 1 shilling 4pence, taking 4pence a day.</t>
        </is>
      </c>
    </row>
    <row r="35">
      <c r="A35" s="137" t="inlineStr">
        <is>
          <t>Cost of buildings</t>
        </is>
      </c>
      <c r="B35" s="128" t="n">
        <v>0</v>
      </c>
      <c r="C35" s="128" t="n">
        <v>4</v>
      </c>
      <c r="D35" s="128" t="n">
        <v>0</v>
      </c>
      <c r="E35" s="128" t="n"/>
      <c r="F35" s="128" t="n">
        <v>0.2</v>
      </c>
      <c r="G35" s="128" t="n"/>
      <c r="H35" s="128" t="inlineStr">
        <is>
          <t>hiring 1 carter to carry the said earth and sand for 4 days 4 shilling, taking ls, a day.</t>
        </is>
      </c>
    </row>
    <row r="36">
      <c r="A36" s="137" t="inlineStr">
        <is>
          <t>Cost of buildings</t>
        </is>
      </c>
      <c r="B36" s="128" t="n">
        <v>5</v>
      </c>
      <c r="C36" s="128" t="n">
        <v>9</v>
      </c>
      <c r="D36" s="128" t="n">
        <v>2</v>
      </c>
      <c r="E36" s="128" t="n"/>
      <c r="F36" s="128" t="n">
        <v>5.46</v>
      </c>
      <c r="G36" s="128" t="n"/>
      <c r="H36" s="128" t="inlineStr">
        <is>
          <t>Total, £5 9 shilling 2pence.</t>
        </is>
      </c>
    </row>
    <row r="37">
      <c r="A37" s="138" t="inlineStr">
        <is>
          <t>Cost of buildings total</t>
        </is>
      </c>
      <c r="B37" s="139" t="n"/>
      <c r="C37" s="139" t="n"/>
      <c r="D37" s="139" t="n"/>
      <c r="E37" s="139" t="n"/>
      <c r="F37" s="139" t="n">
        <v>4.77</v>
      </c>
      <c r="G37" s="139" t="n">
        <v>-0.6899999999999999</v>
      </c>
      <c r="H37" s="139" t="inlineStr">
        <is>
          <t>Total</t>
        </is>
      </c>
    </row>
    <row r="38">
      <c r="A38" s="137" t="n"/>
      <c r="B38" s="128" t="n"/>
      <c r="C38" s="128" t="n"/>
      <c r="D38" s="128" t="n"/>
      <c r="E38" s="128" t="n"/>
      <c r="F38" s="128" t="n"/>
      <c r="G38" s="128" t="n"/>
      <c r="H38" s="128" t="n"/>
    </row>
    <row r="39">
      <c r="A39" s="136" t="inlineStr">
        <is>
          <t>Expenses of the steward</t>
        </is>
      </c>
      <c r="B39" s="128" t="n">
        <v>0</v>
      </c>
      <c r="C39" s="128" t="n">
        <v>14</v>
      </c>
      <c r="D39" s="128" t="n">
        <v>5</v>
      </c>
      <c r="E39" s="128" t="n"/>
      <c r="F39" s="128" t="n">
        <v>0.72</v>
      </c>
      <c r="G39" s="128" t="n"/>
      <c r="H39" s="128" t="inlineStr">
        <is>
          <t>In expenses of Richard Wyot, steward, holding the tourns of Martinmas and Hockday, by 2 sealed bills in cash, 14 shilling 5pence.</t>
        </is>
      </c>
    </row>
    <row r="40">
      <c r="A40" s="137" t="inlineStr">
        <is>
          <t>Expenses of the steward</t>
        </is>
      </c>
      <c r="B40" s="128" t="n">
        <v>0</v>
      </c>
      <c r="C40" s="128" t="n">
        <v>3</v>
      </c>
      <c r="D40" s="128" t="n">
        <v>6</v>
      </c>
      <c r="E40" s="128" t="n"/>
      <c r="F40" s="128" t="n">
        <v>0.17</v>
      </c>
      <c r="G40" s="128" t="n"/>
      <c r="H40" s="128" t="inlineStr">
        <is>
          <t>3 bushels of wheat bought for baking bread 3 shilling 6pence, at 1 shilling 6pence for 1 bushels, and 1 shilling a bushels for 2 bushels.</t>
        </is>
      </c>
    </row>
    <row r="41">
      <c r="A41" s="137" t="inlineStr">
        <is>
          <t>Expenses of the steward</t>
        </is>
      </c>
      <c r="B41" s="128" t="n">
        <v>0</v>
      </c>
      <c r="C41" s="128" t="n">
        <v>10</v>
      </c>
      <c r="D41" s="128" t="n">
        <v>4</v>
      </c>
      <c r="E41" s="128" t="n"/>
      <c r="F41" s="128" t="n">
        <v>0.52</v>
      </c>
      <c r="G41" s="128" t="n"/>
      <c r="H41" s="128" t="inlineStr">
        <is>
          <t>3 quarters 2 bushels of oats bought 10 shilling 4pence, at 3 shilling a qr for 1 qr 4 bushels, and 3 shilling 4pence a qr for 1 qr 6 bushels.</t>
        </is>
      </c>
    </row>
    <row r="42">
      <c r="A42" s="137" t="inlineStr">
        <is>
          <t>Expenses of the steward</t>
        </is>
      </c>
      <c r="B42" s="128" t="n">
        <v>1</v>
      </c>
      <c r="C42" s="128" t="n">
        <v>8</v>
      </c>
      <c r="D42" s="128" t="n">
        <v>3</v>
      </c>
      <c r="E42" s="128" t="n"/>
      <c r="F42" s="128" t="n">
        <v>1.41</v>
      </c>
      <c r="G42" s="128" t="n"/>
      <c r="H42" s="128" t="inlineStr">
        <is>
          <t>Total, £1 8 shilling 3pence.</t>
        </is>
      </c>
    </row>
    <row r="43">
      <c r="A43" s="138" t="inlineStr">
        <is>
          <t>Expenses of the steward total</t>
        </is>
      </c>
      <c r="B43" s="139" t="n"/>
      <c r="C43" s="139" t="n"/>
      <c r="D43" s="139" t="n"/>
      <c r="E43" s="139" t="n"/>
      <c r="F43" s="139" t="n">
        <v>1.41</v>
      </c>
      <c r="G43" s="139" t="n">
        <v>0</v>
      </c>
      <c r="H43" s="139" t="inlineStr">
        <is>
          <t>Total</t>
        </is>
      </c>
    </row>
    <row r="44">
      <c r="A44" s="137" t="n"/>
      <c r="B44" s="128" t="n"/>
      <c r="C44" s="128" t="n"/>
      <c r="D44" s="128" t="n"/>
      <c r="E44" s="128" t="n"/>
      <c r="F44" s="128" t="n"/>
      <c r="G44" s="128" t="n"/>
      <c r="H44" s="128" t="n"/>
    </row>
    <row r="45">
      <c r="A45" s="137" t="inlineStr">
        <is>
          <t>Total of all expenses</t>
        </is>
      </c>
      <c r="B45" s="128" t="n">
        <v>15</v>
      </c>
      <c r="C45" s="128" t="n">
        <v>4</v>
      </c>
      <c r="D45" s="128" t="n">
        <v>1</v>
      </c>
      <c r="E45" s="128" t="n"/>
      <c r="F45" s="128" t="n">
        <v>15.2</v>
      </c>
      <c r="G45" s="128" t="n"/>
      <c r="H45" s="128" t="inlineStr">
        <is>
          <t>Total of all expenses, £15 4 shilling 1pence.</t>
        </is>
      </c>
    </row>
    <row r="46">
      <c r="A46" s="137" t="inlineStr">
        <is>
          <t>Total of all expenses</t>
        </is>
      </c>
      <c r="B46" s="128" t="n"/>
      <c r="C46" s="128" t="n"/>
      <c r="D46" s="128" t="n"/>
      <c r="E46" s="128" t="n"/>
      <c r="F46" s="128" t="n">
        <v>0</v>
      </c>
      <c r="G46" s="128" t="n">
        <v>-15.2</v>
      </c>
      <c r="H46" s="128" t="inlineStr">
        <is>
          <t>Total</t>
        </is>
      </c>
    </row>
    <row r="47">
      <c r="A47" s="137" t="n"/>
      <c r="B47" s="128" t="n"/>
      <c r="C47" s="128" t="n"/>
      <c r="D47" s="128" t="n"/>
      <c r="E47" s="128" t="n"/>
      <c r="F47" s="128" t="n"/>
      <c r="G47" s="128" t="n"/>
      <c r="H47" s="128" t="n"/>
    </row>
    <row r="48">
      <c r="A48" s="136" t="inlineStr">
        <is>
          <t>And he owes</t>
        </is>
      </c>
      <c r="B48" s="128" t="n">
        <v>68</v>
      </c>
      <c r="C48" s="128" t="n">
        <v>13</v>
      </c>
      <c r="D48" s="128" t="n">
        <v>11</v>
      </c>
      <c r="E48" s="128" t="n"/>
      <c r="F48" s="128" t="n">
        <v>68.7</v>
      </c>
      <c r="G48" s="128" t="n"/>
      <c r="H48" s="128" t="inlineStr">
        <is>
          <t>And he owes, £68 13 shilling 11pence.</t>
        </is>
      </c>
    </row>
    <row r="49">
      <c r="A49" s="138" t="inlineStr">
        <is>
          <t>And he owes total</t>
        </is>
      </c>
      <c r="B49" s="139" t="n"/>
      <c r="C49" s="139" t="n"/>
      <c r="D49" s="139" t="n"/>
      <c r="E49" s="139" t="n"/>
      <c r="F49" s="139" t="n">
        <v>68.7</v>
      </c>
      <c r="G49" s="139" t="n">
        <v>0</v>
      </c>
      <c r="H49" s="139" t="inlineStr">
        <is>
          <t>Total</t>
        </is>
      </c>
    </row>
    <row r="50">
      <c r="A50" s="137" t="n"/>
      <c r="B50" s="128" t="n"/>
      <c r="C50" s="128" t="n"/>
      <c r="D50" s="128" t="n"/>
      <c r="E50" s="128" t="n"/>
      <c r="F50" s="128" t="n"/>
      <c r="G50" s="128" t="n"/>
      <c r="H50" s="128" t="n"/>
    </row>
    <row r="51">
      <c r="A51" s="136" t="inlineStr">
        <is>
          <t>Cash deliveries</t>
        </is>
      </c>
      <c r="B51" s="128" t="n">
        <v>66</v>
      </c>
      <c r="C51" s="128" t="n">
        <v>3</v>
      </c>
      <c r="D51" s="128" t="n">
        <v>4</v>
      </c>
      <c r="E51" s="128" t="n"/>
      <c r="F51" s="128" t="n">
        <v>66.17</v>
      </c>
      <c r="G51" s="128" t="n"/>
      <c r="H51" s="128" t="inlineStr">
        <is>
          <t>Delivered to John Arnald', receiver of Wolvesey, by 1 tally, £66 3 shilling 4pence.</t>
        </is>
      </c>
    </row>
    <row r="52">
      <c r="A52" s="137" t="inlineStr">
        <is>
          <t>Cash deliveries</t>
        </is>
      </c>
      <c r="B52" s="128" t="n">
        <v>66</v>
      </c>
      <c r="C52" s="128" t="n">
        <v>3</v>
      </c>
      <c r="D52" s="128" t="n">
        <v>4</v>
      </c>
      <c r="E52" s="128" t="n"/>
      <c r="F52" s="128" t="n">
        <v>66.17</v>
      </c>
      <c r="G52" s="128" t="n"/>
      <c r="H52" s="128" t="inlineStr">
        <is>
          <t>Total, £66 3 shilling 4pence.</t>
        </is>
      </c>
    </row>
    <row r="53">
      <c r="A53" s="138" t="inlineStr">
        <is>
          <t>Cash deliveries total</t>
        </is>
      </c>
      <c r="B53" s="139" t="n"/>
      <c r="C53" s="139" t="n"/>
      <c r="D53" s="139" t="n"/>
      <c r="E53" s="139" t="n"/>
      <c r="F53" s="139" t="n">
        <v>66.17</v>
      </c>
      <c r="G53" s="139" t="n">
        <v>0</v>
      </c>
      <c r="H53" s="139" t="inlineStr">
        <is>
          <t>Total</t>
        </is>
      </c>
    </row>
    <row r="54">
      <c r="A54" s="137" t="n"/>
      <c r="B54" s="128" t="n"/>
      <c r="C54" s="128" t="n"/>
      <c r="D54" s="128" t="n"/>
      <c r="E54" s="128" t="n"/>
      <c r="F54" s="128" t="n"/>
      <c r="G54" s="128" t="n"/>
      <c r="H54" s="128" t="n"/>
    </row>
    <row r="55">
      <c r="A55" s="136" t="inlineStr">
        <is>
          <t>Total of all allowances and cash deliveries</t>
        </is>
      </c>
      <c r="B55" s="128" t="n">
        <v>68</v>
      </c>
      <c r="C55" s="128" t="n">
        <v>13</v>
      </c>
      <c r="D55" s="128" t="n">
        <v>11</v>
      </c>
      <c r="E55" s="128" t="n"/>
      <c r="F55" s="128" t="n">
        <v>68.7</v>
      </c>
      <c r="G55" s="128" t="n"/>
      <c r="H55" s="128" t="inlineStr">
        <is>
          <t>Total of all allowances and cash deliveries, £68 13 shilling 11pence He is quit.</t>
        </is>
      </c>
    </row>
    <row r="57">
      <c r="A57" s="38" t="inlineStr">
        <is>
          <t>Total of all expenses per account</t>
        </is>
      </c>
      <c r="B57" t="n">
        <v>15</v>
      </c>
      <c r="C57" t="n">
        <v>4</v>
      </c>
      <c r="D57" t="n">
        <v>1</v>
      </c>
      <c r="F57">
        <f>F45</f>
        <v/>
      </c>
    </row>
    <row r="58">
      <c r="A58" s="38" t="inlineStr">
        <is>
          <t>Total of all expenses (calculated here)</t>
        </is>
      </c>
      <c r="F58">
        <f>SUMIF(A1:A44,"* total",F1:F44)</f>
        <v/>
      </c>
    </row>
    <row r="59">
      <c r="A59" s="38" t="inlineStr">
        <is>
          <t>Total fixed investment</t>
        </is>
      </c>
    </row>
    <row r="60">
      <c r="A60" s="38" t="inlineStr">
        <is>
          <t>Total Demesne fixed investment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28"/>
  <sheetViews>
    <sheetView topLeftCell="A1" workbookViewId="0">
      <selection activeCell="A1" sqref="A1"/>
    </sheetView>
  </sheetViews>
  <sheetFormatPr baseColWidth="8" defaultRowHeight="15"/>
  <cols>
    <col width="44.36328125" customWidth="1" min="1" max="1"/>
    <col width="14.36328125" customWidth="1" min="2" max="2"/>
    <col width="9.81640625" customWidth="1" min="6" max="6"/>
    <col width="16.6328125" customWidth="1" min="7" max="7"/>
    <col width="16.1796875" customWidth="1" min="10" max="10"/>
    <col width="11.453125" customWidth="1" min="11" max="11"/>
    <col width="8.453125" customWidth="1" min="13" max="13"/>
    <col width="10.6328125" customWidth="1" min="14" max="14"/>
    <col width="16.6328125" customWidth="1" min="16" max="16"/>
    <col width="17.36328125" customWidth="1" min="17" max="17"/>
    <col width="16.1796875" customWidth="1" min="19" max="19"/>
    <col width="13.1796875" customWidth="1" min="21" max="21"/>
  </cols>
  <sheetData>
    <row r="1" ht="15.5" customHeight="1">
      <c r="A1" s="12" t="inlineStr">
        <is>
          <t>WESTWYCOMBE STOCK ACCOUNT</t>
        </is>
      </c>
    </row>
    <row r="2" ht="15.5" customHeight="1">
      <c r="A2" s="12" t="n"/>
    </row>
    <row r="3" ht="17" customHeight="1">
      <c r="A3" s="44" t="n"/>
      <c r="B3" s="44" t="n"/>
      <c r="C3" s="125" t="inlineStr">
        <is>
          <t>added</t>
        </is>
      </c>
      <c r="G3" s="126" t="inlineStr">
        <is>
          <t>subtracted</t>
        </is>
      </c>
      <c r="K3" s="44" t="n"/>
      <c r="L3" s="44" t="n"/>
      <c r="M3" s="44" t="n"/>
      <c r="N3" s="44" t="n"/>
      <c r="O3" s="44" t="n"/>
      <c r="P3" s="73" t="n"/>
      <c r="Q3" s="44" t="n"/>
      <c r="R3" s="44" t="n"/>
      <c r="S3" s="44" t="n"/>
      <c r="T3" s="44" t="n"/>
    </row>
    <row r="4" ht="46.5" customHeight="1">
      <c r="A4" s="66" t="inlineStr">
        <is>
          <t>Livestock</t>
        </is>
      </c>
      <c r="B4" s="29" t="inlineStr">
        <is>
          <t>Inherited stock</t>
        </is>
      </c>
      <c r="C4" s="29" t="inlineStr">
        <is>
          <t>added</t>
        </is>
      </c>
      <c r="D4" s="12" t="inlineStr">
        <is>
          <t>strays</t>
        </is>
      </c>
      <c r="E4" s="12" t="inlineStr">
        <is>
          <t>herbage</t>
        </is>
      </c>
      <c r="F4" s="12" t="inlineStr">
        <is>
          <t>churchscot</t>
        </is>
      </c>
      <c r="G4" s="12" t="inlineStr">
        <is>
          <t>of which in default</t>
        </is>
      </c>
      <c r="H4" s="29" t="inlineStr">
        <is>
          <t>sold</t>
        </is>
      </c>
      <c r="I4" s="29" t="inlineStr">
        <is>
          <t>in murrain</t>
        </is>
      </c>
      <c r="J4" s="29" t="inlineStr">
        <is>
          <t>accounted for elsewhere</t>
        </is>
      </c>
      <c r="K4" s="29" t="inlineStr">
        <is>
          <t>End-period  stock</t>
        </is>
      </c>
      <c r="L4" s="29" t="inlineStr">
        <is>
          <t>cross-check</t>
        </is>
      </c>
      <c r="M4" s="29" t="inlineStr">
        <is>
          <t>stock building</t>
        </is>
      </c>
      <c r="N4" s="29" t="inlineStr">
        <is>
          <t>raw production</t>
        </is>
      </c>
      <c r="O4" s="29" t="inlineStr">
        <is>
          <t>Unit price (£)</t>
        </is>
      </c>
      <c r="P4" s="74" t="inlineStr">
        <is>
          <t>Value of stock  (£) at given value</t>
        </is>
      </c>
      <c r="Q4" s="66" t="inlineStr">
        <is>
          <t>Value of stock  (£) at sales prices</t>
        </is>
      </c>
      <c r="R4" s="66" t="inlineStr">
        <is>
          <t>Sales in (£)</t>
        </is>
      </c>
      <c r="S4" s="66" t="inlineStr">
        <is>
          <t>Value of stock building (£)</t>
        </is>
      </c>
      <c r="T4" s="118" t="inlineStr">
        <is>
          <t>Value of production (£) at sales prices</t>
        </is>
      </c>
      <c r="U4" s="29" t="inlineStr">
        <is>
          <t>Details</t>
        </is>
      </c>
    </row>
    <row r="5">
      <c r="A5" s="44" t="inlineStr">
        <is>
          <t>Cart-horses</t>
        </is>
      </c>
      <c r="B5" t="n">
        <v>0</v>
      </c>
      <c r="C5" t="n">
        <v>0</v>
      </c>
      <c r="H5" t="n">
        <v>0</v>
      </c>
      <c r="I5" t="n">
        <v>0</v>
      </c>
      <c r="K5">
        <f>B5+C5-H5-I5</f>
        <v/>
      </c>
      <c r="L5">
        <f>B5+C5-H5</f>
        <v/>
      </c>
      <c r="M5">
        <f>L5-B5</f>
        <v/>
      </c>
      <c r="N5">
        <f>C5</f>
        <v/>
      </c>
      <c r="O5" t="n">
        <v>0</v>
      </c>
      <c r="P5" s="72">
        <f>O5*K5</f>
        <v/>
      </c>
      <c r="R5" t="n">
        <v>0</v>
      </c>
      <c r="S5">
        <f>O5*M5</f>
        <v/>
      </c>
      <c r="T5">
        <f>O5*N5</f>
        <v/>
      </c>
    </row>
    <row r="6">
      <c r="A6" s="44" t="inlineStr">
        <is>
          <t>Mares</t>
        </is>
      </c>
      <c r="B6" t="n">
        <v>0</v>
      </c>
      <c r="C6" t="n">
        <v>0</v>
      </c>
      <c r="H6" t="n">
        <v>0</v>
      </c>
      <c r="I6" t="n">
        <v>0</v>
      </c>
      <c r="K6">
        <f>B6+C6-H6-I6</f>
        <v/>
      </c>
      <c r="L6">
        <f>B6+C6-H6</f>
        <v/>
      </c>
      <c r="M6">
        <f>L6-B6</f>
        <v/>
      </c>
      <c r="N6">
        <f>C6</f>
        <v/>
      </c>
      <c r="O6" t="n">
        <v>0</v>
      </c>
      <c r="P6" s="72">
        <f>O6*K6</f>
        <v/>
      </c>
      <c r="R6" t="n">
        <v>0</v>
      </c>
      <c r="S6">
        <f>O6*M6</f>
        <v/>
      </c>
      <c r="T6">
        <f>O6*N6</f>
        <v/>
      </c>
    </row>
    <row r="7">
      <c r="A7" t="inlineStr">
        <is>
          <t>Plough horses</t>
        </is>
      </c>
      <c r="B7" t="n">
        <v>12</v>
      </c>
      <c r="C7" t="n">
        <v>0</v>
      </c>
      <c r="H7" t="n">
        <v>0</v>
      </c>
      <c r="I7" t="n">
        <v>0</v>
      </c>
      <c r="K7">
        <f>B7+C7-H7-I7</f>
        <v/>
      </c>
      <c r="L7">
        <f>B7+C7-H7</f>
        <v/>
      </c>
      <c r="M7">
        <f>L7-B7</f>
        <v/>
      </c>
      <c r="N7">
        <f>C7</f>
        <v/>
      </c>
      <c r="O7" t="n">
        <v>0</v>
      </c>
      <c r="P7" s="72">
        <f>O7*K7</f>
        <v/>
      </c>
      <c r="R7" t="n">
        <v>0</v>
      </c>
      <c r="S7">
        <f>O7*M7</f>
        <v/>
      </c>
      <c r="T7">
        <f>O7*N7</f>
        <v/>
      </c>
    </row>
    <row r="8">
      <c r="A8" t="inlineStr">
        <is>
          <t>Colts (unspecified years)</t>
        </is>
      </c>
      <c r="B8" t="n">
        <v>0</v>
      </c>
      <c r="C8" t="n">
        <v>0</v>
      </c>
      <c r="H8" t="n">
        <v>0</v>
      </c>
      <c r="I8" t="n">
        <v>0</v>
      </c>
      <c r="K8">
        <f>B8+C8-H8-I8</f>
        <v/>
      </c>
      <c r="L8">
        <f>B8+C8-H8</f>
        <v/>
      </c>
      <c r="M8">
        <f>L8-B8</f>
        <v/>
      </c>
      <c r="N8">
        <f>C8</f>
        <v/>
      </c>
      <c r="O8" t="n">
        <v>0</v>
      </c>
      <c r="P8" s="72">
        <f>O8*K8</f>
        <v/>
      </c>
      <c r="R8" t="n">
        <v>0</v>
      </c>
      <c r="S8">
        <f>O8*M8</f>
        <v/>
      </c>
      <c r="T8">
        <f>O8*N8</f>
        <v/>
      </c>
    </row>
    <row r="9">
      <c r="A9" t="inlineStr">
        <is>
          <t>Colts (2 years)</t>
        </is>
      </c>
      <c r="B9" t="n">
        <v>0</v>
      </c>
      <c r="C9" t="n">
        <v>0</v>
      </c>
      <c r="H9" t="n">
        <v>0</v>
      </c>
      <c r="I9" t="n">
        <v>0</v>
      </c>
      <c r="K9">
        <f>B9+C9-H9-I9</f>
        <v/>
      </c>
      <c r="L9">
        <f>B9+C9-H9</f>
        <v/>
      </c>
      <c r="M9">
        <f>L9-B9</f>
        <v/>
      </c>
      <c r="N9">
        <f>C9</f>
        <v/>
      </c>
      <c r="O9" t="n">
        <v>0</v>
      </c>
      <c r="P9" s="72">
        <f>O9*K9</f>
        <v/>
      </c>
      <c r="R9" t="n">
        <v>0</v>
      </c>
      <c r="S9">
        <f>O9*M9</f>
        <v/>
      </c>
      <c r="T9">
        <f>O9*N9</f>
        <v/>
      </c>
    </row>
    <row r="10">
      <c r="A10" t="inlineStr">
        <is>
          <t>Colts (1 year)</t>
        </is>
      </c>
      <c r="B10" t="n">
        <v>0</v>
      </c>
      <c r="C10" t="n">
        <v>0</v>
      </c>
      <c r="H10" t="n">
        <v>0</v>
      </c>
      <c r="I10" t="n">
        <v>0</v>
      </c>
      <c r="K10">
        <f>B10+C10-H10-I10</f>
        <v/>
      </c>
      <c r="L10">
        <f>B10+C10-H10</f>
        <v/>
      </c>
      <c r="M10">
        <f>L10-B10</f>
        <v/>
      </c>
      <c r="N10">
        <f>C10</f>
        <v/>
      </c>
      <c r="O10" t="n">
        <v>0</v>
      </c>
      <c r="P10" s="72">
        <f>O10*K10</f>
        <v/>
      </c>
      <c r="R10" t="n">
        <v>0</v>
      </c>
      <c r="S10">
        <f>O10*M10</f>
        <v/>
      </c>
      <c r="T10">
        <f>O10*N10</f>
        <v/>
      </c>
    </row>
    <row r="11">
      <c r="A11" t="inlineStr">
        <is>
          <t>Foals</t>
        </is>
      </c>
      <c r="B11" t="n">
        <v>0</v>
      </c>
      <c r="C11" t="n">
        <v>0</v>
      </c>
      <c r="H11" t="n">
        <v>0</v>
      </c>
      <c r="I11" t="n">
        <v>0</v>
      </c>
      <c r="K11">
        <f>B11+C11-H11-I11</f>
        <v/>
      </c>
      <c r="L11">
        <f>B11+C11-H11</f>
        <v/>
      </c>
      <c r="M11">
        <f>L11-B11</f>
        <v/>
      </c>
      <c r="N11">
        <f>C11</f>
        <v/>
      </c>
      <c r="O11" t="n">
        <v>0</v>
      </c>
      <c r="P11" s="72">
        <f>O11*K11</f>
        <v/>
      </c>
      <c r="R11" t="n">
        <v>0</v>
      </c>
      <c r="S11">
        <f>O11*M11</f>
        <v/>
      </c>
      <c r="T11">
        <f>O11*N11</f>
        <v/>
      </c>
    </row>
    <row r="12">
      <c r="A12" t="inlineStr">
        <is>
          <t>Oxen</t>
        </is>
      </c>
      <c r="B12" t="n">
        <v>0</v>
      </c>
      <c r="C12" t="n">
        <v>0</v>
      </c>
      <c r="H12" t="n">
        <v>0</v>
      </c>
      <c r="I12" t="n">
        <v>0</v>
      </c>
      <c r="K12">
        <f>B12+C12-H12-I12</f>
        <v/>
      </c>
      <c r="L12">
        <f>B12+C12-H12</f>
        <v/>
      </c>
      <c r="M12">
        <f>L12-B12</f>
        <v/>
      </c>
      <c r="N12">
        <f>C12</f>
        <v/>
      </c>
      <c r="O12" t="n">
        <v>0</v>
      </c>
      <c r="P12" s="72">
        <f>O12*K12</f>
        <v/>
      </c>
      <c r="R12" t="n">
        <v>0</v>
      </c>
      <c r="S12">
        <f>O12*M12</f>
        <v/>
      </c>
      <c r="T12">
        <f>O12*N12</f>
        <v/>
      </c>
    </row>
    <row r="13">
      <c r="A13" t="inlineStr">
        <is>
          <t>Bulls</t>
        </is>
      </c>
      <c r="B13" t="n">
        <v>0</v>
      </c>
      <c r="C13" t="n">
        <v>0</v>
      </c>
      <c r="H13" t="n">
        <v>0</v>
      </c>
      <c r="I13" t="n">
        <v>0</v>
      </c>
      <c r="K13">
        <f>B13+C13-H13-I13</f>
        <v/>
      </c>
      <c r="L13">
        <f>B13+C13-H13</f>
        <v/>
      </c>
      <c r="M13">
        <f>L13-B13</f>
        <v/>
      </c>
      <c r="N13">
        <f>C13</f>
        <v/>
      </c>
      <c r="O13" t="n">
        <v>0</v>
      </c>
      <c r="P13" s="72">
        <f>O13*K13</f>
        <v/>
      </c>
      <c r="R13" t="n">
        <v>0</v>
      </c>
      <c r="S13">
        <f>O13*M13</f>
        <v/>
      </c>
      <c r="T13">
        <f>O13*N13</f>
        <v/>
      </c>
    </row>
    <row r="14">
      <c r="A14" t="inlineStr">
        <is>
          <t>Cows</t>
        </is>
      </c>
      <c r="B14" t="n">
        <v>31</v>
      </c>
      <c r="C14" t="n">
        <v>0</v>
      </c>
      <c r="H14" t="n">
        <v>0</v>
      </c>
      <c r="I14" t="n">
        <v>0</v>
      </c>
      <c r="K14">
        <f>B14+C14-H14-I14</f>
        <v/>
      </c>
      <c r="L14">
        <f>B14+C14-H14</f>
        <v/>
      </c>
      <c r="M14">
        <f>L14-B14</f>
        <v/>
      </c>
      <c r="N14">
        <f>C14</f>
        <v/>
      </c>
      <c r="O14" t="n">
        <v>0</v>
      </c>
      <c r="P14" s="72">
        <f>O14*K14</f>
        <v/>
      </c>
      <c r="R14" t="n">
        <v>0</v>
      </c>
      <c r="S14">
        <f>O14*M14</f>
        <v/>
      </c>
      <c r="T14">
        <f>O14*N14</f>
        <v/>
      </c>
    </row>
    <row r="15">
      <c r="A15" t="inlineStr">
        <is>
          <t>Steers</t>
        </is>
      </c>
      <c r="B15" t="n">
        <v>5</v>
      </c>
      <c r="C15" t="n">
        <v>0</v>
      </c>
      <c r="H15" t="n">
        <v>0</v>
      </c>
      <c r="I15" t="n">
        <v>0</v>
      </c>
      <c r="K15">
        <f>B15+C15-H15-I15</f>
        <v/>
      </c>
      <c r="L15">
        <f>B15+C15-H15</f>
        <v/>
      </c>
      <c r="M15">
        <f>L15-B15</f>
        <v/>
      </c>
      <c r="N15">
        <f>C15</f>
        <v/>
      </c>
      <c r="O15" t="n">
        <v>0</v>
      </c>
      <c r="P15" s="72">
        <f>O15*K15</f>
        <v/>
      </c>
      <c r="R15" t="n">
        <v>0</v>
      </c>
      <c r="S15">
        <f>O15*M15</f>
        <v/>
      </c>
      <c r="T15">
        <f>O15*N15</f>
        <v/>
      </c>
    </row>
    <row r="16">
      <c r="A16" t="inlineStr">
        <is>
          <t>Bullocks</t>
        </is>
      </c>
      <c r="B16" t="n">
        <v>6</v>
      </c>
      <c r="C16" t="n">
        <v>0</v>
      </c>
      <c r="H16" t="n">
        <v>0</v>
      </c>
      <c r="I16" t="n">
        <v>0</v>
      </c>
      <c r="K16">
        <f>B16+C16-H16-I16</f>
        <v/>
      </c>
      <c r="L16">
        <f>B16+C16-H16</f>
        <v/>
      </c>
      <c r="M16">
        <f>L16-B16</f>
        <v/>
      </c>
      <c r="N16">
        <f>C16</f>
        <v/>
      </c>
      <c r="O16" t="n">
        <v>0</v>
      </c>
      <c r="P16" s="72">
        <f>O16*K16</f>
        <v/>
      </c>
      <c r="R16" t="n">
        <v>0</v>
      </c>
      <c r="S16">
        <f>O16*M16</f>
        <v/>
      </c>
      <c r="T16">
        <f>O16*N16</f>
        <v/>
      </c>
    </row>
    <row r="17">
      <c r="A17" t="inlineStr">
        <is>
          <t>Yearlings</t>
        </is>
      </c>
      <c r="B17" t="n">
        <v>5</v>
      </c>
      <c r="C17" t="n">
        <v>0</v>
      </c>
      <c r="H17" t="n">
        <v>0</v>
      </c>
      <c r="I17" t="n">
        <v>0</v>
      </c>
      <c r="K17">
        <f>B17+C17-H17-I17</f>
        <v/>
      </c>
      <c r="L17">
        <f>B17+C17-H17</f>
        <v/>
      </c>
      <c r="M17">
        <f>L17-B17</f>
        <v/>
      </c>
      <c r="N17">
        <f>C17</f>
        <v/>
      </c>
      <c r="O17" t="n">
        <v>0</v>
      </c>
      <c r="P17" s="72">
        <f>O17*K17</f>
        <v/>
      </c>
      <c r="R17" t="n">
        <v>0</v>
      </c>
      <c r="S17">
        <f>O17*M17</f>
        <v/>
      </c>
      <c r="T17">
        <f>O17*N17</f>
        <v/>
      </c>
    </row>
    <row r="18">
      <c r="A18" t="inlineStr">
        <is>
          <t>Calves</t>
        </is>
      </c>
      <c r="B18" t="n">
        <v>0</v>
      </c>
      <c r="C18" t="n">
        <v>0</v>
      </c>
      <c r="H18" t="n">
        <v>0</v>
      </c>
      <c r="I18" t="n">
        <v>0</v>
      </c>
      <c r="K18">
        <f>B18+C18-H18-I18</f>
        <v/>
      </c>
      <c r="L18">
        <f>B18+C18-H18</f>
        <v/>
      </c>
      <c r="M18">
        <f>L18-B18</f>
        <v/>
      </c>
      <c r="N18">
        <f>C18</f>
        <v/>
      </c>
      <c r="O18" t="n">
        <v>0</v>
      </c>
      <c r="P18" s="72">
        <f>O18*K18</f>
        <v/>
      </c>
      <c r="R18" t="n">
        <v>0</v>
      </c>
      <c r="S18">
        <f>O18*M18</f>
        <v/>
      </c>
      <c r="T18">
        <f>O18*N18</f>
        <v/>
      </c>
    </row>
    <row r="19">
      <c r="A19" t="inlineStr">
        <is>
          <t>Wethers</t>
        </is>
      </c>
      <c r="B19" t="n">
        <v>0</v>
      </c>
      <c r="C19" t="n">
        <v>0</v>
      </c>
      <c r="H19" t="n">
        <v>0</v>
      </c>
      <c r="I19" t="n">
        <v>0</v>
      </c>
      <c r="K19">
        <f>B19+C19-H19-I19</f>
        <v/>
      </c>
      <c r="L19">
        <f>B19+C19-H19</f>
        <v/>
      </c>
      <c r="M19">
        <f>L19-B19</f>
        <v/>
      </c>
      <c r="N19">
        <f>C19</f>
        <v/>
      </c>
      <c r="O19" t="n">
        <v>0</v>
      </c>
      <c r="P19" s="72">
        <f>O19*K19</f>
        <v/>
      </c>
      <c r="R19" t="n">
        <v>0</v>
      </c>
      <c r="S19">
        <f>O19*M19</f>
        <v/>
      </c>
      <c r="T19">
        <f>O19*N19</f>
        <v/>
      </c>
    </row>
    <row r="20">
      <c r="A20" t="inlineStr">
        <is>
          <t>Rams</t>
        </is>
      </c>
      <c r="B20" t="n">
        <v>8</v>
      </c>
      <c r="C20" t="n">
        <v>0</v>
      </c>
      <c r="H20" t="n">
        <v>0</v>
      </c>
      <c r="I20" t="n">
        <v>0</v>
      </c>
      <c r="K20">
        <f>B20+C20-H20-I20</f>
        <v/>
      </c>
      <c r="L20">
        <f>B20+C20-H20</f>
        <v/>
      </c>
      <c r="M20">
        <f>L20-B20</f>
        <v/>
      </c>
      <c r="N20">
        <f>C20</f>
        <v/>
      </c>
      <c r="O20" t="n">
        <v>0</v>
      </c>
      <c r="P20" s="72">
        <f>O20*K20</f>
        <v/>
      </c>
      <c r="R20" t="n">
        <v>0</v>
      </c>
      <c r="S20">
        <f>O20*M20</f>
        <v/>
      </c>
      <c r="T20">
        <f>O20*N20</f>
        <v/>
      </c>
    </row>
    <row r="21">
      <c r="A21" t="inlineStr">
        <is>
          <t>Ewes</t>
        </is>
      </c>
      <c r="B21" t="n">
        <v>313</v>
      </c>
      <c r="C21" t="n">
        <v>55</v>
      </c>
      <c r="H21" t="n">
        <v>0</v>
      </c>
      <c r="I21" t="n">
        <v>55</v>
      </c>
      <c r="K21">
        <f>B21+C21-H21-I21</f>
        <v/>
      </c>
      <c r="L21">
        <f>B21+C21-H21</f>
        <v/>
      </c>
      <c r="M21">
        <f>L21-B21</f>
        <v/>
      </c>
      <c r="N21">
        <f>C21</f>
        <v/>
      </c>
      <c r="O21" t="n">
        <v>0</v>
      </c>
      <c r="P21" s="72">
        <f>O21*K21</f>
        <v/>
      </c>
      <c r="Q21" t="n">
        <v>0</v>
      </c>
      <c r="R21" t="n">
        <v>0</v>
      </c>
      <c r="S21">
        <f>O21*M21</f>
        <v/>
      </c>
      <c r="T21">
        <f>O21*N21</f>
        <v/>
      </c>
    </row>
    <row r="22">
      <c r="A22" t="inlineStr">
        <is>
          <t>Hoggs</t>
        </is>
      </c>
      <c r="B22" t="n">
        <v>0</v>
      </c>
      <c r="C22" t="n">
        <v>0</v>
      </c>
      <c r="H22" t="n">
        <v>0</v>
      </c>
      <c r="I22" t="n">
        <v>0</v>
      </c>
      <c r="K22">
        <f>B22+C22-H22-I22</f>
        <v/>
      </c>
      <c r="L22">
        <f>B22+C22-H22</f>
        <v/>
      </c>
      <c r="M22">
        <f>L22-B22</f>
        <v/>
      </c>
      <c r="N22">
        <f>C22</f>
        <v/>
      </c>
      <c r="O22" t="n">
        <v>0</v>
      </c>
      <c r="P22" s="72">
        <f>O22*K22</f>
        <v/>
      </c>
      <c r="R22" t="n">
        <v>0</v>
      </c>
      <c r="S22">
        <f>O22*M22</f>
        <v/>
      </c>
      <c r="T22">
        <f>O22*N22</f>
        <v/>
      </c>
    </row>
    <row r="23">
      <c r="A23" t="inlineStr">
        <is>
          <t>Lambs</t>
        </is>
      </c>
      <c r="B23" t="n">
        <v>84</v>
      </c>
      <c r="C23" t="n">
        <v>0</v>
      </c>
      <c r="H23" t="n">
        <v>0</v>
      </c>
      <c r="I23" t="n">
        <v>0</v>
      </c>
      <c r="K23">
        <f>B23+C23-H23-I23</f>
        <v/>
      </c>
      <c r="L23">
        <f>B23+C23-H23</f>
        <v/>
      </c>
      <c r="M23">
        <f>L23-B23</f>
        <v/>
      </c>
      <c r="N23">
        <f>C23</f>
        <v/>
      </c>
      <c r="O23" t="n">
        <v>0</v>
      </c>
      <c r="P23" s="72">
        <f>O23*K23</f>
        <v/>
      </c>
      <c r="R23" t="n">
        <v>0</v>
      </c>
      <c r="S23">
        <f>O23*M23</f>
        <v/>
      </c>
      <c r="T23">
        <f>O23*N23</f>
        <v/>
      </c>
    </row>
    <row r="24">
      <c r="A24" t="inlineStr">
        <is>
          <t>Boars</t>
        </is>
      </c>
      <c r="B24" t="n">
        <v>0</v>
      </c>
      <c r="C24" t="n">
        <v>0</v>
      </c>
      <c r="H24" t="n">
        <v>0</v>
      </c>
      <c r="I24" t="n">
        <v>0</v>
      </c>
      <c r="K24">
        <f>B24+C24-H24-I24</f>
        <v/>
      </c>
      <c r="L24">
        <f>B24+C24-H24</f>
        <v/>
      </c>
      <c r="M24">
        <f>L24-B24</f>
        <v/>
      </c>
      <c r="N24">
        <f>C24</f>
        <v/>
      </c>
      <c r="O24" t="n">
        <v>0</v>
      </c>
      <c r="P24" s="72">
        <f>O24*K24</f>
        <v/>
      </c>
      <c r="R24" t="n">
        <v>0</v>
      </c>
      <c r="S24">
        <f>O24*M24</f>
        <v/>
      </c>
      <c r="T24">
        <f>O24*N24</f>
        <v/>
      </c>
    </row>
    <row r="25">
      <c r="A25" t="inlineStr">
        <is>
          <t>Sows</t>
        </is>
      </c>
      <c r="B25" t="n">
        <v>3</v>
      </c>
      <c r="C25" t="n">
        <v>0</v>
      </c>
      <c r="H25" t="n">
        <v>0</v>
      </c>
      <c r="I25" t="n">
        <v>0</v>
      </c>
      <c r="K25">
        <f>B25+C25-H25-I25</f>
        <v/>
      </c>
      <c r="L25">
        <f>B25+C25-H25</f>
        <v/>
      </c>
      <c r="M25">
        <f>L25-B25</f>
        <v/>
      </c>
      <c r="N25">
        <f>C25</f>
        <v/>
      </c>
      <c r="O25" t="n">
        <v>0</v>
      </c>
      <c r="P25" s="72">
        <f>O25*K25</f>
        <v/>
      </c>
      <c r="R25" t="n">
        <v>0</v>
      </c>
      <c r="S25">
        <f>O25*M25</f>
        <v/>
      </c>
      <c r="T25">
        <f>O25*N25</f>
        <v/>
      </c>
    </row>
    <row r="26">
      <c r="A26" t="inlineStr">
        <is>
          <t>Pigs</t>
        </is>
      </c>
      <c r="B26" t="n">
        <v>29</v>
      </c>
      <c r="C26" t="n">
        <v>0</v>
      </c>
      <c r="H26" t="n">
        <v>0</v>
      </c>
      <c r="I26" t="n">
        <v>0</v>
      </c>
      <c r="K26">
        <f>B26+C26-H26-I26</f>
        <v/>
      </c>
      <c r="L26">
        <f>B26+C26-H26</f>
        <v/>
      </c>
      <c r="M26">
        <f>L26-B26</f>
        <v/>
      </c>
      <c r="N26">
        <f>C26</f>
        <v/>
      </c>
      <c r="O26" t="n">
        <v>0</v>
      </c>
      <c r="P26" s="72">
        <f>O26*K26</f>
        <v/>
      </c>
      <c r="R26" t="n">
        <v>0</v>
      </c>
      <c r="S26">
        <f>O26*M26</f>
        <v/>
      </c>
      <c r="T26">
        <f>O26*N26</f>
        <v/>
      </c>
    </row>
    <row r="27">
      <c r="A27" t="inlineStr">
        <is>
          <t>Hoggets</t>
        </is>
      </c>
      <c r="B27" t="n">
        <v>32</v>
      </c>
      <c r="C27" t="n">
        <v>0</v>
      </c>
      <c r="H27" t="n">
        <v>0</v>
      </c>
      <c r="I27" t="n">
        <v>0</v>
      </c>
      <c r="K27">
        <f>B27+C27-H27-I27</f>
        <v/>
      </c>
      <c r="L27">
        <f>B27+C27-H27</f>
        <v/>
      </c>
      <c r="M27">
        <f>L27-B27</f>
        <v/>
      </c>
      <c r="N27">
        <f>C27</f>
        <v/>
      </c>
      <c r="O27" t="n">
        <v>0</v>
      </c>
      <c r="P27" s="72">
        <f>O27*K27</f>
        <v/>
      </c>
      <c r="R27" t="n">
        <v>0</v>
      </c>
      <c r="S27">
        <f>O27*M27</f>
        <v/>
      </c>
      <c r="T27">
        <f>O27*N27</f>
        <v/>
      </c>
    </row>
    <row r="28">
      <c r="A28" t="inlineStr">
        <is>
          <t>Piglets</t>
        </is>
      </c>
      <c r="B28" t="n">
        <v>13</v>
      </c>
      <c r="C28" t="n">
        <v>0</v>
      </c>
      <c r="H28" t="n">
        <v>0</v>
      </c>
      <c r="I28" t="n">
        <v>0</v>
      </c>
      <c r="K28">
        <f>B28+C28-H28-I28</f>
        <v/>
      </c>
      <c r="L28">
        <f>B28+C28-H28</f>
        <v/>
      </c>
      <c r="M28">
        <f>L28-B28</f>
        <v/>
      </c>
      <c r="N28">
        <f>C28</f>
        <v/>
      </c>
      <c r="O28" t="n">
        <v>0</v>
      </c>
      <c r="P28" s="72">
        <f>O28*K28</f>
        <v/>
      </c>
      <c r="R28" t="n">
        <v>0</v>
      </c>
      <c r="S28">
        <f>O28*M28</f>
        <v/>
      </c>
      <c r="T28">
        <f>O28*N28</f>
        <v/>
      </c>
    </row>
    <row r="29">
      <c r="A29" t="inlineStr">
        <is>
          <t>Swans</t>
        </is>
      </c>
      <c r="B29" t="n">
        <v>0</v>
      </c>
      <c r="C29" t="n">
        <v>0</v>
      </c>
      <c r="H29" t="n">
        <v>0</v>
      </c>
      <c r="I29" t="n">
        <v>0</v>
      </c>
      <c r="K29">
        <f>B29+C29-H29-I29</f>
        <v/>
      </c>
      <c r="L29">
        <f>B29+C29-H29</f>
        <v/>
      </c>
      <c r="M29">
        <f>L29-B29</f>
        <v/>
      </c>
      <c r="N29">
        <f>C29</f>
        <v/>
      </c>
      <c r="O29" t="n">
        <v>0</v>
      </c>
      <c r="P29" s="72">
        <f>O29*K29</f>
        <v/>
      </c>
      <c r="R29" t="n">
        <v>0</v>
      </c>
      <c r="S29">
        <f>O29*M29</f>
        <v/>
      </c>
      <c r="T29">
        <f>O29*N29</f>
        <v/>
      </c>
    </row>
    <row r="30">
      <c r="A30" t="inlineStr">
        <is>
          <t>Peacocks</t>
        </is>
      </c>
      <c r="B30" t="n">
        <v>0</v>
      </c>
      <c r="C30" t="n">
        <v>0</v>
      </c>
      <c r="H30" t="n">
        <v>0</v>
      </c>
      <c r="I30" t="n">
        <v>0</v>
      </c>
      <c r="K30">
        <f>B30+C30-H30-I30</f>
        <v/>
      </c>
      <c r="L30">
        <f>B30+C30-H30</f>
        <v/>
      </c>
      <c r="M30">
        <f>L30-B30</f>
        <v/>
      </c>
      <c r="N30">
        <f>C30</f>
        <v/>
      </c>
      <c r="O30" t="n">
        <v>0</v>
      </c>
      <c r="P30" s="72">
        <f>O30*K30</f>
        <v/>
      </c>
      <c r="R30" t="n">
        <v>0</v>
      </c>
      <c r="S30">
        <f>O30*M30</f>
        <v/>
      </c>
      <c r="T30">
        <f>O30*N30</f>
        <v/>
      </c>
    </row>
    <row r="31" ht="15.5" customHeight="1">
      <c r="A31" s="67" t="inlineStr">
        <is>
          <t>Total Value</t>
        </is>
      </c>
    </row>
    <row r="34" ht="15.5" customHeight="1">
      <c r="A34" s="66" t="inlineStr">
        <is>
          <t>Wool</t>
        </is>
      </c>
      <c r="B34" t="n">
        <v>0</v>
      </c>
      <c r="C34" t="n">
        <v>0</v>
      </c>
      <c r="H34" t="n">
        <v>0</v>
      </c>
      <c r="I34" t="n">
        <v>0</v>
      </c>
    </row>
    <row r="35">
      <c r="A35" t="inlineStr">
        <is>
          <t>Coarse wool</t>
        </is>
      </c>
      <c r="B35" t="n">
        <v>0</v>
      </c>
      <c r="C35" t="n">
        <v>0</v>
      </c>
      <c r="H35" t="n">
        <v>0</v>
      </c>
      <c r="I35" t="n">
        <v>0</v>
      </c>
    </row>
    <row r="36">
      <c r="A36" t="inlineStr">
        <is>
          <t>Lamb's wool</t>
        </is>
      </c>
      <c r="B36" t="n">
        <v>0</v>
      </c>
      <c r="C36" t="n">
        <v>0</v>
      </c>
      <c r="H36" t="n">
        <v>0</v>
      </c>
      <c r="I36" t="n">
        <v>0</v>
      </c>
    </row>
    <row r="37">
      <c r="A37" t="inlineStr">
        <is>
          <t>Wool locks</t>
        </is>
      </c>
      <c r="B37" t="n">
        <v>0</v>
      </c>
      <c r="C37" t="n">
        <v>0</v>
      </c>
      <c r="H37" t="n">
        <v>0</v>
      </c>
      <c r="I37" t="n">
        <v>0</v>
      </c>
    </row>
    <row r="38">
      <c r="A38" t="inlineStr">
        <is>
          <t>Wool sold at shearing</t>
        </is>
      </c>
      <c r="B38" t="n">
        <v>0</v>
      </c>
      <c r="C38" t="n">
        <v>0</v>
      </c>
      <c r="H38" t="n">
        <v>0</v>
      </c>
      <c r="I38" t="n">
        <v>0</v>
      </c>
    </row>
    <row r="39" ht="15.5" customHeight="1">
      <c r="A39" s="67" t="inlineStr">
        <is>
          <t>Total wool</t>
        </is>
      </c>
      <c r="B39" t="n">
        <v>0</v>
      </c>
      <c r="C39" t="n">
        <v>0</v>
      </c>
      <c r="H39" t="n">
        <v>0</v>
      </c>
      <c r="I39" t="n">
        <v>0</v>
      </c>
    </row>
    <row r="40">
      <c r="B40" t="n">
        <v>0</v>
      </c>
      <c r="C40" t="n">
        <v>0</v>
      </c>
      <c r="H40" t="n">
        <v>0</v>
      </c>
      <c r="I40" t="n">
        <v>0</v>
      </c>
    </row>
    <row r="41">
      <c r="B41" t="n">
        <v>0</v>
      </c>
      <c r="C41" t="n">
        <v>0</v>
      </c>
      <c r="H41" t="n">
        <v>0</v>
      </c>
      <c r="I41" t="n">
        <v>0</v>
      </c>
    </row>
    <row r="42" ht="15.5" customHeight="1">
      <c r="A42" s="66" t="inlineStr">
        <is>
          <t>Hides</t>
        </is>
      </c>
      <c r="B42" t="n">
        <v>0</v>
      </c>
      <c r="C42" t="n">
        <v>0</v>
      </c>
      <c r="H42" t="n">
        <v>0</v>
      </c>
      <c r="I42" t="n">
        <v>0</v>
      </c>
    </row>
    <row r="43">
      <c r="A43" t="inlineStr">
        <is>
          <t>Ox hides</t>
        </is>
      </c>
      <c r="B43" t="n">
        <v>0</v>
      </c>
      <c r="C43" t="n">
        <v>0</v>
      </c>
      <c r="H43" t="n">
        <v>0</v>
      </c>
      <c r="I43" t="n">
        <v>0</v>
      </c>
    </row>
    <row r="44">
      <c r="A44" t="inlineStr">
        <is>
          <t>Mare</t>
        </is>
      </c>
      <c r="B44" t="n">
        <v>0</v>
      </c>
      <c r="C44" t="n">
        <v>0</v>
      </c>
      <c r="H44" t="n">
        <v>0</v>
      </c>
      <c r="I44" t="n">
        <v>0</v>
      </c>
    </row>
    <row r="45">
      <c r="A45" t="inlineStr">
        <is>
          <t>Steer</t>
        </is>
      </c>
      <c r="B45" t="n">
        <v>0</v>
      </c>
      <c r="C45" t="n">
        <v>0</v>
      </c>
      <c r="H45" t="n">
        <v>0</v>
      </c>
      <c r="I45" t="n">
        <v>0</v>
      </c>
    </row>
    <row r="46">
      <c r="A46" t="inlineStr">
        <is>
          <t>calves</t>
        </is>
      </c>
      <c r="B46" t="n">
        <v>0</v>
      </c>
      <c r="C46" t="n">
        <v>0</v>
      </c>
      <c r="H46" t="n">
        <v>0</v>
      </c>
      <c r="I46" t="n">
        <v>0</v>
      </c>
    </row>
    <row r="47">
      <c r="A47" s="68" t="inlineStr">
        <is>
          <t>pigs</t>
        </is>
      </c>
      <c r="B47" t="n">
        <v>29</v>
      </c>
      <c r="C47" t="n">
        <v>0</v>
      </c>
      <c r="H47" t="n">
        <v>0</v>
      </c>
      <c r="I47" t="n">
        <v>0</v>
      </c>
    </row>
    <row r="48">
      <c r="A48" t="inlineStr">
        <is>
          <t xml:space="preserve">Woolskins </t>
        </is>
      </c>
    </row>
    <row r="49">
      <c r="A49" s="28" t="inlineStr">
        <is>
          <t>wethers</t>
        </is>
      </c>
    </row>
    <row r="50">
      <c r="A50" s="28" t="inlineStr">
        <is>
          <t>rams</t>
        </is>
      </c>
    </row>
    <row r="51">
      <c r="A51" s="28" t="inlineStr">
        <is>
          <t>ewes</t>
        </is>
      </c>
    </row>
    <row r="52">
      <c r="A52" s="28" t="inlineStr">
        <is>
          <t>hoggs</t>
        </is>
      </c>
    </row>
    <row r="53">
      <c r="A53" s="69" t="inlineStr">
        <is>
          <t>Woolskins total</t>
        </is>
      </c>
      <c r="B53" t="n">
        <v>0</v>
      </c>
      <c r="C53" t="n">
        <v>0</v>
      </c>
      <c r="H53" t="n">
        <v>50</v>
      </c>
      <c r="I53" t="n">
        <v>55</v>
      </c>
    </row>
    <row r="54">
      <c r="A54" s="43" t="inlineStr">
        <is>
          <t>Bareskins</t>
        </is>
      </c>
    </row>
    <row r="55">
      <c r="A55" s="28" t="inlineStr">
        <is>
          <t>wethers</t>
        </is>
      </c>
    </row>
    <row r="56">
      <c r="A56" s="28" t="inlineStr">
        <is>
          <t>rams</t>
        </is>
      </c>
    </row>
    <row r="57">
      <c r="A57" s="28" t="inlineStr">
        <is>
          <t>ewes</t>
        </is>
      </c>
    </row>
    <row r="58">
      <c r="A58" s="28" t="inlineStr">
        <is>
          <t>hoggs</t>
        </is>
      </c>
    </row>
    <row r="59">
      <c r="A59" s="69" t="inlineStr">
        <is>
          <t>Bareskins total</t>
        </is>
      </c>
      <c r="B59" t="n">
        <v>0</v>
      </c>
      <c r="C59" t="n">
        <v>0</v>
      </c>
      <c r="H59" t="n">
        <v>0</v>
      </c>
      <c r="I59" t="n">
        <v>0</v>
      </c>
    </row>
    <row r="60">
      <c r="A60" t="inlineStr">
        <is>
          <t>Lambskins</t>
        </is>
      </c>
      <c r="B60" t="n">
        <v>0</v>
      </c>
      <c r="C60" t="n">
        <v>0</v>
      </c>
      <c r="H60" t="n">
        <v>0</v>
      </c>
      <c r="I60" t="n">
        <v>0</v>
      </c>
    </row>
    <row r="61">
      <c r="A61" t="inlineStr">
        <is>
          <t>Rotted skins</t>
        </is>
      </c>
      <c r="B61" t="n">
        <v>0</v>
      </c>
      <c r="C61" t="n">
        <v>0</v>
      </c>
      <c r="H61" t="n">
        <v>0</v>
      </c>
      <c r="I61" t="n">
        <v>0</v>
      </c>
    </row>
    <row r="62">
      <c r="A62" t="inlineStr">
        <is>
          <t>Shorn skins</t>
        </is>
      </c>
      <c r="B62" t="n">
        <v>0</v>
      </c>
      <c r="C62" t="n">
        <v>0</v>
      </c>
      <c r="H62" t="n">
        <v>0</v>
      </c>
      <c r="I62" t="n">
        <v>0</v>
      </c>
    </row>
    <row r="63">
      <c r="A63" s="70" t="inlineStr">
        <is>
          <t xml:space="preserve">Total </t>
        </is>
      </c>
    </row>
    <row r="66" ht="15.5" customHeight="1">
      <c r="A66" s="66" t="inlineStr">
        <is>
          <t>Poultry stock</t>
        </is>
      </c>
    </row>
    <row r="67">
      <c r="A67" s="44" t="inlineStr">
        <is>
          <t>Hens</t>
        </is>
      </c>
      <c r="L67">
        <f>B67+C67-H67</f>
        <v/>
      </c>
      <c r="M67">
        <f>L67-B67</f>
        <v/>
      </c>
      <c r="N67">
        <f>C67</f>
        <v/>
      </c>
      <c r="O67" t="n">
        <v>0</v>
      </c>
      <c r="Q67">
        <f>R67*K67</f>
        <v/>
      </c>
      <c r="R67" t="n">
        <v>0</v>
      </c>
      <c r="S67">
        <f>O67*M67</f>
        <v/>
      </c>
      <c r="T67">
        <f>O67*N67</f>
        <v/>
      </c>
    </row>
    <row r="68">
      <c r="A68" t="inlineStr">
        <is>
          <t>Geese</t>
        </is>
      </c>
      <c r="L68">
        <f>B68+C68-H68</f>
        <v/>
      </c>
      <c r="M68">
        <f>L68-B68</f>
        <v/>
      </c>
      <c r="N68">
        <f>C68</f>
        <v/>
      </c>
      <c r="O68" t="n">
        <v>0</v>
      </c>
      <c r="Q68">
        <f>R68*K68</f>
        <v/>
      </c>
      <c r="R68" t="n">
        <v>0</v>
      </c>
      <c r="S68">
        <f>O68*M68</f>
        <v/>
      </c>
      <c r="T68">
        <f>O68*N68</f>
        <v/>
      </c>
    </row>
    <row r="69">
      <c r="A69" t="inlineStr">
        <is>
          <t>Capons (from chickens)</t>
        </is>
      </c>
      <c r="B69" t="n">
        <v>0</v>
      </c>
      <c r="C69" t="n">
        <v>6</v>
      </c>
      <c r="H69" t="n">
        <v>6</v>
      </c>
      <c r="K69" t="n">
        <v>0</v>
      </c>
      <c r="L69">
        <f>B69+C69-H69</f>
        <v/>
      </c>
      <c r="M69">
        <f>L69-B69</f>
        <v/>
      </c>
      <c r="N69">
        <f>C69</f>
        <v/>
      </c>
      <c r="O69" t="n">
        <v>0</v>
      </c>
      <c r="Q69">
        <f>R69*K69</f>
        <v/>
      </c>
      <c r="R69" t="n">
        <v>0</v>
      </c>
      <c r="S69">
        <f>O69*M69</f>
        <v/>
      </c>
      <c r="T69">
        <f>O69*N69</f>
        <v/>
      </c>
    </row>
    <row r="70">
      <c r="A70" t="inlineStr">
        <is>
          <t>Cocks &amp; hens</t>
        </is>
      </c>
      <c r="B70" t="n">
        <v>0</v>
      </c>
      <c r="F70" t="n">
        <v>28</v>
      </c>
      <c r="G70" t="n">
        <v>18</v>
      </c>
      <c r="H70" t="n">
        <v>10</v>
      </c>
      <c r="K70" t="n">
        <v>0</v>
      </c>
      <c r="L70">
        <f>B70+C70-H70</f>
        <v/>
      </c>
      <c r="M70">
        <f>L70-B70</f>
        <v/>
      </c>
      <c r="N70">
        <f>C70</f>
        <v/>
      </c>
      <c r="O70" t="n">
        <v>0</v>
      </c>
      <c r="Q70">
        <f>R70*K70</f>
        <v/>
      </c>
      <c r="R70" t="n">
        <v>0</v>
      </c>
      <c r="S70">
        <f>O70*M70</f>
        <v/>
      </c>
      <c r="T70">
        <f>O70*N70</f>
        <v/>
      </c>
    </row>
    <row r="71">
      <c r="A71" s="70" t="inlineStr">
        <is>
          <t>Total poultry stock</t>
        </is>
      </c>
    </row>
    <row r="72">
      <c r="A72" s="71" t="inlineStr">
        <is>
          <t>Total poultry excluding churchscot</t>
        </is>
      </c>
    </row>
    <row r="74" ht="15.5" customHeight="1">
      <c r="A74" s="12" t="inlineStr">
        <is>
          <t>Poultry production</t>
        </is>
      </c>
    </row>
    <row r="75">
      <c r="A75" t="inlineStr">
        <is>
          <t>Eggs</t>
        </is>
      </c>
      <c r="B75" t="n">
        <v>0</v>
      </c>
      <c r="C75" t="n">
        <v>0</v>
      </c>
      <c r="H75" t="n">
        <v>0</v>
      </c>
      <c r="I75" t="n">
        <v>0</v>
      </c>
      <c r="S75">
        <f>O75*M75</f>
        <v/>
      </c>
      <c r="T75">
        <f>O75*N75</f>
        <v/>
      </c>
    </row>
    <row r="76">
      <c r="A76" t="inlineStr">
        <is>
          <t>Cocks &amp; hens from churchscot of customary tenants</t>
        </is>
      </c>
      <c r="B76" t="n">
        <v>0</v>
      </c>
      <c r="C76" t="n">
        <v>0</v>
      </c>
      <c r="H76" t="n">
        <v>0</v>
      </c>
      <c r="I76" t="n">
        <v>0</v>
      </c>
      <c r="S76">
        <f>O76*M76</f>
        <v/>
      </c>
      <c r="T76">
        <f>O76*N76</f>
        <v/>
      </c>
    </row>
    <row r="77">
      <c r="A77" t="inlineStr">
        <is>
          <t>Sum of above</t>
        </is>
      </c>
      <c r="S77">
        <f>SUM(S75:S76)</f>
        <v/>
      </c>
      <c r="T77">
        <f>SUM(T75:T76)</f>
        <v/>
      </c>
    </row>
    <row r="78">
      <c r="A78" s="70" t="inlineStr">
        <is>
          <t>Total</t>
        </is>
      </c>
    </row>
    <row r="81" ht="15.5" customHeight="1">
      <c r="A81" s="12" t="inlineStr">
        <is>
          <t>Meat</t>
        </is>
      </c>
    </row>
    <row r="82">
      <c r="A82" t="inlineStr">
        <is>
          <t>Beef</t>
        </is>
      </c>
      <c r="B82" t="n">
        <v>0</v>
      </c>
      <c r="C82" t="n">
        <v>0</v>
      </c>
      <c r="H82" t="n">
        <v>0</v>
      </c>
      <c r="I82" t="n">
        <v>0</v>
      </c>
      <c r="S82">
        <f>O82*M82</f>
        <v/>
      </c>
      <c r="T82">
        <f>O82*N82</f>
        <v/>
      </c>
    </row>
    <row r="83">
      <c r="A83" t="inlineStr">
        <is>
          <t>Mutton</t>
        </is>
      </c>
      <c r="B83" t="n">
        <v>0</v>
      </c>
      <c r="C83" t="n">
        <v>0</v>
      </c>
      <c r="H83" t="n">
        <v>0</v>
      </c>
      <c r="I83" t="n">
        <v>0</v>
      </c>
      <c r="S83">
        <f>O83*M83</f>
        <v/>
      </c>
      <c r="T83">
        <f>O83*N83</f>
        <v/>
      </c>
    </row>
    <row r="84">
      <c r="A84" t="inlineStr">
        <is>
          <t>Pork</t>
        </is>
      </c>
      <c r="B84" t="n">
        <v>0</v>
      </c>
      <c r="C84" t="n">
        <v>0</v>
      </c>
      <c r="H84" t="n">
        <v>0</v>
      </c>
      <c r="I84" t="n">
        <v>0</v>
      </c>
      <c r="S84">
        <f>O84*M84</f>
        <v/>
      </c>
      <c r="T84">
        <f>O84*N84</f>
        <v/>
      </c>
    </row>
    <row r="85" ht="15.5" customHeight="1">
      <c r="A85" s="57" t="inlineStr">
        <is>
          <t xml:space="preserve">Total </t>
        </is>
      </c>
    </row>
    <row r="87" ht="15.5" customHeight="1">
      <c r="A87" s="12" t="inlineStr">
        <is>
          <t>Cheese</t>
        </is>
      </c>
    </row>
    <row r="88">
      <c r="A88" t="inlineStr">
        <is>
          <t>Winter cheese</t>
        </is>
      </c>
      <c r="B88" t="n">
        <v>0</v>
      </c>
      <c r="C88" t="n">
        <v>0</v>
      </c>
      <c r="H88" t="n">
        <v>0</v>
      </c>
      <c r="I88" t="n">
        <v>0</v>
      </c>
      <c r="S88">
        <f>O88*M88</f>
        <v/>
      </c>
      <c r="T88">
        <f>O88*N88</f>
        <v/>
      </c>
    </row>
    <row r="89">
      <c r="A89" t="inlineStr">
        <is>
          <t>Summer cheese</t>
        </is>
      </c>
      <c r="B89" t="n">
        <v>0</v>
      </c>
      <c r="C89" t="n">
        <v>0</v>
      </c>
      <c r="H89" t="n">
        <v>0</v>
      </c>
      <c r="I89" t="n">
        <v>0</v>
      </c>
      <c r="S89">
        <f>O89*M89</f>
        <v/>
      </c>
      <c r="T89">
        <f>O89*N89</f>
        <v/>
      </c>
    </row>
    <row r="90" ht="15.5" customHeight="1">
      <c r="A90" s="57" t="inlineStr">
        <is>
          <t>Total</t>
        </is>
      </c>
    </row>
    <row r="92" ht="15.5" customHeight="1">
      <c r="A92" s="12" t="inlineStr">
        <is>
          <t>Butter</t>
        </is>
      </c>
    </row>
    <row r="93">
      <c r="A93" t="inlineStr">
        <is>
          <t>Butter</t>
        </is>
      </c>
      <c r="B93" t="n">
        <v>0</v>
      </c>
      <c r="C93" t="n">
        <v>0</v>
      </c>
      <c r="H93" t="n">
        <v>0</v>
      </c>
      <c r="I93" t="n">
        <v>0</v>
      </c>
      <c r="S93">
        <f>O93*M93</f>
        <v/>
      </c>
      <c r="T93">
        <f>O93*N93</f>
        <v/>
      </c>
    </row>
    <row r="94" ht="15.5" customHeight="1">
      <c r="A94" s="57" t="inlineStr">
        <is>
          <t>Total</t>
        </is>
      </c>
    </row>
    <row r="95" ht="15.5" customHeight="1">
      <c r="A95" s="13" t="n"/>
    </row>
    <row r="96" ht="15.5" customHeight="1">
      <c r="A96" s="57" t="inlineStr">
        <is>
          <t>Total Dairy Sales</t>
        </is>
      </c>
    </row>
    <row r="99" ht="15.5" customHeight="1">
      <c r="A99" s="12" t="inlineStr">
        <is>
          <t>Cider</t>
        </is>
      </c>
      <c r="B99" t="n">
        <v>0</v>
      </c>
      <c r="C99" t="n">
        <v>0</v>
      </c>
      <c r="H99" t="n">
        <v>0</v>
      </c>
      <c r="I99" t="n">
        <v>0</v>
      </c>
    </row>
    <row r="102" ht="15.5" customHeight="1">
      <c r="A102" s="13" t="inlineStr">
        <is>
          <t>Additional Information (not necessarily useful)</t>
        </is>
      </c>
    </row>
    <row r="103" ht="15.5" customHeight="1">
      <c r="A103" s="12" t="inlineStr">
        <is>
          <t>Utensils</t>
        </is>
      </c>
    </row>
    <row r="104">
      <c r="A104" t="inlineStr">
        <is>
          <t>ploughs</t>
        </is>
      </c>
    </row>
    <row r="105">
      <c r="A105" t="inlineStr">
        <is>
          <t>carts</t>
        </is>
      </c>
    </row>
    <row r="106">
      <c r="A106" t="inlineStr">
        <is>
          <t>cart-ropes</t>
        </is>
      </c>
    </row>
    <row r="107">
      <c r="A107" t="inlineStr">
        <is>
          <t>corn baskets</t>
        </is>
      </c>
    </row>
    <row r="108">
      <c r="A108" t="inlineStr">
        <is>
          <t>seed-sacks</t>
        </is>
      </c>
    </row>
    <row r="109">
      <c r="A109" t="inlineStr">
        <is>
          <t>seed basket</t>
        </is>
      </c>
    </row>
    <row r="110">
      <c r="A110" t="inlineStr">
        <is>
          <t>locks for the doors</t>
        </is>
      </c>
    </row>
    <row r="111">
      <c r="A111" t="inlineStr">
        <is>
          <t>lead vessel</t>
        </is>
      </c>
    </row>
    <row r="112">
      <c r="A112" t="inlineStr">
        <is>
          <t>brass pots</t>
        </is>
      </c>
    </row>
    <row r="113">
      <c r="A113" t="inlineStr">
        <is>
          <t>pans</t>
        </is>
      </c>
    </row>
    <row r="114">
      <c r="A114" t="inlineStr">
        <is>
          <t>tripods</t>
        </is>
      </c>
    </row>
    <row r="115">
      <c r="A115" t="inlineStr">
        <is>
          <t>mortar</t>
        </is>
      </c>
    </row>
    <row r="116">
      <c r="A116" t="inlineStr">
        <is>
          <t>axe</t>
        </is>
      </c>
    </row>
    <row r="117">
      <c r="A117" t="inlineStr">
        <is>
          <t>casks</t>
        </is>
      </c>
    </row>
    <row r="118">
      <c r="A118" t="inlineStr">
        <is>
          <t>tubs</t>
        </is>
      </c>
    </row>
    <row r="119">
      <c r="A119" t="inlineStr">
        <is>
          <t>troughs</t>
        </is>
      </c>
    </row>
    <row r="120">
      <c r="A120" t="inlineStr">
        <is>
          <t>bucket</t>
        </is>
      </c>
    </row>
    <row r="121">
      <c r="A121" t="inlineStr">
        <is>
          <t>cheese basket</t>
        </is>
      </c>
    </row>
    <row r="122">
      <c r="A122" t="inlineStr">
        <is>
          <t>tables</t>
        </is>
      </c>
    </row>
    <row r="123">
      <c r="A123" t="inlineStr">
        <is>
          <t>table with trestles</t>
        </is>
      </c>
    </row>
    <row r="124">
      <c r="A124" t="inlineStr">
        <is>
          <t>benches</t>
        </is>
      </c>
    </row>
    <row r="125">
      <c r="A125" t="inlineStr">
        <is>
          <t>ewer with a basin</t>
        </is>
      </c>
    </row>
    <row r="126">
      <c r="A126" t="inlineStr">
        <is>
          <t>ladders</t>
        </is>
      </c>
    </row>
    <row r="127">
      <c r="A127" t="inlineStr">
        <is>
          <t>cloth</t>
        </is>
      </c>
    </row>
    <row r="128">
      <c r="A128" t="inlineStr">
        <is>
          <t>brass posnets</t>
        </is>
      </c>
    </row>
  </sheetData>
  <mergeCells count="2">
    <mergeCell ref="C3:F3"/>
    <mergeCell ref="G3:J3"/>
  </mergeCell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AH140"/>
  <sheetViews>
    <sheetView topLeftCell="A1"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1</t>
        </is>
      </c>
      <c r="N1" t="inlineStr">
        <is>
          <t>Bushels 1</t>
        </is>
      </c>
      <c r="O1" t="inlineStr">
        <is>
          <t>Quarters 2</t>
        </is>
      </c>
      <c r="P1" t="inlineStr">
        <is>
          <t>Bushels 2</t>
        </is>
      </c>
      <c r="Q1" t="inlineStr">
        <is>
          <t>Quarters 3</t>
        </is>
      </c>
      <c r="R1" t="inlineStr">
        <is>
          <t>Bushels 3</t>
        </is>
      </c>
      <c r="S1" t="inlineStr">
        <is>
          <t>shilling a quarter 1</t>
        </is>
      </c>
      <c r="T1" t="inlineStr">
        <is>
          <t>pence a quarter 1</t>
        </is>
      </c>
      <c r="U1" t="inlineStr">
        <is>
          <t>shilling a quarter 2</t>
        </is>
      </c>
      <c r="V1" t="inlineStr">
        <is>
          <t>pence a quarter 2</t>
        </is>
      </c>
      <c r="W1" t="inlineStr">
        <is>
          <t>shilling a quarter 3</t>
        </is>
      </c>
      <c r="X1" t="inlineStr">
        <is>
          <t>pence a quarter 3</t>
        </is>
      </c>
      <c r="Y1" t="inlineStr">
        <is>
          <t>shilling a quarter 4</t>
        </is>
      </c>
      <c r="Z1" t="inlineStr">
        <is>
          <t>pence a quarter 4</t>
        </is>
      </c>
      <c r="AA1" t="inlineStr">
        <is>
          <t>shilling a bushel 1</t>
        </is>
      </c>
      <c r="AB1" t="inlineStr">
        <is>
          <t>pence a bushel 1</t>
        </is>
      </c>
      <c r="AC1" t="inlineStr">
        <is>
          <t>shilling a bushel 2</t>
        </is>
      </c>
      <c r="AD1" t="inlineStr">
        <is>
          <t>pence a bushel 2</t>
        </is>
      </c>
      <c r="AE1" t="inlineStr">
        <is>
          <t>shilling a bushel 3</t>
        </is>
      </c>
      <c r="AF1" t="inlineStr">
        <is>
          <t>pence a bushel 3</t>
        </is>
      </c>
      <c r="AG1" t="inlineStr">
        <is>
          <t>shilling a bushel 4</t>
        </is>
      </c>
      <c r="AH1" t="inlineStr">
        <is>
          <t>pence a bushel 4</t>
        </is>
      </c>
    </row>
    <row r="2">
      <c r="A2" t="inlineStr">
        <is>
          <t>west wycombe</t>
        </is>
      </c>
      <c r="B2" t="inlineStr">
        <is>
          <t>the account there for the sixth year of the translation of henry beaufort', lord bishop of winchester, and the eleventh year of the reign of king henry the fourth after the conquest..</t>
        </is>
      </c>
      <c r="C2" t="n">
        <v>0</v>
      </c>
      <c r="D2" t="n">
        <v>0</v>
      </c>
      <c r="E2" t="n">
        <v>0</v>
      </c>
      <c r="F2" t="n">
        <v>0</v>
      </c>
      <c r="H2" t="n">
        <v>0</v>
      </c>
      <c r="I2" t="n">
        <v>0</v>
      </c>
      <c r="J2" t="n">
        <v>0</v>
      </c>
      <c r="K2" t="n">
        <v>0</v>
      </c>
      <c r="L2" t="n">
        <v>0</v>
      </c>
      <c r="M2" t="n">
        <v>0</v>
      </c>
      <c r="N2" t="n">
        <v>0</v>
      </c>
    </row>
    <row r="3">
      <c r="A3" t="inlineStr">
        <is>
          <t>arrears</t>
        </is>
      </c>
      <c r="B3" t="inlineStr">
        <is>
          <t>william lythewey, farmer there, answers for £1 14 shilling 2pence of arrears from the last account of the preceding year.</t>
        </is>
      </c>
      <c r="C3" t="n">
        <v>1.71</v>
      </c>
      <c r="D3" t="n">
        <v>1</v>
      </c>
      <c r="E3" t="n">
        <v>14</v>
      </c>
      <c r="F3" t="n">
        <v>2</v>
      </c>
      <c r="H3" t="n">
        <v>0</v>
      </c>
      <c r="I3" t="n">
        <v>0</v>
      </c>
      <c r="J3" t="n">
        <v>0</v>
      </c>
      <c r="K3" t="n">
        <v>0</v>
      </c>
      <c r="L3" t="n">
        <v>0</v>
      </c>
      <c r="M3" t="n">
        <v>0</v>
      </c>
      <c r="N3" t="n">
        <v>0</v>
      </c>
    </row>
    <row r="4">
      <c r="A4" t="inlineStr">
        <is>
          <t>arrears</t>
        </is>
      </c>
      <c r="B4" t="inlineStr">
        <is>
          <t>total, £1 14 shilling 2pence.</t>
        </is>
      </c>
      <c r="C4" t="n">
        <v>1.71</v>
      </c>
      <c r="D4" t="n">
        <v>1</v>
      </c>
      <c r="E4" t="n">
        <v>14</v>
      </c>
      <c r="F4" t="n">
        <v>2</v>
      </c>
      <c r="H4" t="n">
        <v>0</v>
      </c>
      <c r="I4" t="n">
        <v>0</v>
      </c>
      <c r="J4" t="n">
        <v>0</v>
      </c>
      <c r="K4" t="n">
        <v>0</v>
      </c>
      <c r="L4" t="n">
        <v>0</v>
      </c>
      <c r="M4" t="n">
        <v>0</v>
      </c>
      <c r="N4" t="n">
        <v>0</v>
      </c>
    </row>
    <row r="5">
      <c r="A5" t="inlineStr">
        <is>
          <t>farm of the manor</t>
        </is>
      </c>
      <c r="B5" t="inlineStr">
        <is>
          <t>and for £73 6 shilling 8pence for the farm of the manor there for the year, excepting only the pleas of the court, wards, marriages, reliefs, entry fines, wood and all profits accruing from the steward's tourns, apart from tithingpenny.</t>
        </is>
      </c>
      <c r="C5" t="n">
        <v>73.33</v>
      </c>
      <c r="D5" t="n">
        <v>73</v>
      </c>
      <c r="E5" t="n">
        <v>6</v>
      </c>
      <c r="F5" t="n">
        <v>8</v>
      </c>
      <c r="H5" t="n">
        <v>0</v>
      </c>
      <c r="I5" t="n">
        <v>0</v>
      </c>
      <c r="J5" t="n">
        <v>0</v>
      </c>
      <c r="K5" t="n">
        <v>0</v>
      </c>
      <c r="L5" t="n">
        <v>0</v>
      </c>
      <c r="M5" t="n">
        <v>0</v>
      </c>
      <c r="N5" t="n">
        <v>0</v>
      </c>
    </row>
    <row r="6">
      <c r="A6" t="inlineStr">
        <is>
          <t>farm of the manor</t>
        </is>
      </c>
      <c r="B6" t="inlineStr">
        <is>
          <t>total, £73 6 shilling 8pence.</t>
        </is>
      </c>
      <c r="C6" t="n">
        <v>73.33</v>
      </c>
      <c r="D6" t="n">
        <v>73</v>
      </c>
      <c r="E6" t="n">
        <v>6</v>
      </c>
      <c r="F6" t="n">
        <v>8</v>
      </c>
      <c r="H6" t="n">
        <v>0</v>
      </c>
      <c r="I6" t="n">
        <v>0</v>
      </c>
      <c r="J6" t="n">
        <v>0</v>
      </c>
      <c r="K6" t="n">
        <v>0</v>
      </c>
      <c r="L6" t="n">
        <v>0</v>
      </c>
      <c r="M6" t="n">
        <v>0</v>
      </c>
      <c r="N6" t="n">
        <v>0</v>
      </c>
    </row>
    <row r="7">
      <c r="A7" t="inlineStr">
        <is>
          <t>issues of the manor</t>
        </is>
      </c>
      <c r="B7" t="inlineStr">
        <is>
          <t>and for 13 shilling 6pence from the woolskins sold of 50 ewes in murrain before shearing as made clear elsewhere, at 3pence a skin.</t>
        </is>
      </c>
      <c r="C7" t="n">
        <v>0.68</v>
      </c>
      <c r="D7" t="n">
        <v>0</v>
      </c>
      <c r="E7" t="n">
        <v>13</v>
      </c>
      <c r="F7" t="n">
        <v>6</v>
      </c>
      <c r="H7" t="n">
        <v>0</v>
      </c>
      <c r="I7" t="n">
        <v>0</v>
      </c>
      <c r="J7" t="n">
        <v>0</v>
      </c>
      <c r="K7" t="n">
        <v>0</v>
      </c>
      <c r="L7" t="n">
        <v>0</v>
      </c>
      <c r="M7" t="n">
        <v>0</v>
      </c>
      <c r="N7" t="n">
        <v>0</v>
      </c>
    </row>
    <row r="8">
      <c r="A8" t="inlineStr">
        <is>
          <t>issues of the manor</t>
        </is>
      </c>
      <c r="B8" t="inlineStr">
        <is>
          <t>total, 13 shilling 6pence.</t>
        </is>
      </c>
      <c r="C8" t="n">
        <v>0.68</v>
      </c>
      <c r="D8" t="n">
        <v>0</v>
      </c>
      <c r="E8" t="n">
        <v>13</v>
      </c>
      <c r="F8" t="n">
        <v>6</v>
      </c>
      <c r="H8" t="n">
        <v>0</v>
      </c>
      <c r="I8" t="n">
        <v>0</v>
      </c>
      <c r="J8" t="n">
        <v>0</v>
      </c>
      <c r="K8" t="n">
        <v>0</v>
      </c>
      <c r="L8" t="n">
        <v>0</v>
      </c>
      <c r="M8" t="n">
        <v>0</v>
      </c>
      <c r="N8" t="n">
        <v>0</v>
      </c>
    </row>
    <row r="9">
      <c r="A9" t="inlineStr">
        <is>
          <t>sale of wood</t>
        </is>
      </c>
      <c r="B9" t="inlineStr">
        <is>
          <t>and for £3 from wood sold in booker this year.</t>
        </is>
      </c>
      <c r="C9" t="n">
        <v>3</v>
      </c>
      <c r="D9" t="n">
        <v>3</v>
      </c>
      <c r="E9" t="n">
        <v>0</v>
      </c>
      <c r="F9" t="n">
        <v>0</v>
      </c>
      <c r="H9" t="n">
        <v>0</v>
      </c>
      <c r="I9" t="n">
        <v>0</v>
      </c>
      <c r="J9" t="n">
        <v>0</v>
      </c>
      <c r="K9" t="n">
        <v>0</v>
      </c>
      <c r="L9" t="n">
        <v>0</v>
      </c>
      <c r="M9" t="n">
        <v>0</v>
      </c>
      <c r="N9" t="n">
        <v>0</v>
      </c>
    </row>
    <row r="10">
      <c r="A10" t="inlineStr">
        <is>
          <t>sale of wood</t>
        </is>
      </c>
      <c r="B10" t="inlineStr">
        <is>
          <t>9 shilling from wood sold in northewode.</t>
        </is>
      </c>
      <c r="C10" t="n">
        <v>0.45</v>
      </c>
      <c r="D10" t="n">
        <v>0</v>
      </c>
      <c r="E10" t="n">
        <v>9</v>
      </c>
      <c r="F10" t="n">
        <v>0</v>
      </c>
      <c r="H10" t="n">
        <v>0</v>
      </c>
      <c r="I10" t="n">
        <v>0</v>
      </c>
      <c r="J10" t="n">
        <v>0</v>
      </c>
      <c r="K10" t="n">
        <v>0</v>
      </c>
      <c r="L10" t="n">
        <v>0</v>
      </c>
      <c r="M10" t="n">
        <v>0</v>
      </c>
      <c r="N10" t="n">
        <v>0</v>
      </c>
    </row>
    <row r="11">
      <c r="A11" t="inlineStr">
        <is>
          <t>sale of wood</t>
        </is>
      </c>
      <c r="B11" t="inlineStr">
        <is>
          <t>£1 16 shilling 9pence from wood sold in haveryngdowne.</t>
        </is>
      </c>
      <c r="C11" t="n">
        <v>1.84</v>
      </c>
      <c r="D11" t="n">
        <v>1</v>
      </c>
      <c r="E11" t="n">
        <v>16</v>
      </c>
      <c r="F11" t="n">
        <v>9</v>
      </c>
      <c r="H11" t="n">
        <v>0</v>
      </c>
      <c r="I11" t="n">
        <v>0</v>
      </c>
      <c r="J11" t="n">
        <v>0</v>
      </c>
      <c r="K11" t="n">
        <v>0</v>
      </c>
      <c r="L11" t="n">
        <v>0</v>
      </c>
      <c r="M11" t="n">
        <v>0</v>
      </c>
      <c r="N11" t="n">
        <v>0</v>
      </c>
    </row>
    <row r="12">
      <c r="A12" t="inlineStr">
        <is>
          <t>sale of wood</t>
        </is>
      </c>
      <c r="B12" t="inlineStr">
        <is>
          <t>total, £5 5 shilling 9pence.</t>
        </is>
      </c>
      <c r="C12" t="n">
        <v>5.29</v>
      </c>
      <c r="D12" t="n">
        <v>5</v>
      </c>
      <c r="E12" t="n">
        <v>5</v>
      </c>
      <c r="F12" t="n">
        <v>9</v>
      </c>
      <c r="H12" t="n">
        <v>0</v>
      </c>
      <c r="I12" t="n">
        <v>0</v>
      </c>
      <c r="J12" t="n">
        <v>0</v>
      </c>
      <c r="K12" t="n">
        <v>0</v>
      </c>
      <c r="L12" t="n">
        <v>0</v>
      </c>
      <c r="M12" t="n">
        <v>0</v>
      </c>
      <c r="N12" t="n">
        <v>0</v>
      </c>
    </row>
    <row r="13">
      <c r="A13" t="inlineStr">
        <is>
          <t>entry and marriage fines</t>
        </is>
      </c>
      <c r="B13" t="inlineStr">
        <is>
          <t>and for 3 shilling 4pence from john lylye and isabel his wife to have 1 messuage, 16.5 acres and the sixth part of 1 acre of land and 1 messuage, 11 acres and 1 rood of purpresture in the tithing of booker, which belonged to john lymmer' and which came into the lord's hands as his escheat because noone of the kin of the said john took steps to fine for the same although a proclamation was made according to the custom of the manor.</t>
        </is>
      </c>
      <c r="C13" t="n">
        <v>0.17</v>
      </c>
      <c r="D13" t="n">
        <v>0</v>
      </c>
      <c r="E13" t="n">
        <v>3</v>
      </c>
      <c r="F13" t="n">
        <v>4</v>
      </c>
      <c r="H13" t="n">
        <v>0</v>
      </c>
      <c r="I13" t="n">
        <v>0</v>
      </c>
      <c r="J13" t="n">
        <v>0</v>
      </c>
      <c r="K13" t="n">
        <v>0</v>
      </c>
      <c r="L13" t="n">
        <v>0</v>
      </c>
      <c r="M13" t="n">
        <v>0</v>
      </c>
      <c r="N13" t="n">
        <v>0</v>
      </c>
    </row>
    <row r="14">
      <c r="A14" t="inlineStr">
        <is>
          <t>entry and marriage fines</t>
        </is>
      </c>
      <c r="B14" t="inlineStr">
        <is>
          <t>3 shilling 4pence from john lylye and isabel his wife to have 1 toft and 1 ferling of villein land in the tithing of towerage called rammesmere and formerly campeden' which belonged to john kyng', a stranger, and which the same john forfeited as the penalty for a felony.</t>
        </is>
      </c>
      <c r="C14" t="n">
        <v>0.17</v>
      </c>
      <c r="D14" t="n">
        <v>0</v>
      </c>
      <c r="E14" t="n">
        <v>3</v>
      </c>
      <c r="F14" t="n">
        <v>4</v>
      </c>
      <c r="H14" t="n">
        <v>0</v>
      </c>
      <c r="I14" t="n">
        <v>0</v>
      </c>
      <c r="J14" t="n">
        <v>0</v>
      </c>
      <c r="K14" t="n">
        <v>0</v>
      </c>
      <c r="L14" t="n">
        <v>0</v>
      </c>
      <c r="M14" t="n">
        <v>0</v>
      </c>
      <c r="N14" t="n">
        <v>0</v>
      </c>
    </row>
    <row r="15">
      <c r="A15" t="inlineStr">
        <is>
          <t>entry and marriage fines</t>
        </is>
      </c>
      <c r="B15" t="inlineStr">
        <is>
          <t>2 shilling from john flat to have 1 cottage with a curtilage of villein land called flattes in the tithing of west wycombe by surrender of margery his mother.</t>
        </is>
      </c>
      <c r="C15" t="n">
        <v>0.1</v>
      </c>
      <c r="D15" t="n">
        <v>0</v>
      </c>
      <c r="E15" t="n">
        <v>2</v>
      </c>
      <c r="F15" t="n">
        <v>0</v>
      </c>
      <c r="H15" t="n">
        <v>0</v>
      </c>
      <c r="I15" t="n">
        <v>0</v>
      </c>
      <c r="J15" t="n">
        <v>0</v>
      </c>
      <c r="K15" t="n">
        <v>0</v>
      </c>
      <c r="L15" t="n">
        <v>0</v>
      </c>
      <c r="M15" t="n">
        <v>0</v>
      </c>
      <c r="N15" t="n">
        <v>0</v>
      </c>
    </row>
    <row r="16">
      <c r="A16" t="inlineStr">
        <is>
          <t>entry and marriage fines</t>
        </is>
      </c>
      <c r="B16" t="inlineStr">
        <is>
          <t>5 shilling from john flat to have 1 toft and .5 virgate of villein land in the tithing of west wycombe which belonged to simon flat and which came into the lord's hands as his escheat because noone of the kin of the said simon took steps to fine for the same although a proclamation was made according to the custom of the manor.</t>
        </is>
      </c>
      <c r="C16" t="n">
        <v>0.25</v>
      </c>
      <c r="D16" t="n">
        <v>0</v>
      </c>
      <c r="E16" t="n">
        <v>5</v>
      </c>
      <c r="F16" t="n">
        <v>0</v>
      </c>
      <c r="H16" t="n">
        <v>0</v>
      </c>
      <c r="I16" t="n">
        <v>0</v>
      </c>
      <c r="J16" t="n">
        <v>0</v>
      </c>
      <c r="K16" t="n">
        <v>0</v>
      </c>
      <c r="L16" t="n">
        <v>0</v>
      </c>
      <c r="M16" t="n">
        <v>0</v>
      </c>
      <c r="N16" t="n">
        <v>0</v>
      </c>
    </row>
    <row r="17">
      <c r="A17" t="inlineStr">
        <is>
          <t>entry and marriage fines</t>
        </is>
      </c>
      <c r="B17" t="inlineStr">
        <is>
          <t>5 shilling from john loot to have 1 messuage 1 virgate of villein land and .5 acre of purpresture in the tithing of dounle which belonged to thomas gilberd', by surrender of hugh loot and isabel his wife, who are examined about this in full court, and for which agnes, daughter of john gilbard', brother of the aforesaid thomas, refused to fine in full court, and the aforesaid agnes remised and released entirely all right and claim which she has or in any way will be able to have for herself and her heirs to the aforesaid john loot, on condition that within three years he repairs the aforesaid tenement well and suitably. 1 shilling 4pence from thomas thresshere to have 1 loft with an adjacent garden of purpresture' in the tithing of dounle by surrender of stephen berefeld'.</t>
        </is>
      </c>
      <c r="C17" t="n">
        <v>0.27</v>
      </c>
      <c r="D17" t="n">
        <v>0</v>
      </c>
      <c r="E17" t="n">
        <v>5</v>
      </c>
      <c r="F17" t="n">
        <v>4</v>
      </c>
      <c r="H17" t="n">
        <v>0</v>
      </c>
      <c r="I17" t="n">
        <v>0</v>
      </c>
      <c r="J17" t="n">
        <v>0</v>
      </c>
      <c r="K17" t="n">
        <v>0</v>
      </c>
      <c r="L17" t="n">
        <v>0</v>
      </c>
      <c r="M17" t="n">
        <v>0</v>
      </c>
      <c r="N17" t="n">
        <v>0</v>
      </c>
    </row>
    <row r="18">
      <c r="A18" t="inlineStr">
        <is>
          <t>entry and marriage fines</t>
        </is>
      </c>
      <c r="B18" t="inlineStr">
        <is>
          <t>6 shilling 8pence from thomas gardener smyth' to have 1 cottage of purpresture in the tithing of brokhende by surrender of william lythewey.</t>
        </is>
      </c>
      <c r="C18" t="n">
        <v>0.33</v>
      </c>
      <c r="D18" t="n">
        <v>0</v>
      </c>
      <c r="E18" t="n">
        <v>6</v>
      </c>
      <c r="F18" t="n">
        <v>8</v>
      </c>
      <c r="H18" t="n">
        <v>0</v>
      </c>
      <c r="I18" t="n">
        <v>0</v>
      </c>
      <c r="J18" t="n">
        <v>0</v>
      </c>
      <c r="K18" t="n">
        <v>0</v>
      </c>
      <c r="L18" t="n">
        <v>0</v>
      </c>
      <c r="M18" t="n">
        <v>0</v>
      </c>
      <c r="N18" t="n">
        <v>0</v>
      </c>
    </row>
    <row r="19">
      <c r="A19" t="inlineStr">
        <is>
          <t>entry and marriage fines</t>
        </is>
      </c>
      <c r="B19" t="inlineStr">
        <is>
          <t>3 shilling 4pence from william lythewey to have 1 cottage, 6.5 perches 7.5 feet long and 3.5 perches wide, of purpresture in the tithing of brokhende by surrender of thomas garden' smyth'.</t>
        </is>
      </c>
      <c r="C19" t="n">
        <v>0.17</v>
      </c>
      <c r="D19" t="n">
        <v>0</v>
      </c>
      <c r="E19" t="n">
        <v>3</v>
      </c>
      <c r="F19" t="n">
        <v>4</v>
      </c>
      <c r="H19" t="n">
        <v>0</v>
      </c>
      <c r="I19" t="n">
        <v>0</v>
      </c>
      <c r="J19" t="n">
        <v>0</v>
      </c>
      <c r="K19" t="n">
        <v>0</v>
      </c>
      <c r="L19" t="n">
        <v>0</v>
      </c>
      <c r="M19" t="n">
        <v>0</v>
      </c>
      <c r="N19" t="n">
        <v>0</v>
      </c>
    </row>
    <row r="20">
      <c r="A20" t="inlineStr">
        <is>
          <t>entry and marriage fines</t>
        </is>
      </c>
      <c r="B20" t="inlineStr">
        <is>
          <t>total, £1 15 shilling.</t>
        </is>
      </c>
      <c r="C20" t="n">
        <v>1.75</v>
      </c>
      <c r="D20" t="n">
        <v>1</v>
      </c>
      <c r="E20" t="n">
        <v>15</v>
      </c>
      <c r="F20" t="n">
        <v>0</v>
      </c>
      <c r="H20" t="n">
        <v>0</v>
      </c>
      <c r="I20" t="n">
        <v>0</v>
      </c>
      <c r="J20" t="n">
        <v>0</v>
      </c>
      <c r="K20" t="n">
        <v>0</v>
      </c>
      <c r="L20" t="n">
        <v>0</v>
      </c>
      <c r="M20" t="n">
        <v>0</v>
      </c>
      <c r="N20" t="n">
        <v>0</v>
      </c>
    </row>
    <row r="21">
      <c r="A21" t="inlineStr">
        <is>
          <t>perquisites of court</t>
        </is>
      </c>
      <c r="B21" t="inlineStr">
        <is>
          <t>and for 3 shilling 6pence from the perquisites of the tourn of martinmas (11 november).</t>
        </is>
      </c>
      <c r="C21" t="n">
        <v>0.17</v>
      </c>
      <c r="D21" t="n">
        <v>0</v>
      </c>
      <c r="E21" t="n">
        <v>3</v>
      </c>
      <c r="F21" t="n">
        <v>6</v>
      </c>
      <c r="H21" t="n">
        <v>0</v>
      </c>
      <c r="I21" t="n">
        <v>0</v>
      </c>
      <c r="J21" t="n">
        <v>0</v>
      </c>
      <c r="K21" t="n">
        <v>0</v>
      </c>
      <c r="L21" t="n">
        <v>0</v>
      </c>
      <c r="M21" t="n">
        <v>0</v>
      </c>
      <c r="N21" t="n">
        <v>0</v>
      </c>
    </row>
    <row r="22">
      <c r="A22" t="inlineStr">
        <is>
          <t>perquisites of court</t>
        </is>
      </c>
      <c r="B22" t="inlineStr">
        <is>
          <t>8 shilling 9pence from the perquisites of the courts held between the 2 tourns.</t>
        </is>
      </c>
      <c r="C22" t="n">
        <v>0.44</v>
      </c>
      <c r="D22" t="n">
        <v>0</v>
      </c>
      <c r="E22" t="n">
        <v>8</v>
      </c>
      <c r="F22" t="n">
        <v>9</v>
      </c>
      <c r="H22" t="n">
        <v>0</v>
      </c>
      <c r="I22" t="n">
        <v>0</v>
      </c>
      <c r="J22" t="n">
        <v>0</v>
      </c>
      <c r="K22" t="n">
        <v>0</v>
      </c>
      <c r="L22" t="n">
        <v>0</v>
      </c>
      <c r="M22" t="n">
        <v>0</v>
      </c>
      <c r="N22" t="n">
        <v>0</v>
      </c>
    </row>
    <row r="23">
      <c r="A23" t="inlineStr">
        <is>
          <t>perquisites of court</t>
        </is>
      </c>
      <c r="B23" t="inlineStr">
        <is>
          <t>3 shilling 9pence from the perquisites of the tourn of hockday (1 april).</t>
        </is>
      </c>
      <c r="C23" t="n">
        <v>0.19</v>
      </c>
      <c r="D23" t="n">
        <v>0</v>
      </c>
      <c r="E23" t="n">
        <v>3</v>
      </c>
      <c r="F23" t="n">
        <v>9</v>
      </c>
      <c r="H23" t="n">
        <v>0</v>
      </c>
      <c r="I23" t="n">
        <v>0</v>
      </c>
      <c r="J23" t="n">
        <v>0</v>
      </c>
      <c r="K23" t="n">
        <v>0</v>
      </c>
      <c r="L23" t="n">
        <v>0</v>
      </c>
      <c r="M23" t="n">
        <v>0</v>
      </c>
      <c r="N23" t="n">
        <v>0</v>
      </c>
    </row>
    <row r="24">
      <c r="A24" t="inlineStr">
        <is>
          <t>perquisites of court</t>
        </is>
      </c>
      <c r="B24" t="inlineStr">
        <is>
          <t>7 shilling 8pence from the perquisites of the courts held after the tourn of hockday.</t>
        </is>
      </c>
      <c r="C24" t="n">
        <v>0.38</v>
      </c>
      <c r="D24" t="n">
        <v>0</v>
      </c>
      <c r="E24" t="n">
        <v>7</v>
      </c>
      <c r="F24" t="n">
        <v>8</v>
      </c>
      <c r="H24" t="n">
        <v>0</v>
      </c>
      <c r="I24" t="n">
        <v>0</v>
      </c>
      <c r="J24" t="n">
        <v>0</v>
      </c>
      <c r="K24" t="n">
        <v>0</v>
      </c>
      <c r="L24" t="n">
        <v>0</v>
      </c>
      <c r="M24" t="n">
        <v>0</v>
      </c>
      <c r="N24" t="n">
        <v>0</v>
      </c>
    </row>
    <row r="25">
      <c r="A25" t="inlineStr">
        <is>
          <t>perquisites of court</t>
        </is>
      </c>
      <c r="B25" t="inlineStr">
        <is>
          <t>total, 12 shilling 11pence.</t>
        </is>
      </c>
      <c r="C25" t="n">
        <v>0.65</v>
      </c>
      <c r="D25" t="n">
        <v>0</v>
      </c>
      <c r="E25" t="n">
        <v>12</v>
      </c>
      <c r="F25" t="n">
        <v>11</v>
      </c>
      <c r="H25" t="n">
        <v>0</v>
      </c>
      <c r="I25" t="n">
        <v>0</v>
      </c>
      <c r="J25" t="n">
        <v>0</v>
      </c>
      <c r="K25" t="n">
        <v>0</v>
      </c>
      <c r="L25" t="n">
        <v>0</v>
      </c>
      <c r="M25" t="n">
        <v>0</v>
      </c>
      <c r="N25" t="n">
        <v>0</v>
      </c>
    </row>
    <row r="26">
      <c r="A26" t="inlineStr">
        <is>
          <t>total of all receipts with arrears</t>
        </is>
      </c>
      <c r="B26" t="inlineStr">
        <is>
          <t>total of all receipts with arrears, £83 18 shilling.</t>
        </is>
      </c>
      <c r="C26" t="n">
        <v>83.90000000000001</v>
      </c>
      <c r="D26" t="n">
        <v>83</v>
      </c>
      <c r="E26" t="n">
        <v>18</v>
      </c>
      <c r="F26" t="n">
        <v>0</v>
      </c>
      <c r="H26" t="n">
        <v>0</v>
      </c>
      <c r="I26" t="n">
        <v>0</v>
      </c>
      <c r="J26" t="n">
        <v>0</v>
      </c>
      <c r="K26" t="n">
        <v>0</v>
      </c>
      <c r="L26" t="n">
        <v>0</v>
      </c>
      <c r="M26" t="n">
        <v>0</v>
      </c>
      <c r="N26" t="n">
        <v>0</v>
      </c>
    </row>
    <row r="27">
      <c r="A27" t="inlineStr">
        <is>
          <t>quittances of rent</t>
        </is>
      </c>
      <c r="B27" t="inlineStr">
        <is>
          <t>in quittance of rent of 1 meadow in cookeham granted to john compton', to be quit of the rent for the term of his life, 13 shilling 4pence.</t>
        </is>
      </c>
      <c r="C27" t="n">
        <v>0.67</v>
      </c>
      <c r="D27" t="n">
        <v>0</v>
      </c>
      <c r="E27" t="n">
        <v>13</v>
      </c>
      <c r="F27" t="n">
        <v>4</v>
      </c>
      <c r="H27" t="n">
        <v>0</v>
      </c>
      <c r="I27" t="n">
        <v>0</v>
      </c>
      <c r="J27" t="n">
        <v>0</v>
      </c>
      <c r="K27" t="n">
        <v>0</v>
      </c>
      <c r="L27" t="n">
        <v>0</v>
      </c>
      <c r="M27" t="n">
        <v>0</v>
      </c>
      <c r="N27" t="n">
        <v>0</v>
      </c>
    </row>
    <row r="28">
      <c r="A28" t="inlineStr">
        <is>
          <t>quittances of rent</t>
        </is>
      </c>
      <c r="B28" t="inlineStr">
        <is>
          <t>total, 13 shilling 4pence.</t>
        </is>
      </c>
      <c r="C28" t="n">
        <v>0.67</v>
      </c>
      <c r="D28" t="n">
        <v>0</v>
      </c>
      <c r="E28" t="n">
        <v>13</v>
      </c>
      <c r="F28" t="n">
        <v>4</v>
      </c>
      <c r="H28" t="n">
        <v>0</v>
      </c>
      <c r="I28" t="n">
        <v>0</v>
      </c>
      <c r="J28" t="n">
        <v>0</v>
      </c>
      <c r="K28" t="n">
        <v>0</v>
      </c>
      <c r="L28" t="n">
        <v>0</v>
      </c>
      <c r="M28" t="n">
        <v>0</v>
      </c>
      <c r="N28" t="n">
        <v>0</v>
      </c>
    </row>
    <row r="29">
      <c r="A29" t="inlineStr">
        <is>
          <t>purchase of stock</t>
        </is>
      </c>
      <c r="B29" t="inlineStr">
        <is>
          <t>in 55 ewes bought £3 13 shilling 4pence, at 1 shilling 4pence each.</t>
        </is>
      </c>
      <c r="C29" t="n">
        <v>3.67</v>
      </c>
      <c r="D29" t="n">
        <v>3</v>
      </c>
      <c r="E29" t="n">
        <v>13</v>
      </c>
      <c r="F29" t="n">
        <v>4</v>
      </c>
      <c r="H29" t="n">
        <v>0</v>
      </c>
      <c r="I29" t="n">
        <v>0</v>
      </c>
      <c r="J29" t="n">
        <v>0</v>
      </c>
      <c r="K29" t="n">
        <v>0</v>
      </c>
      <c r="L29" t="n">
        <v>0</v>
      </c>
      <c r="M29" t="n">
        <v>0</v>
      </c>
      <c r="N29" t="n">
        <v>0</v>
      </c>
    </row>
    <row r="30">
      <c r="A30" t="inlineStr">
        <is>
          <t>purchase of stock</t>
        </is>
      </c>
      <c r="B30" t="inlineStr">
        <is>
          <t>total, £3 13 shilling 4pence.</t>
        </is>
      </c>
      <c r="C30" t="n">
        <v>3.67</v>
      </c>
      <c r="D30" t="n">
        <v>3</v>
      </c>
      <c r="E30" t="n">
        <v>13</v>
      </c>
      <c r="F30" t="n">
        <v>4</v>
      </c>
      <c r="H30" t="n">
        <v>0</v>
      </c>
      <c r="I30" t="n">
        <v>0</v>
      </c>
      <c r="J30" t="n">
        <v>0</v>
      </c>
      <c r="K30" t="n">
        <v>0</v>
      </c>
      <c r="L30" t="n">
        <v>0</v>
      </c>
      <c r="M30" t="n">
        <v>0</v>
      </c>
      <c r="N30" t="n">
        <v>0</v>
      </c>
    </row>
    <row r="31">
      <c r="A31" t="inlineStr">
        <is>
          <t>cost of buildings</t>
        </is>
      </c>
      <c r="B31" t="inlineStr">
        <is>
          <t>in hiring 1 carpenter to make 1 water-wheel from the lord's timber and to repair and restore (reparand' ac emend') all the defects of the waterworks (la waterwerk) of the lord's water-mill by piece-work £1 2 shilling.</t>
        </is>
      </c>
      <c r="C31" t="n">
        <v>1.1</v>
      </c>
      <c r="D31" t="n">
        <v>1</v>
      </c>
      <c r="E31" t="n">
        <v>2</v>
      </c>
      <c r="F31" t="n">
        <v>0</v>
      </c>
      <c r="H31" t="n">
        <v>0</v>
      </c>
      <c r="I31" t="n">
        <v>0</v>
      </c>
      <c r="J31" t="n">
        <v>0</v>
      </c>
      <c r="K31" t="n">
        <v>0</v>
      </c>
      <c r="L31" t="n">
        <v>0</v>
      </c>
      <c r="M31" t="n">
        <v>0</v>
      </c>
      <c r="N31" t="n">
        <v>0</v>
      </c>
    </row>
    <row r="32">
      <c r="A32" t="inlineStr">
        <is>
          <t>cost of buildings</t>
        </is>
      </c>
      <c r="B32" t="inlineStr">
        <is>
          <t>hiring 2 sawyers to saw planks from the lord's timber for the said mill for 9.5 days 9 shilling 6pence, taking between them 1 shilling a day.</t>
        </is>
      </c>
      <c r="C32" t="n">
        <v>0.48</v>
      </c>
      <c r="D32" t="n">
        <v>0</v>
      </c>
      <c r="E32" t="n">
        <v>9</v>
      </c>
      <c r="F32" t="n">
        <v>6</v>
      </c>
      <c r="H32" t="n">
        <v>0</v>
      </c>
      <c r="I32" t="n">
        <v>0</v>
      </c>
      <c r="J32" t="n">
        <v>0</v>
      </c>
      <c r="K32" t="n">
        <v>0</v>
      </c>
      <c r="L32" t="n">
        <v>0</v>
      </c>
      <c r="M32" t="n">
        <v>0</v>
      </c>
      <c r="N32" t="n">
        <v>0</v>
      </c>
    </row>
    <row r="33">
      <c r="A33" t="inlineStr">
        <is>
          <t>cost of buildings</t>
        </is>
      </c>
      <c r="B33" t="inlineStr">
        <is>
          <t>hiring 1 carpenter to make the head of the mill-dam from the lord's timber by piece-work 1 shilling 8pence.</t>
        </is>
      </c>
      <c r="C33" t="n">
        <v>0.08</v>
      </c>
      <c r="D33" t="n">
        <v>0</v>
      </c>
      <c r="E33" t="n">
        <v>1</v>
      </c>
      <c r="F33" t="n">
        <v>8</v>
      </c>
      <c r="H33" t="n">
        <v>0</v>
      </c>
      <c r="I33" t="n">
        <v>0</v>
      </c>
      <c r="J33" t="n">
        <v>0</v>
      </c>
      <c r="K33" t="n">
        <v>0</v>
      </c>
      <c r="L33" t="n">
        <v>0</v>
      </c>
      <c r="M33" t="n">
        <v>0</v>
      </c>
      <c r="N33" t="n">
        <v>0</v>
      </c>
    </row>
    <row r="34">
      <c r="A34" t="inlineStr">
        <is>
          <t>cost of buildings</t>
        </is>
      </c>
      <c r="B34" t="inlineStr">
        <is>
          <t>1 piece of millstone bought for the mill-dam 3 shilling 4pence.</t>
        </is>
      </c>
      <c r="C34" t="n">
        <v>0.17</v>
      </c>
      <c r="D34" t="n">
        <v>0</v>
      </c>
      <c r="E34" t="n">
        <v>3</v>
      </c>
      <c r="F34" t="n">
        <v>4</v>
      </c>
      <c r="H34" t="n">
        <v>0</v>
      </c>
      <c r="I34" t="n">
        <v>0</v>
      </c>
      <c r="J34" t="n">
        <v>0</v>
      </c>
      <c r="K34" t="n">
        <v>0</v>
      </c>
      <c r="L34" t="n">
        <v>0</v>
      </c>
      <c r="M34" t="n">
        <v>0</v>
      </c>
      <c r="N34" t="n">
        <v>0</v>
      </c>
    </row>
    <row r="35">
      <c r="A35" t="inlineStr">
        <is>
          <t>cost of buildings</t>
        </is>
      </c>
      <c r="B35" t="inlineStr">
        <is>
          <t>hiring 1 mason to lay and attach the said millstone together by piece-work 1 shilling.</t>
        </is>
      </c>
      <c r="C35" t="n">
        <v>0.05</v>
      </c>
      <c r="D35" t="n">
        <v>0</v>
      </c>
      <c r="E35" t="n">
        <v>1</v>
      </c>
      <c r="F35" t="n">
        <v>0</v>
      </c>
      <c r="H35" t="n">
        <v>0</v>
      </c>
      <c r="I35" t="n">
        <v>0</v>
      </c>
      <c r="J35" t="n">
        <v>0</v>
      </c>
      <c r="K35" t="n">
        <v>0</v>
      </c>
      <c r="L35" t="n">
        <v>0</v>
      </c>
      <c r="M35" t="n">
        <v>0</v>
      </c>
      <c r="N35" t="n">
        <v>0</v>
      </c>
    </row>
    <row r="36">
      <c r="A36" t="inlineStr">
        <is>
          <t>cost of buildings</t>
        </is>
      </c>
      <c r="B36" t="inlineStr">
        <is>
          <t>200 spike-nails bought for the waterworks 1 shilling 6pence, at 9pence a 100..</t>
        </is>
      </c>
      <c r="C36" t="n">
        <v>0.08</v>
      </c>
      <c r="D36" t="n">
        <v>0</v>
      </c>
      <c r="E36" t="n">
        <v>1</v>
      </c>
      <c r="F36" t="n">
        <v>6</v>
      </c>
      <c r="H36" t="n">
        <v>0</v>
      </c>
      <c r="I36" t="n">
        <v>0</v>
      </c>
      <c r="J36" t="n">
        <v>0</v>
      </c>
      <c r="K36" t="n">
        <v>0</v>
      </c>
      <c r="L36" t="n">
        <v>0</v>
      </c>
      <c r="M36" t="n">
        <v>0</v>
      </c>
      <c r="N36" t="n">
        <v>0</v>
      </c>
    </row>
    <row r="37">
      <c r="A37" t="inlineStr">
        <is>
          <t>cost of buildings</t>
        </is>
      </c>
      <c r="B37" t="inlineStr">
        <is>
          <t>hiring 1 man for 3 days to fell, lop and cut the lord's timber for the repair and restoration of the aforesaid mill 1 shilling 3pence, taking 5pence a day.</t>
        </is>
      </c>
      <c r="C37" t="n">
        <v>0.06</v>
      </c>
      <c r="D37" t="n">
        <v>0</v>
      </c>
      <c r="E37" t="n">
        <v>1</v>
      </c>
      <c r="F37" t="n">
        <v>3</v>
      </c>
      <c r="H37" t="n">
        <v>0</v>
      </c>
      <c r="I37" t="n">
        <v>0</v>
      </c>
      <c r="J37" t="n">
        <v>0</v>
      </c>
      <c r="K37" t="n">
        <v>0</v>
      </c>
      <c r="L37" t="n">
        <v>0</v>
      </c>
      <c r="M37" t="n">
        <v>0</v>
      </c>
      <c r="N37" t="n">
        <v>0</v>
      </c>
    </row>
    <row r="38">
      <c r="A38" t="inlineStr">
        <is>
          <t>cost of buildings</t>
        </is>
      </c>
      <c r="B38" t="inlineStr">
        <is>
          <t>hiring 1 man for 31 days to carry the said timber for the repair and restoration of the aforesaid mill 2 shilling 8pence, taking 1 shilling 4pence a day.</t>
        </is>
      </c>
      <c r="C38" t="n">
        <v>0.13</v>
      </c>
      <c r="D38" t="n">
        <v>0</v>
      </c>
      <c r="E38" t="n">
        <v>2</v>
      </c>
      <c r="F38" t="n">
        <v>8</v>
      </c>
      <c r="H38" t="n">
        <v>0</v>
      </c>
      <c r="I38" t="n">
        <v>0</v>
      </c>
      <c r="J38" t="n">
        <v>0</v>
      </c>
      <c r="K38" t="n">
        <v>0</v>
      </c>
      <c r="L38" t="n">
        <v>0</v>
      </c>
      <c r="M38" t="n">
        <v>0</v>
      </c>
      <c r="N38" t="n">
        <v>0</v>
      </c>
    </row>
    <row r="39">
      <c r="A39" t="inlineStr">
        <is>
          <t>cost of buildings</t>
        </is>
      </c>
      <c r="B39" t="inlineStr">
        <is>
          <t>hiring 1 carpenter for 3 days to underpin and fit with ground-sills and studs the aforesaid mill with the lord's timber for its repair and restoration 1 shilling 3pence, taking 5pence a day.</t>
        </is>
      </c>
      <c r="C39" t="n">
        <v>0.06</v>
      </c>
      <c r="D39" t="n">
        <v>0</v>
      </c>
      <c r="E39" t="n">
        <v>1</v>
      </c>
      <c r="F39" t="n">
        <v>3</v>
      </c>
      <c r="H39" t="n">
        <v>0</v>
      </c>
      <c r="I39" t="n">
        <v>0</v>
      </c>
      <c r="J39" t="n">
        <v>0</v>
      </c>
      <c r="K39" t="n">
        <v>0</v>
      </c>
      <c r="L39" t="n">
        <v>0</v>
      </c>
      <c r="M39" t="n">
        <v>0</v>
      </c>
      <c r="N39" t="n">
        <v>0</v>
      </c>
    </row>
    <row r="40">
      <c r="A40" t="inlineStr">
        <is>
          <t>cost of buildings</t>
        </is>
      </c>
      <c r="B40" t="inlineStr">
        <is>
          <t>hiring 1 man to carry the said timber for the aforesaid mill for 2 days 2 shilling 8pence, taking 1 shilling 4pence a day as before.</t>
        </is>
      </c>
      <c r="C40" t="n">
        <v>0.13</v>
      </c>
      <c r="D40" t="n">
        <v>0</v>
      </c>
      <c r="E40" t="n">
        <v>2</v>
      </c>
      <c r="F40" t="n">
        <v>8</v>
      </c>
      <c r="H40" t="n">
        <v>0</v>
      </c>
      <c r="I40" t="n">
        <v>0</v>
      </c>
      <c r="J40" t="n">
        <v>0</v>
      </c>
      <c r="K40" t="n">
        <v>0</v>
      </c>
      <c r="L40" t="n">
        <v>0</v>
      </c>
      <c r="M40" t="n">
        <v>0</v>
      </c>
      <c r="N40" t="n">
        <v>0</v>
      </c>
    </row>
    <row r="41">
      <c r="A41" t="inlineStr">
        <is>
          <t>cost of buildings</t>
        </is>
      </c>
      <c r="B41" t="inlineStr">
        <is>
          <t>hiring 1 carpenter to underpin and fit with ground-sills and studs 4 bays of the cow-shed by piece-work 5 shilling.</t>
        </is>
      </c>
      <c r="C41" t="n">
        <v>0.25</v>
      </c>
      <c r="D41" t="n">
        <v>0</v>
      </c>
      <c r="E41" t="n">
        <v>5</v>
      </c>
      <c r="F41" t="n">
        <v>0</v>
      </c>
      <c r="H41" t="n">
        <v>0</v>
      </c>
      <c r="I41" t="n">
        <v>0</v>
      </c>
      <c r="J41" t="n">
        <v>0</v>
      </c>
      <c r="K41" t="n">
        <v>0</v>
      </c>
      <c r="L41" t="n">
        <v>0</v>
      </c>
      <c r="M41" t="n">
        <v>0</v>
      </c>
      <c r="N41" t="n">
        <v>0</v>
      </c>
    </row>
    <row r="42">
      <c r="A42" t="inlineStr">
        <is>
          <t>cost of buildings</t>
        </is>
      </c>
      <c r="B42" t="inlineStr">
        <is>
          <t>hiring 1 mason to pin and mend all the defects of the ground-wheel (le groundwhele) of the said mill for 6 days 3pence,2 taking 6pence a day.</t>
        </is>
      </c>
      <c r="C42" t="n">
        <v>0.01</v>
      </c>
      <c r="D42" t="n">
        <v>0</v>
      </c>
      <c r="E42" t="n">
        <v>0</v>
      </c>
      <c r="F42" t="n">
        <v>3</v>
      </c>
      <c r="H42" t="n">
        <v>0</v>
      </c>
      <c r="I42" t="n">
        <v>0</v>
      </c>
      <c r="J42" t="n">
        <v>0</v>
      </c>
      <c r="K42" t="n">
        <v>0</v>
      </c>
      <c r="L42" t="n">
        <v>0</v>
      </c>
      <c r="M42" t="n">
        <v>0</v>
      </c>
      <c r="N42" t="n">
        <v>0</v>
      </c>
    </row>
    <row r="43">
      <c r="A43" t="inlineStr">
        <is>
          <t>cost of buildings</t>
        </is>
      </c>
      <c r="B43" t="inlineStr">
        <is>
          <t>hiring 1 man to wattle and daub the said 4 bays and to mend the defects of the said cow-shed by piece-work 3 shilling 4pence.</t>
        </is>
      </c>
      <c r="C43" t="n">
        <v>0.17</v>
      </c>
      <c r="D43" t="n">
        <v>0</v>
      </c>
      <c r="E43" t="n">
        <v>3</v>
      </c>
      <c r="F43" t="n">
        <v>4</v>
      </c>
      <c r="H43" t="n">
        <v>0</v>
      </c>
      <c r="I43" t="n">
        <v>0</v>
      </c>
      <c r="J43" t="n">
        <v>0</v>
      </c>
      <c r="K43" t="n">
        <v>0</v>
      </c>
      <c r="L43" t="n">
        <v>0</v>
      </c>
      <c r="M43" t="n">
        <v>0</v>
      </c>
      <c r="N43" t="n">
        <v>0</v>
      </c>
    </row>
    <row r="44">
      <c r="A44" t="inlineStr">
        <is>
          <t>cost of buildings</t>
        </is>
      </c>
      <c r="B44" t="inlineStr">
        <is>
          <t>3,000 tiles bought 12 shilling, at 4 shilling a 1,000..</t>
        </is>
      </c>
      <c r="C44" t="n">
        <v>0.6</v>
      </c>
      <c r="D44" t="n">
        <v>0</v>
      </c>
      <c r="E44" t="n">
        <v>12</v>
      </c>
      <c r="F44" t="n">
        <v>0</v>
      </c>
      <c r="H44" t="n">
        <v>0</v>
      </c>
      <c r="I44" t="n">
        <v>0</v>
      </c>
      <c r="J44" t="n">
        <v>0</v>
      </c>
      <c r="K44" t="n">
        <v>0</v>
      </c>
      <c r="L44" t="n">
        <v>0</v>
      </c>
      <c r="M44" t="n">
        <v>0</v>
      </c>
      <c r="N44" t="n">
        <v>0</v>
      </c>
    </row>
    <row r="45">
      <c r="A45" t="inlineStr">
        <is>
          <t>cost of buildings</t>
        </is>
      </c>
      <c r="B45" t="inlineStr">
        <is>
          <t>100 hollow tiles bought 4 shilling.</t>
        </is>
      </c>
      <c r="C45" t="n">
        <v>0.2</v>
      </c>
      <c r="D45" t="n">
        <v>0</v>
      </c>
      <c r="E45" t="n">
        <v>4</v>
      </c>
      <c r="F45" t="n">
        <v>0</v>
      </c>
      <c r="H45" t="n">
        <v>0</v>
      </c>
      <c r="I45" t="n">
        <v>0</v>
      </c>
      <c r="J45" t="n">
        <v>0</v>
      </c>
      <c r="K45" t="n">
        <v>0</v>
      </c>
      <c r="L45" t="n">
        <v>0</v>
      </c>
      <c r="M45" t="n">
        <v>0</v>
      </c>
      <c r="N45" t="n">
        <v>0</v>
      </c>
    </row>
    <row r="46">
      <c r="A46" t="inlineStr">
        <is>
          <t>cost of buildings</t>
        </is>
      </c>
      <c r="B46" t="inlineStr">
        <is>
          <t>3 quarters of limestone bought 4 shilling, at 1 shilling 4pence a quarters.</t>
        </is>
      </c>
      <c r="C46" t="n">
        <v>0.22</v>
      </c>
      <c r="D46" t="n">
        <v>0</v>
      </c>
      <c r="E46" t="n">
        <v>4</v>
      </c>
      <c r="F46" t="n">
        <v>4</v>
      </c>
      <c r="H46" t="n">
        <v>3</v>
      </c>
      <c r="I46" t="n">
        <v>0</v>
      </c>
      <c r="J46" t="n">
        <v>3</v>
      </c>
      <c r="K46" t="n">
        <v>3</v>
      </c>
      <c r="L46" t="n">
        <v>0</v>
      </c>
      <c r="M46" t="n">
        <v>3</v>
      </c>
      <c r="N46" t="n">
        <v>0</v>
      </c>
      <c r="S46" t="n">
        <v>1</v>
      </c>
      <c r="T46" t="n">
        <v>4</v>
      </c>
    </row>
    <row r="47">
      <c r="A47" t="inlineStr">
        <is>
          <t>cost of buildings</t>
        </is>
      </c>
      <c r="B47" t="inlineStr">
        <is>
          <t>hiring 1 carter to carry the said 3,100 tiles and 3 quarters of lime 2 shilling 8pence.</t>
        </is>
      </c>
      <c r="C47" t="n">
        <v>0.13</v>
      </c>
      <c r="D47" t="n">
        <v>0</v>
      </c>
      <c r="E47" t="n">
        <v>2</v>
      </c>
      <c r="F47" t="n">
        <v>8</v>
      </c>
      <c r="H47" t="n">
        <v>3</v>
      </c>
      <c r="I47" t="n">
        <v>0</v>
      </c>
      <c r="J47" t="n">
        <v>3</v>
      </c>
      <c r="K47" t="n">
        <v>3</v>
      </c>
      <c r="L47" t="n">
        <v>0</v>
      </c>
      <c r="M47" t="n">
        <v>3</v>
      </c>
      <c r="N47" t="n">
        <v>0</v>
      </c>
    </row>
    <row r="48">
      <c r="A48" t="inlineStr">
        <is>
          <t>cost of buildings</t>
        </is>
      </c>
      <c r="B48" t="inlineStr">
        <is>
          <t>hiring 1 tiler to tile the said cow-shed by piece-work 11 s. 4pence.</t>
        </is>
      </c>
      <c r="C48" t="n">
        <v>0.02</v>
      </c>
      <c r="D48" t="n">
        <v>0</v>
      </c>
      <c r="E48" t="n">
        <v>0</v>
      </c>
      <c r="F48" t="n">
        <v>4</v>
      </c>
      <c r="H48" t="n">
        <v>0</v>
      </c>
      <c r="I48" t="n">
        <v>0</v>
      </c>
      <c r="J48" t="n">
        <v>0</v>
      </c>
      <c r="K48" t="n">
        <v>0</v>
      </c>
      <c r="L48" t="n">
        <v>0</v>
      </c>
      <c r="M48" t="n">
        <v>0</v>
      </c>
      <c r="N48" t="n">
        <v>0</v>
      </c>
    </row>
    <row r="49">
      <c r="A49" t="inlineStr">
        <is>
          <t>cost of buildings</t>
        </is>
      </c>
      <c r="B49" t="inlineStr">
        <is>
          <t>300 laths bought 1 shilling 6pence, at 6pence a 100..</t>
        </is>
      </c>
      <c r="C49" t="n">
        <v>0.08</v>
      </c>
      <c r="D49" t="n">
        <v>0</v>
      </c>
      <c r="E49" t="n">
        <v>1</v>
      </c>
      <c r="F49" t="n">
        <v>6</v>
      </c>
      <c r="H49" t="n">
        <v>0</v>
      </c>
      <c r="I49" t="n">
        <v>0</v>
      </c>
      <c r="J49" t="n">
        <v>0</v>
      </c>
      <c r="K49" t="n">
        <v>0</v>
      </c>
      <c r="L49" t="n">
        <v>0</v>
      </c>
      <c r="M49" t="n">
        <v>0</v>
      </c>
      <c r="N49" t="n">
        <v>0</v>
      </c>
    </row>
    <row r="50">
      <c r="A50" t="inlineStr">
        <is>
          <t>cost of buildings</t>
        </is>
      </c>
      <c r="B50" t="inlineStr">
        <is>
          <t>1,000 lath-nails bought for the same 1 shilling 2pence.</t>
        </is>
      </c>
      <c r="C50" t="n">
        <v>0.06</v>
      </c>
      <c r="D50" t="n">
        <v>0</v>
      </c>
      <c r="E50" t="n">
        <v>1</v>
      </c>
      <c r="F50" t="n">
        <v>2</v>
      </c>
      <c r="H50" t="n">
        <v>0</v>
      </c>
      <c r="I50" t="n">
        <v>0</v>
      </c>
      <c r="J50" t="n">
        <v>0</v>
      </c>
      <c r="K50" t="n">
        <v>0</v>
      </c>
      <c r="L50" t="n">
        <v>0</v>
      </c>
      <c r="M50" t="n">
        <v>0</v>
      </c>
      <c r="N50" t="n">
        <v>0</v>
      </c>
    </row>
    <row r="51">
      <c r="A51" t="inlineStr">
        <is>
          <t>cost of buildings</t>
        </is>
      </c>
      <c r="B51" t="inlineStr">
        <is>
          <t>tile-pins bought 10pence.</t>
        </is>
      </c>
      <c r="C51" t="n">
        <v>0.04</v>
      </c>
      <c r="D51" t="n">
        <v>0</v>
      </c>
      <c r="E51" t="n">
        <v>0</v>
      </c>
      <c r="F51" t="n">
        <v>10</v>
      </c>
      <c r="H51" t="n">
        <v>0</v>
      </c>
      <c r="I51" t="n">
        <v>0</v>
      </c>
      <c r="J51" t="n">
        <v>0</v>
      </c>
      <c r="K51" t="n">
        <v>0</v>
      </c>
      <c r="L51" t="n">
        <v>0</v>
      </c>
      <c r="M51" t="n">
        <v>0</v>
      </c>
      <c r="N51" t="n">
        <v>0</v>
      </c>
    </row>
    <row r="52">
      <c r="A52" t="inlineStr">
        <is>
          <t>cost of buildings</t>
        </is>
      </c>
      <c r="B52" t="inlineStr">
        <is>
          <t>hiring 1 carpenter to fit the north end of the barley barn with ground-sills and studs by piece-work 2 shilling.</t>
        </is>
      </c>
      <c r="C52" t="n">
        <v>0.1</v>
      </c>
      <c r="D52" t="n">
        <v>0</v>
      </c>
      <c r="E52" t="n">
        <v>2</v>
      </c>
      <c r="F52" t="n">
        <v>0</v>
      </c>
      <c r="G52" t="inlineStr">
        <is>
          <t>barley</t>
        </is>
      </c>
      <c r="H52" t="n">
        <v>0</v>
      </c>
      <c r="I52" t="n">
        <v>0</v>
      </c>
      <c r="J52" t="n">
        <v>0</v>
      </c>
      <c r="K52" t="n">
        <v>0</v>
      </c>
      <c r="L52" t="n">
        <v>0</v>
      </c>
      <c r="M52" t="n">
        <v>0</v>
      </c>
      <c r="N52" t="n">
        <v>0</v>
      </c>
    </row>
    <row r="53">
      <c r="A53" t="inlineStr">
        <is>
          <t>cost of buildings</t>
        </is>
      </c>
      <c r="B53" t="inlineStr">
        <is>
          <t>hiring 1 man to cover with laths, daub and pin the said end of the barn by piece-work 2 shilling 2pence.</t>
        </is>
      </c>
      <c r="C53" t="n">
        <v>0.11</v>
      </c>
      <c r="D53" t="n">
        <v>0</v>
      </c>
      <c r="E53" t="n">
        <v>2</v>
      </c>
      <c r="F53" t="n">
        <v>2</v>
      </c>
      <c r="H53" t="n">
        <v>0</v>
      </c>
      <c r="I53" t="n">
        <v>0</v>
      </c>
      <c r="J53" t="n">
        <v>0</v>
      </c>
      <c r="K53" t="n">
        <v>0</v>
      </c>
      <c r="L53" t="n">
        <v>0</v>
      </c>
      <c r="M53" t="n">
        <v>0</v>
      </c>
      <c r="N53" t="n">
        <v>0</v>
      </c>
    </row>
    <row r="54">
      <c r="A54" t="inlineStr">
        <is>
          <t>cost of buildings</t>
        </is>
      </c>
      <c r="B54" t="inlineStr">
        <is>
          <t>hiring 1 carpenter to underpin and fit with ground-sills and studs the great chamber for 4 days 1 shilling 8pence, taking 5pence a day.</t>
        </is>
      </c>
      <c r="C54" t="n">
        <v>0.08</v>
      </c>
      <c r="D54" t="n">
        <v>0</v>
      </c>
      <c r="E54" t="n">
        <v>1</v>
      </c>
      <c r="F54" t="n">
        <v>8</v>
      </c>
      <c r="H54" t="n">
        <v>0</v>
      </c>
      <c r="I54" t="n">
        <v>0</v>
      </c>
      <c r="J54" t="n">
        <v>0</v>
      </c>
      <c r="K54" t="n">
        <v>0</v>
      </c>
      <c r="L54" t="n">
        <v>0</v>
      </c>
      <c r="M54" t="n">
        <v>0</v>
      </c>
      <c r="N54" t="n">
        <v>0</v>
      </c>
    </row>
    <row r="55">
      <c r="A55" t="inlineStr">
        <is>
          <t>cost of buildings</t>
        </is>
      </c>
      <c r="B55" t="inlineStr">
        <is>
          <t>hiring 1 man to wattle and daub the lower chamber under the great chamber for 3 days 1 shilling, taking 4pence a day.</t>
        </is>
      </c>
      <c r="C55" t="n">
        <v>0.07000000000000001</v>
      </c>
      <c r="D55" t="n">
        <v>0</v>
      </c>
      <c r="E55" t="n">
        <v>1</v>
      </c>
      <c r="F55" t="n">
        <v>4</v>
      </c>
      <c r="H55" t="n">
        <v>0</v>
      </c>
      <c r="I55" t="n">
        <v>0</v>
      </c>
      <c r="J55" t="n">
        <v>0</v>
      </c>
      <c r="K55" t="n">
        <v>0</v>
      </c>
      <c r="L55" t="n">
        <v>0</v>
      </c>
      <c r="M55" t="n">
        <v>0</v>
      </c>
      <c r="N55" t="n">
        <v>0</v>
      </c>
    </row>
    <row r="56">
      <c r="A56" t="inlineStr">
        <is>
          <t>cost of buildings</t>
        </is>
      </c>
      <c r="B56" t="inlineStr">
        <is>
          <t>100 stud-nails bought 4pence.</t>
        </is>
      </c>
      <c r="C56" t="n">
        <v>0.02</v>
      </c>
      <c r="D56" t="n">
        <v>0</v>
      </c>
      <c r="E56" t="n">
        <v>0</v>
      </c>
      <c r="F56" t="n">
        <v>4</v>
      </c>
      <c r="H56" t="n">
        <v>0</v>
      </c>
      <c r="I56" t="n">
        <v>0</v>
      </c>
      <c r="J56" t="n">
        <v>0</v>
      </c>
      <c r="K56" t="n">
        <v>0</v>
      </c>
      <c r="L56" t="n">
        <v>0</v>
      </c>
      <c r="M56" t="n">
        <v>0</v>
      </c>
      <c r="N56" t="n">
        <v>0</v>
      </c>
    </row>
    <row r="57">
      <c r="A57" t="inlineStr">
        <is>
          <t>cost of buildings</t>
        </is>
      </c>
      <c r="B57" t="inlineStr">
        <is>
          <t>hiring 1 man to dig earth and sand for the abovesaid repairs for 4 days 1 shilling 4pence, taking 4pence a day.</t>
        </is>
      </c>
      <c r="C57" t="n">
        <v>0.07000000000000001</v>
      </c>
      <c r="D57" t="n">
        <v>0</v>
      </c>
      <c r="E57" t="n">
        <v>1</v>
      </c>
      <c r="F57" t="n">
        <v>4</v>
      </c>
      <c r="H57" t="n">
        <v>0</v>
      </c>
      <c r="I57" t="n">
        <v>0</v>
      </c>
      <c r="J57" t="n">
        <v>0</v>
      </c>
      <c r="K57" t="n">
        <v>0</v>
      </c>
      <c r="L57" t="n">
        <v>0</v>
      </c>
      <c r="M57" t="n">
        <v>0</v>
      </c>
      <c r="N57" t="n">
        <v>0</v>
      </c>
    </row>
    <row r="58">
      <c r="A58" t="inlineStr">
        <is>
          <t>cost of buildings</t>
        </is>
      </c>
      <c r="B58" t="inlineStr">
        <is>
          <t>hiring 1 carter to carry the said earth and sand for 4 days 4 shilling, taking ls, a day.</t>
        </is>
      </c>
      <c r="C58" t="n">
        <v>0.2</v>
      </c>
      <c r="D58" t="n">
        <v>0</v>
      </c>
      <c r="E58" t="n">
        <v>4</v>
      </c>
      <c r="F58" t="n">
        <v>0</v>
      </c>
      <c r="H58" t="n">
        <v>0</v>
      </c>
      <c r="I58" t="n">
        <v>0</v>
      </c>
      <c r="J58" t="n">
        <v>0</v>
      </c>
      <c r="K58" t="n">
        <v>0</v>
      </c>
      <c r="L58" t="n">
        <v>0</v>
      </c>
      <c r="M58" t="n">
        <v>0</v>
      </c>
      <c r="N58" t="n">
        <v>0</v>
      </c>
    </row>
    <row r="59">
      <c r="A59" t="inlineStr">
        <is>
          <t>cost of buildings</t>
        </is>
      </c>
      <c r="B59" t="inlineStr">
        <is>
          <t>total, £5 9 shilling 2pence.</t>
        </is>
      </c>
      <c r="C59" t="n">
        <v>5.46</v>
      </c>
      <c r="D59" t="n">
        <v>5</v>
      </c>
      <c r="E59" t="n">
        <v>9</v>
      </c>
      <c r="F59" t="n">
        <v>2</v>
      </c>
      <c r="H59" t="n">
        <v>0</v>
      </c>
      <c r="I59" t="n">
        <v>0</v>
      </c>
      <c r="J59" t="n">
        <v>0</v>
      </c>
      <c r="K59" t="n">
        <v>0</v>
      </c>
      <c r="L59" t="n">
        <v>0</v>
      </c>
      <c r="M59" t="n">
        <v>0</v>
      </c>
      <c r="N59" t="n">
        <v>0</v>
      </c>
    </row>
    <row r="60">
      <c r="A60" t="inlineStr">
        <is>
          <t>expenses of the steward</t>
        </is>
      </c>
      <c r="B60" t="inlineStr">
        <is>
          <t>in expenses of richard wyot, steward, holding the tourns of martinmas and hockday, by 2 sealed bills in cash, 14 shilling 5pence.</t>
        </is>
      </c>
      <c r="C60" t="n">
        <v>0.72</v>
      </c>
      <c r="D60" t="n">
        <v>0</v>
      </c>
      <c r="E60" t="n">
        <v>14</v>
      </c>
      <c r="F60" t="n">
        <v>5</v>
      </c>
      <c r="H60" t="n">
        <v>0</v>
      </c>
      <c r="I60" t="n">
        <v>0</v>
      </c>
      <c r="J60" t="n">
        <v>0</v>
      </c>
      <c r="K60" t="n">
        <v>0</v>
      </c>
      <c r="L60" t="n">
        <v>0</v>
      </c>
      <c r="M60" t="n">
        <v>0</v>
      </c>
      <c r="N60" t="n">
        <v>0</v>
      </c>
    </row>
    <row r="61">
      <c r="A61" t="inlineStr">
        <is>
          <t>expenses of the steward</t>
        </is>
      </c>
      <c r="B61" t="inlineStr">
        <is>
          <t>3 bushels of wheat bought for baking bread 3 shilling 6pence, at 1 shilling 6pence for 1 bushels, and 1 shilling a bushels for 2 bushels.</t>
        </is>
      </c>
      <c r="C61" t="n">
        <v>0.17</v>
      </c>
      <c r="D61" t="n">
        <v>0</v>
      </c>
      <c r="E61" t="n">
        <v>3</v>
      </c>
      <c r="F61" t="n">
        <v>6</v>
      </c>
      <c r="G61" t="inlineStr">
        <is>
          <t>wheat</t>
        </is>
      </c>
      <c r="H61" t="n">
        <v>0</v>
      </c>
      <c r="I61" t="n">
        <v>3</v>
      </c>
      <c r="J61" t="n">
        <v>0.38</v>
      </c>
      <c r="K61" t="n">
        <v>0.38</v>
      </c>
      <c r="L61" t="n">
        <v>0</v>
      </c>
      <c r="M61" t="n">
        <v>0</v>
      </c>
      <c r="N61" t="n">
        <v>3</v>
      </c>
      <c r="O61" t="n">
        <v>0</v>
      </c>
      <c r="P61" t="n">
        <v>1</v>
      </c>
      <c r="Q61" t="n">
        <v>0</v>
      </c>
      <c r="R61" t="n">
        <v>2</v>
      </c>
      <c r="AA61" t="n">
        <v>1</v>
      </c>
      <c r="AB61" t="n">
        <v>0</v>
      </c>
    </row>
    <row r="62">
      <c r="A62" t="inlineStr">
        <is>
          <t>expenses of the steward</t>
        </is>
      </c>
      <c r="B62" t="inlineStr">
        <is>
          <t>3 quarters 2 bushels of oats bought 10 shilling 4pence, at 3 shilling a quarters for 1 quarters 4 bushels, and 3 shilling 4pence a quarters for 1 quarters 6 bushels.</t>
        </is>
      </c>
      <c r="C62" t="n">
        <v>0.52</v>
      </c>
      <c r="D62" t="n">
        <v>0</v>
      </c>
      <c r="E62" t="n">
        <v>10</v>
      </c>
      <c r="F62" t="n">
        <v>4</v>
      </c>
      <c r="G62" t="inlineStr">
        <is>
          <t>oats</t>
        </is>
      </c>
      <c r="H62" t="n">
        <v>2</v>
      </c>
      <c r="I62" t="n">
        <v>10</v>
      </c>
      <c r="J62" t="n">
        <v>3.25</v>
      </c>
      <c r="K62" t="n">
        <v>3.25</v>
      </c>
      <c r="L62" t="n">
        <v>0</v>
      </c>
      <c r="M62" t="n">
        <v>3</v>
      </c>
      <c r="N62" t="n">
        <v>2</v>
      </c>
      <c r="O62" t="n">
        <v>1</v>
      </c>
      <c r="P62" t="n">
        <v>4</v>
      </c>
      <c r="Q62" t="n">
        <v>1</v>
      </c>
      <c r="R62" t="n">
        <v>6</v>
      </c>
      <c r="S62" t="n">
        <v>3</v>
      </c>
      <c r="T62" t="n">
        <v>0</v>
      </c>
      <c r="U62" t="n">
        <v>3</v>
      </c>
      <c r="V62" t="n">
        <v>4</v>
      </c>
    </row>
    <row r="63">
      <c r="A63" t="inlineStr">
        <is>
          <t>expenses of the steward</t>
        </is>
      </c>
      <c r="B63" t="inlineStr">
        <is>
          <t>total, £1 8 shilling 3pence.</t>
        </is>
      </c>
      <c r="C63" t="n">
        <v>1.41</v>
      </c>
      <c r="D63" t="n">
        <v>1</v>
      </c>
      <c r="E63" t="n">
        <v>8</v>
      </c>
      <c r="F63" t="n">
        <v>3</v>
      </c>
      <c r="H63" t="n">
        <v>0</v>
      </c>
      <c r="I63" t="n">
        <v>0</v>
      </c>
      <c r="J63" t="n">
        <v>0</v>
      </c>
      <c r="K63" t="n">
        <v>0</v>
      </c>
      <c r="L63" t="n">
        <v>0</v>
      </c>
      <c r="M63" t="n">
        <v>0</v>
      </c>
      <c r="N63" t="n">
        <v>0</v>
      </c>
    </row>
    <row r="64">
      <c r="A64" t="inlineStr">
        <is>
          <t>wages and stipends</t>
        </is>
      </c>
      <c r="B64" t="inlineStr">
        <is>
          <t>in wages of william beck', bailiff, for part of his wages, £3 6 shilling 8pence, and he takes the rest elsewhere.</t>
        </is>
      </c>
      <c r="C64" t="n">
        <v>3.33</v>
      </c>
      <c r="D64" t="n">
        <v>3</v>
      </c>
      <c r="E64" t="n">
        <v>6</v>
      </c>
      <c r="F64" t="n">
        <v>8</v>
      </c>
      <c r="H64" t="n">
        <v>0</v>
      </c>
      <c r="I64" t="n">
        <v>0</v>
      </c>
      <c r="J64" t="n">
        <v>0</v>
      </c>
      <c r="K64" t="n">
        <v>0</v>
      </c>
      <c r="L64" t="n">
        <v>0</v>
      </c>
      <c r="M64" t="n">
        <v>0</v>
      </c>
      <c r="N64" t="n">
        <v>0</v>
      </c>
    </row>
    <row r="65">
      <c r="A65" t="inlineStr">
        <is>
          <t>wages and stipends</t>
        </is>
      </c>
      <c r="B65" t="inlineStr">
        <is>
          <t>stipend of 1 warrener keeping the lord's woods and warrens, collecting amercements and summoning the courts for the year, by agreement made by the steward and bailiff, 13 shilling 4pence.</t>
        </is>
      </c>
      <c r="C65" t="n">
        <v>0.67</v>
      </c>
      <c r="D65" t="n">
        <v>0</v>
      </c>
      <c r="E65" t="n">
        <v>13</v>
      </c>
      <c r="F65" t="n">
        <v>4</v>
      </c>
      <c r="H65" t="n">
        <v>0</v>
      </c>
      <c r="I65" t="n">
        <v>0</v>
      </c>
      <c r="J65" t="n">
        <v>0</v>
      </c>
      <c r="K65" t="n">
        <v>0</v>
      </c>
      <c r="L65" t="n">
        <v>0</v>
      </c>
      <c r="M65" t="n">
        <v>0</v>
      </c>
      <c r="N65" t="n">
        <v>0</v>
      </c>
    </row>
    <row r="66">
      <c r="A66" t="inlineStr">
        <is>
          <t>wages and stipends</t>
        </is>
      </c>
      <c r="B66" t="inlineStr">
        <is>
          <t>total, £4..</t>
        </is>
      </c>
      <c r="C66" t="n">
        <v>4</v>
      </c>
      <c r="D66" t="n">
        <v>4</v>
      </c>
      <c r="E66" t="n">
        <v>0</v>
      </c>
      <c r="F66" t="n">
        <v>0</v>
      </c>
      <c r="H66" t="n">
        <v>0</v>
      </c>
      <c r="I66" t="n">
        <v>0</v>
      </c>
      <c r="J66" t="n">
        <v>0</v>
      </c>
      <c r="K66" t="n">
        <v>0</v>
      </c>
      <c r="L66" t="n">
        <v>0</v>
      </c>
      <c r="M66" t="n">
        <v>0</v>
      </c>
      <c r="N66" t="n">
        <v>0</v>
      </c>
    </row>
    <row r="67">
      <c r="A67" t="inlineStr">
        <is>
          <t>total of all expenses</t>
        </is>
      </c>
      <c r="B67" t="inlineStr">
        <is>
          <t>total of all expenses, £15 4 shilling 1pence.</t>
        </is>
      </c>
      <c r="C67" t="n">
        <v>15.2</v>
      </c>
      <c r="D67" t="n">
        <v>15</v>
      </c>
      <c r="E67" t="n">
        <v>4</v>
      </c>
      <c r="F67" t="n">
        <v>1</v>
      </c>
      <c r="H67" t="n">
        <v>0</v>
      </c>
      <c r="I67" t="n">
        <v>0</v>
      </c>
      <c r="J67" t="n">
        <v>0</v>
      </c>
      <c r="K67" t="n">
        <v>0</v>
      </c>
      <c r="L67" t="n">
        <v>0</v>
      </c>
      <c r="M67" t="n">
        <v>0</v>
      </c>
      <c r="N67" t="n">
        <v>0</v>
      </c>
    </row>
    <row r="68">
      <c r="A68" t="inlineStr">
        <is>
          <t>and he owes</t>
        </is>
      </c>
      <c r="B68" t="inlineStr">
        <is>
          <t>and he owes, £68 13 shilling 11pence.</t>
        </is>
      </c>
      <c r="C68" t="n">
        <v>68.7</v>
      </c>
      <c r="D68" t="n">
        <v>68</v>
      </c>
      <c r="E68" t="n">
        <v>13</v>
      </c>
      <c r="F68" t="n">
        <v>11</v>
      </c>
      <c r="H68" t="n">
        <v>0</v>
      </c>
      <c r="I68" t="n">
        <v>0</v>
      </c>
      <c r="J68" t="n">
        <v>0</v>
      </c>
      <c r="K68" t="n">
        <v>0</v>
      </c>
      <c r="L68" t="n">
        <v>0</v>
      </c>
      <c r="M68" t="n">
        <v>0</v>
      </c>
      <c r="N68" t="n">
        <v>0</v>
      </c>
    </row>
    <row r="69">
      <c r="A69" t="inlineStr">
        <is>
          <t>allowances without writ</t>
        </is>
      </c>
      <c r="B69" t="inlineStr">
        <is>
          <t>in allowance to the farmer for £2 5 shilling 1pence for the murrain of livestock (averiorum) disallowed within and elsewhere because he attested at the audit that he should receive allowance of a moiety for common murrain when it occurs.</t>
        </is>
      </c>
      <c r="C69" t="n">
        <v>2.25</v>
      </c>
      <c r="D69" t="n">
        <v>2</v>
      </c>
      <c r="E69" t="n">
        <v>5</v>
      </c>
      <c r="F69" t="n">
        <v>1</v>
      </c>
      <c r="H69" t="n">
        <v>0</v>
      </c>
      <c r="I69" t="n">
        <v>0</v>
      </c>
      <c r="J69" t="n">
        <v>0</v>
      </c>
      <c r="K69" t="n">
        <v>0</v>
      </c>
      <c r="L69" t="n">
        <v>0</v>
      </c>
      <c r="M69" t="n">
        <v>0</v>
      </c>
      <c r="N69" t="n">
        <v>0</v>
      </c>
    </row>
    <row r="70">
      <c r="A70" t="inlineStr">
        <is>
          <t>allowances without writ</t>
        </is>
      </c>
      <c r="B70" t="inlineStr">
        <is>
          <t>5 shilling 6pence for various disallowances made against him above.</t>
        </is>
      </c>
      <c r="C70" t="n">
        <v>0.28</v>
      </c>
      <c r="D70" t="n">
        <v>0</v>
      </c>
      <c r="E70" t="n">
        <v>5</v>
      </c>
      <c r="F70" t="n">
        <v>6</v>
      </c>
      <c r="H70" t="n">
        <v>0</v>
      </c>
      <c r="I70" t="n">
        <v>0</v>
      </c>
      <c r="J70" t="n">
        <v>0</v>
      </c>
      <c r="K70" t="n">
        <v>0</v>
      </c>
      <c r="L70" t="n">
        <v>0</v>
      </c>
      <c r="M70" t="n">
        <v>0</v>
      </c>
      <c r="N70" t="n">
        <v>0</v>
      </c>
    </row>
    <row r="71">
      <c r="A71" t="inlineStr">
        <is>
          <t>allowances without writ</t>
        </is>
      </c>
      <c r="B71" t="inlineStr">
        <is>
          <t>total, £2 10 shilling 7pence.</t>
        </is>
      </c>
      <c r="C71" t="n">
        <v>2.53</v>
      </c>
      <c r="D71" t="n">
        <v>2</v>
      </c>
      <c r="E71" t="n">
        <v>10</v>
      </c>
      <c r="F71" t="n">
        <v>7</v>
      </c>
      <c r="H71" t="n">
        <v>0</v>
      </c>
      <c r="I71" t="n">
        <v>0</v>
      </c>
      <c r="J71" t="n">
        <v>0</v>
      </c>
      <c r="K71" t="n">
        <v>0</v>
      </c>
      <c r="L71" t="n">
        <v>0</v>
      </c>
      <c r="M71" t="n">
        <v>0</v>
      </c>
      <c r="N71" t="n">
        <v>0</v>
      </c>
    </row>
    <row r="72">
      <c r="A72" t="inlineStr">
        <is>
          <t>cash deliveries</t>
        </is>
      </c>
      <c r="B72" t="inlineStr">
        <is>
          <t>delivered to john arnald', receiver of wolvesey, by 1 tally, £66 3 shilling 4pence.</t>
        </is>
      </c>
      <c r="C72" t="n">
        <v>66.17</v>
      </c>
      <c r="D72" t="n">
        <v>66</v>
      </c>
      <c r="E72" t="n">
        <v>3</v>
      </c>
      <c r="F72" t="n">
        <v>4</v>
      </c>
      <c r="H72" t="n">
        <v>0</v>
      </c>
      <c r="I72" t="n">
        <v>0</v>
      </c>
      <c r="J72" t="n">
        <v>0</v>
      </c>
      <c r="K72" t="n">
        <v>0</v>
      </c>
      <c r="L72" t="n">
        <v>0</v>
      </c>
      <c r="M72" t="n">
        <v>0</v>
      </c>
      <c r="N72" t="n">
        <v>0</v>
      </c>
    </row>
    <row r="73">
      <c r="A73" t="inlineStr">
        <is>
          <t>cash deliveries</t>
        </is>
      </c>
      <c r="B73" t="inlineStr">
        <is>
          <t>total, £66 3 shilling 4pence.</t>
        </is>
      </c>
      <c r="C73" t="n">
        <v>66.17</v>
      </c>
      <c r="D73" t="n">
        <v>66</v>
      </c>
      <c r="E73" t="n">
        <v>3</v>
      </c>
      <c r="F73" t="n">
        <v>4</v>
      </c>
      <c r="H73" t="n">
        <v>0</v>
      </c>
      <c r="I73" t="n">
        <v>0</v>
      </c>
      <c r="J73" t="n">
        <v>0</v>
      </c>
      <c r="K73" t="n">
        <v>0</v>
      </c>
      <c r="L73" t="n">
        <v>0</v>
      </c>
      <c r="M73" t="n">
        <v>0</v>
      </c>
      <c r="N73" t="n">
        <v>0</v>
      </c>
    </row>
    <row r="74">
      <c r="A74" t="inlineStr">
        <is>
          <t>total of all allowances and cash deliveries</t>
        </is>
      </c>
      <c r="B74" t="inlineStr">
        <is>
          <t>total of all allowances and cash deliveries, £68 13 shilling 11pence he is quit.</t>
        </is>
      </c>
      <c r="C74" t="n">
        <v>68.7</v>
      </c>
      <c r="D74" t="n">
        <v>68</v>
      </c>
      <c r="E74" t="n">
        <v>13</v>
      </c>
      <c r="F74" t="n">
        <v>11</v>
      </c>
      <c r="H74" t="n">
        <v>0</v>
      </c>
      <c r="I74" t="n">
        <v>0</v>
      </c>
      <c r="J74" t="n">
        <v>0</v>
      </c>
      <c r="K74" t="n">
        <v>0</v>
      </c>
      <c r="L74" t="n">
        <v>0</v>
      </c>
      <c r="M74" t="n">
        <v>0</v>
      </c>
      <c r="N74" t="n">
        <v>0</v>
      </c>
    </row>
    <row r="75">
      <c r="A75" t="inlineStr">
        <is>
          <t>wheat</t>
        </is>
      </c>
      <c r="B75" t="inlineStr">
        <is>
          <t>william lythewey, farmer there, answers for 12 quarters of wheat remaining..</t>
        </is>
      </c>
      <c r="C75" t="n">
        <v>0</v>
      </c>
      <c r="D75" t="n">
        <v>0</v>
      </c>
      <c r="E75" t="n">
        <v>0</v>
      </c>
      <c r="F75" t="n">
        <v>0</v>
      </c>
      <c r="G75" t="inlineStr">
        <is>
          <t>wheat</t>
        </is>
      </c>
      <c r="H75" t="n">
        <v>12</v>
      </c>
      <c r="I75" t="n">
        <v>0</v>
      </c>
      <c r="J75" t="n">
        <v>12</v>
      </c>
      <c r="K75" t="n">
        <v>12</v>
      </c>
      <c r="L75" t="n">
        <v>0</v>
      </c>
      <c r="M75" t="n">
        <v>12</v>
      </c>
      <c r="N75" t="n">
        <v>0</v>
      </c>
    </row>
    <row r="76">
      <c r="A76" t="inlineStr">
        <is>
          <t>wheat</t>
        </is>
      </c>
      <c r="B76" t="inlineStr">
        <is>
          <t>total, 12 quarters..</t>
        </is>
      </c>
      <c r="C76" t="n">
        <v>0</v>
      </c>
      <c r="D76" t="n">
        <v>0</v>
      </c>
      <c r="E76" t="n">
        <v>0</v>
      </c>
      <c r="F76" t="n">
        <v>0</v>
      </c>
      <c r="H76" t="n">
        <v>12</v>
      </c>
      <c r="I76" t="n">
        <v>0</v>
      </c>
      <c r="J76" t="n">
        <v>12</v>
      </c>
      <c r="K76" t="n">
        <v>12</v>
      </c>
      <c r="L76" t="n">
        <v>0</v>
      </c>
      <c r="M76" t="n">
        <v>12</v>
      </c>
      <c r="N76" t="n">
        <v>0</v>
      </c>
    </row>
    <row r="77">
      <c r="A77" t="inlineStr">
        <is>
          <t>wheat</t>
        </is>
      </c>
      <c r="B77" t="inlineStr">
        <is>
          <t>12 quarters remain, sown over 38.5 acres of land by the perch lying on assherugg'.</t>
        </is>
      </c>
      <c r="C77" t="n">
        <v>0</v>
      </c>
      <c r="D77" t="n">
        <v>0</v>
      </c>
      <c r="E77" t="n">
        <v>0</v>
      </c>
      <c r="F77" t="n">
        <v>0</v>
      </c>
      <c r="H77" t="n">
        <v>12</v>
      </c>
      <c r="I77" t="n">
        <v>0</v>
      </c>
      <c r="J77" t="n">
        <v>12</v>
      </c>
      <c r="K77" t="n">
        <v>12</v>
      </c>
      <c r="L77" t="n">
        <v>0</v>
      </c>
      <c r="M77" t="n">
        <v>12</v>
      </c>
      <c r="N77" t="n">
        <v>0</v>
      </c>
    </row>
    <row r="78">
      <c r="A78" t="inlineStr">
        <is>
          <t>wheat</t>
        </is>
      </c>
      <c r="B78" t="inlineStr">
        <is>
          <t>that is, 2.5 bushels an acre, less 1 peck in all, in the hands of the said william lythewey, farmer there, to be restored and handed back at the end of 12 years, this year being the third..</t>
        </is>
      </c>
      <c r="C78" t="n">
        <v>0</v>
      </c>
      <c r="D78" t="n">
        <v>0</v>
      </c>
      <c r="E78" t="n">
        <v>0</v>
      </c>
      <c r="F78" t="n">
        <v>0</v>
      </c>
      <c r="H78" t="n">
        <v>0</v>
      </c>
      <c r="I78" t="n">
        <v>2.5</v>
      </c>
      <c r="J78" t="n">
        <v>0.31</v>
      </c>
      <c r="K78" t="n">
        <v>0.31</v>
      </c>
      <c r="L78" t="n">
        <v>0</v>
      </c>
      <c r="M78" t="n">
        <v>0</v>
      </c>
      <c r="N78" t="n">
        <v>2.5</v>
      </c>
    </row>
    <row r="79">
      <c r="A79" t="inlineStr">
        <is>
          <t>barley</t>
        </is>
      </c>
      <c r="B79" t="inlineStr">
        <is>
          <t>and for 13 quarters of barley remaining..</t>
        </is>
      </c>
      <c r="C79" t="n">
        <v>0</v>
      </c>
      <c r="D79" t="n">
        <v>0</v>
      </c>
      <c r="E79" t="n">
        <v>0</v>
      </c>
      <c r="F79" t="n">
        <v>0</v>
      </c>
      <c r="G79" t="inlineStr">
        <is>
          <t>barley</t>
        </is>
      </c>
      <c r="H79" t="n">
        <v>13</v>
      </c>
      <c r="I79" t="n">
        <v>0</v>
      </c>
      <c r="J79" t="n">
        <v>13</v>
      </c>
      <c r="K79" t="n">
        <v>13</v>
      </c>
      <c r="L79" t="n">
        <v>0</v>
      </c>
      <c r="M79" t="n">
        <v>13</v>
      </c>
      <c r="N79" t="n">
        <v>0</v>
      </c>
    </row>
    <row r="80">
      <c r="A80" t="inlineStr">
        <is>
          <t>barley</t>
        </is>
      </c>
      <c r="B80" t="inlineStr">
        <is>
          <t>total, 13 quarters..</t>
        </is>
      </c>
      <c r="C80" t="n">
        <v>0</v>
      </c>
      <c r="D80" t="n">
        <v>0</v>
      </c>
      <c r="E80" t="n">
        <v>0</v>
      </c>
      <c r="F80" t="n">
        <v>0</v>
      </c>
      <c r="H80" t="n">
        <v>13</v>
      </c>
      <c r="I80" t="n">
        <v>0</v>
      </c>
      <c r="J80" t="n">
        <v>13</v>
      </c>
      <c r="K80" t="n">
        <v>13</v>
      </c>
      <c r="L80" t="n">
        <v>0</v>
      </c>
      <c r="M80" t="n">
        <v>13</v>
      </c>
      <c r="N80" t="n">
        <v>0</v>
      </c>
    </row>
    <row r="81">
      <c r="A81" t="inlineStr">
        <is>
          <t>barley</t>
        </is>
      </c>
      <c r="B81" t="inlineStr">
        <is>
          <t>13 quarters remain, sown over 26 acres of land by the perch lying in le estfeld' and chetenor'.</t>
        </is>
      </c>
      <c r="C81" t="n">
        <v>0</v>
      </c>
      <c r="D81" t="n">
        <v>0</v>
      </c>
      <c r="E81" t="n">
        <v>0</v>
      </c>
      <c r="F81" t="n">
        <v>0</v>
      </c>
      <c r="H81" t="n">
        <v>13</v>
      </c>
      <c r="I81" t="n">
        <v>0</v>
      </c>
      <c r="J81" t="n">
        <v>13</v>
      </c>
      <c r="K81" t="n">
        <v>13</v>
      </c>
      <c r="L81" t="n">
        <v>0</v>
      </c>
      <c r="M81" t="n">
        <v>13</v>
      </c>
      <c r="N81" t="n">
        <v>0</v>
      </c>
    </row>
    <row r="82">
      <c r="A82" t="inlineStr">
        <is>
          <t>barley</t>
        </is>
      </c>
      <c r="B82" t="inlineStr">
        <is>
          <t>that is, 4 bushels an acre, in the hands of the said farmer, to be restored and handed back as before.</t>
        </is>
      </c>
      <c r="C82" t="n">
        <v>0</v>
      </c>
      <c r="D82" t="n">
        <v>0</v>
      </c>
      <c r="E82" t="n">
        <v>0</v>
      </c>
      <c r="F82" t="n">
        <v>0</v>
      </c>
      <c r="H82" t="n">
        <v>0</v>
      </c>
      <c r="I82" t="n">
        <v>4</v>
      </c>
      <c r="J82" t="n">
        <v>0.5</v>
      </c>
      <c r="K82" t="n">
        <v>0.5</v>
      </c>
      <c r="L82" t="n">
        <v>0</v>
      </c>
      <c r="M82" t="n">
        <v>0</v>
      </c>
      <c r="N82" t="n">
        <v>4</v>
      </c>
    </row>
    <row r="83">
      <c r="A83" t="inlineStr">
        <is>
          <t>dredge</t>
        </is>
      </c>
      <c r="B83" t="inlineStr">
        <is>
          <t>and for 7 quarters of dredge remaining..</t>
        </is>
      </c>
      <c r="C83" t="n">
        <v>0</v>
      </c>
      <c r="D83" t="n">
        <v>0</v>
      </c>
      <c r="E83" t="n">
        <v>0</v>
      </c>
      <c r="F83" t="n">
        <v>0</v>
      </c>
      <c r="G83" t="inlineStr">
        <is>
          <t>dredge</t>
        </is>
      </c>
      <c r="H83" t="n">
        <v>7</v>
      </c>
      <c r="I83" t="n">
        <v>0</v>
      </c>
      <c r="J83" t="n">
        <v>7</v>
      </c>
      <c r="K83" t="n">
        <v>7</v>
      </c>
      <c r="L83" t="n">
        <v>0</v>
      </c>
      <c r="M83" t="n">
        <v>7</v>
      </c>
      <c r="N83" t="n">
        <v>0</v>
      </c>
    </row>
    <row r="84">
      <c r="A84" t="inlineStr">
        <is>
          <t>dredge</t>
        </is>
      </c>
      <c r="B84" t="inlineStr">
        <is>
          <t>total, 7 quarters..</t>
        </is>
      </c>
      <c r="C84" t="n">
        <v>0</v>
      </c>
      <c r="D84" t="n">
        <v>0</v>
      </c>
      <c r="E84" t="n">
        <v>0</v>
      </c>
      <c r="F84" t="n">
        <v>0</v>
      </c>
      <c r="H84" t="n">
        <v>7</v>
      </c>
      <c r="I84" t="n">
        <v>0</v>
      </c>
      <c r="J84" t="n">
        <v>7</v>
      </c>
      <c r="K84" t="n">
        <v>7</v>
      </c>
      <c r="L84" t="n">
        <v>0</v>
      </c>
      <c r="M84" t="n">
        <v>7</v>
      </c>
      <c r="N84" t="n">
        <v>0</v>
      </c>
    </row>
    <row r="85">
      <c r="A85" t="inlineStr">
        <is>
          <t>dredge</t>
        </is>
      </c>
      <c r="B85" t="inlineStr">
        <is>
          <t>7 quarters remain, sown over 14 acres of land by the perch lying in le estfeld.</t>
        </is>
      </c>
      <c r="C85" t="n">
        <v>0</v>
      </c>
      <c r="D85" t="n">
        <v>0</v>
      </c>
      <c r="E85" t="n">
        <v>0</v>
      </c>
      <c r="F85" t="n">
        <v>0</v>
      </c>
      <c r="H85" t="n">
        <v>7</v>
      </c>
      <c r="I85" t="n">
        <v>0</v>
      </c>
      <c r="J85" t="n">
        <v>7</v>
      </c>
      <c r="K85" t="n">
        <v>7</v>
      </c>
      <c r="L85" t="n">
        <v>0</v>
      </c>
      <c r="M85" t="n">
        <v>7</v>
      </c>
      <c r="N85" t="n">
        <v>0</v>
      </c>
    </row>
    <row r="86">
      <c r="A86" t="inlineStr">
        <is>
          <t>dredge</t>
        </is>
      </c>
      <c r="B86" t="inlineStr">
        <is>
          <t>that is, 4 bushels an acre, in the hands of the said fanner, to be restored and handed back as before.</t>
        </is>
      </c>
      <c r="C86" t="n">
        <v>0</v>
      </c>
      <c r="D86" t="n">
        <v>0</v>
      </c>
      <c r="E86" t="n">
        <v>0</v>
      </c>
      <c r="F86" t="n">
        <v>0</v>
      </c>
      <c r="H86" t="n">
        <v>0</v>
      </c>
      <c r="I86" t="n">
        <v>4</v>
      </c>
      <c r="J86" t="n">
        <v>0.5</v>
      </c>
      <c r="K86" t="n">
        <v>0.5</v>
      </c>
      <c r="L86" t="n">
        <v>0</v>
      </c>
      <c r="M86" t="n">
        <v>0</v>
      </c>
      <c r="N86" t="n">
        <v>4</v>
      </c>
    </row>
    <row r="87">
      <c r="A87" t="inlineStr">
        <is>
          <t>pulses</t>
        </is>
      </c>
      <c r="B87" t="inlineStr">
        <is>
          <t>and for 2 quarters of pulses remaining..</t>
        </is>
      </c>
      <c r="C87" t="n">
        <v>0</v>
      </c>
      <c r="D87" t="n">
        <v>0</v>
      </c>
      <c r="E87" t="n">
        <v>0</v>
      </c>
      <c r="F87" t="n">
        <v>0</v>
      </c>
      <c r="H87" t="n">
        <v>2</v>
      </c>
      <c r="I87" t="n">
        <v>0</v>
      </c>
      <c r="J87" t="n">
        <v>2</v>
      </c>
      <c r="K87" t="n">
        <v>2</v>
      </c>
      <c r="L87" t="n">
        <v>0</v>
      </c>
      <c r="M87" t="n">
        <v>2</v>
      </c>
      <c r="N87" t="n">
        <v>0</v>
      </c>
    </row>
    <row r="88">
      <c r="A88" t="inlineStr">
        <is>
          <t>pulses</t>
        </is>
      </c>
      <c r="B88" t="inlineStr">
        <is>
          <t>total, 2 quarters..</t>
        </is>
      </c>
      <c r="C88" t="n">
        <v>0</v>
      </c>
      <c r="D88" t="n">
        <v>0</v>
      </c>
      <c r="E88" t="n">
        <v>0</v>
      </c>
      <c r="F88" t="n">
        <v>0</v>
      </c>
      <c r="H88" t="n">
        <v>2</v>
      </c>
      <c r="I88" t="n">
        <v>0</v>
      </c>
      <c r="J88" t="n">
        <v>2</v>
      </c>
      <c r="K88" t="n">
        <v>2</v>
      </c>
      <c r="L88" t="n">
        <v>0</v>
      </c>
      <c r="M88" t="n">
        <v>2</v>
      </c>
      <c r="N88" t="n">
        <v>0</v>
      </c>
    </row>
    <row r="89">
      <c r="A89" t="inlineStr">
        <is>
          <t>pulses</t>
        </is>
      </c>
      <c r="B89" t="inlineStr">
        <is>
          <t>2 quarters remain, sown over 5.5 acres of land by the perch lying in le estfeld'.</t>
        </is>
      </c>
      <c r="C89" t="n">
        <v>0</v>
      </c>
      <c r="D89" t="n">
        <v>0</v>
      </c>
      <c r="E89" t="n">
        <v>0</v>
      </c>
      <c r="F89" t="n">
        <v>0</v>
      </c>
      <c r="H89" t="n">
        <v>2</v>
      </c>
      <c r="I89" t="n">
        <v>0</v>
      </c>
      <c r="J89" t="n">
        <v>2</v>
      </c>
      <c r="K89" t="n">
        <v>2</v>
      </c>
      <c r="L89" t="n">
        <v>0</v>
      </c>
      <c r="M89" t="n">
        <v>2</v>
      </c>
      <c r="N89" t="n">
        <v>0</v>
      </c>
    </row>
    <row r="90">
      <c r="A90" t="inlineStr">
        <is>
          <t>pulses</t>
        </is>
      </c>
      <c r="B90" t="inlineStr">
        <is>
          <t>that is, 3 bushels an acre, less .5 bushels in all, in the hands of the said fanner, to be restored and handed back as before.</t>
        </is>
      </c>
      <c r="C90" t="n">
        <v>0</v>
      </c>
      <c r="D90" t="n">
        <v>0</v>
      </c>
      <c r="E90" t="n">
        <v>0</v>
      </c>
      <c r="F90" t="n">
        <v>0</v>
      </c>
      <c r="H90" t="n">
        <v>0</v>
      </c>
      <c r="I90" t="n">
        <v>5</v>
      </c>
      <c r="J90" t="n">
        <v>0.62</v>
      </c>
      <c r="K90" t="n">
        <v>0.38</v>
      </c>
      <c r="L90" t="n">
        <v>0.25</v>
      </c>
      <c r="M90" t="n">
        <v>0</v>
      </c>
      <c r="N90" t="n">
        <v>3</v>
      </c>
      <c r="O90" t="n">
        <v>0</v>
      </c>
      <c r="P90" t="n">
        <v>5</v>
      </c>
    </row>
    <row r="91">
      <c r="A91" t="inlineStr">
        <is>
          <t>oats</t>
        </is>
      </c>
      <c r="B91" t="inlineStr">
        <is>
          <t>and for 11 quarters of oats remaining..</t>
        </is>
      </c>
      <c r="C91" t="n">
        <v>0</v>
      </c>
      <c r="D91" t="n">
        <v>0</v>
      </c>
      <c r="E91" t="n">
        <v>0</v>
      </c>
      <c r="F91" t="n">
        <v>0</v>
      </c>
      <c r="G91" t="inlineStr">
        <is>
          <t>oats</t>
        </is>
      </c>
      <c r="H91" t="n">
        <v>11</v>
      </c>
      <c r="I91" t="n">
        <v>0</v>
      </c>
      <c r="J91" t="n">
        <v>11</v>
      </c>
      <c r="K91" t="n">
        <v>11</v>
      </c>
      <c r="L91" t="n">
        <v>0</v>
      </c>
      <c r="M91" t="n">
        <v>11</v>
      </c>
      <c r="N91" t="n">
        <v>0</v>
      </c>
    </row>
    <row r="92">
      <c r="A92" t="inlineStr">
        <is>
          <t>oats</t>
        </is>
      </c>
      <c r="B92" t="inlineStr">
        <is>
          <t>total, 11 quarters..</t>
        </is>
      </c>
      <c r="C92" t="n">
        <v>0</v>
      </c>
      <c r="D92" t="n">
        <v>0</v>
      </c>
      <c r="E92" t="n">
        <v>0</v>
      </c>
      <c r="F92" t="n">
        <v>0</v>
      </c>
      <c r="H92" t="n">
        <v>11</v>
      </c>
      <c r="I92" t="n">
        <v>0</v>
      </c>
      <c r="J92" t="n">
        <v>11</v>
      </c>
      <c r="K92" t="n">
        <v>11</v>
      </c>
      <c r="L92" t="n">
        <v>0</v>
      </c>
      <c r="M92" t="n">
        <v>11</v>
      </c>
      <c r="N92" t="n">
        <v>0</v>
      </c>
    </row>
    <row r="93">
      <c r="A93" t="inlineStr">
        <is>
          <t>oats</t>
        </is>
      </c>
      <c r="B93" t="inlineStr">
        <is>
          <t>11 quarters remain, sown over 22 acres of land by the perch lying in sparburyfeld'.</t>
        </is>
      </c>
      <c r="C93" t="n">
        <v>0</v>
      </c>
      <c r="D93" t="n">
        <v>0</v>
      </c>
      <c r="E93" t="n">
        <v>0</v>
      </c>
      <c r="F93" t="n">
        <v>0</v>
      </c>
      <c r="H93" t="n">
        <v>11</v>
      </c>
      <c r="I93" t="n">
        <v>0</v>
      </c>
      <c r="J93" t="n">
        <v>11</v>
      </c>
      <c r="K93" t="n">
        <v>11</v>
      </c>
      <c r="L93" t="n">
        <v>0</v>
      </c>
      <c r="M93" t="n">
        <v>11</v>
      </c>
      <c r="N93" t="n">
        <v>0</v>
      </c>
    </row>
    <row r="94">
      <c r="A94" t="inlineStr">
        <is>
          <t>oats</t>
        </is>
      </c>
      <c r="B94" t="inlineStr">
        <is>
          <t>that is, 4 bushels an acre, in the hands of the said farmer, to be restored and handed back as before.</t>
        </is>
      </c>
      <c r="C94" t="n">
        <v>0</v>
      </c>
      <c r="D94" t="n">
        <v>0</v>
      </c>
      <c r="E94" t="n">
        <v>0</v>
      </c>
      <c r="F94" t="n">
        <v>0</v>
      </c>
      <c r="H94" t="n">
        <v>0</v>
      </c>
      <c r="I94" t="n">
        <v>4</v>
      </c>
      <c r="J94" t="n">
        <v>0.5</v>
      </c>
      <c r="K94" t="n">
        <v>0.5</v>
      </c>
      <c r="L94" t="n">
        <v>0</v>
      </c>
      <c r="M94" t="n">
        <v>0</v>
      </c>
      <c r="N94" t="n">
        <v>4</v>
      </c>
    </row>
    <row r="95">
      <c r="A95" t="inlineStr">
        <is>
          <t>acreage</t>
        </is>
      </c>
      <c r="B95" t="inlineStr">
        <is>
          <t>total acreage sown, 106 acres.</t>
        </is>
      </c>
      <c r="C95" t="n">
        <v>0</v>
      </c>
      <c r="D95" t="n">
        <v>0</v>
      </c>
      <c r="E95" t="n">
        <v>0</v>
      </c>
      <c r="F95" t="n">
        <v>0</v>
      </c>
      <c r="H95" t="n">
        <v>0</v>
      </c>
      <c r="I95" t="n">
        <v>0</v>
      </c>
      <c r="J95" t="n">
        <v>0</v>
      </c>
      <c r="K95" t="n">
        <v>0</v>
      </c>
      <c r="L95" t="n">
        <v>0</v>
      </c>
      <c r="M95" t="n">
        <v>0</v>
      </c>
      <c r="N95" t="n">
        <v>0</v>
      </c>
    </row>
    <row r="96">
      <c r="A96" t="inlineStr">
        <is>
          <t>stock</t>
        </is>
      </c>
      <c r="B96" t="inlineStr">
        <is>
          <t>horses: 4 remain.</t>
        </is>
      </c>
      <c r="C96" t="n">
        <v>0</v>
      </c>
      <c r="D96" t="n">
        <v>0</v>
      </c>
      <c r="E96" t="n">
        <v>0</v>
      </c>
      <c r="F96" t="n">
        <v>0</v>
      </c>
      <c r="H96" t="n">
        <v>0</v>
      </c>
      <c r="I96" t="n">
        <v>0</v>
      </c>
      <c r="J96" t="n">
        <v>0</v>
      </c>
      <c r="K96" t="n">
        <v>0</v>
      </c>
      <c r="L96" t="n">
        <v>0</v>
      </c>
      <c r="M96" t="n">
        <v>0</v>
      </c>
      <c r="N96" t="n">
        <v>0</v>
      </c>
    </row>
    <row r="97">
      <c r="A97" t="inlineStr">
        <is>
          <t>stock</t>
        </is>
      </c>
      <c r="B97" t="inlineStr">
        <is>
          <t>total, 4. 4 cart-horses remain, worth 14 shilling each, in the hands of the said farmer, to be restored at the end of his farm or the value of the same at the lord's will as before.</t>
        </is>
      </c>
      <c r="C97" t="n">
        <v>0.7</v>
      </c>
      <c r="D97" t="n">
        <v>0</v>
      </c>
      <c r="E97" t="n">
        <v>14</v>
      </c>
      <c r="F97" t="n">
        <v>0</v>
      </c>
      <c r="H97" t="n">
        <v>0</v>
      </c>
      <c r="I97" t="n">
        <v>0</v>
      </c>
      <c r="J97" t="n">
        <v>0</v>
      </c>
      <c r="K97" t="n">
        <v>0</v>
      </c>
      <c r="L97" t="n">
        <v>0</v>
      </c>
      <c r="M97" t="n">
        <v>0</v>
      </c>
      <c r="N97" t="n">
        <v>0</v>
      </c>
    </row>
    <row r="98">
      <c r="A98" t="inlineStr">
        <is>
          <t>stock</t>
        </is>
      </c>
      <c r="B98" t="inlineStr">
        <is>
          <t>plough-horses: 12 remain.</t>
        </is>
      </c>
      <c r="C98" t="n">
        <v>0</v>
      </c>
      <c r="D98" t="n">
        <v>0</v>
      </c>
      <c r="E98" t="n">
        <v>0</v>
      </c>
      <c r="F98" t="n">
        <v>0</v>
      </c>
      <c r="H98" t="n">
        <v>0</v>
      </c>
      <c r="I98" t="n">
        <v>0</v>
      </c>
      <c r="J98" t="n">
        <v>0</v>
      </c>
      <c r="K98" t="n">
        <v>0</v>
      </c>
      <c r="L98" t="n">
        <v>0</v>
      </c>
      <c r="M98" t="n">
        <v>0</v>
      </c>
      <c r="N98" t="n">
        <v>0</v>
      </c>
    </row>
    <row r="99">
      <c r="A99" t="inlineStr">
        <is>
          <t>stock</t>
        </is>
      </c>
      <c r="B99" t="inlineStr">
        <is>
          <t>total, 12. 12 remain, of which 6 are worth 8 shilling each and 6 worth 6 shilling each, in the hands of the said fanner, to be restored at the end of his farm or the value of the same at the lord's will.</t>
        </is>
      </c>
      <c r="C99" t="n">
        <v>0.4</v>
      </c>
      <c r="D99" t="n">
        <v>0</v>
      </c>
      <c r="E99" t="n">
        <v>8</v>
      </c>
      <c r="F99" t="n">
        <v>0</v>
      </c>
      <c r="H99" t="n">
        <v>0</v>
      </c>
      <c r="I99" t="n">
        <v>0</v>
      </c>
      <c r="J99" t="n">
        <v>0</v>
      </c>
      <c r="K99" t="n">
        <v>0</v>
      </c>
      <c r="L99" t="n">
        <v>0</v>
      </c>
      <c r="M99" t="n">
        <v>0</v>
      </c>
      <c r="N99" t="n">
        <v>0</v>
      </c>
    </row>
    <row r="100">
      <c r="A100" t="inlineStr">
        <is>
          <t>stock</t>
        </is>
      </c>
      <c r="B100" t="inlineStr">
        <is>
          <t>bulls: 1 remains, worth 9 shilling, in the hands of the said fanner, to be restored and handed back at the end of his farm or the value of the same at the lord's will.</t>
        </is>
      </c>
      <c r="C100" t="n">
        <v>0.45</v>
      </c>
      <c r="D100" t="n">
        <v>0</v>
      </c>
      <c r="E100" t="n">
        <v>9</v>
      </c>
      <c r="F100" t="n">
        <v>0</v>
      </c>
      <c r="H100" t="n">
        <v>0</v>
      </c>
      <c r="I100" t="n">
        <v>0</v>
      </c>
      <c r="J100" t="n">
        <v>0</v>
      </c>
      <c r="K100" t="n">
        <v>0</v>
      </c>
      <c r="L100" t="n">
        <v>0</v>
      </c>
      <c r="M100" t="n">
        <v>0</v>
      </c>
      <c r="N100" t="n">
        <v>0</v>
      </c>
    </row>
    <row r="101">
      <c r="A101" t="inlineStr">
        <is>
          <t>stock</t>
        </is>
      </c>
      <c r="B101" t="inlineStr">
        <is>
          <t>cows: 31 remain.</t>
        </is>
      </c>
      <c r="C101" t="n">
        <v>0</v>
      </c>
      <c r="D101" t="n">
        <v>0</v>
      </c>
      <c r="E101" t="n">
        <v>0</v>
      </c>
      <c r="F101" t="n">
        <v>0</v>
      </c>
      <c r="H101" t="n">
        <v>0</v>
      </c>
      <c r="I101" t="n">
        <v>0</v>
      </c>
      <c r="J101" t="n">
        <v>0</v>
      </c>
      <c r="K101" t="n">
        <v>0</v>
      </c>
      <c r="L101" t="n">
        <v>0</v>
      </c>
      <c r="M101" t="n">
        <v>0</v>
      </c>
      <c r="N101" t="n">
        <v>0</v>
      </c>
    </row>
    <row r="102">
      <c r="A102" t="inlineStr">
        <is>
          <t>stock</t>
        </is>
      </c>
      <c r="B102" t="inlineStr">
        <is>
          <t>total, 31, worth 9 shilling each, in the hands.of the said farmer, to be restored and handed back at the end of his farm as before.</t>
        </is>
      </c>
      <c r="C102" t="n">
        <v>0.45</v>
      </c>
      <c r="D102" t="n">
        <v>0</v>
      </c>
      <c r="E102" t="n">
        <v>9</v>
      </c>
      <c r="F102" t="n">
        <v>0</v>
      </c>
      <c r="H102" t="n">
        <v>0</v>
      </c>
      <c r="I102" t="n">
        <v>0</v>
      </c>
      <c r="J102" t="n">
        <v>0</v>
      </c>
      <c r="K102" t="n">
        <v>0</v>
      </c>
      <c r="L102" t="n">
        <v>0</v>
      </c>
      <c r="M102" t="n">
        <v>0</v>
      </c>
      <c r="N102" t="n">
        <v>0</v>
      </c>
    </row>
    <row r="103">
      <c r="A103" t="inlineStr">
        <is>
          <t>stock</t>
        </is>
      </c>
      <c r="B103" t="inlineStr">
        <is>
          <t>steers: 5 remain.</t>
        </is>
      </c>
      <c r="C103" t="n">
        <v>0</v>
      </c>
      <c r="D103" t="n">
        <v>0</v>
      </c>
      <c r="E103" t="n">
        <v>0</v>
      </c>
      <c r="F103" t="n">
        <v>0</v>
      </c>
      <c r="H103" t="n">
        <v>0</v>
      </c>
      <c r="I103" t="n">
        <v>0</v>
      </c>
      <c r="J103" t="n">
        <v>0</v>
      </c>
      <c r="K103" t="n">
        <v>0</v>
      </c>
      <c r="L103" t="n">
        <v>0</v>
      </c>
      <c r="M103" t="n">
        <v>0</v>
      </c>
      <c r="N103" t="n">
        <v>0</v>
      </c>
    </row>
    <row r="104">
      <c r="A104" t="inlineStr">
        <is>
          <t>stock</t>
        </is>
      </c>
      <c r="B104" t="inlineStr">
        <is>
          <t>total, 5. 5 remain, worth 5 shilling each, in the hands of the said farmer, to be restored and handed back at the end of his farm or the value of the same at the lord's will.</t>
        </is>
      </c>
      <c r="C104" t="n">
        <v>0.25</v>
      </c>
      <c r="D104" t="n">
        <v>0</v>
      </c>
      <c r="E104" t="n">
        <v>5</v>
      </c>
      <c r="F104" t="n">
        <v>0</v>
      </c>
      <c r="H104" t="n">
        <v>0</v>
      </c>
      <c r="I104" t="n">
        <v>0</v>
      </c>
      <c r="J104" t="n">
        <v>0</v>
      </c>
      <c r="K104" t="n">
        <v>0</v>
      </c>
      <c r="L104" t="n">
        <v>0</v>
      </c>
      <c r="M104" t="n">
        <v>0</v>
      </c>
      <c r="N104" t="n">
        <v>0</v>
      </c>
    </row>
    <row r="105">
      <c r="A105" t="inlineStr">
        <is>
          <t>stock</t>
        </is>
      </c>
      <c r="B105" t="inlineStr">
        <is>
          <t>bullocks: 6 remain.</t>
        </is>
      </c>
      <c r="C105" t="n">
        <v>0</v>
      </c>
      <c r="D105" t="n">
        <v>0</v>
      </c>
      <c r="E105" t="n">
        <v>0</v>
      </c>
      <c r="F105" t="n">
        <v>0</v>
      </c>
      <c r="H105" t="n">
        <v>0</v>
      </c>
      <c r="I105" t="n">
        <v>0</v>
      </c>
      <c r="J105" t="n">
        <v>0</v>
      </c>
      <c r="K105" t="n">
        <v>0</v>
      </c>
      <c r="L105" t="n">
        <v>0</v>
      </c>
      <c r="M105" t="n">
        <v>0</v>
      </c>
      <c r="N105" t="n">
        <v>0</v>
      </c>
    </row>
    <row r="106">
      <c r="A106" t="inlineStr">
        <is>
          <t>stock</t>
        </is>
      </c>
      <c r="B106" t="inlineStr">
        <is>
          <t>total, 6. 6 remain, worth 4 shilling each, in the hands of the said farmer, to be restored and handed back at the end of his farm or the value of the same at the lord's will.</t>
        </is>
      </c>
      <c r="C106" t="n">
        <v>0.2</v>
      </c>
      <c r="D106" t="n">
        <v>0</v>
      </c>
      <c r="E106" t="n">
        <v>4</v>
      </c>
      <c r="F106" t="n">
        <v>0</v>
      </c>
      <c r="H106" t="n">
        <v>0</v>
      </c>
      <c r="I106" t="n">
        <v>0</v>
      </c>
      <c r="J106" t="n">
        <v>0</v>
      </c>
      <c r="K106" t="n">
        <v>0</v>
      </c>
      <c r="L106" t="n">
        <v>0</v>
      </c>
      <c r="M106" t="n">
        <v>0</v>
      </c>
      <c r="N106" t="n">
        <v>0</v>
      </c>
    </row>
    <row r="107">
      <c r="A107" t="inlineStr">
        <is>
          <t>stock</t>
        </is>
      </c>
      <c r="B107" t="inlineStr">
        <is>
          <t>yearlings: 5 remain.</t>
        </is>
      </c>
      <c r="C107" t="n">
        <v>0</v>
      </c>
      <c r="D107" t="n">
        <v>0</v>
      </c>
      <c r="E107" t="n">
        <v>0</v>
      </c>
      <c r="F107" t="n">
        <v>0</v>
      </c>
      <c r="H107" t="n">
        <v>0</v>
      </c>
      <c r="I107" t="n">
        <v>0</v>
      </c>
      <c r="J107" t="n">
        <v>0</v>
      </c>
      <c r="K107" t="n">
        <v>0</v>
      </c>
      <c r="L107" t="n">
        <v>0</v>
      </c>
      <c r="M107" t="n">
        <v>0</v>
      </c>
      <c r="N107" t="n">
        <v>0</v>
      </c>
    </row>
    <row r="108">
      <c r="A108" t="inlineStr">
        <is>
          <t>stock</t>
        </is>
      </c>
      <c r="B108" t="inlineStr">
        <is>
          <t>total, 5. 5 remain, worth 3 shilling each, in the hands of the said farmer, to be restored and handed back at the end of his farm or the value of the same at the lord's will.</t>
        </is>
      </c>
      <c r="C108" t="n">
        <v>0.15</v>
      </c>
      <c r="D108" t="n">
        <v>0</v>
      </c>
      <c r="E108" t="n">
        <v>3</v>
      </c>
      <c r="F108" t="n">
        <v>0</v>
      </c>
      <c r="H108" t="n">
        <v>0</v>
      </c>
      <c r="I108" t="n">
        <v>0</v>
      </c>
      <c r="J108" t="n">
        <v>0</v>
      </c>
      <c r="K108" t="n">
        <v>0</v>
      </c>
      <c r="L108" t="n">
        <v>0</v>
      </c>
      <c r="M108" t="n">
        <v>0</v>
      </c>
      <c r="N108" t="n">
        <v>0</v>
      </c>
    </row>
    <row r="109">
      <c r="A109" t="inlineStr">
        <is>
          <t>stock</t>
        </is>
      </c>
      <c r="B109" t="inlineStr">
        <is>
          <t>rams: 8 remain, worth 1 shilling 4pence each, in the hands of the said farmer, to be restored and handed back at the end of his farm or the value of the same at the lord's will.</t>
        </is>
      </c>
      <c r="C109" t="n">
        <v>0.07000000000000001</v>
      </c>
      <c r="D109" t="n">
        <v>0</v>
      </c>
      <c r="E109" t="n">
        <v>1</v>
      </c>
      <c r="F109" t="n">
        <v>4</v>
      </c>
      <c r="H109" t="n">
        <v>0</v>
      </c>
      <c r="I109" t="n">
        <v>0</v>
      </c>
      <c r="J109" t="n">
        <v>0</v>
      </c>
      <c r="K109" t="n">
        <v>0</v>
      </c>
      <c r="L109" t="n">
        <v>0</v>
      </c>
      <c r="M109" t="n">
        <v>0</v>
      </c>
      <c r="N109" t="n">
        <v>0</v>
      </c>
    </row>
    <row r="110">
      <c r="A110" t="inlineStr">
        <is>
          <t>stock</t>
        </is>
      </c>
      <c r="B110" t="inlineStr">
        <is>
          <t>ewes: 313 remain.</t>
        </is>
      </c>
      <c r="C110" t="n">
        <v>0</v>
      </c>
      <c r="D110" t="n">
        <v>0</v>
      </c>
      <c r="E110" t="n">
        <v>0</v>
      </c>
      <c r="F110" t="n">
        <v>0</v>
      </c>
      <c r="H110" t="n">
        <v>0</v>
      </c>
      <c r="I110" t="n">
        <v>0</v>
      </c>
      <c r="J110" t="n">
        <v>0</v>
      </c>
      <c r="K110" t="n">
        <v>0</v>
      </c>
      <c r="L110" t="n">
        <v>0</v>
      </c>
      <c r="M110" t="n">
        <v>0</v>
      </c>
      <c r="N110" t="n">
        <v>0</v>
      </c>
    </row>
    <row r="111">
      <c r="A111" t="inlineStr">
        <is>
          <t>stock</t>
        </is>
      </c>
      <c r="B111" t="inlineStr">
        <is>
          <t>55 bought.</t>
        </is>
      </c>
      <c r="C111" t="n">
        <v>0</v>
      </c>
      <c r="D111" t="n">
        <v>0</v>
      </c>
      <c r="E111" t="n">
        <v>0</v>
      </c>
      <c r="F111" t="n">
        <v>0</v>
      </c>
      <c r="H111" t="n">
        <v>0</v>
      </c>
      <c r="I111" t="n">
        <v>0</v>
      </c>
      <c r="J111" t="n">
        <v>0</v>
      </c>
      <c r="K111" t="n">
        <v>0</v>
      </c>
      <c r="L111" t="n">
        <v>0</v>
      </c>
      <c r="M111" t="n">
        <v>0</v>
      </c>
      <c r="N111" t="n">
        <v>0</v>
      </c>
    </row>
    <row r="112">
      <c r="A112" t="inlineStr">
        <is>
          <t>stock</t>
        </is>
      </c>
      <c r="B112" t="inlineStr">
        <is>
          <t>total, 368. 55 in murrain before lambing and shearing.</t>
        </is>
      </c>
      <c r="C112" t="n">
        <v>0</v>
      </c>
      <c r="D112" t="n">
        <v>0</v>
      </c>
      <c r="E112" t="n">
        <v>0</v>
      </c>
      <c r="F112" t="n">
        <v>0</v>
      </c>
      <c r="H112" t="n">
        <v>0</v>
      </c>
      <c r="I112" t="n">
        <v>0</v>
      </c>
      <c r="J112" t="n">
        <v>0</v>
      </c>
      <c r="K112" t="n">
        <v>0</v>
      </c>
      <c r="L112" t="n">
        <v>0</v>
      </c>
      <c r="M112" t="n">
        <v>0</v>
      </c>
      <c r="N112" t="n">
        <v>0</v>
      </c>
    </row>
    <row r="113">
      <c r="A113" t="inlineStr">
        <is>
          <t>stock</t>
        </is>
      </c>
      <c r="B113" t="inlineStr">
        <is>
          <t>313 remain, worth 1 shilling 4pence each, in the hands of the said farmer, to be restored and handed back at the end of his farm or the value of the same at the lord's will.</t>
        </is>
      </c>
      <c r="C113" t="n">
        <v>0.07000000000000001</v>
      </c>
      <c r="D113" t="n">
        <v>0</v>
      </c>
      <c r="E113" t="n">
        <v>1</v>
      </c>
      <c r="F113" t="n">
        <v>4</v>
      </c>
      <c r="H113" t="n">
        <v>0</v>
      </c>
      <c r="I113" t="n">
        <v>0</v>
      </c>
      <c r="J113" t="n">
        <v>0</v>
      </c>
      <c r="K113" t="n">
        <v>0</v>
      </c>
      <c r="L113" t="n">
        <v>0</v>
      </c>
      <c r="M113" t="n">
        <v>0</v>
      </c>
      <c r="N113" t="n">
        <v>0</v>
      </c>
    </row>
    <row r="114">
      <c r="A114" t="inlineStr">
        <is>
          <t>stock</t>
        </is>
      </c>
      <c r="B114" t="inlineStr">
        <is>
          <t>lambs: 84 remain.</t>
        </is>
      </c>
      <c r="C114" t="n">
        <v>0</v>
      </c>
      <c r="D114" t="n">
        <v>0</v>
      </c>
      <c r="E114" t="n">
        <v>0</v>
      </c>
      <c r="F114" t="n">
        <v>0</v>
      </c>
      <c r="H114" t="n">
        <v>0</v>
      </c>
      <c r="I114" t="n">
        <v>0</v>
      </c>
      <c r="J114" t="n">
        <v>0</v>
      </c>
      <c r="K114" t="n">
        <v>0</v>
      </c>
      <c r="L114" t="n">
        <v>0</v>
      </c>
      <c r="M114" t="n">
        <v>0</v>
      </c>
      <c r="N114" t="n">
        <v>0</v>
      </c>
    </row>
    <row r="115">
      <c r="A115" t="inlineStr">
        <is>
          <t>stock</t>
        </is>
      </c>
      <c r="B115" t="inlineStr">
        <is>
          <t>total, 84. 84 remain, worth 10pence each, in the hands of the said farmer, to be restored and handed back at the end of his farm or the value of the same at the lord's will.</t>
        </is>
      </c>
      <c r="C115" t="n">
        <v>0.04</v>
      </c>
      <c r="D115" t="n">
        <v>0</v>
      </c>
      <c r="E115" t="n">
        <v>0</v>
      </c>
      <c r="F115" t="n">
        <v>10</v>
      </c>
      <c r="H115" t="n">
        <v>0</v>
      </c>
      <c r="I115" t="n">
        <v>0</v>
      </c>
      <c r="J115" t="n">
        <v>0</v>
      </c>
      <c r="K115" t="n">
        <v>0</v>
      </c>
      <c r="L115" t="n">
        <v>0</v>
      </c>
      <c r="M115" t="n">
        <v>0</v>
      </c>
      <c r="N115" t="n">
        <v>0</v>
      </c>
    </row>
    <row r="116">
      <c r="A116" t="inlineStr">
        <is>
          <t>stock</t>
        </is>
      </c>
      <c r="B116" t="inlineStr">
        <is>
          <t>boars: 1 remains, worth 4 shilling, in the hands of the said farmer, to be restored and handed back at the end of his farm or the value of the same at the lord's will.</t>
        </is>
      </c>
      <c r="C116" t="n">
        <v>0.2</v>
      </c>
      <c r="D116" t="n">
        <v>0</v>
      </c>
      <c r="E116" t="n">
        <v>4</v>
      </c>
      <c r="F116" t="n">
        <v>0</v>
      </c>
      <c r="H116" t="n">
        <v>0</v>
      </c>
      <c r="I116" t="n">
        <v>0</v>
      </c>
      <c r="J116" t="n">
        <v>0</v>
      </c>
      <c r="K116" t="n">
        <v>0</v>
      </c>
      <c r="L116" t="n">
        <v>0</v>
      </c>
      <c r="M116" t="n">
        <v>0</v>
      </c>
      <c r="N116" t="n">
        <v>0</v>
      </c>
    </row>
    <row r="117">
      <c r="A117" t="inlineStr">
        <is>
          <t>stock</t>
        </is>
      </c>
      <c r="B117" t="inlineStr">
        <is>
          <t>sows: 3 remain.</t>
        </is>
      </c>
      <c r="C117" t="n">
        <v>0</v>
      </c>
      <c r="D117" t="n">
        <v>0</v>
      </c>
      <c r="E117" t="n">
        <v>0</v>
      </c>
      <c r="F117" t="n">
        <v>0</v>
      </c>
      <c r="H117" t="n">
        <v>0</v>
      </c>
      <c r="I117" t="n">
        <v>0</v>
      </c>
      <c r="J117" t="n">
        <v>0</v>
      </c>
      <c r="K117" t="n">
        <v>0</v>
      </c>
      <c r="L117" t="n">
        <v>0</v>
      </c>
      <c r="M117" t="n">
        <v>0</v>
      </c>
      <c r="N117" t="n">
        <v>0</v>
      </c>
    </row>
    <row r="118">
      <c r="A118" t="inlineStr">
        <is>
          <t>stock</t>
        </is>
      </c>
      <c r="B118" t="inlineStr">
        <is>
          <t>total, 3. 3 remain, worth 2 shilling 6pence each, in the hands of the said farmer, to be restored and handed back at the end of his farm or the value of the same at the lord's will.</t>
        </is>
      </c>
      <c r="C118" t="n">
        <v>0.12</v>
      </c>
      <c r="D118" t="n">
        <v>0</v>
      </c>
      <c r="E118" t="n">
        <v>2</v>
      </c>
      <c r="F118" t="n">
        <v>6</v>
      </c>
      <c r="H118" t="n">
        <v>0</v>
      </c>
      <c r="I118" t="n">
        <v>0</v>
      </c>
      <c r="J118" t="n">
        <v>0</v>
      </c>
      <c r="K118" t="n">
        <v>0</v>
      </c>
      <c r="L118" t="n">
        <v>0</v>
      </c>
      <c r="M118" t="n">
        <v>0</v>
      </c>
      <c r="N118" t="n">
        <v>0</v>
      </c>
    </row>
    <row r="119">
      <c r="A119" t="inlineStr">
        <is>
          <t>stock</t>
        </is>
      </c>
      <c r="B119" t="inlineStr">
        <is>
          <t>pigs: 29 remain.</t>
        </is>
      </c>
      <c r="C119" t="n">
        <v>0</v>
      </c>
      <c r="D119" t="n">
        <v>0</v>
      </c>
      <c r="E119" t="n">
        <v>0</v>
      </c>
      <c r="F119" t="n">
        <v>0</v>
      </c>
      <c r="H119" t="n">
        <v>0</v>
      </c>
      <c r="I119" t="n">
        <v>0</v>
      </c>
      <c r="J119" t="n">
        <v>0</v>
      </c>
      <c r="K119" t="n">
        <v>0</v>
      </c>
      <c r="L119" t="n">
        <v>0</v>
      </c>
      <c r="M119" t="n">
        <v>0</v>
      </c>
      <c r="N119" t="n">
        <v>0</v>
      </c>
    </row>
    <row r="120">
      <c r="A120" t="inlineStr">
        <is>
          <t>stock</t>
        </is>
      </c>
      <c r="B120" t="inlineStr">
        <is>
          <t>total, 29. 29 remain, worth 1 shilling 8pence each, in the hands of the said farmer, to be restored and handed back at the end of his farm or the value of the same at the lord's will.</t>
        </is>
      </c>
      <c r="C120" t="n">
        <v>0.08</v>
      </c>
      <c r="D120" t="n">
        <v>0</v>
      </c>
      <c r="E120" t="n">
        <v>1</v>
      </c>
      <c r="F120" t="n">
        <v>8</v>
      </c>
      <c r="H120" t="n">
        <v>0</v>
      </c>
      <c r="I120" t="n">
        <v>0</v>
      </c>
      <c r="J120" t="n">
        <v>0</v>
      </c>
      <c r="K120" t="n">
        <v>0</v>
      </c>
      <c r="L120" t="n">
        <v>0</v>
      </c>
      <c r="M120" t="n">
        <v>0</v>
      </c>
      <c r="N120" t="n">
        <v>0</v>
      </c>
    </row>
    <row r="121">
      <c r="A121" t="inlineStr">
        <is>
          <t>stock</t>
        </is>
      </c>
      <c r="B121" t="inlineStr">
        <is>
          <t>hoggets: 32 remain.</t>
        </is>
      </c>
      <c r="C121" t="n">
        <v>0</v>
      </c>
      <c r="D121" t="n">
        <v>0</v>
      </c>
      <c r="E121" t="n">
        <v>0</v>
      </c>
      <c r="F121" t="n">
        <v>0</v>
      </c>
      <c r="H121" t="n">
        <v>0</v>
      </c>
      <c r="I121" t="n">
        <v>0</v>
      </c>
      <c r="J121" t="n">
        <v>0</v>
      </c>
      <c r="K121" t="n">
        <v>0</v>
      </c>
      <c r="L121" t="n">
        <v>0</v>
      </c>
      <c r="M121" t="n">
        <v>0</v>
      </c>
      <c r="N121" t="n">
        <v>0</v>
      </c>
    </row>
    <row r="122">
      <c r="A122" t="inlineStr">
        <is>
          <t>stock</t>
        </is>
      </c>
      <c r="B122" t="inlineStr">
        <is>
          <t>total, 32. 32 remain, worth 10pence each, in the hands of the said farmer, to be restored and handed back as before.</t>
        </is>
      </c>
      <c r="C122" t="n">
        <v>0.04</v>
      </c>
      <c r="D122" t="n">
        <v>0</v>
      </c>
      <c r="E122" t="n">
        <v>0</v>
      </c>
      <c r="F122" t="n">
        <v>10</v>
      </c>
      <c r="H122" t="n">
        <v>0</v>
      </c>
      <c r="I122" t="n">
        <v>0</v>
      </c>
      <c r="J122" t="n">
        <v>0</v>
      </c>
      <c r="K122" t="n">
        <v>0</v>
      </c>
      <c r="L122" t="n">
        <v>0</v>
      </c>
      <c r="M122" t="n">
        <v>0</v>
      </c>
      <c r="N122" t="n">
        <v>0</v>
      </c>
    </row>
    <row r="123">
      <c r="A123" t="inlineStr">
        <is>
          <t>stock</t>
        </is>
      </c>
      <c r="B123" t="inlineStr">
        <is>
          <t>piglets: 13 remain.</t>
        </is>
      </c>
      <c r="C123" t="n">
        <v>0</v>
      </c>
      <c r="D123" t="n">
        <v>0</v>
      </c>
      <c r="E123" t="n">
        <v>0</v>
      </c>
      <c r="F123" t="n">
        <v>0</v>
      </c>
      <c r="H123" t="n">
        <v>0</v>
      </c>
      <c r="I123" t="n">
        <v>0</v>
      </c>
      <c r="J123" t="n">
        <v>0</v>
      </c>
      <c r="K123" t="n">
        <v>0</v>
      </c>
      <c r="L123" t="n">
        <v>0</v>
      </c>
      <c r="M123" t="n">
        <v>0</v>
      </c>
      <c r="N123" t="n">
        <v>0</v>
      </c>
    </row>
    <row r="124">
      <c r="A124" t="inlineStr">
        <is>
          <t>stock</t>
        </is>
      </c>
      <c r="B124" t="inlineStr">
        <is>
          <t>total, 13. 13 remain, worth 4pence each, in the hands of the said farmer, to be restored and handed back as before.</t>
        </is>
      </c>
      <c r="C124" t="n">
        <v>0.02</v>
      </c>
      <c r="D124" t="n">
        <v>0</v>
      </c>
      <c r="E124" t="n">
        <v>0</v>
      </c>
      <c r="F124" t="n">
        <v>4</v>
      </c>
      <c r="H124" t="n">
        <v>0</v>
      </c>
      <c r="I124" t="n">
        <v>0</v>
      </c>
      <c r="J124" t="n">
        <v>0</v>
      </c>
      <c r="K124" t="n">
        <v>0</v>
      </c>
      <c r="L124" t="n">
        <v>0</v>
      </c>
      <c r="M124" t="n">
        <v>0</v>
      </c>
      <c r="N124" t="n">
        <v>0</v>
      </c>
    </row>
    <row r="125">
      <c r="A125" t="inlineStr">
        <is>
          <t>stock</t>
        </is>
      </c>
      <c r="B125" t="inlineStr">
        <is>
          <t>woolskins: 55 from ewes in murrain before shearing as made clear above.</t>
        </is>
      </c>
      <c r="C125" t="n">
        <v>0</v>
      </c>
      <c r="D125" t="n">
        <v>0</v>
      </c>
      <c r="E125" t="n">
        <v>0</v>
      </c>
      <c r="F125" t="n">
        <v>0</v>
      </c>
      <c r="H125" t="n">
        <v>0</v>
      </c>
      <c r="I125" t="n">
        <v>0</v>
      </c>
      <c r="J125" t="n">
        <v>0</v>
      </c>
      <c r="K125" t="n">
        <v>0</v>
      </c>
      <c r="L125" t="n">
        <v>0</v>
      </c>
      <c r="M125" t="n">
        <v>0</v>
      </c>
      <c r="N125" t="n">
        <v>0</v>
      </c>
    </row>
    <row r="126">
      <c r="A126" t="inlineStr">
        <is>
          <t>stock</t>
        </is>
      </c>
      <c r="B126" t="inlineStr">
        <is>
          <t>total, 55. 5 in tithe.</t>
        </is>
      </c>
      <c r="C126" t="n">
        <v>0</v>
      </c>
      <c r="D126" t="n">
        <v>0</v>
      </c>
      <c r="E126" t="n">
        <v>0</v>
      </c>
      <c r="F126" t="n">
        <v>0</v>
      </c>
      <c r="H126" t="n">
        <v>0</v>
      </c>
      <c r="I126" t="n">
        <v>0</v>
      </c>
      <c r="J126" t="n">
        <v>0</v>
      </c>
      <c r="K126" t="n">
        <v>0</v>
      </c>
      <c r="L126" t="n">
        <v>0</v>
      </c>
      <c r="M126" t="n">
        <v>0</v>
      </c>
      <c r="N126" t="n">
        <v>0</v>
      </c>
    </row>
    <row r="127">
      <c r="A127" t="inlineStr">
        <is>
          <t>stock</t>
        </is>
      </c>
      <c r="B127" t="inlineStr">
        <is>
          <t>50 sold within.</t>
        </is>
      </c>
      <c r="C127" t="n">
        <v>0</v>
      </c>
      <c r="D127" t="n">
        <v>0</v>
      </c>
      <c r="E127" t="n">
        <v>0</v>
      </c>
      <c r="F127" t="n">
        <v>0</v>
      </c>
      <c r="H127" t="n">
        <v>0</v>
      </c>
      <c r="I127" t="n">
        <v>0</v>
      </c>
      <c r="J127" t="n">
        <v>0</v>
      </c>
      <c r="K127" t="n">
        <v>0</v>
      </c>
      <c r="L127" t="n">
        <v>0</v>
      </c>
      <c r="M127" t="n">
        <v>0</v>
      </c>
      <c r="N127" t="n">
        <v>0</v>
      </c>
    </row>
    <row r="128">
      <c r="A128" t="inlineStr">
        <is>
          <t>stock</t>
        </is>
      </c>
      <c r="B128" t="inlineStr">
        <is>
          <t>total as before.</t>
        </is>
      </c>
      <c r="C128" t="n">
        <v>0</v>
      </c>
      <c r="D128" t="n">
        <v>0</v>
      </c>
      <c r="E128" t="n">
        <v>0</v>
      </c>
      <c r="F128" t="n">
        <v>0</v>
      </c>
      <c r="H128" t="n">
        <v>0</v>
      </c>
      <c r="I128" t="n">
        <v>0</v>
      </c>
      <c r="J128" t="n">
        <v>0</v>
      </c>
      <c r="K128" t="n">
        <v>0</v>
      </c>
      <c r="L128" t="n">
        <v>0</v>
      </c>
      <c r="M128" t="n">
        <v>0</v>
      </c>
      <c r="N128" t="n">
        <v>0</v>
      </c>
    </row>
    <row r="129">
      <c r="A129" t="inlineStr">
        <is>
          <t>stock</t>
        </is>
      </c>
      <c r="B129" t="inlineStr">
        <is>
          <t>none remain.</t>
        </is>
      </c>
      <c r="C129" t="n">
        <v>0</v>
      </c>
      <c r="D129" t="n">
        <v>0</v>
      </c>
      <c r="E129" t="n">
        <v>0</v>
      </c>
      <c r="F129" t="n">
        <v>0</v>
      </c>
      <c r="H129" t="n">
        <v>0</v>
      </c>
      <c r="I129" t="n">
        <v>0</v>
      </c>
      <c r="J129" t="n">
        <v>0</v>
      </c>
      <c r="K129" t="n">
        <v>0</v>
      </c>
      <c r="L129" t="n">
        <v>0</v>
      </c>
      <c r="M129" t="n">
        <v>0</v>
      </c>
      <c r="N129" t="n">
        <v>0</v>
      </c>
    </row>
    <row r="130">
      <c r="A130" t="inlineStr">
        <is>
          <t>stock</t>
        </is>
      </c>
      <c r="B130" t="inlineStr">
        <is>
          <t>geese: 1 gander, 4 breeding geese and 22 of their offspring remain, of which the gander and 4 geese are worth 6pence each and the 22 goslings 1.5pence each, in the hands of the said farmer, to be restored as before.</t>
        </is>
      </c>
      <c r="C130" t="n">
        <v>0.03</v>
      </c>
      <c r="D130" t="n">
        <v>0</v>
      </c>
      <c r="E130" t="n">
        <v>0</v>
      </c>
      <c r="F130" t="n">
        <v>6</v>
      </c>
      <c r="H130" t="n">
        <v>0</v>
      </c>
      <c r="I130" t="n">
        <v>0</v>
      </c>
      <c r="J130" t="n">
        <v>0</v>
      </c>
      <c r="K130" t="n">
        <v>0</v>
      </c>
      <c r="L130" t="n">
        <v>0</v>
      </c>
      <c r="M130" t="n">
        <v>0</v>
      </c>
      <c r="N130" t="n">
        <v>0</v>
      </c>
    </row>
    <row r="131">
      <c r="A131" t="inlineStr">
        <is>
          <t>stock</t>
        </is>
      </c>
      <c r="B131" t="inlineStr">
        <is>
          <t>cocks and hens: 1 cock and 5 hens remain.</t>
        </is>
      </c>
      <c r="C131" t="n">
        <v>0</v>
      </c>
      <c r="D131" t="n">
        <v>0</v>
      </c>
      <c r="E131" t="n">
        <v>0</v>
      </c>
      <c r="F131" t="n">
        <v>0</v>
      </c>
      <c r="H131" t="n">
        <v>0</v>
      </c>
      <c r="I131" t="n">
        <v>0</v>
      </c>
      <c r="J131" t="n">
        <v>0</v>
      </c>
      <c r="K131" t="n">
        <v>0</v>
      </c>
      <c r="L131" t="n">
        <v>0</v>
      </c>
      <c r="M131" t="n">
        <v>0</v>
      </c>
      <c r="N131" t="n">
        <v>0</v>
      </c>
    </row>
    <row r="132">
      <c r="A132" t="inlineStr">
        <is>
          <t>stock</t>
        </is>
      </c>
      <c r="B132" t="inlineStr">
        <is>
          <t>total, 6. 1 cock and 5 hens remain, worth 2pence each, in the hands of the said farmer, to be restored as before.</t>
        </is>
      </c>
      <c r="C132" t="n">
        <v>0.01</v>
      </c>
      <c r="D132" t="n">
        <v>0</v>
      </c>
      <c r="E132" t="n">
        <v>0</v>
      </c>
      <c r="F132" t="n">
        <v>2</v>
      </c>
      <c r="H132" t="n">
        <v>0</v>
      </c>
      <c r="I132" t="n">
        <v>0</v>
      </c>
      <c r="J132" t="n">
        <v>0</v>
      </c>
      <c r="K132" t="n">
        <v>0</v>
      </c>
      <c r="L132" t="n">
        <v>0</v>
      </c>
      <c r="M132" t="n">
        <v>0</v>
      </c>
      <c r="N132" t="n">
        <v>0</v>
      </c>
    </row>
    <row r="133">
      <c r="A133" t="inlineStr">
        <is>
          <t>stock</t>
        </is>
      </c>
      <c r="B133" t="inlineStr">
        <is>
          <t>utensils: 3 ploughs with 3 coulters, 3 ploughshares, 3 iron plough shoes and all other equipment for 18 plough-horses, with 3 wooden harrows.</t>
        </is>
      </c>
      <c r="C133" t="n">
        <v>0</v>
      </c>
      <c r="D133" t="n">
        <v>0</v>
      </c>
      <c r="E133" t="n">
        <v>0</v>
      </c>
      <c r="F133" t="n">
        <v>0</v>
      </c>
      <c r="H133" t="n">
        <v>0</v>
      </c>
      <c r="I133" t="n">
        <v>0</v>
      </c>
      <c r="J133" t="n">
        <v>0</v>
      </c>
      <c r="K133" t="n">
        <v>0</v>
      </c>
      <c r="L133" t="n">
        <v>0</v>
      </c>
      <c r="M133" t="n">
        <v>0</v>
      </c>
      <c r="N133" t="n">
        <v>0</v>
      </c>
    </row>
    <row r="134">
      <c r="A134" t="inlineStr">
        <is>
          <t>stock</t>
        </is>
      </c>
      <c r="B134" t="inlineStr">
        <is>
          <t>2 carts, 1 of them with iron tyres, with 2 frames, 2 cart-rails, 4 linch-pins and 1 tumbrel remain.</t>
        </is>
      </c>
      <c r="C134" t="n">
        <v>0</v>
      </c>
      <c r="D134" t="n">
        <v>0</v>
      </c>
      <c r="E134" t="n">
        <v>0</v>
      </c>
      <c r="F134" t="n">
        <v>0</v>
      </c>
      <c r="H134" t="n">
        <v>0</v>
      </c>
      <c r="I134" t="n">
        <v>0</v>
      </c>
      <c r="J134" t="n">
        <v>0</v>
      </c>
      <c r="K134" t="n">
        <v>0</v>
      </c>
      <c r="L134" t="n">
        <v>0</v>
      </c>
      <c r="M134" t="n">
        <v>0</v>
      </c>
      <c r="N134" t="n">
        <v>0</v>
      </c>
    </row>
    <row r="135">
      <c r="A135" t="inlineStr">
        <is>
          <t>stock</t>
        </is>
      </c>
      <c r="B135" t="inlineStr">
        <is>
          <t>4 collars, 3 pairs of traces, 1 thill hame (thilhame), 2 cart-ropes and 2 cart-saddles with saddle-pads remain.</t>
        </is>
      </c>
      <c r="C135" t="n">
        <v>0</v>
      </c>
      <c r="D135" t="n">
        <v>0</v>
      </c>
      <c r="E135" t="n">
        <v>0</v>
      </c>
      <c r="F135" t="n">
        <v>0</v>
      </c>
      <c r="H135" t="n">
        <v>0</v>
      </c>
      <c r="I135" t="n">
        <v>0</v>
      </c>
      <c r="J135" t="n">
        <v>0</v>
      </c>
      <c r="K135" t="n">
        <v>0</v>
      </c>
      <c r="L135" t="n">
        <v>0</v>
      </c>
      <c r="M135" t="n">
        <v>0</v>
      </c>
      <c r="N135" t="n">
        <v>0</v>
      </c>
    </row>
    <row r="136">
      <c r="A136" t="inlineStr">
        <is>
          <t>stock</t>
        </is>
      </c>
      <c r="B136" t="inlineStr">
        <is>
          <t>2 brass pots, 1 posnet with 1 tripod, 2 brass pans and 1 basin with a ewer remain.</t>
        </is>
      </c>
      <c r="C136" t="n">
        <v>0</v>
      </c>
      <c r="D136" t="n">
        <v>0</v>
      </c>
      <c r="E136" t="n">
        <v>0</v>
      </c>
      <c r="F136" t="n">
        <v>0</v>
      </c>
      <c r="H136" t="n">
        <v>0</v>
      </c>
      <c r="I136" t="n">
        <v>0</v>
      </c>
      <c r="J136" t="n">
        <v>0</v>
      </c>
      <c r="K136" t="n">
        <v>0</v>
      </c>
      <c r="L136" t="n">
        <v>0</v>
      </c>
      <c r="M136" t="n">
        <v>0</v>
      </c>
      <c r="N136" t="n">
        <v>0</v>
      </c>
    </row>
    <row r="137">
      <c r="A137" t="inlineStr">
        <is>
          <t>stock</t>
        </is>
      </c>
      <c r="B137" t="inlineStr">
        <is>
          <t>1 canvas winnowing-fan, 2 sacks, 2 sieves, 2 riddles, 1 basket for carrying corn, 2 dung-forks and 1 fork for sheaves remain.</t>
        </is>
      </c>
      <c r="C137" t="n">
        <v>0</v>
      </c>
      <c r="D137" t="n">
        <v>0</v>
      </c>
      <c r="E137" t="n">
        <v>0</v>
      </c>
      <c r="F137" t="n">
        <v>0</v>
      </c>
      <c r="H137" t="n">
        <v>0</v>
      </c>
      <c r="I137" t="n">
        <v>0</v>
      </c>
      <c r="J137" t="n">
        <v>0</v>
      </c>
      <c r="K137" t="n">
        <v>0</v>
      </c>
      <c r="L137" t="n">
        <v>0</v>
      </c>
      <c r="M137" t="n">
        <v>0</v>
      </c>
      <c r="N137" t="n">
        <v>0</v>
      </c>
    </row>
    <row r="138">
      <c r="A138" t="inlineStr">
        <is>
          <t>stock</t>
        </is>
      </c>
      <c r="B138" t="inlineStr">
        <is>
          <t>2 pails, 2 fodder-racks for grazing cattle, 2 troughs and 4 locks with keys and chains for keeping the horses and plough-horses safe remain.</t>
        </is>
      </c>
      <c r="C138" t="n">
        <v>0</v>
      </c>
      <c r="D138" t="n">
        <v>0</v>
      </c>
      <c r="E138" t="n">
        <v>0</v>
      </c>
      <c r="F138" t="n">
        <v>0</v>
      </c>
      <c r="H138" t="n">
        <v>0</v>
      </c>
      <c r="I138" t="n">
        <v>0</v>
      </c>
      <c r="J138" t="n">
        <v>0</v>
      </c>
      <c r="K138" t="n">
        <v>0</v>
      </c>
      <c r="L138" t="n">
        <v>0</v>
      </c>
      <c r="M138" t="n">
        <v>0</v>
      </c>
      <c r="N138" t="n">
        <v>0</v>
      </c>
    </row>
    <row r="139">
      <c r="A139" t="inlineStr">
        <is>
          <t>stock</t>
        </is>
      </c>
      <c r="B139" t="inlineStr">
        <is>
          <t>total as made clear.</t>
        </is>
      </c>
      <c r="C139" t="n">
        <v>0</v>
      </c>
      <c r="D139" t="n">
        <v>0</v>
      </c>
      <c r="E139" t="n">
        <v>0</v>
      </c>
      <c r="F139" t="n">
        <v>0</v>
      </c>
      <c r="H139" t="n">
        <v>0</v>
      </c>
      <c r="I139" t="n">
        <v>0</v>
      </c>
      <c r="J139" t="n">
        <v>0</v>
      </c>
      <c r="K139" t="n">
        <v>0</v>
      </c>
      <c r="L139" t="n">
        <v>0</v>
      </c>
      <c r="M139" t="n">
        <v>0</v>
      </c>
      <c r="N139" t="n">
        <v>0</v>
      </c>
    </row>
    <row r="140">
      <c r="A140" t="inlineStr">
        <is>
          <t>stock</t>
        </is>
      </c>
      <c r="B140" t="inlineStr">
        <is>
          <t>the aforesaid william lythewey, farmer there, is to hand back and restore that same stock, both live and dead, at the end of his term in as good condition as he received it.</t>
        </is>
      </c>
      <c r="C140" t="n">
        <v>0</v>
      </c>
      <c r="D140" t="n">
        <v>0</v>
      </c>
      <c r="E140" t="n">
        <v>0</v>
      </c>
      <c r="F140" t="n">
        <v>0</v>
      </c>
      <c r="H140" t="n">
        <v>0</v>
      </c>
      <c r="I140" t="n">
        <v>0</v>
      </c>
      <c r="J140" t="n">
        <v>0</v>
      </c>
      <c r="K140" t="n">
        <v>0</v>
      </c>
      <c r="L140" t="n">
        <v>0</v>
      </c>
      <c r="M140" t="n">
        <v>0</v>
      </c>
      <c r="N140"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48"/>
  <sheetViews>
    <sheetView topLeftCell="A1" workbookViewId="0">
      <selection activeCell="A1" sqref="A1"/>
    </sheetView>
  </sheetViews>
  <sheetFormatPr baseColWidth="8" defaultRowHeight="15"/>
  <sheetData>
    <row r="1">
      <c r="A1" t="inlineStr">
        <is>
          <t>Heading</t>
        </is>
      </c>
      <c r="B1" t="inlineStr">
        <is>
          <t>Sentence</t>
        </is>
      </c>
      <c r="C1" t="inlineStr">
        <is>
          <t>Quarters 1</t>
        </is>
      </c>
      <c r="D1" t="inlineStr">
        <is>
          <t>Bushels 1</t>
        </is>
      </c>
      <c r="E1" t="inlineStr">
        <is>
          <t>stock</t>
        </is>
      </c>
      <c r="F1" t="inlineStr">
        <is>
          <t>inherited stock</t>
        </is>
      </c>
      <c r="G1" t="inlineStr">
        <is>
          <t>added</t>
        </is>
      </c>
      <c r="H1" t="inlineStr">
        <is>
          <t>murrain</t>
        </is>
      </c>
      <c r="I1" t="inlineStr">
        <is>
          <t>sold</t>
        </is>
      </c>
    </row>
    <row r="2">
      <c r="A2" t="inlineStr">
        <is>
          <t>Oats</t>
        </is>
      </c>
      <c r="B2" t="inlineStr">
        <is>
          <t>Total</t>
        </is>
      </c>
      <c r="C2" t="n">
        <v>0</v>
      </c>
      <c r="D2" t="n">
        <v>0</v>
      </c>
    </row>
    <row r="3">
      <c r="A3" t="inlineStr">
        <is>
          <t>Stock</t>
        </is>
      </c>
      <c r="B3" t="inlineStr">
        <is>
          <t>Horses: 4 remain.</t>
        </is>
      </c>
      <c r="C3" t="n">
        <v>0</v>
      </c>
      <c r="D3" t="n">
        <v>0</v>
      </c>
      <c r="F3" t="inlineStr">
        <is>
          <t>4</t>
        </is>
      </c>
    </row>
    <row r="4">
      <c r="A4" t="inlineStr">
        <is>
          <t>Stock</t>
        </is>
      </c>
      <c r="B4" t="inlineStr">
        <is>
          <t>Total, 4. 4 cart-horses remain, worth 14 shilling each, in the hands of the said farmer, to be restored at the end of his farm or the value of the same at the lord's will as before.</t>
        </is>
      </c>
      <c r="C4" t="n">
        <v>0</v>
      </c>
      <c r="D4" t="n">
        <v>0</v>
      </c>
    </row>
    <row r="5">
      <c r="A5" t="inlineStr">
        <is>
          <t>Stock</t>
        </is>
      </c>
      <c r="B5" t="inlineStr">
        <is>
          <t>Plough-horses: 12 remain.</t>
        </is>
      </c>
      <c r="C5" t="n">
        <v>0</v>
      </c>
      <c r="D5" t="n">
        <v>0</v>
      </c>
      <c r="E5" t="inlineStr">
        <is>
          <t>Plough-horses</t>
        </is>
      </c>
      <c r="F5" t="inlineStr">
        <is>
          <t>12</t>
        </is>
      </c>
    </row>
    <row r="6">
      <c r="A6" t="inlineStr">
        <is>
          <t>Stock</t>
        </is>
      </c>
      <c r="B6" t="inlineStr">
        <is>
          <t>Total, 12. 12 remain, of which 6 are worth 8 shilling each and 6 worth 6 shilling each, in the hands of the said fanner, to be restored at the end of his farm or the value of the same at the lord's will.</t>
        </is>
      </c>
      <c r="C6" t="n">
        <v>0</v>
      </c>
      <c r="D6" t="n">
        <v>0</v>
      </c>
      <c r="E6" t="inlineStr">
        <is>
          <t>Plough-horses</t>
        </is>
      </c>
    </row>
    <row r="7">
      <c r="A7" t="inlineStr">
        <is>
          <t>Stock</t>
        </is>
      </c>
      <c r="B7" t="inlineStr">
        <is>
          <t>Bulls: 1 remains, worth 9 shilling, in the hands of the said fanner, to be restored and handed back at the end of his farm or the value of the same at the lord's will.</t>
        </is>
      </c>
      <c r="C7" t="n">
        <v>0</v>
      </c>
      <c r="D7" t="n">
        <v>0</v>
      </c>
      <c r="E7" t="inlineStr">
        <is>
          <t>Bulls</t>
        </is>
      </c>
    </row>
    <row r="8">
      <c r="A8" t="inlineStr">
        <is>
          <t>Stock</t>
        </is>
      </c>
      <c r="B8" t="inlineStr">
        <is>
          <t>Cows: 31 remain.</t>
        </is>
      </c>
      <c r="C8" t="n">
        <v>0</v>
      </c>
      <c r="D8" t="n">
        <v>0</v>
      </c>
      <c r="E8" t="inlineStr">
        <is>
          <t>Cows</t>
        </is>
      </c>
      <c r="F8" t="inlineStr">
        <is>
          <t>31</t>
        </is>
      </c>
    </row>
    <row r="9">
      <c r="A9" t="inlineStr">
        <is>
          <t>Stock</t>
        </is>
      </c>
      <c r="B9" t="inlineStr">
        <is>
          <t>Total, 31, worth 9 shilling each, in the hands.of the said farmer, to be restored and handed back at the end of his farm as before.</t>
        </is>
      </c>
      <c r="C9" t="n">
        <v>0</v>
      </c>
      <c r="D9" t="n">
        <v>0</v>
      </c>
      <c r="E9" t="inlineStr">
        <is>
          <t>Cows</t>
        </is>
      </c>
    </row>
    <row r="10">
      <c r="A10" t="inlineStr">
        <is>
          <t>Stock</t>
        </is>
      </c>
      <c r="B10" t="inlineStr">
        <is>
          <t>Steers: 5 remain.</t>
        </is>
      </c>
      <c r="C10" t="n">
        <v>0</v>
      </c>
      <c r="D10" t="n">
        <v>0</v>
      </c>
      <c r="E10" t="inlineStr">
        <is>
          <t>Steers</t>
        </is>
      </c>
      <c r="F10" t="inlineStr">
        <is>
          <t>5</t>
        </is>
      </c>
    </row>
    <row r="11">
      <c r="A11" t="inlineStr">
        <is>
          <t>Stock</t>
        </is>
      </c>
      <c r="B11" t="inlineStr">
        <is>
          <t>Total, 5. 5 remain, worth 5 shilling each, in the hands of the said farmer, to be restored and handed back at the end of his farm or the value of the same at the lord's will.</t>
        </is>
      </c>
      <c r="C11" t="n">
        <v>0</v>
      </c>
      <c r="D11" t="n">
        <v>0</v>
      </c>
      <c r="E11" t="inlineStr">
        <is>
          <t>Steers</t>
        </is>
      </c>
    </row>
    <row r="12">
      <c r="A12" t="inlineStr">
        <is>
          <t>Stock</t>
        </is>
      </c>
      <c r="B12" t="inlineStr">
        <is>
          <t>Bullocks: 6 remain.</t>
        </is>
      </c>
      <c r="C12" t="n">
        <v>0</v>
      </c>
      <c r="D12" t="n">
        <v>0</v>
      </c>
      <c r="E12" t="inlineStr">
        <is>
          <t>Bullocks</t>
        </is>
      </c>
      <c r="F12" t="inlineStr">
        <is>
          <t>6</t>
        </is>
      </c>
    </row>
    <row r="13">
      <c r="A13" t="inlineStr">
        <is>
          <t>Stock</t>
        </is>
      </c>
      <c r="B13" t="inlineStr">
        <is>
          <t>Total, 6. 6 remain, worth 4 shilling each, in the hands of the said farmer, to be restored and handed back at the end of his farm or the value of the same at the lord's will.</t>
        </is>
      </c>
      <c r="C13" t="n">
        <v>0</v>
      </c>
      <c r="D13" t="n">
        <v>0</v>
      </c>
      <c r="E13" t="inlineStr">
        <is>
          <t>Bullocks</t>
        </is>
      </c>
    </row>
    <row r="14">
      <c r="A14" t="inlineStr">
        <is>
          <t>Stock</t>
        </is>
      </c>
      <c r="B14" t="inlineStr">
        <is>
          <t>Yearlings: 5 remain.</t>
        </is>
      </c>
      <c r="C14" t="n">
        <v>0</v>
      </c>
      <c r="D14" t="n">
        <v>0</v>
      </c>
      <c r="E14" t="inlineStr">
        <is>
          <t>Yearlings</t>
        </is>
      </c>
      <c r="F14" t="inlineStr">
        <is>
          <t>5</t>
        </is>
      </c>
    </row>
    <row r="15">
      <c r="A15" t="inlineStr">
        <is>
          <t>Stock</t>
        </is>
      </c>
      <c r="B15" t="inlineStr">
        <is>
          <t>Total, 5. 5 remain, worth 3 shilling each, in the hands of the said farmer, to be restored and handed back at the end of his farm or the value of the same at the lord's will.</t>
        </is>
      </c>
      <c r="C15" t="n">
        <v>0</v>
      </c>
      <c r="D15" t="n">
        <v>0</v>
      </c>
      <c r="E15" t="inlineStr">
        <is>
          <t>Yearlings</t>
        </is>
      </c>
    </row>
    <row r="16">
      <c r="A16" t="inlineStr">
        <is>
          <t>Stock</t>
        </is>
      </c>
      <c r="B16" t="inlineStr">
        <is>
          <t>Rams: 8 remain, worth 1 shilling 4pence each, in the hands of the said farmer, to be restored and handed back at the end of his farm or the value of the same at the lord's will.</t>
        </is>
      </c>
      <c r="C16" t="n">
        <v>0</v>
      </c>
      <c r="D16" t="n">
        <v>0</v>
      </c>
      <c r="E16" t="inlineStr">
        <is>
          <t>Rams</t>
        </is>
      </c>
      <c r="F16" t="inlineStr">
        <is>
          <t>8</t>
        </is>
      </c>
    </row>
    <row r="17">
      <c r="A17" t="inlineStr">
        <is>
          <t>Stock</t>
        </is>
      </c>
      <c r="B17" t="inlineStr">
        <is>
          <t>Ewes: 313 remain.</t>
        </is>
      </c>
      <c r="C17" t="n">
        <v>0</v>
      </c>
      <c r="D17" t="n">
        <v>0</v>
      </c>
      <c r="E17" t="inlineStr">
        <is>
          <t>Ewes</t>
        </is>
      </c>
      <c r="F17" t="inlineStr">
        <is>
          <t>313</t>
        </is>
      </c>
    </row>
    <row r="18">
      <c r="A18" t="inlineStr">
        <is>
          <t>Stock</t>
        </is>
      </c>
      <c r="B18" t="inlineStr">
        <is>
          <t>55 bought.</t>
        </is>
      </c>
      <c r="C18" t="n">
        <v>0</v>
      </c>
      <c r="D18" t="n">
        <v>0</v>
      </c>
      <c r="E18" t="inlineStr">
        <is>
          <t>Ewes</t>
        </is>
      </c>
      <c r="G18" t="inlineStr">
        <is>
          <t>55</t>
        </is>
      </c>
    </row>
    <row r="19">
      <c r="A19" t="inlineStr">
        <is>
          <t>Stock</t>
        </is>
      </c>
      <c r="B19" t="inlineStr">
        <is>
          <t>Total, 368. 55 in murrain before lambing and shearing.</t>
        </is>
      </c>
      <c r="C19" t="n">
        <v>0</v>
      </c>
      <c r="D19" t="n">
        <v>0</v>
      </c>
      <c r="E19" t="inlineStr">
        <is>
          <t>Ewes</t>
        </is>
      </c>
      <c r="H19" t="inlineStr">
        <is>
          <t>55</t>
        </is>
      </c>
    </row>
    <row r="20">
      <c r="A20" t="inlineStr">
        <is>
          <t>Stock</t>
        </is>
      </c>
      <c r="B20" t="inlineStr">
        <is>
          <t>313 remain, worth 1 shilling 4pence each, in the hands of the said farmer, to be restored and handed back at the end of his farm or the value of the same at the lord's will.</t>
        </is>
      </c>
      <c r="C20" t="n">
        <v>0</v>
      </c>
      <c r="D20" t="n">
        <v>0</v>
      </c>
      <c r="E20" t="inlineStr">
        <is>
          <t>Ewes</t>
        </is>
      </c>
    </row>
    <row r="21">
      <c r="A21" t="inlineStr">
        <is>
          <t>Stock</t>
        </is>
      </c>
      <c r="B21" t="inlineStr">
        <is>
          <t>Lambs: 84 remain.</t>
        </is>
      </c>
      <c r="C21" t="n">
        <v>0</v>
      </c>
      <c r="D21" t="n">
        <v>0</v>
      </c>
      <c r="E21" t="inlineStr">
        <is>
          <t>Lambs</t>
        </is>
      </c>
      <c r="F21" t="inlineStr">
        <is>
          <t>84</t>
        </is>
      </c>
    </row>
    <row r="22">
      <c r="A22" t="inlineStr">
        <is>
          <t>Stock</t>
        </is>
      </c>
      <c r="B22" t="inlineStr">
        <is>
          <t>Total, 84. 84 remain, worth 10pence each, in the hands of the said farmer, to be restored and handed back at the end of his farm or the value of the same at the lord's will.</t>
        </is>
      </c>
      <c r="C22" t="n">
        <v>0</v>
      </c>
      <c r="D22" t="n">
        <v>0</v>
      </c>
      <c r="E22" t="inlineStr">
        <is>
          <t>Lambs</t>
        </is>
      </c>
    </row>
    <row r="23">
      <c r="A23" t="inlineStr">
        <is>
          <t>Stock</t>
        </is>
      </c>
      <c r="B23" t="inlineStr">
        <is>
          <t>Boars: 1 remains, worth 4 shilling, in the hands of the said farmer, to be restored and handed back at the end of his farm or the value of the same at the lord's will.</t>
        </is>
      </c>
      <c r="C23" t="n">
        <v>0</v>
      </c>
      <c r="D23" t="n">
        <v>0</v>
      </c>
      <c r="E23" t="inlineStr">
        <is>
          <t>Boars</t>
        </is>
      </c>
    </row>
    <row r="24">
      <c r="A24" t="inlineStr">
        <is>
          <t>Stock</t>
        </is>
      </c>
      <c r="B24" t="inlineStr">
        <is>
          <t>Sows: 3 remain.</t>
        </is>
      </c>
      <c r="C24" t="n">
        <v>0</v>
      </c>
      <c r="D24" t="n">
        <v>0</v>
      </c>
      <c r="E24" t="inlineStr">
        <is>
          <t>Sows</t>
        </is>
      </c>
      <c r="F24" t="inlineStr">
        <is>
          <t>3</t>
        </is>
      </c>
    </row>
    <row r="25">
      <c r="A25" t="inlineStr">
        <is>
          <t>Stock</t>
        </is>
      </c>
      <c r="B25" t="inlineStr">
        <is>
          <t>Total, 3. 3 remain, worth 2 shilling 6pence each, in the hands of the said farmer, to be restored and handed back at the end of his farm or the value of the same at the lord's will.</t>
        </is>
      </c>
      <c r="C25" t="n">
        <v>0</v>
      </c>
      <c r="D25" t="n">
        <v>0</v>
      </c>
      <c r="E25" t="inlineStr">
        <is>
          <t>Sows</t>
        </is>
      </c>
    </row>
    <row r="26">
      <c r="A26" t="inlineStr">
        <is>
          <t>Stock</t>
        </is>
      </c>
      <c r="B26" t="inlineStr">
        <is>
          <t>Pigs: 29 remain.</t>
        </is>
      </c>
      <c r="C26" t="n">
        <v>0</v>
      </c>
      <c r="D26" t="n">
        <v>0</v>
      </c>
      <c r="E26" t="inlineStr">
        <is>
          <t>Pigs</t>
        </is>
      </c>
      <c r="F26" t="inlineStr">
        <is>
          <t>29</t>
        </is>
      </c>
    </row>
    <row r="27">
      <c r="A27" t="inlineStr">
        <is>
          <t>Stock</t>
        </is>
      </c>
      <c r="B27" t="inlineStr">
        <is>
          <t>Total, 29. 29 remain, worth 1 shilling 8pence each, in the hands of the said farmer, to be restored and handed back at the end of his farm or the value of the same at the lord's will.</t>
        </is>
      </c>
      <c r="C27" t="n">
        <v>0</v>
      </c>
      <c r="D27" t="n">
        <v>0</v>
      </c>
      <c r="E27" t="inlineStr">
        <is>
          <t>Pigs</t>
        </is>
      </c>
    </row>
    <row r="28">
      <c r="A28" t="inlineStr">
        <is>
          <t>Stock</t>
        </is>
      </c>
      <c r="B28" t="inlineStr">
        <is>
          <t>Hoggets: 32 remain.</t>
        </is>
      </c>
      <c r="C28" t="n">
        <v>0</v>
      </c>
      <c r="D28" t="n">
        <v>0</v>
      </c>
      <c r="E28" t="inlineStr">
        <is>
          <t>Hoggets</t>
        </is>
      </c>
      <c r="F28" t="inlineStr">
        <is>
          <t>32</t>
        </is>
      </c>
    </row>
    <row r="29">
      <c r="A29" t="inlineStr">
        <is>
          <t>Stock</t>
        </is>
      </c>
      <c r="B29" t="inlineStr">
        <is>
          <t>Total, 32. 32 remain, worth 10pence each, in the hands of the said farmer, to be restored and handed back as before.</t>
        </is>
      </c>
      <c r="C29" t="n">
        <v>0</v>
      </c>
      <c r="D29" t="n">
        <v>0</v>
      </c>
      <c r="E29" t="inlineStr">
        <is>
          <t>Hoggets</t>
        </is>
      </c>
    </row>
    <row r="30">
      <c r="A30" t="inlineStr">
        <is>
          <t>Stock</t>
        </is>
      </c>
      <c r="B30" t="inlineStr">
        <is>
          <t>Piglets: 13 remain.</t>
        </is>
      </c>
      <c r="C30" t="n">
        <v>0</v>
      </c>
      <c r="D30" t="n">
        <v>0</v>
      </c>
      <c r="E30" t="inlineStr">
        <is>
          <t>Piglets</t>
        </is>
      </c>
      <c r="F30" t="inlineStr">
        <is>
          <t>13</t>
        </is>
      </c>
    </row>
    <row r="31">
      <c r="A31" t="inlineStr">
        <is>
          <t>Stock</t>
        </is>
      </c>
      <c r="B31" t="inlineStr">
        <is>
          <t>Total, 13. 13 remain, worth 4pence each, in the hands of the said farmer, to be restored and handed back as before.</t>
        </is>
      </c>
      <c r="C31" t="n">
        <v>0</v>
      </c>
      <c r="D31" t="n">
        <v>0</v>
      </c>
      <c r="E31" t="inlineStr">
        <is>
          <t>Piglets</t>
        </is>
      </c>
    </row>
    <row r="32">
      <c r="A32" t="inlineStr">
        <is>
          <t>Stock</t>
        </is>
      </c>
      <c r="B32" t="inlineStr">
        <is>
          <t>Woolskins: 55 from ewes in murrain before shearing as made clear aboVe.</t>
        </is>
      </c>
      <c r="C32" t="n">
        <v>0</v>
      </c>
      <c r="D32" t="n">
        <v>0</v>
      </c>
      <c r="E32" t="inlineStr">
        <is>
          <t>Woolskins</t>
        </is>
      </c>
      <c r="H32" t="inlineStr">
        <is>
          <t>55</t>
        </is>
      </c>
    </row>
    <row r="33">
      <c r="A33" t="inlineStr">
        <is>
          <t>Stock</t>
        </is>
      </c>
      <c r="B33" t="inlineStr">
        <is>
          <t>Total, 55. 5 in tithe.</t>
        </is>
      </c>
      <c r="C33" t="n">
        <v>0</v>
      </c>
      <c r="D33" t="n">
        <v>0</v>
      </c>
      <c r="E33" t="inlineStr">
        <is>
          <t>Woolskins</t>
        </is>
      </c>
    </row>
    <row r="34">
      <c r="A34" t="inlineStr">
        <is>
          <t>Stock</t>
        </is>
      </c>
      <c r="B34" t="inlineStr">
        <is>
          <t>50 sold within.</t>
        </is>
      </c>
      <c r="C34" t="n">
        <v>0</v>
      </c>
      <c r="D34" t="n">
        <v>0</v>
      </c>
      <c r="E34" t="inlineStr">
        <is>
          <t>Woolskins</t>
        </is>
      </c>
      <c r="I34" t="inlineStr">
        <is>
          <t>50</t>
        </is>
      </c>
    </row>
    <row r="35">
      <c r="A35" t="inlineStr">
        <is>
          <t>Stock</t>
        </is>
      </c>
      <c r="B35" t="inlineStr">
        <is>
          <t>Total as before.</t>
        </is>
      </c>
      <c r="C35" t="n">
        <v>0</v>
      </c>
      <c r="D35" t="n">
        <v>0</v>
      </c>
      <c r="E35" t="inlineStr">
        <is>
          <t>Woolskins</t>
        </is>
      </c>
    </row>
    <row r="36">
      <c r="A36" t="inlineStr">
        <is>
          <t>Stock</t>
        </is>
      </c>
      <c r="B36" t="inlineStr">
        <is>
          <t>None remain.</t>
        </is>
      </c>
      <c r="C36" t="n">
        <v>0</v>
      </c>
      <c r="D36" t="n">
        <v>0</v>
      </c>
      <c r="E36" t="inlineStr">
        <is>
          <t>Woolskins</t>
        </is>
      </c>
    </row>
    <row r="37">
      <c r="A37" t="inlineStr">
        <is>
          <t>Stock</t>
        </is>
      </c>
      <c r="B37" t="inlineStr">
        <is>
          <t>Geese: 1 gander, 4 breeding geese and 22 of their offspring remain, of which the gander and 4 geese are worth 6pence each and the 22 goslings 1.5pence each, in the hands of the said farmer, to be restored as before.</t>
        </is>
      </c>
      <c r="C37" t="n">
        <v>0</v>
      </c>
      <c r="D37" t="n">
        <v>0</v>
      </c>
      <c r="E37" t="inlineStr">
        <is>
          <t>Poultry stock</t>
        </is>
      </c>
      <c r="F37" t="inlineStr">
        <is>
          <t>4</t>
        </is>
      </c>
      <c r="G37" t="inlineStr">
        <is>
          <t>4</t>
        </is>
      </c>
    </row>
    <row r="38">
      <c r="A38" t="inlineStr">
        <is>
          <t>Stock</t>
        </is>
      </c>
      <c r="B38" t="inlineStr">
        <is>
          <t>Cocks and hens: 1 cock and 5 hens remain.</t>
        </is>
      </c>
      <c r="C38" t="n">
        <v>0</v>
      </c>
      <c r="D38" t="n">
        <v>0</v>
      </c>
      <c r="E38" t="inlineStr">
        <is>
          <t>Poultry stock</t>
        </is>
      </c>
    </row>
    <row r="39">
      <c r="A39" t="inlineStr">
        <is>
          <t>Stock</t>
        </is>
      </c>
      <c r="B39" t="inlineStr">
        <is>
          <t>Total, 6. 1 cock and 5 hens remain, worth 2pence each, in the hands of the said farmer, to be restored as before.</t>
        </is>
      </c>
      <c r="C39" t="n">
        <v>0</v>
      </c>
      <c r="D39" t="n">
        <v>0</v>
      </c>
      <c r="E39" t="inlineStr">
        <is>
          <t>Poultry stock</t>
        </is>
      </c>
    </row>
    <row r="40">
      <c r="A40" t="inlineStr">
        <is>
          <t>Stock</t>
        </is>
      </c>
      <c r="B40" t="inlineStr">
        <is>
          <t>Utensils: 3 ploughs with 3 coulters, 3 ploughshares, 3 iron plough shoes and all other equipment for 18 plough-horses, with 3 wooden harrows.</t>
        </is>
      </c>
      <c r="C40" t="n">
        <v>0</v>
      </c>
      <c r="D40" t="n">
        <v>0</v>
      </c>
      <c r="E40" t="inlineStr">
        <is>
          <t>Utensils</t>
        </is>
      </c>
    </row>
    <row r="41">
      <c r="A41" t="inlineStr">
        <is>
          <t>Stock</t>
        </is>
      </c>
      <c r="B41" t="inlineStr">
        <is>
          <t>2 carts, 1 of them with iron tyres, with 2 frames, 2 cart-rails, 4 linch-pins and 1 tumbrel remain.</t>
        </is>
      </c>
      <c r="C41" t="n">
        <v>0</v>
      </c>
      <c r="D41" t="n">
        <v>0</v>
      </c>
      <c r="E41" t="inlineStr">
        <is>
          <t>Utensils</t>
        </is>
      </c>
      <c r="F41" t="inlineStr">
        <is>
          <t>4</t>
        </is>
      </c>
    </row>
    <row r="42">
      <c r="A42" t="inlineStr">
        <is>
          <t>Stock</t>
        </is>
      </c>
      <c r="B42" t="inlineStr">
        <is>
          <t>4 collars, 3 pairs of traces, 1 thill hame (thilhame), 2 cart-ropes and 2 cart-saddles with saddle-pads remain.</t>
        </is>
      </c>
      <c r="C42" t="n">
        <v>0</v>
      </c>
      <c r="D42" t="n">
        <v>0</v>
      </c>
      <c r="E42" t="inlineStr">
        <is>
          <t>Utensils</t>
        </is>
      </c>
    </row>
    <row r="43">
      <c r="A43" t="inlineStr">
        <is>
          <t>Stock</t>
        </is>
      </c>
      <c r="B43" t="inlineStr">
        <is>
          <t>2 brass pots, 1 posnet with 1 tripod, 2 brass pans and 1 basin with a ewer remain.</t>
        </is>
      </c>
      <c r="C43" t="n">
        <v>0</v>
      </c>
      <c r="D43" t="n">
        <v>0</v>
      </c>
      <c r="E43" t="inlineStr">
        <is>
          <t>Utensils</t>
        </is>
      </c>
    </row>
    <row r="44">
      <c r="A44" t="inlineStr">
        <is>
          <t>Stock</t>
        </is>
      </c>
      <c r="B44" t="inlineStr">
        <is>
          <t>1 canvas winnowing-fan, 2 sacks, 2 sieves, 2 riddles, 1 basket for carrying corn, 2 dung-forks and 1 fork for sheaves remain.</t>
        </is>
      </c>
      <c r="C44" t="n">
        <v>0</v>
      </c>
      <c r="D44" t="n">
        <v>0</v>
      </c>
      <c r="E44" t="inlineStr">
        <is>
          <t>Utensils</t>
        </is>
      </c>
    </row>
    <row r="45">
      <c r="A45" t="inlineStr">
        <is>
          <t>Stock</t>
        </is>
      </c>
      <c r="B45" t="inlineStr">
        <is>
          <t>2 pails, 2 fodder-racks for grazing cattle, 2 troughs and 4 locks with keys and chains for keeping the horses and plough-horses safe remain.</t>
        </is>
      </c>
      <c r="C45" t="n">
        <v>0</v>
      </c>
      <c r="D45" t="n">
        <v>0</v>
      </c>
      <c r="E45" t="inlineStr">
        <is>
          <t>Utensils</t>
        </is>
      </c>
    </row>
    <row r="46">
      <c r="A46" t="inlineStr">
        <is>
          <t>Stock</t>
        </is>
      </c>
      <c r="B46" t="inlineStr">
        <is>
          <t>Total as made clear.</t>
        </is>
      </c>
      <c r="C46" t="n">
        <v>0</v>
      </c>
      <c r="D46" t="n">
        <v>0</v>
      </c>
      <c r="E46" t="inlineStr">
        <is>
          <t>Utensils</t>
        </is>
      </c>
    </row>
    <row r="47">
      <c r="A47" t="inlineStr">
        <is>
          <t>Stock</t>
        </is>
      </c>
      <c r="B47" t="inlineStr">
        <is>
          <t>The aforesaid William Lythewey, farmer there, is to hand back and restore that same stock, both live and dead, at the end of his term in as good condition as he received it.</t>
        </is>
      </c>
      <c r="C47" t="n">
        <v>0</v>
      </c>
      <c r="D47" t="n">
        <v>0</v>
      </c>
      <c r="E47" t="inlineStr">
        <is>
          <t>Utensils</t>
        </is>
      </c>
    </row>
    <row r="48">
      <c r="A48" t="inlineStr">
        <is>
          <t>Stock</t>
        </is>
      </c>
      <c r="B48" t="inlineStr">
        <is>
          <t>Total</t>
        </is>
      </c>
      <c r="C48" t="n">
        <v>0</v>
      </c>
      <c r="D48" t="n">
        <v>0</v>
      </c>
      <c r="E48" t="inlineStr">
        <is>
          <t>Utensils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I21"/>
  <sheetViews>
    <sheetView topLeftCell="A1" workbookViewId="0">
      <selection activeCell="A1" sqref="A1"/>
    </sheetView>
  </sheetViews>
  <sheetFormatPr baseColWidth="8" defaultRowHeight="15"/>
  <sheetData>
    <row r="1">
      <c r="A1" t="inlineStr">
        <is>
          <t>Heading</t>
        </is>
      </c>
      <c r="B1" t="inlineStr">
        <is>
          <t>Sentence</t>
        </is>
      </c>
      <c r="C1" t="inlineStr">
        <is>
          <t>Quarters 1_x</t>
        </is>
      </c>
      <c r="D1" t="inlineStr">
        <is>
          <t>Bushels 1_x</t>
        </is>
      </c>
      <c r="E1" t="inlineStr">
        <is>
          <t>Sown Quarters</t>
        </is>
      </c>
      <c r="F1" t="inlineStr">
        <is>
          <t>Sown Bushels</t>
        </is>
      </c>
      <c r="G1" t="inlineStr">
        <is>
          <t>Sown Total Quarters</t>
        </is>
      </c>
      <c r="H1" t="inlineStr">
        <is>
          <t>Bought in Quarters</t>
        </is>
      </c>
      <c r="I1" t="inlineStr">
        <is>
          <t>Bought in Bushels</t>
        </is>
      </c>
      <c r="J1" t="inlineStr">
        <is>
          <t>Bought in Total Quarters</t>
        </is>
      </c>
      <c r="K1" t="inlineStr">
        <is>
          <t>Tithe Quarters</t>
        </is>
      </c>
      <c r="L1" t="inlineStr">
        <is>
          <t>Tithe Bushels</t>
        </is>
      </c>
      <c r="M1" t="inlineStr">
        <is>
          <t>Tithe Total Quarters</t>
        </is>
      </c>
      <c r="N1" t="inlineStr">
        <is>
          <t>Manorial servants &amp; livestock Quarters</t>
        </is>
      </c>
      <c r="O1" t="inlineStr">
        <is>
          <t>Manorial servants &amp; livestock Bushels</t>
        </is>
      </c>
      <c r="P1" t="inlineStr">
        <is>
          <t>Manorial servants &amp; livestock Total Quarters</t>
        </is>
      </c>
      <c r="Q1" t="inlineStr">
        <is>
          <t>Sold Quarters</t>
        </is>
      </c>
      <c r="R1" t="inlineStr">
        <is>
          <t>Sold Bushels</t>
        </is>
      </c>
      <c r="S1" t="inlineStr">
        <is>
          <t>Sold Total Quarters</t>
        </is>
      </c>
      <c r="T1" t="inlineStr">
        <is>
          <t>Account Quarters</t>
        </is>
      </c>
      <c r="U1" t="inlineStr">
        <is>
          <t>Account Bushels</t>
        </is>
      </c>
      <c r="V1" t="inlineStr">
        <is>
          <t>Account Total Quarters</t>
        </is>
      </c>
      <c r="W1" t="inlineStr">
        <is>
          <t>bought only</t>
        </is>
      </c>
      <c r="X1" t="inlineStr">
        <is>
          <t>Total Quarters Except 1</t>
        </is>
      </c>
      <c r="Y1" t="inlineStr">
        <is>
          <t>Total Bushels Except 1</t>
        </is>
      </c>
      <c r="Z1" t="inlineStr">
        <is>
          <t>Total Corn Cross-Check</t>
        </is>
      </c>
      <c r="AA1" t="inlineStr">
        <is>
          <t>Total Corn Manorial Account</t>
        </is>
      </c>
      <c r="AB1" t="inlineStr">
        <is>
          <t>Corn Quantity Error</t>
        </is>
      </c>
      <c r="AC1" t="inlineStr">
        <is>
          <t>Quarters 1_y</t>
        </is>
      </c>
      <c r="AD1" t="inlineStr">
        <is>
          <t>Bushels 1_y</t>
        </is>
      </c>
      <c r="AE1" t="inlineStr">
        <is>
          <t>Quarters 2</t>
        </is>
      </c>
      <c r="AF1" t="inlineStr">
        <is>
          <t>Bushels 2</t>
        </is>
      </c>
      <c r="AG1" t="inlineStr">
        <is>
          <t>Quarters 3</t>
        </is>
      </c>
      <c r="AH1" t="inlineStr">
        <is>
          <t>Bushels 3</t>
        </is>
      </c>
      <c r="AI1" t="inlineStr">
        <is>
          <t>Total Bought Quarters</t>
        </is>
      </c>
    </row>
    <row r="2">
      <c r="A2" t="inlineStr">
        <is>
          <t>total of all allowances and cash deliveries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AI2" t="n">
        <v>0</v>
      </c>
    </row>
    <row r="3">
      <c r="A3" t="inlineStr">
        <is>
          <t>wheat</t>
        </is>
      </c>
      <c r="B3" t="inlineStr">
        <is>
          <t>william lythewey, farmer there, answers for 12 quarters of wheat remaining..</t>
        </is>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12</v>
      </c>
      <c r="Y3" t="n">
        <v>0</v>
      </c>
      <c r="Z3" t="n">
        <v>12</v>
      </c>
      <c r="AA3" t="n">
        <v>12</v>
      </c>
      <c r="AB3" t="n">
        <v>0</v>
      </c>
      <c r="AC3" t="n">
        <v>12</v>
      </c>
      <c r="AD3" t="n">
        <v>0</v>
      </c>
      <c r="AI3" t="n">
        <v>0</v>
      </c>
    </row>
    <row r="4">
      <c r="A4" t="inlineStr">
        <is>
          <t>wheat</t>
        </is>
      </c>
      <c r="B4" t="inlineStr">
        <is>
          <t>total, 12 quarters..</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12</v>
      </c>
      <c r="Y4" t="n">
        <v>0</v>
      </c>
      <c r="Z4" t="n">
        <v>12</v>
      </c>
      <c r="AA4" t="n">
        <v>12</v>
      </c>
      <c r="AB4" t="n">
        <v>0</v>
      </c>
      <c r="AC4" t="n">
        <v>12</v>
      </c>
      <c r="AD4" t="n">
        <v>0</v>
      </c>
      <c r="AI4" t="n">
        <v>0</v>
      </c>
    </row>
    <row r="5">
      <c r="A5" t="inlineStr">
        <is>
          <t>wheat</t>
        </is>
      </c>
      <c r="B5" t="inlineStr">
        <is>
          <t>12 quarters remain, sown over 38.5 acres of land by the perch lying on assherugg'.</t>
        </is>
      </c>
      <c r="C5" t="n">
        <v>0</v>
      </c>
      <c r="D5" t="n">
        <v>0</v>
      </c>
      <c r="E5" t="n">
        <v>12</v>
      </c>
      <c r="F5" t="n">
        <v>0</v>
      </c>
      <c r="G5" t="n">
        <v>12</v>
      </c>
      <c r="H5" t="n">
        <v>0</v>
      </c>
      <c r="I5" t="n">
        <v>0</v>
      </c>
      <c r="J5" t="n">
        <v>0</v>
      </c>
      <c r="K5" t="n">
        <v>0</v>
      </c>
      <c r="L5" t="n">
        <v>0</v>
      </c>
      <c r="M5" t="n">
        <v>0</v>
      </c>
      <c r="N5" t="n">
        <v>0</v>
      </c>
      <c r="O5" t="n">
        <v>0</v>
      </c>
      <c r="P5" t="n">
        <v>0</v>
      </c>
      <c r="Q5" t="n">
        <v>0</v>
      </c>
      <c r="R5" t="n">
        <v>0</v>
      </c>
      <c r="S5" t="n">
        <v>0</v>
      </c>
      <c r="T5" t="n">
        <v>0</v>
      </c>
      <c r="U5" t="n">
        <v>0</v>
      </c>
      <c r="V5" t="n">
        <v>0</v>
      </c>
      <c r="W5" t="n">
        <v>0</v>
      </c>
      <c r="X5" t="n">
        <v>12</v>
      </c>
      <c r="Y5" t="n">
        <v>0</v>
      </c>
      <c r="Z5" t="n">
        <v>12</v>
      </c>
      <c r="AA5" t="n">
        <v>12</v>
      </c>
      <c r="AB5" t="n">
        <v>0</v>
      </c>
      <c r="AC5" t="n">
        <v>12</v>
      </c>
      <c r="AD5" t="n">
        <v>0</v>
      </c>
      <c r="AI5" t="n">
        <v>0</v>
      </c>
    </row>
    <row r="6">
      <c r="A6" t="inlineStr">
        <is>
          <t>wheat</t>
        </is>
      </c>
      <c r="B6" t="inlineStr">
        <is>
          <t>that is, 2.5 bushels an acre, less 1 peck in all, in the hands of the said william lythewey, farmer there, to be restored and handed back at the end of 12 years, this year being the third..</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0</v>
      </c>
      <c r="Y6" t="n">
        <v>2.5</v>
      </c>
      <c r="Z6" t="n">
        <v>0.31</v>
      </c>
      <c r="AA6" t="n">
        <v>0.31</v>
      </c>
      <c r="AB6" t="n">
        <v>0</v>
      </c>
      <c r="AC6" t="n">
        <v>0</v>
      </c>
      <c r="AD6" t="n">
        <v>2.5</v>
      </c>
      <c r="AI6" t="n">
        <v>0</v>
      </c>
    </row>
    <row r="7">
      <c r="A7" t="inlineStr">
        <is>
          <t>wheat</t>
        </is>
      </c>
      <c r="B7" t="inlineStr">
        <is>
          <t>total</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AI7" t="n">
        <v>0</v>
      </c>
    </row>
    <row r="8">
      <c r="A8" t="inlineStr">
        <is>
          <t>barley</t>
        </is>
      </c>
      <c r="B8" t="inlineStr">
        <is>
          <t>and for 13 quarters of barley remaining..</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13</v>
      </c>
      <c r="Y8" t="n">
        <v>0</v>
      </c>
      <c r="Z8" t="n">
        <v>13</v>
      </c>
      <c r="AA8" t="n">
        <v>13</v>
      </c>
      <c r="AB8" t="n">
        <v>0</v>
      </c>
      <c r="AC8" t="n">
        <v>13</v>
      </c>
      <c r="AD8" t="n">
        <v>0</v>
      </c>
      <c r="AI8" t="n">
        <v>0</v>
      </c>
    </row>
    <row r="9">
      <c r="A9" t="inlineStr">
        <is>
          <t>barley</t>
        </is>
      </c>
      <c r="B9" t="inlineStr">
        <is>
          <t>total, 13 quarters..</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13</v>
      </c>
      <c r="Y9" t="n">
        <v>0</v>
      </c>
      <c r="Z9" t="n">
        <v>13</v>
      </c>
      <c r="AA9" t="n">
        <v>13</v>
      </c>
      <c r="AB9" t="n">
        <v>0</v>
      </c>
      <c r="AC9" t="n">
        <v>13</v>
      </c>
      <c r="AD9" t="n">
        <v>0</v>
      </c>
      <c r="AI9" t="n">
        <v>0</v>
      </c>
    </row>
    <row r="10">
      <c r="A10" t="inlineStr">
        <is>
          <t>barley</t>
        </is>
      </c>
      <c r="B10" t="inlineStr">
        <is>
          <t>13 quarters remain, sown over 26 acres of land by the perch lying in le estfeld' and chetenor'.</t>
        </is>
      </c>
      <c r="C10" t="n">
        <v>0</v>
      </c>
      <c r="D10" t="n">
        <v>0</v>
      </c>
      <c r="E10" t="n">
        <v>13</v>
      </c>
      <c r="F10" t="n">
        <v>0</v>
      </c>
      <c r="G10" t="n">
        <v>13</v>
      </c>
      <c r="H10" t="n">
        <v>0</v>
      </c>
      <c r="I10" t="n">
        <v>0</v>
      </c>
      <c r="J10" t="n">
        <v>0</v>
      </c>
      <c r="K10" t="n">
        <v>0</v>
      </c>
      <c r="L10" t="n">
        <v>0</v>
      </c>
      <c r="M10" t="n">
        <v>0</v>
      </c>
      <c r="N10" t="n">
        <v>0</v>
      </c>
      <c r="O10" t="n">
        <v>0</v>
      </c>
      <c r="P10" t="n">
        <v>0</v>
      </c>
      <c r="Q10" t="n">
        <v>0</v>
      </c>
      <c r="R10" t="n">
        <v>0</v>
      </c>
      <c r="S10" t="n">
        <v>0</v>
      </c>
      <c r="T10" t="n">
        <v>0</v>
      </c>
      <c r="U10" t="n">
        <v>0</v>
      </c>
      <c r="V10" t="n">
        <v>0</v>
      </c>
      <c r="W10" t="n">
        <v>0</v>
      </c>
      <c r="X10" t="n">
        <v>13</v>
      </c>
      <c r="Y10" t="n">
        <v>0</v>
      </c>
      <c r="Z10" t="n">
        <v>13</v>
      </c>
      <c r="AA10" t="n">
        <v>13</v>
      </c>
      <c r="AB10" t="n">
        <v>0</v>
      </c>
      <c r="AC10" t="n">
        <v>13</v>
      </c>
      <c r="AD10" t="n">
        <v>0</v>
      </c>
      <c r="AI10" t="n">
        <v>0</v>
      </c>
    </row>
    <row r="11">
      <c r="A11" t="inlineStr">
        <is>
          <t>barley</t>
        </is>
      </c>
      <c r="B11" t="inlineStr">
        <is>
          <t>that is, 4 bushels an acre, in the hands of the said farmer, to be restored and handed back as before.</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0</v>
      </c>
      <c r="Y11" t="n">
        <v>4</v>
      </c>
      <c r="Z11" t="n">
        <v>0.5</v>
      </c>
      <c r="AA11" t="n">
        <v>0.5</v>
      </c>
      <c r="AB11" t="n">
        <v>0</v>
      </c>
      <c r="AC11" t="n">
        <v>0</v>
      </c>
      <c r="AD11" t="n">
        <v>4</v>
      </c>
      <c r="AI11" t="n">
        <v>0</v>
      </c>
    </row>
    <row r="12">
      <c r="A12" t="inlineStr">
        <is>
          <t>barley</t>
        </is>
      </c>
      <c r="B12" t="inlineStr">
        <is>
          <t>total</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AI12" t="n">
        <v>0</v>
      </c>
    </row>
    <row r="13">
      <c r="A13" t="inlineStr">
        <is>
          <t>dredge</t>
        </is>
      </c>
      <c r="B13" t="inlineStr">
        <is>
          <t>and for 7 quarters of dredge remaining..</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7</v>
      </c>
      <c r="Y13" t="n">
        <v>0</v>
      </c>
      <c r="Z13" t="n">
        <v>7</v>
      </c>
      <c r="AA13" t="n">
        <v>7</v>
      </c>
      <c r="AB13" t="n">
        <v>0</v>
      </c>
      <c r="AC13" t="n">
        <v>7</v>
      </c>
      <c r="AD13" t="n">
        <v>0</v>
      </c>
      <c r="AI13" t="n">
        <v>0</v>
      </c>
    </row>
    <row r="14">
      <c r="A14" t="inlineStr">
        <is>
          <t>dredge</t>
        </is>
      </c>
      <c r="B14" t="inlineStr">
        <is>
          <t>total, 7 quarters..</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7</v>
      </c>
      <c r="Y14" t="n">
        <v>0</v>
      </c>
      <c r="Z14" t="n">
        <v>7</v>
      </c>
      <c r="AA14" t="n">
        <v>7</v>
      </c>
      <c r="AB14" t="n">
        <v>0</v>
      </c>
      <c r="AC14" t="n">
        <v>7</v>
      </c>
      <c r="AD14" t="n">
        <v>0</v>
      </c>
      <c r="AI14" t="n">
        <v>0</v>
      </c>
    </row>
    <row r="15">
      <c r="A15" t="inlineStr">
        <is>
          <t>dredge</t>
        </is>
      </c>
      <c r="B15" t="inlineStr">
        <is>
          <t>7 quarters remain, sown over 14 acres of land by the perch lying in le estfeld.</t>
        </is>
      </c>
      <c r="C15" t="n">
        <v>0</v>
      </c>
      <c r="D15" t="n">
        <v>0</v>
      </c>
      <c r="E15" t="n">
        <v>7</v>
      </c>
      <c r="F15" t="n">
        <v>0</v>
      </c>
      <c r="G15" t="n">
        <v>7</v>
      </c>
      <c r="H15" t="n">
        <v>0</v>
      </c>
      <c r="I15" t="n">
        <v>0</v>
      </c>
      <c r="J15" t="n">
        <v>0</v>
      </c>
      <c r="K15" t="n">
        <v>0</v>
      </c>
      <c r="L15" t="n">
        <v>0</v>
      </c>
      <c r="M15" t="n">
        <v>0</v>
      </c>
      <c r="N15" t="n">
        <v>0</v>
      </c>
      <c r="O15" t="n">
        <v>0</v>
      </c>
      <c r="P15" t="n">
        <v>0</v>
      </c>
      <c r="Q15" t="n">
        <v>0</v>
      </c>
      <c r="R15" t="n">
        <v>0</v>
      </c>
      <c r="S15" t="n">
        <v>0</v>
      </c>
      <c r="T15" t="n">
        <v>0</v>
      </c>
      <c r="U15" t="n">
        <v>0</v>
      </c>
      <c r="V15" t="n">
        <v>0</v>
      </c>
      <c r="W15" t="n">
        <v>0</v>
      </c>
      <c r="X15" t="n">
        <v>7</v>
      </c>
      <c r="Y15" t="n">
        <v>0</v>
      </c>
      <c r="Z15" t="n">
        <v>7</v>
      </c>
      <c r="AA15" t="n">
        <v>7</v>
      </c>
      <c r="AB15" t="n">
        <v>0</v>
      </c>
      <c r="AC15" t="n">
        <v>7</v>
      </c>
      <c r="AD15" t="n">
        <v>0</v>
      </c>
      <c r="AI15" t="n">
        <v>0</v>
      </c>
    </row>
    <row r="16">
      <c r="A16" t="inlineStr">
        <is>
          <t>dredge</t>
        </is>
      </c>
      <c r="B16" t="inlineStr">
        <is>
          <t>that is, 4 bushels an acre, in the hands of the said fanner, to be restored and handed back as before.</t>
        </is>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0</v>
      </c>
      <c r="Y16" t="n">
        <v>4</v>
      </c>
      <c r="Z16" t="n">
        <v>0.5</v>
      </c>
      <c r="AA16" t="n">
        <v>0.5</v>
      </c>
      <c r="AB16" t="n">
        <v>0</v>
      </c>
      <c r="AC16" t="n">
        <v>0</v>
      </c>
      <c r="AD16" t="n">
        <v>4</v>
      </c>
      <c r="AI16" t="n">
        <v>0</v>
      </c>
    </row>
    <row r="17">
      <c r="A17" t="inlineStr">
        <is>
          <t>dredge</t>
        </is>
      </c>
      <c r="B17" t="inlineStr">
        <is>
          <t>total</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AI17" t="n">
        <v>0</v>
      </c>
    </row>
    <row r="18">
      <c r="A18" t="inlineStr">
        <is>
          <t>oats</t>
        </is>
      </c>
      <c r="B18" t="inlineStr">
        <is>
          <t>and for 11 quarters of oats remaining..</t>
        </is>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n">
        <v>11</v>
      </c>
      <c r="Y18" t="n">
        <v>0</v>
      </c>
      <c r="Z18" t="n">
        <v>11</v>
      </c>
      <c r="AA18" t="n">
        <v>11</v>
      </c>
      <c r="AB18" t="n">
        <v>0</v>
      </c>
      <c r="AC18" t="n">
        <v>11</v>
      </c>
      <c r="AD18" t="n">
        <v>0</v>
      </c>
      <c r="AI18" t="n">
        <v>0</v>
      </c>
    </row>
    <row r="19">
      <c r="A19" t="inlineStr">
        <is>
          <t>oats</t>
        </is>
      </c>
      <c r="B19" t="inlineStr">
        <is>
          <t>total, 11 quarters..</t>
        </is>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11</v>
      </c>
      <c r="Y19" t="n">
        <v>0</v>
      </c>
      <c r="Z19" t="n">
        <v>11</v>
      </c>
      <c r="AA19" t="n">
        <v>11</v>
      </c>
      <c r="AB19" t="n">
        <v>0</v>
      </c>
      <c r="AC19" t="n">
        <v>11</v>
      </c>
      <c r="AD19" t="n">
        <v>0</v>
      </c>
      <c r="AI19" t="n">
        <v>0</v>
      </c>
    </row>
    <row r="20">
      <c r="A20" t="inlineStr">
        <is>
          <t>oats</t>
        </is>
      </c>
      <c r="B20" t="inlineStr">
        <is>
          <t>11 quarters remain, sown over 22 acres of land by the perch lying in sparburyfeld'.</t>
        </is>
      </c>
      <c r="C20" t="n">
        <v>0</v>
      </c>
      <c r="D20" t="n">
        <v>0</v>
      </c>
      <c r="E20" t="n">
        <v>11</v>
      </c>
      <c r="F20" t="n">
        <v>0</v>
      </c>
      <c r="G20" t="n">
        <v>11</v>
      </c>
      <c r="H20" t="n">
        <v>0</v>
      </c>
      <c r="I20" t="n">
        <v>0</v>
      </c>
      <c r="J20" t="n">
        <v>0</v>
      </c>
      <c r="K20" t="n">
        <v>0</v>
      </c>
      <c r="L20" t="n">
        <v>0</v>
      </c>
      <c r="M20" t="n">
        <v>0</v>
      </c>
      <c r="N20" t="n">
        <v>0</v>
      </c>
      <c r="O20" t="n">
        <v>0</v>
      </c>
      <c r="P20" t="n">
        <v>0</v>
      </c>
      <c r="Q20" t="n">
        <v>0</v>
      </c>
      <c r="R20" t="n">
        <v>0</v>
      </c>
      <c r="S20" t="n">
        <v>0</v>
      </c>
      <c r="T20" t="n">
        <v>0</v>
      </c>
      <c r="U20" t="n">
        <v>0</v>
      </c>
      <c r="V20" t="n">
        <v>0</v>
      </c>
      <c r="W20" t="n">
        <v>0</v>
      </c>
      <c r="X20" t="n">
        <v>11</v>
      </c>
      <c r="Y20" t="n">
        <v>0</v>
      </c>
      <c r="Z20" t="n">
        <v>11</v>
      </c>
      <c r="AA20" t="n">
        <v>11</v>
      </c>
      <c r="AB20" t="n">
        <v>0</v>
      </c>
      <c r="AC20" t="n">
        <v>11</v>
      </c>
      <c r="AD20" t="n">
        <v>0</v>
      </c>
      <c r="AI20" t="n">
        <v>0</v>
      </c>
    </row>
    <row r="21">
      <c r="A21" t="inlineStr">
        <is>
          <t>oats</t>
        </is>
      </c>
      <c r="B21" t="inlineStr">
        <is>
          <t>that is, 4 bushels an acre, in the hands of the said farmer, to be restored and handed back as before.</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4</v>
      </c>
      <c r="Z21" t="n">
        <v>0.5</v>
      </c>
      <c r="AA21" t="n">
        <v>0.5</v>
      </c>
      <c r="AB21" t="n">
        <v>0</v>
      </c>
      <c r="AC21" t="n">
        <v>0</v>
      </c>
      <c r="AD21" t="n">
        <v>4</v>
      </c>
      <c r="AI21"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17"/>
  <sheetViews>
    <sheetView topLeftCell="A1" workbookViewId="0">
      <selection activeCell="A1" sqref="A1"/>
    </sheetView>
  </sheetViews>
  <sheetFormatPr baseColWidth="8" defaultRowHeight="15"/>
  <sheetData>
    <row r="1">
      <c r="A1" t="inlineStr">
        <is>
          <t>Gross Output</t>
        </is>
      </c>
      <c r="B1" t="inlineStr">
        <is>
          <t>Bought Only Aggregated</t>
        </is>
      </c>
      <c r="C1" t="inlineStr">
        <is>
          <t>Account Quarters</t>
        </is>
      </c>
      <c r="D1" t="inlineStr">
        <is>
          <t>Account Bushels</t>
        </is>
      </c>
      <c r="E1" t="inlineStr">
        <is>
          <t>Account Total Quarters</t>
        </is>
      </c>
      <c r="F1" t="inlineStr">
        <is>
          <t>Bought in Quarters</t>
        </is>
      </c>
      <c r="G1" t="inlineStr">
        <is>
          <t>Bought in Bushels</t>
        </is>
      </c>
      <c r="H1" t="inlineStr">
        <is>
          <t>Total Bought Quarters</t>
        </is>
      </c>
      <c r="I1" t="inlineStr">
        <is>
          <t>Sold Quarters</t>
        </is>
      </c>
      <c r="J1" t="inlineStr">
        <is>
          <t>Sold Bushels</t>
        </is>
      </c>
      <c r="K1" t="inlineStr">
        <is>
          <t>Sold Total Quarters</t>
        </is>
      </c>
      <c r="L1" t="inlineStr">
        <is>
          <t>Total Corn Quantity</t>
        </is>
      </c>
      <c r="M1" t="inlineStr">
        <is>
          <t>Difference Produced+Bought-Sold</t>
        </is>
      </c>
      <c r="N1" t="inlineStr">
        <is>
          <t>Weighted Average Price per Quarter</t>
        </is>
      </c>
      <c r="O1" t="inlineStr">
        <is>
          <t>Non-Weighted Average Price per Quarter</t>
        </is>
      </c>
      <c r="P1" t="inlineStr">
        <is>
          <t>Value of Total Production weighted</t>
        </is>
      </c>
      <c r="Q1" t="inlineStr">
        <is>
          <t>Value of Total Production unweighted</t>
        </is>
      </c>
    </row>
    <row r="2">
      <c r="A2" t="inlineStr">
        <is>
          <t>total of all allowances and cash deliveries</t>
        </is>
      </c>
      <c r="B2" t="n">
        <v>0</v>
      </c>
      <c r="C2" t="n">
        <v>0</v>
      </c>
      <c r="D2" t="n">
        <v>0</v>
      </c>
      <c r="E2" t="n">
        <v>0</v>
      </c>
      <c r="F2" t="n">
        <v>0</v>
      </c>
      <c r="G2" t="n">
        <v>0</v>
      </c>
      <c r="H2" t="n">
        <v>0</v>
      </c>
      <c r="I2" t="n">
        <v>0</v>
      </c>
      <c r="J2" t="n">
        <v>0</v>
      </c>
      <c r="K2" t="n">
        <v>0</v>
      </c>
      <c r="L2" t="n">
        <v>0</v>
      </c>
      <c r="M2" t="n">
        <v>0</v>
      </c>
    </row>
    <row r="3">
      <c r="A3" t="inlineStr">
        <is>
          <t>wheat</t>
        </is>
      </c>
      <c r="B3" t="n">
        <v>0</v>
      </c>
      <c r="C3" t="n">
        <v>0</v>
      </c>
      <c r="D3" t="n">
        <v>0</v>
      </c>
      <c r="E3" t="n">
        <v>0</v>
      </c>
      <c r="F3" t="n">
        <v>0</v>
      </c>
      <c r="G3" t="n">
        <v>0</v>
      </c>
      <c r="H3" t="n">
        <v>0</v>
      </c>
      <c r="I3" t="n">
        <v>0</v>
      </c>
      <c r="J3" t="n">
        <v>0</v>
      </c>
      <c r="K3" t="n">
        <v>0</v>
      </c>
      <c r="L3" t="n">
        <v>0</v>
      </c>
      <c r="M3" t="n">
        <v>0</v>
      </c>
    </row>
    <row r="4">
      <c r="A4" t="inlineStr">
        <is>
          <t>barley</t>
        </is>
      </c>
      <c r="B4" t="n">
        <v>0</v>
      </c>
      <c r="C4" t="n">
        <v>0</v>
      </c>
      <c r="D4" t="n">
        <v>0</v>
      </c>
      <c r="E4" t="n">
        <v>0</v>
      </c>
      <c r="F4" t="n">
        <v>0</v>
      </c>
      <c r="G4" t="n">
        <v>0</v>
      </c>
      <c r="H4" t="n">
        <v>0</v>
      </c>
      <c r="I4" t="n">
        <v>0</v>
      </c>
      <c r="J4" t="n">
        <v>0</v>
      </c>
      <c r="K4" t="n">
        <v>0</v>
      </c>
      <c r="L4" t="n">
        <v>0</v>
      </c>
      <c r="M4" t="n">
        <v>0</v>
      </c>
    </row>
    <row r="5">
      <c r="A5" t="inlineStr">
        <is>
          <t>dredge</t>
        </is>
      </c>
      <c r="B5" t="n">
        <v>0</v>
      </c>
      <c r="C5" t="n">
        <v>0</v>
      </c>
      <c r="D5" t="n">
        <v>0</v>
      </c>
      <c r="E5" t="n">
        <v>0</v>
      </c>
      <c r="F5" t="n">
        <v>0</v>
      </c>
      <c r="G5" t="n">
        <v>0</v>
      </c>
      <c r="H5" t="n">
        <v>0</v>
      </c>
      <c r="I5" t="n">
        <v>0</v>
      </c>
      <c r="J5" t="n">
        <v>0</v>
      </c>
      <c r="K5" t="n">
        <v>0</v>
      </c>
      <c r="L5" t="n">
        <v>0</v>
      </c>
      <c r="M5" t="n">
        <v>0</v>
      </c>
    </row>
    <row r="6">
      <c r="A6" t="inlineStr">
        <is>
          <t>oats</t>
        </is>
      </c>
      <c r="B6" t="n">
        <v>0</v>
      </c>
      <c r="C6" t="n">
        <v>0</v>
      </c>
      <c r="D6" t="n">
        <v>0</v>
      </c>
      <c r="E6" t="n">
        <v>0</v>
      </c>
      <c r="F6" t="n">
        <v>0</v>
      </c>
      <c r="G6" t="n">
        <v>0</v>
      </c>
      <c r="H6" t="n">
        <v>0</v>
      </c>
      <c r="I6" t="n">
        <v>0</v>
      </c>
      <c r="J6" t="n">
        <v>0</v>
      </c>
      <c r="K6" t="n">
        <v>0</v>
      </c>
      <c r="L6" t="n">
        <v>0</v>
      </c>
      <c r="M6" t="n">
        <v>0</v>
      </c>
    </row>
    <row r="7">
      <c r="A7" t="inlineStr">
        <is>
          <t>Mancorn</t>
        </is>
      </c>
      <c r="B7" t="n">
        <v>0</v>
      </c>
      <c r="C7" t="n">
        <v>0</v>
      </c>
      <c r="D7" t="n">
        <v>0</v>
      </c>
      <c r="E7" t="n">
        <v>0</v>
      </c>
      <c r="F7" t="n">
        <v>0</v>
      </c>
      <c r="G7" t="n">
        <v>0</v>
      </c>
      <c r="H7" t="n">
        <v>0</v>
      </c>
      <c r="I7" t="n">
        <v>0</v>
      </c>
      <c r="J7" t="n">
        <v>0</v>
      </c>
      <c r="K7" t="n">
        <v>0</v>
      </c>
      <c r="L7" t="n">
        <v>0</v>
      </c>
      <c r="M7" t="n">
        <v>0</v>
      </c>
    </row>
    <row r="8">
      <c r="A8" t="inlineStr">
        <is>
          <t>Maslin</t>
        </is>
      </c>
      <c r="B8" t="n">
        <v>0</v>
      </c>
      <c r="C8" t="n">
        <v>0</v>
      </c>
      <c r="D8" t="n">
        <v>0</v>
      </c>
      <c r="E8" t="n">
        <v>0</v>
      </c>
      <c r="F8" t="n">
        <v>0</v>
      </c>
      <c r="G8" t="n">
        <v>0</v>
      </c>
      <c r="H8" t="n">
        <v>0</v>
      </c>
      <c r="I8" t="n">
        <v>0</v>
      </c>
      <c r="J8" t="n">
        <v>0</v>
      </c>
      <c r="K8" t="n">
        <v>0</v>
      </c>
      <c r="L8" t="n">
        <v>0</v>
      </c>
      <c r="M8" t="n">
        <v>0</v>
      </c>
    </row>
    <row r="9">
      <c r="A9" t="inlineStr">
        <is>
          <t>First-grade malt</t>
        </is>
      </c>
      <c r="B9" t="n">
        <v>0</v>
      </c>
      <c r="C9" t="n">
        <v>0</v>
      </c>
      <c r="D9" t="n">
        <v>0</v>
      </c>
      <c r="E9" t="n">
        <v>0</v>
      </c>
      <c r="F9" t="n">
        <v>0</v>
      </c>
      <c r="G9" t="n">
        <v>0</v>
      </c>
      <c r="H9" t="n">
        <v>0</v>
      </c>
      <c r="I9" t="n">
        <v>0</v>
      </c>
      <c r="J9" t="n">
        <v>0</v>
      </c>
      <c r="K9" t="n">
        <v>0</v>
      </c>
      <c r="L9" t="n">
        <v>0</v>
      </c>
      <c r="M9" t="n">
        <v>0</v>
      </c>
    </row>
    <row r="10">
      <c r="A10" t="inlineStr">
        <is>
          <t>Second-grade malt</t>
        </is>
      </c>
      <c r="B10" t="n">
        <v>0</v>
      </c>
      <c r="C10" t="n">
        <v>0</v>
      </c>
      <c r="D10" t="n">
        <v>0</v>
      </c>
      <c r="E10" t="n">
        <v>0</v>
      </c>
      <c r="F10" t="n">
        <v>0</v>
      </c>
      <c r="G10" t="n">
        <v>0</v>
      </c>
      <c r="H10" t="n">
        <v>0</v>
      </c>
      <c r="I10" t="n">
        <v>0</v>
      </c>
      <c r="J10" t="n">
        <v>0</v>
      </c>
      <c r="K10" t="n">
        <v>0</v>
      </c>
      <c r="L10" t="n">
        <v>0</v>
      </c>
      <c r="M10" t="n">
        <v>0</v>
      </c>
    </row>
    <row r="11">
      <c r="A11" t="inlineStr">
        <is>
          <t>Peas</t>
        </is>
      </c>
      <c r="B11" t="n">
        <v>0</v>
      </c>
      <c r="C11" t="n">
        <v>0</v>
      </c>
      <c r="D11" t="n">
        <v>0</v>
      </c>
      <c r="E11" t="n">
        <v>0</v>
      </c>
      <c r="F11" t="n">
        <v>0</v>
      </c>
      <c r="G11" t="n">
        <v>0</v>
      </c>
      <c r="H11" t="n">
        <v>0</v>
      </c>
      <c r="I11" t="n">
        <v>0</v>
      </c>
      <c r="J11" t="n">
        <v>0</v>
      </c>
      <c r="K11" t="n">
        <v>0</v>
      </c>
      <c r="L11" t="n">
        <v>0</v>
      </c>
      <c r="M11" t="n">
        <v>0</v>
      </c>
    </row>
    <row r="12">
      <c r="A12" t="inlineStr">
        <is>
          <t>Oatmeal</t>
        </is>
      </c>
      <c r="B12" t="n">
        <v>0</v>
      </c>
      <c r="C12" t="n">
        <v>0</v>
      </c>
      <c r="D12" t="n">
        <v>0</v>
      </c>
      <c r="E12" t="n">
        <v>0</v>
      </c>
      <c r="F12" t="n">
        <v>0</v>
      </c>
      <c r="G12" t="n">
        <v>0</v>
      </c>
      <c r="H12" t="n">
        <v>0</v>
      </c>
      <c r="I12" t="n">
        <v>0</v>
      </c>
      <c r="J12" t="n">
        <v>0</v>
      </c>
      <c r="K12" t="n">
        <v>0</v>
      </c>
      <c r="L12" t="n">
        <v>0</v>
      </c>
      <c r="M12" t="n">
        <v>0</v>
      </c>
    </row>
    <row r="13">
      <c r="A13" t="inlineStr">
        <is>
          <t>Vetches</t>
        </is>
      </c>
      <c r="B13" t="n">
        <v>0</v>
      </c>
      <c r="C13" t="n">
        <v>0</v>
      </c>
      <c r="D13" t="n">
        <v>0</v>
      </c>
      <c r="E13" t="n">
        <v>0</v>
      </c>
      <c r="F13" t="n">
        <v>0</v>
      </c>
      <c r="G13" t="n">
        <v>0</v>
      </c>
      <c r="H13" t="n">
        <v>0</v>
      </c>
      <c r="I13" t="n">
        <v>0</v>
      </c>
      <c r="J13" t="n">
        <v>0</v>
      </c>
      <c r="K13" t="n">
        <v>0</v>
      </c>
      <c r="L13" t="n">
        <v>0</v>
      </c>
      <c r="M13" t="n">
        <v>0</v>
      </c>
    </row>
    <row r="14">
      <c r="A14" t="inlineStr">
        <is>
          <t>Rye</t>
        </is>
      </c>
      <c r="B14" t="n">
        <v>0</v>
      </c>
      <c r="C14" t="n">
        <v>0</v>
      </c>
      <c r="D14" t="n">
        <v>0</v>
      </c>
      <c r="E14" t="n">
        <v>0</v>
      </c>
      <c r="F14" t="n">
        <v>0</v>
      </c>
      <c r="G14" t="n">
        <v>0</v>
      </c>
      <c r="H14" t="n">
        <v>0</v>
      </c>
      <c r="I14" t="n">
        <v>0</v>
      </c>
      <c r="J14" t="n">
        <v>0</v>
      </c>
      <c r="K14" t="n">
        <v>0</v>
      </c>
      <c r="L14" t="n">
        <v>0</v>
      </c>
      <c r="M14" t="n">
        <v>0</v>
      </c>
    </row>
    <row r="15">
      <c r="A15" t="inlineStr">
        <is>
          <t>Malt</t>
        </is>
      </c>
      <c r="B15" t="n">
        <v>0</v>
      </c>
      <c r="C15" t="n">
        <v>0</v>
      </c>
      <c r="D15" t="n">
        <v>0</v>
      </c>
      <c r="E15" t="n">
        <v>0</v>
      </c>
      <c r="F15" t="n">
        <v>0</v>
      </c>
      <c r="G15" t="n">
        <v>0</v>
      </c>
      <c r="H15" t="n">
        <v>0</v>
      </c>
      <c r="I15" t="n">
        <v>0</v>
      </c>
      <c r="J15" t="n">
        <v>0</v>
      </c>
      <c r="K15" t="n">
        <v>0</v>
      </c>
      <c r="L15" t="n">
        <v>0</v>
      </c>
      <c r="M15" t="n">
        <v>0</v>
      </c>
    </row>
    <row r="16">
      <c r="A16" t="inlineStr">
        <is>
          <t>Meal</t>
        </is>
      </c>
      <c r="B16" t="n">
        <v>0</v>
      </c>
      <c r="C16" t="n">
        <v>0</v>
      </c>
      <c r="D16" t="n">
        <v>0</v>
      </c>
      <c r="E16" t="n">
        <v>0</v>
      </c>
      <c r="F16" t="n">
        <v>0</v>
      </c>
      <c r="G16" t="n">
        <v>0</v>
      </c>
      <c r="H16" t="n">
        <v>0</v>
      </c>
      <c r="I16" t="n">
        <v>0</v>
      </c>
      <c r="J16" t="n">
        <v>0</v>
      </c>
      <c r="K16" t="n">
        <v>0</v>
      </c>
      <c r="L16" t="n">
        <v>0</v>
      </c>
      <c r="M16" t="n">
        <v>0</v>
      </c>
    </row>
    <row r="17">
      <c r="A17" t="inlineStr">
        <is>
          <t>Curall</t>
        </is>
      </c>
      <c r="B17" t="n">
        <v>0</v>
      </c>
      <c r="C17" t="n">
        <v>0</v>
      </c>
      <c r="D17" t="n">
        <v>0</v>
      </c>
      <c r="E17" t="n">
        <v>0</v>
      </c>
      <c r="F17" t="n">
        <v>0</v>
      </c>
      <c r="G17" t="n">
        <v>0</v>
      </c>
      <c r="H17" t="n">
        <v>0</v>
      </c>
      <c r="I17" t="n">
        <v>0</v>
      </c>
      <c r="J17" t="n">
        <v>0</v>
      </c>
      <c r="K17" t="n">
        <v>0</v>
      </c>
      <c r="L17" t="n">
        <v>0</v>
      </c>
      <c r="M17"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H1"/>
  <sheetViews>
    <sheetView topLeftCell="A1"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0</t>
        </is>
      </c>
      <c r="N1" t="inlineStr">
        <is>
          <t>Bushels 0</t>
        </is>
      </c>
      <c r="O1" t="inlineStr">
        <is>
          <t>shilling a quarter 1</t>
        </is>
      </c>
      <c r="P1" t="inlineStr">
        <is>
          <t>pence a quarter 1</t>
        </is>
      </c>
      <c r="Q1" t="inlineStr">
        <is>
          <t>Quarters 1</t>
        </is>
      </c>
      <c r="R1" t="inlineStr">
        <is>
          <t>Bushels 1</t>
        </is>
      </c>
      <c r="S1" t="inlineStr">
        <is>
          <t>shilling a quarter 2</t>
        </is>
      </c>
      <c r="T1" t="inlineStr">
        <is>
          <t>pence a quarter 2</t>
        </is>
      </c>
      <c r="U1" t="inlineStr">
        <is>
          <t>Quarters 2</t>
        </is>
      </c>
      <c r="V1" t="inlineStr">
        <is>
          <t>Bushels 2</t>
        </is>
      </c>
      <c r="W1" t="inlineStr">
        <is>
          <t>shilling a quarter 3</t>
        </is>
      </c>
      <c r="X1" t="inlineStr">
        <is>
          <t>pence a quarter 3</t>
        </is>
      </c>
      <c r="Y1" t="inlineStr">
        <is>
          <t>shilling a quarter 4</t>
        </is>
      </c>
      <c r="Z1" t="inlineStr">
        <is>
          <t>pence a quarter 4</t>
        </is>
      </c>
      <c r="AA1" t="inlineStr">
        <is>
          <t>£ a quarter 1</t>
        </is>
      </c>
      <c r="AB1" t="inlineStr">
        <is>
          <t>£ a quarter 2</t>
        </is>
      </c>
      <c r="AC1" t="inlineStr">
        <is>
          <t>£ a quarter 3</t>
        </is>
      </c>
      <c r="AD1" t="inlineStr">
        <is>
          <t>£ a quarter 4</t>
        </is>
      </c>
      <c r="AE1" t="inlineStr">
        <is>
          <t>Quarters Sold</t>
        </is>
      </c>
      <c r="AF1" t="inlineStr">
        <is>
          <t>Weighted Average Price per Quarter</t>
        </is>
      </c>
      <c r="AG1" t="inlineStr">
        <is>
          <t>Non-Weighted Average Price per Quarter</t>
        </is>
      </c>
      <c r="AH1" t="inlineStr">
        <is>
          <t>Corn lowercase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2026-02-04T20:29:40Z</dcterms:modified>
  <cp:lastModifiedBy>Kowalski, Kuba</cp:lastModifiedBy>
</cp:coreProperties>
</file>
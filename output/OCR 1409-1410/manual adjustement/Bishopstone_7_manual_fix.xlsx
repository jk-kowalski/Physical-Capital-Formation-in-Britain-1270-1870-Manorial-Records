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wageningenur4-my.sharepoint.com/personal/kuba_kowalski_wur_nl/Documents/WUR/2024-2025/research_assistant_ox/workfolder/output/OCR 1409-1410/manual adjustement/"/>
    </mc:Choice>
  </mc:AlternateContent>
  <xr:revisionPtr revIDLastSave="56" documentId="11_7864D3D3D70D7DBAC53410D1E538039D779E8681" xr6:coauthVersionLast="47" xr6:coauthVersionMax="47" xr10:uidLastSave="{92D8C7DC-CC7F-4100-A02E-E408D9D2A1A4}"/>
  <bookViews>
    <workbookView xWindow="-110" yWindow="-110" windowWidth="38620" windowHeight="21100" activeTab="3" xr2:uid="{00000000-000D-0000-FFFF-FFFF00000000}"/>
  </bookViews>
  <sheets>
    <sheet name="Overview" sheetId="1" r:id="rId1"/>
    <sheet name="Receipts" sheetId="2" r:id="rId2"/>
    <sheet name="Expenses" sheetId="3" r:id="rId3"/>
    <sheet name="Stock" sheetId="4" r:id="rId4"/>
    <sheet name="raw data" sheetId="5" r:id="rId5"/>
    <sheet name="Stock_raw" sheetId="6" r:id="rId6"/>
    <sheet name="Issues of the Mills" sheetId="7" r:id="rId7"/>
    <sheet name="Prices" sheetId="8" r:id="rId8"/>
    <sheet name="Labour Rents" sheetId="9" r:id="rId9"/>
    <sheet name="not needed" sheetId="10" r:id="rId10"/>
    <sheet name="Issues of the Grange raw" sheetId="11" r:id="rId11"/>
    <sheet name="Issues of the Grange" sheetId="12" r:id="rId12"/>
    <sheet name="Sale of Corn Price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4" l="1"/>
  <c r="B55" i="1"/>
  <c r="B52" i="1"/>
  <c r="B54" i="1" s="1"/>
  <c r="B57" i="1" s="1"/>
  <c r="F85" i="3"/>
  <c r="F84" i="3"/>
  <c r="T93" i="4"/>
  <c r="S93" i="4"/>
  <c r="T89" i="4"/>
  <c r="S89" i="4"/>
  <c r="T88" i="4"/>
  <c r="S88" i="4"/>
  <c r="T84" i="4"/>
  <c r="S84" i="4"/>
  <c r="T83" i="4"/>
  <c r="S83" i="4"/>
  <c r="T82" i="4"/>
  <c r="S82" i="4"/>
  <c r="T76" i="4"/>
  <c r="S76" i="4"/>
  <c r="S77" i="4" s="1"/>
  <c r="T75" i="4"/>
  <c r="T77" i="4" s="1"/>
  <c r="S75" i="4"/>
  <c r="T70" i="4"/>
  <c r="Q70" i="4"/>
  <c r="F154" i="1" s="1"/>
  <c r="N70" i="4"/>
  <c r="M70" i="4"/>
  <c r="S70" i="4" s="1"/>
  <c r="L70" i="4"/>
  <c r="T69" i="4"/>
  <c r="Q69" i="4"/>
  <c r="F153" i="1" s="1"/>
  <c r="N69" i="4"/>
  <c r="L69" i="4"/>
  <c r="M69" i="4" s="1"/>
  <c r="T68" i="4"/>
  <c r="Q68" i="4"/>
  <c r="F152" i="1" s="1"/>
  <c r="N68" i="4"/>
  <c r="L68" i="4"/>
  <c r="M68" i="4" s="1"/>
  <c r="T67" i="4"/>
  <c r="Q67" i="4"/>
  <c r="N67" i="4"/>
  <c r="L67" i="4"/>
  <c r="M67" i="4" s="1"/>
  <c r="N30" i="4"/>
  <c r="T30" i="4" s="1"/>
  <c r="L30" i="4"/>
  <c r="F112" i="1" s="1"/>
  <c r="K30" i="4"/>
  <c r="P30" i="4" s="1"/>
  <c r="N29" i="4"/>
  <c r="T29" i="4" s="1"/>
  <c r="L29" i="4"/>
  <c r="F111" i="1" s="1"/>
  <c r="K29" i="4"/>
  <c r="P29" i="4" s="1"/>
  <c r="T28" i="4"/>
  <c r="N28" i="4"/>
  <c r="L28" i="4"/>
  <c r="M28" i="4" s="1"/>
  <c r="S28" i="4" s="1"/>
  <c r="K28" i="4"/>
  <c r="P28" i="4" s="1"/>
  <c r="T27" i="4"/>
  <c r="N27" i="4"/>
  <c r="L27" i="4"/>
  <c r="M27" i="4" s="1"/>
  <c r="S27" i="4" s="1"/>
  <c r="K27" i="4"/>
  <c r="P27" i="4" s="1"/>
  <c r="T26" i="4"/>
  <c r="N26" i="4"/>
  <c r="L26" i="4"/>
  <c r="M26" i="4" s="1"/>
  <c r="S26" i="4" s="1"/>
  <c r="K26" i="4"/>
  <c r="P26" i="4" s="1"/>
  <c r="T25" i="4"/>
  <c r="P25" i="4"/>
  <c r="N25" i="4"/>
  <c r="L25" i="4"/>
  <c r="M25" i="4" s="1"/>
  <c r="S25" i="4" s="1"/>
  <c r="K25" i="4"/>
  <c r="P24" i="4"/>
  <c r="N24" i="4"/>
  <c r="T24" i="4" s="1"/>
  <c r="M24" i="4"/>
  <c r="S24" i="4" s="1"/>
  <c r="L24" i="4"/>
  <c r="F106" i="1" s="1"/>
  <c r="K24" i="4"/>
  <c r="P23" i="4"/>
  <c r="N23" i="4"/>
  <c r="T23" i="4" s="1"/>
  <c r="M23" i="4"/>
  <c r="S23" i="4" s="1"/>
  <c r="L23" i="4"/>
  <c r="K23" i="4"/>
  <c r="P22" i="4"/>
  <c r="N22" i="4"/>
  <c r="T22" i="4" s="1"/>
  <c r="M22" i="4"/>
  <c r="S22" i="4" s="1"/>
  <c r="L22" i="4"/>
  <c r="F104" i="1" s="1"/>
  <c r="K22" i="4"/>
  <c r="N21" i="4"/>
  <c r="T21" i="4" s="1"/>
  <c r="L21" i="4"/>
  <c r="F103" i="1" s="1"/>
  <c r="K21" i="4"/>
  <c r="P21" i="4" s="1"/>
  <c r="T20" i="4"/>
  <c r="N20" i="4"/>
  <c r="L20" i="4"/>
  <c r="M20" i="4" s="1"/>
  <c r="S20" i="4" s="1"/>
  <c r="K20" i="4"/>
  <c r="P20" i="4" s="1"/>
  <c r="T19" i="4"/>
  <c r="S19" i="4"/>
  <c r="P19" i="4"/>
  <c r="N19" i="4"/>
  <c r="M19" i="4"/>
  <c r="L19" i="4"/>
  <c r="K19" i="4"/>
  <c r="T18" i="4"/>
  <c r="P18" i="4"/>
  <c r="N18" i="4"/>
  <c r="L18" i="4"/>
  <c r="M18" i="4" s="1"/>
  <c r="S18" i="4" s="1"/>
  <c r="K18" i="4"/>
  <c r="T17" i="4"/>
  <c r="S17" i="4"/>
  <c r="N17" i="4"/>
  <c r="M17" i="4"/>
  <c r="L17" i="4"/>
  <c r="K17" i="4"/>
  <c r="P17" i="4" s="1"/>
  <c r="P16" i="4"/>
  <c r="N16" i="4"/>
  <c r="T16" i="4" s="1"/>
  <c r="M16" i="4"/>
  <c r="S16" i="4" s="1"/>
  <c r="L16" i="4"/>
  <c r="K16" i="4"/>
  <c r="N15" i="4"/>
  <c r="L15" i="4"/>
  <c r="M15" i="4" s="1"/>
  <c r="K15" i="4"/>
  <c r="T14" i="4"/>
  <c r="N14" i="4"/>
  <c r="L14" i="4"/>
  <c r="F96" i="1" s="1"/>
  <c r="K14" i="4"/>
  <c r="P14" i="4" s="1"/>
  <c r="P13" i="4"/>
  <c r="N13" i="4"/>
  <c r="T13" i="4" s="1"/>
  <c r="L13" i="4"/>
  <c r="M13" i="4" s="1"/>
  <c r="S13" i="4" s="1"/>
  <c r="K13" i="4"/>
  <c r="N12" i="4"/>
  <c r="T12" i="4" s="1"/>
  <c r="L12" i="4"/>
  <c r="F94" i="1" s="1"/>
  <c r="K12" i="4"/>
  <c r="P12" i="4" s="1"/>
  <c r="T11" i="4"/>
  <c r="N11" i="4"/>
  <c r="L11" i="4"/>
  <c r="M11" i="4" s="1"/>
  <c r="S11" i="4" s="1"/>
  <c r="K11" i="4"/>
  <c r="P11" i="4" s="1"/>
  <c r="P10" i="4"/>
  <c r="N10" i="4"/>
  <c r="T10" i="4" s="1"/>
  <c r="L10" i="4"/>
  <c r="F92" i="1" s="1"/>
  <c r="K10" i="4"/>
  <c r="P9" i="4"/>
  <c r="N9" i="4"/>
  <c r="T9" i="4" s="1"/>
  <c r="L9" i="4"/>
  <c r="M9" i="4" s="1"/>
  <c r="S9" i="4" s="1"/>
  <c r="K9" i="4"/>
  <c r="T8" i="4"/>
  <c r="P8" i="4"/>
  <c r="N8" i="4"/>
  <c r="L8" i="4"/>
  <c r="M8" i="4" s="1"/>
  <c r="S8" i="4" s="1"/>
  <c r="K8" i="4"/>
  <c r="P7" i="4"/>
  <c r="N7" i="4"/>
  <c r="T7" i="4" s="1"/>
  <c r="L7" i="4"/>
  <c r="C89" i="1" s="1"/>
  <c r="D89" i="1" s="1"/>
  <c r="G89" i="1" s="1"/>
  <c r="K7" i="4"/>
  <c r="N6" i="4"/>
  <c r="T6" i="4" s="1"/>
  <c r="M6" i="4"/>
  <c r="S6" i="4" s="1"/>
  <c r="L6" i="4"/>
  <c r="F88" i="1" s="1"/>
  <c r="K6" i="4"/>
  <c r="P6" i="4" s="1"/>
  <c r="T5" i="4"/>
  <c r="N5" i="4"/>
  <c r="L5" i="4"/>
  <c r="F87" i="1" s="1"/>
  <c r="K5" i="4"/>
  <c r="P5" i="4" s="1"/>
  <c r="F83" i="3"/>
  <c r="B45" i="1" s="1"/>
  <c r="B49" i="1" s="1"/>
  <c r="F82" i="3"/>
  <c r="F73" i="2"/>
  <c r="F74" i="2" s="1"/>
  <c r="B26" i="1" s="1"/>
  <c r="B177" i="1"/>
  <c r="F169" i="1"/>
  <c r="F162" i="1"/>
  <c r="F156" i="1"/>
  <c r="B176" i="1" s="1"/>
  <c r="B152" i="1"/>
  <c r="F151" i="1"/>
  <c r="B151" i="1"/>
  <c r="F123" i="1"/>
  <c r="F115" i="1"/>
  <c r="F110" i="1"/>
  <c r="C110" i="1"/>
  <c r="D110" i="1" s="1"/>
  <c r="G110" i="1" s="1"/>
  <c r="F109" i="1"/>
  <c r="C109" i="1"/>
  <c r="D109" i="1" s="1"/>
  <c r="G109" i="1" s="1"/>
  <c r="F107" i="1"/>
  <c r="C107" i="1"/>
  <c r="D107" i="1" s="1"/>
  <c r="G107" i="1" s="1"/>
  <c r="F105" i="1"/>
  <c r="C105" i="1"/>
  <c r="D105" i="1" s="1"/>
  <c r="G105" i="1" s="1"/>
  <c r="D104" i="1"/>
  <c r="G104" i="1" s="1"/>
  <c r="C104" i="1"/>
  <c r="F102" i="1"/>
  <c r="C102" i="1"/>
  <c r="D102" i="1" s="1"/>
  <c r="G102" i="1" s="1"/>
  <c r="F101" i="1"/>
  <c r="C101" i="1"/>
  <c r="D101" i="1" s="1"/>
  <c r="G101" i="1" s="1"/>
  <c r="F100" i="1"/>
  <c r="C100" i="1"/>
  <c r="D100" i="1" s="1"/>
  <c r="G100" i="1" s="1"/>
  <c r="F99" i="1"/>
  <c r="C99" i="1"/>
  <c r="D99" i="1" s="1"/>
  <c r="G99" i="1" s="1"/>
  <c r="G98" i="1"/>
  <c r="F98" i="1"/>
  <c r="D98" i="1"/>
  <c r="C98" i="1"/>
  <c r="F95" i="1"/>
  <c r="F93" i="1"/>
  <c r="C93" i="1"/>
  <c r="D93" i="1" s="1"/>
  <c r="G93" i="1" s="1"/>
  <c r="F91" i="1"/>
  <c r="C91" i="1"/>
  <c r="D91" i="1" s="1"/>
  <c r="G91" i="1" s="1"/>
  <c r="G90" i="1"/>
  <c r="F90" i="1"/>
  <c r="D90" i="1"/>
  <c r="C90" i="1"/>
  <c r="E72" i="1"/>
  <c r="E71" i="1"/>
  <c r="B44" i="1"/>
  <c r="B24" i="1"/>
  <c r="B23" i="1"/>
  <c r="S15" i="4" l="1"/>
  <c r="P15" i="4"/>
  <c r="T15" i="4"/>
  <c r="C152" i="1"/>
  <c r="S68" i="4"/>
  <c r="F155" i="1"/>
  <c r="B175" i="1" s="1"/>
  <c r="D152" i="1"/>
  <c r="F114" i="1"/>
  <c r="C153" i="1"/>
  <c r="D153" i="1" s="1"/>
  <c r="S69" i="4"/>
  <c r="S67" i="4"/>
  <c r="C151" i="1"/>
  <c r="D151" i="1" s="1"/>
  <c r="M7" i="4"/>
  <c r="S7" i="4" s="1"/>
  <c r="F89" i="1"/>
  <c r="F97" i="1"/>
  <c r="M14" i="4"/>
  <c r="S14" i="4" s="1"/>
  <c r="M5" i="4"/>
  <c r="S5" i="4" s="1"/>
  <c r="C106" i="1"/>
  <c r="D106" i="1" s="1"/>
  <c r="G106" i="1" s="1"/>
  <c r="C97" i="1"/>
  <c r="D97" i="1" s="1"/>
  <c r="G97" i="1" s="1"/>
  <c r="M10" i="4"/>
  <c r="S10" i="4" s="1"/>
  <c r="C154" i="1"/>
  <c r="D154" i="1" s="1"/>
  <c r="M29" i="4"/>
  <c r="S29" i="4" s="1"/>
  <c r="C92" i="1"/>
  <c r="D92" i="1" s="1"/>
  <c r="G92" i="1" s="1"/>
  <c r="C108" i="1"/>
  <c r="D108" i="1" s="1"/>
  <c r="G108" i="1" s="1"/>
  <c r="B25" i="1"/>
  <c r="C25" i="1" s="1"/>
  <c r="F108" i="1"/>
  <c r="M30" i="4"/>
  <c r="S30" i="4" s="1"/>
  <c r="C94" i="1"/>
  <c r="D94" i="1" s="1"/>
  <c r="G94" i="1" s="1"/>
  <c r="M12" i="4"/>
  <c r="S12" i="4" s="1"/>
  <c r="C87" i="1"/>
  <c r="D87" i="1" s="1"/>
  <c r="G87" i="1" s="1"/>
  <c r="C95" i="1"/>
  <c r="D95" i="1" s="1"/>
  <c r="G95" i="1" s="1"/>
  <c r="C103" i="1"/>
  <c r="D103" i="1" s="1"/>
  <c r="G103" i="1" s="1"/>
  <c r="C111" i="1"/>
  <c r="D111" i="1" s="1"/>
  <c r="G111" i="1" s="1"/>
  <c r="M21" i="4"/>
  <c r="S21" i="4" s="1"/>
  <c r="C88" i="1"/>
  <c r="D88" i="1" s="1"/>
  <c r="G88" i="1" s="1"/>
  <c r="C96" i="1"/>
  <c r="D96" i="1" s="1"/>
  <c r="G96" i="1" s="1"/>
  <c r="C112" i="1"/>
  <c r="D112" i="1" s="1"/>
  <c r="G112" i="1" s="1"/>
  <c r="F113" i="1" l="1"/>
  <c r="B180" i="1"/>
  <c r="B178" i="1"/>
  <c r="B181" i="1" s="1"/>
  <c r="G1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F8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  <comment ref="F11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  <comment ref="F12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  <comment ref="F15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  <comment ref="F15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  <comment ref="F16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tc={0074B420-B592-4459-AA52-C6804AF81835}</author>
    <author>tc={C13EC097-1D61-40CD-9C99-6EE8A128748A}</author>
    <author>tc={26922537-6519-4038-9946-03F860E651A7}</author>
    <author>tc={B7F7F405-F13B-48A5-BFE8-4CEC75528A5D}</author>
    <author>tc={61F18810-7E6D-4197-A565-1A6BC64C78C0}</author>
    <author>tc={0D15FFF2-9233-4D2F-9853-E6739AC90665}</author>
    <author>tc={0E3177CB-185A-49A1-83A9-D76016AEA5F2}</author>
  </authors>
  <commentList>
    <comment ref="I40" authorId="0" shapeId="0" xr:uid="{0074B420-B592-4459-AA52-C6804AF81835}">
      <text>
        <t>[Threaded comment]
Your version of Excel allows you to read this threaded comment; however, any edits to it will get removed if the file is opened in a newer version of Excel. Learn more: https://go.microsoft.com/fwlink/?linkid=870924
Comment:
    service</t>
      </text>
    </comment>
    <comment ref="I41" authorId="1" shapeId="0" xr:uid="{C13EC097-1D61-40CD-9C99-6EE8A12874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Materials used for land improvement </t>
      </text>
    </comment>
    <comment ref="I42" authorId="2" shapeId="0" xr:uid="{26922537-6519-4038-9946-03F860E651A7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Building materials</t>
      </text>
    </comment>
    <comment ref="I43" authorId="3" shapeId="0" xr:uid="{B7F7F405-F13B-48A5-BFE8-4CEC75528A5D}">
      <text>
        <t>[Threaded comment]
Your version of Excel allows you to read this threaded comment; however, any edits to it will get removed if the file is opened in a newer version of Excel. Learn more: https://go.microsoft.com/fwlink/?linkid=870924
Comment:
    Land improvement so (arguably?) fixed demesne?</t>
      </text>
    </comment>
    <comment ref="I44" authorId="4" shapeId="0" xr:uid="{61F18810-7E6D-4197-A565-1A6BC64C78C0}">
      <text>
        <t>[Threaded comment]
Your version of Excel allows you to read this threaded comment; however, any edits to it will get removed if the file is opened in a newer version of Excel. Learn more: https://go.microsoft.com/fwlink/?linkid=870924
Comment:
    Tool</t>
      </text>
    </comment>
    <comment ref="I45" authorId="5" shapeId="0" xr:uid="{0D15FFF2-9233-4D2F-9853-E6739AC90665}">
      <text>
        <t>[Threaded comment]
Your version of Excel allows you to read this threaded comment; however, any edits to it will get removed if the file is opened in a newer version of Excel. Learn more: https://go.microsoft.com/fwlink/?linkid=870924
Comment:
    service</t>
      </text>
    </comment>
    <comment ref="I46" authorId="6" shapeId="0" xr:uid="{0E3177CB-185A-49A1-83A9-D76016AEA5F2}">
      <text>
        <t>[Threaded comment]
Your version of Excel allows you to read this threaded comment; however, any edits to it will get removed if the file is opened in a newer version of Excel. Learn more: https://go.microsoft.com/fwlink/?linkid=870924
Comment:
    Building materials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  <author>tc={91EEA635-6917-42F4-AE26-0CDB6D9C7911}</author>
    <author>tc={B648A613-C1B4-45C4-95EE-366FE930C341}</author>
    <author>tc={015873B2-410F-4776-8CFF-07F50329E103}</author>
    <author>tc={DAD677F1-BFC4-4407-A2DF-FE2C015758DE}</author>
    <author>tc={FC04017D-E5B1-4E41-BB75-13CDADD755CB}</author>
    <author>tc={5AAEAF61-CB87-4977-9409-75C886F090A2}</author>
  </authors>
  <commentList>
    <comment ref="D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Victoria Gierok:
strays that the seem to have added to their own stock?</t>
        </r>
      </text>
    </comment>
    <comment ref="E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Victoria Gierok:
herbage = a type of customary payment to the lord; hence an addition to the stock</t>
        </r>
      </text>
    </comment>
    <comment ref="O14" authorId="1" shapeId="0" xr:uid="{91EEA635-6917-42F4-AE26-0CDB6D9C79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sales/purchases</t>
      </text>
    </comment>
    <comment ref="O15" authorId="2" shapeId="0" xr:uid="{B648A613-C1B4-45C4-95EE-366FE930C341}">
      <text>
        <t>[Threaded comment]
Your version of Excel allows you to read this threaded comment; however, any edits to it will get removed if the file is opened in a newer version of Excel. Learn more: https://go.microsoft.com/fwlink/?linkid=870924
Comment:
    7 shilling from 1 steer sold because feeble and useless for the lord's stock.</t>
      </text>
    </comment>
    <comment ref="O16" authorId="3" shapeId="0" xr:uid="{015873B2-410F-4776-8CFF-07F50329E1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sales/purchases</t>
      </text>
    </comment>
    <comment ref="O18" authorId="4" shapeId="0" xr:uid="{DAD677F1-BFC4-4407-A2DF-FE2C015758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sales/purchases</t>
      </text>
    </comment>
    <comment ref="O20" authorId="5" shapeId="0" xr:uid="{FC04017D-E5B1-4E41-BB75-13CDADD755CB}">
      <text>
        <t>[Threaded comment]
Your version of Excel allows you to read this threaded comment; however, any edits to it will get removed if the file is opened in a newer version of Excel. Learn more: https://go.microsoft.com/fwlink/?linkid=870924
Comment:
    £3 14 shilling 8pence from 1 ram and 55 kebb ewes sold before shearing, at 1 shilling 4pence each.</t>
      </text>
    </comment>
    <comment ref="O22" authorId="6" shapeId="0" xr:uid="{5AAEAF61-CB87-4977-9409-75C886F090A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sales/purchases</t>
      </text>
    </comment>
  </commentList>
</comments>
</file>

<file path=xl/sharedStrings.xml><?xml version="1.0" encoding="utf-8"?>
<sst xmlns="http://schemas.openxmlformats.org/spreadsheetml/2006/main" count="2053" uniqueCount="867">
  <si>
    <t>BISHOPSTONE OVERVIEW - COMPLETED</t>
  </si>
  <si>
    <t>Total in £</t>
  </si>
  <si>
    <t>Error</t>
  </si>
  <si>
    <t>Note</t>
  </si>
  <si>
    <t>CASH ACCOUNT</t>
  </si>
  <si>
    <t>RECEIPTS</t>
  </si>
  <si>
    <t>Arrears total</t>
  </si>
  <si>
    <t>Rents of assize total</t>
  </si>
  <si>
    <t>Quittances total</t>
  </si>
  <si>
    <t>Defaults of rent total</t>
  </si>
  <si>
    <t>Defaults of rent through the pestilence total</t>
  </si>
  <si>
    <t>Cotlands defaults total</t>
  </si>
  <si>
    <t>Cotlands total</t>
  </si>
  <si>
    <t>Total of quittances and defaults of rent total</t>
  </si>
  <si>
    <t>Total of rents remaining clear total</t>
  </si>
  <si>
    <t>Farms total</t>
  </si>
  <si>
    <t>Annual recognizances total</t>
  </si>
  <si>
    <t>Issues of the Manor total</t>
  </si>
  <si>
    <t>Issues of the tenements in the lord's hands total</t>
  </si>
  <si>
    <t>Sale of labour services total</t>
  </si>
  <si>
    <t>Sale of corn total</t>
  </si>
  <si>
    <t>Entry and marriage fines total</t>
  </si>
  <si>
    <t>Pleas &amp; perquisites total</t>
  </si>
  <si>
    <t>Forfeited chattels total</t>
  </si>
  <si>
    <t>Farm of the demesne land total</t>
  </si>
  <si>
    <t>Total of all receipts (calculated here)</t>
  </si>
  <si>
    <t>Total of all receipts (calculated here) incl arrears</t>
  </si>
  <si>
    <t>Total recorded in the accounts excl. arrears</t>
  </si>
  <si>
    <t>Total recorded in the accounts incl. arrears</t>
  </si>
  <si>
    <t>EXPENSES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</si>
  <si>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</si>
  <si>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</si>
  <si>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</si>
  <si>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</si>
  <si>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</si>
  <si>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</si>
  <si>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</si>
  <si>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</si>
  <si>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Barley expenses</t>
  </si>
  <si>
    <t>Expenses of the harvest total</t>
  </si>
  <si>
    <t>Necessary expenses</t>
  </si>
  <si>
    <t>Wages of the bailiff</t>
  </si>
  <si>
    <t>Steward's expenses total</t>
  </si>
  <si>
    <t>Annual fees</t>
  </si>
  <si>
    <t>Total of all expenses per account</t>
  </si>
  <si>
    <t>Total of all expenses (calculated here)</t>
  </si>
  <si>
    <t>Total fixed investment</t>
  </si>
  <si>
    <t>Total Demesne fixed investment</t>
  </si>
  <si>
    <t>Owed by the reeve</t>
  </si>
  <si>
    <t>From accounts</t>
  </si>
  <si>
    <t>Allowances</t>
  </si>
  <si>
    <t>Cash deliveries</t>
  </si>
  <si>
    <t>Sum of the above</t>
  </si>
  <si>
    <t>Total of all allowances and cash deliveries in accounts</t>
  </si>
  <si>
    <t>Net amount owed</t>
  </si>
  <si>
    <t>Net amount owed in accounts</t>
  </si>
  <si>
    <t xml:space="preserve">GRANGE ACCOUNT </t>
  </si>
  <si>
    <t>Total Production</t>
  </si>
  <si>
    <t>Value of total gross production in £</t>
  </si>
  <si>
    <t>Value of total net production in £</t>
  </si>
  <si>
    <t>Grange</t>
  </si>
  <si>
    <t>qrs</t>
  </si>
  <si>
    <t>bus</t>
  </si>
  <si>
    <t>Wheat</t>
  </si>
  <si>
    <t>Rye</t>
  </si>
  <si>
    <t>Dredge</t>
  </si>
  <si>
    <t>Curall</t>
  </si>
  <si>
    <t>Barley</t>
  </si>
  <si>
    <t>Oats</t>
  </si>
  <si>
    <t>Beans</t>
  </si>
  <si>
    <t>Peas</t>
  </si>
  <si>
    <t>Vetches</t>
  </si>
  <si>
    <t>Total value of gross production (sum of the above)</t>
  </si>
  <si>
    <t>Total value of net production</t>
  </si>
  <si>
    <t>Value of sales</t>
  </si>
  <si>
    <t>MILL ACCOUNT</t>
  </si>
  <si>
    <t>Issues of the mill</t>
  </si>
  <si>
    <t>Oatmeal</t>
  </si>
  <si>
    <t>1st grade malt</t>
  </si>
  <si>
    <t>2nd grade malt</t>
  </si>
  <si>
    <t>Maslin</t>
  </si>
  <si>
    <t>Total value of production (sum of the above)</t>
  </si>
  <si>
    <t>STOCK ACCOUNT</t>
  </si>
  <si>
    <t>Livestock</t>
  </si>
  <si>
    <t>Begin stock</t>
  </si>
  <si>
    <t>End stock</t>
  </si>
  <si>
    <t>Stockbuilding</t>
  </si>
  <si>
    <t>Value of stock in £</t>
  </si>
  <si>
    <t>Value of stockbuilding</t>
  </si>
  <si>
    <t>Cart-horses</t>
  </si>
  <si>
    <t>Mares</t>
  </si>
  <si>
    <t>Plough horses</t>
  </si>
  <si>
    <t>Colts (2 years)</t>
  </si>
  <si>
    <t>Colts (1 year)</t>
  </si>
  <si>
    <t>Foals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</si>
  <si>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</si>
  <si>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</si>
  <si>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</si>
  <si>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</si>
  <si>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</si>
  <si>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</si>
  <si>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</si>
  <si>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</si>
  <si>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</si>
  <si>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</si>
  <si>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</si>
  <si>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</si>
  <si>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</si>
  <si>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</si>
  <si>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</si>
  <si>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</si>
  <si>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</si>
  <si>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</si>
  <si>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</si>
  <si>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Total value of stock (sum of the above)</t>
  </si>
  <si>
    <t>Total value of production</t>
  </si>
  <si>
    <t>Wool</t>
  </si>
  <si>
    <t>Fleeces</t>
  </si>
  <si>
    <t>Coarse wool</t>
  </si>
  <si>
    <t>Lamb's wool</t>
  </si>
  <si>
    <t>Wool locks</t>
  </si>
  <si>
    <t>Wool sold at shearing</t>
  </si>
  <si>
    <t>Hides</t>
  </si>
  <si>
    <t>Ox hides</t>
  </si>
  <si>
    <t>Cow hides</t>
  </si>
  <si>
    <t>Mare hides</t>
  </si>
  <si>
    <t>Steer hides</t>
  </si>
  <si>
    <t>Yearling Calf hides</t>
  </si>
  <si>
    <t>Calf hides</t>
  </si>
  <si>
    <t>Pig hides</t>
  </si>
  <si>
    <t>Wether woolskins</t>
  </si>
  <si>
    <t>Ram woolskins</t>
  </si>
  <si>
    <t>Ewe woolskins</t>
  </si>
  <si>
    <t>Hogg woolskins</t>
  </si>
  <si>
    <t>Woolskins (total)</t>
  </si>
  <si>
    <t>Wether bareskins</t>
  </si>
  <si>
    <t>Ram bareskins</t>
  </si>
  <si>
    <t>Ewe bareskins</t>
  </si>
  <si>
    <t>Hogg bareskins</t>
  </si>
  <si>
    <t>Bareskins (total)</t>
  </si>
  <si>
    <t>Lambskins</t>
  </si>
  <si>
    <t>Rotted skins</t>
  </si>
  <si>
    <t>Shorn skins</t>
  </si>
  <si>
    <t>Poultry stock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</si>
  <si>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</si>
  <si>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</si>
  <si>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</si>
  <si>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</si>
  <si>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</si>
  <si>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</si>
  <si>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</si>
  <si>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</si>
  <si>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</si>
  <si>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</si>
  <si>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Butter</t>
  </si>
  <si>
    <t>Winter Cheese</t>
  </si>
  <si>
    <t>Summer Cheese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</si>
  <si>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</si>
  <si>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</si>
  <si>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</si>
  <si>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</si>
  <si>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t>% of capital expenses in terms of total production</t>
  </si>
  <si>
    <t>% of capital expenses in terms of total production + cash receipts</t>
  </si>
  <si>
    <t>% of capital expenses as calculated previously</t>
  </si>
  <si>
    <t>n/a</t>
  </si>
  <si>
    <t>BISHOPSTONE RECEIPTS</t>
  </si>
  <si>
    <t>Heading</t>
  </si>
  <si>
    <t>£</t>
  </si>
  <si>
    <t>s</t>
  </si>
  <si>
    <t>d</t>
  </si>
  <si>
    <t>Notes</t>
  </si>
  <si>
    <t>Own notes</t>
  </si>
  <si>
    <t>Arrears</t>
  </si>
  <si>
    <t>John Algar', reeve there, answers for 10 shilling 3pence of arrears from his last account of the preceding year.</t>
  </si>
  <si>
    <t>Total, 10 shilling 3pence.</t>
  </si>
  <si>
    <t>Total</t>
  </si>
  <si>
    <t>Rents</t>
  </si>
  <si>
    <t>And for £12 7 shilling 8pence for all rents of assize, or £3 1 shilling 11pence at each of the terms of Christmas, Easter (23 March), the Nativity of St John the Baptist (24 June) and Michaelmas (29 September).</t>
  </si>
  <si>
    <t>Total, £12 7 shilling 8pence.</t>
  </si>
  <si>
    <t>Rents total</t>
  </si>
  <si>
    <t>Defaults of rent</t>
  </si>
  <si>
    <t>In default of 1 plot of land which formerly belonged to the vicar of Bishopstone 6pence.</t>
  </si>
  <si>
    <t>1 virgate of land formerly of John Salisbury in Netton because in the lord's hands, 4 shilling 6pence for the year.</t>
  </si>
  <si>
    <t>1 half-virgate of land formerly of Gunnora Burgeys, 1 half-virgate of land formerly of Adam Berewyke, 1 half-virgate of land formerly of Richard Dryvere, 1 half-virgate of land formerly of John Holm', 1 half-virgate of land formerly of John Salisbury, 1 half-virgate formerly of William Hardyng', 1 half-virgate of land formerly of Robert Cryor' and 1 half-virgate of land formerly of John Deyman' in Bishopstone because in the lord's hands, £1 2 shilling for the year, or 2 shilling 9pence for each half-virgate.</t>
  </si>
  <si>
    <t>the holding formerly of Andrew Vicar' of Bishopstone there because in the lord's hands, 5 shilling for the year.</t>
  </si>
  <si>
    <t>Total, £1 12 shilling.</t>
  </si>
  <si>
    <t>Total of quittances and defaults of rent</t>
  </si>
  <si>
    <t>Total of quittances and defaults of rent, £1 16 shilling.</t>
  </si>
  <si>
    <t>Total of rents remaining clear, £10 11 shilling 8pence.</t>
  </si>
  <si>
    <t>Issues of the manor</t>
  </si>
  <si>
    <t>And for 3 shilling from the pannage of pigs at Martinmas, at 1pence a pig over a year old, and .5pence below.</t>
  </si>
  <si>
    <t>1 shilling 9.25pence from the agistment of oxen, cows and 2-year old bullocks, at 2.5pence an ox and 1.25pence a bullock.</t>
  </si>
  <si>
    <t>1 shilling 5.5pence from the herbage of sheep in the lord's fold this year.</t>
  </si>
  <si>
    <t>1 shilling 6.75pence from the herbage of oxen, cows and bullocks at Hockday this year.</t>
  </si>
  <si>
    <t>nothing from the sale of old hay this year.</t>
  </si>
  <si>
    <t>£4 15 shilling from new hay sold this year.</t>
  </si>
  <si>
    <t>4 shilling 8pence from the residue of Peter's pence.</t>
  </si>
  <si>
    <t>6pence from 3 lb of wool locks sold.</t>
  </si>
  <si>
    <t>5 shilling from the milking of 2 cows.</t>
  </si>
  <si>
    <t>nothing from the milking of the ewes this year because they were not in milk.</t>
  </si>
  <si>
    <t>4 shilling 8pence from the woolskins sold of 10 wethers, 10 ewes and 4 hoggs in murrain before shearing, at 3pence a skin of wethers, 2pence of ewes and 1.5pence of hoggs.</t>
  </si>
  <si>
    <t>1 shilling 2pence from the bare skins sold of 7 wethers and 7 ewes in murrain after shearing, at 1pence a skin.</t>
  </si>
  <si>
    <t>7.5pence from the skins sold of 15 lambs in murrain before weaning, at .5pence a skin.</t>
  </si>
  <si>
    <t>1pence from the rotted skins sold of 2 lambs in murrain after weaning and before shearing.</t>
  </si>
  <si>
    <t>1pence from the shorn skins sold of 4 lambs in murrain after shearing.</t>
  </si>
  <si>
    <t>10pence from 200 hens' eggs sold.</t>
  </si>
  <si>
    <t>4 shilling 8pence from 28 cocks and hens from churchscot sold, at 2pence each.</t>
  </si>
  <si>
    <t>nothing from the apple-trees in the garden this year because none bore fruit.</t>
  </si>
  <si>
    <t>£1 from the whole homage for refusals to stack.</t>
  </si>
  <si>
    <t>nothing from the sale of stubble this year.</t>
  </si>
  <si>
    <t>14 shilling 4pence from ploughing with the lord's ploughs sold this year.</t>
  </si>
  <si>
    <t>nothing from the sale of poplars this year.</t>
  </si>
  <si>
    <t>16 shilling 8pence from 10 cloves of lamb's-wool sold, at 1 shilling 8pence a clove.</t>
  </si>
  <si>
    <t>Total, £8 16 shilling 1pence.</t>
  </si>
  <si>
    <t>Issues of the manor total</t>
  </si>
  <si>
    <t>Sale of corn</t>
  </si>
  <si>
    <t>And for £17 16 shilling 3.75pence from 36 quarters 6.5 bushels of wheat sold, at 10 shilling a qr for 25 quarters per mutuum, and 9 shilling a qr for 11 quarters 6.5 bushels in the market.</t>
  </si>
  <si>
    <t>£1 4 shilling from 4 quarters of curall sold.</t>
  </si>
  <si>
    <t>£11 8 shilling 9pence from 38 quarters 1 bushels of barley sold per mutuum, at 6 shilling a qr.</t>
  </si>
  <si>
    <t>15 shilling 5pence from 4 quarters 5 bushels of oats sold per mutuum, at 3 shilling 4pence a qr.</t>
  </si>
  <si>
    <t>14 shilling from 2 quarters 5 bushels of peas sold, at 5 shilling 4pence a qr.</t>
  </si>
  <si>
    <t>17 shilling 6pence from 3 quarters 3 bushels' of vetches sold, at 5 shilling a qr.</t>
  </si>
  <si>
    <t>Total, £32 15 shilling 11.75pence.</t>
  </si>
  <si>
    <t>Sale of stock</t>
  </si>
  <si>
    <t>And for £1 6 shilling 8pence from 2 kebb oxen sold.</t>
  </si>
  <si>
    <t>8 shilling from 1 feeble ox sold.</t>
  </si>
  <si>
    <t>7 shilling from 1 steer sold because feeble and useless for the lord's stock.</t>
  </si>
  <si>
    <t>£2 18 shilling 4pence from 35 kebb wethers sold before shearing, at 1 shilling 8pence each.</t>
  </si>
  <si>
    <t>£3 14 shilling 8pence from 1 ram and 55 kebb ewes sold before shearing, at 1 shilling 4pence each.</t>
  </si>
  <si>
    <t>10 shilling from 16 lambs removed from stock and sold before shearing, at 7.5pence each.</t>
  </si>
  <si>
    <t>7 shilling 4pence from 22 geese sold, at 4pence each.</t>
  </si>
  <si>
    <t>8 shilling from 24 capons sold, at 4pence each.</t>
  </si>
  <si>
    <t>Total, £10..</t>
  </si>
  <si>
    <t>Sale of stock total</t>
  </si>
  <si>
    <t>Perquisites</t>
  </si>
  <si>
    <t>And for 2 shilling 10pence from the perquisites of the tourn of Martinmas (11 November).</t>
  </si>
  <si>
    <t>1 1 s. 2pence from the perquisites of the courts held by the bailiff between Michaelmas and the tourn of Hockday.</t>
  </si>
  <si>
    <t>1 shilling 10pence from the perquisites of the tourn of Hockday (1 April).</t>
  </si>
  <si>
    <t>7 shilling 1pence from the perquisites of the courts held by the bailiff after the tourn of Hockday.</t>
  </si>
  <si>
    <t>Perquisites total</t>
  </si>
  <si>
    <t>Total, £1 2 shilling 11pence.</t>
  </si>
  <si>
    <t>Total of all receipts recorded in accounts (calculated here)</t>
  </si>
  <si>
    <t>BISHOPSTONE EXPENSES</t>
  </si>
  <si>
    <t>Sentence</t>
  </si>
  <si>
    <t>Fixed Investments</t>
  </si>
  <si>
    <t>Demesne Fixed Investments</t>
  </si>
  <si>
    <t>Cost of ploughs</t>
  </si>
  <si>
    <t>In iron and steel bought for the ironwork of 2 ploughs for the year with the stipend of the smith 16 shilling.</t>
  </si>
  <si>
    <t>shoeing 18 oxen 4 shilling.</t>
  </si>
  <si>
    <t>2 plough feet bought 10pence.</t>
  </si>
  <si>
    <t>mending iron rings, crooks and staples 6pence.</t>
  </si>
  <si>
    <t>1 pair of wheels bought for the ploughs 8pence.</t>
  </si>
  <si>
    <t>1 ploughshare bought 1 shilling 6pence.</t>
  </si>
  <si>
    <t>3 yokes bought 6pence.</t>
  </si>
  <si>
    <t>reinforcing and lengthening the iron teeth of 2 harrows 1 shilling 4pence.</t>
  </si>
  <si>
    <t>stipend of 1 oxherd for the year 6 shilling 8pence.</t>
  </si>
  <si>
    <t>stipend of 2 drovers for the year 13 shilling 4pence.</t>
  </si>
  <si>
    <t>payment to the customary tenants for ploughing 14 acres according to custom 2 shilling 2pence, at 2pence an acre.</t>
  </si>
  <si>
    <t>Total, £2 7 shilling 6pence.</t>
  </si>
  <si>
    <t>Cost of carts</t>
  </si>
  <si>
    <t>In 4 clouts with nails bought for the cart 10pence.</t>
  </si>
  <si>
    <t>2 halters bought 2pence.</t>
  </si>
  <si>
    <t>grease bought for the cart 4pence.</t>
  </si>
  <si>
    <t>white leather bought 4pence.</t>
  </si>
  <si>
    <t>fitting the cart with axles 2pence.</t>
  </si>
  <si>
    <t>shoeing 2 plough-horses for the year 3 shilling.</t>
  </si>
  <si>
    <t>stipend of 1 carter for the year 6 shilling 8pence.</t>
  </si>
  <si>
    <t>Total, 11 shilling 6pence.</t>
  </si>
  <si>
    <t>Cost of carts total</t>
  </si>
  <si>
    <t>Purchase of stock</t>
  </si>
  <si>
    <t>In 2 oxen bought £1 6 shilling' 8pence.</t>
  </si>
  <si>
    <t>23 lambs before shearing £1 8 shilling 9pence, at 1 shilling 3pence each.</t>
  </si>
  <si>
    <t>Total, £2 15 shilling 5pence.</t>
  </si>
  <si>
    <t>Cost of the dairy</t>
  </si>
  <si>
    <t>In 2 bushels of salt bought for the pottage of the manorial servants and the dairy for the year 1 shilling.</t>
  </si>
  <si>
    <t>rennet bought 2pence.</t>
  </si>
  <si>
    <t>linen cloth bought for wrapping cheese 2pence.</t>
  </si>
  <si>
    <t>stipend of 1 dairymaid for the year 2 shilling.</t>
  </si>
  <si>
    <t>Total, 3 shilling 4pence.</t>
  </si>
  <si>
    <t>Cost of the dairy total</t>
  </si>
  <si>
    <t>Cost of buildings</t>
  </si>
  <si>
    <t>In hiring 1 thatcher to roof the barn for 5.5 days 1 shilling 10pence, taking 4pence a day.</t>
  </si>
  <si>
    <t>underwood bought to make hedges in various places and hurdles for the lord's fold 6 shilling 10pence.</t>
  </si>
  <si>
    <t>1 sack bought 1 shilling.</t>
  </si>
  <si>
    <t>hiring 1 man to dig 1 ditch at the eastern end of Estmede and plant seedlings there and to cut down other quickset hedge and enclose there for 7 days 2 shilling 4pence, taking 4pence a day.</t>
  </si>
  <si>
    <t>1 sieve and 1 riddle bought 5pence.</t>
  </si>
  <si>
    <t>payment to the customary tenants for carrying 44 quarters of corn to market 1 shilling 8pence, at .5pence a qr.</t>
  </si>
  <si>
    <t>nails bought for mending the door of the pinfold and the doors of other buildings 4pence.</t>
  </si>
  <si>
    <t>1 wheel bought for the barrow 5pence.</t>
  </si>
  <si>
    <t>Total, 15 shilling.</t>
  </si>
  <si>
    <t>Threshing and winnowing</t>
  </si>
  <si>
    <t>In threshing 49 quarters 1 bushels of wheat and 4 quarters of curall by piece-work 13 shilling 3pence, at 3pence a qr.</t>
  </si>
  <si>
    <t>threshing 106 quarters 1 bushels of barley by piece-work 17 shilling 8.25pence, at 2pence a qr.</t>
  </si>
  <si>
    <t>threshing 20 quarters 4 bushels of oats by piece-work 2 shilling 6.75pence, at 1.5pence a qr.</t>
  </si>
  <si>
    <t>winnowing all the aforesaid corn by piece-work, both that threshed by piece-work and by the manorial servants, which made 191 quarters 3 bushels, 3 shilling 11.75pence, at 1pence per 4 quarters.</t>
  </si>
  <si>
    <t>Total, £1 17 shilling 5.5pence.</t>
  </si>
  <si>
    <t>Threshing and winnowing total</t>
  </si>
  <si>
    <t>Cost of the harvest</t>
  </si>
  <si>
    <t>In expenses of the customary tenants at 3 harvest boon-works who reaped, bound and carried 32 acres 7 shilling.</t>
  </si>
  <si>
    <t>reaping, binding and gathering into shocks (huland') 96 acres of various kinds of corn, besides the 32 acres reaped by boon-works as made clear elsewhere, and the 4 acres given to the servants as made clear elsewhere, that is, in bread, ale, victuals and stipends, for 6 weeks this year, £4 8 shilling, and thus each acre was reaped for 11pence.</t>
  </si>
  <si>
    <t>stipend of 1 overseer of the harvest for the year 6 shilling 8pence.</t>
  </si>
  <si>
    <t>Total, £5 1 shilling 8pence.</t>
  </si>
  <si>
    <t>Cost of the harvest total</t>
  </si>
  <si>
    <t>Expenses of the steward</t>
  </si>
  <si>
    <t>In expenses of Richard Wyot', steward, at the tourns of Martinmas and Hockday, by 2.</t>
  </si>
  <si>
    <t>sealed bills, 8 shilling 11pence.</t>
  </si>
  <si>
    <t>Total, 8 shilling 11pence.</t>
  </si>
  <si>
    <t>Expenses of the steward total</t>
  </si>
  <si>
    <t>Total of all expenses</t>
  </si>
  <si>
    <t>Total of all expenses, £18 15 shilling 10.5pence.</t>
  </si>
  <si>
    <t>And he owes</t>
  </si>
  <si>
    <t>And he owes, £62 15 shilling 6.25pence.</t>
  </si>
  <si>
    <t>And he owes total</t>
  </si>
  <si>
    <t>Delivered to John Arnold', receiver of Wolvesey, by 1 tally, £57 9 shilling 8pence.</t>
  </si>
  <si>
    <t>Total, £57 9 shilling.</t>
  </si>
  <si>
    <t>8pence.</t>
  </si>
  <si>
    <t>Cash deliveries total</t>
  </si>
  <si>
    <t>Total of all allowances and cash deliveries</t>
  </si>
  <si>
    <t>Total of all allowances and cash deliveries, £62 5 shilling 3.25pence.</t>
  </si>
  <si>
    <t>BISHOPSTONE STOCK ACCOUNT</t>
  </si>
  <si>
    <t>added</t>
  </si>
  <si>
    <t>subtracted</t>
  </si>
  <si>
    <t>Inherited stock</t>
  </si>
  <si>
    <t>strays</t>
  </si>
  <si>
    <t>herbage</t>
  </si>
  <si>
    <t>churchscot</t>
  </si>
  <si>
    <t>of which in default</t>
  </si>
  <si>
    <t>sold</t>
  </si>
  <si>
    <t>in murrain</t>
  </si>
  <si>
    <t>accounted for elsewhere</t>
  </si>
  <si>
    <t>End-period  stock</t>
  </si>
  <si>
    <t>cross-check</t>
  </si>
  <si>
    <t>stock building</t>
  </si>
  <si>
    <t>raw production</t>
  </si>
  <si>
    <t>Unit price (£)</t>
  </si>
  <si>
    <t>Value of stock  (£) at given value</t>
  </si>
  <si>
    <t>Value of stock  (£) at sales prices</t>
  </si>
  <si>
    <t>Sales in (£)</t>
  </si>
  <si>
    <t>Value of stock building (£)</t>
  </si>
  <si>
    <t>Value of production (£) at sales prices</t>
  </si>
  <si>
    <t>Details</t>
  </si>
  <si>
    <t>Colts (unspecified years)</t>
  </si>
  <si>
    <t>Total Value</t>
  </si>
  <si>
    <t>Total wool</t>
  </si>
  <si>
    <t>Mare</t>
  </si>
  <si>
    <t>Steer</t>
  </si>
  <si>
    <t>calves</t>
  </si>
  <si>
    <t>pigs</t>
  </si>
  <si>
    <t xml:space="preserve">Woolskins </t>
  </si>
  <si>
    <t>wethers</t>
  </si>
  <si>
    <t>rams</t>
  </si>
  <si>
    <t>ewes</t>
  </si>
  <si>
    <t>hoggs</t>
  </si>
  <si>
    <t>Woolskins total</t>
  </si>
  <si>
    <t>Bareskins</t>
  </si>
  <si>
    <t>Bareskins total</t>
  </si>
  <si>
    <t xml:space="preserve">Total </t>
  </si>
  <si>
    <t>Total poultry stock</t>
  </si>
  <si>
    <t>Total poultry excluding churchscot</t>
  </si>
  <si>
    <t>Meat</t>
  </si>
  <si>
    <t>Beef</t>
  </si>
  <si>
    <t>Mutton</t>
  </si>
  <si>
    <t>Pork</t>
  </si>
  <si>
    <t>Cheese</t>
  </si>
  <si>
    <t>Winter cheese</t>
  </si>
  <si>
    <t>Summer cheese</t>
  </si>
  <si>
    <t>Total Dairy Sales</t>
  </si>
  <si>
    <t>Cider</t>
  </si>
  <si>
    <t>Additional Information (not necessarily useful)</t>
  </si>
  <si>
    <t>Utensils</t>
  </si>
  <si>
    <t>ploughs</t>
  </si>
  <si>
    <t>carts</t>
  </si>
  <si>
    <t>cart-ropes</t>
  </si>
  <si>
    <t>corn baskets</t>
  </si>
  <si>
    <t>seed-sacks</t>
  </si>
  <si>
    <t>seed basket</t>
  </si>
  <si>
    <t>locks for the doors</t>
  </si>
  <si>
    <t>lead vessel</t>
  </si>
  <si>
    <t>brass pots</t>
  </si>
  <si>
    <t>pans</t>
  </si>
  <si>
    <t>tripods</t>
  </si>
  <si>
    <t>mortar</t>
  </si>
  <si>
    <t>axe</t>
  </si>
  <si>
    <t>casks</t>
  </si>
  <si>
    <t>tubs</t>
  </si>
  <si>
    <t>troughs</t>
  </si>
  <si>
    <t>bucket</t>
  </si>
  <si>
    <t>cheese basket</t>
  </si>
  <si>
    <t>tables</t>
  </si>
  <si>
    <t>table with trestles</t>
  </si>
  <si>
    <t>benches</t>
  </si>
  <si>
    <t>ewer with a basin</t>
  </si>
  <si>
    <t>ladders</t>
  </si>
  <si>
    <t>cloth</t>
  </si>
  <si>
    <t>brass posnets</t>
  </si>
  <si>
    <t>Total in Pounds</t>
  </si>
  <si>
    <t>Pounds</t>
  </si>
  <si>
    <t>Shillings</t>
  </si>
  <si>
    <t>Pence</t>
  </si>
  <si>
    <t>Corn</t>
  </si>
  <si>
    <t>Total Quarters Except 1</t>
  </si>
  <si>
    <t>Total Bushels Except 1</t>
  </si>
  <si>
    <t>Total Corn Cross-Check</t>
  </si>
  <si>
    <t>Total Corn Manorial Account</t>
  </si>
  <si>
    <t>Corn Quantity Error</t>
  </si>
  <si>
    <t>Quarters 1</t>
  </si>
  <si>
    <t>Bushels 1</t>
  </si>
  <si>
    <t>Quarters 2</t>
  </si>
  <si>
    <t>Bushels 2</t>
  </si>
  <si>
    <t>Quarters 3</t>
  </si>
  <si>
    <t>Bushels 3</t>
  </si>
  <si>
    <t>shilling a quarter 1</t>
  </si>
  <si>
    <t>pence a quarter 1</t>
  </si>
  <si>
    <t>shilling a quarter 2</t>
  </si>
  <si>
    <t>pence a quarter 2</t>
  </si>
  <si>
    <t>shilling a quarter 3</t>
  </si>
  <si>
    <t>pence a quarter 3</t>
  </si>
  <si>
    <t>shilling a quarter 4</t>
  </si>
  <si>
    <t>pence a quarter 4</t>
  </si>
  <si>
    <t>shilling a bushel 1</t>
  </si>
  <si>
    <t>pence a bushel 1</t>
  </si>
  <si>
    <t>shilling a bushel 2</t>
  </si>
  <si>
    <t>pence a bushel 2</t>
  </si>
  <si>
    <t>shilling a bushel 3</t>
  </si>
  <si>
    <t>pence a bushel 3</t>
  </si>
  <si>
    <t>shilling a bushel 4</t>
  </si>
  <si>
    <t>pence a bushel 4</t>
  </si>
  <si>
    <t>arrears</t>
  </si>
  <si>
    <t>john algar', reeve there, answers for 10 shilling 3pence of arrears from his last account of the preceding year.</t>
  </si>
  <si>
    <t>total, 10 shilling 3pence.</t>
  </si>
  <si>
    <t>rents</t>
  </si>
  <si>
    <t>and for £12 7 shilling 8pence for all rents of assize, or £3 1 shilling 11pence at each of the terms of christmas, easter (23 march), the nativity of st john the baptist (24 june) and michaelmas (29 september).</t>
  </si>
  <si>
    <t>total, £12 7 shilling 8pence.</t>
  </si>
  <si>
    <t>quittances of rent</t>
  </si>
  <si>
    <t>in quittance of rent of 1 reeve for the year 4 shilling.</t>
  </si>
  <si>
    <t>1 shepherd of ewes, nothing this year, because he has the lord's livery as made clear elsewhere.</t>
  </si>
  <si>
    <t>total, 4 shilling.</t>
  </si>
  <si>
    <t>defaults of rent</t>
  </si>
  <si>
    <t>in default of 1 plot of land which formerly belonged to the vicar of bishopstone 6pence.</t>
  </si>
  <si>
    <t>1 virgate of land formerly of john salisbury in netton because in the lord's hands, 4 shilling 6pence for the year.</t>
  </si>
  <si>
    <t>1 half-virgate of land formerly of gunnora burgeys, 1 half-virgate of land formerly of adam berewyke, 1 half-virgate of land formerly of richard dryvere, 1 half-virgate of land formerly of john holm', 1 half-virgate of land formerly of john salisbury, 1 half-virgate formerly of william hardyng', 1 half-virgate of land formerly of robert cryor' and 1 half-virgate of land formerly of john deyman' in bishopstone because in the lord's hands, £1 2 shilling for the year, or 2 shilling 9pence for each half-virgate.</t>
  </si>
  <si>
    <t>the holding formerly of andrew vicar' of bishopstone there because in the lord's hands, 5 shilling for the year.</t>
  </si>
  <si>
    <t>total, £1 12 shilling.</t>
  </si>
  <si>
    <t>total of quittances and defaults of rent</t>
  </si>
  <si>
    <t>total of quittances and defaults of rent, £1 16 shilling.</t>
  </si>
  <si>
    <t>total of rents remaining clear, £10 11 shilling 8pence.</t>
  </si>
  <si>
    <t>issues of the manor</t>
  </si>
  <si>
    <t>and for 3 shilling from the pannage of pigs at martinmas, at 1pence a pig over a year old, and .5pence below.</t>
  </si>
  <si>
    <t>1 shilling 6.75pence from the herbage of oxen, cows and bullocks at hockday this year.</t>
  </si>
  <si>
    <t>4 shilling 8pence from the residue of peter's pence.</t>
  </si>
  <si>
    <t>total, £8 16 shilling 1pence.</t>
  </si>
  <si>
    <t>issues of the lands and tenements in the lord's hands</t>
  </si>
  <si>
    <t>and for 9 shilling 6pence from the issue of 1 virgate of land formerly of john salisbury in netton.</t>
  </si>
  <si>
    <t>5 shilling from .5 virgate of land formerly of gunnora burgeys in bishopstone.</t>
  </si>
  <si>
    <t>5 shilling from 1 half-virgate of land formerly of adam berewyke there.</t>
  </si>
  <si>
    <t>5 shilling from 1 half-virgate of land formerly of richard dryvere there.</t>
  </si>
  <si>
    <t>5 shilling from 1 half-virgate of land formerly of john holm there.</t>
  </si>
  <si>
    <t>4 shilling from 1 half-virgate of land formerly of john salisbury there.</t>
  </si>
  <si>
    <t>5 shilling from 1 half-virgate of land formerly of william hardyng' there.</t>
  </si>
  <si>
    <t>5 shilling from 1 half-virgate of land formerly of john cryor' there.</t>
  </si>
  <si>
    <t>5 shilling from 1 half-virgate of land formerly of john deyman' there.</t>
  </si>
  <si>
    <t>5 shilling from the holding there formerly of the vicar of bishopstone.</t>
  </si>
  <si>
    <t>total, £2 13 shilling 6pence.</t>
  </si>
  <si>
    <t>release of labour services</t>
  </si>
  <si>
    <t>and for 4 shilling from john algar' for release of the labour services of 1 virgate of land in croucheston for the year.</t>
  </si>
  <si>
    <t>5 shilling 3pence from john danyel for release of the labour services of 1 half-virgate of land in bishopstone for the year.</t>
  </si>
  <si>
    <t>2 shilling 3pence from robert thomelyn' for similar there for the year.</t>
  </si>
  <si>
    <t>2 shilling 3pence from john glovar' for similar there for the year.</t>
  </si>
  <si>
    <t>2 shilling 3pence from thomas lambhurde for similar there for the year.</t>
  </si>
  <si>
    <t>2 shilling 9pence from john moule for similar there for the year.</t>
  </si>
  <si>
    <t>total, 18 shilling 9pence.</t>
  </si>
  <si>
    <t>sale of pasture</t>
  </si>
  <si>
    <t>and for 13 shilling 4pence from the meadow in les hammys sold this year.</t>
  </si>
  <si>
    <t>nothing from the pasturage of the greenway this year for the lord's plough-horses.</t>
  </si>
  <si>
    <t>8 shilling 8pence from winter pasturage in westmede this year.</t>
  </si>
  <si>
    <t>nothing from the pasturage in wolgarelynche for the lord's sheep.</t>
  </si>
  <si>
    <t>12 shilling 6pence from the agistment of cattle with the lord's oxen until michaelmas.</t>
  </si>
  <si>
    <t>total, £1 14 shilling 6pence.</t>
  </si>
  <si>
    <t>sale of corn</t>
  </si>
  <si>
    <t>and for £17 16 shilling 3.75pence from 36 quarters 6.5 bushels of wheat sold, at 10 shilling a quarters for 25 quarters per mutuum, and 9 shilling a quarters for 11 quarters 6.5 bushels in the market.</t>
  </si>
  <si>
    <t>wheat</t>
  </si>
  <si>
    <t>curall</t>
  </si>
  <si>
    <t>£11 8 shilling 9pence from 38 quarters 1 bushels of barley sold per mutuum, at 6 shilling a quarters.</t>
  </si>
  <si>
    <t>barley</t>
  </si>
  <si>
    <t>15 shilling 5pence from 4 quarters 5 bushels of oats sold per mutuum, at 3 shilling 4pence a quarters.</t>
  </si>
  <si>
    <t>oats</t>
  </si>
  <si>
    <t>14 shilling from 2 quarters 5 bushels of peas sold, at 5 shilling 4pence a quarters.</t>
  </si>
  <si>
    <t>peas</t>
  </si>
  <si>
    <t>17 shilling 6pence from 3 quarters 3 bushels' of vetches sold, at 5 shilling a quarters.</t>
  </si>
  <si>
    <t>vetches</t>
  </si>
  <si>
    <t>total, £32 15 shilling 11.75pence.</t>
  </si>
  <si>
    <t>sale of stock</t>
  </si>
  <si>
    <t>and for £1 6 shilling 8pence from 2 kebb oxen sold.</t>
  </si>
  <si>
    <t>total, £10..</t>
  </si>
  <si>
    <t>entry fines</t>
  </si>
  <si>
    <t>and for 3 shilling from the tithing of bishopstone at the tourn of martinmas.</t>
  </si>
  <si>
    <t>3 shilling from the tithing of flamston for similar.</t>
  </si>
  <si>
    <t>2 shilling from the tithing of faulston for similar.</t>
  </si>
  <si>
    <t>8 shilling from the same tithings at the tourn of hockday.</t>
  </si>
  <si>
    <t>1 shilling from john colyn' to have 1 messuage 1 virgate of villein land, containing 16 acres, and 0.5 virgate of bordage land, containing 8 acres, in croucheston in the tithing of bishopstone, which belonged to john wolshe and which the same john surrendered into the lord's hands and refused to hold any longer.</t>
  </si>
  <si>
    <t>total, 17 shilling.</t>
  </si>
  <si>
    <t>perquisites</t>
  </si>
  <si>
    <t>and for 2 shilling 10pence from the perquisites of the tourn of martinmas (11 november).</t>
  </si>
  <si>
    <t>1 1 s. 2pence from the perquisites of the courts held by the bailiff between michaelmas and the tourn of hockday.</t>
  </si>
  <si>
    <t>1 shilling 10pence from the perquisites of the tourn of hockday (1 april).</t>
  </si>
  <si>
    <t>7 shilling 1pence from the perquisites of the courts held by the bailiff after the tourn of hockday.</t>
  </si>
  <si>
    <t>total, £1 2 shilling 11pence.</t>
  </si>
  <si>
    <t>sale of labour services</t>
  </si>
  <si>
    <t>and for £3 18 shilling for the release of the harvest labour services of 26 virgates this year, at 3 shilling for each virgate, apart from boon-works and the carriage of corn.</t>
  </si>
  <si>
    <t>10 shilling from 5 half-virgates for similar this year.</t>
  </si>
  <si>
    <t>total, £4 8 shilling.</t>
  </si>
  <si>
    <t>chattels of felons</t>
  </si>
  <si>
    <t>and for 10 shilling from the chattels of john shipherd', convicted felon.</t>
  </si>
  <si>
    <t>total, 10 shilling.</t>
  </si>
  <si>
    <t>sales at the audit</t>
  </si>
  <si>
    <t>and for £6 12 shilling 9pence from various sales at the audit as made clear elsewhere.</t>
  </si>
  <si>
    <t>total, £612 shilling 9pence.</t>
  </si>
  <si>
    <t>total of all receipts with arrears</t>
  </si>
  <si>
    <t>total of all receipts with arrears, £81 11 shilling 4.75pence.</t>
  </si>
  <si>
    <t>cost of ploughs</t>
  </si>
  <si>
    <t>in iron and steel bought for the ironwork of 2 ploughs for the year with the stipend of the smith 16 shilling.</t>
  </si>
  <si>
    <t>total, £2 7 shilling 6pence.</t>
  </si>
  <si>
    <t>cost of carts</t>
  </si>
  <si>
    <t>in 4 clouts with nails bought for the cart 10pence.</t>
  </si>
  <si>
    <t>total, 11 shilling 6pence.</t>
  </si>
  <si>
    <t>purchase of stock</t>
  </si>
  <si>
    <t>in 2 oxen bought £1 6 shilling' 8pence.</t>
  </si>
  <si>
    <t>total, £2 15 shilling 5pence.</t>
  </si>
  <si>
    <t>cost of the dairy</t>
  </si>
  <si>
    <t>in 2 bushels of salt bought for the pottage of the manorial servants and the dairy for the year 1 shilling.</t>
  </si>
  <si>
    <t>total, 3 shilling 4pence.</t>
  </si>
  <si>
    <t>cost of the sheepcote</t>
  </si>
  <si>
    <t>in 1 barrel of tar bought 5 shilling 8pence.</t>
  </si>
  <si>
    <t>grease bought for the same 8 shilling.</t>
  </si>
  <si>
    <t>red ochre bought to mark the lord's sheep 1 shilling.</t>
  </si>
  <si>
    <t>thread bought for packing the lord's wool 1pence.</t>
  </si>
  <si>
    <t>30 hurdles bought for the lord's fold 5 shilling, at 2pence a hurdle.</t>
  </si>
  <si>
    <t>hiring 1 carpenter to fit the end of the ewe-house and 1 bay there with ground-sills and studs and to mend the fodder-racks there for 3 days 1 shilling.</t>
  </si>
  <si>
    <t>hiring 1 roofer to roof the hogg-house for 3 days 1 shilling.</t>
  </si>
  <si>
    <t>1 post (yppere) bought 1 s. 8pence.</t>
  </si>
  <si>
    <t>stipend of 1 shepherd of wethers, 1 shepherd of ewes and 1 shepherd of hoggs for the year £1..</t>
  </si>
  <si>
    <t>total, £2 3 shilling 5pence.</t>
  </si>
  <si>
    <t>cost of buildings</t>
  </si>
  <si>
    <t>in hiring 1 thatcher to roof the barn for 5.5 days 1 shilling 10pence, taking 4pence a day.</t>
  </si>
  <si>
    <t>hiring 1 man to dig 1 ditch at the eastern end of estmede and plant seedlings there and to cut down other quickset hedge and enclose there for 7 days 2 shilling 4pence, taking 4pence a day.</t>
  </si>
  <si>
    <t>payment to the customary tenants for carrying 44 quarters of corn to market 1 shilling 8pence, at .5pence a quarters.</t>
  </si>
  <si>
    <t>total, 15 shilling.</t>
  </si>
  <si>
    <t>threshing and winnowing</t>
  </si>
  <si>
    <t>in threshing 49 quarters 1 bushels of wheat and 4 quarters of curall by piece-work 13 shilling 3pence, at 3pence a quarters.</t>
  </si>
  <si>
    <t>wheat, curall</t>
  </si>
  <si>
    <t>threshing 106 quarters 1 bushels of barley by piece-work 17 shilling 8.25pence, at 2pence a quarters.</t>
  </si>
  <si>
    <t>threshing 20 quarters 4 bushels of oats by piece-work 2 shilling 6.75pence, at 1.5pence a quarters.</t>
  </si>
  <si>
    <t>total, £1 17 shilling 5.5pence.</t>
  </si>
  <si>
    <t>mowing the meadows</t>
  </si>
  <si>
    <t>in customary payment for the mowing of the lord's meadow 8pence.</t>
  </si>
  <si>
    <t>customary payment.</t>
  </si>
  <si>
    <t>for the same for 2 cheeses according to custom 1 shilling.</t>
  </si>
  <si>
    <t>total, 1 shilling 8pence.</t>
  </si>
  <si>
    <t>cost of the harvest</t>
  </si>
  <si>
    <t>in expenses of the customary tenants at 3 harvest boon-works who reaped, bound and carried 32 acres 7 shilling.</t>
  </si>
  <si>
    <t>total, £5 1 shilling 8pence.</t>
  </si>
  <si>
    <t>expenses of the steward</t>
  </si>
  <si>
    <t>in expenses of richard wyot', steward, at the tourns of martinmas and hockday, by 2.</t>
  </si>
  <si>
    <t>total, 8 shilling 11pence.</t>
  </si>
  <si>
    <t>wages of the bailiff</t>
  </si>
  <si>
    <t>in wages of the bailiff for the year, £2 10 shilling, and he takes the rest from other manors.</t>
  </si>
  <si>
    <t>total, £2 10 shilling.</t>
  </si>
  <si>
    <t>total of all expenses</t>
  </si>
  <si>
    <t>total of all expenses, £18 15 shilling 10.5pence.</t>
  </si>
  <si>
    <t>and he owes</t>
  </si>
  <si>
    <t>and he owes, £62 15 shilling 6.25pence.</t>
  </si>
  <si>
    <t>allowances without writ</t>
  </si>
  <si>
    <t>in allowance to the same for £4 15 shilling 7.25pence for various surcharges and disallowances in the present account.</t>
  </si>
  <si>
    <t>total, £4 15 shilling 7.25pence.</t>
  </si>
  <si>
    <t>cash deliveries</t>
  </si>
  <si>
    <t>delivered to john arnold', receiver of wolvesey, by 1 tally, £57 9 shilling 8pence.</t>
  </si>
  <si>
    <t>total, £57 9 shilling.</t>
  </si>
  <si>
    <t>total of all allowances and cash deliveries</t>
  </si>
  <si>
    <t>total of all allowances and cash deliveries, £62 5 shilling 3.25pence.</t>
  </si>
  <si>
    <t>and he owes clear</t>
  </si>
  <si>
    <t>and he owes clear, 10 shilling 3pence, all of which is in the hands of the escheator.</t>
  </si>
  <si>
    <t>john algare, reeve there, answers for 49 quarters 1 bushels of wheat from the whole issue of the grange, threshed by piece-work.</t>
  </si>
  <si>
    <t>4 quarters by estimation in sheaves in 4 acres, of which 1 is for the reeve, 1 for the men of croucheston and netton, 1 for the men of bishopstone, and 1 for all the manorial servants of the curia.</t>
  </si>
  <si>
    <t>5 quarters 3 bushels surcharged so that he answers for a 5-fold yield..</t>
  </si>
  <si>
    <t>total, 58 quarters 4 bushels.</t>
  </si>
  <si>
    <t>sown over 48 acres, 12 quarters.</t>
  </si>
  <si>
    <t>that is, 2 bushels an acre.</t>
  </si>
  <si>
    <t>given to the customary tenants in 4 acres which they receive according to custom, 4 quarters.</t>
  </si>
  <si>
    <t>provision of the steward at the tourns of martinmas and hockday, by 2 sealed bills, 2.5 bushels.</t>
  </si>
  <si>
    <t>sold within, 36 quarters 6.5 bushels.</t>
  </si>
  <si>
    <t>sold at the audit, 6 quarters' 3 bushels for £2 17 shilling 3pence.</t>
  </si>
  <si>
    <t>total as before.</t>
  </si>
  <si>
    <t>it balances.</t>
  </si>
  <si>
    <t>and for 4 quarters of curall from the issue of the said wheat, threshed by piece-work.</t>
  </si>
  <si>
    <t>sold within.</t>
  </si>
  <si>
    <t>none remains.</t>
  </si>
  <si>
    <t>and for 106 quarters 1 bushels of barley from the whole issue of the grange, threshed by piece¬work.</t>
  </si>
  <si>
    <t>1 quarters 2 bushels by estimation in sheaves given for carrying the lord's corn at harvest-time.</t>
  </si>
  <si>
    <t>no corn given to the customary tenants for reaping this year because they were paid for their reaping service as made clear within.</t>
  </si>
  <si>
    <t>11 quarters 3 bushels surcharged so that he answers for a 5.5-fold yield..</t>
  </si>
  <si>
    <t>total, 118 quarters 6 bushels.</t>
  </si>
  <si>
    <t>sown over 42 acres, 21 quarters.</t>
  </si>
  <si>
    <t>that is, 4 bushels an acre.</t>
  </si>
  <si>
    <t>given for carrying the lord's corn at harvest-time, 1 quarters 2 bushels by estimation in sheaves.</t>
  </si>
  <si>
    <t>provision of 3 harvest boon-works, 2 quarters.</t>
  </si>
  <si>
    <t>liveries of the manorial servants below, 45 quarters..</t>
  </si>
  <si>
    <t>sold within, 38 quarters 1 bushels.</t>
  </si>
  <si>
    <t>sold at the audit, 11 quarters 3 bushels for £3 8 shilling 3pence.</t>
  </si>
  <si>
    <t>and for 20 quarters 4 bushels of oats from the whole issue2 of the grange, threshed by piece¬work.</t>
  </si>
  <si>
    <t>6 bushels by estimation in sheaves given for carrying the lord's corn at harvest-time.</t>
  </si>
  <si>
    <t>no sheaves given for reaping for the aforesaid reason.</t>
  </si>
  <si>
    <t>5 quarters 6 bushels surcharged so that he answers for a 3-fold yield..</t>
  </si>
  <si>
    <t>total, 27 quarters.</t>
  </si>
  <si>
    <t>sown over 20 acres, 10 quarters.</t>
  </si>
  <si>
    <t>given for carrying the lord's corn at harvest-time, 6 bushels by estimation in sheaves.</t>
  </si>
  <si>
    <t>making meal for the pottage of the manorial servants for the year, 3 quarters.</t>
  </si>
  <si>
    <t>meal</t>
  </si>
  <si>
    <t>fodder of the horses of the steward at the tourns of martinmas and hockday, by 2 sealed bills, 2 quarters 7 bushels.</t>
  </si>
  <si>
    <t>sold within, 4 quarters 5 bushels.</t>
  </si>
  <si>
    <t>sold at the audit, 5 quarters 6 bushels for 17 shilling 3pence.</t>
  </si>
  <si>
    <t>and for 5 quarters 1 bushels of peas from the issue of the grange, threshed by the manorial servants.</t>
  </si>
  <si>
    <t>2 quarters from the same issue by estimation in husks.</t>
  </si>
  <si>
    <t>2 bushels by estimation in sheaves given for carrying the lord's corn at harvest-time.</t>
  </si>
  <si>
    <t>no sheaves given for reaping for the aforesaid reason..</t>
  </si>
  <si>
    <t>total, 7 quarters 3 bushels.</t>
  </si>
  <si>
    <t>sown over 10 acres, 2 quarters 4 bushels.</t>
  </si>
  <si>
    <t>supporting the ewes in winter, 2 quarters by estimation in husks.</t>
  </si>
  <si>
    <t>given for carrying the lord's corn at harvest-time, 2 bushels.</t>
  </si>
  <si>
    <t>sold within, 2 quarters 5 bushels.</t>
  </si>
  <si>
    <t>and for 6 quarters 4 bushels of vetches from the issue of the grange, threshed by the manorial servants.</t>
  </si>
  <si>
    <t>. 3 bushels by estimation in sheaves given for carrying the lord's corn at harvest-time.</t>
  </si>
  <si>
    <t>total, 8 quarters 7 bushels.</t>
  </si>
  <si>
    <t>sown over 12 acres, 3 quarters.</t>
  </si>
  <si>
    <t>given to the lord's plough-horses and sheep, 2 quarters by estimation in husks.</t>
  </si>
  <si>
    <t>given for carrying the lord's corn at harvest-time, 3 bushels.</t>
  </si>
  <si>
    <t>sold within, 3 quarters 4 bushels.</t>
  </si>
  <si>
    <t>liveries of the manorial servants</t>
  </si>
  <si>
    <t>and for 45 quarters of barley received above for the liveries of the manorial servants..</t>
  </si>
  <si>
    <t>total, 45 quarters.</t>
  </si>
  <si>
    <t>in liveries of 1 hayward, 1 carter, 1 oxherd, 2 drovers, 1 shepherd of wethers and 1 shepherd of ewes for the year, 36 quarters 2.5 bushels, each of whom takes a quarter every 10 weeks.</t>
  </si>
  <si>
    <t>livery of 1 shepherd of hoggs for the year, 5 quarters 1.5 bushels, taking a quarter as before.</t>
  </si>
  <si>
    <t>livery of 1 dairymaid for the year, 3 quarters 2 bushels, taking a quarter every 16 weeks.</t>
  </si>
  <si>
    <t>given to the manorial servant helping the shepherd of ewes at lambing-time, 2 bushels.</t>
  </si>
  <si>
    <t>stock</t>
  </si>
  <si>
    <t>plough-horses: 2 remain.</t>
  </si>
  <si>
    <t>oxen: 19 remain.</t>
  </si>
  <si>
    <t>1 added from steers below.</t>
  </si>
  <si>
    <t>2 bought within.</t>
  </si>
  <si>
    <t>total, 22. 3 sold within.</t>
  </si>
  <si>
    <t>19 remain.</t>
  </si>
  <si>
    <t>cows: 2 remain.</t>
  </si>
  <si>
    <t>steers: 2 remain from the bullocks.</t>
  </si>
  <si>
    <t>total, 2. 1 added above to oxen.</t>
  </si>
  <si>
    <t>1 sold within because useless for the lord's stock.</t>
  </si>
  <si>
    <t>none remain.</t>
  </si>
  <si>
    <t>bullocks: 2 remain from the yearlings.</t>
  </si>
  <si>
    <t>2 remain.</t>
  </si>
  <si>
    <t>yearlings: 2 remain from the calves.</t>
  </si>
  <si>
    <t>calves: 2 from the offspring of the said cows.</t>
  </si>
  <si>
    <t>wethers: 354 remain.</t>
  </si>
  <si>
    <t>101 added from hoggs below after shearing.</t>
  </si>
  <si>
    <t>total, 455. 11 in murrain before shearing, 7 after shearing.</t>
  </si>
  <si>
    <t>2 in customary payment to the customary tenants after shearing for mowing the lord's meadow.</t>
  </si>
  <si>
    <t>35 kebbs sold within before shearing.</t>
  </si>
  <si>
    <t>total, 55. 400 remain.</t>
  </si>
  <si>
    <t>rams: 9 remain.</t>
  </si>
  <si>
    <t>total, 9. 1 sold within before shearing.</t>
  </si>
  <si>
    <t>8 remain.</t>
  </si>
  <si>
    <t>ewes: 315 remain.</t>
  </si>
  <si>
    <t>90 added from hoggs below after shearing.</t>
  </si>
  <si>
    <t>1 from the heriot of walter pynnok' before shearing.</t>
  </si>
  <si>
    <t>1 from the heriot of john godishalfe after shearing.</t>
  </si>
  <si>
    <t>total, 407. 11 in murrain before shearing and lambing.</t>
  </si>
  <si>
    <t>7 in murrain after shearing.</t>
  </si>
  <si>
    <t>55 kebbs sold within before shearing.</t>
  </si>
  <si>
    <t>total, 73. 334 remain.</t>
  </si>
  <si>
    <t>hoggs: 196 remain from the lambs.</t>
  </si>
  <si>
    <t>total, 196. 5 in murrain before shearing.</t>
  </si>
  <si>
    <t>101 added above to wethers and 90 to ewes after shearing.</t>
  </si>
  <si>
    <t>lambs: 246 from the offspring of the said ewes and not more because 11 ewes died before lambing and 58 were sterile this year.</t>
  </si>
  <si>
    <t>23 bought within before shearing.</t>
  </si>
  <si>
    <t>total, 269. 17 in murrain before weaning.</t>
  </si>
  <si>
    <t>23 in tithe.</t>
  </si>
  <si>
    <t>3 in customary payment to the reeve, smith and shepherd of ewes before shearing.</t>
  </si>
  <si>
    <t>4 in murrain after weaning and before shearing.</t>
  </si>
  <si>
    <t>' 16 removed from stock and sold within before shearing.</t>
  </si>
  <si>
    <t>total, 65. 204 remain.</t>
  </si>
  <si>
    <t>coarse wool: 318 fleeces from wethers, 8 from rams, 250 from ewes and 191 from hoggs produced at the shearing this year.</t>
  </si>
  <si>
    <t>total, 757.2 76 in tithe.</t>
  </si>
  <si>
    <t>2 given to the shepherd of wethers and shepherd of ewes.</t>
  </si>
  <si>
    <t>679 delivered to john arnold', receiver of wolvesey, weighing 2 sacks 29 cloves, answering for an average of 1.375 lb a fleece, plus 1 lb in all.</t>
  </si>
  <si>
    <t>lamb's-wool: 208 fleeces from lambs produced at the shearing this year.</t>
  </si>
  <si>
    <t>all sold within, weighing 10 cloves.</t>
  </si>
  <si>
    <t>wool locks: 3 lb imposed on the shepherds at the shearing this year.</t>
  </si>
  <si>
    <t>woolskins: 11 from wethers, 11 from ewes and 5 from hoggs in common murrain before shearing.</t>
  </si>
  <si>
    <t>total, 27. 3 in tithe.</t>
  </si>
  <si>
    <t>24 sold within.</t>
  </si>
  <si>
    <t>bare skins: 7 from wethers and 7 from ewes in murrain as made clear above.</t>
  </si>
  <si>
    <t>lambskins: 17 from lambs in murrain before weaning as made clear above.</t>
  </si>
  <si>
    <t>total, 17. 2 in tithe.</t>
  </si>
  <si>
    <t>15 sold within.</t>
  </si>
  <si>
    <t>rotted skins: 2 from lambs in murrain after weaning and before shearing as made clear above.</t>
  </si>
  <si>
    <t>shorn skins: 4 from lambs in murrain after shearing as made clear above.</t>
  </si>
  <si>
    <t>geese: 1 gander and 4 breeding geese remain.</t>
  </si>
  <si>
    <t>24 offspring.</t>
  </si>
  <si>
    <t>total, 29. 2 in tithe.</t>
  </si>
  <si>
    <t>22 sold within.</t>
  </si>
  <si>
    <t>total, 24. 1 gander and 4 breeding geese remain.</t>
  </si>
  <si>
    <t>capons: 24 remain.</t>
  </si>
  <si>
    <t>24 made from the chickens below.</t>
  </si>
  <si>
    <t>total, 48. 24 sold within.</t>
  </si>
  <si>
    <t>total, 24. 24 remain.</t>
  </si>
  <si>
    <t>cocks and hens: 1 cock and 5 hens remain.</t>
  </si>
  <si>
    <t>chickens: 24 from the offspring of the hens.</t>
  </si>
  <si>
    <t>all turned into capons above.</t>
  </si>
  <si>
    <t>eggs: 200 produced by the said hens.</t>
  </si>
  <si>
    <t>cocks and hens: 88 from the churchscot of the customary tenants at martinmas.</t>
  </si>
  <si>
    <t>total, 88. 8 in default of 1 half-virgate of land released to john danyel.</t>
  </si>
  <si>
    <t>24 in default of 1 half-virgate of land formerly of richard atte style, 1 half-virgate of land formerly of john salisbury, 1 half-virgate of land formerly of john atte holme, 1 half-virgate of land formerly of john dryvere, 1 half-virgate of land formerly of adam berewyke and 1 half-virgate of land formerly of gunnora burgeys because in the lord's hands.</t>
  </si>
  <si>
    <t>8 in default of 1 half-virgate of land formerly of hugh durant and 1 half-virgate of land formerly of john apert because in the lord's hands.</t>
  </si>
  <si>
    <t>4 in default of 1 cottage recently of alice thomelyns and 1 cottage recently of alice malkyns.</t>
  </si>
  <si>
    <t>12 in default of 1 half-virgate of land recently of william hardyng', 1 half-virgate of land recently of john davy and 1 half-virgate of land recently of john baron' because in the lord's hands.</t>
  </si>
  <si>
    <t>4 in default of the churchscot of robert pynnok' and john chobbe because widowers.</t>
  </si>
  <si>
    <t>28 sold within.</t>
  </si>
  <si>
    <t>labour services: the labour services of the customary tenants are to be found in the pipe roll for the first year of the translation of henry beaufort'.</t>
  </si>
  <si>
    <t>utensils: 2 ploughs, 2 coulters, 2 ploughshares, 2 iron plough shoes (soltowys ferr), 8 chains and 8 yokes with iron crooks, rings and staples remain.</t>
  </si>
  <si>
    <t>1 cart with iron tyres with a frame and cart-rail, 2 iron rungs (exrong'), 2 linch-pins and 2 hurters, 1 cart-rope, 1 cart-saddle with saddle-pads, 1 harness for the cart-shafts (thilharneys), 2 collars and 1 pair of traces remain.</t>
  </si>
  <si>
    <t>2 sacks, 1 basket for carrying corn, 1 winnowing-fan, 1 seed-basket, 1 dung-fork, 1 shovel fitted with iron, 1 bucket for grease, 1 bucket for the well and 2 ladders remain.</t>
  </si>
  <si>
    <t>1 iron bushel measure, 1 basin with a ewer, 2 brass pans, 1 mattock, 2 sarpliers, 3 posts (ypperis), 2 tables with trestles and 3 benches remain.</t>
  </si>
  <si>
    <t>340 feet of boards remain.</t>
  </si>
  <si>
    <t>all this remains.</t>
  </si>
  <si>
    <t>inherited stock</t>
  </si>
  <si>
    <t>murrain</t>
  </si>
  <si>
    <t>Stock</t>
  </si>
  <si>
    <t>Plough-horses: 2 remain.</t>
  </si>
  <si>
    <t>Plough-horses</t>
  </si>
  <si>
    <t>2</t>
  </si>
  <si>
    <t>Oxen: 19 remain.</t>
  </si>
  <si>
    <t>19</t>
  </si>
  <si>
    <t>Total, 22. 3 sold within.</t>
  </si>
  <si>
    <t>3</t>
  </si>
  <si>
    <t>Cows: 2 remain.</t>
  </si>
  <si>
    <t>Steers: 2 remain from the bullocks.</t>
  </si>
  <si>
    <t>Total, 2. 1 added above to oxen.</t>
  </si>
  <si>
    <t>1</t>
  </si>
  <si>
    <t>Total as before.</t>
  </si>
  <si>
    <t>None remain.</t>
  </si>
  <si>
    <t>Bullocks: 2 remain from the yearlings.</t>
  </si>
  <si>
    <t>Yearlings: 2 remain from the calves.</t>
  </si>
  <si>
    <t>Calves: 2 from the offspring of the said cows.</t>
  </si>
  <si>
    <t>Wethers: 354 remain.</t>
  </si>
  <si>
    <t>354</t>
  </si>
  <si>
    <t>Total, 455. 11 in murrain before shearing, 7 after shearing.</t>
  </si>
  <si>
    <t>11</t>
  </si>
  <si>
    <t>35</t>
  </si>
  <si>
    <t>Total, 55. 400 remain.</t>
  </si>
  <si>
    <t>Rams: 9 remain.</t>
  </si>
  <si>
    <t>9</t>
  </si>
  <si>
    <t>Total, 9. 1 sold within before shearing.</t>
  </si>
  <si>
    <t>Ewes: 315 remain.</t>
  </si>
  <si>
    <t>315</t>
  </si>
  <si>
    <t>1 from the heriot of Walter Pynnok' before shearing.</t>
  </si>
  <si>
    <t>1 from the heriot of John Godishalfe after shearing.</t>
  </si>
  <si>
    <t>Total, 407. 11 in murrain before shearing and lambing.</t>
  </si>
  <si>
    <t>7</t>
  </si>
  <si>
    <t>55</t>
  </si>
  <si>
    <t>Total, 73. 334 remain.</t>
  </si>
  <si>
    <t>Hoggs: 196 remain from the lambs.</t>
  </si>
  <si>
    <t>196</t>
  </si>
  <si>
    <t>Total, 196. 5 in murrain before shearing.</t>
  </si>
  <si>
    <t>5</t>
  </si>
  <si>
    <t>Lambs: 246 from the offspring of the said ewes and not more because 11 ewes died before lambing and 58 were sterile this year.</t>
  </si>
  <si>
    <t>246</t>
  </si>
  <si>
    <t>23</t>
  </si>
  <si>
    <t>Total, 269. 17 in murrain before weaning.</t>
  </si>
  <si>
    <t>17</t>
  </si>
  <si>
    <t>4</t>
  </si>
  <si>
    <t>16</t>
  </si>
  <si>
    <t>Total, 65. 204 remain.</t>
  </si>
  <si>
    <t>204</t>
  </si>
  <si>
    <t>Coarse wool: 318 fleeces from wethers, 8 from rams, 250 from ewes and 191 from hoggs produced at the shearing this year.</t>
  </si>
  <si>
    <t>Total, 757.2 76 in tithe.</t>
  </si>
  <si>
    <t>679 delivered to John Arnold', receiver of Wolvesey, weighing 2 sacks 29 cloves, answering for an average of 1.375 lb a fleece, plus 1 lb in all.</t>
  </si>
  <si>
    <t>None remains.</t>
  </si>
  <si>
    <t>Lamb's-wool: 208 fleeces from lambs produced at the shearing this year.</t>
  </si>
  <si>
    <t>Wool locks: 3 lb imposed on the shepherds at the shearing this year.</t>
  </si>
  <si>
    <t>Woolskins: 11 from wethers, 11 from ewes and 5 from hoggs in common murrain before shearing.</t>
  </si>
  <si>
    <t>Woolskins</t>
  </si>
  <si>
    <t>Total, 27. 3 in tithe.</t>
  </si>
  <si>
    <t>24</t>
  </si>
  <si>
    <t>Bare skins: 7 from wethers and 7 from ewes in murrain as made clear above.</t>
  </si>
  <si>
    <t>Lambskins: 17 from lambs in murrain before weaning as made clear above.</t>
  </si>
  <si>
    <t>Total, 17. 2 in tithe.</t>
  </si>
  <si>
    <t>15</t>
  </si>
  <si>
    <t>Rotted skins: 2 from lambs in murrain after weaning and before shearing as made clear above.</t>
  </si>
  <si>
    <t>Shorn skins: 4 from lambs in murrain after shearing as made clear above.</t>
  </si>
  <si>
    <t>Geese: 1 gander and 4 breeding geese remain.</t>
  </si>
  <si>
    <t>Total, 29. 2 in tithe.</t>
  </si>
  <si>
    <t>22</t>
  </si>
  <si>
    <t>Total, 24. 1 gander and 4 breeding geese remain.</t>
  </si>
  <si>
    <t>Capons: 24 remain.</t>
  </si>
  <si>
    <t>Total, 48. 24 sold within.</t>
  </si>
  <si>
    <t>Total, 24. 24 remain.</t>
  </si>
  <si>
    <t>Cocks and hens: 1 cock and 5 hens remain.</t>
  </si>
  <si>
    <t>Chickens: 24 from the offspring of the hens.</t>
  </si>
  <si>
    <t>Eggs: 200 produced by the said hens.</t>
  </si>
  <si>
    <t>Cocks and hens: 88 from the churchscot of the customary tenants at Martinmas.</t>
  </si>
  <si>
    <t>Total, 88. 8 in default of 1 half-virgate of land released to John Danyel.</t>
  </si>
  <si>
    <t>24 in default of 1 half-virgate of land formerly of Richard atte Style, 1 half-virgate of land formerly of John Salisbury, 1 half-virgate of land formerly of John atte Holme, 1 half-virgate of land formerly of John Dryvere, 1 half-virgate of land formerly of Adam Berewyke and 1 half-virgate of land formerly of Gunnora Burgeys because in the lord's hands.</t>
  </si>
  <si>
    <t>8 in default of 1 half-virgate of land formerly of Hugh Durant and 1 half-virgate of land formerly of John Apert because in the lord's hands.</t>
  </si>
  <si>
    <t>4 in default of 1 cottage recently of Alice Thomelyns and 1 cottage recently of Alice Malkyns.</t>
  </si>
  <si>
    <t>12 in default of 1 half-virgate of land recently of William Hardyng', 1 half-virgate of land recently of John Davy and 1 half-virgate of land recently of John Baron' because in the lord's hands.</t>
  </si>
  <si>
    <t>4 in default of the churchscot of Robert Pynnok' and John Chobbe because widowers.</t>
  </si>
  <si>
    <t>28</t>
  </si>
  <si>
    <t>It balances.</t>
  </si>
  <si>
    <t>Labour services: The labour services of the customary tenants are to be found in the pipe roll for the first year of the translation of Henry Beaufort'.</t>
  </si>
  <si>
    <t>Utensils: 2 ploughs, 2 coulters, 2 ploughshares, 2 iron plough shoes (soltowys ferr), 8 chains and 8 yokes with iron crooks, rings and staples remain.</t>
  </si>
  <si>
    <t>All this remains.</t>
  </si>
  <si>
    <t>Quarters 1_x</t>
  </si>
  <si>
    <t>Bushels 1_x</t>
  </si>
  <si>
    <t>Sown Quarters</t>
  </si>
  <si>
    <t>Sown Bushels</t>
  </si>
  <si>
    <t>Sown Total Quarters</t>
  </si>
  <si>
    <t>Bought in Quarters</t>
  </si>
  <si>
    <t>Bought in Bushels</t>
  </si>
  <si>
    <t>Bought in Total Quarters</t>
  </si>
  <si>
    <t>Tithe Quarters</t>
  </si>
  <si>
    <t>Tithe Bushels</t>
  </si>
  <si>
    <t>Tithe Total Quarters</t>
  </si>
  <si>
    <t>Manorial servants &amp; livestock Quarters</t>
  </si>
  <si>
    <t>Manorial servants &amp; livestock Bushels</t>
  </si>
  <si>
    <t>Manorial servants &amp; livestock Total Quarters</t>
  </si>
  <si>
    <t>Sold Quarters</t>
  </si>
  <si>
    <t>Sold Bushels</t>
  </si>
  <si>
    <t>Sold Total Quarters</t>
  </si>
  <si>
    <t>Account Quarters</t>
  </si>
  <si>
    <t>Account Bushels</t>
  </si>
  <si>
    <t>Account Total Quarters</t>
  </si>
  <si>
    <t>bought only</t>
  </si>
  <si>
    <t>Quarters 1_y</t>
  </si>
  <si>
    <t>Bushels 1_y</t>
  </si>
  <si>
    <t>Total Bought Quarters</t>
  </si>
  <si>
    <t>total</t>
  </si>
  <si>
    <t>1 qr 2 bushels by estimation in sheaves given for carrying the lord's corn at harvest-time.</t>
  </si>
  <si>
    <t>given for carrying the lord's corn at harvest-time, 1 qr 2 bushels by estimation in sheaves.</t>
  </si>
  <si>
    <t>Gross Output</t>
  </si>
  <si>
    <t>Bought Only Aggregated</t>
  </si>
  <si>
    <t>Total Corn Quantity</t>
  </si>
  <si>
    <t>Difference Produced+Bought-Sold</t>
  </si>
  <si>
    <t>Weighted Average Price per Quarter</t>
  </si>
  <si>
    <t>Non-Weighted Average Price per Quarter</t>
  </si>
  <si>
    <t>Value of Total Production weighted</t>
  </si>
  <si>
    <t>Value of Total Production unweighted</t>
  </si>
  <si>
    <t>Mancorn</t>
  </si>
  <si>
    <t>First-grade malt</t>
  </si>
  <si>
    <t>Second-grade malt</t>
  </si>
  <si>
    <t>Malt</t>
  </si>
  <si>
    <t>Meal</t>
  </si>
  <si>
    <t>Quarters 0</t>
  </si>
  <si>
    <t>Bushels 0</t>
  </si>
  <si>
    <t>£ a quarter 1</t>
  </si>
  <si>
    <t>£ a quarter 2</t>
  </si>
  <si>
    <t>£ a quarter 3</t>
  </si>
  <si>
    <t>£ a quarter 4</t>
  </si>
  <si>
    <t>Quarters Sold</t>
  </si>
  <si>
    <t>Corn lowercase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</si>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</sst>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 (Body)"/>
    </font>
    <font>
      <b/>
      <sz val="12"/>
      <color rgb="FFFF0000"/>
      <name val="Calibri (Body)"/>
    </font>
    <font>
      <b/>
      <sz val="12"/>
      <name val="Calibri"/>
      <family val="2"/>
    </font>
    <font>
      <b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0" fillId="0" borderId="0" xfId="0" applyFont="1"/>
    <xf numFmtId="0" fontId="5" fillId="0" borderId="0" xfId="0" applyFont="1"/>
    <xf numFmtId="0" fontId="6" fillId="0" borderId="0" xfId="0" applyFont="1"/>
    <xf numFmtId="0" fontId="11" fillId="0" borderId="0" xfId="0" applyFont="1"/>
    <xf numFmtId="0" fontId="13" fillId="0" borderId="0" xfId="0" applyFont="1"/>
    <xf numFmtId="0" fontId="10" fillId="2" borderId="0" xfId="0" applyFont="1" applyFill="1"/>
    <xf numFmtId="0" fontId="14" fillId="2" borderId="0" xfId="0" applyFont="1" applyFill="1"/>
    <xf numFmtId="0" fontId="13" fillId="3" borderId="0" xfId="0" applyFont="1" applyFill="1"/>
    <xf numFmtId="0" fontId="14" fillId="3" borderId="0" xfId="0" applyFont="1" applyFill="1"/>
    <xf numFmtId="0" fontId="14" fillId="4" borderId="0" xfId="0" applyFont="1" applyFill="1"/>
    <xf numFmtId="0" fontId="10" fillId="5" borderId="0" xfId="0" applyFont="1" applyFill="1"/>
    <xf numFmtId="0" fontId="13" fillId="0" borderId="0" xfId="0" applyFont="1" applyAlignment="1">
      <alignment wrapText="1"/>
    </xf>
    <xf numFmtId="0" fontId="13" fillId="0" borderId="1" xfId="0" applyFont="1" applyBorder="1"/>
    <xf numFmtId="0" fontId="13" fillId="0" borderId="0" xfId="0" applyFont="1" applyAlignment="1">
      <alignment horizontal="right"/>
    </xf>
    <xf numFmtId="0" fontId="13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wrapText="1"/>
    </xf>
    <xf numFmtId="0" fontId="1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6" fillId="5" borderId="0" xfId="0" applyFont="1" applyFill="1"/>
    <xf numFmtId="0" fontId="11" fillId="5" borderId="0" xfId="0" applyFont="1" applyFill="1"/>
    <xf numFmtId="0" fontId="6" fillId="0" borderId="0" xfId="0" applyFont="1" applyAlignment="1">
      <alignment wrapText="1"/>
    </xf>
    <xf numFmtId="0" fontId="11" fillId="6" borderId="0" xfId="0" applyFont="1" applyFill="1"/>
    <xf numFmtId="0" fontId="0" fillId="0" borderId="3" xfId="0" applyBorder="1"/>
    <xf numFmtId="0" fontId="0" fillId="0" borderId="3" xfId="0" applyBorder="1" applyAlignment="1">
      <alignment horizontal="left"/>
    </xf>
    <xf numFmtId="0" fontId="0" fillId="5" borderId="0" xfId="0" applyFill="1"/>
    <xf numFmtId="0" fontId="0" fillId="7" borderId="0" xfId="0" applyFill="1"/>
    <xf numFmtId="2" fontId="0" fillId="0" borderId="0" xfId="0" applyNumberFormat="1"/>
    <xf numFmtId="2" fontId="0" fillId="0" borderId="0" xfId="0" applyNumberFormat="1" applyAlignment="1">
      <alignment wrapText="1"/>
    </xf>
    <xf numFmtId="2" fontId="6" fillId="0" borderId="0" xfId="0" applyNumberFormat="1" applyFont="1" applyAlignment="1">
      <alignment wrapText="1"/>
    </xf>
    <xf numFmtId="0" fontId="4" fillId="0" borderId="0" xfId="0" applyFont="1"/>
    <xf numFmtId="2" fontId="10" fillId="0" borderId="0" xfId="0" applyNumberFormat="1" applyFont="1" applyAlignment="1">
      <alignment horizontal="right"/>
    </xf>
    <xf numFmtId="2" fontId="17" fillId="0" borderId="0" xfId="0" applyNumberFormat="1" applyFont="1" applyAlignment="1">
      <alignment horizontal="right"/>
    </xf>
    <xf numFmtId="0" fontId="4" fillId="0" borderId="5" xfId="0" applyFont="1" applyBorder="1"/>
    <xf numFmtId="0" fontId="5" fillId="0" borderId="5" xfId="0" applyFont="1" applyBorder="1"/>
    <xf numFmtId="0" fontId="12" fillId="5" borderId="5" xfId="0" applyFont="1" applyFill="1" applyBorder="1"/>
    <xf numFmtId="0" fontId="12" fillId="5" borderId="0" xfId="0" applyFont="1" applyFill="1"/>
    <xf numFmtId="0" fontId="15" fillId="2" borderId="0" xfId="0" applyFont="1" applyFill="1"/>
    <xf numFmtId="2" fontId="4" fillId="0" borderId="0" xfId="0" applyNumberFormat="1" applyFont="1"/>
    <xf numFmtId="0" fontId="13" fillId="0" borderId="2" xfId="0" applyFont="1" applyBorder="1"/>
    <xf numFmtId="2" fontId="4" fillId="0" borderId="2" xfId="0" applyNumberFormat="1" applyFont="1" applyBorder="1"/>
    <xf numFmtId="0" fontId="5" fillId="0" borderId="2" xfId="0" applyFont="1" applyBorder="1"/>
    <xf numFmtId="0" fontId="4" fillId="0" borderId="2" xfId="0" applyFont="1" applyBorder="1"/>
    <xf numFmtId="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2" fontId="10" fillId="5" borderId="0" xfId="0" applyNumberFormat="1" applyFont="1" applyFill="1" applyAlignment="1">
      <alignment horizontal="right"/>
    </xf>
    <xf numFmtId="0" fontId="10" fillId="8" borderId="0" xfId="0" applyFont="1" applyFill="1"/>
    <xf numFmtId="0" fontId="4" fillId="5" borderId="0" xfId="0" applyFont="1" applyFill="1"/>
    <xf numFmtId="0" fontId="5" fillId="5" borderId="0" xfId="0" applyFont="1" applyFill="1"/>
    <xf numFmtId="0" fontId="6" fillId="5" borderId="0" xfId="0" applyFont="1" applyFill="1" applyAlignment="1">
      <alignment horizontal="right"/>
    </xf>
    <xf numFmtId="0" fontId="3" fillId="0" borderId="0" xfId="0" applyFont="1"/>
    <xf numFmtId="0" fontId="14" fillId="2" borderId="6" xfId="0" applyFont="1" applyFill="1" applyBorder="1"/>
    <xf numFmtId="0" fontId="14" fillId="4" borderId="6" xfId="0" applyFont="1" applyFill="1" applyBorder="1"/>
    <xf numFmtId="0" fontId="13" fillId="0" borderId="6" xfId="0" applyFont="1" applyBorder="1"/>
    <xf numFmtId="10" fontId="14" fillId="2" borderId="6" xfId="0" applyNumberFormat="1" applyFont="1" applyFill="1" applyBorder="1"/>
    <xf numFmtId="10" fontId="14" fillId="4" borderId="8" xfId="0" applyNumberFormat="1" applyFont="1" applyFill="1" applyBorder="1"/>
    <xf numFmtId="0" fontId="5" fillId="0" borderId="9" xfId="0" applyFont="1" applyBorder="1"/>
    <xf numFmtId="0" fontId="13" fillId="5" borderId="11" xfId="0" applyFont="1" applyFill="1" applyBorder="1"/>
    <xf numFmtId="2" fontId="10" fillId="5" borderId="12" xfId="0" applyNumberFormat="1" applyFont="1" applyFill="1" applyBorder="1" applyAlignment="1">
      <alignment horizontal="right"/>
    </xf>
    <xf numFmtId="0" fontId="5" fillId="5" borderId="12" xfId="0" applyFont="1" applyFill="1" applyBorder="1"/>
    <xf numFmtId="0" fontId="3" fillId="0" borderId="9" xfId="0" applyFont="1" applyBorder="1"/>
    <xf numFmtId="2" fontId="4" fillId="5" borderId="0" xfId="0" applyNumberFormat="1" applyFont="1" applyFill="1"/>
    <xf numFmtId="0" fontId="2" fillId="5" borderId="12" xfId="0" applyFont="1" applyFill="1" applyBorder="1"/>
    <xf numFmtId="0" fontId="2" fillId="5" borderId="13" xfId="0" applyFont="1" applyFill="1" applyBorder="1"/>
    <xf numFmtId="2" fontId="2" fillId="0" borderId="0" xfId="0" applyNumberFormat="1" applyFont="1"/>
    <xf numFmtId="0" fontId="2" fillId="0" borderId="0" xfId="0" applyFont="1"/>
    <xf numFmtId="0" fontId="2" fillId="0" borderId="7" xfId="0" applyFont="1" applyBorder="1"/>
    <xf numFmtId="10" fontId="2" fillId="0" borderId="0" xfId="0" applyNumberFormat="1" applyFont="1"/>
    <xf numFmtId="0" fontId="2" fillId="0" borderId="9" xfId="0" applyFont="1" applyBorder="1"/>
    <xf numFmtId="0" fontId="2" fillId="0" borderId="10" xfId="0" applyFont="1" applyBorder="1"/>
    <xf numFmtId="0" fontId="1" fillId="0" borderId="0" xfId="0" applyFont="1"/>
    <xf numFmtId="2" fontId="6" fillId="5" borderId="0" xfId="0" applyNumberFormat="1" applyFont="1" applyFill="1"/>
    <xf numFmtId="2" fontId="10" fillId="0" borderId="0" xfId="0" applyNumberFormat="1" applyFont="1" applyAlignment="1">
      <alignment horizontal="left" vertical="center" wrapText="1"/>
    </xf>
    <xf numFmtId="0" fontId="14" fillId="8" borderId="0" xfId="0" applyFont="1" applyFill="1"/>
    <xf numFmtId="0" fontId="7" fillId="0" borderId="14" xfId="0" applyFont="1" applyBorder="1"/>
    <xf numFmtId="0" fontId="0" fillId="0" borderId="15" xfId="0" applyBorder="1"/>
    <xf numFmtId="0" fontId="9" fillId="0" borderId="16" xfId="0" applyFont="1" applyBorder="1" applyAlignment="1">
      <alignment horizontal="center" vertical="top"/>
    </xf>
    <xf numFmtId="4" fontId="7" fillId="0" borderId="17" xfId="0" applyNumberFormat="1" applyFont="1" applyBorder="1" applyAlignment="1">
      <alignment horizontal="right"/>
    </xf>
    <xf numFmtId="0" fontId="7" fillId="0" borderId="17" xfId="0" applyFont="1" applyBorder="1" applyAlignment="1">
      <alignment horizontal="right"/>
    </xf>
    <xf numFmtId="4" fontId="6" fillId="0" borderId="17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 vertical="top"/>
    </xf>
    <xf numFmtId="0" fontId="9" fillId="0" borderId="17" xfId="0" applyFont="1" applyBorder="1" applyAlignment="1">
      <alignment horizontal="left" vertical="top"/>
    </xf>
    <xf numFmtId="0" fontId="12" fillId="0" borderId="17" xfId="0" applyFont="1" applyBorder="1"/>
    <xf numFmtId="0" fontId="16" fillId="0" borderId="14" xfId="0" applyFont="1" applyBorder="1"/>
    <xf numFmtId="0" fontId="0" fillId="0" borderId="14" xfId="0" applyBorder="1"/>
    <xf numFmtId="0" fontId="16" fillId="9" borderId="14" xfId="0" applyFont="1" applyFill="1" applyBorder="1"/>
    <xf numFmtId="0" fontId="16" fillId="9" borderId="15" xfId="0" applyFont="1" applyFill="1" applyBorder="1"/>
    <xf numFmtId="0" fontId="9" fillId="0" borderId="16" xfId="0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0" fillId="0" borderId="17" xfId="0" applyBorder="1"/>
    <xf numFmtId="2" fontId="6" fillId="0" borderId="17" xfId="0" applyNumberFormat="1" applyFont="1" applyBorder="1" applyAlignment="1">
      <alignment horizontal="center" vertical="center"/>
    </xf>
    <xf numFmtId="2" fontId="8" fillId="0" borderId="17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5" fillId="0" borderId="0" xfId="0" applyFont="1"/>
    <xf numFmtId="0" fontId="0" fillId="0" borderId="0" xfId="0" applyAlignment="1">
      <alignment horizontal="center" wrapText="1"/>
    </xf>
    <xf numFmtId="0" fontId="0" fillId="0" borderId="0" xfId="0"/>
    <xf numFmtId="0" fontId="0" fillId="0" borderId="4" xfId="0" applyBorder="1" applyAlignment="1">
      <alignment horizontal="center" wrapText="1"/>
    </xf>
    <xf numFmtId="0" fontId="0" fillId="7" borderId="15" xfId="0" applyFill="1" applyBorder="1"/>
    <xf numFmtId="2" fontId="4" fillId="7" borderId="0" xfId="0" applyNumberFormat="1" applyFont="1" applyFill="1"/>
    <xf numFmtId="0" fontId="4" fillId="7" borderId="0" xfId="0" applyFon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owalski, Kuba" id="{5AE6A436-56CE-4579-BA6F-71554221A0A9}" userId="S::kuba.kowalski@wur.nl::efd3b399-1095-4b34-9f84-abcd55d1b2f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0" dT="2026-02-04T22:37:42.94" personId="{5AE6A436-56CE-4579-BA6F-71554221A0A9}" id="{0074B420-B592-4459-AA52-C6804AF81835}">
    <text>service</text>
  </threadedComment>
  <threadedComment ref="I41" dT="2026-02-04T22:40:43.52" personId="{5AE6A436-56CE-4579-BA6F-71554221A0A9}" id="{C13EC097-1D61-40CD-9C99-6EE8A128748A}">
    <text xml:space="preserve">Materials used for land improvement </text>
  </threadedComment>
  <threadedComment ref="I42" dT="2026-02-04T22:37:37.00" personId="{5AE6A436-56CE-4579-BA6F-71554221A0A9}" id="{26922537-6519-4038-9946-03F860E651A7}">
    <text>Building materials</text>
  </threadedComment>
  <threadedComment ref="I43" dT="2026-02-04T22:39:10.42" personId="{5AE6A436-56CE-4579-BA6F-71554221A0A9}" id="{B7F7F405-F13B-48A5-BFE8-4CEC75528A5D}">
    <text>Land improvement so (arguably?) fixed demesne?</text>
  </threadedComment>
  <threadedComment ref="I44" dT="2026-02-04T22:39:21.92" personId="{5AE6A436-56CE-4579-BA6F-71554221A0A9}" id="{61F18810-7E6D-4197-A565-1A6BC64C78C0}">
    <text>Tool</text>
  </threadedComment>
  <threadedComment ref="I45" dT="2026-02-04T22:37:55.86" personId="{5AE6A436-56CE-4579-BA6F-71554221A0A9}" id="{0D15FFF2-9233-4D2F-9853-E6739AC90665}">
    <text>service</text>
  </threadedComment>
  <threadedComment ref="I46" dT="2026-02-04T22:38:13.01" personId="{5AE6A436-56CE-4579-BA6F-71554221A0A9}" id="{0E3177CB-185A-49A1-83A9-D76016AEA5F2}">
    <text>Building materials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4" dT="2026-02-04T22:43:58.43" personId="{5AE6A436-56CE-4579-BA6F-71554221A0A9}" id="{91EEA635-6917-42F4-AE26-0CDB6D9C7911}">
    <text>No sales/purchases</text>
  </threadedComment>
  <threadedComment ref="O15" dT="2026-02-04T22:44:52.47" personId="{5AE6A436-56CE-4579-BA6F-71554221A0A9}" id="{B648A613-C1B4-45C4-95EE-366FE930C341}">
    <text>7 shilling from 1 steer sold because feeble and useless for the lord's stock.</text>
  </threadedComment>
  <threadedComment ref="O16" dT="2026-02-04T22:45:04.05" personId="{5AE6A436-56CE-4579-BA6F-71554221A0A9}" id="{015873B2-410F-4776-8CFF-07F50329E103}">
    <text>No sales/purchases</text>
  </threadedComment>
  <threadedComment ref="O18" dT="2026-02-04T22:45:42.05" personId="{5AE6A436-56CE-4579-BA6F-71554221A0A9}" id="{DAD677F1-BFC4-4407-A2DF-FE2C015758DE}">
    <text>No sales/purchases</text>
  </threadedComment>
  <threadedComment ref="O20" dT="2026-02-04T22:46:36.44" personId="{5AE6A436-56CE-4579-BA6F-71554221A0A9}" id="{FC04017D-E5B1-4E41-BB75-13CDADD755CB}">
    <text>£3 14 shilling 8pence from 1 ram and 55 kebb ewes sold before shearing, at 1 shilling 4pence each.</text>
  </threadedComment>
  <threadedComment ref="O22" dT="2026-02-04T22:47:52.81" personId="{5AE6A436-56CE-4579-BA6F-71554221A0A9}" id="{5AAEAF61-CB87-4977-9409-75C886F090A2}">
    <text>No sales/purchases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3"/>
  <sheetViews>
    <sheetView topLeftCell="A85" workbookViewId="0">
      <selection activeCell="D37" sqref="D37"/>
    </sheetView>
  </sheetViews>
  <sheetFormatPr defaultColWidth="10.81640625" defaultRowHeight="15.5"/>
  <cols>
    <col min="1" max="1" width="80" style="32" bestFit="1" customWidth="1"/>
    <col min="2" max="2" width="10.81640625" style="32" customWidth="1"/>
    <col min="3" max="3" width="10.81640625" style="2" customWidth="1"/>
    <col min="4" max="4" width="30.81640625" style="32" bestFit="1" customWidth="1"/>
    <col min="5" max="5" width="29.36328125" style="32" bestFit="1" customWidth="1"/>
    <col min="6" max="6" width="35.453125" style="32" bestFit="1" customWidth="1"/>
    <col min="7" max="7" width="21.1796875" style="32" customWidth="1"/>
    <col min="8" max="8" width="10.81640625" style="32" customWidth="1"/>
    <col min="9" max="16384" width="10.81640625" style="32"/>
  </cols>
  <sheetData>
    <row r="1" spans="1:5">
      <c r="A1" s="1" t="s">
        <v>0</v>
      </c>
      <c r="B1" s="33" t="s">
        <v>1</v>
      </c>
      <c r="C1" s="34" t="s">
        <v>2</v>
      </c>
      <c r="D1" s="3" t="s">
        <v>3</v>
      </c>
      <c r="E1" s="3"/>
    </row>
    <row r="2" spans="1:5">
      <c r="A2" s="1" t="s">
        <v>4</v>
      </c>
    </row>
    <row r="3" spans="1:5">
      <c r="A3" s="6" t="s">
        <v>5</v>
      </c>
    </row>
    <row r="4" spans="1:5">
      <c r="A4" s="5" t="s">
        <v>6</v>
      </c>
      <c r="B4" s="32">
        <v>0.51</v>
      </c>
      <c r="D4" s="4"/>
      <c r="E4" s="4"/>
    </row>
    <row r="5" spans="1:5">
      <c r="A5" s="5" t="s">
        <v>7</v>
      </c>
      <c r="B5" s="32">
        <v>12.38</v>
      </c>
    </row>
    <row r="6" spans="1:5">
      <c r="A6" s="5" t="s">
        <v>8</v>
      </c>
    </row>
    <row r="7" spans="1:5">
      <c r="A7" s="5" t="s">
        <v>9</v>
      </c>
      <c r="B7" s="32">
        <v>1.61</v>
      </c>
    </row>
    <row r="8" spans="1:5">
      <c r="A8" s="32" t="s">
        <v>10</v>
      </c>
    </row>
    <row r="9" spans="1:5">
      <c r="A9" s="32" t="s">
        <v>11</v>
      </c>
    </row>
    <row r="10" spans="1:5">
      <c r="A10" s="32" t="s">
        <v>12</v>
      </c>
    </row>
    <row r="11" spans="1:5">
      <c r="A11" s="32" t="s">
        <v>13</v>
      </c>
      <c r="B11" s="32">
        <v>12.38</v>
      </c>
    </row>
    <row r="12" spans="1:5">
      <c r="A12" s="32" t="s">
        <v>14</v>
      </c>
    </row>
    <row r="13" spans="1:5">
      <c r="A13" s="32" t="s">
        <v>15</v>
      </c>
    </row>
    <row r="14" spans="1:5">
      <c r="A14" s="5" t="s">
        <v>16</v>
      </c>
    </row>
    <row r="15" spans="1:5">
      <c r="A15" s="5" t="s">
        <v>17</v>
      </c>
      <c r="B15" s="32">
        <v>8.7899999999999991</v>
      </c>
    </row>
    <row r="16" spans="1:5">
      <c r="A16" s="32" t="s">
        <v>18</v>
      </c>
    </row>
    <row r="17" spans="1:5">
      <c r="A17" s="32" t="s">
        <v>19</v>
      </c>
    </row>
    <row r="18" spans="1:5">
      <c r="A18" s="5" t="s">
        <v>20</v>
      </c>
      <c r="B18" s="32">
        <v>32.83</v>
      </c>
    </row>
    <row r="19" spans="1:5">
      <c r="A19" s="5" t="s">
        <v>21</v>
      </c>
    </row>
    <row r="20" spans="1:5">
      <c r="A20" s="5" t="s">
        <v>22</v>
      </c>
      <c r="B20" s="32">
        <v>1.1499999999999999</v>
      </c>
    </row>
    <row r="21" spans="1:5">
      <c r="A21" s="32" t="s">
        <v>23</v>
      </c>
    </row>
    <row r="22" spans="1:5">
      <c r="A22" s="32" t="s">
        <v>24</v>
      </c>
      <c r="D22" s="44"/>
    </row>
    <row r="23" spans="1:5">
      <c r="A23" s="37" t="s">
        <v>25</v>
      </c>
      <c r="B23" s="35">
        <f>SUM(B5:B11)</f>
        <v>26.37</v>
      </c>
      <c r="C23" s="36"/>
    </row>
    <row r="24" spans="1:5">
      <c r="A24" s="38" t="s">
        <v>26</v>
      </c>
      <c r="B24">
        <f>SUM(B4:B11)</f>
        <v>26.880000000000003</v>
      </c>
      <c r="D24" s="4"/>
      <c r="E24" s="4"/>
    </row>
    <row r="25" spans="1:5">
      <c r="A25" s="39" t="s">
        <v>27</v>
      </c>
      <c r="B25" s="32">
        <f>Receipts!F73</f>
        <v>79.19</v>
      </c>
      <c r="C25" s="2">
        <f>B23-B25</f>
        <v>-52.819999999999993</v>
      </c>
    </row>
    <row r="26" spans="1:5">
      <c r="A26" s="39" t="s">
        <v>28</v>
      </c>
      <c r="B26">
        <f>Receipts!F74</f>
        <v>79.7</v>
      </c>
      <c r="D26" s="4"/>
      <c r="E26" s="4"/>
    </row>
    <row r="27" spans="1:5">
      <c r="A27" s="5"/>
    </row>
    <row r="28" spans="1:5">
      <c r="A28" s="5"/>
    </row>
    <row r="29" spans="1:5">
      <c r="A29" s="6" t="s">
        <v>29</v>
      </c>
    </row>
    <row r="30" spans="1:5">
      <c r="A30" s="5" t="s">
        <v>30</v>
      </c>
      <c r="B30">
        <v>2.39</v>
      </c>
    </row>
    <row r="31" spans="1:5">
      <c r="A31" s="5" t="s">
        <v>31</v>
      </c>
    </row>
    <row r="32" spans="1:5">
      <c r="A32" s="5" t="s">
        <v>32</v>
      </c>
      <c r="B32">
        <v>0.57999999999999996</v>
      </c>
    </row>
    <row r="33" spans="1:4">
      <c r="A33" s="5" t="s">
        <v>33</v>
      </c>
    </row>
    <row r="34" spans="1:4">
      <c r="A34" s="5" t="s">
        <v>34</v>
      </c>
      <c r="B34">
        <v>2.74</v>
      </c>
    </row>
    <row r="35" spans="1:4">
      <c r="A35" s="5" t="s">
        <v>35</v>
      </c>
    </row>
    <row r="36" spans="1:4">
      <c r="A36" s="5" t="s">
        <v>36</v>
      </c>
      <c r="B36" s="40">
        <v>0.74</v>
      </c>
    </row>
    <row r="37" spans="1:4">
      <c r="A37" s="5" t="s">
        <v>37</v>
      </c>
      <c r="B37">
        <v>1.87</v>
      </c>
    </row>
    <row r="38" spans="1:4">
      <c r="A38" s="5" t="s">
        <v>38</v>
      </c>
    </row>
    <row r="39" spans="1:4">
      <c r="A39" s="5" t="s">
        <v>39</v>
      </c>
      <c r="B39">
        <v>5.08</v>
      </c>
    </row>
    <row r="40" spans="1:4">
      <c r="A40" s="5" t="s">
        <v>40</v>
      </c>
    </row>
    <row r="41" spans="1:4">
      <c r="A41" s="5" t="s">
        <v>41</v>
      </c>
      <c r="B41" s="40"/>
    </row>
    <row r="42" spans="1:4">
      <c r="A42" s="5" t="s">
        <v>42</v>
      </c>
      <c r="B42" s="40">
        <v>0.45</v>
      </c>
    </row>
    <row r="43" spans="1:4">
      <c r="A43" s="41" t="s">
        <v>43</v>
      </c>
      <c r="B43" s="42"/>
      <c r="C43" s="43"/>
      <c r="D43" s="44"/>
    </row>
    <row r="44" spans="1:4">
      <c r="A44" s="38" t="s">
        <v>44</v>
      </c>
      <c r="B44" s="40">
        <f>Expenses!F82</f>
        <v>18.79</v>
      </c>
    </row>
    <row r="45" spans="1:4">
      <c r="A45" s="38" t="s">
        <v>45</v>
      </c>
      <c r="B45" s="40">
        <f>Expenses!F83</f>
        <v>14.020000000000001</v>
      </c>
    </row>
    <row r="46" spans="1:4">
      <c r="A46" s="38" t="s">
        <v>46</v>
      </c>
      <c r="B46" s="102">
        <v>3.33</v>
      </c>
    </row>
    <row r="47" spans="1:4">
      <c r="A47" s="38" t="s">
        <v>47</v>
      </c>
      <c r="B47" s="102">
        <v>0.59000000000000008</v>
      </c>
    </row>
    <row r="48" spans="1:4">
      <c r="A48" s="3"/>
    </row>
    <row r="49" spans="1:6">
      <c r="A49" s="8" t="s">
        <v>48</v>
      </c>
      <c r="B49" s="40">
        <f>B23-B45</f>
        <v>12.35</v>
      </c>
    </row>
    <row r="50" spans="1:6">
      <c r="A50" s="8" t="s">
        <v>49</v>
      </c>
      <c r="B50" s="40">
        <v>62.78</v>
      </c>
    </row>
    <row r="51" spans="1:6">
      <c r="A51" s="5"/>
    </row>
    <row r="52" spans="1:6">
      <c r="A52" s="8" t="s">
        <v>50</v>
      </c>
      <c r="B52" s="102">
        <f>Expenses!F80-Expenses!F78</f>
        <v>4.75</v>
      </c>
    </row>
    <row r="53" spans="1:6">
      <c r="A53" s="8" t="s">
        <v>51</v>
      </c>
      <c r="B53" s="40">
        <v>57.51</v>
      </c>
    </row>
    <row r="54" spans="1:6">
      <c r="A54" s="9" t="s">
        <v>52</v>
      </c>
      <c r="B54" s="40">
        <f>SUM(B52:B53)</f>
        <v>62.26</v>
      </c>
    </row>
    <row r="55" spans="1:6">
      <c r="A55" s="10" t="s">
        <v>53</v>
      </c>
      <c r="B55" s="103">
        <f>Expenses!F80</f>
        <v>62.26</v>
      </c>
    </row>
    <row r="56" spans="1:6">
      <c r="A56" s="5"/>
    </row>
    <row r="57" spans="1:6">
      <c r="A57" s="8" t="s">
        <v>54</v>
      </c>
      <c r="B57" s="40">
        <f>B50-B54</f>
        <v>0.52000000000000313</v>
      </c>
    </row>
    <row r="58" spans="1:6">
      <c r="A58" s="8" t="s">
        <v>55</v>
      </c>
    </row>
    <row r="59" spans="1:6">
      <c r="A59" s="5"/>
    </row>
    <row r="60" spans="1:6">
      <c r="A60" s="6" t="s">
        <v>56</v>
      </c>
      <c r="B60" s="96" t="s">
        <v>57</v>
      </c>
      <c r="C60" s="97"/>
      <c r="D60" s="73" t="s">
        <v>58</v>
      </c>
      <c r="E60" s="73" t="s">
        <v>59</v>
      </c>
    </row>
    <row r="61" spans="1:6">
      <c r="A61" s="1" t="s">
        <v>60</v>
      </c>
      <c r="B61" s="45" t="s">
        <v>61</v>
      </c>
      <c r="C61" s="46" t="s">
        <v>62</v>
      </c>
    </row>
    <row r="62" spans="1:6">
      <c r="A62" s="32" t="s">
        <v>63</v>
      </c>
      <c r="B62">
        <v>49</v>
      </c>
      <c r="C62">
        <v>1</v>
      </c>
      <c r="D62">
        <v>23.77</v>
      </c>
      <c r="E62">
        <v>23.77</v>
      </c>
      <c r="F62" s="4"/>
    </row>
    <row r="63" spans="1:6">
      <c r="A63" s="32" t="s">
        <v>64</v>
      </c>
      <c r="B63">
        <v>0</v>
      </c>
      <c r="C63">
        <v>0</v>
      </c>
      <c r="E63">
        <v>0</v>
      </c>
      <c r="F63" s="4"/>
    </row>
    <row r="64" spans="1:6">
      <c r="A64" s="32" t="s">
        <v>65</v>
      </c>
      <c r="B64">
        <v>0</v>
      </c>
      <c r="C64">
        <v>0</v>
      </c>
      <c r="E64">
        <v>0</v>
      </c>
      <c r="F64" s="4"/>
    </row>
    <row r="65" spans="1:6">
      <c r="A65" s="32" t="s">
        <v>66</v>
      </c>
      <c r="B65">
        <v>0</v>
      </c>
      <c r="C65">
        <v>0</v>
      </c>
      <c r="D65">
        <v>0</v>
      </c>
      <c r="E65">
        <v>0</v>
      </c>
      <c r="F65" s="4"/>
    </row>
    <row r="66" spans="1:6">
      <c r="A66" s="32" t="s">
        <v>67</v>
      </c>
      <c r="B66">
        <v>106</v>
      </c>
      <c r="C66">
        <v>1</v>
      </c>
      <c r="D66">
        <v>31.84</v>
      </c>
      <c r="E66">
        <v>31.84</v>
      </c>
      <c r="F66" s="4"/>
    </row>
    <row r="67" spans="1:6">
      <c r="A67" s="32" t="s">
        <v>68</v>
      </c>
      <c r="B67">
        <v>20</v>
      </c>
      <c r="C67">
        <v>4</v>
      </c>
      <c r="D67">
        <v>3.42</v>
      </c>
      <c r="E67">
        <v>3.42</v>
      </c>
      <c r="F67" s="4"/>
    </row>
    <row r="68" spans="1:6">
      <c r="A68" s="32" t="s">
        <v>69</v>
      </c>
      <c r="B68">
        <v>0</v>
      </c>
      <c r="C68">
        <v>0</v>
      </c>
      <c r="D68">
        <v>0</v>
      </c>
      <c r="E68">
        <v>0</v>
      </c>
      <c r="F68" s="4"/>
    </row>
    <row r="69" spans="1:6">
      <c r="A69" s="32" t="s">
        <v>70</v>
      </c>
      <c r="B69">
        <v>0</v>
      </c>
      <c r="C69">
        <v>0</v>
      </c>
      <c r="D69">
        <v>0</v>
      </c>
      <c r="E69">
        <v>0</v>
      </c>
      <c r="F69" s="4"/>
    </row>
    <row r="70" spans="1:6">
      <c r="A70" s="32" t="s">
        <v>71</v>
      </c>
      <c r="B70">
        <v>0</v>
      </c>
      <c r="C70">
        <v>0</v>
      </c>
      <c r="D70">
        <v>0</v>
      </c>
      <c r="E70">
        <v>0</v>
      </c>
    </row>
    <row r="71" spans="1:6">
      <c r="A71" s="7" t="s">
        <v>72</v>
      </c>
      <c r="B71" s="49"/>
      <c r="C71" s="50"/>
      <c r="D71" s="49"/>
      <c r="E71" s="49">
        <f>SUM(D62:D70)</f>
        <v>59.03</v>
      </c>
    </row>
    <row r="72" spans="1:6">
      <c r="A72" s="7" t="s">
        <v>73</v>
      </c>
      <c r="B72" s="49"/>
      <c r="C72" s="50"/>
      <c r="D72" s="49"/>
      <c r="E72" s="49">
        <f>SUM(E62:E70)</f>
        <v>59.03</v>
      </c>
    </row>
    <row r="73" spans="1:6">
      <c r="A73" s="7" t="s">
        <v>74</v>
      </c>
      <c r="B73" s="49"/>
      <c r="C73" s="50"/>
      <c r="D73" s="49"/>
      <c r="E73" s="49">
        <v>31.6647</v>
      </c>
    </row>
    <row r="74" spans="1:6">
      <c r="A74" s="5"/>
    </row>
    <row r="75" spans="1:6">
      <c r="A75" s="6" t="s">
        <v>75</v>
      </c>
      <c r="B75" s="96" t="s">
        <v>57</v>
      </c>
      <c r="C75" s="97"/>
      <c r="D75" s="47" t="s">
        <v>1</v>
      </c>
      <c r="E75" s="47"/>
    </row>
    <row r="76" spans="1:6">
      <c r="A76" s="1" t="s">
        <v>76</v>
      </c>
      <c r="B76" s="45" t="s">
        <v>61</v>
      </c>
      <c r="C76" s="46" t="s">
        <v>62</v>
      </c>
    </row>
    <row r="77" spans="1:6">
      <c r="A77" s="5" t="s">
        <v>63</v>
      </c>
      <c r="F77" s="4"/>
    </row>
    <row r="78" spans="1:6">
      <c r="A78" s="5" t="s">
        <v>77</v>
      </c>
    </row>
    <row r="79" spans="1:6">
      <c r="A79" s="5" t="s">
        <v>78</v>
      </c>
    </row>
    <row r="80" spans="1:6">
      <c r="A80" s="5" t="s">
        <v>79</v>
      </c>
    </row>
    <row r="81" spans="1:7">
      <c r="A81" s="5" t="s">
        <v>80</v>
      </c>
    </row>
    <row r="82" spans="1:7">
      <c r="A82" s="7" t="s">
        <v>81</v>
      </c>
      <c r="B82" s="49"/>
      <c r="C82" s="50"/>
      <c r="D82" s="49"/>
      <c r="E82" s="49"/>
    </row>
    <row r="83" spans="1:7">
      <c r="A83" s="7" t="s">
        <v>74</v>
      </c>
      <c r="B83" s="49"/>
      <c r="C83" s="50"/>
      <c r="D83" s="49"/>
      <c r="E83" s="49"/>
    </row>
    <row r="84" spans="1:7">
      <c r="A84" s="5"/>
    </row>
    <row r="85" spans="1:7">
      <c r="A85" s="48" t="s">
        <v>82</v>
      </c>
      <c r="B85" s="49"/>
      <c r="C85" s="50"/>
      <c r="D85" s="49"/>
      <c r="E85" s="49"/>
      <c r="F85" s="49"/>
      <c r="G85" s="49"/>
    </row>
    <row r="86" spans="1:7">
      <c r="A86" s="11" t="s">
        <v>83</v>
      </c>
      <c r="B86" s="51" t="s">
        <v>84</v>
      </c>
      <c r="C86" s="51" t="s">
        <v>85</v>
      </c>
      <c r="D86" s="51" t="s">
        <v>86</v>
      </c>
      <c r="E86" s="51"/>
      <c r="F86" s="51" t="s">
        <v>87</v>
      </c>
      <c r="G86" s="21" t="s">
        <v>88</v>
      </c>
    </row>
    <row r="87" spans="1:7">
      <c r="A87" s="12" t="s">
        <v>89</v>
      </c>
      <c r="B87" s="32">
        <v>0</v>
      </c>
      <c r="C87" s="32">
        <f>Stock!L5</f>
        <v>0</v>
      </c>
      <c r="D87" s="32">
        <f t="shared" ref="D87:D112" si="0">C87-B87</f>
        <v>0</v>
      </c>
      <c r="F87" s="40">
        <f>Stock!L5*Stock!O5</f>
        <v>0</v>
      </c>
      <c r="G87" s="40">
        <f>D87*Stock!O5</f>
        <v>0</v>
      </c>
    </row>
    <row r="88" spans="1:7">
      <c r="A88" s="12" t="s">
        <v>90</v>
      </c>
      <c r="B88" s="32">
        <v>0</v>
      </c>
      <c r="C88" s="32">
        <f>Stock!L6</f>
        <v>0</v>
      </c>
      <c r="D88" s="32">
        <f t="shared" si="0"/>
        <v>0</v>
      </c>
      <c r="F88" s="40">
        <f>Stock!L6*Stock!O6</f>
        <v>0</v>
      </c>
      <c r="G88" s="40">
        <f>D88*Stock!O6</f>
        <v>0</v>
      </c>
    </row>
    <row r="89" spans="1:7">
      <c r="A89" s="5" t="s">
        <v>91</v>
      </c>
      <c r="B89" s="32">
        <v>2</v>
      </c>
      <c r="C89" s="32">
        <f>Stock!L7</f>
        <v>2</v>
      </c>
      <c r="D89" s="32">
        <f t="shared" si="0"/>
        <v>0</v>
      </c>
      <c r="F89" s="40">
        <f>Stock!L7*Stock!O7</f>
        <v>0</v>
      </c>
      <c r="G89" s="40">
        <f>D89*Stock!O7</f>
        <v>0</v>
      </c>
    </row>
    <row r="90" spans="1:7">
      <c r="A90" s="5" t="s">
        <v>92</v>
      </c>
      <c r="B90" s="32">
        <v>0</v>
      </c>
      <c r="C90" s="32">
        <f>Stock!L9</f>
        <v>0</v>
      </c>
      <c r="D90" s="32">
        <f t="shared" si="0"/>
        <v>0</v>
      </c>
      <c r="F90" s="40">
        <f>Stock!L9*Stock!O9</f>
        <v>0</v>
      </c>
      <c r="G90" s="40">
        <f>D90*Stock!O9</f>
        <v>0</v>
      </c>
    </row>
    <row r="91" spans="1:7">
      <c r="A91" s="5" t="s">
        <v>92</v>
      </c>
      <c r="B91" s="32">
        <v>0</v>
      </c>
      <c r="C91" s="32">
        <f>Stock!L9</f>
        <v>0</v>
      </c>
      <c r="D91" s="32">
        <f t="shared" si="0"/>
        <v>0</v>
      </c>
      <c r="F91" s="40">
        <f>Stock!L9*Stock!O9</f>
        <v>0</v>
      </c>
      <c r="G91" s="40">
        <f>D91*Stock!O9</f>
        <v>0</v>
      </c>
    </row>
    <row r="92" spans="1:7">
      <c r="A92" s="5" t="s">
        <v>93</v>
      </c>
      <c r="B92" s="32">
        <v>0</v>
      </c>
      <c r="C92" s="32">
        <f>Stock!L10</f>
        <v>0</v>
      </c>
      <c r="D92" s="32">
        <f t="shared" si="0"/>
        <v>0</v>
      </c>
      <c r="F92" s="40">
        <f>Stock!L10*Stock!O10</f>
        <v>0</v>
      </c>
      <c r="G92" s="40">
        <f>D92*Stock!O10</f>
        <v>0</v>
      </c>
    </row>
    <row r="93" spans="1:7">
      <c r="A93" s="5" t="s">
        <v>94</v>
      </c>
      <c r="B93" s="32">
        <v>0</v>
      </c>
      <c r="C93" s="32">
        <f>Stock!L11</f>
        <v>0</v>
      </c>
      <c r="D93" s="32">
        <f t="shared" si="0"/>
        <v>0</v>
      </c>
      <c r="F93" s="40">
        <f>Stock!L11*Stock!O11</f>
        <v>0</v>
      </c>
      <c r="G93" s="40">
        <f>D93*Stock!O11</f>
        <v>0</v>
      </c>
    </row>
    <row r="94" spans="1:7">
      <c r="A94" s="5" t="s">
        <v>95</v>
      </c>
      <c r="B94" s="32">
        <v>19</v>
      </c>
      <c r="C94" s="32">
        <f>Stock!L12</f>
        <v>18</v>
      </c>
      <c r="D94" s="32">
        <f t="shared" si="0"/>
        <v>-1</v>
      </c>
      <c r="F94" s="40">
        <f>Stock!L12*Stock!O12</f>
        <v>7.9800000000000013</v>
      </c>
      <c r="G94" s="40">
        <f>D94*Stock!O12</f>
        <v>-0.44333333333333341</v>
      </c>
    </row>
    <row r="95" spans="1:7">
      <c r="A95" s="5" t="s">
        <v>96</v>
      </c>
      <c r="B95" s="32">
        <v>0</v>
      </c>
      <c r="C95" s="32">
        <f>Stock!L13</f>
        <v>0</v>
      </c>
      <c r="D95" s="32">
        <f t="shared" si="0"/>
        <v>0</v>
      </c>
      <c r="F95" s="40">
        <f>Stock!L13*Stock!O13</f>
        <v>0</v>
      </c>
      <c r="G95" s="40">
        <f>D95*Stock!O13</f>
        <v>0</v>
      </c>
    </row>
    <row r="96" spans="1:7">
      <c r="A96" s="5" t="s">
        <v>97</v>
      </c>
      <c r="B96" s="32">
        <v>2</v>
      </c>
      <c r="C96" s="32">
        <f>Stock!L14</f>
        <v>2</v>
      </c>
      <c r="D96" s="32">
        <f t="shared" si="0"/>
        <v>0</v>
      </c>
      <c r="F96" s="40">
        <f>Stock!L14*Stock!O14</f>
        <v>0</v>
      </c>
      <c r="G96" s="40">
        <f>D96*Stock!O14</f>
        <v>0</v>
      </c>
    </row>
    <row r="97" spans="1:7">
      <c r="A97" s="5" t="s">
        <v>98</v>
      </c>
      <c r="B97" s="32">
        <v>2</v>
      </c>
      <c r="C97" s="32">
        <f>Stock!L15</f>
        <v>1</v>
      </c>
      <c r="D97" s="32">
        <f t="shared" si="0"/>
        <v>-1</v>
      </c>
      <c r="F97" s="40">
        <f>Stock!L15*Stock!O15</f>
        <v>0.14583333333333334</v>
      </c>
      <c r="G97" s="40">
        <f>D97*Stock!O15</f>
        <v>-0.14583333333333334</v>
      </c>
    </row>
    <row r="98" spans="1:7">
      <c r="A98" s="5" t="s">
        <v>99</v>
      </c>
      <c r="B98" s="32">
        <v>2</v>
      </c>
      <c r="C98" s="32">
        <f>Stock!L16</f>
        <v>2</v>
      </c>
      <c r="D98" s="32">
        <f t="shared" si="0"/>
        <v>0</v>
      </c>
      <c r="F98" s="40">
        <f>Stock!L16*Stock!O16</f>
        <v>0</v>
      </c>
      <c r="G98" s="40">
        <f>D98*Stock!O16</f>
        <v>0</v>
      </c>
    </row>
    <row r="99" spans="1:7">
      <c r="A99" s="5" t="s">
        <v>100</v>
      </c>
      <c r="B99" s="32">
        <v>2</v>
      </c>
      <c r="C99" s="32">
        <f>Stock!L17</f>
        <v>2</v>
      </c>
      <c r="D99" s="32">
        <f t="shared" si="0"/>
        <v>0</v>
      </c>
      <c r="F99" s="40">
        <f>Stock!L17*Stock!O17</f>
        <v>0</v>
      </c>
      <c r="G99" s="40">
        <f>D99*Stock!O17</f>
        <v>0</v>
      </c>
    </row>
    <row r="100" spans="1:7">
      <c r="A100" s="5" t="s">
        <v>101</v>
      </c>
      <c r="B100" s="32">
        <v>2</v>
      </c>
      <c r="C100" s="32">
        <f>Stock!L18</f>
        <v>4</v>
      </c>
      <c r="D100" s="32">
        <f t="shared" si="0"/>
        <v>2</v>
      </c>
      <c r="F100" s="40">
        <f>Stock!L18*Stock!O18</f>
        <v>0</v>
      </c>
      <c r="G100" s="40">
        <f>D100*Stock!O18</f>
        <v>0</v>
      </c>
    </row>
    <row r="101" spans="1:7">
      <c r="A101" s="5" t="s">
        <v>102</v>
      </c>
      <c r="B101" s="32">
        <v>354</v>
      </c>
      <c r="C101" s="32">
        <f>Stock!L19</f>
        <v>319</v>
      </c>
      <c r="D101" s="32">
        <f t="shared" si="0"/>
        <v>-35</v>
      </c>
      <c r="F101" s="40">
        <f>Stock!L19*Stock!O19</f>
        <v>26.613714285714284</v>
      </c>
      <c r="G101" s="40">
        <f>D101*Stock!O19</f>
        <v>-2.92</v>
      </c>
    </row>
    <row r="102" spans="1:7">
      <c r="A102" s="5" t="s">
        <v>103</v>
      </c>
      <c r="B102" s="32">
        <v>9</v>
      </c>
      <c r="C102" s="32">
        <f>Stock!L20</f>
        <v>8</v>
      </c>
      <c r="D102" s="32">
        <f t="shared" si="0"/>
        <v>-1</v>
      </c>
      <c r="F102" s="40">
        <f>Stock!L20*Stock!O20</f>
        <v>0.54254545454545455</v>
      </c>
      <c r="G102" s="40">
        <f>D102*Stock!O20</f>
        <v>-6.7818181818181819E-2</v>
      </c>
    </row>
    <row r="103" spans="1:7">
      <c r="A103" s="5" t="s">
        <v>104</v>
      </c>
      <c r="B103" s="32">
        <v>315</v>
      </c>
      <c r="C103" s="32">
        <f>Stock!L21</f>
        <v>260</v>
      </c>
      <c r="D103" s="32">
        <f t="shared" si="0"/>
        <v>-55</v>
      </c>
      <c r="F103" s="40">
        <f>Stock!L21*Stock!O21</f>
        <v>17.632727272727273</v>
      </c>
      <c r="G103" s="40">
        <f>D103*Stock!O21</f>
        <v>-3.73</v>
      </c>
    </row>
    <row r="104" spans="1:7">
      <c r="A104" s="5" t="s">
        <v>105</v>
      </c>
      <c r="B104" s="32">
        <v>196</v>
      </c>
      <c r="C104" s="32">
        <f>Stock!L22</f>
        <v>196</v>
      </c>
      <c r="D104" s="32">
        <f t="shared" si="0"/>
        <v>0</v>
      </c>
      <c r="F104" s="40">
        <f>Stock!L22*Stock!O22</f>
        <v>0</v>
      </c>
      <c r="G104" s="40">
        <f>D104*Stock!O22</f>
        <v>0</v>
      </c>
    </row>
    <row r="105" spans="1:7">
      <c r="A105" s="5" t="s">
        <v>106</v>
      </c>
      <c r="B105" s="32">
        <v>204</v>
      </c>
      <c r="C105" s="32">
        <f>Stock!L23</f>
        <v>457</v>
      </c>
      <c r="D105" s="32">
        <f t="shared" si="0"/>
        <v>253</v>
      </c>
      <c r="F105" s="40">
        <f>Stock!L23*Stock!O23</f>
        <v>15.138125</v>
      </c>
      <c r="G105" s="40">
        <f>D105*Stock!O23</f>
        <v>8.3806250000000002</v>
      </c>
    </row>
    <row r="106" spans="1:7">
      <c r="A106" s="5" t="s">
        <v>107</v>
      </c>
      <c r="B106" s="32">
        <v>0</v>
      </c>
      <c r="C106" s="32">
        <f>Stock!L24</f>
        <v>0</v>
      </c>
      <c r="D106" s="32">
        <f t="shared" si="0"/>
        <v>0</v>
      </c>
      <c r="F106" s="40">
        <f>Stock!L24*Stock!O24</f>
        <v>0</v>
      </c>
      <c r="G106" s="40">
        <f>D106*Stock!O24</f>
        <v>0</v>
      </c>
    </row>
    <row r="107" spans="1:7">
      <c r="A107" s="5" t="s">
        <v>108</v>
      </c>
      <c r="B107" s="32">
        <v>0</v>
      </c>
      <c r="C107" s="32">
        <f>Stock!L25</f>
        <v>0</v>
      </c>
      <c r="D107" s="32">
        <f t="shared" si="0"/>
        <v>0</v>
      </c>
      <c r="F107" s="40">
        <f>Stock!L25*Stock!O25</f>
        <v>0</v>
      </c>
      <c r="G107" s="40">
        <f>D107*Stock!O25</f>
        <v>0</v>
      </c>
    </row>
    <row r="108" spans="1:7">
      <c r="A108" s="5" t="s">
        <v>109</v>
      </c>
      <c r="B108" s="32">
        <v>0</v>
      </c>
      <c r="C108" s="32">
        <f>Stock!L26</f>
        <v>0</v>
      </c>
      <c r="D108" s="32">
        <f t="shared" si="0"/>
        <v>0</v>
      </c>
      <c r="F108" s="40">
        <f>Stock!L26*Stock!O26</f>
        <v>0</v>
      </c>
      <c r="G108" s="40">
        <f>D108*Stock!O26</f>
        <v>0</v>
      </c>
    </row>
    <row r="109" spans="1:7">
      <c r="A109" s="5" t="s">
        <v>110</v>
      </c>
      <c r="B109" s="32">
        <v>0</v>
      </c>
      <c r="C109" s="32">
        <f>Stock!L27</f>
        <v>0</v>
      </c>
      <c r="D109" s="32">
        <f t="shared" si="0"/>
        <v>0</v>
      </c>
      <c r="F109" s="40">
        <f>Stock!L27*Stock!O27</f>
        <v>0</v>
      </c>
      <c r="G109" s="40">
        <f>D109*Stock!O27</f>
        <v>0</v>
      </c>
    </row>
    <row r="110" spans="1:7">
      <c r="A110" s="5" t="s">
        <v>111</v>
      </c>
      <c r="B110" s="32">
        <v>0</v>
      </c>
      <c r="C110" s="32">
        <f>Stock!L28</f>
        <v>0</v>
      </c>
      <c r="D110" s="32">
        <f t="shared" si="0"/>
        <v>0</v>
      </c>
      <c r="F110" s="40">
        <f>Stock!L28*Stock!O28</f>
        <v>0</v>
      </c>
      <c r="G110" s="40">
        <f>D110*Stock!O28</f>
        <v>0</v>
      </c>
    </row>
    <row r="111" spans="1:7">
      <c r="A111" s="5" t="s">
        <v>112</v>
      </c>
      <c r="B111" s="32">
        <v>0</v>
      </c>
      <c r="C111" s="32">
        <f>Stock!L29</f>
        <v>0</v>
      </c>
      <c r="D111" s="32">
        <f t="shared" si="0"/>
        <v>0</v>
      </c>
      <c r="F111" s="40">
        <f>Stock!L29*Stock!O29</f>
        <v>0</v>
      </c>
      <c r="G111" s="40">
        <f>D111*Stock!O29</f>
        <v>0</v>
      </c>
    </row>
    <row r="112" spans="1:7">
      <c r="A112" s="5" t="s">
        <v>113</v>
      </c>
      <c r="B112" s="32">
        <v>0</v>
      </c>
      <c r="C112" s="32">
        <f>Stock!L30</f>
        <v>0</v>
      </c>
      <c r="D112" s="32">
        <f t="shared" si="0"/>
        <v>0</v>
      </c>
      <c r="F112" s="40">
        <f>Stock!L30*Stock!O30</f>
        <v>0</v>
      </c>
      <c r="G112" s="40">
        <f>D112*Stock!O30</f>
        <v>0</v>
      </c>
    </row>
    <row r="113" spans="1:7">
      <c r="A113" s="7" t="s">
        <v>114</v>
      </c>
      <c r="B113" s="49"/>
      <c r="C113" s="50"/>
      <c r="D113" s="49"/>
      <c r="E113" s="49"/>
      <c r="F113" s="63">
        <f>SUM(F87:F112)</f>
        <v>68.052945346320342</v>
      </c>
      <c r="G113" s="63">
        <f>SUM(G87:G112)</f>
        <v>1.0736401515151517</v>
      </c>
    </row>
    <row r="114" spans="1:7">
      <c r="A114" s="7" t="s">
        <v>115</v>
      </c>
      <c r="B114" s="49"/>
      <c r="C114" s="50"/>
      <c r="D114" s="49"/>
      <c r="E114" s="49"/>
      <c r="F114" s="63">
        <f>SUM(Stock!T5:T30)</f>
        <v>9.7972916666666663</v>
      </c>
      <c r="G114" s="63"/>
    </row>
    <row r="115" spans="1:7">
      <c r="A115" s="7" t="s">
        <v>74</v>
      </c>
      <c r="B115" s="49"/>
      <c r="C115" s="50"/>
      <c r="D115" s="49"/>
      <c r="E115" s="49"/>
      <c r="F115" s="63">
        <f>SUM(Stock!R5:R30)</f>
        <v>8.51</v>
      </c>
      <c r="G115" s="63"/>
    </row>
    <row r="116" spans="1:7">
      <c r="A116" s="5"/>
    </row>
    <row r="117" spans="1:7">
      <c r="A117" s="6" t="s">
        <v>116</v>
      </c>
      <c r="B117" s="51" t="s">
        <v>84</v>
      </c>
      <c r="C117" s="51" t="s">
        <v>85</v>
      </c>
      <c r="D117" s="51" t="s">
        <v>86</v>
      </c>
      <c r="E117" s="51"/>
      <c r="F117" s="51" t="s">
        <v>87</v>
      </c>
    </row>
    <row r="118" spans="1:7">
      <c r="A118" s="12" t="s">
        <v>117</v>
      </c>
      <c r="B118">
        <v>0</v>
      </c>
      <c r="C118">
        <v>0</v>
      </c>
      <c r="D118">
        <v>0</v>
      </c>
      <c r="G118" s="52"/>
    </row>
    <row r="119" spans="1:7">
      <c r="A119" s="5" t="s">
        <v>118</v>
      </c>
      <c r="B119">
        <v>0</v>
      </c>
      <c r="C119">
        <v>0</v>
      </c>
      <c r="D119">
        <v>0</v>
      </c>
    </row>
    <row r="120" spans="1:7">
      <c r="A120" s="5" t="s">
        <v>119</v>
      </c>
      <c r="B120">
        <v>0</v>
      </c>
      <c r="C120">
        <v>0</v>
      </c>
      <c r="D120">
        <v>0</v>
      </c>
    </row>
    <row r="121" spans="1:7">
      <c r="A121" s="5" t="s">
        <v>120</v>
      </c>
      <c r="B121">
        <v>0</v>
      </c>
      <c r="C121">
        <v>0</v>
      </c>
      <c r="D121">
        <v>0</v>
      </c>
    </row>
    <row r="122" spans="1:7">
      <c r="A122" s="5" t="s">
        <v>121</v>
      </c>
      <c r="B122">
        <v>0</v>
      </c>
      <c r="C122">
        <v>0</v>
      </c>
      <c r="D122">
        <v>0</v>
      </c>
    </row>
    <row r="123" spans="1:7">
      <c r="A123" s="75" t="s">
        <v>81</v>
      </c>
      <c r="B123" s="49"/>
      <c r="C123" s="50"/>
      <c r="D123" s="49"/>
      <c r="E123" s="49"/>
      <c r="F123" s="49">
        <f>SUM(F118:F122)</f>
        <v>0</v>
      </c>
    </row>
    <row r="124" spans="1:7">
      <c r="A124" s="75" t="s">
        <v>74</v>
      </c>
      <c r="B124" s="49"/>
      <c r="C124" s="50"/>
      <c r="D124" s="49"/>
      <c r="E124" s="49"/>
      <c r="F124" s="49"/>
    </row>
    <row r="125" spans="1:7">
      <c r="A125" s="1"/>
    </row>
    <row r="126" spans="1:7">
      <c r="A126" s="6" t="s">
        <v>122</v>
      </c>
      <c r="B126" s="51" t="s">
        <v>84</v>
      </c>
      <c r="C126" s="51" t="s">
        <v>85</v>
      </c>
      <c r="D126" s="51" t="s">
        <v>86</v>
      </c>
      <c r="E126" s="51"/>
      <c r="F126" s="51" t="s">
        <v>87</v>
      </c>
    </row>
    <row r="127" spans="1:7">
      <c r="A127" s="5" t="s">
        <v>123</v>
      </c>
      <c r="B127">
        <v>0</v>
      </c>
      <c r="C127">
        <v>0</v>
      </c>
      <c r="D127">
        <v>0</v>
      </c>
      <c r="G127" s="52"/>
    </row>
    <row r="128" spans="1:7">
      <c r="A128" s="5" t="s">
        <v>124</v>
      </c>
      <c r="B128">
        <v>0</v>
      </c>
      <c r="C128">
        <v>0</v>
      </c>
      <c r="D128">
        <v>0</v>
      </c>
    </row>
    <row r="129" spans="1:4">
      <c r="A129" s="5" t="s">
        <v>125</v>
      </c>
      <c r="B129">
        <v>0</v>
      </c>
      <c r="C129">
        <v>0</v>
      </c>
      <c r="D129">
        <v>0</v>
      </c>
    </row>
    <row r="130" spans="1:4">
      <c r="A130" s="5" t="s">
        <v>126</v>
      </c>
      <c r="B130">
        <v>0</v>
      </c>
      <c r="C130">
        <v>0</v>
      </c>
      <c r="D130">
        <v>0</v>
      </c>
    </row>
    <row r="131" spans="1:4">
      <c r="A131" s="5" t="s">
        <v>127</v>
      </c>
      <c r="B131">
        <v>0</v>
      </c>
      <c r="C131">
        <v>0</v>
      </c>
      <c r="D131">
        <v>0</v>
      </c>
    </row>
    <row r="132" spans="1:4">
      <c r="A132" s="5" t="s">
        <v>128</v>
      </c>
      <c r="B132">
        <v>0</v>
      </c>
      <c r="C132">
        <v>0</v>
      </c>
      <c r="D132">
        <v>0</v>
      </c>
    </row>
    <row r="133" spans="1:4">
      <c r="A133" s="13" t="s">
        <v>129</v>
      </c>
      <c r="B133">
        <v>0</v>
      </c>
      <c r="C133">
        <v>0</v>
      </c>
      <c r="D133">
        <v>0</v>
      </c>
    </row>
    <row r="134" spans="1:4">
      <c r="A134" s="14" t="s">
        <v>130</v>
      </c>
    </row>
    <row r="135" spans="1:4">
      <c r="A135" s="14" t="s">
        <v>131</v>
      </c>
    </row>
    <row r="136" spans="1:4">
      <c r="A136" s="14" t="s">
        <v>132</v>
      </c>
    </row>
    <row r="137" spans="1:4">
      <c r="A137" s="14" t="s">
        <v>133</v>
      </c>
    </row>
    <row r="138" spans="1:4">
      <c r="A138" s="15" t="s">
        <v>134</v>
      </c>
      <c r="B138">
        <v>0</v>
      </c>
      <c r="C138">
        <v>0</v>
      </c>
      <c r="D138">
        <v>0</v>
      </c>
    </row>
    <row r="139" spans="1:4">
      <c r="A139" s="14" t="s">
        <v>135</v>
      </c>
    </row>
    <row r="140" spans="1:4">
      <c r="A140" s="14" t="s">
        <v>136</v>
      </c>
    </row>
    <row r="141" spans="1:4">
      <c r="A141" s="14" t="s">
        <v>137</v>
      </c>
    </row>
    <row r="142" spans="1:4">
      <c r="A142" s="14" t="s">
        <v>138</v>
      </c>
    </row>
    <row r="143" spans="1:4">
      <c r="A143" s="15" t="s">
        <v>139</v>
      </c>
      <c r="B143">
        <v>0</v>
      </c>
      <c r="C143">
        <v>0</v>
      </c>
      <c r="D143">
        <v>0</v>
      </c>
    </row>
    <row r="144" spans="1:4">
      <c r="A144" s="5" t="s">
        <v>140</v>
      </c>
      <c r="B144">
        <v>0</v>
      </c>
      <c r="C144">
        <v>0</v>
      </c>
      <c r="D144">
        <v>0</v>
      </c>
    </row>
    <row r="145" spans="1:7">
      <c r="A145" s="5" t="s">
        <v>141</v>
      </c>
      <c r="B145">
        <v>0</v>
      </c>
      <c r="C145">
        <v>0</v>
      </c>
      <c r="D145">
        <v>0</v>
      </c>
    </row>
    <row r="146" spans="1:7">
      <c r="A146" s="5" t="s">
        <v>142</v>
      </c>
      <c r="B146">
        <v>0</v>
      </c>
      <c r="C146">
        <v>0</v>
      </c>
      <c r="D146">
        <v>0</v>
      </c>
    </row>
    <row r="147" spans="1:7">
      <c r="A147" s="7" t="s">
        <v>81</v>
      </c>
      <c r="B147" s="49"/>
      <c r="C147" s="50"/>
      <c r="D147" s="49"/>
      <c r="E147" s="49"/>
      <c r="F147" s="49"/>
    </row>
    <row r="148" spans="1:7">
      <c r="A148" s="7" t="s">
        <v>74</v>
      </c>
      <c r="B148" s="49"/>
      <c r="C148" s="50"/>
      <c r="D148" s="49"/>
      <c r="E148" s="49"/>
      <c r="F148" s="49"/>
    </row>
    <row r="149" spans="1:7">
      <c r="A149" s="5"/>
    </row>
    <row r="150" spans="1:7">
      <c r="A150" s="6" t="s">
        <v>143</v>
      </c>
      <c r="B150" s="51" t="s">
        <v>84</v>
      </c>
      <c r="C150" s="51" t="s">
        <v>85</v>
      </c>
      <c r="D150" s="51" t="s">
        <v>86</v>
      </c>
      <c r="E150" s="51"/>
      <c r="F150" s="51" t="s">
        <v>87</v>
      </c>
    </row>
    <row r="151" spans="1:7">
      <c r="A151" s="12" t="s">
        <v>144</v>
      </c>
      <c r="B151" s="32">
        <f>Stock!B67</f>
        <v>0</v>
      </c>
      <c r="C151" s="32">
        <f>Stock!B67-Stock!M67</f>
        <v>0</v>
      </c>
      <c r="D151" s="32">
        <f>B151-C151</f>
        <v>0</v>
      </c>
      <c r="F151" s="32">
        <f>Stock!Q67</f>
        <v>0</v>
      </c>
      <c r="G151" s="52"/>
    </row>
    <row r="152" spans="1:7">
      <c r="A152" s="5" t="s">
        <v>145</v>
      </c>
      <c r="B152" s="32">
        <f>Stock!B68</f>
        <v>0</v>
      </c>
      <c r="C152" s="32">
        <f>Stock!B68-Stock!M68</f>
        <v>0</v>
      </c>
      <c r="D152" s="32">
        <f>B152-C152</f>
        <v>0</v>
      </c>
      <c r="F152" s="32">
        <f>Stock!Q68</f>
        <v>0</v>
      </c>
    </row>
    <row r="153" spans="1:7">
      <c r="A153" s="5" t="s">
        <v>146</v>
      </c>
      <c r="B153" s="32">
        <v>0</v>
      </c>
      <c r="C153" s="32">
        <f>Stock!B69-Stock!M69</f>
        <v>0</v>
      </c>
      <c r="D153" s="32">
        <f>B153-C153</f>
        <v>0</v>
      </c>
      <c r="F153" s="32">
        <f>Stock!Q69</f>
        <v>0</v>
      </c>
    </row>
    <row r="154" spans="1:7">
      <c r="A154" s="5" t="s">
        <v>147</v>
      </c>
      <c r="B154" s="32">
        <v>0</v>
      </c>
      <c r="C154" s="32">
        <f>Stock!B70-Stock!M70</f>
        <v>10</v>
      </c>
      <c r="D154" s="32">
        <f>B154-C154</f>
        <v>-10</v>
      </c>
      <c r="F154" s="32">
        <f>Stock!Q70</f>
        <v>0</v>
      </c>
    </row>
    <row r="155" spans="1:7">
      <c r="A155" s="75" t="s">
        <v>81</v>
      </c>
      <c r="B155" s="49"/>
      <c r="C155" s="49"/>
      <c r="D155" s="49"/>
      <c r="E155" s="49"/>
      <c r="F155" s="49">
        <f>SUM(F151:F154)</f>
        <v>0</v>
      </c>
    </row>
    <row r="156" spans="1:7">
      <c r="A156" s="75" t="s">
        <v>74</v>
      </c>
      <c r="B156" s="49"/>
      <c r="C156" s="50"/>
      <c r="D156" s="49"/>
      <c r="E156" s="49"/>
      <c r="F156" s="49">
        <f>SUM(Stock!R67:R70)</f>
        <v>0.27</v>
      </c>
    </row>
    <row r="157" spans="1:7">
      <c r="A157" s="5"/>
    </row>
    <row r="158" spans="1:7">
      <c r="A158" s="6" t="s">
        <v>148</v>
      </c>
      <c r="B158" s="51" t="s">
        <v>84</v>
      </c>
      <c r="C158" s="51" t="s">
        <v>85</v>
      </c>
      <c r="D158" s="51" t="s">
        <v>86</v>
      </c>
      <c r="E158" s="51"/>
      <c r="F158" s="51" t="s">
        <v>87</v>
      </c>
    </row>
    <row r="159" spans="1:7">
      <c r="A159" s="5" t="s">
        <v>149</v>
      </c>
      <c r="B159">
        <v>0</v>
      </c>
      <c r="C159">
        <v>0</v>
      </c>
      <c r="D159">
        <v>0</v>
      </c>
      <c r="G159" s="72"/>
    </row>
    <row r="160" spans="1:7">
      <c r="A160" s="5" t="s">
        <v>150</v>
      </c>
      <c r="B160">
        <v>0</v>
      </c>
      <c r="C160">
        <v>0</v>
      </c>
      <c r="D160">
        <v>0</v>
      </c>
    </row>
    <row r="161" spans="1:7">
      <c r="A161" s="5" t="s">
        <v>151</v>
      </c>
      <c r="B161">
        <v>0</v>
      </c>
      <c r="C161">
        <v>0</v>
      </c>
      <c r="D161">
        <v>0</v>
      </c>
    </row>
    <row r="162" spans="1:7">
      <c r="A162" s="7" t="s">
        <v>152</v>
      </c>
      <c r="B162" s="49"/>
      <c r="C162" s="50"/>
      <c r="D162" s="49"/>
      <c r="E162" s="49"/>
      <c r="F162" s="49">
        <f>SUM(F159:F160)</f>
        <v>0</v>
      </c>
    </row>
    <row r="163" spans="1:7">
      <c r="A163" s="7" t="s">
        <v>74</v>
      </c>
      <c r="B163" s="49"/>
      <c r="C163" s="50"/>
      <c r="D163" s="49"/>
      <c r="E163" s="49"/>
      <c r="F163" s="49"/>
    </row>
    <row r="164" spans="1:7">
      <c r="A164" s="5"/>
    </row>
    <row r="165" spans="1:7">
      <c r="A165" s="6" t="s">
        <v>153</v>
      </c>
      <c r="B165" s="51" t="s">
        <v>84</v>
      </c>
      <c r="C165" s="51" t="s">
        <v>85</v>
      </c>
      <c r="D165" s="51" t="s">
        <v>86</v>
      </c>
      <c r="E165" s="51"/>
      <c r="F165" s="51" t="s">
        <v>87</v>
      </c>
    </row>
    <row r="166" spans="1:7">
      <c r="A166" s="5" t="s">
        <v>154</v>
      </c>
      <c r="B166">
        <v>0</v>
      </c>
      <c r="C166">
        <v>0</v>
      </c>
      <c r="D166">
        <v>0</v>
      </c>
      <c r="G166" s="72"/>
    </row>
    <row r="167" spans="1:7">
      <c r="A167" s="5" t="s">
        <v>155</v>
      </c>
      <c r="B167">
        <v>0</v>
      </c>
      <c r="C167">
        <v>0</v>
      </c>
      <c r="D167">
        <v>0</v>
      </c>
    </row>
    <row r="168" spans="1:7">
      <c r="A168" s="5" t="s">
        <v>156</v>
      </c>
      <c r="B168">
        <v>0</v>
      </c>
      <c r="C168">
        <v>0</v>
      </c>
      <c r="D168">
        <v>0</v>
      </c>
    </row>
    <row r="169" spans="1:7">
      <c r="A169" s="7" t="s">
        <v>81</v>
      </c>
      <c r="B169" s="49"/>
      <c r="C169" s="50"/>
      <c r="D169" s="49"/>
      <c r="E169" s="49"/>
      <c r="F169" s="49">
        <f>SUM(F166:F168)</f>
        <v>0</v>
      </c>
    </row>
    <row r="170" spans="1:7">
      <c r="A170" s="7" t="s">
        <v>74</v>
      </c>
      <c r="B170" s="49"/>
      <c r="C170" s="50"/>
      <c r="D170" s="49"/>
      <c r="E170" s="49"/>
      <c r="F170" s="49"/>
    </row>
    <row r="171" spans="1:7">
      <c r="A171" s="5"/>
    </row>
    <row r="172" spans="1:7">
      <c r="A172" s="5"/>
    </row>
    <row r="173" spans="1:7" ht="16" customHeight="1" thickBot="1"/>
    <row r="174" spans="1:7" ht="16" customHeight="1" thickBot="1">
      <c r="A174" s="59"/>
      <c r="B174" s="60" t="s">
        <v>1</v>
      </c>
      <c r="C174" s="61"/>
      <c r="D174" s="64"/>
      <c r="E174" s="64"/>
      <c r="F174" s="65"/>
    </row>
    <row r="175" spans="1:7">
      <c r="A175" s="53" t="s">
        <v>157</v>
      </c>
      <c r="B175" s="66">
        <f>F169+F162+F155+F147+F123+F115+E72</f>
        <v>67.540000000000006</v>
      </c>
      <c r="D175" s="67"/>
      <c r="E175" s="67"/>
      <c r="F175" s="68"/>
    </row>
    <row r="176" spans="1:7">
      <c r="A176" s="54" t="s">
        <v>158</v>
      </c>
      <c r="B176" s="66">
        <f>F170+F163+F156+F148+F124+F115+D73</f>
        <v>8.7799999999999994</v>
      </c>
      <c r="D176" s="67"/>
      <c r="E176" s="67"/>
      <c r="F176" s="68"/>
    </row>
    <row r="177" spans="1:6">
      <c r="A177" s="54" t="s">
        <v>159</v>
      </c>
      <c r="B177" s="66">
        <f>B15+B18</f>
        <v>41.62</v>
      </c>
      <c r="D177" s="67"/>
      <c r="E177" s="67"/>
      <c r="F177" s="68"/>
    </row>
    <row r="178" spans="1:6">
      <c r="A178" s="54" t="s">
        <v>160</v>
      </c>
      <c r="B178" s="66">
        <f>B175+B12+B13+B14+B16+B17+B19+B20+B21+B22</f>
        <v>68.690000000000012</v>
      </c>
      <c r="D178" s="67"/>
      <c r="E178" s="67"/>
      <c r="F178" s="68"/>
    </row>
    <row r="179" spans="1:6">
      <c r="A179" s="55"/>
      <c r="B179" s="67"/>
      <c r="D179" s="67"/>
      <c r="E179" s="67"/>
      <c r="F179" s="68"/>
    </row>
    <row r="180" spans="1:6">
      <c r="A180" s="56" t="s">
        <v>161</v>
      </c>
      <c r="B180" s="69">
        <f>B47/B175</f>
        <v>8.7355641101569438E-3</v>
      </c>
      <c r="C180" s="4"/>
      <c r="F180" s="68"/>
    </row>
    <row r="181" spans="1:6">
      <c r="A181" s="54" t="s">
        <v>162</v>
      </c>
      <c r="B181" s="69">
        <f>B47/B178</f>
        <v>8.5893143106711301E-3</v>
      </c>
      <c r="D181" s="67"/>
      <c r="E181" s="67"/>
      <c r="F181" s="68"/>
    </row>
    <row r="182" spans="1:6">
      <c r="A182" s="55"/>
      <c r="D182" s="67"/>
      <c r="E182" s="67"/>
      <c r="F182" s="68"/>
    </row>
    <row r="183" spans="1:6" ht="16" customHeight="1" thickBot="1">
      <c r="A183" s="57" t="s">
        <v>163</v>
      </c>
      <c r="B183" s="62" t="s">
        <v>164</v>
      </c>
      <c r="C183" s="58"/>
      <c r="D183" s="70"/>
      <c r="E183" s="70"/>
      <c r="F183" s="71"/>
    </row>
  </sheetData>
  <mergeCells count="2">
    <mergeCell ref="B60:C60"/>
    <mergeCell ref="B75:C7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4"/>
  <sheetViews>
    <sheetView topLeftCell="A36" workbookViewId="0">
      <selection activeCell="H61" sqref="H61"/>
    </sheetView>
  </sheetViews>
  <sheetFormatPr defaultRowHeight="14.5"/>
  <cols>
    <col min="1" max="1" width="41.453125" customWidth="1"/>
    <col min="2" max="2" width="8.81640625" customWidth="1"/>
    <col min="6" max="6" width="12.81640625" customWidth="1"/>
    <col min="7" max="7" width="8.81640625" customWidth="1"/>
    <col min="8" max="8" width="12.453125" customWidth="1"/>
    <col min="9" max="10" width="8.81640625" customWidth="1"/>
  </cols>
  <sheetData>
    <row r="1" spans="1:9" ht="15.5">
      <c r="A1" s="76" t="s">
        <v>165</v>
      </c>
      <c r="B1" s="77"/>
      <c r="C1" s="77"/>
      <c r="D1" s="77"/>
      <c r="E1" s="77"/>
      <c r="F1" s="77"/>
      <c r="G1" s="77"/>
      <c r="H1" s="77"/>
      <c r="I1" s="77"/>
    </row>
    <row r="2" spans="1:9" ht="15.5">
      <c r="A2" s="78" t="s">
        <v>166</v>
      </c>
      <c r="B2" s="79" t="s">
        <v>167</v>
      </c>
      <c r="C2" s="80" t="s">
        <v>168</v>
      </c>
      <c r="D2" s="80" t="s">
        <v>169</v>
      </c>
      <c r="E2" s="80"/>
      <c r="F2" s="81" t="s">
        <v>1</v>
      </c>
      <c r="G2" s="82" t="s">
        <v>2</v>
      </c>
      <c r="H2" s="83" t="s">
        <v>170</v>
      </c>
      <c r="I2" s="84" t="s">
        <v>171</v>
      </c>
    </row>
    <row r="3" spans="1:9">
      <c r="A3" s="85" t="s">
        <v>172</v>
      </c>
      <c r="B3" s="77">
        <v>0</v>
      </c>
      <c r="C3" s="77">
        <v>10</v>
      </c>
      <c r="D3" s="77">
        <v>3</v>
      </c>
      <c r="E3" s="77"/>
      <c r="F3" s="77">
        <v>0.51</v>
      </c>
      <c r="G3" s="77"/>
      <c r="H3" s="77" t="s">
        <v>173</v>
      </c>
      <c r="I3" s="77"/>
    </row>
    <row r="4" spans="1:9">
      <c r="A4" s="86" t="s">
        <v>172</v>
      </c>
      <c r="B4" s="77">
        <v>0</v>
      </c>
      <c r="C4" s="77">
        <v>10</v>
      </c>
      <c r="D4" s="77">
        <v>3</v>
      </c>
      <c r="E4" s="77"/>
      <c r="F4" s="77">
        <v>0.51</v>
      </c>
      <c r="G4" s="77"/>
      <c r="H4" s="77" t="s">
        <v>174</v>
      </c>
      <c r="I4" s="77"/>
    </row>
    <row r="5" spans="1:9">
      <c r="A5" s="87" t="s">
        <v>6</v>
      </c>
      <c r="B5" s="88"/>
      <c r="C5" s="88"/>
      <c r="D5" s="88"/>
      <c r="E5" s="88"/>
      <c r="F5" s="88">
        <v>0.51</v>
      </c>
      <c r="G5" s="88">
        <v>0</v>
      </c>
      <c r="H5" s="88" t="s">
        <v>175</v>
      </c>
      <c r="I5" s="88"/>
    </row>
    <row r="6" spans="1:9">
      <c r="A6" s="86"/>
      <c r="B6" s="77"/>
      <c r="C6" s="77"/>
      <c r="D6" s="77"/>
      <c r="E6" s="77"/>
      <c r="F6" s="77"/>
      <c r="G6" s="77"/>
      <c r="H6" s="77"/>
      <c r="I6" s="77"/>
    </row>
    <row r="7" spans="1:9">
      <c r="A7" s="85" t="s">
        <v>176</v>
      </c>
      <c r="B7" s="77">
        <v>12</v>
      </c>
      <c r="C7" s="77">
        <v>7</v>
      </c>
      <c r="D7" s="77">
        <v>8</v>
      </c>
      <c r="E7" s="77"/>
      <c r="F7" s="77">
        <v>12.38</v>
      </c>
      <c r="G7" s="77"/>
      <c r="H7" s="77" t="s">
        <v>177</v>
      </c>
      <c r="I7" s="77"/>
    </row>
    <row r="8" spans="1:9">
      <c r="A8" s="86" t="s">
        <v>176</v>
      </c>
      <c r="B8" s="77">
        <v>12</v>
      </c>
      <c r="C8" s="77">
        <v>7</v>
      </c>
      <c r="D8" s="77">
        <v>8</v>
      </c>
      <c r="E8" s="77"/>
      <c r="F8" s="77">
        <v>12.38</v>
      </c>
      <c r="G8" s="77"/>
      <c r="H8" s="77" t="s">
        <v>178</v>
      </c>
      <c r="I8" s="77"/>
    </row>
    <row r="9" spans="1:9">
      <c r="A9" s="87" t="s">
        <v>179</v>
      </c>
      <c r="B9" s="88"/>
      <c r="C9" s="88"/>
      <c r="D9" s="88"/>
      <c r="E9" s="88"/>
      <c r="F9" s="88">
        <v>12.38</v>
      </c>
      <c r="G9" s="88">
        <v>0</v>
      </c>
      <c r="H9" s="88" t="s">
        <v>175</v>
      </c>
      <c r="I9" s="88"/>
    </row>
    <row r="10" spans="1:9">
      <c r="A10" s="86"/>
      <c r="B10" s="77"/>
      <c r="C10" s="77"/>
      <c r="D10" s="77"/>
      <c r="E10" s="77"/>
      <c r="F10" s="77"/>
      <c r="G10" s="77"/>
      <c r="H10" s="77"/>
      <c r="I10" s="77"/>
    </row>
    <row r="11" spans="1:9">
      <c r="A11" s="85" t="s">
        <v>180</v>
      </c>
      <c r="B11" s="77">
        <v>0</v>
      </c>
      <c r="C11" s="77">
        <v>0</v>
      </c>
      <c r="D11" s="77">
        <v>6</v>
      </c>
      <c r="E11" s="77"/>
      <c r="F11" s="77">
        <v>0.03</v>
      </c>
      <c r="G11" s="77"/>
      <c r="H11" s="77" t="s">
        <v>181</v>
      </c>
      <c r="I11" s="77"/>
    </row>
    <row r="12" spans="1:9">
      <c r="A12" s="86" t="s">
        <v>180</v>
      </c>
      <c r="B12" s="77">
        <v>0</v>
      </c>
      <c r="C12" s="77">
        <v>4</v>
      </c>
      <c r="D12" s="77">
        <v>6</v>
      </c>
      <c r="E12" s="77"/>
      <c r="F12" s="77">
        <v>0.23</v>
      </c>
      <c r="G12" s="77"/>
      <c r="H12" s="77" t="s">
        <v>182</v>
      </c>
      <c r="I12" s="77"/>
    </row>
    <row r="13" spans="1:9">
      <c r="A13" s="86" t="s">
        <v>180</v>
      </c>
      <c r="B13" s="77">
        <v>1</v>
      </c>
      <c r="C13" s="77">
        <v>2</v>
      </c>
      <c r="D13" s="77">
        <v>0</v>
      </c>
      <c r="E13" s="77"/>
      <c r="F13" s="77">
        <v>1.1000000000000001</v>
      </c>
      <c r="G13" s="77"/>
      <c r="H13" s="77" t="s">
        <v>183</v>
      </c>
      <c r="I13" s="77"/>
    </row>
    <row r="14" spans="1:9">
      <c r="A14" s="86" t="s">
        <v>180</v>
      </c>
      <c r="B14" s="77">
        <v>0</v>
      </c>
      <c r="C14" s="77">
        <v>5</v>
      </c>
      <c r="D14" s="77">
        <v>0</v>
      </c>
      <c r="E14" s="77"/>
      <c r="F14" s="77">
        <v>0.25</v>
      </c>
      <c r="G14" s="77"/>
      <c r="H14" s="77" t="s">
        <v>184</v>
      </c>
      <c r="I14" s="77"/>
    </row>
    <row r="15" spans="1:9">
      <c r="A15" s="86" t="s">
        <v>180</v>
      </c>
      <c r="B15" s="77">
        <v>1</v>
      </c>
      <c r="C15" s="77">
        <v>12</v>
      </c>
      <c r="D15" s="77">
        <v>0</v>
      </c>
      <c r="E15" s="77"/>
      <c r="F15" s="77">
        <v>1.6</v>
      </c>
      <c r="G15" s="77"/>
      <c r="H15" s="77" t="s">
        <v>185</v>
      </c>
      <c r="I15" s="77"/>
    </row>
    <row r="16" spans="1:9">
      <c r="A16" s="87" t="s">
        <v>9</v>
      </c>
      <c r="B16" s="88"/>
      <c r="C16" s="88"/>
      <c r="D16" s="88"/>
      <c r="E16" s="88"/>
      <c r="F16" s="88">
        <v>1.61</v>
      </c>
      <c r="G16" s="88">
        <v>0.01</v>
      </c>
      <c r="H16" s="88" t="s">
        <v>175</v>
      </c>
      <c r="I16" s="88"/>
    </row>
    <row r="17" spans="1:9">
      <c r="A17" s="86"/>
      <c r="B17" s="77"/>
      <c r="C17" s="77"/>
      <c r="D17" s="77"/>
      <c r="E17" s="77"/>
      <c r="F17" s="77"/>
      <c r="G17" s="77"/>
      <c r="H17" s="77"/>
      <c r="I17" s="77"/>
    </row>
    <row r="18" spans="1:9">
      <c r="A18" s="85" t="s">
        <v>186</v>
      </c>
      <c r="B18" s="77">
        <v>1</v>
      </c>
      <c r="C18" s="77">
        <v>16</v>
      </c>
      <c r="D18" s="77">
        <v>0</v>
      </c>
      <c r="E18" s="77"/>
      <c r="F18" s="77">
        <v>1.8</v>
      </c>
      <c r="G18" s="77"/>
      <c r="H18" s="77" t="s">
        <v>187</v>
      </c>
      <c r="I18" s="77"/>
    </row>
    <row r="19" spans="1:9">
      <c r="A19" s="86" t="s">
        <v>186</v>
      </c>
      <c r="B19" s="77">
        <v>10</v>
      </c>
      <c r="C19" s="77">
        <v>11</v>
      </c>
      <c r="D19" s="77">
        <v>8</v>
      </c>
      <c r="E19" s="77"/>
      <c r="F19" s="77">
        <v>10.58</v>
      </c>
      <c r="G19" s="77"/>
      <c r="H19" s="77" t="s">
        <v>188</v>
      </c>
      <c r="I19" s="77"/>
    </row>
    <row r="20" spans="1:9">
      <c r="A20" s="87" t="s">
        <v>13</v>
      </c>
      <c r="B20" s="88"/>
      <c r="C20" s="88"/>
      <c r="D20" s="88"/>
      <c r="E20" s="88"/>
      <c r="F20" s="88">
        <v>12.38</v>
      </c>
      <c r="G20" s="88">
        <v>0</v>
      </c>
      <c r="H20" s="88" t="s">
        <v>175</v>
      </c>
      <c r="I20" s="88"/>
    </row>
    <row r="21" spans="1:9">
      <c r="A21" s="86"/>
      <c r="B21" s="77"/>
      <c r="C21" s="77"/>
      <c r="D21" s="77"/>
      <c r="E21" s="77"/>
      <c r="F21" s="77"/>
      <c r="G21" s="77"/>
      <c r="H21" s="77"/>
      <c r="I21" s="77"/>
    </row>
    <row r="22" spans="1:9">
      <c r="A22" s="85" t="s">
        <v>189</v>
      </c>
      <c r="B22" s="77">
        <v>0</v>
      </c>
      <c r="C22" s="77">
        <v>3</v>
      </c>
      <c r="D22" s="77">
        <v>1</v>
      </c>
      <c r="E22" s="77"/>
      <c r="F22" s="77">
        <v>0.15</v>
      </c>
      <c r="G22" s="77"/>
      <c r="H22" s="77" t="s">
        <v>190</v>
      </c>
      <c r="I22" s="77"/>
    </row>
    <row r="23" spans="1:9">
      <c r="A23" s="86" t="s">
        <v>189</v>
      </c>
      <c r="B23" s="77">
        <v>0</v>
      </c>
      <c r="C23" s="77">
        <v>1</v>
      </c>
      <c r="D23" s="77">
        <v>9.25</v>
      </c>
      <c r="E23" s="77"/>
      <c r="F23" s="77">
        <v>0.09</v>
      </c>
      <c r="G23" s="77"/>
      <c r="H23" s="77" t="s">
        <v>191</v>
      </c>
      <c r="I23" s="77"/>
    </row>
    <row r="24" spans="1:9">
      <c r="A24" s="86" t="s">
        <v>189</v>
      </c>
      <c r="B24" s="77">
        <v>0</v>
      </c>
      <c r="C24" s="77">
        <v>1</v>
      </c>
      <c r="D24" s="77">
        <v>5.5</v>
      </c>
      <c r="E24" s="77"/>
      <c r="F24" s="77">
        <v>7.0000000000000007E-2</v>
      </c>
      <c r="G24" s="77"/>
      <c r="H24" s="77" t="s">
        <v>192</v>
      </c>
      <c r="I24" s="77"/>
    </row>
    <row r="25" spans="1:9">
      <c r="A25" s="86" t="s">
        <v>189</v>
      </c>
      <c r="B25" s="77">
        <v>0</v>
      </c>
      <c r="C25" s="77">
        <v>1</v>
      </c>
      <c r="D25" s="77">
        <v>6.75</v>
      </c>
      <c r="E25" s="77"/>
      <c r="F25" s="77">
        <v>0.08</v>
      </c>
      <c r="G25" s="77"/>
      <c r="H25" s="77" t="s">
        <v>193</v>
      </c>
      <c r="I25" s="77"/>
    </row>
    <row r="26" spans="1:9">
      <c r="A26" s="86" t="s">
        <v>189</v>
      </c>
      <c r="B26" s="77">
        <v>0</v>
      </c>
      <c r="C26" s="77">
        <v>0</v>
      </c>
      <c r="D26" s="77">
        <v>0</v>
      </c>
      <c r="E26" s="77"/>
      <c r="F26" s="77">
        <v>0</v>
      </c>
      <c r="G26" s="77"/>
      <c r="H26" s="77" t="s">
        <v>194</v>
      </c>
      <c r="I26" s="77"/>
    </row>
    <row r="27" spans="1:9">
      <c r="A27" s="86" t="s">
        <v>189</v>
      </c>
      <c r="B27" s="77">
        <v>4</v>
      </c>
      <c r="C27" s="77">
        <v>15</v>
      </c>
      <c r="D27" s="77">
        <v>0</v>
      </c>
      <c r="E27" s="77"/>
      <c r="F27" s="77">
        <v>4.75</v>
      </c>
      <c r="G27" s="77"/>
      <c r="H27" s="77" t="s">
        <v>195</v>
      </c>
      <c r="I27" s="77"/>
    </row>
    <row r="28" spans="1:9">
      <c r="A28" s="86" t="s">
        <v>189</v>
      </c>
      <c r="B28" s="77">
        <v>0</v>
      </c>
      <c r="C28" s="77">
        <v>4</v>
      </c>
      <c r="D28" s="77">
        <v>8</v>
      </c>
      <c r="E28" s="77"/>
      <c r="F28" s="77">
        <v>0.23</v>
      </c>
      <c r="G28" s="77"/>
      <c r="H28" s="77" t="s">
        <v>196</v>
      </c>
      <c r="I28" s="77"/>
    </row>
    <row r="29" spans="1:9">
      <c r="A29" s="86" t="s">
        <v>189</v>
      </c>
      <c r="B29" s="77">
        <v>0</v>
      </c>
      <c r="C29" s="77">
        <v>0</v>
      </c>
      <c r="D29" s="77">
        <v>6</v>
      </c>
      <c r="E29" s="77"/>
      <c r="F29" s="77">
        <v>0.03</v>
      </c>
      <c r="G29" s="77"/>
      <c r="H29" s="77" t="s">
        <v>197</v>
      </c>
      <c r="I29" s="77"/>
    </row>
    <row r="30" spans="1:9">
      <c r="A30" s="86" t="s">
        <v>189</v>
      </c>
      <c r="B30" s="77">
        <v>0</v>
      </c>
      <c r="C30" s="77">
        <v>5</v>
      </c>
      <c r="D30" s="77">
        <v>0</v>
      </c>
      <c r="E30" s="77"/>
      <c r="F30" s="77">
        <v>0.25</v>
      </c>
      <c r="G30" s="77"/>
      <c r="H30" s="77" t="s">
        <v>198</v>
      </c>
      <c r="I30" s="77"/>
    </row>
    <row r="31" spans="1:9">
      <c r="A31" s="86" t="s">
        <v>189</v>
      </c>
      <c r="B31" s="77">
        <v>0</v>
      </c>
      <c r="C31" s="77">
        <v>0</v>
      </c>
      <c r="D31" s="77">
        <v>0</v>
      </c>
      <c r="E31" s="77"/>
      <c r="F31" s="77">
        <v>0</v>
      </c>
      <c r="G31" s="77"/>
      <c r="H31" s="77" t="s">
        <v>199</v>
      </c>
      <c r="I31" s="77"/>
    </row>
    <row r="32" spans="1:9">
      <c r="A32" s="86" t="s">
        <v>189</v>
      </c>
      <c r="B32" s="77">
        <v>0</v>
      </c>
      <c r="C32" s="77">
        <v>4</v>
      </c>
      <c r="D32" s="77">
        <v>8</v>
      </c>
      <c r="E32" s="77"/>
      <c r="F32" s="77">
        <v>0.23</v>
      </c>
      <c r="G32" s="77"/>
      <c r="H32" s="77" t="s">
        <v>200</v>
      </c>
      <c r="I32" s="77"/>
    </row>
    <row r="33" spans="1:9">
      <c r="A33" s="86" t="s">
        <v>189</v>
      </c>
      <c r="B33" s="77">
        <v>0</v>
      </c>
      <c r="C33" s="77">
        <v>1</v>
      </c>
      <c r="D33" s="77">
        <v>2</v>
      </c>
      <c r="E33" s="77"/>
      <c r="F33" s="77">
        <v>0.06</v>
      </c>
      <c r="G33" s="77"/>
      <c r="H33" s="77" t="s">
        <v>201</v>
      </c>
      <c r="I33" s="77"/>
    </row>
    <row r="34" spans="1:9">
      <c r="A34" s="86" t="s">
        <v>189</v>
      </c>
      <c r="B34" s="77">
        <v>0</v>
      </c>
      <c r="C34" s="77">
        <v>0</v>
      </c>
      <c r="D34" s="77">
        <v>7.5</v>
      </c>
      <c r="E34" s="77"/>
      <c r="F34" s="77">
        <v>0.03</v>
      </c>
      <c r="G34" s="77"/>
      <c r="H34" s="77" t="s">
        <v>202</v>
      </c>
      <c r="I34" s="77"/>
    </row>
    <row r="35" spans="1:9">
      <c r="A35" s="86" t="s">
        <v>189</v>
      </c>
      <c r="B35" s="77">
        <v>0</v>
      </c>
      <c r="C35" s="77">
        <v>0</v>
      </c>
      <c r="D35" s="77">
        <v>1</v>
      </c>
      <c r="E35" s="77"/>
      <c r="F35" s="77">
        <v>0</v>
      </c>
      <c r="G35" s="77"/>
      <c r="H35" s="77" t="s">
        <v>203</v>
      </c>
      <c r="I35" s="77"/>
    </row>
    <row r="36" spans="1:9">
      <c r="A36" s="86" t="s">
        <v>189</v>
      </c>
      <c r="B36" s="77">
        <v>0</v>
      </c>
      <c r="C36" s="77">
        <v>0</v>
      </c>
      <c r="D36" s="77">
        <v>1</v>
      </c>
      <c r="E36" s="77"/>
      <c r="F36" s="77">
        <v>0</v>
      </c>
      <c r="G36" s="77"/>
      <c r="H36" s="77" t="s">
        <v>204</v>
      </c>
      <c r="I36" s="77"/>
    </row>
    <row r="37" spans="1:9">
      <c r="A37" s="86" t="s">
        <v>189</v>
      </c>
      <c r="B37" s="77">
        <v>0</v>
      </c>
      <c r="C37" s="77">
        <v>0</v>
      </c>
      <c r="D37" s="77">
        <v>10</v>
      </c>
      <c r="E37" s="77"/>
      <c r="F37" s="77">
        <v>0.04</v>
      </c>
      <c r="G37" s="77"/>
      <c r="H37" s="77" t="s">
        <v>205</v>
      </c>
      <c r="I37" s="77"/>
    </row>
    <row r="38" spans="1:9">
      <c r="A38" s="86" t="s">
        <v>189</v>
      </c>
      <c r="B38" s="77">
        <v>0</v>
      </c>
      <c r="C38" s="77">
        <v>4</v>
      </c>
      <c r="D38" s="77">
        <v>8</v>
      </c>
      <c r="E38" s="77"/>
      <c r="F38" s="77">
        <v>0.23</v>
      </c>
      <c r="G38" s="77"/>
      <c r="H38" s="77" t="s">
        <v>206</v>
      </c>
      <c r="I38" s="77"/>
    </row>
    <row r="39" spans="1:9">
      <c r="A39" s="86" t="s">
        <v>189</v>
      </c>
      <c r="B39" s="77">
        <v>0</v>
      </c>
      <c r="C39" s="77">
        <v>0</v>
      </c>
      <c r="D39" s="77">
        <v>0</v>
      </c>
      <c r="E39" s="77"/>
      <c r="F39" s="77">
        <v>0</v>
      </c>
      <c r="G39" s="77"/>
      <c r="H39" s="77" t="s">
        <v>207</v>
      </c>
      <c r="I39" s="77"/>
    </row>
    <row r="40" spans="1:9">
      <c r="A40" s="86" t="s">
        <v>189</v>
      </c>
      <c r="B40" s="77">
        <v>1</v>
      </c>
      <c r="C40" s="77">
        <v>0</v>
      </c>
      <c r="D40" s="77">
        <v>0</v>
      </c>
      <c r="E40" s="77"/>
      <c r="F40" s="77">
        <v>1</v>
      </c>
      <c r="G40" s="77"/>
      <c r="H40" s="77" t="s">
        <v>208</v>
      </c>
      <c r="I40" s="77"/>
    </row>
    <row r="41" spans="1:9">
      <c r="A41" s="86" t="s">
        <v>189</v>
      </c>
      <c r="B41" s="77">
        <v>0</v>
      </c>
      <c r="C41" s="77">
        <v>0</v>
      </c>
      <c r="D41" s="77">
        <v>0</v>
      </c>
      <c r="E41" s="77"/>
      <c r="F41" s="77">
        <v>0</v>
      </c>
      <c r="G41" s="77"/>
      <c r="H41" s="77" t="s">
        <v>209</v>
      </c>
      <c r="I41" s="77"/>
    </row>
    <row r="42" spans="1:9">
      <c r="A42" s="86" t="s">
        <v>189</v>
      </c>
      <c r="B42" s="77">
        <v>0</v>
      </c>
      <c r="C42" s="77">
        <v>14</v>
      </c>
      <c r="D42" s="77">
        <v>4</v>
      </c>
      <c r="E42" s="77"/>
      <c r="F42" s="77">
        <v>0.72</v>
      </c>
      <c r="G42" s="77"/>
      <c r="H42" s="77" t="s">
        <v>210</v>
      </c>
      <c r="I42" s="77"/>
    </row>
    <row r="43" spans="1:9">
      <c r="A43" s="86" t="s">
        <v>189</v>
      </c>
      <c r="B43" s="77">
        <v>0</v>
      </c>
      <c r="C43" s="77">
        <v>0</v>
      </c>
      <c r="D43" s="77">
        <v>0</v>
      </c>
      <c r="E43" s="77"/>
      <c r="F43" s="77">
        <v>0</v>
      </c>
      <c r="G43" s="77"/>
      <c r="H43" s="77" t="s">
        <v>211</v>
      </c>
      <c r="I43" s="77"/>
    </row>
    <row r="44" spans="1:9">
      <c r="A44" s="86" t="s">
        <v>189</v>
      </c>
      <c r="B44" s="77">
        <v>0</v>
      </c>
      <c r="C44" s="77">
        <v>16</v>
      </c>
      <c r="D44" s="77">
        <v>8</v>
      </c>
      <c r="E44" s="77"/>
      <c r="F44" s="77">
        <v>0.83</v>
      </c>
      <c r="G44" s="77"/>
      <c r="H44" s="77" t="s">
        <v>212</v>
      </c>
      <c r="I44" s="77"/>
    </row>
    <row r="45" spans="1:9">
      <c r="A45" s="86" t="s">
        <v>189</v>
      </c>
      <c r="B45" s="77">
        <v>8</v>
      </c>
      <c r="C45" s="77">
        <v>16</v>
      </c>
      <c r="D45" s="77">
        <v>1</v>
      </c>
      <c r="E45" s="77"/>
      <c r="F45" s="77">
        <v>8.8000000000000007</v>
      </c>
      <c r="G45" s="77"/>
      <c r="H45" s="77" t="s">
        <v>213</v>
      </c>
      <c r="I45" s="77"/>
    </row>
    <row r="46" spans="1:9">
      <c r="A46" s="87" t="s">
        <v>214</v>
      </c>
      <c r="B46" s="88"/>
      <c r="C46" s="88"/>
      <c r="D46" s="88"/>
      <c r="E46" s="88"/>
      <c r="F46" s="88">
        <v>8.7899999999999991</v>
      </c>
      <c r="G46" s="88">
        <v>-0.01</v>
      </c>
      <c r="H46" s="88" t="s">
        <v>175</v>
      </c>
      <c r="I46" s="88"/>
    </row>
    <row r="47" spans="1:9">
      <c r="A47" s="86"/>
      <c r="B47" s="77"/>
      <c r="C47" s="77"/>
      <c r="D47" s="77"/>
      <c r="E47" s="77"/>
      <c r="F47" s="77"/>
      <c r="G47" s="77"/>
      <c r="H47" s="77"/>
      <c r="I47" s="77"/>
    </row>
    <row r="48" spans="1:9">
      <c r="A48" s="85" t="s">
        <v>215</v>
      </c>
      <c r="B48" s="77">
        <v>17</v>
      </c>
      <c r="C48" s="77">
        <v>16</v>
      </c>
      <c r="D48" s="77">
        <v>3.75</v>
      </c>
      <c r="E48" s="77"/>
      <c r="F48" s="77">
        <v>17.82</v>
      </c>
      <c r="G48" s="77"/>
      <c r="H48" s="77" t="s">
        <v>216</v>
      </c>
      <c r="I48" s="77"/>
    </row>
    <row r="49" spans="1:9">
      <c r="A49" s="86" t="s">
        <v>215</v>
      </c>
      <c r="B49" s="77">
        <v>1</v>
      </c>
      <c r="C49" s="77">
        <v>4</v>
      </c>
      <c r="D49" s="77">
        <v>0</v>
      </c>
      <c r="E49" s="77"/>
      <c r="F49" s="77">
        <v>1.2</v>
      </c>
      <c r="G49" s="77"/>
      <c r="H49" s="77" t="s">
        <v>217</v>
      </c>
      <c r="I49" s="77"/>
    </row>
    <row r="50" spans="1:9">
      <c r="A50" s="86" t="s">
        <v>215</v>
      </c>
      <c r="B50" s="77">
        <v>11</v>
      </c>
      <c r="C50" s="77">
        <v>8</v>
      </c>
      <c r="D50" s="77">
        <v>9</v>
      </c>
      <c r="E50" s="77"/>
      <c r="F50" s="77">
        <v>11.44</v>
      </c>
      <c r="G50" s="77"/>
      <c r="H50" s="77" t="s">
        <v>218</v>
      </c>
      <c r="I50" s="77"/>
    </row>
    <row r="51" spans="1:9">
      <c r="A51" s="86" t="s">
        <v>215</v>
      </c>
      <c r="B51" s="77">
        <v>0</v>
      </c>
      <c r="C51" s="77">
        <v>15</v>
      </c>
      <c r="D51" s="77">
        <v>5</v>
      </c>
      <c r="E51" s="77"/>
      <c r="F51" s="77">
        <v>0.77</v>
      </c>
      <c r="G51" s="77"/>
      <c r="H51" s="77" t="s">
        <v>219</v>
      </c>
      <c r="I51" s="77"/>
    </row>
    <row r="52" spans="1:9">
      <c r="A52" s="86" t="s">
        <v>215</v>
      </c>
      <c r="B52" s="77">
        <v>0</v>
      </c>
      <c r="C52" s="77">
        <v>14</v>
      </c>
      <c r="D52" s="77">
        <v>4</v>
      </c>
      <c r="E52" s="77"/>
      <c r="F52" s="77">
        <v>0.72</v>
      </c>
      <c r="G52" s="77"/>
      <c r="H52" s="77" t="s">
        <v>220</v>
      </c>
      <c r="I52" s="77"/>
    </row>
    <row r="53" spans="1:9">
      <c r="A53" s="86" t="s">
        <v>215</v>
      </c>
      <c r="B53" s="77">
        <v>0</v>
      </c>
      <c r="C53" s="77">
        <v>17</v>
      </c>
      <c r="D53" s="77">
        <v>6</v>
      </c>
      <c r="E53" s="77"/>
      <c r="F53" s="77">
        <v>0.88</v>
      </c>
      <c r="G53" s="77"/>
      <c r="H53" s="77" t="s">
        <v>221</v>
      </c>
      <c r="I53" s="77"/>
    </row>
    <row r="54" spans="1:9">
      <c r="A54" s="86" t="s">
        <v>215</v>
      </c>
      <c r="B54" s="77">
        <v>32</v>
      </c>
      <c r="C54" s="77">
        <v>15</v>
      </c>
      <c r="D54" s="77">
        <v>11.75</v>
      </c>
      <c r="E54" s="77"/>
      <c r="F54" s="77">
        <v>32.799999999999997</v>
      </c>
      <c r="G54" s="77"/>
      <c r="H54" s="77" t="s">
        <v>222</v>
      </c>
      <c r="I54" s="77"/>
    </row>
    <row r="55" spans="1:9">
      <c r="A55" s="87" t="s">
        <v>20</v>
      </c>
      <c r="B55" s="88"/>
      <c r="C55" s="88"/>
      <c r="D55" s="88"/>
      <c r="E55" s="88"/>
      <c r="F55" s="88">
        <v>32.83</v>
      </c>
      <c r="G55" s="88">
        <v>0.03</v>
      </c>
      <c r="H55" s="88" t="s">
        <v>175</v>
      </c>
      <c r="I55" s="88"/>
    </row>
    <row r="56" spans="1:9">
      <c r="A56" s="86"/>
      <c r="B56" s="77"/>
      <c r="C56" s="77"/>
      <c r="D56" s="77"/>
      <c r="E56" s="77"/>
      <c r="F56" s="77"/>
      <c r="G56" s="77"/>
      <c r="H56" s="77"/>
      <c r="I56" s="77"/>
    </row>
    <row r="57" spans="1:9">
      <c r="A57" s="85" t="s">
        <v>223</v>
      </c>
      <c r="B57" s="77">
        <v>1</v>
      </c>
      <c r="C57" s="77">
        <v>6</v>
      </c>
      <c r="D57" s="77">
        <v>8</v>
      </c>
      <c r="E57" s="77"/>
      <c r="F57" s="77">
        <v>1.33</v>
      </c>
      <c r="G57" s="77"/>
      <c r="H57" s="77" t="s">
        <v>224</v>
      </c>
      <c r="I57" s="77"/>
    </row>
    <row r="58" spans="1:9">
      <c r="A58" s="86" t="s">
        <v>223</v>
      </c>
      <c r="B58" s="77">
        <v>0</v>
      </c>
      <c r="C58" s="77">
        <v>8</v>
      </c>
      <c r="D58" s="77">
        <v>0</v>
      </c>
      <c r="E58" s="77"/>
      <c r="F58" s="77">
        <v>0.4</v>
      </c>
      <c r="G58" s="77"/>
      <c r="H58" s="77" t="s">
        <v>225</v>
      </c>
      <c r="I58" s="77"/>
    </row>
    <row r="59" spans="1:9">
      <c r="A59" s="86" t="s">
        <v>223</v>
      </c>
      <c r="B59" s="77">
        <v>0</v>
      </c>
      <c r="C59" s="77">
        <v>7</v>
      </c>
      <c r="D59" s="77">
        <v>0</v>
      </c>
      <c r="E59" s="77"/>
      <c r="F59" s="77">
        <v>0.35</v>
      </c>
      <c r="G59" s="77"/>
      <c r="H59" s="77" t="s">
        <v>226</v>
      </c>
      <c r="I59" s="77"/>
    </row>
    <row r="60" spans="1:9">
      <c r="A60" s="86" t="s">
        <v>223</v>
      </c>
      <c r="B60" s="77">
        <v>2</v>
      </c>
      <c r="C60" s="77">
        <v>18</v>
      </c>
      <c r="D60" s="77">
        <v>4</v>
      </c>
      <c r="E60" s="77"/>
      <c r="F60" s="77">
        <v>2.92</v>
      </c>
      <c r="G60" s="77"/>
      <c r="H60" s="77" t="s">
        <v>227</v>
      </c>
      <c r="I60" s="77"/>
    </row>
    <row r="61" spans="1:9">
      <c r="A61" s="86" t="s">
        <v>223</v>
      </c>
      <c r="B61" s="77">
        <v>3</v>
      </c>
      <c r="C61" s="77">
        <v>14</v>
      </c>
      <c r="D61" s="77">
        <v>8</v>
      </c>
      <c r="E61" s="77"/>
      <c r="F61" s="77">
        <v>3.73</v>
      </c>
      <c r="G61" s="77"/>
      <c r="H61" s="77" t="s">
        <v>228</v>
      </c>
      <c r="I61" s="77"/>
    </row>
    <row r="62" spans="1:9">
      <c r="A62" s="86" t="s">
        <v>223</v>
      </c>
      <c r="B62" s="77">
        <v>0</v>
      </c>
      <c r="C62" s="77">
        <v>10</v>
      </c>
      <c r="D62" s="77">
        <v>7.5</v>
      </c>
      <c r="E62" s="77"/>
      <c r="F62" s="77">
        <v>0.53</v>
      </c>
      <c r="G62" s="77"/>
      <c r="H62" s="77" t="s">
        <v>229</v>
      </c>
      <c r="I62" s="77"/>
    </row>
    <row r="63" spans="1:9">
      <c r="A63" s="86" t="s">
        <v>223</v>
      </c>
      <c r="B63" s="77">
        <v>0</v>
      </c>
      <c r="C63" s="77">
        <v>7</v>
      </c>
      <c r="D63" s="77">
        <v>4</v>
      </c>
      <c r="E63" s="77"/>
      <c r="F63" s="77">
        <v>0.37</v>
      </c>
      <c r="G63" s="77"/>
      <c r="H63" s="77" t="s">
        <v>230</v>
      </c>
      <c r="I63" s="77"/>
    </row>
    <row r="64" spans="1:9">
      <c r="A64" s="86" t="s">
        <v>223</v>
      </c>
      <c r="B64" s="77">
        <v>0</v>
      </c>
      <c r="C64" s="77">
        <v>8</v>
      </c>
      <c r="D64" s="77">
        <v>4</v>
      </c>
      <c r="E64" s="77"/>
      <c r="F64" s="77">
        <v>0.42</v>
      </c>
      <c r="G64" s="77"/>
      <c r="H64" s="77" t="s">
        <v>231</v>
      </c>
      <c r="I64" s="77"/>
    </row>
    <row r="65" spans="1:9">
      <c r="A65" s="86" t="s">
        <v>223</v>
      </c>
      <c r="B65" s="77">
        <v>10</v>
      </c>
      <c r="C65" s="77">
        <v>0</v>
      </c>
      <c r="D65" s="77">
        <v>0</v>
      </c>
      <c r="E65" s="77"/>
      <c r="F65" s="77">
        <v>10</v>
      </c>
      <c r="G65" s="77"/>
      <c r="H65" s="77" t="s">
        <v>232</v>
      </c>
      <c r="I65" s="77"/>
    </row>
    <row r="66" spans="1:9">
      <c r="A66" s="87" t="s">
        <v>233</v>
      </c>
      <c r="B66" s="88"/>
      <c r="C66" s="88"/>
      <c r="D66" s="88"/>
      <c r="E66" s="88"/>
      <c r="F66" s="88">
        <v>10.050000000000001</v>
      </c>
      <c r="G66" s="88">
        <v>0.05</v>
      </c>
      <c r="H66" s="88" t="s">
        <v>175</v>
      </c>
      <c r="I66" s="88"/>
    </row>
    <row r="67" spans="1:9">
      <c r="A67" s="86"/>
      <c r="B67" s="77"/>
      <c r="C67" s="77"/>
      <c r="D67" s="77"/>
      <c r="E67" s="77"/>
      <c r="F67" s="77"/>
      <c r="G67" s="77"/>
      <c r="H67" s="77"/>
      <c r="I67" s="77"/>
    </row>
    <row r="68" spans="1:9">
      <c r="A68" s="85" t="s">
        <v>234</v>
      </c>
      <c r="B68" s="77">
        <v>0</v>
      </c>
      <c r="C68" s="77">
        <v>2</v>
      </c>
      <c r="D68" s="77">
        <v>10</v>
      </c>
      <c r="E68" s="77"/>
      <c r="F68" s="77">
        <v>0.14000000000000001</v>
      </c>
      <c r="G68" s="77"/>
      <c r="H68" s="77" t="s">
        <v>235</v>
      </c>
      <c r="I68" s="77"/>
    </row>
    <row r="69" spans="1:9">
      <c r="A69" s="86" t="s">
        <v>234</v>
      </c>
      <c r="B69" s="77">
        <v>0</v>
      </c>
      <c r="C69" s="77">
        <v>0</v>
      </c>
      <c r="D69" s="77">
        <v>2</v>
      </c>
      <c r="E69" s="77"/>
      <c r="F69" s="77">
        <v>0.01</v>
      </c>
      <c r="G69" s="77"/>
      <c r="H69" s="77" t="s">
        <v>236</v>
      </c>
      <c r="I69" s="77"/>
    </row>
    <row r="70" spans="1:9">
      <c r="A70" s="86" t="s">
        <v>234</v>
      </c>
      <c r="B70" s="77">
        <v>0</v>
      </c>
      <c r="C70" s="77">
        <v>1</v>
      </c>
      <c r="D70" s="77">
        <v>10</v>
      </c>
      <c r="E70" s="77"/>
      <c r="F70" s="77">
        <v>0.09</v>
      </c>
      <c r="G70" s="77"/>
      <c r="H70" s="77" t="s">
        <v>237</v>
      </c>
      <c r="I70" s="77"/>
    </row>
    <row r="71" spans="1:9">
      <c r="A71" s="86" t="s">
        <v>234</v>
      </c>
      <c r="B71" s="77">
        <v>0</v>
      </c>
      <c r="C71" s="77">
        <v>7</v>
      </c>
      <c r="D71" s="77">
        <v>1</v>
      </c>
      <c r="E71" s="77"/>
      <c r="F71" s="77">
        <v>0.35</v>
      </c>
      <c r="G71" s="77"/>
      <c r="H71" s="77" t="s">
        <v>238</v>
      </c>
      <c r="I71" s="77"/>
    </row>
    <row r="72" spans="1:9">
      <c r="A72" s="87" t="s">
        <v>239</v>
      </c>
      <c r="B72" s="88">
        <v>1</v>
      </c>
      <c r="C72" s="88">
        <v>2</v>
      </c>
      <c r="D72" s="88">
        <v>11</v>
      </c>
      <c r="E72" s="88"/>
      <c r="F72" s="88">
        <v>1.1499999999999999</v>
      </c>
      <c r="G72" s="88">
        <v>0.8</v>
      </c>
      <c r="H72" s="88" t="s">
        <v>240</v>
      </c>
      <c r="I72" s="88"/>
    </row>
    <row r="73" spans="1:9">
      <c r="A73" s="18" t="s">
        <v>241</v>
      </c>
      <c r="F73">
        <f>SUMIF(A1:A72,"* total",F1:F72)-SUMIF(A1:A72,"Arrears total",F1:F72)</f>
        <v>79.19</v>
      </c>
    </row>
    <row r="74" spans="1:9">
      <c r="A74" s="18" t="s">
        <v>26</v>
      </c>
      <c r="F74">
        <f>F73+SUMIF(A1:A72,"Arrears total",F1:F72)</f>
        <v>79.7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5"/>
  <sheetViews>
    <sheetView topLeftCell="A6" workbookViewId="0">
      <selection activeCell="A54" sqref="A53:A54"/>
    </sheetView>
  </sheetViews>
  <sheetFormatPr defaultRowHeight="14.5"/>
  <cols>
    <col min="1" max="1" width="34.453125" customWidth="1"/>
    <col min="2" max="2" width="8.81640625" customWidth="1"/>
    <col min="6" max="7" width="8.81640625" customWidth="1"/>
    <col min="8" max="8" width="43" customWidth="1"/>
  </cols>
  <sheetData>
    <row r="1" spans="1:10" ht="15.5">
      <c r="A1" s="76" t="s">
        <v>242</v>
      </c>
      <c r="B1" s="77"/>
      <c r="C1" s="77"/>
      <c r="D1" s="77"/>
      <c r="E1" s="77"/>
      <c r="F1" s="77"/>
      <c r="G1" s="77"/>
      <c r="H1" s="77"/>
    </row>
    <row r="2" spans="1:10" ht="31" customHeight="1">
      <c r="A2" s="89" t="s">
        <v>166</v>
      </c>
      <c r="B2" s="90" t="s">
        <v>167</v>
      </c>
      <c r="C2" s="91" t="s">
        <v>168</v>
      </c>
      <c r="D2" s="91" t="s">
        <v>169</v>
      </c>
      <c r="E2" s="92"/>
      <c r="F2" s="93" t="s">
        <v>1</v>
      </c>
      <c r="G2" s="94" t="s">
        <v>2</v>
      </c>
      <c r="H2" s="95" t="s">
        <v>243</v>
      </c>
      <c r="I2" t="s">
        <v>244</v>
      </c>
      <c r="J2" t="s">
        <v>245</v>
      </c>
    </row>
    <row r="3" spans="1:10">
      <c r="A3" s="86"/>
      <c r="B3" s="77"/>
      <c r="C3" s="77"/>
      <c r="D3" s="77"/>
      <c r="E3" s="77"/>
      <c r="F3" s="77"/>
      <c r="G3" s="77"/>
      <c r="H3" s="77"/>
    </row>
    <row r="4" spans="1:10">
      <c r="A4" s="85" t="s">
        <v>246</v>
      </c>
      <c r="B4" s="77">
        <v>0</v>
      </c>
      <c r="C4" s="77">
        <v>16</v>
      </c>
      <c r="D4" s="77">
        <v>0</v>
      </c>
      <c r="E4" s="77"/>
      <c r="F4" s="77">
        <v>0.8</v>
      </c>
      <c r="G4" s="77"/>
      <c r="H4" s="77" t="s">
        <v>247</v>
      </c>
    </row>
    <row r="5" spans="1:10">
      <c r="A5" s="86" t="s">
        <v>246</v>
      </c>
      <c r="B5" s="77">
        <v>0</v>
      </c>
      <c r="C5" s="77">
        <v>4</v>
      </c>
      <c r="D5" s="77">
        <v>0</v>
      </c>
      <c r="E5" s="77"/>
      <c r="F5" s="77">
        <v>0.2</v>
      </c>
      <c r="G5" s="77"/>
      <c r="H5" s="77" t="s">
        <v>248</v>
      </c>
    </row>
    <row r="6" spans="1:10">
      <c r="A6" s="86" t="s">
        <v>246</v>
      </c>
      <c r="B6" s="77">
        <v>0</v>
      </c>
      <c r="C6" s="77">
        <v>0</v>
      </c>
      <c r="D6" s="77">
        <v>10</v>
      </c>
      <c r="E6" s="77"/>
      <c r="F6" s="77">
        <v>0.04</v>
      </c>
      <c r="G6" s="77"/>
      <c r="H6" s="77" t="s">
        <v>249</v>
      </c>
    </row>
    <row r="7" spans="1:10">
      <c r="A7" s="86" t="s">
        <v>246</v>
      </c>
      <c r="B7" s="77">
        <v>0</v>
      </c>
      <c r="C7" s="77">
        <v>0</v>
      </c>
      <c r="D7" s="77">
        <v>6</v>
      </c>
      <c r="E7" s="77"/>
      <c r="F7" s="77">
        <v>0.03</v>
      </c>
      <c r="G7" s="77"/>
      <c r="H7" s="77" t="s">
        <v>250</v>
      </c>
    </row>
    <row r="8" spans="1:10">
      <c r="A8" s="86" t="s">
        <v>246</v>
      </c>
      <c r="B8" s="77">
        <v>0</v>
      </c>
      <c r="C8" s="77">
        <v>0</v>
      </c>
      <c r="D8" s="77">
        <v>8</v>
      </c>
      <c r="E8" s="77"/>
      <c r="F8" s="77">
        <v>0.03</v>
      </c>
      <c r="G8" s="77"/>
      <c r="H8" s="77" t="s">
        <v>251</v>
      </c>
    </row>
    <row r="9" spans="1:10">
      <c r="A9" s="86" t="s">
        <v>246</v>
      </c>
      <c r="B9" s="77">
        <v>0</v>
      </c>
      <c r="C9" s="77">
        <v>1</v>
      </c>
      <c r="D9" s="77">
        <v>6</v>
      </c>
      <c r="E9" s="77"/>
      <c r="F9" s="77">
        <v>0.08</v>
      </c>
      <c r="G9" s="77"/>
      <c r="H9" s="77" t="s">
        <v>252</v>
      </c>
    </row>
    <row r="10" spans="1:10">
      <c r="A10" s="86" t="s">
        <v>246</v>
      </c>
      <c r="B10" s="77">
        <v>0</v>
      </c>
      <c r="C10" s="77">
        <v>0</v>
      </c>
      <c r="D10" s="77">
        <v>6</v>
      </c>
      <c r="E10" s="77"/>
      <c r="F10" s="77">
        <v>0.03</v>
      </c>
      <c r="G10" s="77"/>
      <c r="H10" s="77" t="s">
        <v>253</v>
      </c>
    </row>
    <row r="11" spans="1:10">
      <c r="A11" s="86" t="s">
        <v>246</v>
      </c>
      <c r="B11" s="77">
        <v>0</v>
      </c>
      <c r="C11" s="77">
        <v>1</v>
      </c>
      <c r="D11" s="77">
        <v>4</v>
      </c>
      <c r="E11" s="77"/>
      <c r="F11" s="77">
        <v>7.0000000000000007E-2</v>
      </c>
      <c r="G11" s="77"/>
      <c r="H11" s="77" t="s">
        <v>254</v>
      </c>
    </row>
    <row r="12" spans="1:10">
      <c r="A12" s="86" t="s">
        <v>246</v>
      </c>
      <c r="B12" s="77">
        <v>0</v>
      </c>
      <c r="C12" s="77">
        <v>6</v>
      </c>
      <c r="D12" s="77">
        <v>8</v>
      </c>
      <c r="E12" s="77"/>
      <c r="F12" s="77">
        <v>0.33</v>
      </c>
      <c r="G12" s="77"/>
      <c r="H12" s="77" t="s">
        <v>255</v>
      </c>
    </row>
    <row r="13" spans="1:10">
      <c r="A13" s="86" t="s">
        <v>246</v>
      </c>
      <c r="B13" s="77">
        <v>0</v>
      </c>
      <c r="C13" s="77">
        <v>13</v>
      </c>
      <c r="D13" s="77">
        <v>4</v>
      </c>
      <c r="E13" s="77"/>
      <c r="F13" s="77">
        <v>0.67</v>
      </c>
      <c r="G13" s="77"/>
      <c r="H13" s="77" t="s">
        <v>256</v>
      </c>
    </row>
    <row r="14" spans="1:10">
      <c r="A14" s="86" t="s">
        <v>246</v>
      </c>
      <c r="B14" s="77">
        <v>0</v>
      </c>
      <c r="C14" s="77">
        <v>2</v>
      </c>
      <c r="D14" s="77">
        <v>2</v>
      </c>
      <c r="E14" s="77"/>
      <c r="F14" s="77">
        <v>0.11</v>
      </c>
      <c r="G14" s="77"/>
      <c r="H14" s="77" t="s">
        <v>257</v>
      </c>
    </row>
    <row r="15" spans="1:10">
      <c r="A15" s="86" t="s">
        <v>246</v>
      </c>
      <c r="B15" s="77">
        <v>2</v>
      </c>
      <c r="C15" s="77">
        <v>7</v>
      </c>
      <c r="D15" s="77">
        <v>6</v>
      </c>
      <c r="E15" s="77"/>
      <c r="F15" s="77">
        <v>2.38</v>
      </c>
      <c r="G15" s="77"/>
      <c r="H15" s="77" t="s">
        <v>258</v>
      </c>
    </row>
    <row r="16" spans="1:10">
      <c r="A16" s="87" t="s">
        <v>30</v>
      </c>
      <c r="B16" s="88"/>
      <c r="C16" s="88"/>
      <c r="D16" s="88"/>
      <c r="E16" s="88"/>
      <c r="F16" s="88">
        <v>2.39</v>
      </c>
      <c r="G16" s="88">
        <v>0.01</v>
      </c>
      <c r="H16" s="88" t="s">
        <v>175</v>
      </c>
    </row>
    <row r="17" spans="1:10">
      <c r="A17" s="86"/>
      <c r="B17" s="77"/>
      <c r="C17" s="77"/>
      <c r="D17" s="77"/>
      <c r="E17" s="77"/>
      <c r="F17" s="77"/>
      <c r="G17" s="77"/>
      <c r="H17" s="77"/>
    </row>
    <row r="18" spans="1:10">
      <c r="A18" s="85" t="s">
        <v>259</v>
      </c>
      <c r="B18" s="77">
        <v>0</v>
      </c>
      <c r="C18" s="77">
        <v>0</v>
      </c>
      <c r="D18" s="77">
        <v>10</v>
      </c>
      <c r="E18" s="77"/>
      <c r="F18" s="77">
        <v>0.04</v>
      </c>
      <c r="G18" s="77"/>
      <c r="H18" s="77" t="s">
        <v>260</v>
      </c>
    </row>
    <row r="19" spans="1:10">
      <c r="A19" s="86" t="s">
        <v>259</v>
      </c>
      <c r="B19" s="77">
        <v>0</v>
      </c>
      <c r="C19" s="77">
        <v>0</v>
      </c>
      <c r="D19" s="77">
        <v>2</v>
      </c>
      <c r="E19" s="77"/>
      <c r="F19" s="77">
        <v>0.01</v>
      </c>
      <c r="G19" s="77"/>
      <c r="H19" s="77" t="s">
        <v>261</v>
      </c>
    </row>
    <row r="20" spans="1:10">
      <c r="A20" s="86" t="s">
        <v>259</v>
      </c>
      <c r="B20" s="77">
        <v>0</v>
      </c>
      <c r="C20" s="77">
        <v>0</v>
      </c>
      <c r="D20" s="77">
        <v>4</v>
      </c>
      <c r="E20" s="77"/>
      <c r="F20" s="77">
        <v>0.02</v>
      </c>
      <c r="G20" s="77"/>
      <c r="H20" s="77" t="s">
        <v>262</v>
      </c>
    </row>
    <row r="21" spans="1:10">
      <c r="A21" s="86" t="s">
        <v>259</v>
      </c>
      <c r="B21" s="77">
        <v>0</v>
      </c>
      <c r="C21" s="77">
        <v>0</v>
      </c>
      <c r="D21" s="77">
        <v>4</v>
      </c>
      <c r="E21" s="77"/>
      <c r="F21" s="77">
        <v>0.02</v>
      </c>
      <c r="G21" s="77"/>
      <c r="H21" s="77" t="s">
        <v>263</v>
      </c>
    </row>
    <row r="22" spans="1:10">
      <c r="A22" s="86" t="s">
        <v>259</v>
      </c>
      <c r="B22" s="77">
        <v>0</v>
      </c>
      <c r="C22" s="77">
        <v>0</v>
      </c>
      <c r="D22" s="77">
        <v>2</v>
      </c>
      <c r="E22" s="77"/>
      <c r="F22" s="77">
        <v>0.01</v>
      </c>
      <c r="G22" s="77"/>
      <c r="H22" s="77" t="s">
        <v>264</v>
      </c>
    </row>
    <row r="23" spans="1:10">
      <c r="A23" s="86" t="s">
        <v>259</v>
      </c>
      <c r="B23" s="77">
        <v>0</v>
      </c>
      <c r="C23" s="77">
        <v>3</v>
      </c>
      <c r="D23" s="77">
        <v>0</v>
      </c>
      <c r="E23" s="77"/>
      <c r="F23" s="77">
        <v>0.15</v>
      </c>
      <c r="G23" s="77"/>
      <c r="H23" s="77" t="s">
        <v>265</v>
      </c>
    </row>
    <row r="24" spans="1:10">
      <c r="A24" s="86" t="s">
        <v>259</v>
      </c>
      <c r="B24" s="77">
        <v>0</v>
      </c>
      <c r="C24" s="77">
        <v>6</v>
      </c>
      <c r="D24" s="77">
        <v>8</v>
      </c>
      <c r="E24" s="77"/>
      <c r="F24" s="77">
        <v>0.33</v>
      </c>
      <c r="G24" s="77"/>
      <c r="H24" s="77" t="s">
        <v>266</v>
      </c>
    </row>
    <row r="25" spans="1:10">
      <c r="A25" s="86" t="s">
        <v>259</v>
      </c>
      <c r="B25" s="77">
        <v>0</v>
      </c>
      <c r="C25" s="77">
        <v>11</v>
      </c>
      <c r="D25" s="77">
        <v>6</v>
      </c>
      <c r="E25" s="77"/>
      <c r="F25" s="77">
        <v>0.57999999999999996</v>
      </c>
      <c r="G25" s="77"/>
      <c r="H25" s="77" t="s">
        <v>267</v>
      </c>
    </row>
    <row r="26" spans="1:10">
      <c r="A26" s="87" t="s">
        <v>268</v>
      </c>
      <c r="B26" s="88"/>
      <c r="C26" s="88"/>
      <c r="D26" s="88"/>
      <c r="E26" s="88"/>
      <c r="F26" s="88">
        <v>0.57999999999999996</v>
      </c>
      <c r="G26" s="88">
        <v>0</v>
      </c>
      <c r="H26" s="88" t="s">
        <v>175</v>
      </c>
    </row>
    <row r="27" spans="1:10">
      <c r="A27" s="86"/>
      <c r="B27" s="77"/>
      <c r="C27" s="77"/>
      <c r="D27" s="77"/>
      <c r="E27" s="77"/>
      <c r="F27" s="77"/>
      <c r="G27" s="77"/>
      <c r="H27" s="77"/>
    </row>
    <row r="28" spans="1:10">
      <c r="A28" s="85" t="s">
        <v>269</v>
      </c>
      <c r="B28" s="77">
        <v>1</v>
      </c>
      <c r="C28" s="77">
        <v>6</v>
      </c>
      <c r="D28" s="77">
        <v>0</v>
      </c>
      <c r="E28" s="77"/>
      <c r="F28" s="77">
        <v>1.3</v>
      </c>
      <c r="G28" s="77"/>
      <c r="H28" s="77" t="s">
        <v>270</v>
      </c>
      <c r="I28" s="101">
        <v>1.3</v>
      </c>
      <c r="J28" s="28">
        <v>0</v>
      </c>
    </row>
    <row r="29" spans="1:10">
      <c r="A29" s="86" t="s">
        <v>269</v>
      </c>
      <c r="B29" s="77">
        <v>1</v>
      </c>
      <c r="C29" s="77">
        <v>8</v>
      </c>
      <c r="D29" s="77">
        <v>9</v>
      </c>
      <c r="E29" s="77"/>
      <c r="F29" s="77">
        <v>1.44</v>
      </c>
      <c r="G29" s="77"/>
      <c r="H29" s="77" t="s">
        <v>271</v>
      </c>
      <c r="I29" s="101">
        <v>1.44</v>
      </c>
      <c r="J29" s="28">
        <v>0</v>
      </c>
    </row>
    <row r="30" spans="1:10">
      <c r="A30" s="86" t="s">
        <v>269</v>
      </c>
      <c r="B30" s="77">
        <v>2</v>
      </c>
      <c r="C30" s="77">
        <v>15</v>
      </c>
      <c r="D30" s="77">
        <v>5</v>
      </c>
      <c r="E30" s="77"/>
      <c r="F30" s="77">
        <v>2.77</v>
      </c>
      <c r="G30" s="77"/>
      <c r="H30" s="77" t="s">
        <v>272</v>
      </c>
    </row>
    <row r="31" spans="1:10">
      <c r="A31" s="87" t="s">
        <v>34</v>
      </c>
      <c r="B31" s="88"/>
      <c r="C31" s="88"/>
      <c r="D31" s="88"/>
      <c r="E31" s="88"/>
      <c r="F31" s="88">
        <v>2.74</v>
      </c>
      <c r="G31" s="88">
        <v>-0.03</v>
      </c>
      <c r="H31" s="88" t="s">
        <v>175</v>
      </c>
    </row>
    <row r="32" spans="1:10">
      <c r="A32" s="86"/>
      <c r="B32" s="77"/>
      <c r="C32" s="77"/>
      <c r="D32" s="77"/>
      <c r="E32" s="77"/>
      <c r="F32" s="77"/>
      <c r="G32" s="77"/>
      <c r="H32" s="77"/>
    </row>
    <row r="33" spans="1:10">
      <c r="A33" s="85" t="s">
        <v>273</v>
      </c>
      <c r="B33" s="77">
        <v>0</v>
      </c>
      <c r="C33" s="77">
        <v>1</v>
      </c>
      <c r="D33" s="77">
        <v>0</v>
      </c>
      <c r="E33" s="77"/>
      <c r="F33" s="77">
        <v>0.05</v>
      </c>
      <c r="G33" s="77"/>
      <c r="H33" s="77" t="s">
        <v>274</v>
      </c>
    </row>
    <row r="34" spans="1:10">
      <c r="A34" s="86" t="s">
        <v>273</v>
      </c>
      <c r="B34" s="77">
        <v>0</v>
      </c>
      <c r="C34" s="77">
        <v>0</v>
      </c>
      <c r="D34" s="77">
        <v>2</v>
      </c>
      <c r="E34" s="77"/>
      <c r="F34" s="77">
        <v>0.01</v>
      </c>
      <c r="G34" s="77"/>
      <c r="H34" s="77" t="s">
        <v>275</v>
      </c>
    </row>
    <row r="35" spans="1:10">
      <c r="A35" s="86" t="s">
        <v>273</v>
      </c>
      <c r="B35" s="77">
        <v>0</v>
      </c>
      <c r="C35" s="77">
        <v>0</v>
      </c>
      <c r="D35" s="77">
        <v>2</v>
      </c>
      <c r="E35" s="77"/>
      <c r="F35" s="77">
        <v>0.01</v>
      </c>
      <c r="G35" s="77"/>
      <c r="H35" s="77" t="s">
        <v>276</v>
      </c>
    </row>
    <row r="36" spans="1:10">
      <c r="A36" s="86" t="s">
        <v>273</v>
      </c>
      <c r="B36" s="77">
        <v>0</v>
      </c>
      <c r="C36" s="77">
        <v>2</v>
      </c>
      <c r="D36" s="77">
        <v>0</v>
      </c>
      <c r="E36" s="77"/>
      <c r="F36" s="77">
        <v>0.1</v>
      </c>
      <c r="G36" s="77"/>
      <c r="H36" s="77" t="s">
        <v>277</v>
      </c>
    </row>
    <row r="37" spans="1:10">
      <c r="A37" s="86" t="s">
        <v>273</v>
      </c>
      <c r="B37" s="77">
        <v>0</v>
      </c>
      <c r="C37" s="77">
        <v>3</v>
      </c>
      <c r="D37" s="77">
        <v>4</v>
      </c>
      <c r="E37" s="77"/>
      <c r="F37" s="77">
        <v>0.17</v>
      </c>
      <c r="G37" s="77"/>
      <c r="H37" s="77" t="s">
        <v>278</v>
      </c>
    </row>
    <row r="38" spans="1:10">
      <c r="A38" s="87" t="s">
        <v>279</v>
      </c>
      <c r="B38" s="88"/>
      <c r="C38" s="88"/>
      <c r="D38" s="88"/>
      <c r="E38" s="88"/>
      <c r="F38" s="88">
        <v>0.17</v>
      </c>
      <c r="G38" s="88">
        <v>0</v>
      </c>
      <c r="H38" s="88" t="s">
        <v>175</v>
      </c>
    </row>
    <row r="39" spans="1:10">
      <c r="A39" s="86"/>
      <c r="B39" s="77"/>
      <c r="C39" s="77"/>
      <c r="D39" s="77"/>
      <c r="E39" s="77"/>
      <c r="F39" s="77"/>
      <c r="G39" s="77"/>
      <c r="H39" s="77"/>
    </row>
    <row r="40" spans="1:10">
      <c r="A40" s="85" t="s">
        <v>280</v>
      </c>
      <c r="B40" s="77">
        <v>0</v>
      </c>
      <c r="C40" s="77">
        <v>1</v>
      </c>
      <c r="D40" s="77">
        <v>10</v>
      </c>
      <c r="E40" s="77"/>
      <c r="F40" s="77">
        <v>0.09</v>
      </c>
      <c r="G40" s="77"/>
      <c r="H40" s="77" t="s">
        <v>281</v>
      </c>
      <c r="I40" s="101">
        <v>0</v>
      </c>
      <c r="J40" s="101">
        <v>0</v>
      </c>
    </row>
    <row r="41" spans="1:10">
      <c r="A41" s="86" t="s">
        <v>280</v>
      </c>
      <c r="B41" s="77">
        <v>0</v>
      </c>
      <c r="C41" s="77">
        <v>6</v>
      </c>
      <c r="D41" s="77">
        <v>10</v>
      </c>
      <c r="E41" s="77"/>
      <c r="F41" s="77">
        <v>0.34</v>
      </c>
      <c r="G41" s="77"/>
      <c r="H41" s="77" t="s">
        <v>282</v>
      </c>
      <c r="I41" s="101">
        <v>0.34</v>
      </c>
      <c r="J41" s="101">
        <v>0.34</v>
      </c>
    </row>
    <row r="42" spans="1:10">
      <c r="A42" s="86" t="s">
        <v>280</v>
      </c>
      <c r="B42" s="77">
        <v>0</v>
      </c>
      <c r="C42" s="77">
        <v>1</v>
      </c>
      <c r="D42" s="77">
        <v>0</v>
      </c>
      <c r="E42" s="77"/>
      <c r="F42" s="77">
        <v>0.05</v>
      </c>
      <c r="G42" s="77"/>
      <c r="H42" s="77" t="s">
        <v>283</v>
      </c>
      <c r="I42" s="101">
        <v>0</v>
      </c>
      <c r="J42" s="101">
        <v>0</v>
      </c>
    </row>
    <row r="43" spans="1:10">
      <c r="A43" s="86" t="s">
        <v>280</v>
      </c>
      <c r="B43" s="77">
        <v>0</v>
      </c>
      <c r="C43" s="77">
        <v>2</v>
      </c>
      <c r="D43" s="77">
        <v>4</v>
      </c>
      <c r="E43" s="77"/>
      <c r="F43" s="77">
        <v>0.12</v>
      </c>
      <c r="G43" s="77"/>
      <c r="H43" s="77" t="s">
        <v>284</v>
      </c>
      <c r="I43" s="101">
        <v>0.12</v>
      </c>
      <c r="J43" s="101">
        <v>0.12</v>
      </c>
    </row>
    <row r="44" spans="1:10">
      <c r="A44" s="86" t="s">
        <v>280</v>
      </c>
      <c r="B44" s="77">
        <v>0</v>
      </c>
      <c r="C44" s="77">
        <v>0</v>
      </c>
      <c r="D44" s="77">
        <v>5</v>
      </c>
      <c r="E44" s="77"/>
      <c r="F44" s="77">
        <v>0.02</v>
      </c>
      <c r="G44" s="77"/>
      <c r="H44" s="77" t="s">
        <v>285</v>
      </c>
      <c r="I44" s="101">
        <v>0.02</v>
      </c>
      <c r="J44" s="101">
        <v>0</v>
      </c>
    </row>
    <row r="45" spans="1:10">
      <c r="A45" s="86" t="s">
        <v>280</v>
      </c>
      <c r="B45" s="77">
        <v>0</v>
      </c>
      <c r="C45" s="77">
        <v>1</v>
      </c>
      <c r="D45" s="77">
        <v>8</v>
      </c>
      <c r="E45" s="77"/>
      <c r="F45" s="77">
        <v>0.08</v>
      </c>
      <c r="G45" s="77"/>
      <c r="H45" s="77" t="s">
        <v>286</v>
      </c>
      <c r="I45" s="101">
        <v>0</v>
      </c>
      <c r="J45" s="101">
        <v>0</v>
      </c>
    </row>
    <row r="46" spans="1:10">
      <c r="A46" s="86" t="s">
        <v>280</v>
      </c>
      <c r="B46" s="77">
        <v>0</v>
      </c>
      <c r="C46" s="77">
        <v>0</v>
      </c>
      <c r="D46" s="77">
        <v>4</v>
      </c>
      <c r="E46" s="77"/>
      <c r="F46" s="77">
        <v>0.02</v>
      </c>
      <c r="G46" s="77"/>
      <c r="H46" s="77" t="s">
        <v>287</v>
      </c>
      <c r="I46" s="101">
        <v>0</v>
      </c>
      <c r="J46" s="101">
        <v>0</v>
      </c>
    </row>
    <row r="47" spans="1:10">
      <c r="A47" s="86" t="s">
        <v>280</v>
      </c>
      <c r="B47" s="77">
        <v>0</v>
      </c>
      <c r="C47" s="77">
        <v>0</v>
      </c>
      <c r="D47" s="77">
        <v>5</v>
      </c>
      <c r="E47" s="77"/>
      <c r="F47" s="77">
        <v>0.02</v>
      </c>
      <c r="G47" s="77"/>
      <c r="H47" s="77" t="s">
        <v>288</v>
      </c>
      <c r="I47" s="101">
        <v>0.02</v>
      </c>
      <c r="J47" s="101">
        <v>0</v>
      </c>
    </row>
    <row r="48" spans="1:10">
      <c r="A48" s="86" t="s">
        <v>280</v>
      </c>
      <c r="B48" s="77">
        <v>0</v>
      </c>
      <c r="C48" s="77">
        <v>15</v>
      </c>
      <c r="D48" s="77">
        <v>0</v>
      </c>
      <c r="E48" s="77"/>
      <c r="F48" s="77">
        <v>0.75</v>
      </c>
      <c r="G48" s="77"/>
      <c r="H48" s="77" t="s">
        <v>289</v>
      </c>
    </row>
    <row r="49" spans="1:8">
      <c r="A49" s="87" t="s">
        <v>36</v>
      </c>
      <c r="B49" s="88"/>
      <c r="C49" s="88"/>
      <c r="D49" s="88"/>
      <c r="E49" s="88"/>
      <c r="F49" s="88">
        <v>0.74</v>
      </c>
      <c r="G49" s="88">
        <v>-0.01</v>
      </c>
      <c r="H49" s="88" t="s">
        <v>175</v>
      </c>
    </row>
    <row r="50" spans="1:8">
      <c r="A50" s="86"/>
      <c r="B50" s="77"/>
      <c r="C50" s="77"/>
      <c r="D50" s="77"/>
      <c r="E50" s="77"/>
      <c r="F50" s="77"/>
      <c r="G50" s="77"/>
      <c r="H50" s="77"/>
    </row>
    <row r="51" spans="1:8">
      <c r="A51" s="85" t="s">
        <v>290</v>
      </c>
      <c r="B51" s="77">
        <v>0</v>
      </c>
      <c r="C51" s="77">
        <v>13</v>
      </c>
      <c r="D51" s="77">
        <v>3</v>
      </c>
      <c r="E51" s="77"/>
      <c r="F51" s="77">
        <v>0.66</v>
      </c>
      <c r="G51" s="77"/>
      <c r="H51" s="77" t="s">
        <v>291</v>
      </c>
    </row>
    <row r="52" spans="1:8">
      <c r="A52" s="86" t="s">
        <v>290</v>
      </c>
      <c r="B52" s="77">
        <v>0</v>
      </c>
      <c r="C52" s="77">
        <v>17</v>
      </c>
      <c r="D52" s="77">
        <v>8.25</v>
      </c>
      <c r="E52" s="77"/>
      <c r="F52" s="77">
        <v>0.88</v>
      </c>
      <c r="G52" s="77"/>
      <c r="H52" s="77" t="s">
        <v>292</v>
      </c>
    </row>
    <row r="53" spans="1:8">
      <c r="A53" s="86" t="s">
        <v>290</v>
      </c>
      <c r="B53" s="77">
        <v>0</v>
      </c>
      <c r="C53" s="77">
        <v>2</v>
      </c>
      <c r="D53" s="77">
        <v>6.75</v>
      </c>
      <c r="E53" s="77"/>
      <c r="F53" s="77">
        <v>0.13</v>
      </c>
      <c r="G53" s="77"/>
      <c r="H53" s="77" t="s">
        <v>293</v>
      </c>
    </row>
    <row r="54" spans="1:8">
      <c r="A54" s="86" t="s">
        <v>290</v>
      </c>
      <c r="B54" s="77">
        <v>0</v>
      </c>
      <c r="C54" s="77">
        <v>3</v>
      </c>
      <c r="D54" s="77">
        <v>11.75</v>
      </c>
      <c r="E54" s="77"/>
      <c r="F54" s="77">
        <v>0.2</v>
      </c>
      <c r="G54" s="77"/>
      <c r="H54" s="77" t="s">
        <v>294</v>
      </c>
    </row>
    <row r="55" spans="1:8">
      <c r="A55" s="86" t="s">
        <v>290</v>
      </c>
      <c r="B55" s="77">
        <v>1</v>
      </c>
      <c r="C55" s="77">
        <v>17</v>
      </c>
      <c r="D55" s="77">
        <v>5.5</v>
      </c>
      <c r="E55" s="77"/>
      <c r="F55" s="77">
        <v>1.87</v>
      </c>
      <c r="G55" s="77"/>
      <c r="H55" s="77" t="s">
        <v>295</v>
      </c>
    </row>
    <row r="56" spans="1:8">
      <c r="A56" s="87" t="s">
        <v>296</v>
      </c>
      <c r="B56" s="88"/>
      <c r="C56" s="88"/>
      <c r="D56" s="88"/>
      <c r="E56" s="88"/>
      <c r="F56" s="88">
        <v>1.87</v>
      </c>
      <c r="G56" s="88">
        <v>0</v>
      </c>
      <c r="H56" s="88" t="s">
        <v>175</v>
      </c>
    </row>
    <row r="57" spans="1:8">
      <c r="A57" s="86"/>
      <c r="B57" s="77"/>
      <c r="C57" s="77"/>
      <c r="D57" s="77"/>
      <c r="E57" s="77"/>
      <c r="F57" s="77"/>
      <c r="G57" s="77"/>
      <c r="H57" s="77"/>
    </row>
    <row r="58" spans="1:8">
      <c r="A58" s="85" t="s">
        <v>297</v>
      </c>
      <c r="B58" s="77">
        <v>0</v>
      </c>
      <c r="C58" s="77">
        <v>7</v>
      </c>
      <c r="D58" s="77">
        <v>0</v>
      </c>
      <c r="E58" s="77"/>
      <c r="F58" s="77">
        <v>0.35</v>
      </c>
      <c r="G58" s="77"/>
      <c r="H58" s="77" t="s">
        <v>298</v>
      </c>
    </row>
    <row r="59" spans="1:8">
      <c r="A59" s="86" t="s">
        <v>297</v>
      </c>
      <c r="B59" s="77">
        <v>4</v>
      </c>
      <c r="C59" s="77">
        <v>8</v>
      </c>
      <c r="D59" s="77">
        <v>0</v>
      </c>
      <c r="E59" s="77"/>
      <c r="F59" s="77">
        <v>4.4000000000000004</v>
      </c>
      <c r="G59" s="77"/>
      <c r="H59" s="77" t="s">
        <v>299</v>
      </c>
    </row>
    <row r="60" spans="1:8">
      <c r="A60" s="86" t="s">
        <v>297</v>
      </c>
      <c r="B60" s="77">
        <v>0</v>
      </c>
      <c r="C60" s="77">
        <v>6</v>
      </c>
      <c r="D60" s="77">
        <v>8</v>
      </c>
      <c r="E60" s="77"/>
      <c r="F60" s="77">
        <v>0.33</v>
      </c>
      <c r="G60" s="77"/>
      <c r="H60" s="77" t="s">
        <v>300</v>
      </c>
    </row>
    <row r="61" spans="1:8">
      <c r="A61" s="86" t="s">
        <v>297</v>
      </c>
      <c r="B61" s="77">
        <v>5</v>
      </c>
      <c r="C61" s="77">
        <v>1</v>
      </c>
      <c r="D61" s="77">
        <v>8</v>
      </c>
      <c r="E61" s="77"/>
      <c r="F61" s="77">
        <v>5.08</v>
      </c>
      <c r="G61" s="77"/>
      <c r="H61" s="77" t="s">
        <v>301</v>
      </c>
    </row>
    <row r="62" spans="1:8">
      <c r="A62" s="87" t="s">
        <v>302</v>
      </c>
      <c r="B62" s="88"/>
      <c r="C62" s="88"/>
      <c r="D62" s="88"/>
      <c r="E62" s="88"/>
      <c r="F62" s="88">
        <v>5.08</v>
      </c>
      <c r="G62" s="88">
        <v>0</v>
      </c>
      <c r="H62" s="88" t="s">
        <v>175</v>
      </c>
    </row>
    <row r="63" spans="1:8">
      <c r="A63" s="86"/>
      <c r="B63" s="77"/>
      <c r="C63" s="77"/>
      <c r="D63" s="77"/>
      <c r="E63" s="77"/>
      <c r="F63" s="77"/>
      <c r="G63" s="77"/>
      <c r="H63" s="77"/>
    </row>
    <row r="64" spans="1:8">
      <c r="A64" s="85" t="s">
        <v>303</v>
      </c>
      <c r="B64" s="77">
        <v>0</v>
      </c>
      <c r="C64" s="77">
        <v>0</v>
      </c>
      <c r="D64" s="77">
        <v>0</v>
      </c>
      <c r="E64" s="77"/>
      <c r="F64" s="77">
        <v>0</v>
      </c>
      <c r="G64" s="77"/>
      <c r="H64" s="77" t="s">
        <v>304</v>
      </c>
    </row>
    <row r="65" spans="1:8">
      <c r="A65" s="86" t="s">
        <v>303</v>
      </c>
      <c r="B65" s="77">
        <v>0</v>
      </c>
      <c r="C65" s="77">
        <v>8</v>
      </c>
      <c r="D65" s="77">
        <v>11</v>
      </c>
      <c r="E65" s="77"/>
      <c r="F65" s="77">
        <v>0.45</v>
      </c>
      <c r="G65" s="77"/>
      <c r="H65" s="77" t="s">
        <v>305</v>
      </c>
    </row>
    <row r="66" spans="1:8">
      <c r="A66" s="86" t="s">
        <v>303</v>
      </c>
      <c r="B66" s="77">
        <v>0</v>
      </c>
      <c r="C66" s="77">
        <v>8</v>
      </c>
      <c r="D66" s="77">
        <v>11</v>
      </c>
      <c r="E66" s="77"/>
      <c r="F66" s="77">
        <v>0.45</v>
      </c>
      <c r="G66" s="77"/>
      <c r="H66" s="77" t="s">
        <v>306</v>
      </c>
    </row>
    <row r="67" spans="1:8">
      <c r="A67" s="87" t="s">
        <v>307</v>
      </c>
      <c r="B67" s="88"/>
      <c r="C67" s="88"/>
      <c r="D67" s="88"/>
      <c r="E67" s="88"/>
      <c r="F67" s="88">
        <v>0.45</v>
      </c>
      <c r="G67" s="88">
        <v>0</v>
      </c>
      <c r="H67" s="88" t="s">
        <v>175</v>
      </c>
    </row>
    <row r="68" spans="1:8">
      <c r="A68" s="86"/>
      <c r="B68" s="77"/>
      <c r="C68" s="77"/>
      <c r="D68" s="77"/>
      <c r="E68" s="77"/>
      <c r="F68" s="77"/>
      <c r="G68" s="77"/>
      <c r="H68" s="77"/>
    </row>
    <row r="69" spans="1:8">
      <c r="A69" s="86" t="s">
        <v>308</v>
      </c>
      <c r="B69" s="77">
        <v>18</v>
      </c>
      <c r="C69" s="77">
        <v>15</v>
      </c>
      <c r="D69" s="77">
        <v>10.5</v>
      </c>
      <c r="E69" s="77"/>
      <c r="F69" s="77">
        <v>18.79</v>
      </c>
      <c r="G69" s="77"/>
      <c r="H69" s="77" t="s">
        <v>309</v>
      </c>
    </row>
    <row r="70" spans="1:8">
      <c r="A70" s="86" t="s">
        <v>308</v>
      </c>
      <c r="B70" s="77"/>
      <c r="C70" s="77"/>
      <c r="D70" s="77"/>
      <c r="E70" s="77"/>
      <c r="F70" s="77">
        <v>0</v>
      </c>
      <c r="G70" s="77">
        <v>-18.79</v>
      </c>
      <c r="H70" s="77" t="s">
        <v>175</v>
      </c>
    </row>
    <row r="71" spans="1:8">
      <c r="A71" s="86"/>
      <c r="B71" s="77"/>
      <c r="C71" s="77"/>
      <c r="D71" s="77"/>
      <c r="E71" s="77"/>
      <c r="F71" s="77"/>
      <c r="G71" s="77"/>
      <c r="H71" s="77"/>
    </row>
    <row r="72" spans="1:8">
      <c r="A72" s="85" t="s">
        <v>310</v>
      </c>
      <c r="B72" s="77">
        <v>62</v>
      </c>
      <c r="C72" s="77">
        <v>15</v>
      </c>
      <c r="D72" s="77">
        <v>6.25</v>
      </c>
      <c r="E72" s="77"/>
      <c r="F72" s="77">
        <v>62.78</v>
      </c>
      <c r="G72" s="77"/>
      <c r="H72" s="77" t="s">
        <v>311</v>
      </c>
    </row>
    <row r="73" spans="1:8">
      <c r="A73" s="87" t="s">
        <v>312</v>
      </c>
      <c r="B73" s="88"/>
      <c r="C73" s="88"/>
      <c r="D73" s="88"/>
      <c r="E73" s="88"/>
      <c r="F73" s="88">
        <v>62.78</v>
      </c>
      <c r="G73" s="88">
        <v>0</v>
      </c>
      <c r="H73" s="88" t="s">
        <v>175</v>
      </c>
    </row>
    <row r="74" spans="1:8">
      <c r="A74" s="86"/>
      <c r="B74" s="77"/>
      <c r="C74" s="77"/>
      <c r="D74" s="77"/>
      <c r="E74" s="77"/>
      <c r="F74" s="77"/>
      <c r="G74" s="77"/>
      <c r="H74" s="77"/>
    </row>
    <row r="75" spans="1:8">
      <c r="A75" s="85" t="s">
        <v>51</v>
      </c>
      <c r="B75" s="77">
        <v>57</v>
      </c>
      <c r="C75" s="77">
        <v>9</v>
      </c>
      <c r="D75" s="77">
        <v>8</v>
      </c>
      <c r="E75" s="77"/>
      <c r="F75" s="77">
        <v>57.48</v>
      </c>
      <c r="G75" s="77"/>
      <c r="H75" s="77" t="s">
        <v>313</v>
      </c>
    </row>
    <row r="76" spans="1:8">
      <c r="A76" s="86" t="s">
        <v>51</v>
      </c>
      <c r="B76" s="77">
        <v>57</v>
      </c>
      <c r="C76" s="77">
        <v>9</v>
      </c>
      <c r="D76" s="77">
        <v>0</v>
      </c>
      <c r="E76" s="77"/>
      <c r="F76" s="77">
        <v>57.45</v>
      </c>
      <c r="G76" s="77"/>
      <c r="H76" s="77" t="s">
        <v>314</v>
      </c>
    </row>
    <row r="77" spans="1:8">
      <c r="A77" s="86" t="s">
        <v>51</v>
      </c>
      <c r="B77" s="77">
        <v>0</v>
      </c>
      <c r="C77" s="77">
        <v>0</v>
      </c>
      <c r="D77" s="77">
        <v>8</v>
      </c>
      <c r="E77" s="77"/>
      <c r="F77" s="77">
        <v>0.03</v>
      </c>
      <c r="G77" s="77"/>
      <c r="H77" s="77" t="s">
        <v>315</v>
      </c>
    </row>
    <row r="78" spans="1:8">
      <c r="A78" s="87" t="s">
        <v>316</v>
      </c>
      <c r="B78" s="88"/>
      <c r="C78" s="88"/>
      <c r="D78" s="88"/>
      <c r="E78" s="88"/>
      <c r="F78" s="88">
        <v>57.51</v>
      </c>
      <c r="G78" s="88">
        <v>57.48</v>
      </c>
      <c r="H78" s="88" t="s">
        <v>175</v>
      </c>
    </row>
    <row r="79" spans="1:8">
      <c r="A79" s="86"/>
      <c r="B79" s="77"/>
      <c r="C79" s="77"/>
      <c r="D79" s="77"/>
      <c r="E79" s="77"/>
      <c r="F79" s="77"/>
      <c r="G79" s="77"/>
      <c r="H79" s="77"/>
    </row>
    <row r="80" spans="1:8">
      <c r="A80" s="85" t="s">
        <v>317</v>
      </c>
      <c r="B80" s="77">
        <v>62</v>
      </c>
      <c r="C80" s="77">
        <v>5</v>
      </c>
      <c r="D80" s="77">
        <v>3.25</v>
      </c>
      <c r="E80" s="77"/>
      <c r="F80" s="77">
        <v>62.26</v>
      </c>
      <c r="G80" s="77"/>
      <c r="H80" s="77" t="s">
        <v>318</v>
      </c>
    </row>
    <row r="82" spans="1:6">
      <c r="A82" s="18" t="s">
        <v>44</v>
      </c>
      <c r="B82">
        <v>18</v>
      </c>
      <c r="C82">
        <v>15</v>
      </c>
      <c r="D82">
        <v>10.5</v>
      </c>
      <c r="F82">
        <f>F69</f>
        <v>18.79</v>
      </c>
    </row>
    <row r="83" spans="1:6">
      <c r="A83" s="18" t="s">
        <v>45</v>
      </c>
      <c r="F83">
        <f>SUMIF(A1:A68,"* total",F1:F68)</f>
        <v>14.020000000000001</v>
      </c>
    </row>
    <row r="84" spans="1:6">
      <c r="A84" s="18" t="s">
        <v>46</v>
      </c>
      <c r="F84" s="28">
        <f>SUM(I:I)</f>
        <v>3.24</v>
      </c>
    </row>
    <row r="85" spans="1:6">
      <c r="A85" s="18" t="s">
        <v>47</v>
      </c>
      <c r="F85" s="28">
        <f>SUM(J:J)</f>
        <v>0.46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8"/>
  <sheetViews>
    <sheetView tabSelected="1" workbookViewId="0">
      <selection activeCell="K27" sqref="K27"/>
    </sheetView>
  </sheetViews>
  <sheetFormatPr defaultRowHeight="14.5"/>
  <cols>
    <col min="1" max="1" width="44.36328125" customWidth="1"/>
    <col min="2" max="2" width="14.36328125" customWidth="1"/>
    <col min="6" max="6" width="9.81640625" customWidth="1"/>
    <col min="7" max="7" width="16.6328125" customWidth="1"/>
    <col min="10" max="10" width="16.1796875" customWidth="1"/>
    <col min="11" max="11" width="11.453125" customWidth="1"/>
    <col min="13" max="13" width="8.453125" customWidth="1"/>
    <col min="14" max="14" width="10.6328125" customWidth="1"/>
    <col min="16" max="16" width="16.6328125" customWidth="1"/>
    <col min="17" max="17" width="17.36328125" customWidth="1"/>
    <col min="19" max="19" width="16.1796875" customWidth="1"/>
    <col min="21" max="21" width="13.1796875" customWidth="1"/>
  </cols>
  <sheetData>
    <row r="1" spans="1:21" ht="15.5" customHeight="1">
      <c r="A1" s="3" t="s">
        <v>319</v>
      </c>
    </row>
    <row r="2" spans="1:21" ht="15.5" customHeight="1">
      <c r="A2" s="3"/>
    </row>
    <row r="3" spans="1:21" ht="17" customHeight="1">
      <c r="A3" s="20"/>
      <c r="B3" s="20"/>
      <c r="C3" s="98" t="s">
        <v>320</v>
      </c>
      <c r="D3" s="99"/>
      <c r="E3" s="99"/>
      <c r="F3" s="99"/>
      <c r="G3" s="100" t="s">
        <v>321</v>
      </c>
      <c r="H3" s="99"/>
      <c r="I3" s="99"/>
      <c r="J3" s="99"/>
      <c r="K3" s="20"/>
      <c r="L3" s="20"/>
      <c r="M3" s="20"/>
      <c r="N3" s="20"/>
      <c r="O3" s="20"/>
      <c r="P3" s="30"/>
      <c r="Q3" s="20"/>
      <c r="R3" s="20"/>
      <c r="S3" s="20"/>
      <c r="T3" s="20"/>
    </row>
    <row r="4" spans="1:21" ht="46.5" customHeight="1">
      <c r="A4" s="23" t="s">
        <v>83</v>
      </c>
      <c r="B4" s="17" t="s">
        <v>322</v>
      </c>
      <c r="C4" s="17" t="s">
        <v>320</v>
      </c>
      <c r="D4" s="3" t="s">
        <v>323</v>
      </c>
      <c r="E4" s="3" t="s">
        <v>324</v>
      </c>
      <c r="F4" s="3" t="s">
        <v>325</v>
      </c>
      <c r="G4" s="3" t="s">
        <v>326</v>
      </c>
      <c r="H4" s="17" t="s">
        <v>327</v>
      </c>
      <c r="I4" s="17" t="s">
        <v>328</v>
      </c>
      <c r="J4" s="17" t="s">
        <v>329</v>
      </c>
      <c r="K4" s="17" t="s">
        <v>330</v>
      </c>
      <c r="L4" s="17" t="s">
        <v>331</v>
      </c>
      <c r="M4" s="17" t="s">
        <v>332</v>
      </c>
      <c r="N4" s="17" t="s">
        <v>333</v>
      </c>
      <c r="O4" s="17" t="s">
        <v>334</v>
      </c>
      <c r="P4" s="31" t="s">
        <v>335</v>
      </c>
      <c r="Q4" s="23" t="s">
        <v>336</v>
      </c>
      <c r="R4" s="23" t="s">
        <v>337</v>
      </c>
      <c r="S4" s="23" t="s">
        <v>338</v>
      </c>
      <c r="T4" s="74" t="s">
        <v>339</v>
      </c>
      <c r="U4" s="17" t="s">
        <v>340</v>
      </c>
    </row>
    <row r="5" spans="1:21">
      <c r="A5" s="20" t="s">
        <v>89</v>
      </c>
      <c r="B5">
        <v>0</v>
      </c>
      <c r="C5">
        <v>0</v>
      </c>
      <c r="H5">
        <v>0</v>
      </c>
      <c r="I5">
        <v>0</v>
      </c>
      <c r="K5">
        <f t="shared" ref="K5:K30" si="0">B5+C5-H5-I5</f>
        <v>0</v>
      </c>
      <c r="L5">
        <f t="shared" ref="L5:L30" si="1">B5+C5-H5</f>
        <v>0</v>
      </c>
      <c r="M5">
        <f t="shared" ref="M5:M30" si="2">L5-B5</f>
        <v>0</v>
      </c>
      <c r="N5">
        <f t="shared" ref="N5:N30" si="3">C5</f>
        <v>0</v>
      </c>
      <c r="O5">
        <v>0</v>
      </c>
      <c r="P5" s="29">
        <f t="shared" ref="P5:P30" si="4">O5*K5</f>
        <v>0</v>
      </c>
      <c r="R5">
        <v>0</v>
      </c>
      <c r="S5">
        <f t="shared" ref="S5:S30" si="5">O5*M5</f>
        <v>0</v>
      </c>
      <c r="T5">
        <f t="shared" ref="T5:T30" si="6">O5*N5</f>
        <v>0</v>
      </c>
    </row>
    <row r="6" spans="1:21">
      <c r="A6" s="20" t="s">
        <v>90</v>
      </c>
      <c r="B6">
        <v>0</v>
      </c>
      <c r="C6">
        <v>0</v>
      </c>
      <c r="H6">
        <v>0</v>
      </c>
      <c r="I6">
        <v>0</v>
      </c>
      <c r="K6">
        <f t="shared" si="0"/>
        <v>0</v>
      </c>
      <c r="L6">
        <f t="shared" si="1"/>
        <v>0</v>
      </c>
      <c r="M6">
        <f t="shared" si="2"/>
        <v>0</v>
      </c>
      <c r="N6">
        <f t="shared" si="3"/>
        <v>0</v>
      </c>
      <c r="O6">
        <v>0</v>
      </c>
      <c r="P6" s="29">
        <f t="shared" si="4"/>
        <v>0</v>
      </c>
      <c r="R6">
        <v>0</v>
      </c>
      <c r="S6">
        <f t="shared" si="5"/>
        <v>0</v>
      </c>
      <c r="T6">
        <f t="shared" si="6"/>
        <v>0</v>
      </c>
    </row>
    <row r="7" spans="1:21">
      <c r="A7" t="s">
        <v>91</v>
      </c>
      <c r="B7">
        <v>2</v>
      </c>
      <c r="C7">
        <v>0</v>
      </c>
      <c r="H7">
        <v>0</v>
      </c>
      <c r="I7">
        <v>0</v>
      </c>
      <c r="K7">
        <f t="shared" si="0"/>
        <v>2</v>
      </c>
      <c r="L7">
        <f t="shared" si="1"/>
        <v>2</v>
      </c>
      <c r="M7">
        <f t="shared" si="2"/>
        <v>0</v>
      </c>
      <c r="N7">
        <f t="shared" si="3"/>
        <v>0</v>
      </c>
      <c r="O7">
        <v>0</v>
      </c>
      <c r="P7" s="29">
        <f t="shared" si="4"/>
        <v>0</v>
      </c>
      <c r="R7">
        <v>0</v>
      </c>
      <c r="S7">
        <f t="shared" si="5"/>
        <v>0</v>
      </c>
      <c r="T7">
        <f t="shared" si="6"/>
        <v>0</v>
      </c>
    </row>
    <row r="8" spans="1:21">
      <c r="A8" t="s">
        <v>341</v>
      </c>
      <c r="B8">
        <v>0</v>
      </c>
      <c r="C8">
        <v>0</v>
      </c>
      <c r="H8">
        <v>0</v>
      </c>
      <c r="I8">
        <v>0</v>
      </c>
      <c r="K8">
        <f t="shared" si="0"/>
        <v>0</v>
      </c>
      <c r="L8">
        <f t="shared" si="1"/>
        <v>0</v>
      </c>
      <c r="M8">
        <f t="shared" si="2"/>
        <v>0</v>
      </c>
      <c r="N8">
        <f t="shared" si="3"/>
        <v>0</v>
      </c>
      <c r="O8">
        <v>0</v>
      </c>
      <c r="P8" s="29">
        <f t="shared" si="4"/>
        <v>0</v>
      </c>
      <c r="R8">
        <v>0</v>
      </c>
      <c r="S8">
        <f t="shared" si="5"/>
        <v>0</v>
      </c>
      <c r="T8">
        <f t="shared" si="6"/>
        <v>0</v>
      </c>
    </row>
    <row r="9" spans="1:21">
      <c r="A9" t="s">
        <v>92</v>
      </c>
      <c r="B9">
        <v>0</v>
      </c>
      <c r="C9">
        <v>0</v>
      </c>
      <c r="H9">
        <v>0</v>
      </c>
      <c r="I9">
        <v>0</v>
      </c>
      <c r="K9">
        <f t="shared" si="0"/>
        <v>0</v>
      </c>
      <c r="L9">
        <f t="shared" si="1"/>
        <v>0</v>
      </c>
      <c r="M9">
        <f t="shared" si="2"/>
        <v>0</v>
      </c>
      <c r="N9">
        <f t="shared" si="3"/>
        <v>0</v>
      </c>
      <c r="O9">
        <v>0</v>
      </c>
      <c r="P9" s="29">
        <f t="shared" si="4"/>
        <v>0</v>
      </c>
      <c r="R9">
        <v>0</v>
      </c>
      <c r="S9">
        <f t="shared" si="5"/>
        <v>0</v>
      </c>
      <c r="T9">
        <f t="shared" si="6"/>
        <v>0</v>
      </c>
    </row>
    <row r="10" spans="1:21">
      <c r="A10" t="s">
        <v>93</v>
      </c>
      <c r="B10">
        <v>0</v>
      </c>
      <c r="C10">
        <v>0</v>
      </c>
      <c r="H10">
        <v>0</v>
      </c>
      <c r="I10">
        <v>0</v>
      </c>
      <c r="K10">
        <f t="shared" si="0"/>
        <v>0</v>
      </c>
      <c r="L10">
        <f t="shared" si="1"/>
        <v>0</v>
      </c>
      <c r="M10">
        <f t="shared" si="2"/>
        <v>0</v>
      </c>
      <c r="N10">
        <f t="shared" si="3"/>
        <v>0</v>
      </c>
      <c r="O10">
        <v>0</v>
      </c>
      <c r="P10" s="29">
        <f t="shared" si="4"/>
        <v>0</v>
      </c>
      <c r="R10">
        <v>0</v>
      </c>
      <c r="S10">
        <f t="shared" si="5"/>
        <v>0</v>
      </c>
      <c r="T10">
        <f t="shared" si="6"/>
        <v>0</v>
      </c>
    </row>
    <row r="11" spans="1:21">
      <c r="A11" t="s">
        <v>94</v>
      </c>
      <c r="B11">
        <v>0</v>
      </c>
      <c r="C11">
        <v>0</v>
      </c>
      <c r="H11">
        <v>0</v>
      </c>
      <c r="I11">
        <v>0</v>
      </c>
      <c r="K11">
        <f t="shared" si="0"/>
        <v>0</v>
      </c>
      <c r="L11">
        <f t="shared" si="1"/>
        <v>0</v>
      </c>
      <c r="M11">
        <f t="shared" si="2"/>
        <v>0</v>
      </c>
      <c r="N11">
        <f t="shared" si="3"/>
        <v>0</v>
      </c>
      <c r="O11">
        <v>0</v>
      </c>
      <c r="P11" s="29">
        <f t="shared" si="4"/>
        <v>0</v>
      </c>
      <c r="R11">
        <v>0</v>
      </c>
      <c r="S11">
        <f t="shared" si="5"/>
        <v>0</v>
      </c>
      <c r="T11">
        <f t="shared" si="6"/>
        <v>0</v>
      </c>
    </row>
    <row r="12" spans="1:21">
      <c r="A12" t="s">
        <v>95</v>
      </c>
      <c r="B12">
        <v>19</v>
      </c>
      <c r="C12">
        <v>2</v>
      </c>
      <c r="H12">
        <v>3</v>
      </c>
      <c r="I12">
        <v>0</v>
      </c>
      <c r="K12">
        <f t="shared" si="0"/>
        <v>18</v>
      </c>
      <c r="L12">
        <f t="shared" si="1"/>
        <v>18</v>
      </c>
      <c r="M12">
        <f t="shared" si="2"/>
        <v>-1</v>
      </c>
      <c r="N12">
        <f t="shared" si="3"/>
        <v>2</v>
      </c>
      <c r="O12">
        <v>0.44333333333333341</v>
      </c>
      <c r="P12" s="29">
        <f t="shared" si="4"/>
        <v>7.9800000000000013</v>
      </c>
      <c r="R12">
        <v>1.33</v>
      </c>
      <c r="S12">
        <f t="shared" si="5"/>
        <v>-0.44333333333333341</v>
      </c>
      <c r="T12">
        <f t="shared" si="6"/>
        <v>0.88666666666666683</v>
      </c>
    </row>
    <row r="13" spans="1:21">
      <c r="A13" t="s">
        <v>96</v>
      </c>
      <c r="B13">
        <v>0</v>
      </c>
      <c r="C13">
        <v>0</v>
      </c>
      <c r="H13">
        <v>0</v>
      </c>
      <c r="I13">
        <v>0</v>
      </c>
      <c r="K13">
        <f t="shared" si="0"/>
        <v>0</v>
      </c>
      <c r="L13">
        <f t="shared" si="1"/>
        <v>0</v>
      </c>
      <c r="M13">
        <f t="shared" si="2"/>
        <v>0</v>
      </c>
      <c r="N13">
        <f t="shared" si="3"/>
        <v>0</v>
      </c>
      <c r="O13">
        <v>0</v>
      </c>
      <c r="P13" s="29">
        <f t="shared" si="4"/>
        <v>0</v>
      </c>
      <c r="R13">
        <v>0</v>
      </c>
      <c r="S13">
        <f t="shared" si="5"/>
        <v>0</v>
      </c>
      <c r="T13">
        <f t="shared" si="6"/>
        <v>0</v>
      </c>
    </row>
    <row r="14" spans="1:21">
      <c r="A14" t="s">
        <v>97</v>
      </c>
      <c r="B14">
        <v>2</v>
      </c>
      <c r="C14">
        <v>0</v>
      </c>
      <c r="H14">
        <v>0</v>
      </c>
      <c r="I14">
        <v>0</v>
      </c>
      <c r="K14">
        <f t="shared" si="0"/>
        <v>2</v>
      </c>
      <c r="L14">
        <f t="shared" si="1"/>
        <v>2</v>
      </c>
      <c r="M14">
        <f t="shared" si="2"/>
        <v>0</v>
      </c>
      <c r="N14">
        <f t="shared" si="3"/>
        <v>0</v>
      </c>
      <c r="O14" s="104">
        <v>0</v>
      </c>
      <c r="P14" s="29">
        <f t="shared" si="4"/>
        <v>0</v>
      </c>
      <c r="R14">
        <v>0</v>
      </c>
      <c r="S14">
        <f t="shared" si="5"/>
        <v>0</v>
      </c>
      <c r="T14">
        <f t="shared" si="6"/>
        <v>0</v>
      </c>
    </row>
    <row r="15" spans="1:21">
      <c r="A15" t="s">
        <v>98</v>
      </c>
      <c r="B15">
        <v>2</v>
      </c>
      <c r="C15">
        <v>0</v>
      </c>
      <c r="H15">
        <v>1</v>
      </c>
      <c r="I15">
        <v>0</v>
      </c>
      <c r="K15">
        <f t="shared" si="0"/>
        <v>1</v>
      </c>
      <c r="L15">
        <f t="shared" si="1"/>
        <v>1</v>
      </c>
      <c r="M15">
        <f t="shared" si="2"/>
        <v>-1</v>
      </c>
      <c r="N15">
        <f t="shared" si="3"/>
        <v>0</v>
      </c>
      <c r="O15" s="28">
        <f>35/240</f>
        <v>0.14583333333333334</v>
      </c>
      <c r="P15" s="29">
        <f t="shared" si="4"/>
        <v>0.14583333333333334</v>
      </c>
      <c r="R15">
        <v>0</v>
      </c>
      <c r="S15">
        <f t="shared" si="5"/>
        <v>-0.14583333333333334</v>
      </c>
      <c r="T15">
        <f t="shared" si="6"/>
        <v>0</v>
      </c>
    </row>
    <row r="16" spans="1:21">
      <c r="A16" t="s">
        <v>99</v>
      </c>
      <c r="B16">
        <v>2</v>
      </c>
      <c r="C16">
        <v>0</v>
      </c>
      <c r="H16">
        <v>0</v>
      </c>
      <c r="I16">
        <v>0</v>
      </c>
      <c r="K16">
        <f t="shared" si="0"/>
        <v>2</v>
      </c>
      <c r="L16">
        <f t="shared" si="1"/>
        <v>2</v>
      </c>
      <c r="M16">
        <f t="shared" si="2"/>
        <v>0</v>
      </c>
      <c r="N16">
        <f t="shared" si="3"/>
        <v>0</v>
      </c>
      <c r="O16" s="104">
        <v>0</v>
      </c>
      <c r="P16" s="29">
        <f t="shared" si="4"/>
        <v>0</v>
      </c>
      <c r="R16">
        <v>0</v>
      </c>
      <c r="S16">
        <f t="shared" si="5"/>
        <v>0</v>
      </c>
      <c r="T16">
        <f t="shared" si="6"/>
        <v>0</v>
      </c>
    </row>
    <row r="17" spans="1:20">
      <c r="A17" t="s">
        <v>100</v>
      </c>
      <c r="B17">
        <v>2</v>
      </c>
      <c r="C17">
        <v>0</v>
      </c>
      <c r="H17">
        <v>0</v>
      </c>
      <c r="I17">
        <v>0</v>
      </c>
      <c r="K17">
        <f t="shared" si="0"/>
        <v>2</v>
      </c>
      <c r="L17">
        <f t="shared" si="1"/>
        <v>2</v>
      </c>
      <c r="M17">
        <f t="shared" si="2"/>
        <v>0</v>
      </c>
      <c r="N17">
        <f t="shared" si="3"/>
        <v>0</v>
      </c>
      <c r="O17">
        <v>0</v>
      </c>
      <c r="P17" s="29">
        <f t="shared" si="4"/>
        <v>0</v>
      </c>
      <c r="R17">
        <v>0</v>
      </c>
      <c r="S17">
        <f t="shared" si="5"/>
        <v>0</v>
      </c>
      <c r="T17">
        <f t="shared" si="6"/>
        <v>0</v>
      </c>
    </row>
    <row r="18" spans="1:20">
      <c r="A18" t="s">
        <v>101</v>
      </c>
      <c r="B18">
        <v>2</v>
      </c>
      <c r="C18">
        <v>2</v>
      </c>
      <c r="H18">
        <v>0</v>
      </c>
      <c r="I18">
        <v>0</v>
      </c>
      <c r="K18">
        <f t="shared" si="0"/>
        <v>4</v>
      </c>
      <c r="L18">
        <f t="shared" si="1"/>
        <v>4</v>
      </c>
      <c r="M18">
        <f t="shared" si="2"/>
        <v>2</v>
      </c>
      <c r="N18">
        <f t="shared" si="3"/>
        <v>2</v>
      </c>
      <c r="O18" s="104">
        <v>0</v>
      </c>
      <c r="P18" s="29">
        <f t="shared" si="4"/>
        <v>0</v>
      </c>
      <c r="R18">
        <v>0</v>
      </c>
      <c r="S18">
        <f t="shared" si="5"/>
        <v>0</v>
      </c>
      <c r="T18">
        <f t="shared" si="6"/>
        <v>0</v>
      </c>
    </row>
    <row r="19" spans="1:20">
      <c r="A19" t="s">
        <v>102</v>
      </c>
      <c r="B19">
        <v>354</v>
      </c>
      <c r="C19">
        <v>0</v>
      </c>
      <c r="H19">
        <v>35</v>
      </c>
      <c r="I19">
        <v>11</v>
      </c>
      <c r="K19">
        <f t="shared" si="0"/>
        <v>308</v>
      </c>
      <c r="L19">
        <f t="shared" si="1"/>
        <v>319</v>
      </c>
      <c r="M19">
        <f t="shared" si="2"/>
        <v>-35</v>
      </c>
      <c r="N19">
        <f t="shared" si="3"/>
        <v>0</v>
      </c>
      <c r="O19">
        <v>8.3428571428571421E-2</v>
      </c>
      <c r="P19" s="29">
        <f t="shared" si="4"/>
        <v>25.695999999999998</v>
      </c>
      <c r="R19">
        <v>2.92</v>
      </c>
      <c r="S19">
        <f t="shared" si="5"/>
        <v>-2.92</v>
      </c>
      <c r="T19">
        <f t="shared" si="6"/>
        <v>0</v>
      </c>
    </row>
    <row r="20" spans="1:20">
      <c r="A20" t="s">
        <v>103</v>
      </c>
      <c r="B20">
        <v>9</v>
      </c>
      <c r="C20">
        <v>0</v>
      </c>
      <c r="H20">
        <v>1</v>
      </c>
      <c r="I20">
        <v>0</v>
      </c>
      <c r="K20">
        <f t="shared" si="0"/>
        <v>8</v>
      </c>
      <c r="L20">
        <f t="shared" si="1"/>
        <v>8</v>
      </c>
      <c r="M20">
        <f t="shared" si="2"/>
        <v>-1</v>
      </c>
      <c r="N20">
        <f t="shared" si="3"/>
        <v>0</v>
      </c>
      <c r="O20" s="28">
        <v>6.7818181818181819E-2</v>
      </c>
      <c r="P20" s="29">
        <f t="shared" si="4"/>
        <v>0.54254545454545455</v>
      </c>
      <c r="R20">
        <v>0</v>
      </c>
      <c r="S20">
        <f t="shared" si="5"/>
        <v>-6.7818181818181819E-2</v>
      </c>
      <c r="T20">
        <f t="shared" si="6"/>
        <v>0</v>
      </c>
    </row>
    <row r="21" spans="1:20">
      <c r="A21" t="s">
        <v>104</v>
      </c>
      <c r="B21">
        <v>315</v>
      </c>
      <c r="C21">
        <v>0</v>
      </c>
      <c r="H21">
        <v>55</v>
      </c>
      <c r="I21">
        <v>18</v>
      </c>
      <c r="K21">
        <f t="shared" si="0"/>
        <v>242</v>
      </c>
      <c r="L21">
        <f t="shared" si="1"/>
        <v>260</v>
      </c>
      <c r="M21">
        <f t="shared" si="2"/>
        <v>-55</v>
      </c>
      <c r="N21">
        <f t="shared" si="3"/>
        <v>0</v>
      </c>
      <c r="O21">
        <v>6.7818181818181819E-2</v>
      </c>
      <c r="P21" s="29">
        <f t="shared" si="4"/>
        <v>16.411999999999999</v>
      </c>
      <c r="Q21">
        <v>0</v>
      </c>
      <c r="R21">
        <v>3.73</v>
      </c>
      <c r="S21">
        <f t="shared" si="5"/>
        <v>-3.73</v>
      </c>
      <c r="T21">
        <f t="shared" si="6"/>
        <v>0</v>
      </c>
    </row>
    <row r="22" spans="1:20">
      <c r="A22" t="s">
        <v>105</v>
      </c>
      <c r="B22">
        <v>196</v>
      </c>
      <c r="C22">
        <v>0</v>
      </c>
      <c r="H22">
        <v>0</v>
      </c>
      <c r="I22">
        <v>5</v>
      </c>
      <c r="K22">
        <f t="shared" si="0"/>
        <v>191</v>
      </c>
      <c r="L22">
        <f t="shared" si="1"/>
        <v>196</v>
      </c>
      <c r="M22">
        <f t="shared" si="2"/>
        <v>0</v>
      </c>
      <c r="N22">
        <f t="shared" si="3"/>
        <v>0</v>
      </c>
      <c r="O22" s="104">
        <v>0</v>
      </c>
      <c r="P22" s="29">
        <f t="shared" si="4"/>
        <v>0</v>
      </c>
      <c r="R22">
        <v>0</v>
      </c>
      <c r="S22">
        <f t="shared" si="5"/>
        <v>0</v>
      </c>
      <c r="T22">
        <f t="shared" si="6"/>
        <v>0</v>
      </c>
    </row>
    <row r="23" spans="1:20">
      <c r="A23" t="s">
        <v>106</v>
      </c>
      <c r="B23">
        <v>204</v>
      </c>
      <c r="C23">
        <v>269</v>
      </c>
      <c r="H23">
        <v>16</v>
      </c>
      <c r="I23">
        <v>21</v>
      </c>
      <c r="K23">
        <f t="shared" si="0"/>
        <v>436</v>
      </c>
      <c r="L23">
        <f t="shared" si="1"/>
        <v>457</v>
      </c>
      <c r="M23">
        <f t="shared" si="2"/>
        <v>253</v>
      </c>
      <c r="N23">
        <f t="shared" si="3"/>
        <v>269</v>
      </c>
      <c r="O23">
        <v>3.3125000000000002E-2</v>
      </c>
      <c r="P23" s="29">
        <f t="shared" si="4"/>
        <v>14.442500000000001</v>
      </c>
      <c r="R23">
        <v>0.53</v>
      </c>
      <c r="S23">
        <f t="shared" si="5"/>
        <v>8.3806250000000002</v>
      </c>
      <c r="T23">
        <f t="shared" si="6"/>
        <v>8.9106249999999996</v>
      </c>
    </row>
    <row r="24" spans="1:20">
      <c r="A24" t="s">
        <v>107</v>
      </c>
      <c r="B24">
        <v>0</v>
      </c>
      <c r="C24">
        <v>0</v>
      </c>
      <c r="H24">
        <v>0</v>
      </c>
      <c r="I24">
        <v>0</v>
      </c>
      <c r="K24">
        <f t="shared" si="0"/>
        <v>0</v>
      </c>
      <c r="L24">
        <f t="shared" si="1"/>
        <v>0</v>
      </c>
      <c r="M24">
        <f t="shared" si="2"/>
        <v>0</v>
      </c>
      <c r="N24">
        <f t="shared" si="3"/>
        <v>0</v>
      </c>
      <c r="O24">
        <v>0</v>
      </c>
      <c r="P24" s="29">
        <f t="shared" si="4"/>
        <v>0</v>
      </c>
      <c r="R24">
        <v>0</v>
      </c>
      <c r="S24">
        <f t="shared" si="5"/>
        <v>0</v>
      </c>
      <c r="T24">
        <f t="shared" si="6"/>
        <v>0</v>
      </c>
    </row>
    <row r="25" spans="1:20">
      <c r="A25" t="s">
        <v>108</v>
      </c>
      <c r="B25">
        <v>0</v>
      </c>
      <c r="C25">
        <v>0</v>
      </c>
      <c r="H25">
        <v>0</v>
      </c>
      <c r="I25">
        <v>0</v>
      </c>
      <c r="K25">
        <f t="shared" si="0"/>
        <v>0</v>
      </c>
      <c r="L25">
        <f t="shared" si="1"/>
        <v>0</v>
      </c>
      <c r="M25">
        <f t="shared" si="2"/>
        <v>0</v>
      </c>
      <c r="N25">
        <f t="shared" si="3"/>
        <v>0</v>
      </c>
      <c r="O25">
        <v>0</v>
      </c>
      <c r="P25" s="29">
        <f t="shared" si="4"/>
        <v>0</v>
      </c>
      <c r="R25">
        <v>0</v>
      </c>
      <c r="S25">
        <f t="shared" si="5"/>
        <v>0</v>
      </c>
      <c r="T25">
        <f t="shared" si="6"/>
        <v>0</v>
      </c>
    </row>
    <row r="26" spans="1:20">
      <c r="A26" t="s">
        <v>109</v>
      </c>
      <c r="B26">
        <v>0</v>
      </c>
      <c r="C26">
        <v>0</v>
      </c>
      <c r="H26">
        <v>0</v>
      </c>
      <c r="I26">
        <v>0</v>
      </c>
      <c r="K26">
        <f t="shared" si="0"/>
        <v>0</v>
      </c>
      <c r="L26">
        <f t="shared" si="1"/>
        <v>0</v>
      </c>
      <c r="M26">
        <f t="shared" si="2"/>
        <v>0</v>
      </c>
      <c r="N26">
        <f t="shared" si="3"/>
        <v>0</v>
      </c>
      <c r="O26">
        <v>0</v>
      </c>
      <c r="P26" s="29">
        <f t="shared" si="4"/>
        <v>0</v>
      </c>
      <c r="R26">
        <v>0</v>
      </c>
      <c r="S26">
        <f t="shared" si="5"/>
        <v>0</v>
      </c>
      <c r="T26">
        <f t="shared" si="6"/>
        <v>0</v>
      </c>
    </row>
    <row r="27" spans="1:20">
      <c r="A27" t="s">
        <v>110</v>
      </c>
      <c r="B27">
        <v>0</v>
      </c>
      <c r="C27">
        <v>0</v>
      </c>
      <c r="H27">
        <v>0</v>
      </c>
      <c r="I27">
        <v>0</v>
      </c>
      <c r="K27">
        <f t="shared" si="0"/>
        <v>0</v>
      </c>
      <c r="L27">
        <f t="shared" si="1"/>
        <v>0</v>
      </c>
      <c r="M27">
        <f t="shared" si="2"/>
        <v>0</v>
      </c>
      <c r="N27">
        <f t="shared" si="3"/>
        <v>0</v>
      </c>
      <c r="O27">
        <v>0</v>
      </c>
      <c r="P27" s="29">
        <f t="shared" si="4"/>
        <v>0</v>
      </c>
      <c r="R27">
        <v>0</v>
      </c>
      <c r="S27">
        <f t="shared" si="5"/>
        <v>0</v>
      </c>
      <c r="T27">
        <f t="shared" si="6"/>
        <v>0</v>
      </c>
    </row>
    <row r="28" spans="1:20">
      <c r="A28" t="s">
        <v>111</v>
      </c>
      <c r="B28">
        <v>0</v>
      </c>
      <c r="C28">
        <v>0</v>
      </c>
      <c r="H28">
        <v>0</v>
      </c>
      <c r="I28">
        <v>0</v>
      </c>
      <c r="K28">
        <f t="shared" si="0"/>
        <v>0</v>
      </c>
      <c r="L28">
        <f t="shared" si="1"/>
        <v>0</v>
      </c>
      <c r="M28">
        <f t="shared" si="2"/>
        <v>0</v>
      </c>
      <c r="N28">
        <f t="shared" si="3"/>
        <v>0</v>
      </c>
      <c r="O28">
        <v>0</v>
      </c>
      <c r="P28" s="29">
        <f t="shared" si="4"/>
        <v>0</v>
      </c>
      <c r="R28">
        <v>0</v>
      </c>
      <c r="S28">
        <f t="shared" si="5"/>
        <v>0</v>
      </c>
      <c r="T28">
        <f t="shared" si="6"/>
        <v>0</v>
      </c>
    </row>
    <row r="29" spans="1:20">
      <c r="A29" t="s">
        <v>112</v>
      </c>
      <c r="B29">
        <v>0</v>
      </c>
      <c r="C29">
        <v>0</v>
      </c>
      <c r="H29">
        <v>0</v>
      </c>
      <c r="I29">
        <v>0</v>
      </c>
      <c r="K29">
        <f t="shared" si="0"/>
        <v>0</v>
      </c>
      <c r="L29">
        <f t="shared" si="1"/>
        <v>0</v>
      </c>
      <c r="M29">
        <f t="shared" si="2"/>
        <v>0</v>
      </c>
      <c r="N29">
        <f t="shared" si="3"/>
        <v>0</v>
      </c>
      <c r="O29">
        <v>0</v>
      </c>
      <c r="P29" s="29">
        <f t="shared" si="4"/>
        <v>0</v>
      </c>
      <c r="R29">
        <v>0</v>
      </c>
      <c r="S29">
        <f t="shared" si="5"/>
        <v>0</v>
      </c>
      <c r="T29">
        <f t="shared" si="6"/>
        <v>0</v>
      </c>
    </row>
    <row r="30" spans="1:20">
      <c r="A30" t="s">
        <v>113</v>
      </c>
      <c r="B30">
        <v>0</v>
      </c>
      <c r="C30">
        <v>0</v>
      </c>
      <c r="H30">
        <v>0</v>
      </c>
      <c r="I30">
        <v>0</v>
      </c>
      <c r="K30">
        <f t="shared" si="0"/>
        <v>0</v>
      </c>
      <c r="L30">
        <f t="shared" si="1"/>
        <v>0</v>
      </c>
      <c r="M30">
        <f t="shared" si="2"/>
        <v>0</v>
      </c>
      <c r="N30">
        <f t="shared" si="3"/>
        <v>0</v>
      </c>
      <c r="O30">
        <v>0</v>
      </c>
      <c r="P30" s="29">
        <f t="shared" si="4"/>
        <v>0</v>
      </c>
      <c r="R30">
        <v>0</v>
      </c>
      <c r="S30">
        <f t="shared" si="5"/>
        <v>0</v>
      </c>
      <c r="T30">
        <f t="shared" si="6"/>
        <v>0</v>
      </c>
    </row>
    <row r="31" spans="1:20" ht="15.5" customHeight="1">
      <c r="A31" s="24" t="s">
        <v>342</v>
      </c>
    </row>
    <row r="34" spans="1:9" ht="15.5" customHeight="1">
      <c r="A34" s="23" t="s">
        <v>116</v>
      </c>
      <c r="B34">
        <v>0</v>
      </c>
      <c r="C34">
        <v>0</v>
      </c>
      <c r="H34">
        <v>0</v>
      </c>
      <c r="I34">
        <v>0</v>
      </c>
    </row>
    <row r="35" spans="1:9">
      <c r="A35" t="s">
        <v>118</v>
      </c>
      <c r="B35">
        <v>0</v>
      </c>
      <c r="C35">
        <v>0</v>
      </c>
      <c r="H35">
        <v>0</v>
      </c>
      <c r="I35">
        <v>0</v>
      </c>
    </row>
    <row r="36" spans="1:9">
      <c r="A36" t="s">
        <v>119</v>
      </c>
      <c r="B36">
        <v>0</v>
      </c>
      <c r="C36">
        <v>0</v>
      </c>
      <c r="H36">
        <v>0</v>
      </c>
      <c r="I36">
        <v>0</v>
      </c>
    </row>
    <row r="37" spans="1:9">
      <c r="A37" t="s">
        <v>120</v>
      </c>
      <c r="B37">
        <v>0</v>
      </c>
      <c r="C37">
        <v>0</v>
      </c>
      <c r="H37">
        <v>0</v>
      </c>
      <c r="I37">
        <v>0</v>
      </c>
    </row>
    <row r="38" spans="1:9">
      <c r="A38" t="s">
        <v>121</v>
      </c>
      <c r="B38">
        <v>0</v>
      </c>
      <c r="C38">
        <v>0</v>
      </c>
      <c r="H38">
        <v>0</v>
      </c>
      <c r="I38">
        <v>0</v>
      </c>
    </row>
    <row r="39" spans="1:9" ht="15.5" customHeight="1">
      <c r="A39" s="24" t="s">
        <v>343</v>
      </c>
      <c r="B39">
        <v>0</v>
      </c>
      <c r="C39">
        <v>0</v>
      </c>
      <c r="H39">
        <v>0</v>
      </c>
      <c r="I39">
        <v>0</v>
      </c>
    </row>
    <row r="40" spans="1:9">
      <c r="B40">
        <v>0</v>
      </c>
      <c r="C40">
        <v>0</v>
      </c>
      <c r="H40">
        <v>0</v>
      </c>
      <c r="I40">
        <v>0</v>
      </c>
    </row>
    <row r="41" spans="1:9">
      <c r="B41">
        <v>0</v>
      </c>
      <c r="C41">
        <v>0</v>
      </c>
      <c r="H41">
        <v>0</v>
      </c>
      <c r="I41">
        <v>0</v>
      </c>
    </row>
    <row r="42" spans="1:9" ht="15.5" customHeight="1">
      <c r="A42" s="23" t="s">
        <v>122</v>
      </c>
      <c r="B42">
        <v>0</v>
      </c>
      <c r="C42">
        <v>0</v>
      </c>
      <c r="H42">
        <v>0</v>
      </c>
      <c r="I42">
        <v>0</v>
      </c>
    </row>
    <row r="43" spans="1:9">
      <c r="A43" t="s">
        <v>123</v>
      </c>
      <c r="B43">
        <v>0</v>
      </c>
      <c r="C43">
        <v>0</v>
      </c>
      <c r="H43">
        <v>0</v>
      </c>
      <c r="I43">
        <v>0</v>
      </c>
    </row>
    <row r="44" spans="1:9">
      <c r="A44" t="s">
        <v>344</v>
      </c>
      <c r="B44">
        <v>0</v>
      </c>
      <c r="C44">
        <v>0</v>
      </c>
      <c r="H44">
        <v>0</v>
      </c>
      <c r="I44">
        <v>0</v>
      </c>
    </row>
    <row r="45" spans="1:9">
      <c r="A45" t="s">
        <v>345</v>
      </c>
      <c r="B45">
        <v>0</v>
      </c>
      <c r="C45">
        <v>0</v>
      </c>
      <c r="H45">
        <v>0</v>
      </c>
      <c r="I45">
        <v>0</v>
      </c>
    </row>
    <row r="46" spans="1:9">
      <c r="A46" t="s">
        <v>346</v>
      </c>
      <c r="B46">
        <v>2</v>
      </c>
      <c r="C46">
        <v>2</v>
      </c>
      <c r="H46">
        <v>0</v>
      </c>
      <c r="I46">
        <v>0</v>
      </c>
    </row>
    <row r="47" spans="1:9">
      <c r="A47" s="25" t="s">
        <v>347</v>
      </c>
      <c r="B47">
        <v>0</v>
      </c>
      <c r="C47">
        <v>0</v>
      </c>
      <c r="H47">
        <v>0</v>
      </c>
      <c r="I47">
        <v>0</v>
      </c>
    </row>
    <row r="48" spans="1:9">
      <c r="A48" t="s">
        <v>348</v>
      </c>
    </row>
    <row r="49" spans="1:9">
      <c r="A49" s="16" t="s">
        <v>349</v>
      </c>
    </row>
    <row r="50" spans="1:9">
      <c r="A50" s="16" t="s">
        <v>350</v>
      </c>
    </row>
    <row r="51" spans="1:9">
      <c r="A51" s="16" t="s">
        <v>351</v>
      </c>
    </row>
    <row r="52" spans="1:9">
      <c r="A52" s="16" t="s">
        <v>352</v>
      </c>
    </row>
    <row r="53" spans="1:9">
      <c r="A53" s="26" t="s">
        <v>353</v>
      </c>
      <c r="B53">
        <v>0</v>
      </c>
      <c r="C53">
        <v>0</v>
      </c>
      <c r="H53">
        <v>24</v>
      </c>
      <c r="I53">
        <v>0</v>
      </c>
    </row>
    <row r="54" spans="1:9">
      <c r="A54" s="19" t="s">
        <v>354</v>
      </c>
    </row>
    <row r="55" spans="1:9">
      <c r="A55" s="16" t="s">
        <v>349</v>
      </c>
    </row>
    <row r="56" spans="1:9">
      <c r="A56" s="16" t="s">
        <v>350</v>
      </c>
    </row>
    <row r="57" spans="1:9">
      <c r="A57" s="16" t="s">
        <v>351</v>
      </c>
    </row>
    <row r="58" spans="1:9">
      <c r="A58" s="16" t="s">
        <v>352</v>
      </c>
    </row>
    <row r="59" spans="1:9">
      <c r="A59" s="26" t="s">
        <v>355</v>
      </c>
      <c r="B59">
        <v>0</v>
      </c>
      <c r="C59">
        <v>0</v>
      </c>
      <c r="H59">
        <v>0</v>
      </c>
      <c r="I59">
        <v>7</v>
      </c>
    </row>
    <row r="60" spans="1:9">
      <c r="A60" t="s">
        <v>140</v>
      </c>
      <c r="B60">
        <v>0</v>
      </c>
      <c r="C60">
        <v>0</v>
      </c>
      <c r="H60">
        <v>15</v>
      </c>
      <c r="I60">
        <v>17</v>
      </c>
    </row>
    <row r="61" spans="1:9">
      <c r="A61" t="s">
        <v>141</v>
      </c>
      <c r="B61">
        <v>0</v>
      </c>
      <c r="C61">
        <v>0</v>
      </c>
      <c r="H61">
        <v>0</v>
      </c>
      <c r="I61">
        <v>2</v>
      </c>
    </row>
    <row r="62" spans="1:9">
      <c r="A62" t="s">
        <v>142</v>
      </c>
      <c r="B62">
        <v>0</v>
      </c>
      <c r="C62">
        <v>0</v>
      </c>
      <c r="H62">
        <v>0</v>
      </c>
      <c r="I62">
        <v>4</v>
      </c>
    </row>
    <row r="63" spans="1:9">
      <c r="A63" s="27" t="s">
        <v>356</v>
      </c>
    </row>
    <row r="66" spans="1:20" ht="15.5" customHeight="1">
      <c r="A66" s="23" t="s">
        <v>143</v>
      </c>
    </row>
    <row r="67" spans="1:20">
      <c r="A67" s="20" t="s">
        <v>144</v>
      </c>
      <c r="L67">
        <f>B67+C67-H67</f>
        <v>0</v>
      </c>
      <c r="M67">
        <f>L67-B67</f>
        <v>0</v>
      </c>
      <c r="N67">
        <f>C67</f>
        <v>0</v>
      </c>
      <c r="O67">
        <v>0</v>
      </c>
      <c r="Q67">
        <f>R67*K67</f>
        <v>0</v>
      </c>
      <c r="R67">
        <v>0.27</v>
      </c>
      <c r="S67">
        <f>O67*M67</f>
        <v>0</v>
      </c>
      <c r="T67">
        <f>O67*N67</f>
        <v>0</v>
      </c>
    </row>
    <row r="68" spans="1:20">
      <c r="A68" t="s">
        <v>145</v>
      </c>
      <c r="L68">
        <f>B68+C68-H68</f>
        <v>0</v>
      </c>
      <c r="M68">
        <f>L68-B68</f>
        <v>0</v>
      </c>
      <c r="N68">
        <f>C68</f>
        <v>0</v>
      </c>
      <c r="O68">
        <v>0</v>
      </c>
      <c r="Q68">
        <f>R68*K68</f>
        <v>0</v>
      </c>
      <c r="R68">
        <v>0</v>
      </c>
      <c r="S68">
        <f>O68*M68</f>
        <v>0</v>
      </c>
      <c r="T68">
        <f>O68*N68</f>
        <v>0</v>
      </c>
    </row>
    <row r="69" spans="1:20">
      <c r="A69" t="s">
        <v>146</v>
      </c>
      <c r="B69">
        <v>0</v>
      </c>
      <c r="C69">
        <v>6</v>
      </c>
      <c r="H69">
        <v>6</v>
      </c>
      <c r="K69">
        <v>0</v>
      </c>
      <c r="L69">
        <f>B69+C69-H69</f>
        <v>0</v>
      </c>
      <c r="M69">
        <f>L69-B69</f>
        <v>0</v>
      </c>
      <c r="N69">
        <f>C69</f>
        <v>6</v>
      </c>
      <c r="O69">
        <v>0</v>
      </c>
      <c r="Q69">
        <f>R69*K69</f>
        <v>0</v>
      </c>
      <c r="R69">
        <v>0</v>
      </c>
      <c r="S69">
        <f>O69*M69</f>
        <v>0</v>
      </c>
      <c r="T69">
        <f>O69*N69</f>
        <v>0</v>
      </c>
    </row>
    <row r="70" spans="1:20">
      <c r="A70" t="s">
        <v>147</v>
      </c>
      <c r="B70">
        <v>0</v>
      </c>
      <c r="F70">
        <v>28</v>
      </c>
      <c r="G70">
        <v>18</v>
      </c>
      <c r="H70">
        <v>10</v>
      </c>
      <c r="K70">
        <v>0</v>
      </c>
      <c r="L70">
        <f>B70+C70-H70</f>
        <v>-10</v>
      </c>
      <c r="M70">
        <f>L70-B70</f>
        <v>-10</v>
      </c>
      <c r="N70">
        <f>C70</f>
        <v>0</v>
      </c>
      <c r="O70">
        <v>0</v>
      </c>
      <c r="Q70">
        <f>R70*K70</f>
        <v>0</v>
      </c>
      <c r="R70">
        <v>0</v>
      </c>
      <c r="S70">
        <f>O70*M70</f>
        <v>0</v>
      </c>
      <c r="T70">
        <f>O70*N70</f>
        <v>0</v>
      </c>
    </row>
    <row r="71" spans="1:20">
      <c r="A71" s="27" t="s">
        <v>357</v>
      </c>
    </row>
    <row r="72" spans="1:20">
      <c r="A72" s="28" t="s">
        <v>358</v>
      </c>
    </row>
    <row r="74" spans="1:20" ht="15.5" customHeight="1">
      <c r="A74" s="3" t="s">
        <v>148</v>
      </c>
    </row>
    <row r="75" spans="1:20">
      <c r="A75" t="s">
        <v>149</v>
      </c>
      <c r="B75">
        <v>0</v>
      </c>
      <c r="C75">
        <v>0</v>
      </c>
      <c r="H75">
        <v>0</v>
      </c>
      <c r="I75">
        <v>0</v>
      </c>
      <c r="S75">
        <f>O75*M75</f>
        <v>0</v>
      </c>
      <c r="T75">
        <f>O75*N75</f>
        <v>0</v>
      </c>
    </row>
    <row r="76" spans="1:20">
      <c r="A76" t="s">
        <v>150</v>
      </c>
      <c r="B76">
        <v>0</v>
      </c>
      <c r="C76">
        <v>0</v>
      </c>
      <c r="H76">
        <v>0</v>
      </c>
      <c r="I76">
        <v>0</v>
      </c>
      <c r="S76">
        <f>O76*M76</f>
        <v>0</v>
      </c>
      <c r="T76">
        <f>O76*N76</f>
        <v>0</v>
      </c>
    </row>
    <row r="77" spans="1:20">
      <c r="A77" t="s">
        <v>151</v>
      </c>
      <c r="S77">
        <f>SUM(S75:S76)</f>
        <v>0</v>
      </c>
      <c r="T77">
        <f>SUM(T75:T76)</f>
        <v>0</v>
      </c>
    </row>
    <row r="78" spans="1:20">
      <c r="A78" s="27" t="s">
        <v>175</v>
      </c>
    </row>
    <row r="81" spans="1:20" ht="15.5" customHeight="1">
      <c r="A81" s="3" t="s">
        <v>359</v>
      </c>
    </row>
    <row r="82" spans="1:20">
      <c r="A82" t="s">
        <v>360</v>
      </c>
      <c r="B82">
        <v>0</v>
      </c>
      <c r="C82">
        <v>0</v>
      </c>
      <c r="H82">
        <v>0</v>
      </c>
      <c r="I82">
        <v>0</v>
      </c>
      <c r="S82">
        <f>O82*M82</f>
        <v>0</v>
      </c>
      <c r="T82">
        <f>O82*N82</f>
        <v>0</v>
      </c>
    </row>
    <row r="83" spans="1:20">
      <c r="A83" t="s">
        <v>361</v>
      </c>
      <c r="B83">
        <v>0</v>
      </c>
      <c r="C83">
        <v>0</v>
      </c>
      <c r="H83">
        <v>0</v>
      </c>
      <c r="I83">
        <v>0</v>
      </c>
      <c r="S83">
        <f>O83*M83</f>
        <v>0</v>
      </c>
      <c r="T83">
        <f>O83*N83</f>
        <v>0</v>
      </c>
    </row>
    <row r="84" spans="1:20">
      <c r="A84" t="s">
        <v>362</v>
      </c>
      <c r="B84">
        <v>0</v>
      </c>
      <c r="C84">
        <v>0</v>
      </c>
      <c r="H84">
        <v>0</v>
      </c>
      <c r="I84">
        <v>0</v>
      </c>
      <c r="S84">
        <f>O84*M84</f>
        <v>0</v>
      </c>
      <c r="T84">
        <f>O84*N84</f>
        <v>0</v>
      </c>
    </row>
    <row r="85" spans="1:20" ht="15.5" customHeight="1">
      <c r="A85" s="22" t="s">
        <v>356</v>
      </c>
    </row>
    <row r="87" spans="1:20" ht="15.5" customHeight="1">
      <c r="A87" s="3" t="s">
        <v>363</v>
      </c>
    </row>
    <row r="88" spans="1:20">
      <c r="A88" t="s">
        <v>364</v>
      </c>
      <c r="B88">
        <v>0</v>
      </c>
      <c r="C88">
        <v>0</v>
      </c>
      <c r="H88">
        <v>0</v>
      </c>
      <c r="I88">
        <v>0</v>
      </c>
      <c r="S88">
        <f>O88*M88</f>
        <v>0</v>
      </c>
      <c r="T88">
        <f>O88*N88</f>
        <v>0</v>
      </c>
    </row>
    <row r="89" spans="1:20">
      <c r="A89" t="s">
        <v>365</v>
      </c>
      <c r="B89">
        <v>0</v>
      </c>
      <c r="C89">
        <v>0</v>
      </c>
      <c r="H89">
        <v>0</v>
      </c>
      <c r="I89">
        <v>0</v>
      </c>
      <c r="S89">
        <f>O89*M89</f>
        <v>0</v>
      </c>
      <c r="T89">
        <f>O89*N89</f>
        <v>0</v>
      </c>
    </row>
    <row r="90" spans="1:20" ht="15.5" customHeight="1">
      <c r="A90" s="22" t="s">
        <v>175</v>
      </c>
    </row>
    <row r="92" spans="1:20" ht="15.5" customHeight="1">
      <c r="A92" s="3" t="s">
        <v>154</v>
      </c>
    </row>
    <row r="93" spans="1:20">
      <c r="A93" t="s">
        <v>154</v>
      </c>
      <c r="B93">
        <v>0</v>
      </c>
      <c r="C93">
        <v>0</v>
      </c>
      <c r="H93">
        <v>0</v>
      </c>
      <c r="I93">
        <v>0</v>
      </c>
      <c r="S93">
        <f>O93*M93</f>
        <v>0</v>
      </c>
      <c r="T93">
        <f>O93*N93</f>
        <v>0</v>
      </c>
    </row>
    <row r="94" spans="1:20" ht="15.5" customHeight="1">
      <c r="A94" s="22" t="s">
        <v>175</v>
      </c>
    </row>
    <row r="95" spans="1:20" ht="15.5" customHeight="1">
      <c r="A95" s="4"/>
    </row>
    <row r="96" spans="1:20" ht="15.5" customHeight="1">
      <c r="A96" s="22" t="s">
        <v>366</v>
      </c>
    </row>
    <row r="99" spans="1:9" ht="15.5" customHeight="1">
      <c r="A99" s="3" t="s">
        <v>367</v>
      </c>
      <c r="B99">
        <v>0</v>
      </c>
      <c r="C99">
        <v>0</v>
      </c>
      <c r="H99">
        <v>0</v>
      </c>
      <c r="I99">
        <v>0</v>
      </c>
    </row>
    <row r="102" spans="1:9" ht="15.5" customHeight="1">
      <c r="A102" s="4" t="s">
        <v>368</v>
      </c>
    </row>
    <row r="103" spans="1:9" ht="15.5" customHeight="1">
      <c r="A103" s="3" t="s">
        <v>369</v>
      </c>
    </row>
    <row r="104" spans="1:9">
      <c r="A104" t="s">
        <v>370</v>
      </c>
    </row>
    <row r="105" spans="1:9">
      <c r="A105" t="s">
        <v>371</v>
      </c>
    </row>
    <row r="106" spans="1:9">
      <c r="A106" t="s">
        <v>372</v>
      </c>
    </row>
    <row r="107" spans="1:9">
      <c r="A107" t="s">
        <v>373</v>
      </c>
    </row>
    <row r="108" spans="1:9">
      <c r="A108" t="s">
        <v>374</v>
      </c>
    </row>
    <row r="109" spans="1:9">
      <c r="A109" t="s">
        <v>375</v>
      </c>
    </row>
    <row r="110" spans="1:9">
      <c r="A110" t="s">
        <v>376</v>
      </c>
    </row>
    <row r="111" spans="1:9">
      <c r="A111" t="s">
        <v>377</v>
      </c>
    </row>
    <row r="112" spans="1:9">
      <c r="A112" t="s">
        <v>378</v>
      </c>
    </row>
    <row r="113" spans="1:1">
      <c r="A113" t="s">
        <v>379</v>
      </c>
    </row>
    <row r="114" spans="1:1">
      <c r="A114" t="s">
        <v>380</v>
      </c>
    </row>
    <row r="115" spans="1:1">
      <c r="A115" t="s">
        <v>381</v>
      </c>
    </row>
    <row r="116" spans="1:1">
      <c r="A116" t="s">
        <v>382</v>
      </c>
    </row>
    <row r="117" spans="1:1">
      <c r="A117" t="s">
        <v>383</v>
      </c>
    </row>
    <row r="118" spans="1:1">
      <c r="A118" t="s">
        <v>384</v>
      </c>
    </row>
    <row r="119" spans="1:1">
      <c r="A119" t="s">
        <v>385</v>
      </c>
    </row>
    <row r="120" spans="1:1">
      <c r="A120" t="s">
        <v>386</v>
      </c>
    </row>
    <row r="121" spans="1:1">
      <c r="A121" t="s">
        <v>387</v>
      </c>
    </row>
    <row r="122" spans="1:1">
      <c r="A122" t="s">
        <v>388</v>
      </c>
    </row>
    <row r="123" spans="1:1">
      <c r="A123" t="s">
        <v>389</v>
      </c>
    </row>
    <row r="124" spans="1:1">
      <c r="A124" t="s">
        <v>390</v>
      </c>
    </row>
    <row r="125" spans="1:1">
      <c r="A125" t="s">
        <v>391</v>
      </c>
    </row>
    <row r="126" spans="1:1">
      <c r="A126" t="s">
        <v>392</v>
      </c>
    </row>
    <row r="127" spans="1:1">
      <c r="A127" t="s">
        <v>393</v>
      </c>
    </row>
    <row r="128" spans="1:1">
      <c r="A128" t="s">
        <v>394</v>
      </c>
    </row>
  </sheetData>
  <mergeCells count="2">
    <mergeCell ref="C3:F3"/>
    <mergeCell ref="G3:J3"/>
  </mergeCells>
  <pageMargins left="0.75" right="0.75" top="1" bottom="1" header="0.5" footer="0.5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59"/>
  <sheetViews>
    <sheetView topLeftCell="A252" workbookViewId="0">
      <selection activeCell="B276" sqref="B276"/>
    </sheetView>
  </sheetViews>
  <sheetFormatPr defaultRowHeight="14.5"/>
  <sheetData>
    <row r="1" spans="1:34">
      <c r="A1" t="s">
        <v>166</v>
      </c>
      <c r="B1" t="s">
        <v>243</v>
      </c>
      <c r="C1" t="s">
        <v>395</v>
      </c>
      <c r="D1" t="s">
        <v>396</v>
      </c>
      <c r="E1" t="s">
        <v>397</v>
      </c>
      <c r="F1" t="s">
        <v>398</v>
      </c>
      <c r="G1" t="s">
        <v>399</v>
      </c>
      <c r="H1" t="s">
        <v>400</v>
      </c>
      <c r="I1" t="s">
        <v>401</v>
      </c>
      <c r="J1" t="s">
        <v>402</v>
      </c>
      <c r="K1" t="s">
        <v>403</v>
      </c>
      <c r="L1" t="s">
        <v>404</v>
      </c>
      <c r="M1" t="s">
        <v>405</v>
      </c>
      <c r="N1" t="s">
        <v>406</v>
      </c>
      <c r="O1" t="s">
        <v>407</v>
      </c>
      <c r="P1" t="s">
        <v>408</v>
      </c>
      <c r="Q1" t="s">
        <v>409</v>
      </c>
      <c r="R1" t="s">
        <v>410</v>
      </c>
      <c r="S1" t="s">
        <v>411</v>
      </c>
      <c r="T1" t="s">
        <v>412</v>
      </c>
      <c r="U1" t="s">
        <v>413</v>
      </c>
      <c r="V1" t="s">
        <v>414</v>
      </c>
      <c r="W1" t="s">
        <v>415</v>
      </c>
      <c r="X1" t="s">
        <v>416</v>
      </c>
      <c r="Y1" t="s">
        <v>417</v>
      </c>
      <c r="Z1" t="s">
        <v>418</v>
      </c>
      <c r="AA1" t="s">
        <v>419</v>
      </c>
      <c r="AB1" t="s">
        <v>420</v>
      </c>
      <c r="AC1" t="s">
        <v>421</v>
      </c>
      <c r="AD1" t="s">
        <v>422</v>
      </c>
      <c r="AE1" t="s">
        <v>423</v>
      </c>
      <c r="AF1" t="s">
        <v>424</v>
      </c>
      <c r="AG1" t="s">
        <v>425</v>
      </c>
      <c r="AH1" t="s">
        <v>426</v>
      </c>
    </row>
    <row r="2" spans="1:34">
      <c r="A2" t="s">
        <v>427</v>
      </c>
      <c r="B2" t="s">
        <v>428</v>
      </c>
      <c r="C2">
        <v>0.51</v>
      </c>
      <c r="D2">
        <v>0</v>
      </c>
      <c r="E2">
        <v>10</v>
      </c>
      <c r="F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34">
      <c r="A3" t="s">
        <v>427</v>
      </c>
      <c r="B3" t="s">
        <v>429</v>
      </c>
      <c r="C3">
        <v>0.51</v>
      </c>
      <c r="D3">
        <v>0</v>
      </c>
      <c r="E3">
        <v>10</v>
      </c>
      <c r="F3">
        <v>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34">
      <c r="A4" t="s">
        <v>430</v>
      </c>
      <c r="B4" t="s">
        <v>431</v>
      </c>
      <c r="C4">
        <v>12.38</v>
      </c>
      <c r="D4">
        <v>12</v>
      </c>
      <c r="E4">
        <v>7</v>
      </c>
      <c r="F4">
        <v>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34">
      <c r="A5" t="s">
        <v>430</v>
      </c>
      <c r="B5" t="s">
        <v>432</v>
      </c>
      <c r="C5">
        <v>12.38</v>
      </c>
      <c r="D5">
        <v>12</v>
      </c>
      <c r="E5">
        <v>7</v>
      </c>
      <c r="F5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34">
      <c r="A6" t="s">
        <v>433</v>
      </c>
      <c r="B6" t="s">
        <v>434</v>
      </c>
      <c r="C6">
        <v>0.2</v>
      </c>
      <c r="D6">
        <v>0</v>
      </c>
      <c r="E6">
        <v>4</v>
      </c>
      <c r="F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34">
      <c r="A7" t="s">
        <v>433</v>
      </c>
      <c r="B7" t="s">
        <v>435</v>
      </c>
      <c r="C7">
        <v>0</v>
      </c>
      <c r="D7">
        <v>0</v>
      </c>
      <c r="E7">
        <v>0</v>
      </c>
      <c r="F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34">
      <c r="A8" t="s">
        <v>433</v>
      </c>
      <c r="B8" t="s">
        <v>436</v>
      </c>
      <c r="C8">
        <v>0.2</v>
      </c>
      <c r="D8">
        <v>0</v>
      </c>
      <c r="E8">
        <v>4</v>
      </c>
      <c r="F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34">
      <c r="A9" t="s">
        <v>437</v>
      </c>
      <c r="B9" t="s">
        <v>438</v>
      </c>
      <c r="C9">
        <v>0.03</v>
      </c>
      <c r="D9">
        <v>0</v>
      </c>
      <c r="E9">
        <v>0</v>
      </c>
      <c r="F9">
        <v>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34">
      <c r="A10" t="s">
        <v>437</v>
      </c>
      <c r="B10" t="s">
        <v>439</v>
      </c>
      <c r="C10">
        <v>0.23</v>
      </c>
      <c r="D10">
        <v>0</v>
      </c>
      <c r="E10">
        <v>4</v>
      </c>
      <c r="F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34">
      <c r="A11" t="s">
        <v>437</v>
      </c>
      <c r="B11" t="s">
        <v>440</v>
      </c>
      <c r="C11">
        <v>1.1000000000000001</v>
      </c>
      <c r="D11">
        <v>1</v>
      </c>
      <c r="E11">
        <v>2</v>
      </c>
      <c r="F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34">
      <c r="A12" t="s">
        <v>437</v>
      </c>
      <c r="B12" t="s">
        <v>441</v>
      </c>
      <c r="C12">
        <v>0.25</v>
      </c>
      <c r="D12">
        <v>0</v>
      </c>
      <c r="E12">
        <v>5</v>
      </c>
      <c r="F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34">
      <c r="A13" t="s">
        <v>437</v>
      </c>
      <c r="B13" t="s">
        <v>442</v>
      </c>
      <c r="C13">
        <v>1.6</v>
      </c>
      <c r="D13">
        <v>1</v>
      </c>
      <c r="E13">
        <v>12</v>
      </c>
      <c r="F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34">
      <c r="A14" t="s">
        <v>443</v>
      </c>
      <c r="B14" t="s">
        <v>444</v>
      </c>
      <c r="C14">
        <v>1.8</v>
      </c>
      <c r="D14">
        <v>1</v>
      </c>
      <c r="E14">
        <v>16</v>
      </c>
      <c r="F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34">
      <c r="A15" t="s">
        <v>443</v>
      </c>
      <c r="B15" t="s">
        <v>445</v>
      </c>
      <c r="C15">
        <v>10.58</v>
      </c>
      <c r="D15">
        <v>10</v>
      </c>
      <c r="E15">
        <v>11</v>
      </c>
      <c r="F15">
        <v>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34">
      <c r="A16" t="s">
        <v>446</v>
      </c>
      <c r="B16" t="s">
        <v>447</v>
      </c>
      <c r="C16">
        <v>0.15</v>
      </c>
      <c r="D16">
        <v>0</v>
      </c>
      <c r="E16">
        <v>3</v>
      </c>
      <c r="F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446</v>
      </c>
      <c r="B17" t="s">
        <v>191</v>
      </c>
      <c r="C17">
        <v>0.09</v>
      </c>
      <c r="D17">
        <v>0</v>
      </c>
      <c r="E17">
        <v>1</v>
      </c>
      <c r="F17">
        <v>9.25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446</v>
      </c>
      <c r="B18" t="s">
        <v>192</v>
      </c>
      <c r="C18">
        <v>7.0000000000000007E-2</v>
      </c>
      <c r="D18">
        <v>0</v>
      </c>
      <c r="E18">
        <v>1</v>
      </c>
      <c r="F18">
        <v>5.5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446</v>
      </c>
      <c r="B19" t="s">
        <v>448</v>
      </c>
      <c r="C19">
        <v>0.08</v>
      </c>
      <c r="D19">
        <v>0</v>
      </c>
      <c r="E19">
        <v>1</v>
      </c>
      <c r="F19">
        <v>6.75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446</v>
      </c>
      <c r="B20" t="s">
        <v>194</v>
      </c>
      <c r="C20">
        <v>0</v>
      </c>
      <c r="D20">
        <v>0</v>
      </c>
      <c r="E20">
        <v>0</v>
      </c>
      <c r="F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446</v>
      </c>
      <c r="B21" t="s">
        <v>195</v>
      </c>
      <c r="C21">
        <v>4.75</v>
      </c>
      <c r="D21">
        <v>4</v>
      </c>
      <c r="E21">
        <v>15</v>
      </c>
      <c r="F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446</v>
      </c>
      <c r="B22" t="s">
        <v>449</v>
      </c>
      <c r="C22">
        <v>0.23</v>
      </c>
      <c r="D22">
        <v>0</v>
      </c>
      <c r="E22">
        <v>4</v>
      </c>
      <c r="F22">
        <v>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446</v>
      </c>
      <c r="B23" t="s">
        <v>197</v>
      </c>
      <c r="C23">
        <v>0.03</v>
      </c>
      <c r="D23">
        <v>0</v>
      </c>
      <c r="E23">
        <v>0</v>
      </c>
      <c r="F23">
        <v>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446</v>
      </c>
      <c r="B24" t="s">
        <v>198</v>
      </c>
      <c r="C24">
        <v>0.25</v>
      </c>
      <c r="D24">
        <v>0</v>
      </c>
      <c r="E24">
        <v>5</v>
      </c>
      <c r="F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446</v>
      </c>
      <c r="B25" t="s">
        <v>199</v>
      </c>
      <c r="C25">
        <v>0</v>
      </c>
      <c r="D25">
        <v>0</v>
      </c>
      <c r="E25">
        <v>0</v>
      </c>
      <c r="F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446</v>
      </c>
      <c r="B26" t="s">
        <v>200</v>
      </c>
      <c r="C26">
        <v>0.23</v>
      </c>
      <c r="D26">
        <v>0</v>
      </c>
      <c r="E26">
        <v>4</v>
      </c>
      <c r="F26">
        <v>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446</v>
      </c>
      <c r="B27" t="s">
        <v>201</v>
      </c>
      <c r="C27">
        <v>0.06</v>
      </c>
      <c r="D27">
        <v>0</v>
      </c>
      <c r="E27">
        <v>1</v>
      </c>
      <c r="F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446</v>
      </c>
      <c r="B28" t="s">
        <v>202</v>
      </c>
      <c r="C28">
        <v>0.03</v>
      </c>
      <c r="D28">
        <v>0</v>
      </c>
      <c r="E28">
        <v>0</v>
      </c>
      <c r="F28">
        <v>7.5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446</v>
      </c>
      <c r="B29" t="s">
        <v>203</v>
      </c>
      <c r="C29">
        <v>0</v>
      </c>
      <c r="D29">
        <v>0</v>
      </c>
      <c r="E29">
        <v>0</v>
      </c>
      <c r="F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446</v>
      </c>
      <c r="B30" t="s">
        <v>204</v>
      </c>
      <c r="C30">
        <v>0</v>
      </c>
      <c r="D30">
        <v>0</v>
      </c>
      <c r="E30">
        <v>0</v>
      </c>
      <c r="F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446</v>
      </c>
      <c r="B31" t="s">
        <v>205</v>
      </c>
      <c r="C31">
        <v>0.04</v>
      </c>
      <c r="D31">
        <v>0</v>
      </c>
      <c r="E31">
        <v>0</v>
      </c>
      <c r="F31">
        <v>10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446</v>
      </c>
      <c r="B32" t="s">
        <v>206</v>
      </c>
      <c r="C32">
        <v>0.23</v>
      </c>
      <c r="D32">
        <v>0</v>
      </c>
      <c r="E32">
        <v>4</v>
      </c>
      <c r="F32">
        <v>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446</v>
      </c>
      <c r="B33" t="s">
        <v>207</v>
      </c>
      <c r="C33">
        <v>0</v>
      </c>
      <c r="D33">
        <v>0</v>
      </c>
      <c r="E33">
        <v>0</v>
      </c>
      <c r="F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446</v>
      </c>
      <c r="B34" t="s">
        <v>208</v>
      </c>
      <c r="C34">
        <v>1</v>
      </c>
      <c r="D34">
        <v>1</v>
      </c>
      <c r="E34">
        <v>0</v>
      </c>
      <c r="F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446</v>
      </c>
      <c r="B35" t="s">
        <v>209</v>
      </c>
      <c r="C35">
        <v>0</v>
      </c>
      <c r="D35">
        <v>0</v>
      </c>
      <c r="E35">
        <v>0</v>
      </c>
      <c r="F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446</v>
      </c>
      <c r="B36" t="s">
        <v>210</v>
      </c>
      <c r="C36">
        <v>0.72</v>
      </c>
      <c r="D36">
        <v>0</v>
      </c>
      <c r="E36">
        <v>14</v>
      </c>
      <c r="F36">
        <v>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446</v>
      </c>
      <c r="B37" t="s">
        <v>211</v>
      </c>
      <c r="C37">
        <v>0</v>
      </c>
      <c r="D37">
        <v>0</v>
      </c>
      <c r="E37">
        <v>0</v>
      </c>
      <c r="F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446</v>
      </c>
      <c r="B38" t="s">
        <v>212</v>
      </c>
      <c r="C38">
        <v>0.83</v>
      </c>
      <c r="D38">
        <v>0</v>
      </c>
      <c r="E38">
        <v>16</v>
      </c>
      <c r="F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446</v>
      </c>
      <c r="B39" t="s">
        <v>450</v>
      </c>
      <c r="C39">
        <v>8.8000000000000007</v>
      </c>
      <c r="D39">
        <v>8</v>
      </c>
      <c r="E39">
        <v>16</v>
      </c>
      <c r="F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451</v>
      </c>
      <c r="B40" t="s">
        <v>452</v>
      </c>
      <c r="C40">
        <v>0.48</v>
      </c>
      <c r="D40">
        <v>0</v>
      </c>
      <c r="E40">
        <v>9</v>
      </c>
      <c r="F40">
        <v>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451</v>
      </c>
      <c r="B41" t="s">
        <v>453</v>
      </c>
      <c r="C41">
        <v>0.25</v>
      </c>
      <c r="D41">
        <v>0</v>
      </c>
      <c r="E41">
        <v>5</v>
      </c>
      <c r="F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451</v>
      </c>
      <c r="B42" t="s">
        <v>454</v>
      </c>
      <c r="C42">
        <v>0.25</v>
      </c>
      <c r="D42">
        <v>0</v>
      </c>
      <c r="E42">
        <v>5</v>
      </c>
      <c r="F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451</v>
      </c>
      <c r="B43" t="s">
        <v>455</v>
      </c>
      <c r="C43">
        <v>0.25</v>
      </c>
      <c r="D43">
        <v>0</v>
      </c>
      <c r="E43">
        <v>5</v>
      </c>
      <c r="F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451</v>
      </c>
      <c r="B44" t="s">
        <v>456</v>
      </c>
      <c r="C44">
        <v>0.25</v>
      </c>
      <c r="D44">
        <v>0</v>
      </c>
      <c r="E44">
        <v>5</v>
      </c>
      <c r="F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451</v>
      </c>
      <c r="B45" t="s">
        <v>457</v>
      </c>
      <c r="C45">
        <v>0.2</v>
      </c>
      <c r="D45">
        <v>0</v>
      </c>
      <c r="E45">
        <v>4</v>
      </c>
      <c r="F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451</v>
      </c>
      <c r="B46" t="s">
        <v>458</v>
      </c>
      <c r="C46">
        <v>0.25</v>
      </c>
      <c r="D46">
        <v>0</v>
      </c>
      <c r="E46">
        <v>5</v>
      </c>
      <c r="F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451</v>
      </c>
      <c r="B47" t="s">
        <v>459</v>
      </c>
      <c r="C47">
        <v>0.25</v>
      </c>
      <c r="D47">
        <v>0</v>
      </c>
      <c r="E47">
        <v>5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451</v>
      </c>
      <c r="B48" t="s">
        <v>460</v>
      </c>
      <c r="C48">
        <v>0.25</v>
      </c>
      <c r="D48">
        <v>0</v>
      </c>
      <c r="E48">
        <v>5</v>
      </c>
      <c r="F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22">
      <c r="A49" t="s">
        <v>451</v>
      </c>
      <c r="B49" t="s">
        <v>461</v>
      </c>
      <c r="C49">
        <v>0.25</v>
      </c>
      <c r="D49">
        <v>0</v>
      </c>
      <c r="E49">
        <v>5</v>
      </c>
      <c r="F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22">
      <c r="A50" t="s">
        <v>451</v>
      </c>
      <c r="B50" t="s">
        <v>462</v>
      </c>
      <c r="C50">
        <v>2.67</v>
      </c>
      <c r="D50">
        <v>2</v>
      </c>
      <c r="E50">
        <v>13</v>
      </c>
      <c r="F50">
        <v>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22">
      <c r="A51" t="s">
        <v>463</v>
      </c>
      <c r="B51" t="s">
        <v>464</v>
      </c>
      <c r="C51">
        <v>0.2</v>
      </c>
      <c r="D51">
        <v>0</v>
      </c>
      <c r="E51">
        <v>4</v>
      </c>
      <c r="F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22">
      <c r="A52" t="s">
        <v>463</v>
      </c>
      <c r="B52" t="s">
        <v>465</v>
      </c>
      <c r="C52">
        <v>0.26</v>
      </c>
      <c r="D52">
        <v>0</v>
      </c>
      <c r="E52">
        <v>5</v>
      </c>
      <c r="F52">
        <v>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22">
      <c r="A53" t="s">
        <v>463</v>
      </c>
      <c r="B53" t="s">
        <v>466</v>
      </c>
      <c r="C53">
        <v>0.11</v>
      </c>
      <c r="D53">
        <v>0</v>
      </c>
      <c r="E53">
        <v>2</v>
      </c>
      <c r="F53">
        <v>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22">
      <c r="A54" t="s">
        <v>463</v>
      </c>
      <c r="B54" t="s">
        <v>467</v>
      </c>
      <c r="C54">
        <v>0.11</v>
      </c>
      <c r="D54">
        <v>0</v>
      </c>
      <c r="E54">
        <v>2</v>
      </c>
      <c r="F54">
        <v>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22">
      <c r="A55" t="s">
        <v>463</v>
      </c>
      <c r="B55" t="s">
        <v>468</v>
      </c>
      <c r="C55">
        <v>0.11</v>
      </c>
      <c r="D55">
        <v>0</v>
      </c>
      <c r="E55">
        <v>2</v>
      </c>
      <c r="F55">
        <v>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22">
      <c r="A56" t="s">
        <v>463</v>
      </c>
      <c r="B56" t="s">
        <v>469</v>
      </c>
      <c r="C56">
        <v>0.14000000000000001</v>
      </c>
      <c r="D56">
        <v>0</v>
      </c>
      <c r="E56">
        <v>2</v>
      </c>
      <c r="F56">
        <v>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22">
      <c r="A57" t="s">
        <v>463</v>
      </c>
      <c r="B57" t="s">
        <v>470</v>
      </c>
      <c r="C57">
        <v>0.94</v>
      </c>
      <c r="D57">
        <v>0</v>
      </c>
      <c r="E57">
        <v>18</v>
      </c>
      <c r="F57">
        <v>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22">
      <c r="A58" t="s">
        <v>471</v>
      </c>
      <c r="B58" t="s">
        <v>472</v>
      </c>
      <c r="C58">
        <v>0.67</v>
      </c>
      <c r="D58">
        <v>0</v>
      </c>
      <c r="E58">
        <v>13</v>
      </c>
      <c r="F58">
        <v>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22">
      <c r="A59" t="s">
        <v>471</v>
      </c>
      <c r="B59" t="s">
        <v>473</v>
      </c>
      <c r="C59">
        <v>0</v>
      </c>
      <c r="D59">
        <v>0</v>
      </c>
      <c r="E59">
        <v>0</v>
      </c>
      <c r="F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22">
      <c r="A60" t="s">
        <v>471</v>
      </c>
      <c r="B60" t="s">
        <v>474</v>
      </c>
      <c r="C60">
        <v>0.43</v>
      </c>
      <c r="D60">
        <v>0</v>
      </c>
      <c r="E60">
        <v>8</v>
      </c>
      <c r="F60">
        <v>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22">
      <c r="A61" t="s">
        <v>471</v>
      </c>
      <c r="B61" t="s">
        <v>475</v>
      </c>
      <c r="C61">
        <v>0</v>
      </c>
      <c r="D61">
        <v>0</v>
      </c>
      <c r="E61">
        <v>0</v>
      </c>
      <c r="F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22">
      <c r="A62" t="s">
        <v>471</v>
      </c>
      <c r="B62" t="s">
        <v>476</v>
      </c>
      <c r="C62">
        <v>0.62</v>
      </c>
      <c r="D62">
        <v>0</v>
      </c>
      <c r="E62">
        <v>12</v>
      </c>
      <c r="F62">
        <v>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22">
      <c r="A63" t="s">
        <v>471</v>
      </c>
      <c r="B63" t="s">
        <v>477</v>
      </c>
      <c r="C63">
        <v>1.72</v>
      </c>
      <c r="D63">
        <v>1</v>
      </c>
      <c r="E63">
        <v>14</v>
      </c>
      <c r="F63">
        <v>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22">
      <c r="A64" t="s">
        <v>478</v>
      </c>
      <c r="B64" t="s">
        <v>479</v>
      </c>
      <c r="C64">
        <v>17.82</v>
      </c>
      <c r="D64">
        <v>17</v>
      </c>
      <c r="E64">
        <v>16</v>
      </c>
      <c r="F64">
        <v>3.75</v>
      </c>
      <c r="G64" t="s">
        <v>480</v>
      </c>
      <c r="H64">
        <v>36</v>
      </c>
      <c r="I64">
        <v>6.5</v>
      </c>
      <c r="J64">
        <v>36.81</v>
      </c>
      <c r="K64">
        <v>36.81</v>
      </c>
      <c r="L64">
        <v>0</v>
      </c>
      <c r="M64">
        <v>36</v>
      </c>
      <c r="N64">
        <v>6.5</v>
      </c>
      <c r="O64">
        <v>25</v>
      </c>
      <c r="P64">
        <v>0</v>
      </c>
      <c r="Q64">
        <v>11</v>
      </c>
      <c r="R64">
        <v>6.5</v>
      </c>
      <c r="S64">
        <v>10</v>
      </c>
      <c r="T64">
        <v>0</v>
      </c>
      <c r="U64">
        <v>9</v>
      </c>
      <c r="V64">
        <v>0</v>
      </c>
    </row>
    <row r="65" spans="1:20">
      <c r="A65" t="s">
        <v>478</v>
      </c>
      <c r="B65" t="s">
        <v>217</v>
      </c>
      <c r="C65">
        <v>1.2</v>
      </c>
      <c r="D65">
        <v>1</v>
      </c>
      <c r="E65">
        <v>4</v>
      </c>
      <c r="F65">
        <v>0</v>
      </c>
      <c r="G65" t="s">
        <v>481</v>
      </c>
      <c r="H65">
        <v>4</v>
      </c>
      <c r="I65">
        <v>0</v>
      </c>
      <c r="J65">
        <v>4</v>
      </c>
      <c r="K65">
        <v>4</v>
      </c>
      <c r="L65">
        <v>0</v>
      </c>
      <c r="M65">
        <v>4</v>
      </c>
      <c r="N65">
        <v>0</v>
      </c>
    </row>
    <row r="66" spans="1:20">
      <c r="A66" t="s">
        <v>478</v>
      </c>
      <c r="B66" t="s">
        <v>482</v>
      </c>
      <c r="C66">
        <v>11.44</v>
      </c>
      <c r="D66">
        <v>11</v>
      </c>
      <c r="E66">
        <v>8</v>
      </c>
      <c r="F66">
        <v>9</v>
      </c>
      <c r="G66" t="s">
        <v>483</v>
      </c>
      <c r="H66">
        <v>38</v>
      </c>
      <c r="I66">
        <v>1</v>
      </c>
      <c r="J66">
        <v>38.119999999999997</v>
      </c>
      <c r="K66">
        <v>38.119999999999997</v>
      </c>
      <c r="L66">
        <v>0</v>
      </c>
      <c r="M66">
        <v>38</v>
      </c>
      <c r="N66">
        <v>1</v>
      </c>
      <c r="S66">
        <v>6</v>
      </c>
      <c r="T66">
        <v>0</v>
      </c>
    </row>
    <row r="67" spans="1:20">
      <c r="A67" t="s">
        <v>478</v>
      </c>
      <c r="B67" t="s">
        <v>484</v>
      </c>
      <c r="C67">
        <v>0.77</v>
      </c>
      <c r="D67">
        <v>0</v>
      </c>
      <c r="E67">
        <v>15</v>
      </c>
      <c r="F67">
        <v>5</v>
      </c>
      <c r="G67" t="s">
        <v>485</v>
      </c>
      <c r="H67">
        <v>4</v>
      </c>
      <c r="I67">
        <v>5</v>
      </c>
      <c r="J67">
        <v>4.62</v>
      </c>
      <c r="K67">
        <v>4.62</v>
      </c>
      <c r="L67">
        <v>0</v>
      </c>
      <c r="M67">
        <v>4</v>
      </c>
      <c r="N67">
        <v>5</v>
      </c>
      <c r="S67">
        <v>3</v>
      </c>
      <c r="T67">
        <v>4</v>
      </c>
    </row>
    <row r="68" spans="1:20">
      <c r="A68" t="s">
        <v>478</v>
      </c>
      <c r="B68" t="s">
        <v>486</v>
      </c>
      <c r="C68">
        <v>0.72</v>
      </c>
      <c r="D68">
        <v>0</v>
      </c>
      <c r="E68">
        <v>14</v>
      </c>
      <c r="F68">
        <v>4</v>
      </c>
      <c r="G68" t="s">
        <v>487</v>
      </c>
      <c r="H68">
        <v>2</v>
      </c>
      <c r="I68">
        <v>5</v>
      </c>
      <c r="J68">
        <v>2.62</v>
      </c>
      <c r="K68">
        <v>2.62</v>
      </c>
      <c r="L68">
        <v>0</v>
      </c>
      <c r="M68">
        <v>2</v>
      </c>
      <c r="N68">
        <v>5</v>
      </c>
      <c r="S68">
        <v>5</v>
      </c>
      <c r="T68">
        <v>4</v>
      </c>
    </row>
    <row r="69" spans="1:20">
      <c r="A69" t="s">
        <v>478</v>
      </c>
      <c r="B69" t="s">
        <v>488</v>
      </c>
      <c r="C69">
        <v>0.88</v>
      </c>
      <c r="D69">
        <v>0</v>
      </c>
      <c r="E69">
        <v>17</v>
      </c>
      <c r="F69">
        <v>6</v>
      </c>
      <c r="G69" t="s">
        <v>489</v>
      </c>
      <c r="H69">
        <v>3</v>
      </c>
      <c r="I69">
        <v>3</v>
      </c>
      <c r="J69">
        <v>3.38</v>
      </c>
      <c r="K69">
        <v>3.38</v>
      </c>
      <c r="L69">
        <v>0</v>
      </c>
      <c r="M69">
        <v>3</v>
      </c>
      <c r="N69">
        <v>3</v>
      </c>
      <c r="S69">
        <v>5</v>
      </c>
      <c r="T69">
        <v>0</v>
      </c>
    </row>
    <row r="70" spans="1:20">
      <c r="A70" t="s">
        <v>478</v>
      </c>
      <c r="B70" t="s">
        <v>490</v>
      </c>
      <c r="C70">
        <v>32.799999999999997</v>
      </c>
      <c r="D70">
        <v>32</v>
      </c>
      <c r="E70">
        <v>15</v>
      </c>
      <c r="F70">
        <v>11.75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20">
      <c r="A71" t="s">
        <v>491</v>
      </c>
      <c r="B71" t="s">
        <v>492</v>
      </c>
      <c r="C71">
        <v>1.33</v>
      </c>
      <c r="D71">
        <v>1</v>
      </c>
      <c r="E71">
        <v>6</v>
      </c>
      <c r="F71">
        <v>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20">
      <c r="A72" t="s">
        <v>491</v>
      </c>
      <c r="B72" t="s">
        <v>225</v>
      </c>
      <c r="C72">
        <v>0.4</v>
      </c>
      <c r="D72">
        <v>0</v>
      </c>
      <c r="E72">
        <v>8</v>
      </c>
      <c r="F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20">
      <c r="A73" t="s">
        <v>491</v>
      </c>
      <c r="B73" t="s">
        <v>226</v>
      </c>
      <c r="C73">
        <v>0.35</v>
      </c>
      <c r="D73">
        <v>0</v>
      </c>
      <c r="E73">
        <v>7</v>
      </c>
      <c r="F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20">
      <c r="A74" t="s">
        <v>491</v>
      </c>
      <c r="B74" t="s">
        <v>227</v>
      </c>
      <c r="C74">
        <v>2.92</v>
      </c>
      <c r="D74">
        <v>2</v>
      </c>
      <c r="E74">
        <v>18</v>
      </c>
      <c r="F74">
        <v>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20">
      <c r="A75" t="s">
        <v>491</v>
      </c>
      <c r="B75" t="s">
        <v>228</v>
      </c>
      <c r="C75">
        <v>3.73</v>
      </c>
      <c r="D75">
        <v>3</v>
      </c>
      <c r="E75">
        <v>14</v>
      </c>
      <c r="F75">
        <v>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20">
      <c r="A76" t="s">
        <v>491</v>
      </c>
      <c r="B76" t="s">
        <v>229</v>
      </c>
      <c r="C76">
        <v>0.53</v>
      </c>
      <c r="D76">
        <v>0</v>
      </c>
      <c r="E76">
        <v>10</v>
      </c>
      <c r="F76">
        <v>7.5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20">
      <c r="A77" t="s">
        <v>491</v>
      </c>
      <c r="B77" t="s">
        <v>230</v>
      </c>
      <c r="C77">
        <v>0.37</v>
      </c>
      <c r="D77">
        <v>0</v>
      </c>
      <c r="E77">
        <v>7</v>
      </c>
      <c r="F77">
        <v>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20">
      <c r="A78" t="s">
        <v>491</v>
      </c>
      <c r="B78" t="s">
        <v>231</v>
      </c>
      <c r="C78">
        <v>0.42</v>
      </c>
      <c r="D78">
        <v>0</v>
      </c>
      <c r="E78">
        <v>8</v>
      </c>
      <c r="F78">
        <v>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20">
      <c r="A79" t="s">
        <v>491</v>
      </c>
      <c r="B79" t="s">
        <v>493</v>
      </c>
      <c r="C79">
        <v>10</v>
      </c>
      <c r="D79">
        <v>10</v>
      </c>
      <c r="E79">
        <v>0</v>
      </c>
      <c r="F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20">
      <c r="A80" t="s">
        <v>494</v>
      </c>
      <c r="B80" t="s">
        <v>495</v>
      </c>
      <c r="C80">
        <v>0.15</v>
      </c>
      <c r="D80">
        <v>0</v>
      </c>
      <c r="E80">
        <v>3</v>
      </c>
      <c r="F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494</v>
      </c>
      <c r="B81" t="s">
        <v>496</v>
      </c>
      <c r="C81">
        <v>0.15</v>
      </c>
      <c r="D81">
        <v>0</v>
      </c>
      <c r="E81">
        <v>3</v>
      </c>
      <c r="F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494</v>
      </c>
      <c r="B82" t="s">
        <v>497</v>
      </c>
      <c r="C82">
        <v>0.1</v>
      </c>
      <c r="D82">
        <v>0</v>
      </c>
      <c r="E82">
        <v>2</v>
      </c>
      <c r="F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494</v>
      </c>
      <c r="B83" t="s">
        <v>498</v>
      </c>
      <c r="C83">
        <v>0.4</v>
      </c>
      <c r="D83">
        <v>0</v>
      </c>
      <c r="E83">
        <v>8</v>
      </c>
      <c r="F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494</v>
      </c>
      <c r="B84" t="s">
        <v>499</v>
      </c>
      <c r="C84">
        <v>0.05</v>
      </c>
      <c r="D84">
        <v>0</v>
      </c>
      <c r="E84">
        <v>1</v>
      </c>
      <c r="F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494</v>
      </c>
      <c r="B85" t="s">
        <v>500</v>
      </c>
      <c r="C85">
        <v>0.85</v>
      </c>
      <c r="D85">
        <v>0</v>
      </c>
      <c r="E85">
        <v>17</v>
      </c>
      <c r="F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501</v>
      </c>
      <c r="B86" t="s">
        <v>502</v>
      </c>
      <c r="C86">
        <v>0.14000000000000001</v>
      </c>
      <c r="D86">
        <v>0</v>
      </c>
      <c r="E86">
        <v>2</v>
      </c>
      <c r="F86">
        <v>10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501</v>
      </c>
      <c r="B87" t="s">
        <v>503</v>
      </c>
      <c r="C87">
        <v>0.01</v>
      </c>
      <c r="D87">
        <v>0</v>
      </c>
      <c r="E87">
        <v>0</v>
      </c>
      <c r="F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501</v>
      </c>
      <c r="B88" t="s">
        <v>504</v>
      </c>
      <c r="C88">
        <v>0.09</v>
      </c>
      <c r="D88">
        <v>0</v>
      </c>
      <c r="E88">
        <v>1</v>
      </c>
      <c r="F88">
        <v>10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501</v>
      </c>
      <c r="B89" t="s">
        <v>505</v>
      </c>
      <c r="C89">
        <v>0.35</v>
      </c>
      <c r="D89">
        <v>0</v>
      </c>
      <c r="E89">
        <v>7</v>
      </c>
      <c r="F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501</v>
      </c>
      <c r="B90" t="s">
        <v>506</v>
      </c>
      <c r="C90">
        <v>1.1499999999999999</v>
      </c>
      <c r="D90">
        <v>1</v>
      </c>
      <c r="E90">
        <v>2</v>
      </c>
      <c r="F90">
        <v>11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507</v>
      </c>
      <c r="B91" t="s">
        <v>508</v>
      </c>
      <c r="C91">
        <v>3.9</v>
      </c>
      <c r="D91">
        <v>3</v>
      </c>
      <c r="E91">
        <v>18</v>
      </c>
      <c r="F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507</v>
      </c>
      <c r="B92" t="s">
        <v>509</v>
      </c>
      <c r="C92">
        <v>0.5</v>
      </c>
      <c r="D92">
        <v>0</v>
      </c>
      <c r="E92">
        <v>10</v>
      </c>
      <c r="F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507</v>
      </c>
      <c r="B93" t="s">
        <v>510</v>
      </c>
      <c r="C93">
        <v>4.4000000000000004</v>
      </c>
      <c r="D93">
        <v>4</v>
      </c>
      <c r="E93">
        <v>8</v>
      </c>
      <c r="F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511</v>
      </c>
      <c r="B94" t="s">
        <v>512</v>
      </c>
      <c r="C94">
        <v>0.5</v>
      </c>
      <c r="D94">
        <v>0</v>
      </c>
      <c r="E94">
        <v>10</v>
      </c>
      <c r="F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511</v>
      </c>
      <c r="B95" t="s">
        <v>513</v>
      </c>
      <c r="C95">
        <v>0.5</v>
      </c>
      <c r="D95">
        <v>0</v>
      </c>
      <c r="E95">
        <v>10</v>
      </c>
      <c r="F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514</v>
      </c>
      <c r="B96" t="s">
        <v>515</v>
      </c>
      <c r="C96">
        <v>6.64</v>
      </c>
      <c r="D96">
        <v>6</v>
      </c>
      <c r="E96">
        <v>12</v>
      </c>
      <c r="F96">
        <v>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514</v>
      </c>
      <c r="B97" t="s">
        <v>516</v>
      </c>
      <c r="C97">
        <v>612</v>
      </c>
      <c r="D97">
        <v>612</v>
      </c>
      <c r="E97">
        <v>0</v>
      </c>
      <c r="F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517</v>
      </c>
      <c r="B98" t="s">
        <v>518</v>
      </c>
      <c r="C98">
        <v>81.569999999999993</v>
      </c>
      <c r="D98">
        <v>81</v>
      </c>
      <c r="E98">
        <v>11</v>
      </c>
      <c r="F98">
        <v>4.75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519</v>
      </c>
      <c r="B99" t="s">
        <v>520</v>
      </c>
      <c r="C99">
        <v>0.8</v>
      </c>
      <c r="D99">
        <v>0</v>
      </c>
      <c r="E99">
        <v>16</v>
      </c>
      <c r="F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519</v>
      </c>
      <c r="B100" t="s">
        <v>248</v>
      </c>
      <c r="C100">
        <v>0.2</v>
      </c>
      <c r="D100">
        <v>0</v>
      </c>
      <c r="E100">
        <v>4</v>
      </c>
      <c r="F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519</v>
      </c>
      <c r="B101" t="s">
        <v>249</v>
      </c>
      <c r="C101">
        <v>0.04</v>
      </c>
      <c r="D101">
        <v>0</v>
      </c>
      <c r="E101">
        <v>0</v>
      </c>
      <c r="F101">
        <v>10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519</v>
      </c>
      <c r="B102" t="s">
        <v>250</v>
      </c>
      <c r="C102">
        <v>0.03</v>
      </c>
      <c r="D102">
        <v>0</v>
      </c>
      <c r="E102">
        <v>0</v>
      </c>
      <c r="F102">
        <v>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519</v>
      </c>
      <c r="B103" t="s">
        <v>251</v>
      </c>
      <c r="C103">
        <v>0.03</v>
      </c>
      <c r="D103">
        <v>0</v>
      </c>
      <c r="E103">
        <v>0</v>
      </c>
      <c r="F103">
        <v>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519</v>
      </c>
      <c r="B104" t="s">
        <v>252</v>
      </c>
      <c r="C104">
        <v>0.08</v>
      </c>
      <c r="D104">
        <v>0</v>
      </c>
      <c r="E104">
        <v>1</v>
      </c>
      <c r="F104">
        <v>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519</v>
      </c>
      <c r="B105" t="s">
        <v>253</v>
      </c>
      <c r="C105">
        <v>0.03</v>
      </c>
      <c r="D105">
        <v>0</v>
      </c>
      <c r="E105">
        <v>0</v>
      </c>
      <c r="F105">
        <v>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519</v>
      </c>
      <c r="B106" t="s">
        <v>254</v>
      </c>
      <c r="C106">
        <v>7.0000000000000007E-2</v>
      </c>
      <c r="D106">
        <v>0</v>
      </c>
      <c r="E106">
        <v>1</v>
      </c>
      <c r="F106">
        <v>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519</v>
      </c>
      <c r="B107" t="s">
        <v>255</v>
      </c>
      <c r="C107">
        <v>0.33</v>
      </c>
      <c r="D107">
        <v>0</v>
      </c>
      <c r="E107">
        <v>6</v>
      </c>
      <c r="F107">
        <v>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519</v>
      </c>
      <c r="B108" t="s">
        <v>256</v>
      </c>
      <c r="C108">
        <v>0.67</v>
      </c>
      <c r="D108">
        <v>0</v>
      </c>
      <c r="E108">
        <v>13</v>
      </c>
      <c r="F108">
        <v>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519</v>
      </c>
      <c r="B109" t="s">
        <v>257</v>
      </c>
      <c r="C109">
        <v>0.11</v>
      </c>
      <c r="D109">
        <v>0</v>
      </c>
      <c r="E109">
        <v>2</v>
      </c>
      <c r="F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519</v>
      </c>
      <c r="B110" t="s">
        <v>521</v>
      </c>
      <c r="C110">
        <v>2.38</v>
      </c>
      <c r="D110">
        <v>2</v>
      </c>
      <c r="E110">
        <v>7</v>
      </c>
      <c r="F110">
        <v>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522</v>
      </c>
      <c r="B111" t="s">
        <v>523</v>
      </c>
      <c r="C111">
        <v>0.04</v>
      </c>
      <c r="D111">
        <v>0</v>
      </c>
      <c r="E111">
        <v>0</v>
      </c>
      <c r="F111">
        <v>10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522</v>
      </c>
      <c r="B112" t="s">
        <v>261</v>
      </c>
      <c r="C112">
        <v>0.01</v>
      </c>
      <c r="D112">
        <v>0</v>
      </c>
      <c r="E112">
        <v>0</v>
      </c>
      <c r="F112">
        <v>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522</v>
      </c>
      <c r="B113" t="s">
        <v>262</v>
      </c>
      <c r="C113">
        <v>0.02</v>
      </c>
      <c r="D113">
        <v>0</v>
      </c>
      <c r="E113">
        <v>0</v>
      </c>
      <c r="F113">
        <v>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522</v>
      </c>
      <c r="B114" t="s">
        <v>263</v>
      </c>
      <c r="C114">
        <v>0.02</v>
      </c>
      <c r="D114">
        <v>0</v>
      </c>
      <c r="E114">
        <v>0</v>
      </c>
      <c r="F114">
        <v>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522</v>
      </c>
      <c r="B115" t="s">
        <v>264</v>
      </c>
      <c r="C115">
        <v>0.01</v>
      </c>
      <c r="D115">
        <v>0</v>
      </c>
      <c r="E115">
        <v>0</v>
      </c>
      <c r="F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522</v>
      </c>
      <c r="B116" t="s">
        <v>265</v>
      </c>
      <c r="C116">
        <v>0.15</v>
      </c>
      <c r="D116">
        <v>0</v>
      </c>
      <c r="E116">
        <v>3</v>
      </c>
      <c r="F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522</v>
      </c>
      <c r="B117" t="s">
        <v>266</v>
      </c>
      <c r="C117">
        <v>0.33</v>
      </c>
      <c r="D117">
        <v>0</v>
      </c>
      <c r="E117">
        <v>6</v>
      </c>
      <c r="F117">
        <v>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522</v>
      </c>
      <c r="B118" t="s">
        <v>524</v>
      </c>
      <c r="C118">
        <v>0.57999999999999996</v>
      </c>
      <c r="D118">
        <v>0</v>
      </c>
      <c r="E118">
        <v>11</v>
      </c>
      <c r="F118">
        <v>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525</v>
      </c>
      <c r="B119" t="s">
        <v>526</v>
      </c>
      <c r="C119">
        <v>1.3</v>
      </c>
      <c r="D119">
        <v>1</v>
      </c>
      <c r="E119">
        <v>6</v>
      </c>
      <c r="F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525</v>
      </c>
      <c r="B120" t="s">
        <v>271</v>
      </c>
      <c r="C120">
        <v>1.44</v>
      </c>
      <c r="D120">
        <v>1</v>
      </c>
      <c r="E120">
        <v>8</v>
      </c>
      <c r="F120">
        <v>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525</v>
      </c>
      <c r="B121" t="s">
        <v>527</v>
      </c>
      <c r="C121">
        <v>2.77</v>
      </c>
      <c r="D121">
        <v>2</v>
      </c>
      <c r="E121">
        <v>15</v>
      </c>
      <c r="F121">
        <v>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528</v>
      </c>
      <c r="B122" t="s">
        <v>529</v>
      </c>
      <c r="C122">
        <v>0.05</v>
      </c>
      <c r="D122">
        <v>0</v>
      </c>
      <c r="E122">
        <v>1</v>
      </c>
      <c r="F122">
        <v>0</v>
      </c>
      <c r="H122">
        <v>0</v>
      </c>
      <c r="I122">
        <v>2</v>
      </c>
      <c r="J122">
        <v>0.25</v>
      </c>
      <c r="K122">
        <v>0.25</v>
      </c>
      <c r="L122">
        <v>0</v>
      </c>
      <c r="M122">
        <v>0</v>
      </c>
      <c r="N122">
        <v>2</v>
      </c>
    </row>
    <row r="123" spans="1:14">
      <c r="A123" t="s">
        <v>528</v>
      </c>
      <c r="B123" t="s">
        <v>275</v>
      </c>
      <c r="C123">
        <v>0.01</v>
      </c>
      <c r="D123">
        <v>0</v>
      </c>
      <c r="E123">
        <v>0</v>
      </c>
      <c r="F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528</v>
      </c>
      <c r="B124" t="s">
        <v>276</v>
      </c>
      <c r="C124">
        <v>0.01</v>
      </c>
      <c r="D124">
        <v>0</v>
      </c>
      <c r="E124">
        <v>0</v>
      </c>
      <c r="F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528</v>
      </c>
      <c r="B125" t="s">
        <v>277</v>
      </c>
      <c r="C125">
        <v>0.1</v>
      </c>
      <c r="D125">
        <v>0</v>
      </c>
      <c r="E125">
        <v>2</v>
      </c>
      <c r="F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528</v>
      </c>
      <c r="B126" t="s">
        <v>530</v>
      </c>
      <c r="C126">
        <v>0.17</v>
      </c>
      <c r="D126">
        <v>0</v>
      </c>
      <c r="E126">
        <v>3</v>
      </c>
      <c r="F126">
        <v>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531</v>
      </c>
      <c r="B127" t="s">
        <v>532</v>
      </c>
      <c r="C127">
        <v>0.28000000000000003</v>
      </c>
      <c r="D127">
        <v>0</v>
      </c>
      <c r="E127">
        <v>5</v>
      </c>
      <c r="F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531</v>
      </c>
      <c r="B128" t="s">
        <v>533</v>
      </c>
      <c r="C128">
        <v>0.4</v>
      </c>
      <c r="D128">
        <v>0</v>
      </c>
      <c r="E128">
        <v>8</v>
      </c>
      <c r="F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531</v>
      </c>
      <c r="B129" t="s">
        <v>534</v>
      </c>
      <c r="C129">
        <v>0.05</v>
      </c>
      <c r="D129">
        <v>0</v>
      </c>
      <c r="E129">
        <v>1</v>
      </c>
      <c r="F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531</v>
      </c>
      <c r="B130" t="s">
        <v>535</v>
      </c>
      <c r="C130">
        <v>0</v>
      </c>
      <c r="D130">
        <v>0</v>
      </c>
      <c r="E130">
        <v>0</v>
      </c>
      <c r="F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531</v>
      </c>
      <c r="B131" t="s">
        <v>536</v>
      </c>
      <c r="C131">
        <v>0.26</v>
      </c>
      <c r="D131">
        <v>0</v>
      </c>
      <c r="E131">
        <v>5</v>
      </c>
      <c r="F131">
        <v>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531</v>
      </c>
      <c r="B132" t="s">
        <v>537</v>
      </c>
      <c r="C132">
        <v>0.05</v>
      </c>
      <c r="D132">
        <v>0</v>
      </c>
      <c r="E132">
        <v>1</v>
      </c>
      <c r="F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531</v>
      </c>
      <c r="B133" t="s">
        <v>538</v>
      </c>
      <c r="C133">
        <v>0.05</v>
      </c>
      <c r="D133">
        <v>0</v>
      </c>
      <c r="E133">
        <v>1</v>
      </c>
      <c r="F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531</v>
      </c>
      <c r="B134" t="s">
        <v>539</v>
      </c>
      <c r="C134">
        <v>0.03</v>
      </c>
      <c r="D134">
        <v>0</v>
      </c>
      <c r="E134">
        <v>0</v>
      </c>
      <c r="F134">
        <v>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531</v>
      </c>
      <c r="B135" t="s">
        <v>540</v>
      </c>
      <c r="C135">
        <v>1</v>
      </c>
      <c r="D135">
        <v>1</v>
      </c>
      <c r="E135">
        <v>0</v>
      </c>
      <c r="F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531</v>
      </c>
      <c r="B136" t="s">
        <v>541</v>
      </c>
      <c r="C136">
        <v>2.17</v>
      </c>
      <c r="D136">
        <v>2</v>
      </c>
      <c r="E136">
        <v>3</v>
      </c>
      <c r="F136">
        <v>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542</v>
      </c>
      <c r="B137" t="s">
        <v>543</v>
      </c>
      <c r="C137">
        <v>0.09</v>
      </c>
      <c r="D137">
        <v>0</v>
      </c>
      <c r="E137">
        <v>1</v>
      </c>
      <c r="F137">
        <v>10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542</v>
      </c>
      <c r="B138" t="s">
        <v>282</v>
      </c>
      <c r="C138">
        <v>0.34</v>
      </c>
      <c r="D138">
        <v>0</v>
      </c>
      <c r="E138">
        <v>6</v>
      </c>
      <c r="F138">
        <v>10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542</v>
      </c>
      <c r="B139" t="s">
        <v>283</v>
      </c>
      <c r="C139">
        <v>0.05</v>
      </c>
      <c r="D139">
        <v>0</v>
      </c>
      <c r="E139">
        <v>1</v>
      </c>
      <c r="F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542</v>
      </c>
      <c r="B140" t="s">
        <v>544</v>
      </c>
      <c r="C140">
        <v>0.12</v>
      </c>
      <c r="D140">
        <v>0</v>
      </c>
      <c r="E140">
        <v>2</v>
      </c>
      <c r="F140">
        <v>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542</v>
      </c>
      <c r="B141" t="s">
        <v>285</v>
      </c>
      <c r="C141">
        <v>0.02</v>
      </c>
      <c r="D141">
        <v>0</v>
      </c>
      <c r="E141">
        <v>0</v>
      </c>
      <c r="F141">
        <v>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542</v>
      </c>
      <c r="B142" t="s">
        <v>545</v>
      </c>
      <c r="C142">
        <v>0.08</v>
      </c>
      <c r="D142">
        <v>0</v>
      </c>
      <c r="E142">
        <v>1</v>
      </c>
      <c r="F142">
        <v>8</v>
      </c>
      <c r="H142">
        <v>44</v>
      </c>
      <c r="I142">
        <v>0</v>
      </c>
      <c r="J142">
        <v>44</v>
      </c>
      <c r="K142">
        <v>44</v>
      </c>
      <c r="L142">
        <v>0</v>
      </c>
      <c r="M142">
        <v>44</v>
      </c>
      <c r="N142">
        <v>0</v>
      </c>
    </row>
    <row r="143" spans="1:14">
      <c r="A143" t="s">
        <v>542</v>
      </c>
      <c r="B143" t="s">
        <v>287</v>
      </c>
      <c r="C143">
        <v>0.02</v>
      </c>
      <c r="D143">
        <v>0</v>
      </c>
      <c r="E143">
        <v>0</v>
      </c>
      <c r="F143">
        <v>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542</v>
      </c>
      <c r="B144" t="s">
        <v>288</v>
      </c>
      <c r="C144">
        <v>0.02</v>
      </c>
      <c r="D144">
        <v>0</v>
      </c>
      <c r="E144">
        <v>0</v>
      </c>
      <c r="F144">
        <v>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6">
      <c r="A145" t="s">
        <v>542</v>
      </c>
      <c r="B145" t="s">
        <v>546</v>
      </c>
      <c r="C145">
        <v>0.75</v>
      </c>
      <c r="D145">
        <v>0</v>
      </c>
      <c r="E145">
        <v>15</v>
      </c>
      <c r="F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6">
      <c r="A146" t="s">
        <v>547</v>
      </c>
      <c r="B146" t="s">
        <v>548</v>
      </c>
      <c r="C146">
        <v>0.66</v>
      </c>
      <c r="D146">
        <v>0</v>
      </c>
      <c r="E146">
        <v>13</v>
      </c>
      <c r="F146">
        <v>3</v>
      </c>
      <c r="G146" t="s">
        <v>549</v>
      </c>
      <c r="H146">
        <v>4</v>
      </c>
      <c r="I146">
        <v>1</v>
      </c>
      <c r="J146">
        <v>4.12</v>
      </c>
      <c r="K146">
        <v>49.12</v>
      </c>
      <c r="L146">
        <v>-45</v>
      </c>
      <c r="M146">
        <v>49</v>
      </c>
      <c r="N146">
        <v>1</v>
      </c>
      <c r="O146">
        <v>4</v>
      </c>
      <c r="P146">
        <v>0</v>
      </c>
    </row>
    <row r="147" spans="1:16">
      <c r="A147" t="s">
        <v>547</v>
      </c>
      <c r="B147" t="s">
        <v>550</v>
      </c>
      <c r="C147">
        <v>0.88</v>
      </c>
      <c r="D147">
        <v>0</v>
      </c>
      <c r="E147">
        <v>17</v>
      </c>
      <c r="F147">
        <v>8.25</v>
      </c>
      <c r="G147" t="s">
        <v>483</v>
      </c>
      <c r="H147">
        <v>106</v>
      </c>
      <c r="I147">
        <v>1</v>
      </c>
      <c r="J147">
        <v>106.12</v>
      </c>
      <c r="K147">
        <v>106.12</v>
      </c>
      <c r="L147">
        <v>0</v>
      </c>
      <c r="M147">
        <v>106</v>
      </c>
      <c r="N147">
        <v>1</v>
      </c>
    </row>
    <row r="148" spans="1:16">
      <c r="A148" t="s">
        <v>547</v>
      </c>
      <c r="B148" t="s">
        <v>551</v>
      </c>
      <c r="C148">
        <v>0.13</v>
      </c>
      <c r="D148">
        <v>0</v>
      </c>
      <c r="E148">
        <v>2</v>
      </c>
      <c r="F148">
        <v>6.75</v>
      </c>
      <c r="G148" t="s">
        <v>485</v>
      </c>
      <c r="H148">
        <v>20</v>
      </c>
      <c r="I148">
        <v>4</v>
      </c>
      <c r="J148">
        <v>20.5</v>
      </c>
      <c r="K148">
        <v>20.5</v>
      </c>
      <c r="L148">
        <v>0</v>
      </c>
      <c r="M148">
        <v>20</v>
      </c>
      <c r="N148">
        <v>4</v>
      </c>
    </row>
    <row r="149" spans="1:16">
      <c r="A149" t="s">
        <v>547</v>
      </c>
      <c r="B149" t="s">
        <v>294</v>
      </c>
      <c r="C149">
        <v>0.2</v>
      </c>
      <c r="D149">
        <v>0</v>
      </c>
      <c r="E149">
        <v>3</v>
      </c>
      <c r="F149">
        <v>11.75</v>
      </c>
      <c r="H149">
        <v>4</v>
      </c>
      <c r="I149">
        <v>3</v>
      </c>
      <c r="J149">
        <v>4.38</v>
      </c>
      <c r="K149">
        <v>191.38</v>
      </c>
      <c r="L149">
        <v>-187</v>
      </c>
      <c r="M149">
        <v>191</v>
      </c>
      <c r="N149">
        <v>3</v>
      </c>
      <c r="O149">
        <v>4</v>
      </c>
      <c r="P149">
        <v>0</v>
      </c>
    </row>
    <row r="150" spans="1:16">
      <c r="A150" t="s">
        <v>547</v>
      </c>
      <c r="B150" t="s">
        <v>552</v>
      </c>
      <c r="C150">
        <v>1.87</v>
      </c>
      <c r="D150">
        <v>1</v>
      </c>
      <c r="E150">
        <v>17</v>
      </c>
      <c r="F150">
        <v>5.5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6">
      <c r="A151" t="s">
        <v>553</v>
      </c>
      <c r="B151" t="s">
        <v>554</v>
      </c>
      <c r="C151">
        <v>0.03</v>
      </c>
      <c r="D151">
        <v>0</v>
      </c>
      <c r="E151">
        <v>0</v>
      </c>
      <c r="F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6">
      <c r="A152" t="s">
        <v>553</v>
      </c>
      <c r="B152" t="s">
        <v>555</v>
      </c>
      <c r="C152">
        <v>0</v>
      </c>
      <c r="D152">
        <v>0</v>
      </c>
      <c r="E152">
        <v>0</v>
      </c>
      <c r="F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6">
      <c r="A153" t="s">
        <v>553</v>
      </c>
      <c r="B153" t="s">
        <v>556</v>
      </c>
      <c r="C153">
        <v>0.05</v>
      </c>
      <c r="D153">
        <v>0</v>
      </c>
      <c r="E153">
        <v>1</v>
      </c>
      <c r="F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6">
      <c r="A154" t="s">
        <v>553</v>
      </c>
      <c r="B154" t="s">
        <v>557</v>
      </c>
      <c r="C154">
        <v>0.08</v>
      </c>
      <c r="D154">
        <v>0</v>
      </c>
      <c r="E154">
        <v>1</v>
      </c>
      <c r="F154">
        <v>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6">
      <c r="A155" t="s">
        <v>558</v>
      </c>
      <c r="B155" t="s">
        <v>559</v>
      </c>
      <c r="C155">
        <v>0.35</v>
      </c>
      <c r="D155">
        <v>0</v>
      </c>
      <c r="E155">
        <v>7</v>
      </c>
      <c r="F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558</v>
      </c>
      <c r="B156" t="s">
        <v>299</v>
      </c>
      <c r="C156">
        <v>4.4000000000000004</v>
      </c>
      <c r="D156">
        <v>4</v>
      </c>
      <c r="E156">
        <v>8</v>
      </c>
      <c r="F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6">
      <c r="A157" t="s">
        <v>558</v>
      </c>
      <c r="B157" t="s">
        <v>300</v>
      </c>
      <c r="C157">
        <v>0.33</v>
      </c>
      <c r="D157">
        <v>0</v>
      </c>
      <c r="E157">
        <v>6</v>
      </c>
      <c r="F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6">
      <c r="A158" t="s">
        <v>558</v>
      </c>
      <c r="B158" t="s">
        <v>560</v>
      </c>
      <c r="C158">
        <v>5.08</v>
      </c>
      <c r="D158">
        <v>5</v>
      </c>
      <c r="E158">
        <v>1</v>
      </c>
      <c r="F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6">
      <c r="A159" t="s">
        <v>561</v>
      </c>
      <c r="B159" t="s">
        <v>562</v>
      </c>
      <c r="C159">
        <v>0</v>
      </c>
      <c r="D159">
        <v>0</v>
      </c>
      <c r="E159">
        <v>0</v>
      </c>
      <c r="F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6">
      <c r="A160" t="s">
        <v>561</v>
      </c>
      <c r="B160" t="s">
        <v>305</v>
      </c>
      <c r="C160">
        <v>0.45</v>
      </c>
      <c r="D160">
        <v>0</v>
      </c>
      <c r="E160">
        <v>8</v>
      </c>
      <c r="F160">
        <v>11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561</v>
      </c>
      <c r="B161" t="s">
        <v>563</v>
      </c>
      <c r="C161">
        <v>0.45</v>
      </c>
      <c r="D161">
        <v>0</v>
      </c>
      <c r="E161">
        <v>8</v>
      </c>
      <c r="F161">
        <v>11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564</v>
      </c>
      <c r="B162" t="s">
        <v>565</v>
      </c>
      <c r="C162">
        <v>2.5</v>
      </c>
      <c r="D162">
        <v>2</v>
      </c>
      <c r="E162">
        <v>10</v>
      </c>
      <c r="F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564</v>
      </c>
      <c r="B163" t="s">
        <v>566</v>
      </c>
      <c r="C163">
        <v>2.5</v>
      </c>
      <c r="D163">
        <v>2</v>
      </c>
      <c r="E163">
        <v>10</v>
      </c>
      <c r="F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567</v>
      </c>
      <c r="B164" t="s">
        <v>568</v>
      </c>
      <c r="C164">
        <v>18.79</v>
      </c>
      <c r="D164">
        <v>18</v>
      </c>
      <c r="E164">
        <v>15</v>
      </c>
      <c r="F164">
        <v>10.5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569</v>
      </c>
      <c r="B165" t="s">
        <v>570</v>
      </c>
      <c r="C165">
        <v>62.78</v>
      </c>
      <c r="D165">
        <v>62</v>
      </c>
      <c r="E165">
        <v>15</v>
      </c>
      <c r="F165">
        <v>6.25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571</v>
      </c>
      <c r="B166" t="s">
        <v>572</v>
      </c>
      <c r="C166">
        <v>4.78</v>
      </c>
      <c r="D166">
        <v>4</v>
      </c>
      <c r="E166">
        <v>15</v>
      </c>
      <c r="F166">
        <v>7.25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571</v>
      </c>
      <c r="B167" t="s">
        <v>573</v>
      </c>
      <c r="C167">
        <v>4.78</v>
      </c>
      <c r="D167">
        <v>4</v>
      </c>
      <c r="E167">
        <v>15</v>
      </c>
      <c r="F167">
        <v>7.25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574</v>
      </c>
      <c r="B168" t="s">
        <v>575</v>
      </c>
      <c r="C168">
        <v>57.48</v>
      </c>
      <c r="D168">
        <v>57</v>
      </c>
      <c r="E168">
        <v>9</v>
      </c>
      <c r="F168">
        <v>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574</v>
      </c>
      <c r="B169" t="s">
        <v>576</v>
      </c>
      <c r="C169">
        <v>57.45</v>
      </c>
      <c r="D169">
        <v>57</v>
      </c>
      <c r="E169">
        <v>9</v>
      </c>
      <c r="F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574</v>
      </c>
      <c r="B170" t="s">
        <v>315</v>
      </c>
      <c r="C170">
        <v>0.03</v>
      </c>
      <c r="D170">
        <v>0</v>
      </c>
      <c r="E170">
        <v>0</v>
      </c>
      <c r="F170">
        <v>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577</v>
      </c>
      <c r="B171" t="s">
        <v>578</v>
      </c>
      <c r="C171">
        <v>62.26</v>
      </c>
      <c r="D171">
        <v>62</v>
      </c>
      <c r="E171">
        <v>5</v>
      </c>
      <c r="F171">
        <v>3.25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579</v>
      </c>
      <c r="B172" t="s">
        <v>580</v>
      </c>
      <c r="C172">
        <v>0.51</v>
      </c>
      <c r="D172">
        <v>0</v>
      </c>
      <c r="E172">
        <v>10</v>
      </c>
      <c r="F172">
        <v>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480</v>
      </c>
      <c r="B173" t="s">
        <v>581</v>
      </c>
      <c r="C173">
        <v>0</v>
      </c>
      <c r="D173">
        <v>0</v>
      </c>
      <c r="E173">
        <v>0</v>
      </c>
      <c r="F173">
        <v>0</v>
      </c>
      <c r="G173" t="s">
        <v>480</v>
      </c>
      <c r="H173">
        <v>49</v>
      </c>
      <c r="I173">
        <v>1</v>
      </c>
      <c r="J173">
        <v>49.12</v>
      </c>
      <c r="K173">
        <v>49.12</v>
      </c>
      <c r="L173">
        <v>0</v>
      </c>
      <c r="M173">
        <v>49</v>
      </c>
      <c r="N173">
        <v>1</v>
      </c>
    </row>
    <row r="174" spans="1:14">
      <c r="A174" t="s">
        <v>480</v>
      </c>
      <c r="B174" t="s">
        <v>582</v>
      </c>
      <c r="C174">
        <v>0</v>
      </c>
      <c r="D174">
        <v>0</v>
      </c>
      <c r="E174">
        <v>0</v>
      </c>
      <c r="F174">
        <v>0</v>
      </c>
      <c r="H174">
        <v>4</v>
      </c>
      <c r="I174">
        <v>0</v>
      </c>
      <c r="J174">
        <v>4</v>
      </c>
      <c r="K174">
        <v>4</v>
      </c>
      <c r="L174">
        <v>0</v>
      </c>
      <c r="M174">
        <v>4</v>
      </c>
      <c r="N174">
        <v>0</v>
      </c>
    </row>
    <row r="175" spans="1:14">
      <c r="A175" t="s">
        <v>480</v>
      </c>
      <c r="B175" t="s">
        <v>583</v>
      </c>
      <c r="C175">
        <v>0</v>
      </c>
      <c r="D175">
        <v>0</v>
      </c>
      <c r="E175">
        <v>0</v>
      </c>
      <c r="F175">
        <v>0</v>
      </c>
      <c r="H175">
        <v>5</v>
      </c>
      <c r="I175">
        <v>3</v>
      </c>
      <c r="J175">
        <v>5.38</v>
      </c>
      <c r="K175">
        <v>5.38</v>
      </c>
      <c r="L175">
        <v>0</v>
      </c>
      <c r="M175">
        <v>5</v>
      </c>
      <c r="N175">
        <v>3</v>
      </c>
    </row>
    <row r="176" spans="1:14">
      <c r="A176" t="s">
        <v>480</v>
      </c>
      <c r="B176" t="s">
        <v>584</v>
      </c>
      <c r="C176">
        <v>0</v>
      </c>
      <c r="D176">
        <v>0</v>
      </c>
      <c r="E176">
        <v>0</v>
      </c>
      <c r="F176">
        <v>0</v>
      </c>
      <c r="H176">
        <v>58</v>
      </c>
      <c r="I176">
        <v>4</v>
      </c>
      <c r="J176">
        <v>58.5</v>
      </c>
      <c r="K176">
        <v>58.5</v>
      </c>
      <c r="L176">
        <v>0</v>
      </c>
      <c r="M176">
        <v>58</v>
      </c>
      <c r="N176">
        <v>4</v>
      </c>
    </row>
    <row r="177" spans="1:16">
      <c r="A177" t="s">
        <v>480</v>
      </c>
      <c r="B177" t="s">
        <v>585</v>
      </c>
      <c r="C177">
        <v>0</v>
      </c>
      <c r="D177">
        <v>0</v>
      </c>
      <c r="E177">
        <v>0</v>
      </c>
      <c r="F177">
        <v>0</v>
      </c>
      <c r="H177">
        <v>12</v>
      </c>
      <c r="I177">
        <v>0</v>
      </c>
      <c r="J177">
        <v>12</v>
      </c>
      <c r="K177">
        <v>12</v>
      </c>
      <c r="L177">
        <v>0</v>
      </c>
      <c r="M177">
        <v>12</v>
      </c>
      <c r="N177">
        <v>0</v>
      </c>
    </row>
    <row r="178" spans="1:16">
      <c r="A178" t="s">
        <v>480</v>
      </c>
      <c r="B178" t="s">
        <v>586</v>
      </c>
      <c r="C178">
        <v>0</v>
      </c>
      <c r="D178">
        <v>0</v>
      </c>
      <c r="E178">
        <v>0</v>
      </c>
      <c r="F178">
        <v>0</v>
      </c>
      <c r="H178">
        <v>0</v>
      </c>
      <c r="I178">
        <v>2</v>
      </c>
      <c r="J178">
        <v>0.25</v>
      </c>
      <c r="K178">
        <v>0.25</v>
      </c>
      <c r="L178">
        <v>0</v>
      </c>
      <c r="M178">
        <v>0</v>
      </c>
      <c r="N178">
        <v>2</v>
      </c>
    </row>
    <row r="179" spans="1:16">
      <c r="A179" t="s">
        <v>480</v>
      </c>
      <c r="B179" t="s">
        <v>587</v>
      </c>
      <c r="C179">
        <v>0</v>
      </c>
      <c r="D179">
        <v>0</v>
      </c>
      <c r="E179">
        <v>0</v>
      </c>
      <c r="F179">
        <v>0</v>
      </c>
      <c r="H179">
        <v>4</v>
      </c>
      <c r="I179">
        <v>0</v>
      </c>
      <c r="J179">
        <v>4</v>
      </c>
      <c r="K179">
        <v>4</v>
      </c>
      <c r="L179">
        <v>0</v>
      </c>
      <c r="M179">
        <v>4</v>
      </c>
      <c r="N179">
        <v>0</v>
      </c>
    </row>
    <row r="180" spans="1:16">
      <c r="A180" t="s">
        <v>480</v>
      </c>
      <c r="B180" t="s">
        <v>588</v>
      </c>
      <c r="C180">
        <v>0</v>
      </c>
      <c r="D180">
        <v>0</v>
      </c>
      <c r="E180">
        <v>0</v>
      </c>
      <c r="F180">
        <v>0</v>
      </c>
      <c r="H180">
        <v>0</v>
      </c>
      <c r="I180">
        <v>2.5</v>
      </c>
      <c r="J180">
        <v>0.31</v>
      </c>
      <c r="K180">
        <v>0.31</v>
      </c>
      <c r="L180">
        <v>0</v>
      </c>
      <c r="M180">
        <v>0</v>
      </c>
      <c r="N180">
        <v>2.5</v>
      </c>
    </row>
    <row r="181" spans="1:16">
      <c r="A181" t="s">
        <v>480</v>
      </c>
      <c r="B181" t="s">
        <v>589</v>
      </c>
      <c r="C181">
        <v>0</v>
      </c>
      <c r="D181">
        <v>0</v>
      </c>
      <c r="E181">
        <v>0</v>
      </c>
      <c r="F181">
        <v>0</v>
      </c>
      <c r="H181">
        <v>36</v>
      </c>
      <c r="I181">
        <v>6.5</v>
      </c>
      <c r="J181">
        <v>36.81</v>
      </c>
      <c r="K181">
        <v>36.81</v>
      </c>
      <c r="L181">
        <v>0</v>
      </c>
      <c r="M181">
        <v>36</v>
      </c>
      <c r="N181">
        <v>6.5</v>
      </c>
    </row>
    <row r="182" spans="1:16">
      <c r="A182" t="s">
        <v>480</v>
      </c>
      <c r="B182" t="s">
        <v>590</v>
      </c>
      <c r="C182">
        <v>2.86</v>
      </c>
      <c r="D182">
        <v>2</v>
      </c>
      <c r="E182">
        <v>17</v>
      </c>
      <c r="F182">
        <v>3</v>
      </c>
      <c r="H182">
        <v>6</v>
      </c>
      <c r="I182">
        <v>3</v>
      </c>
      <c r="J182">
        <v>6.38</v>
      </c>
      <c r="K182">
        <v>6</v>
      </c>
      <c r="L182">
        <v>0.38</v>
      </c>
      <c r="M182">
        <v>6</v>
      </c>
      <c r="N182">
        <v>0</v>
      </c>
      <c r="O182">
        <v>0</v>
      </c>
      <c r="P182">
        <v>3</v>
      </c>
    </row>
    <row r="183" spans="1:16">
      <c r="A183" t="s">
        <v>480</v>
      </c>
      <c r="B183" t="s">
        <v>591</v>
      </c>
      <c r="C183">
        <v>0</v>
      </c>
      <c r="D183">
        <v>0</v>
      </c>
      <c r="E183">
        <v>0</v>
      </c>
      <c r="F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6">
      <c r="A184" t="s">
        <v>480</v>
      </c>
      <c r="B184" t="s">
        <v>592</v>
      </c>
      <c r="C184">
        <v>0</v>
      </c>
      <c r="D184">
        <v>0</v>
      </c>
      <c r="E184">
        <v>0</v>
      </c>
      <c r="F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6">
      <c r="A185" t="s">
        <v>481</v>
      </c>
      <c r="B185" t="s">
        <v>593</v>
      </c>
      <c r="C185">
        <v>0</v>
      </c>
      <c r="D185">
        <v>0</v>
      </c>
      <c r="E185">
        <v>0</v>
      </c>
      <c r="F185">
        <v>0</v>
      </c>
      <c r="G185" t="s">
        <v>549</v>
      </c>
      <c r="H185">
        <v>4</v>
      </c>
      <c r="I185">
        <v>0</v>
      </c>
      <c r="J185">
        <v>4</v>
      </c>
      <c r="K185">
        <v>4</v>
      </c>
      <c r="L185">
        <v>0</v>
      </c>
      <c r="M185">
        <v>4</v>
      </c>
      <c r="N185">
        <v>0</v>
      </c>
    </row>
    <row r="186" spans="1:16">
      <c r="A186" t="s">
        <v>481</v>
      </c>
      <c r="B186" t="s">
        <v>594</v>
      </c>
      <c r="C186">
        <v>0</v>
      </c>
      <c r="D186">
        <v>0</v>
      </c>
      <c r="E186">
        <v>0</v>
      </c>
      <c r="F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6">
      <c r="A187" t="s">
        <v>481</v>
      </c>
      <c r="B187" t="s">
        <v>595</v>
      </c>
      <c r="C187">
        <v>0</v>
      </c>
      <c r="D187">
        <v>0</v>
      </c>
      <c r="E187">
        <v>0</v>
      </c>
      <c r="F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6">
      <c r="A188" t="s">
        <v>483</v>
      </c>
      <c r="B188" t="s">
        <v>596</v>
      </c>
      <c r="C188">
        <v>0</v>
      </c>
      <c r="D188">
        <v>0</v>
      </c>
      <c r="E188">
        <v>0</v>
      </c>
      <c r="F188">
        <v>0</v>
      </c>
      <c r="G188" t="s">
        <v>483</v>
      </c>
      <c r="H188">
        <v>106</v>
      </c>
      <c r="I188">
        <v>1</v>
      </c>
      <c r="J188">
        <v>106.12</v>
      </c>
      <c r="K188">
        <v>106.12</v>
      </c>
      <c r="L188">
        <v>0</v>
      </c>
      <c r="M188">
        <v>106</v>
      </c>
      <c r="N188">
        <v>1</v>
      </c>
    </row>
    <row r="189" spans="1:16">
      <c r="A189" t="s">
        <v>483</v>
      </c>
      <c r="B189" t="s">
        <v>597</v>
      </c>
      <c r="C189">
        <v>0</v>
      </c>
      <c r="D189">
        <v>0</v>
      </c>
      <c r="E189">
        <v>0</v>
      </c>
      <c r="F189">
        <v>0</v>
      </c>
      <c r="H189">
        <v>1</v>
      </c>
      <c r="I189">
        <v>2</v>
      </c>
      <c r="J189">
        <v>1.25</v>
      </c>
      <c r="K189">
        <v>1.25</v>
      </c>
      <c r="L189">
        <v>0</v>
      </c>
      <c r="M189">
        <v>1</v>
      </c>
      <c r="N189">
        <v>2</v>
      </c>
    </row>
    <row r="190" spans="1:16">
      <c r="A190" t="s">
        <v>483</v>
      </c>
      <c r="B190" t="s">
        <v>598</v>
      </c>
      <c r="C190">
        <v>0</v>
      </c>
      <c r="D190">
        <v>0</v>
      </c>
      <c r="E190">
        <v>0</v>
      </c>
      <c r="F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6">
      <c r="A191" t="s">
        <v>483</v>
      </c>
      <c r="B191" t="s">
        <v>599</v>
      </c>
      <c r="C191">
        <v>0</v>
      </c>
      <c r="D191">
        <v>0</v>
      </c>
      <c r="E191">
        <v>0</v>
      </c>
      <c r="F191">
        <v>0</v>
      </c>
      <c r="H191">
        <v>11</v>
      </c>
      <c r="I191">
        <v>3</v>
      </c>
      <c r="J191">
        <v>11.38</v>
      </c>
      <c r="K191">
        <v>11.38</v>
      </c>
      <c r="L191">
        <v>0</v>
      </c>
      <c r="M191">
        <v>11</v>
      </c>
      <c r="N191">
        <v>3</v>
      </c>
    </row>
    <row r="192" spans="1:16">
      <c r="A192" t="s">
        <v>483</v>
      </c>
      <c r="B192" t="s">
        <v>600</v>
      </c>
      <c r="C192">
        <v>0</v>
      </c>
      <c r="D192">
        <v>0</v>
      </c>
      <c r="E192">
        <v>0</v>
      </c>
      <c r="F192">
        <v>0</v>
      </c>
      <c r="H192">
        <v>118</v>
      </c>
      <c r="I192">
        <v>6</v>
      </c>
      <c r="J192">
        <v>118.75</v>
      </c>
      <c r="K192">
        <v>118.75</v>
      </c>
      <c r="L192">
        <v>0</v>
      </c>
      <c r="M192">
        <v>118</v>
      </c>
      <c r="N192">
        <v>6</v>
      </c>
    </row>
    <row r="193" spans="1:14">
      <c r="A193" t="s">
        <v>483</v>
      </c>
      <c r="B193" t="s">
        <v>601</v>
      </c>
      <c r="C193">
        <v>0</v>
      </c>
      <c r="D193">
        <v>0</v>
      </c>
      <c r="E193">
        <v>0</v>
      </c>
      <c r="F193">
        <v>0</v>
      </c>
      <c r="H193">
        <v>21</v>
      </c>
      <c r="I193">
        <v>0</v>
      </c>
      <c r="J193">
        <v>21</v>
      </c>
      <c r="K193">
        <v>21</v>
      </c>
      <c r="L193">
        <v>0</v>
      </c>
      <c r="M193">
        <v>21</v>
      </c>
      <c r="N193">
        <v>0</v>
      </c>
    </row>
    <row r="194" spans="1:14">
      <c r="A194" t="s">
        <v>483</v>
      </c>
      <c r="B194" t="s">
        <v>602</v>
      </c>
      <c r="C194">
        <v>0</v>
      </c>
      <c r="D194">
        <v>0</v>
      </c>
      <c r="E194">
        <v>0</v>
      </c>
      <c r="F194">
        <v>0</v>
      </c>
      <c r="H194">
        <v>0</v>
      </c>
      <c r="I194">
        <v>4</v>
      </c>
      <c r="J194">
        <v>0.5</v>
      </c>
      <c r="K194">
        <v>0.5</v>
      </c>
      <c r="L194">
        <v>0</v>
      </c>
      <c r="M194">
        <v>0</v>
      </c>
      <c r="N194">
        <v>4</v>
      </c>
    </row>
    <row r="195" spans="1:14">
      <c r="A195" t="s">
        <v>483</v>
      </c>
      <c r="B195" t="s">
        <v>603</v>
      </c>
      <c r="C195">
        <v>0</v>
      </c>
      <c r="D195">
        <v>0</v>
      </c>
      <c r="E195">
        <v>0</v>
      </c>
      <c r="F195">
        <v>0</v>
      </c>
      <c r="H195">
        <v>1</v>
      </c>
      <c r="I195">
        <v>2</v>
      </c>
      <c r="J195">
        <v>1.25</v>
      </c>
      <c r="K195">
        <v>1.25</v>
      </c>
      <c r="L195">
        <v>0</v>
      </c>
      <c r="M195">
        <v>1</v>
      </c>
      <c r="N195">
        <v>2</v>
      </c>
    </row>
    <row r="196" spans="1:14">
      <c r="A196" t="s">
        <v>483</v>
      </c>
      <c r="B196" t="s">
        <v>604</v>
      </c>
      <c r="C196">
        <v>0</v>
      </c>
      <c r="D196">
        <v>0</v>
      </c>
      <c r="E196">
        <v>0</v>
      </c>
      <c r="F196">
        <v>0</v>
      </c>
      <c r="H196">
        <v>2</v>
      </c>
      <c r="I196">
        <v>0</v>
      </c>
      <c r="J196">
        <v>2</v>
      </c>
      <c r="K196">
        <v>2</v>
      </c>
      <c r="L196">
        <v>0</v>
      </c>
      <c r="M196">
        <v>2</v>
      </c>
      <c r="N196">
        <v>0</v>
      </c>
    </row>
    <row r="197" spans="1:14">
      <c r="A197" t="s">
        <v>483</v>
      </c>
      <c r="B197" t="s">
        <v>605</v>
      </c>
      <c r="C197">
        <v>0</v>
      </c>
      <c r="D197">
        <v>0</v>
      </c>
      <c r="E197">
        <v>0</v>
      </c>
      <c r="F197">
        <v>0</v>
      </c>
      <c r="H197">
        <v>45</v>
      </c>
      <c r="I197">
        <v>0</v>
      </c>
      <c r="J197">
        <v>45</v>
      </c>
      <c r="K197">
        <v>45</v>
      </c>
      <c r="L197">
        <v>0</v>
      </c>
      <c r="M197">
        <v>45</v>
      </c>
      <c r="N197">
        <v>0</v>
      </c>
    </row>
    <row r="198" spans="1:14">
      <c r="A198" t="s">
        <v>483</v>
      </c>
      <c r="B198" t="s">
        <v>606</v>
      </c>
      <c r="C198">
        <v>0</v>
      </c>
      <c r="D198">
        <v>0</v>
      </c>
      <c r="E198">
        <v>0</v>
      </c>
      <c r="F198">
        <v>0</v>
      </c>
      <c r="H198">
        <v>38</v>
      </c>
      <c r="I198">
        <v>1</v>
      </c>
      <c r="J198">
        <v>38.119999999999997</v>
      </c>
      <c r="K198">
        <v>38.119999999999997</v>
      </c>
      <c r="L198">
        <v>0</v>
      </c>
      <c r="M198">
        <v>38</v>
      </c>
      <c r="N198">
        <v>1</v>
      </c>
    </row>
    <row r="199" spans="1:14">
      <c r="A199" t="s">
        <v>483</v>
      </c>
      <c r="B199" t="s">
        <v>607</v>
      </c>
      <c r="C199">
        <v>3.41</v>
      </c>
      <c r="D199">
        <v>3</v>
      </c>
      <c r="E199">
        <v>8</v>
      </c>
      <c r="F199">
        <v>3</v>
      </c>
      <c r="H199">
        <v>11</v>
      </c>
      <c r="I199">
        <v>3</v>
      </c>
      <c r="J199">
        <v>11.38</v>
      </c>
      <c r="K199">
        <v>11.38</v>
      </c>
      <c r="L199">
        <v>0</v>
      </c>
      <c r="M199">
        <v>11</v>
      </c>
      <c r="N199">
        <v>3</v>
      </c>
    </row>
    <row r="200" spans="1:14">
      <c r="A200" t="s">
        <v>483</v>
      </c>
      <c r="B200" t="s">
        <v>591</v>
      </c>
      <c r="C200">
        <v>0</v>
      </c>
      <c r="D200">
        <v>0</v>
      </c>
      <c r="E200">
        <v>0</v>
      </c>
      <c r="F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483</v>
      </c>
      <c r="B201" t="s">
        <v>592</v>
      </c>
      <c r="C201">
        <v>0</v>
      </c>
      <c r="D201">
        <v>0</v>
      </c>
      <c r="E201">
        <v>0</v>
      </c>
      <c r="F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485</v>
      </c>
      <c r="B202" t="s">
        <v>608</v>
      </c>
      <c r="C202">
        <v>0</v>
      </c>
      <c r="D202">
        <v>0</v>
      </c>
      <c r="E202">
        <v>0</v>
      </c>
      <c r="F202">
        <v>0</v>
      </c>
      <c r="G202" t="s">
        <v>485</v>
      </c>
      <c r="H202">
        <v>20</v>
      </c>
      <c r="I202">
        <v>4</v>
      </c>
      <c r="J202">
        <v>20.5</v>
      </c>
      <c r="K202">
        <v>20.5</v>
      </c>
      <c r="L202">
        <v>0</v>
      </c>
      <c r="M202">
        <v>20</v>
      </c>
      <c r="N202">
        <v>4</v>
      </c>
    </row>
    <row r="203" spans="1:14">
      <c r="A203" t="s">
        <v>485</v>
      </c>
      <c r="B203" t="s">
        <v>609</v>
      </c>
      <c r="C203">
        <v>0</v>
      </c>
      <c r="D203">
        <v>0</v>
      </c>
      <c r="E203">
        <v>0</v>
      </c>
      <c r="F203">
        <v>0</v>
      </c>
      <c r="H203">
        <v>0</v>
      </c>
      <c r="I203">
        <v>6</v>
      </c>
      <c r="J203">
        <v>0.75</v>
      </c>
      <c r="K203">
        <v>0.75</v>
      </c>
      <c r="L203">
        <v>0</v>
      </c>
      <c r="M203">
        <v>0</v>
      </c>
      <c r="N203">
        <v>6</v>
      </c>
    </row>
    <row r="204" spans="1:14">
      <c r="A204" t="s">
        <v>485</v>
      </c>
      <c r="B204" t="s">
        <v>610</v>
      </c>
      <c r="C204">
        <v>0</v>
      </c>
      <c r="D204">
        <v>0</v>
      </c>
      <c r="E204">
        <v>0</v>
      </c>
      <c r="F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485</v>
      </c>
      <c r="B205" t="s">
        <v>611</v>
      </c>
      <c r="C205">
        <v>0</v>
      </c>
      <c r="D205">
        <v>0</v>
      </c>
      <c r="E205">
        <v>0</v>
      </c>
      <c r="F205">
        <v>0</v>
      </c>
      <c r="H205">
        <v>5</v>
      </c>
      <c r="I205">
        <v>6</v>
      </c>
      <c r="J205">
        <v>5.75</v>
      </c>
      <c r="K205">
        <v>5.75</v>
      </c>
      <c r="L205">
        <v>0</v>
      </c>
      <c r="M205">
        <v>5</v>
      </c>
      <c r="N205">
        <v>6</v>
      </c>
    </row>
    <row r="206" spans="1:14">
      <c r="A206" t="s">
        <v>485</v>
      </c>
      <c r="B206" t="s">
        <v>612</v>
      </c>
      <c r="C206">
        <v>0</v>
      </c>
      <c r="D206">
        <v>0</v>
      </c>
      <c r="E206">
        <v>0</v>
      </c>
      <c r="F206">
        <v>0</v>
      </c>
      <c r="H206">
        <v>27</v>
      </c>
      <c r="I206">
        <v>0</v>
      </c>
      <c r="J206">
        <v>27</v>
      </c>
      <c r="K206">
        <v>27</v>
      </c>
      <c r="L206">
        <v>0</v>
      </c>
      <c r="M206">
        <v>27</v>
      </c>
      <c r="N206">
        <v>0</v>
      </c>
    </row>
    <row r="207" spans="1:14">
      <c r="A207" t="s">
        <v>485</v>
      </c>
      <c r="B207" t="s">
        <v>613</v>
      </c>
      <c r="C207">
        <v>0</v>
      </c>
      <c r="D207">
        <v>0</v>
      </c>
      <c r="E207">
        <v>0</v>
      </c>
      <c r="F207">
        <v>0</v>
      </c>
      <c r="H207">
        <v>10</v>
      </c>
      <c r="I207">
        <v>0</v>
      </c>
      <c r="J207">
        <v>10</v>
      </c>
      <c r="K207">
        <v>10</v>
      </c>
      <c r="L207">
        <v>0</v>
      </c>
      <c r="M207">
        <v>10</v>
      </c>
      <c r="N207">
        <v>0</v>
      </c>
    </row>
    <row r="208" spans="1:14">
      <c r="A208" t="s">
        <v>485</v>
      </c>
      <c r="B208" t="s">
        <v>602</v>
      </c>
      <c r="C208">
        <v>0</v>
      </c>
      <c r="D208">
        <v>0</v>
      </c>
      <c r="E208">
        <v>0</v>
      </c>
      <c r="F208">
        <v>0</v>
      </c>
      <c r="H208">
        <v>0</v>
      </c>
      <c r="I208">
        <v>4</v>
      </c>
      <c r="J208">
        <v>0.5</v>
      </c>
      <c r="K208">
        <v>0.5</v>
      </c>
      <c r="L208">
        <v>0</v>
      </c>
      <c r="M208">
        <v>0</v>
      </c>
      <c r="N208">
        <v>4</v>
      </c>
    </row>
    <row r="209" spans="1:14">
      <c r="A209" t="s">
        <v>485</v>
      </c>
      <c r="B209" t="s">
        <v>614</v>
      </c>
      <c r="C209">
        <v>0</v>
      </c>
      <c r="D209">
        <v>0</v>
      </c>
      <c r="E209">
        <v>0</v>
      </c>
      <c r="F209">
        <v>0</v>
      </c>
      <c r="H209">
        <v>0</v>
      </c>
      <c r="I209">
        <v>6</v>
      </c>
      <c r="J209">
        <v>0.75</v>
      </c>
      <c r="K209">
        <v>0.75</v>
      </c>
      <c r="L209">
        <v>0</v>
      </c>
      <c r="M209">
        <v>0</v>
      </c>
      <c r="N209">
        <v>6</v>
      </c>
    </row>
    <row r="210" spans="1:14">
      <c r="A210" t="s">
        <v>485</v>
      </c>
      <c r="B210" t="s">
        <v>615</v>
      </c>
      <c r="C210">
        <v>0</v>
      </c>
      <c r="D210">
        <v>0</v>
      </c>
      <c r="E210">
        <v>0</v>
      </c>
      <c r="F210">
        <v>0</v>
      </c>
      <c r="G210" t="s">
        <v>616</v>
      </c>
      <c r="H210">
        <v>3</v>
      </c>
      <c r="I210">
        <v>0</v>
      </c>
      <c r="J210">
        <v>3</v>
      </c>
      <c r="K210">
        <v>3</v>
      </c>
      <c r="L210">
        <v>0</v>
      </c>
      <c r="M210">
        <v>3</v>
      </c>
      <c r="N210">
        <v>0</v>
      </c>
    </row>
    <row r="211" spans="1:14">
      <c r="A211" t="s">
        <v>485</v>
      </c>
      <c r="B211" t="s">
        <v>617</v>
      </c>
      <c r="C211">
        <v>0</v>
      </c>
      <c r="D211">
        <v>0</v>
      </c>
      <c r="E211">
        <v>0</v>
      </c>
      <c r="F211">
        <v>0</v>
      </c>
      <c r="H211">
        <v>2</v>
      </c>
      <c r="I211">
        <v>7</v>
      </c>
      <c r="J211">
        <v>2.88</v>
      </c>
      <c r="K211">
        <v>2.88</v>
      </c>
      <c r="L211">
        <v>0</v>
      </c>
      <c r="M211">
        <v>2</v>
      </c>
      <c r="N211">
        <v>7</v>
      </c>
    </row>
    <row r="212" spans="1:14">
      <c r="A212" t="s">
        <v>485</v>
      </c>
      <c r="B212" t="s">
        <v>618</v>
      </c>
      <c r="C212">
        <v>0</v>
      </c>
      <c r="D212">
        <v>0</v>
      </c>
      <c r="E212">
        <v>0</v>
      </c>
      <c r="F212">
        <v>0</v>
      </c>
      <c r="H212">
        <v>4</v>
      </c>
      <c r="I212">
        <v>5</v>
      </c>
      <c r="J212">
        <v>4.62</v>
      </c>
      <c r="K212">
        <v>4.62</v>
      </c>
      <c r="L212">
        <v>0</v>
      </c>
      <c r="M212">
        <v>4</v>
      </c>
      <c r="N212">
        <v>5</v>
      </c>
    </row>
    <row r="213" spans="1:14">
      <c r="A213" t="s">
        <v>485</v>
      </c>
      <c r="B213" t="s">
        <v>619</v>
      </c>
      <c r="C213">
        <v>0.86</v>
      </c>
      <c r="D213">
        <v>0</v>
      </c>
      <c r="E213">
        <v>17</v>
      </c>
      <c r="F213">
        <v>3</v>
      </c>
      <c r="H213">
        <v>5</v>
      </c>
      <c r="I213">
        <v>6</v>
      </c>
      <c r="J213">
        <v>5.75</v>
      </c>
      <c r="K213">
        <v>5.75</v>
      </c>
      <c r="L213">
        <v>0</v>
      </c>
      <c r="M213">
        <v>5</v>
      </c>
      <c r="N213">
        <v>6</v>
      </c>
    </row>
    <row r="214" spans="1:14">
      <c r="A214" t="s">
        <v>485</v>
      </c>
      <c r="B214" t="s">
        <v>591</v>
      </c>
      <c r="C214">
        <v>0</v>
      </c>
      <c r="D214">
        <v>0</v>
      </c>
      <c r="E214">
        <v>0</v>
      </c>
      <c r="F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485</v>
      </c>
      <c r="B215" t="s">
        <v>592</v>
      </c>
      <c r="C215">
        <v>0</v>
      </c>
      <c r="D215">
        <v>0</v>
      </c>
      <c r="E215">
        <v>0</v>
      </c>
      <c r="F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487</v>
      </c>
      <c r="B216" t="s">
        <v>620</v>
      </c>
      <c r="C216">
        <v>0</v>
      </c>
      <c r="D216">
        <v>0</v>
      </c>
      <c r="E216">
        <v>0</v>
      </c>
      <c r="F216">
        <v>0</v>
      </c>
      <c r="G216" t="s">
        <v>487</v>
      </c>
      <c r="H216">
        <v>5</v>
      </c>
      <c r="I216">
        <v>1</v>
      </c>
      <c r="J216">
        <v>5.12</v>
      </c>
      <c r="K216">
        <v>5.12</v>
      </c>
      <c r="L216">
        <v>0</v>
      </c>
      <c r="M216">
        <v>5</v>
      </c>
      <c r="N216">
        <v>1</v>
      </c>
    </row>
    <row r="217" spans="1:14">
      <c r="A217" t="s">
        <v>487</v>
      </c>
      <c r="B217" t="s">
        <v>621</v>
      </c>
      <c r="C217">
        <v>0</v>
      </c>
      <c r="D217">
        <v>0</v>
      </c>
      <c r="E217">
        <v>0</v>
      </c>
      <c r="F217">
        <v>0</v>
      </c>
      <c r="H217">
        <v>2</v>
      </c>
      <c r="I217">
        <v>0</v>
      </c>
      <c r="J217">
        <v>2</v>
      </c>
      <c r="K217">
        <v>2</v>
      </c>
      <c r="L217">
        <v>0</v>
      </c>
      <c r="M217">
        <v>2</v>
      </c>
      <c r="N217">
        <v>0</v>
      </c>
    </row>
    <row r="218" spans="1:14">
      <c r="A218" t="s">
        <v>487</v>
      </c>
      <c r="B218" t="s">
        <v>622</v>
      </c>
      <c r="C218">
        <v>0</v>
      </c>
      <c r="D218">
        <v>0</v>
      </c>
      <c r="E218">
        <v>0</v>
      </c>
      <c r="F218">
        <v>0</v>
      </c>
      <c r="H218">
        <v>0</v>
      </c>
      <c r="I218">
        <v>2</v>
      </c>
      <c r="J218">
        <v>0.25</v>
      </c>
      <c r="K218">
        <v>0.25</v>
      </c>
      <c r="L218">
        <v>0</v>
      </c>
      <c r="M218">
        <v>0</v>
      </c>
      <c r="N218">
        <v>2</v>
      </c>
    </row>
    <row r="219" spans="1:14">
      <c r="A219" t="s">
        <v>487</v>
      </c>
      <c r="B219" t="s">
        <v>623</v>
      </c>
      <c r="C219">
        <v>0</v>
      </c>
      <c r="D219">
        <v>0</v>
      </c>
      <c r="E219">
        <v>0</v>
      </c>
      <c r="F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487</v>
      </c>
      <c r="B220" t="s">
        <v>624</v>
      </c>
      <c r="C220">
        <v>0</v>
      </c>
      <c r="D220">
        <v>0</v>
      </c>
      <c r="E220">
        <v>0</v>
      </c>
      <c r="F220">
        <v>0</v>
      </c>
      <c r="H220">
        <v>7</v>
      </c>
      <c r="I220">
        <v>3</v>
      </c>
      <c r="J220">
        <v>7.38</v>
      </c>
      <c r="K220">
        <v>7.38</v>
      </c>
      <c r="L220">
        <v>0</v>
      </c>
      <c r="M220">
        <v>7</v>
      </c>
      <c r="N220">
        <v>3</v>
      </c>
    </row>
    <row r="221" spans="1:14">
      <c r="A221" t="s">
        <v>487</v>
      </c>
      <c r="B221" t="s">
        <v>625</v>
      </c>
      <c r="C221">
        <v>0</v>
      </c>
      <c r="D221">
        <v>0</v>
      </c>
      <c r="E221">
        <v>0</v>
      </c>
      <c r="F221">
        <v>0</v>
      </c>
      <c r="H221">
        <v>2</v>
      </c>
      <c r="I221">
        <v>4</v>
      </c>
      <c r="J221">
        <v>2.5</v>
      </c>
      <c r="K221">
        <v>2.5</v>
      </c>
      <c r="L221">
        <v>0</v>
      </c>
      <c r="M221">
        <v>2</v>
      </c>
      <c r="N221">
        <v>4</v>
      </c>
    </row>
    <row r="222" spans="1:14">
      <c r="A222" t="s">
        <v>487</v>
      </c>
      <c r="B222" t="s">
        <v>586</v>
      </c>
      <c r="C222">
        <v>0</v>
      </c>
      <c r="D222">
        <v>0</v>
      </c>
      <c r="E222">
        <v>0</v>
      </c>
      <c r="F222">
        <v>0</v>
      </c>
      <c r="H222">
        <v>0</v>
      </c>
      <c r="I222">
        <v>2</v>
      </c>
      <c r="J222">
        <v>0.25</v>
      </c>
      <c r="K222">
        <v>0.25</v>
      </c>
      <c r="L222">
        <v>0</v>
      </c>
      <c r="M222">
        <v>0</v>
      </c>
      <c r="N222">
        <v>2</v>
      </c>
    </row>
    <row r="223" spans="1:14">
      <c r="A223" t="s">
        <v>487</v>
      </c>
      <c r="B223" t="s">
        <v>626</v>
      </c>
      <c r="C223">
        <v>0</v>
      </c>
      <c r="D223">
        <v>0</v>
      </c>
      <c r="E223">
        <v>0</v>
      </c>
      <c r="F223">
        <v>0</v>
      </c>
      <c r="H223">
        <v>2</v>
      </c>
      <c r="I223">
        <v>0</v>
      </c>
      <c r="J223">
        <v>2</v>
      </c>
      <c r="K223">
        <v>2</v>
      </c>
      <c r="L223">
        <v>0</v>
      </c>
      <c r="M223">
        <v>2</v>
      </c>
      <c r="N223">
        <v>0</v>
      </c>
    </row>
    <row r="224" spans="1:14">
      <c r="A224" t="s">
        <v>487</v>
      </c>
      <c r="B224" t="s">
        <v>627</v>
      </c>
      <c r="C224">
        <v>0</v>
      </c>
      <c r="D224">
        <v>0</v>
      </c>
      <c r="E224">
        <v>0</v>
      </c>
      <c r="F224">
        <v>0</v>
      </c>
      <c r="H224">
        <v>0</v>
      </c>
      <c r="I224">
        <v>2</v>
      </c>
      <c r="J224">
        <v>0.25</v>
      </c>
      <c r="K224">
        <v>0.25</v>
      </c>
      <c r="L224">
        <v>0</v>
      </c>
      <c r="M224">
        <v>0</v>
      </c>
      <c r="N224">
        <v>2</v>
      </c>
    </row>
    <row r="225" spans="1:14">
      <c r="A225" t="s">
        <v>487</v>
      </c>
      <c r="B225" t="s">
        <v>628</v>
      </c>
      <c r="C225">
        <v>0</v>
      </c>
      <c r="D225">
        <v>0</v>
      </c>
      <c r="E225">
        <v>0</v>
      </c>
      <c r="F225">
        <v>0</v>
      </c>
      <c r="H225">
        <v>2</v>
      </c>
      <c r="I225">
        <v>5</v>
      </c>
      <c r="J225">
        <v>2.62</v>
      </c>
      <c r="K225">
        <v>2.62</v>
      </c>
      <c r="L225">
        <v>0</v>
      </c>
      <c r="M225">
        <v>2</v>
      </c>
      <c r="N225">
        <v>5</v>
      </c>
    </row>
    <row r="226" spans="1:14">
      <c r="A226" t="s">
        <v>487</v>
      </c>
      <c r="B226" t="s">
        <v>591</v>
      </c>
      <c r="C226">
        <v>0</v>
      </c>
      <c r="D226">
        <v>0</v>
      </c>
      <c r="E226">
        <v>0</v>
      </c>
      <c r="F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487</v>
      </c>
      <c r="B227" t="s">
        <v>592</v>
      </c>
      <c r="C227">
        <v>0</v>
      </c>
      <c r="D227">
        <v>0</v>
      </c>
      <c r="E227">
        <v>0</v>
      </c>
      <c r="F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489</v>
      </c>
      <c r="B228" t="s">
        <v>629</v>
      </c>
      <c r="C228">
        <v>0</v>
      </c>
      <c r="D228">
        <v>0</v>
      </c>
      <c r="E228">
        <v>0</v>
      </c>
      <c r="F228">
        <v>0</v>
      </c>
      <c r="G228" t="s">
        <v>489</v>
      </c>
      <c r="H228">
        <v>6</v>
      </c>
      <c r="I228">
        <v>4</v>
      </c>
      <c r="J228">
        <v>6.5</v>
      </c>
      <c r="K228">
        <v>6.5</v>
      </c>
      <c r="L228">
        <v>0</v>
      </c>
      <c r="M228">
        <v>6</v>
      </c>
      <c r="N228">
        <v>4</v>
      </c>
    </row>
    <row r="229" spans="1:14">
      <c r="A229" t="s">
        <v>489</v>
      </c>
      <c r="B229" t="s">
        <v>621</v>
      </c>
      <c r="C229">
        <v>0</v>
      </c>
      <c r="D229">
        <v>0</v>
      </c>
      <c r="E229">
        <v>0</v>
      </c>
      <c r="F229">
        <v>0</v>
      </c>
      <c r="H229">
        <v>2</v>
      </c>
      <c r="I229">
        <v>0</v>
      </c>
      <c r="J229">
        <v>2</v>
      </c>
      <c r="K229">
        <v>2</v>
      </c>
      <c r="L229">
        <v>0</v>
      </c>
      <c r="M229">
        <v>2</v>
      </c>
      <c r="N229">
        <v>0</v>
      </c>
    </row>
    <row r="230" spans="1:14">
      <c r="A230" t="s">
        <v>489</v>
      </c>
      <c r="B230" t="s">
        <v>630</v>
      </c>
      <c r="C230">
        <v>0</v>
      </c>
      <c r="D230">
        <v>0</v>
      </c>
      <c r="E230">
        <v>0</v>
      </c>
      <c r="F230">
        <v>0</v>
      </c>
      <c r="H230">
        <v>0</v>
      </c>
      <c r="I230">
        <v>3</v>
      </c>
      <c r="J230">
        <v>0.38</v>
      </c>
      <c r="K230">
        <v>0.38</v>
      </c>
      <c r="L230">
        <v>0</v>
      </c>
      <c r="M230">
        <v>0</v>
      </c>
      <c r="N230">
        <v>3</v>
      </c>
    </row>
    <row r="231" spans="1:14">
      <c r="A231" t="s">
        <v>489</v>
      </c>
      <c r="B231" t="s">
        <v>623</v>
      </c>
      <c r="C231">
        <v>0</v>
      </c>
      <c r="D231">
        <v>0</v>
      </c>
      <c r="E231">
        <v>0</v>
      </c>
      <c r="F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489</v>
      </c>
      <c r="B232" t="s">
        <v>631</v>
      </c>
      <c r="C232">
        <v>0</v>
      </c>
      <c r="D232">
        <v>0</v>
      </c>
      <c r="E232">
        <v>0</v>
      </c>
      <c r="F232">
        <v>0</v>
      </c>
      <c r="H232">
        <v>8</v>
      </c>
      <c r="I232">
        <v>7</v>
      </c>
      <c r="J232">
        <v>8.8800000000000008</v>
      </c>
      <c r="K232">
        <v>8.8800000000000008</v>
      </c>
      <c r="L232">
        <v>0</v>
      </c>
      <c r="M232">
        <v>8</v>
      </c>
      <c r="N232">
        <v>7</v>
      </c>
    </row>
    <row r="233" spans="1:14">
      <c r="A233" t="s">
        <v>489</v>
      </c>
      <c r="B233" t="s">
        <v>632</v>
      </c>
      <c r="C233">
        <v>0</v>
      </c>
      <c r="D233">
        <v>0</v>
      </c>
      <c r="E233">
        <v>0</v>
      </c>
      <c r="F233">
        <v>0</v>
      </c>
      <c r="H233">
        <v>3</v>
      </c>
      <c r="I233">
        <v>0</v>
      </c>
      <c r="J233">
        <v>3</v>
      </c>
      <c r="K233">
        <v>3</v>
      </c>
      <c r="L233">
        <v>0</v>
      </c>
      <c r="M233">
        <v>3</v>
      </c>
      <c r="N233">
        <v>0</v>
      </c>
    </row>
    <row r="234" spans="1:14">
      <c r="A234" t="s">
        <v>489</v>
      </c>
      <c r="B234" t="s">
        <v>586</v>
      </c>
      <c r="C234">
        <v>0</v>
      </c>
      <c r="D234">
        <v>0</v>
      </c>
      <c r="E234">
        <v>0</v>
      </c>
      <c r="F234">
        <v>0</v>
      </c>
      <c r="H234">
        <v>0</v>
      </c>
      <c r="I234">
        <v>2</v>
      </c>
      <c r="J234">
        <v>0.25</v>
      </c>
      <c r="K234">
        <v>0.25</v>
      </c>
      <c r="L234">
        <v>0</v>
      </c>
      <c r="M234">
        <v>0</v>
      </c>
      <c r="N234">
        <v>2</v>
      </c>
    </row>
    <row r="235" spans="1:14">
      <c r="A235" t="s">
        <v>489</v>
      </c>
      <c r="B235" t="s">
        <v>633</v>
      </c>
      <c r="C235">
        <v>0</v>
      </c>
      <c r="D235">
        <v>0</v>
      </c>
      <c r="E235">
        <v>0</v>
      </c>
      <c r="F235">
        <v>0</v>
      </c>
      <c r="H235">
        <v>2</v>
      </c>
      <c r="I235">
        <v>0</v>
      </c>
      <c r="J235">
        <v>2</v>
      </c>
      <c r="K235">
        <v>2</v>
      </c>
      <c r="L235">
        <v>0</v>
      </c>
      <c r="M235">
        <v>2</v>
      </c>
      <c r="N235">
        <v>0</v>
      </c>
    </row>
    <row r="236" spans="1:14">
      <c r="A236" t="s">
        <v>489</v>
      </c>
      <c r="B236" t="s">
        <v>634</v>
      </c>
      <c r="C236">
        <v>0</v>
      </c>
      <c r="D236">
        <v>0</v>
      </c>
      <c r="E236">
        <v>0</v>
      </c>
      <c r="F236">
        <v>0</v>
      </c>
      <c r="H236">
        <v>0</v>
      </c>
      <c r="I236">
        <v>3</v>
      </c>
      <c r="J236">
        <v>0.38</v>
      </c>
      <c r="K236">
        <v>0.38</v>
      </c>
      <c r="L236">
        <v>0</v>
      </c>
      <c r="M236">
        <v>0</v>
      </c>
      <c r="N236">
        <v>3</v>
      </c>
    </row>
    <row r="237" spans="1:14">
      <c r="A237" t="s">
        <v>489</v>
      </c>
      <c r="B237" t="s">
        <v>635</v>
      </c>
      <c r="C237">
        <v>0</v>
      </c>
      <c r="D237">
        <v>0</v>
      </c>
      <c r="E237">
        <v>0</v>
      </c>
      <c r="F237">
        <v>0</v>
      </c>
      <c r="H237">
        <v>3</v>
      </c>
      <c r="I237">
        <v>4</v>
      </c>
      <c r="J237">
        <v>3.5</v>
      </c>
      <c r="K237">
        <v>3.5</v>
      </c>
      <c r="L237">
        <v>0</v>
      </c>
      <c r="M237">
        <v>3</v>
      </c>
      <c r="N237">
        <v>4</v>
      </c>
    </row>
    <row r="238" spans="1:14">
      <c r="A238" t="s">
        <v>489</v>
      </c>
      <c r="B238" t="s">
        <v>591</v>
      </c>
      <c r="C238">
        <v>0</v>
      </c>
      <c r="D238">
        <v>0</v>
      </c>
      <c r="E238">
        <v>0</v>
      </c>
      <c r="F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489</v>
      </c>
      <c r="B239" t="s">
        <v>592</v>
      </c>
      <c r="C239">
        <v>0</v>
      </c>
      <c r="D239">
        <v>0</v>
      </c>
      <c r="E239">
        <v>0</v>
      </c>
      <c r="F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636</v>
      </c>
      <c r="B240" t="s">
        <v>637</v>
      </c>
      <c r="C240">
        <v>0</v>
      </c>
      <c r="D240">
        <v>0</v>
      </c>
      <c r="E240">
        <v>0</v>
      </c>
      <c r="F240">
        <v>0</v>
      </c>
      <c r="G240" t="s">
        <v>483</v>
      </c>
      <c r="H240">
        <v>45</v>
      </c>
      <c r="I240">
        <v>0</v>
      </c>
      <c r="J240">
        <v>45</v>
      </c>
      <c r="K240">
        <v>45</v>
      </c>
      <c r="L240">
        <v>0</v>
      </c>
      <c r="M240">
        <v>45</v>
      </c>
      <c r="N240">
        <v>0</v>
      </c>
    </row>
    <row r="241" spans="1:14">
      <c r="A241" t="s">
        <v>636</v>
      </c>
      <c r="B241" t="s">
        <v>638</v>
      </c>
      <c r="C241">
        <v>0</v>
      </c>
      <c r="D241">
        <v>0</v>
      </c>
      <c r="E241">
        <v>0</v>
      </c>
      <c r="F241">
        <v>0</v>
      </c>
      <c r="H241">
        <v>45</v>
      </c>
      <c r="I241">
        <v>0</v>
      </c>
      <c r="J241">
        <v>45</v>
      </c>
      <c r="K241">
        <v>45</v>
      </c>
      <c r="L241">
        <v>0</v>
      </c>
      <c r="M241">
        <v>45</v>
      </c>
      <c r="N241">
        <v>0</v>
      </c>
    </row>
    <row r="242" spans="1:14">
      <c r="A242" t="s">
        <v>636</v>
      </c>
      <c r="B242" t="s">
        <v>639</v>
      </c>
      <c r="C242">
        <v>0</v>
      </c>
      <c r="D242">
        <v>0</v>
      </c>
      <c r="E242">
        <v>0</v>
      </c>
      <c r="F242">
        <v>0</v>
      </c>
      <c r="H242">
        <v>36</v>
      </c>
      <c r="I242">
        <v>2.5</v>
      </c>
      <c r="J242">
        <v>36.31</v>
      </c>
      <c r="K242">
        <v>36.31</v>
      </c>
      <c r="L242">
        <v>0</v>
      </c>
      <c r="M242">
        <v>36</v>
      </c>
      <c r="N242">
        <v>2.5</v>
      </c>
    </row>
    <row r="243" spans="1:14">
      <c r="A243" t="s">
        <v>636</v>
      </c>
      <c r="B243" t="s">
        <v>640</v>
      </c>
      <c r="C243">
        <v>0</v>
      </c>
      <c r="D243">
        <v>0</v>
      </c>
      <c r="E243">
        <v>0</v>
      </c>
      <c r="F243">
        <v>0</v>
      </c>
      <c r="H243">
        <v>5</v>
      </c>
      <c r="I243">
        <v>1.5</v>
      </c>
      <c r="J243">
        <v>5.19</v>
      </c>
      <c r="K243">
        <v>5.19</v>
      </c>
      <c r="L243">
        <v>0</v>
      </c>
      <c r="M243">
        <v>5</v>
      </c>
      <c r="N243">
        <v>1.5</v>
      </c>
    </row>
    <row r="244" spans="1:14">
      <c r="A244" t="s">
        <v>636</v>
      </c>
      <c r="B244" t="s">
        <v>641</v>
      </c>
      <c r="C244">
        <v>0</v>
      </c>
      <c r="D244">
        <v>0</v>
      </c>
      <c r="E244">
        <v>0</v>
      </c>
      <c r="F244">
        <v>0</v>
      </c>
      <c r="H244">
        <v>3</v>
      </c>
      <c r="I244">
        <v>2</v>
      </c>
      <c r="J244">
        <v>3.25</v>
      </c>
      <c r="K244">
        <v>3.25</v>
      </c>
      <c r="L244">
        <v>0</v>
      </c>
      <c r="M244">
        <v>3</v>
      </c>
      <c r="N244">
        <v>2</v>
      </c>
    </row>
    <row r="245" spans="1:14">
      <c r="A245" t="s">
        <v>636</v>
      </c>
      <c r="B245" t="s">
        <v>642</v>
      </c>
      <c r="C245">
        <v>0</v>
      </c>
      <c r="D245">
        <v>0</v>
      </c>
      <c r="E245">
        <v>0</v>
      </c>
      <c r="F245">
        <v>0</v>
      </c>
      <c r="H245">
        <v>0</v>
      </c>
      <c r="I245">
        <v>2</v>
      </c>
      <c r="J245">
        <v>0.25</v>
      </c>
      <c r="K245">
        <v>0.25</v>
      </c>
      <c r="L245">
        <v>0</v>
      </c>
      <c r="M245">
        <v>0</v>
      </c>
      <c r="N245">
        <v>2</v>
      </c>
    </row>
    <row r="246" spans="1:14">
      <c r="A246" t="s">
        <v>636</v>
      </c>
      <c r="B246" t="s">
        <v>591</v>
      </c>
      <c r="C246">
        <v>0</v>
      </c>
      <c r="D246">
        <v>0</v>
      </c>
      <c r="E246">
        <v>0</v>
      </c>
      <c r="F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636</v>
      </c>
      <c r="B247" t="s">
        <v>592</v>
      </c>
      <c r="C247">
        <v>0</v>
      </c>
      <c r="D247">
        <v>0</v>
      </c>
      <c r="E247">
        <v>0</v>
      </c>
      <c r="F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643</v>
      </c>
      <c r="B248" t="s">
        <v>644</v>
      </c>
      <c r="C248">
        <v>0</v>
      </c>
      <c r="D248">
        <v>0</v>
      </c>
      <c r="E248">
        <v>0</v>
      </c>
      <c r="F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643</v>
      </c>
      <c r="B249" t="s">
        <v>645</v>
      </c>
      <c r="C249">
        <v>0</v>
      </c>
      <c r="D249">
        <v>0</v>
      </c>
      <c r="E249">
        <v>0</v>
      </c>
      <c r="F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643</v>
      </c>
      <c r="B250" t="s">
        <v>646</v>
      </c>
      <c r="C250">
        <v>0</v>
      </c>
      <c r="D250">
        <v>0</v>
      </c>
      <c r="E250">
        <v>0</v>
      </c>
      <c r="F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643</v>
      </c>
      <c r="B251" t="s">
        <v>647</v>
      </c>
      <c r="C251">
        <v>0</v>
      </c>
      <c r="D251">
        <v>0</v>
      </c>
      <c r="E251">
        <v>0</v>
      </c>
      <c r="F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643</v>
      </c>
      <c r="B252" t="s">
        <v>648</v>
      </c>
      <c r="C252">
        <v>0</v>
      </c>
      <c r="D252">
        <v>0</v>
      </c>
      <c r="E252">
        <v>0</v>
      </c>
      <c r="F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643</v>
      </c>
      <c r="B253" t="s">
        <v>649</v>
      </c>
      <c r="C253">
        <v>0</v>
      </c>
      <c r="D253">
        <v>0</v>
      </c>
      <c r="E253">
        <v>0</v>
      </c>
      <c r="F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643</v>
      </c>
      <c r="B254" t="s">
        <v>650</v>
      </c>
      <c r="C254">
        <v>0</v>
      </c>
      <c r="D254">
        <v>0</v>
      </c>
      <c r="E254">
        <v>0</v>
      </c>
      <c r="F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643</v>
      </c>
      <c r="B255" t="s">
        <v>651</v>
      </c>
      <c r="C255">
        <v>0</v>
      </c>
      <c r="D255">
        <v>0</v>
      </c>
      <c r="E255">
        <v>0</v>
      </c>
      <c r="F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643</v>
      </c>
      <c r="B256" t="s">
        <v>652</v>
      </c>
      <c r="C256">
        <v>0</v>
      </c>
      <c r="D256">
        <v>0</v>
      </c>
      <c r="E256">
        <v>0</v>
      </c>
      <c r="F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643</v>
      </c>
      <c r="B257" t="s">
        <v>653</v>
      </c>
      <c r="C257">
        <v>0</v>
      </c>
      <c r="D257">
        <v>0</v>
      </c>
      <c r="E257">
        <v>0</v>
      </c>
      <c r="F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643</v>
      </c>
      <c r="B258" t="s">
        <v>591</v>
      </c>
      <c r="C258">
        <v>0</v>
      </c>
      <c r="D258">
        <v>0</v>
      </c>
      <c r="E258">
        <v>0</v>
      </c>
      <c r="F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643</v>
      </c>
      <c r="B259" t="s">
        <v>654</v>
      </c>
      <c r="C259">
        <v>0</v>
      </c>
      <c r="D259">
        <v>0</v>
      </c>
      <c r="E259">
        <v>0</v>
      </c>
      <c r="F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643</v>
      </c>
      <c r="B260" t="s">
        <v>655</v>
      </c>
      <c r="C260">
        <v>0</v>
      </c>
      <c r="D260">
        <v>0</v>
      </c>
      <c r="E260">
        <v>0</v>
      </c>
      <c r="F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643</v>
      </c>
      <c r="B261" t="s">
        <v>656</v>
      </c>
      <c r="C261">
        <v>0</v>
      </c>
      <c r="D261">
        <v>0</v>
      </c>
      <c r="E261">
        <v>0</v>
      </c>
      <c r="F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643</v>
      </c>
      <c r="B262" t="s">
        <v>657</v>
      </c>
      <c r="C262">
        <v>0</v>
      </c>
      <c r="D262">
        <v>0</v>
      </c>
      <c r="E262">
        <v>0</v>
      </c>
      <c r="F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643</v>
      </c>
      <c r="B263" t="s">
        <v>656</v>
      </c>
      <c r="C263">
        <v>0</v>
      </c>
      <c r="D263">
        <v>0</v>
      </c>
      <c r="E263">
        <v>0</v>
      </c>
      <c r="F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643</v>
      </c>
      <c r="B264" t="s">
        <v>658</v>
      </c>
      <c r="C264">
        <v>0</v>
      </c>
      <c r="D264">
        <v>0</v>
      </c>
      <c r="E264">
        <v>0</v>
      </c>
      <c r="F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643</v>
      </c>
      <c r="B265" t="s">
        <v>656</v>
      </c>
      <c r="C265">
        <v>0</v>
      </c>
      <c r="D265">
        <v>0</v>
      </c>
      <c r="E265">
        <v>0</v>
      </c>
      <c r="F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643</v>
      </c>
      <c r="B266" t="s">
        <v>659</v>
      </c>
      <c r="C266">
        <v>0</v>
      </c>
      <c r="D266">
        <v>0</v>
      </c>
      <c r="E266">
        <v>0</v>
      </c>
      <c r="F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643</v>
      </c>
      <c r="B267" t="s">
        <v>660</v>
      </c>
      <c r="C267">
        <v>0</v>
      </c>
      <c r="D267">
        <v>0</v>
      </c>
      <c r="E267">
        <v>0</v>
      </c>
      <c r="F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643</v>
      </c>
      <c r="B268" t="s">
        <v>661</v>
      </c>
      <c r="C268">
        <v>0</v>
      </c>
      <c r="D268">
        <v>0</v>
      </c>
      <c r="E268">
        <v>0</v>
      </c>
      <c r="F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643</v>
      </c>
      <c r="B269" t="s">
        <v>662</v>
      </c>
      <c r="C269">
        <v>0</v>
      </c>
      <c r="D269">
        <v>0</v>
      </c>
      <c r="E269">
        <v>0</v>
      </c>
      <c r="F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643</v>
      </c>
      <c r="B270" t="s">
        <v>663</v>
      </c>
      <c r="C270">
        <v>0</v>
      </c>
      <c r="D270">
        <v>0</v>
      </c>
      <c r="E270">
        <v>0</v>
      </c>
      <c r="F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643</v>
      </c>
      <c r="B271" t="s">
        <v>664</v>
      </c>
      <c r="C271">
        <v>0</v>
      </c>
      <c r="D271">
        <v>0</v>
      </c>
      <c r="E271">
        <v>0</v>
      </c>
      <c r="F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643</v>
      </c>
      <c r="B272" t="s">
        <v>665</v>
      </c>
      <c r="C272">
        <v>0</v>
      </c>
      <c r="D272">
        <v>0</v>
      </c>
      <c r="E272">
        <v>0</v>
      </c>
      <c r="F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643</v>
      </c>
      <c r="B273" t="s">
        <v>666</v>
      </c>
      <c r="C273">
        <v>0</v>
      </c>
      <c r="D273">
        <v>0</v>
      </c>
      <c r="E273">
        <v>0</v>
      </c>
      <c r="F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643</v>
      </c>
      <c r="B274" t="s">
        <v>667</v>
      </c>
      <c r="C274">
        <v>0</v>
      </c>
      <c r="D274">
        <v>0</v>
      </c>
      <c r="E274">
        <v>0</v>
      </c>
      <c r="F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643</v>
      </c>
      <c r="B275" t="s">
        <v>668</v>
      </c>
      <c r="C275">
        <v>0</v>
      </c>
      <c r="D275">
        <v>0</v>
      </c>
      <c r="E275">
        <v>0</v>
      </c>
      <c r="F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643</v>
      </c>
      <c r="B276" t="s">
        <v>669</v>
      </c>
      <c r="C276">
        <v>0</v>
      </c>
      <c r="D276">
        <v>0</v>
      </c>
      <c r="E276">
        <v>0</v>
      </c>
      <c r="F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643</v>
      </c>
      <c r="B277" t="s">
        <v>670</v>
      </c>
      <c r="C277">
        <v>0</v>
      </c>
      <c r="D277">
        <v>0</v>
      </c>
      <c r="E277">
        <v>0</v>
      </c>
      <c r="F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643</v>
      </c>
      <c r="B278" t="s">
        <v>671</v>
      </c>
      <c r="C278">
        <v>0</v>
      </c>
      <c r="D278">
        <v>0</v>
      </c>
      <c r="E278">
        <v>0</v>
      </c>
      <c r="F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643</v>
      </c>
      <c r="B279" t="s">
        <v>672</v>
      </c>
      <c r="C279">
        <v>0</v>
      </c>
      <c r="D279">
        <v>0</v>
      </c>
      <c r="E279">
        <v>0</v>
      </c>
      <c r="F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643</v>
      </c>
      <c r="B280" t="s">
        <v>673</v>
      </c>
      <c r="C280">
        <v>0</v>
      </c>
      <c r="D280">
        <v>0</v>
      </c>
      <c r="E280">
        <v>0</v>
      </c>
      <c r="F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643</v>
      </c>
      <c r="B281" t="s">
        <v>674</v>
      </c>
      <c r="C281">
        <v>0</v>
      </c>
      <c r="D281">
        <v>0</v>
      </c>
      <c r="E281">
        <v>0</v>
      </c>
      <c r="F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643</v>
      </c>
      <c r="B282" t="s">
        <v>675</v>
      </c>
      <c r="C282">
        <v>0</v>
      </c>
      <c r="D282">
        <v>0</v>
      </c>
      <c r="E282">
        <v>0</v>
      </c>
      <c r="F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643</v>
      </c>
      <c r="B283" t="s">
        <v>676</v>
      </c>
      <c r="C283">
        <v>0</v>
      </c>
      <c r="D283">
        <v>0</v>
      </c>
      <c r="E283">
        <v>0</v>
      </c>
      <c r="F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643</v>
      </c>
      <c r="B284" t="s">
        <v>677</v>
      </c>
      <c r="C284">
        <v>0</v>
      </c>
      <c r="D284">
        <v>0</v>
      </c>
      <c r="E284">
        <v>0</v>
      </c>
      <c r="F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643</v>
      </c>
      <c r="B285" t="s">
        <v>678</v>
      </c>
      <c r="C285">
        <v>0</v>
      </c>
      <c r="D285">
        <v>0</v>
      </c>
      <c r="E285">
        <v>0</v>
      </c>
      <c r="F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643</v>
      </c>
      <c r="B286" t="s">
        <v>591</v>
      </c>
      <c r="C286">
        <v>0</v>
      </c>
      <c r="D286">
        <v>0</v>
      </c>
      <c r="E286">
        <v>0</v>
      </c>
      <c r="F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643</v>
      </c>
      <c r="B287" t="s">
        <v>654</v>
      </c>
      <c r="C287">
        <v>0</v>
      </c>
      <c r="D287">
        <v>0</v>
      </c>
      <c r="E287">
        <v>0</v>
      </c>
      <c r="F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643</v>
      </c>
      <c r="B288" t="s">
        <v>679</v>
      </c>
      <c r="C288">
        <v>0</v>
      </c>
      <c r="D288">
        <v>0</v>
      </c>
      <c r="E288">
        <v>0</v>
      </c>
      <c r="F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643</v>
      </c>
      <c r="B289" t="s">
        <v>680</v>
      </c>
      <c r="C289">
        <v>0</v>
      </c>
      <c r="D289">
        <v>0</v>
      </c>
      <c r="E289">
        <v>0</v>
      </c>
      <c r="F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643</v>
      </c>
      <c r="B290" t="s">
        <v>681</v>
      </c>
      <c r="C290">
        <v>0</v>
      </c>
      <c r="D290">
        <v>0</v>
      </c>
      <c r="E290">
        <v>0</v>
      </c>
      <c r="F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643</v>
      </c>
      <c r="B291" t="s">
        <v>682</v>
      </c>
      <c r="C291">
        <v>0</v>
      </c>
      <c r="D291">
        <v>0</v>
      </c>
      <c r="E291">
        <v>0</v>
      </c>
      <c r="F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643</v>
      </c>
      <c r="B292" t="s">
        <v>683</v>
      </c>
      <c r="C292">
        <v>0</v>
      </c>
      <c r="D292">
        <v>0</v>
      </c>
      <c r="E292">
        <v>0</v>
      </c>
      <c r="F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643</v>
      </c>
      <c r="B293" t="s">
        <v>684</v>
      </c>
      <c r="C293">
        <v>0</v>
      </c>
      <c r="D293">
        <v>0</v>
      </c>
      <c r="E293">
        <v>0</v>
      </c>
      <c r="F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643</v>
      </c>
      <c r="B294" t="s">
        <v>685</v>
      </c>
      <c r="C294">
        <v>0</v>
      </c>
      <c r="D294">
        <v>0</v>
      </c>
      <c r="E294">
        <v>0</v>
      </c>
      <c r="F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643</v>
      </c>
      <c r="B295" t="s">
        <v>686</v>
      </c>
      <c r="C295">
        <v>0</v>
      </c>
      <c r="D295">
        <v>0</v>
      </c>
      <c r="E295">
        <v>0</v>
      </c>
      <c r="F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643</v>
      </c>
      <c r="B296" t="s">
        <v>687</v>
      </c>
      <c r="C296">
        <v>0</v>
      </c>
      <c r="D296">
        <v>0</v>
      </c>
      <c r="E296">
        <v>0</v>
      </c>
      <c r="F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643</v>
      </c>
      <c r="B297" t="s">
        <v>688</v>
      </c>
      <c r="C297">
        <v>0</v>
      </c>
      <c r="D297">
        <v>0</v>
      </c>
      <c r="E297">
        <v>0</v>
      </c>
      <c r="F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643</v>
      </c>
      <c r="B298" t="s">
        <v>689</v>
      </c>
      <c r="C298">
        <v>0</v>
      </c>
      <c r="D298">
        <v>0</v>
      </c>
      <c r="E298">
        <v>0</v>
      </c>
      <c r="F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643</v>
      </c>
      <c r="B299" t="s">
        <v>690</v>
      </c>
      <c r="C299">
        <v>0</v>
      </c>
      <c r="D299">
        <v>0</v>
      </c>
      <c r="E299">
        <v>0</v>
      </c>
      <c r="F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643</v>
      </c>
      <c r="B300" t="s">
        <v>591</v>
      </c>
      <c r="C300">
        <v>0</v>
      </c>
      <c r="D300">
        <v>0</v>
      </c>
      <c r="E300">
        <v>0</v>
      </c>
      <c r="F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643</v>
      </c>
      <c r="B301" t="s">
        <v>595</v>
      </c>
      <c r="C301">
        <v>0</v>
      </c>
      <c r="D301">
        <v>0</v>
      </c>
      <c r="E301">
        <v>0</v>
      </c>
      <c r="F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643</v>
      </c>
      <c r="B302" t="s">
        <v>691</v>
      </c>
      <c r="C302">
        <v>0</v>
      </c>
      <c r="D302">
        <v>0</v>
      </c>
      <c r="E302">
        <v>0</v>
      </c>
      <c r="F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643</v>
      </c>
      <c r="B303" t="s">
        <v>692</v>
      </c>
      <c r="C303">
        <v>0</v>
      </c>
      <c r="D303">
        <v>0</v>
      </c>
      <c r="E303">
        <v>0</v>
      </c>
      <c r="F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643</v>
      </c>
      <c r="B304" t="s">
        <v>595</v>
      </c>
      <c r="C304">
        <v>0</v>
      </c>
      <c r="D304">
        <v>0</v>
      </c>
      <c r="E304">
        <v>0</v>
      </c>
      <c r="F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643</v>
      </c>
      <c r="B305" t="s">
        <v>693</v>
      </c>
      <c r="C305">
        <v>0</v>
      </c>
      <c r="D305">
        <v>0</v>
      </c>
      <c r="E305">
        <v>0</v>
      </c>
      <c r="F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643</v>
      </c>
      <c r="B306" t="s">
        <v>594</v>
      </c>
      <c r="C306">
        <v>0</v>
      </c>
      <c r="D306">
        <v>0</v>
      </c>
      <c r="E306">
        <v>0</v>
      </c>
      <c r="F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643</v>
      </c>
      <c r="B307" t="s">
        <v>654</v>
      </c>
      <c r="C307">
        <v>0</v>
      </c>
      <c r="D307">
        <v>0</v>
      </c>
      <c r="E307">
        <v>0</v>
      </c>
      <c r="F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643</v>
      </c>
      <c r="B308" t="s">
        <v>694</v>
      </c>
      <c r="C308">
        <v>0</v>
      </c>
      <c r="D308">
        <v>0</v>
      </c>
      <c r="E308">
        <v>0</v>
      </c>
      <c r="F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643</v>
      </c>
      <c r="B309" t="s">
        <v>695</v>
      </c>
      <c r="C309">
        <v>0</v>
      </c>
      <c r="D309">
        <v>0</v>
      </c>
      <c r="E309">
        <v>0</v>
      </c>
      <c r="F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643</v>
      </c>
      <c r="B310" t="s">
        <v>696</v>
      </c>
      <c r="C310">
        <v>0</v>
      </c>
      <c r="D310">
        <v>0</v>
      </c>
      <c r="E310">
        <v>0</v>
      </c>
      <c r="F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643</v>
      </c>
      <c r="B311" t="s">
        <v>591</v>
      </c>
      <c r="C311">
        <v>0</v>
      </c>
      <c r="D311">
        <v>0</v>
      </c>
      <c r="E311">
        <v>0</v>
      </c>
      <c r="F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643</v>
      </c>
      <c r="B312" t="s">
        <v>654</v>
      </c>
      <c r="C312">
        <v>0</v>
      </c>
      <c r="D312">
        <v>0</v>
      </c>
      <c r="E312">
        <v>0</v>
      </c>
      <c r="F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643</v>
      </c>
      <c r="B313" t="s">
        <v>697</v>
      </c>
      <c r="C313">
        <v>0</v>
      </c>
      <c r="D313">
        <v>0</v>
      </c>
      <c r="E313">
        <v>0</v>
      </c>
      <c r="F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643</v>
      </c>
      <c r="B314" t="s">
        <v>594</v>
      </c>
      <c r="C314">
        <v>0</v>
      </c>
      <c r="D314">
        <v>0</v>
      </c>
      <c r="E314">
        <v>0</v>
      </c>
      <c r="F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643</v>
      </c>
      <c r="B315" t="s">
        <v>654</v>
      </c>
      <c r="C315">
        <v>0</v>
      </c>
      <c r="D315">
        <v>0</v>
      </c>
      <c r="E315">
        <v>0</v>
      </c>
      <c r="F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643</v>
      </c>
      <c r="B316" t="s">
        <v>698</v>
      </c>
      <c r="C316">
        <v>0</v>
      </c>
      <c r="D316">
        <v>0</v>
      </c>
      <c r="E316">
        <v>0</v>
      </c>
      <c r="F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643</v>
      </c>
      <c r="B317" t="s">
        <v>699</v>
      </c>
      <c r="C317">
        <v>0</v>
      </c>
      <c r="D317">
        <v>0</v>
      </c>
      <c r="E317">
        <v>0</v>
      </c>
      <c r="F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643</v>
      </c>
      <c r="B318" t="s">
        <v>700</v>
      </c>
      <c r="C318">
        <v>0</v>
      </c>
      <c r="D318">
        <v>0</v>
      </c>
      <c r="E318">
        <v>0</v>
      </c>
      <c r="F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643</v>
      </c>
      <c r="B319" t="s">
        <v>591</v>
      </c>
      <c r="C319">
        <v>0</v>
      </c>
      <c r="D319">
        <v>0</v>
      </c>
      <c r="E319">
        <v>0</v>
      </c>
      <c r="F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643</v>
      </c>
      <c r="B320" t="s">
        <v>654</v>
      </c>
      <c r="C320">
        <v>0</v>
      </c>
      <c r="D320">
        <v>0</v>
      </c>
      <c r="E320">
        <v>0</v>
      </c>
      <c r="F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643</v>
      </c>
      <c r="B321" t="s">
        <v>701</v>
      </c>
      <c r="C321">
        <v>0</v>
      </c>
      <c r="D321">
        <v>0</v>
      </c>
      <c r="E321">
        <v>0</v>
      </c>
      <c r="F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643</v>
      </c>
      <c r="B322" t="s">
        <v>594</v>
      </c>
      <c r="C322">
        <v>0</v>
      </c>
      <c r="D322">
        <v>0</v>
      </c>
      <c r="E322">
        <v>0</v>
      </c>
      <c r="F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643</v>
      </c>
      <c r="B323" t="s">
        <v>654</v>
      </c>
      <c r="C323">
        <v>0</v>
      </c>
      <c r="D323">
        <v>0</v>
      </c>
      <c r="E323">
        <v>0</v>
      </c>
      <c r="F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643</v>
      </c>
      <c r="B324" t="s">
        <v>702</v>
      </c>
      <c r="C324">
        <v>0</v>
      </c>
      <c r="D324">
        <v>0</v>
      </c>
      <c r="E324">
        <v>0</v>
      </c>
      <c r="F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643</v>
      </c>
      <c r="B325" t="s">
        <v>594</v>
      </c>
      <c r="C325">
        <v>0</v>
      </c>
      <c r="D325">
        <v>0</v>
      </c>
      <c r="E325">
        <v>0</v>
      </c>
      <c r="F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643</v>
      </c>
      <c r="B326" t="s">
        <v>654</v>
      </c>
      <c r="C326">
        <v>0</v>
      </c>
      <c r="D326">
        <v>0</v>
      </c>
      <c r="E326">
        <v>0</v>
      </c>
      <c r="F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643</v>
      </c>
      <c r="B327" t="s">
        <v>703</v>
      </c>
      <c r="C327">
        <v>0</v>
      </c>
      <c r="D327">
        <v>0</v>
      </c>
      <c r="E327">
        <v>0</v>
      </c>
      <c r="F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643</v>
      </c>
      <c r="B328" t="s">
        <v>704</v>
      </c>
      <c r="C328">
        <v>0</v>
      </c>
      <c r="D328">
        <v>0</v>
      </c>
      <c r="E328">
        <v>0</v>
      </c>
      <c r="F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643</v>
      </c>
      <c r="B329" t="s">
        <v>705</v>
      </c>
      <c r="C329">
        <v>0</v>
      </c>
      <c r="D329">
        <v>0</v>
      </c>
      <c r="E329">
        <v>0</v>
      </c>
      <c r="F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643</v>
      </c>
      <c r="B330" t="s">
        <v>706</v>
      </c>
      <c r="C330">
        <v>0</v>
      </c>
      <c r="D330">
        <v>0</v>
      </c>
      <c r="E330">
        <v>0</v>
      </c>
      <c r="F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643</v>
      </c>
      <c r="B331" t="s">
        <v>707</v>
      </c>
      <c r="C331">
        <v>0</v>
      </c>
      <c r="D331">
        <v>0</v>
      </c>
      <c r="E331">
        <v>0</v>
      </c>
      <c r="F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643</v>
      </c>
      <c r="B332" t="s">
        <v>708</v>
      </c>
      <c r="C332">
        <v>0</v>
      </c>
      <c r="D332">
        <v>0</v>
      </c>
      <c r="E332">
        <v>0</v>
      </c>
      <c r="F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643</v>
      </c>
      <c r="B333" t="s">
        <v>709</v>
      </c>
      <c r="C333">
        <v>0</v>
      </c>
      <c r="D333">
        <v>0</v>
      </c>
      <c r="E333">
        <v>0</v>
      </c>
      <c r="F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643</v>
      </c>
      <c r="B334" t="s">
        <v>710</v>
      </c>
      <c r="C334">
        <v>0</v>
      </c>
      <c r="D334">
        <v>0</v>
      </c>
      <c r="E334">
        <v>0</v>
      </c>
      <c r="F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643</v>
      </c>
      <c r="B335" t="s">
        <v>711</v>
      </c>
      <c r="C335">
        <v>0</v>
      </c>
      <c r="D335">
        <v>0</v>
      </c>
      <c r="E335">
        <v>0</v>
      </c>
      <c r="F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643</v>
      </c>
      <c r="B336" t="s">
        <v>712</v>
      </c>
      <c r="C336">
        <v>0</v>
      </c>
      <c r="D336">
        <v>0</v>
      </c>
      <c r="E336">
        <v>0</v>
      </c>
      <c r="F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643</v>
      </c>
      <c r="B337" t="s">
        <v>713</v>
      </c>
      <c r="C337">
        <v>0</v>
      </c>
      <c r="D337">
        <v>0</v>
      </c>
      <c r="E337">
        <v>0</v>
      </c>
      <c r="F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643</v>
      </c>
      <c r="B338" t="s">
        <v>714</v>
      </c>
      <c r="C338">
        <v>0</v>
      </c>
      <c r="D338">
        <v>0</v>
      </c>
      <c r="E338">
        <v>0</v>
      </c>
      <c r="F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643</v>
      </c>
      <c r="B339" t="s">
        <v>654</v>
      </c>
      <c r="C339">
        <v>0</v>
      </c>
      <c r="D339">
        <v>0</v>
      </c>
      <c r="E339">
        <v>0</v>
      </c>
      <c r="F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643</v>
      </c>
      <c r="B340" t="s">
        <v>715</v>
      </c>
      <c r="C340">
        <v>0</v>
      </c>
      <c r="D340">
        <v>0</v>
      </c>
      <c r="E340">
        <v>0</v>
      </c>
      <c r="F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643</v>
      </c>
      <c r="B341" t="s">
        <v>594</v>
      </c>
      <c r="C341">
        <v>0</v>
      </c>
      <c r="D341">
        <v>0</v>
      </c>
      <c r="E341">
        <v>0</v>
      </c>
      <c r="F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643</v>
      </c>
      <c r="B342" t="s">
        <v>654</v>
      </c>
      <c r="C342">
        <v>0</v>
      </c>
      <c r="D342">
        <v>0</v>
      </c>
      <c r="E342">
        <v>0</v>
      </c>
      <c r="F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643</v>
      </c>
      <c r="B343" t="s">
        <v>716</v>
      </c>
      <c r="C343">
        <v>0</v>
      </c>
      <c r="D343">
        <v>0</v>
      </c>
      <c r="E343">
        <v>0</v>
      </c>
      <c r="F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643</v>
      </c>
      <c r="B344" t="s">
        <v>717</v>
      </c>
      <c r="C344">
        <v>0</v>
      </c>
      <c r="D344">
        <v>0</v>
      </c>
      <c r="E344">
        <v>0</v>
      </c>
      <c r="F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643</v>
      </c>
      <c r="B345" t="s">
        <v>718</v>
      </c>
      <c r="C345">
        <v>0</v>
      </c>
      <c r="D345">
        <v>0</v>
      </c>
      <c r="E345">
        <v>0</v>
      </c>
      <c r="F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643</v>
      </c>
      <c r="B346" t="s">
        <v>719</v>
      </c>
      <c r="C346">
        <v>0</v>
      </c>
      <c r="D346">
        <v>0</v>
      </c>
      <c r="E346">
        <v>0</v>
      </c>
      <c r="F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643</v>
      </c>
      <c r="B347" t="s">
        <v>720</v>
      </c>
      <c r="C347">
        <v>0</v>
      </c>
      <c r="D347">
        <v>0</v>
      </c>
      <c r="E347">
        <v>0</v>
      </c>
      <c r="F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643</v>
      </c>
      <c r="B348" t="s">
        <v>721</v>
      </c>
      <c r="C348">
        <v>0</v>
      </c>
      <c r="D348">
        <v>0</v>
      </c>
      <c r="E348">
        <v>0</v>
      </c>
      <c r="F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643</v>
      </c>
      <c r="B349" t="s">
        <v>722</v>
      </c>
      <c r="C349">
        <v>0</v>
      </c>
      <c r="D349">
        <v>0</v>
      </c>
      <c r="E349">
        <v>0</v>
      </c>
      <c r="F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643</v>
      </c>
      <c r="B350" t="s">
        <v>723</v>
      </c>
      <c r="C350">
        <v>0</v>
      </c>
      <c r="D350">
        <v>0</v>
      </c>
      <c r="E350">
        <v>0</v>
      </c>
      <c r="F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643</v>
      </c>
      <c r="B351" t="s">
        <v>591</v>
      </c>
      <c r="C351">
        <v>0</v>
      </c>
      <c r="D351">
        <v>0</v>
      </c>
      <c r="E351">
        <v>0</v>
      </c>
      <c r="F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643</v>
      </c>
      <c r="B352" t="s">
        <v>592</v>
      </c>
      <c r="C352">
        <v>0</v>
      </c>
      <c r="D352">
        <v>0</v>
      </c>
      <c r="E352">
        <v>0</v>
      </c>
      <c r="F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643</v>
      </c>
      <c r="B353" t="s">
        <v>724</v>
      </c>
      <c r="C353">
        <v>0</v>
      </c>
      <c r="D353">
        <v>0</v>
      </c>
      <c r="E353">
        <v>0</v>
      </c>
      <c r="F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643</v>
      </c>
      <c r="B354" t="s">
        <v>725</v>
      </c>
      <c r="C354">
        <v>0</v>
      </c>
      <c r="D354">
        <v>0</v>
      </c>
      <c r="E354">
        <v>0</v>
      </c>
      <c r="F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643</v>
      </c>
      <c r="B355" t="s">
        <v>726</v>
      </c>
      <c r="C355">
        <v>0</v>
      </c>
      <c r="D355">
        <v>0</v>
      </c>
      <c r="E355">
        <v>0</v>
      </c>
      <c r="F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643</v>
      </c>
      <c r="B356" t="s">
        <v>727</v>
      </c>
      <c r="C356">
        <v>0</v>
      </c>
      <c r="D356">
        <v>0</v>
      </c>
      <c r="E356">
        <v>0</v>
      </c>
      <c r="F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643</v>
      </c>
      <c r="B357" t="s">
        <v>728</v>
      </c>
      <c r="C357">
        <v>0</v>
      </c>
      <c r="D357">
        <v>0</v>
      </c>
      <c r="E357">
        <v>0</v>
      </c>
      <c r="F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643</v>
      </c>
      <c r="B358" t="s">
        <v>729</v>
      </c>
      <c r="C358">
        <v>0</v>
      </c>
      <c r="D358">
        <v>0</v>
      </c>
      <c r="E358">
        <v>0</v>
      </c>
      <c r="F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643</v>
      </c>
      <c r="B359" t="s">
        <v>730</v>
      </c>
      <c r="C359">
        <v>0</v>
      </c>
      <c r="D359">
        <v>0</v>
      </c>
      <c r="E359">
        <v>0</v>
      </c>
      <c r="F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5"/>
  <sheetViews>
    <sheetView workbookViewId="0"/>
  </sheetViews>
  <sheetFormatPr defaultRowHeight="14.5"/>
  <sheetData>
    <row r="1" spans="1:9">
      <c r="A1" t="s">
        <v>166</v>
      </c>
      <c r="B1" t="s">
        <v>243</v>
      </c>
      <c r="C1" t="s">
        <v>405</v>
      </c>
      <c r="D1" t="s">
        <v>406</v>
      </c>
      <c r="E1" t="s">
        <v>643</v>
      </c>
      <c r="F1" t="s">
        <v>731</v>
      </c>
      <c r="G1" t="s">
        <v>320</v>
      </c>
      <c r="H1" t="s">
        <v>732</v>
      </c>
      <c r="I1" t="s">
        <v>327</v>
      </c>
    </row>
    <row r="2" spans="1:9">
      <c r="A2" t="s">
        <v>71</v>
      </c>
      <c r="B2" t="s">
        <v>175</v>
      </c>
      <c r="C2">
        <v>0</v>
      </c>
      <c r="D2">
        <v>0</v>
      </c>
    </row>
    <row r="3" spans="1:9">
      <c r="A3" t="s">
        <v>733</v>
      </c>
      <c r="B3" t="s">
        <v>734</v>
      </c>
      <c r="C3">
        <v>0</v>
      </c>
      <c r="D3">
        <v>0</v>
      </c>
      <c r="E3" t="s">
        <v>735</v>
      </c>
      <c r="F3" t="s">
        <v>736</v>
      </c>
    </row>
    <row r="4" spans="1:9">
      <c r="A4" t="s">
        <v>733</v>
      </c>
      <c r="B4" t="s">
        <v>737</v>
      </c>
      <c r="C4">
        <v>0</v>
      </c>
      <c r="D4">
        <v>0</v>
      </c>
      <c r="E4" t="s">
        <v>95</v>
      </c>
      <c r="F4" t="s">
        <v>738</v>
      </c>
    </row>
    <row r="5" spans="1:9">
      <c r="A5" t="s">
        <v>733</v>
      </c>
      <c r="B5" t="s">
        <v>646</v>
      </c>
      <c r="C5">
        <v>0</v>
      </c>
      <c r="D5">
        <v>0</v>
      </c>
      <c r="E5" t="s">
        <v>95</v>
      </c>
    </row>
    <row r="6" spans="1:9">
      <c r="A6" t="s">
        <v>733</v>
      </c>
      <c r="B6" t="s">
        <v>647</v>
      </c>
      <c r="C6">
        <v>0</v>
      </c>
      <c r="D6">
        <v>0</v>
      </c>
      <c r="E6" t="s">
        <v>95</v>
      </c>
      <c r="G6" t="s">
        <v>736</v>
      </c>
    </row>
    <row r="7" spans="1:9">
      <c r="A7" t="s">
        <v>733</v>
      </c>
      <c r="B7" t="s">
        <v>739</v>
      </c>
      <c r="C7">
        <v>0</v>
      </c>
      <c r="D7">
        <v>0</v>
      </c>
      <c r="E7" t="s">
        <v>95</v>
      </c>
      <c r="I7" t="s">
        <v>740</v>
      </c>
    </row>
    <row r="8" spans="1:9">
      <c r="A8" t="s">
        <v>733</v>
      </c>
      <c r="B8" t="s">
        <v>649</v>
      </c>
      <c r="C8">
        <v>0</v>
      </c>
      <c r="D8">
        <v>0</v>
      </c>
      <c r="E8" t="s">
        <v>95</v>
      </c>
    </row>
    <row r="9" spans="1:9">
      <c r="A9" t="s">
        <v>733</v>
      </c>
      <c r="B9" t="s">
        <v>741</v>
      </c>
      <c r="C9">
        <v>0</v>
      </c>
      <c r="D9">
        <v>0</v>
      </c>
      <c r="E9" t="s">
        <v>97</v>
      </c>
      <c r="F9" t="s">
        <v>736</v>
      </c>
    </row>
    <row r="10" spans="1:9">
      <c r="A10" t="s">
        <v>733</v>
      </c>
      <c r="B10" t="s">
        <v>742</v>
      </c>
      <c r="C10">
        <v>0</v>
      </c>
      <c r="D10">
        <v>0</v>
      </c>
      <c r="E10" t="s">
        <v>98</v>
      </c>
      <c r="F10" t="s">
        <v>736</v>
      </c>
    </row>
    <row r="11" spans="1:9">
      <c r="A11" t="s">
        <v>733</v>
      </c>
      <c r="B11" t="s">
        <v>743</v>
      </c>
      <c r="C11">
        <v>0</v>
      </c>
      <c r="D11">
        <v>0</v>
      </c>
      <c r="E11" t="s">
        <v>98</v>
      </c>
    </row>
    <row r="12" spans="1:9">
      <c r="A12" t="s">
        <v>733</v>
      </c>
      <c r="B12" t="s">
        <v>653</v>
      </c>
      <c r="C12">
        <v>0</v>
      </c>
      <c r="D12">
        <v>0</v>
      </c>
      <c r="E12" t="s">
        <v>98</v>
      </c>
      <c r="I12" t="s">
        <v>744</v>
      </c>
    </row>
    <row r="13" spans="1:9">
      <c r="A13" t="s">
        <v>733</v>
      </c>
      <c r="B13" t="s">
        <v>745</v>
      </c>
      <c r="C13">
        <v>0</v>
      </c>
      <c r="D13">
        <v>0</v>
      </c>
      <c r="E13" t="s">
        <v>98</v>
      </c>
    </row>
    <row r="14" spans="1:9">
      <c r="A14" t="s">
        <v>733</v>
      </c>
      <c r="B14" t="s">
        <v>746</v>
      </c>
      <c r="C14">
        <v>0</v>
      </c>
      <c r="D14">
        <v>0</v>
      </c>
      <c r="E14" t="s">
        <v>98</v>
      </c>
    </row>
    <row r="15" spans="1:9">
      <c r="A15" t="s">
        <v>733</v>
      </c>
      <c r="B15" t="s">
        <v>747</v>
      </c>
      <c r="C15">
        <v>0</v>
      </c>
      <c r="D15">
        <v>0</v>
      </c>
      <c r="E15" t="s">
        <v>99</v>
      </c>
      <c r="F15" t="s">
        <v>736</v>
      </c>
    </row>
    <row r="16" spans="1:9">
      <c r="A16" t="s">
        <v>733</v>
      </c>
      <c r="B16" t="s">
        <v>656</v>
      </c>
      <c r="C16">
        <v>0</v>
      </c>
      <c r="D16">
        <v>0</v>
      </c>
      <c r="E16" t="s">
        <v>99</v>
      </c>
    </row>
    <row r="17" spans="1:9">
      <c r="A17" t="s">
        <v>733</v>
      </c>
      <c r="B17" t="s">
        <v>748</v>
      </c>
      <c r="C17">
        <v>0</v>
      </c>
      <c r="D17">
        <v>0</v>
      </c>
      <c r="E17" t="s">
        <v>100</v>
      </c>
      <c r="F17" t="s">
        <v>736</v>
      </c>
    </row>
    <row r="18" spans="1:9">
      <c r="A18" t="s">
        <v>733</v>
      </c>
      <c r="B18" t="s">
        <v>656</v>
      </c>
      <c r="C18">
        <v>0</v>
      </c>
      <c r="D18">
        <v>0</v>
      </c>
      <c r="E18" t="s">
        <v>100</v>
      </c>
    </row>
    <row r="19" spans="1:9">
      <c r="A19" t="s">
        <v>733</v>
      </c>
      <c r="B19" t="s">
        <v>749</v>
      </c>
      <c r="C19">
        <v>0</v>
      </c>
      <c r="D19">
        <v>0</v>
      </c>
      <c r="E19" t="s">
        <v>101</v>
      </c>
      <c r="G19" t="s">
        <v>736</v>
      </c>
    </row>
    <row r="20" spans="1:9">
      <c r="A20" t="s">
        <v>733</v>
      </c>
      <c r="B20" t="s">
        <v>656</v>
      </c>
      <c r="C20">
        <v>0</v>
      </c>
      <c r="D20">
        <v>0</v>
      </c>
      <c r="E20" t="s">
        <v>101</v>
      </c>
      <c r="F20" t="s">
        <v>736</v>
      </c>
    </row>
    <row r="21" spans="1:9">
      <c r="A21" t="s">
        <v>733</v>
      </c>
      <c r="B21" t="s">
        <v>750</v>
      </c>
      <c r="C21">
        <v>0</v>
      </c>
      <c r="D21">
        <v>0</v>
      </c>
      <c r="E21" t="s">
        <v>102</v>
      </c>
      <c r="F21" t="s">
        <v>751</v>
      </c>
    </row>
    <row r="22" spans="1:9">
      <c r="A22" t="s">
        <v>733</v>
      </c>
      <c r="B22" t="s">
        <v>660</v>
      </c>
      <c r="C22">
        <v>0</v>
      </c>
      <c r="D22">
        <v>0</v>
      </c>
      <c r="E22" t="s">
        <v>102</v>
      </c>
    </row>
    <row r="23" spans="1:9">
      <c r="A23" t="s">
        <v>733</v>
      </c>
      <c r="B23" t="s">
        <v>752</v>
      </c>
      <c r="C23">
        <v>0</v>
      </c>
      <c r="D23">
        <v>0</v>
      </c>
      <c r="E23" t="s">
        <v>102</v>
      </c>
      <c r="H23" t="s">
        <v>753</v>
      </c>
    </row>
    <row r="24" spans="1:9">
      <c r="A24" t="s">
        <v>733</v>
      </c>
      <c r="B24" t="s">
        <v>662</v>
      </c>
      <c r="C24">
        <v>0</v>
      </c>
      <c r="D24">
        <v>0</v>
      </c>
      <c r="E24" t="s">
        <v>102</v>
      </c>
    </row>
    <row r="25" spans="1:9">
      <c r="A25" t="s">
        <v>733</v>
      </c>
      <c r="B25" t="s">
        <v>663</v>
      </c>
      <c r="C25">
        <v>0</v>
      </c>
      <c r="D25">
        <v>0</v>
      </c>
      <c r="E25" t="s">
        <v>102</v>
      </c>
      <c r="I25" t="s">
        <v>754</v>
      </c>
    </row>
    <row r="26" spans="1:9">
      <c r="A26" t="s">
        <v>733</v>
      </c>
      <c r="B26" t="s">
        <v>755</v>
      </c>
      <c r="C26">
        <v>0</v>
      </c>
      <c r="D26">
        <v>0</v>
      </c>
      <c r="E26" t="s">
        <v>102</v>
      </c>
    </row>
    <row r="27" spans="1:9">
      <c r="A27" t="s">
        <v>733</v>
      </c>
      <c r="B27" t="s">
        <v>756</v>
      </c>
      <c r="C27">
        <v>0</v>
      </c>
      <c r="D27">
        <v>0</v>
      </c>
      <c r="E27" t="s">
        <v>103</v>
      </c>
      <c r="F27" t="s">
        <v>757</v>
      </c>
    </row>
    <row r="28" spans="1:9">
      <c r="A28" t="s">
        <v>733</v>
      </c>
      <c r="B28" t="s">
        <v>758</v>
      </c>
      <c r="C28">
        <v>0</v>
      </c>
      <c r="D28">
        <v>0</v>
      </c>
      <c r="E28" t="s">
        <v>103</v>
      </c>
      <c r="I28" t="s">
        <v>744</v>
      </c>
    </row>
    <row r="29" spans="1:9">
      <c r="A29" t="s">
        <v>733</v>
      </c>
      <c r="B29" t="s">
        <v>667</v>
      </c>
      <c r="C29">
        <v>0</v>
      </c>
      <c r="D29">
        <v>0</v>
      </c>
      <c r="E29" t="s">
        <v>103</v>
      </c>
    </row>
    <row r="30" spans="1:9">
      <c r="A30" t="s">
        <v>733</v>
      </c>
      <c r="B30" t="s">
        <v>759</v>
      </c>
      <c r="C30">
        <v>0</v>
      </c>
      <c r="D30">
        <v>0</v>
      </c>
      <c r="E30" t="s">
        <v>104</v>
      </c>
      <c r="F30" t="s">
        <v>760</v>
      </c>
    </row>
    <row r="31" spans="1:9">
      <c r="A31" t="s">
        <v>733</v>
      </c>
      <c r="B31" t="s">
        <v>669</v>
      </c>
      <c r="C31">
        <v>0</v>
      </c>
      <c r="D31">
        <v>0</v>
      </c>
      <c r="E31" t="s">
        <v>104</v>
      </c>
    </row>
    <row r="32" spans="1:9">
      <c r="A32" t="s">
        <v>733</v>
      </c>
      <c r="B32" t="s">
        <v>761</v>
      </c>
      <c r="C32">
        <v>0</v>
      </c>
      <c r="D32">
        <v>0</v>
      </c>
      <c r="E32" t="s">
        <v>104</v>
      </c>
    </row>
    <row r="33" spans="1:9">
      <c r="A33" t="s">
        <v>733</v>
      </c>
      <c r="B33" t="s">
        <v>762</v>
      </c>
      <c r="C33">
        <v>0</v>
      </c>
      <c r="D33">
        <v>0</v>
      </c>
      <c r="E33" t="s">
        <v>104</v>
      </c>
    </row>
    <row r="34" spans="1:9">
      <c r="A34" t="s">
        <v>733</v>
      </c>
      <c r="B34" t="s">
        <v>763</v>
      </c>
      <c r="C34">
        <v>0</v>
      </c>
      <c r="D34">
        <v>0</v>
      </c>
      <c r="E34" t="s">
        <v>104</v>
      </c>
      <c r="H34" t="s">
        <v>753</v>
      </c>
    </row>
    <row r="35" spans="1:9">
      <c r="A35" t="s">
        <v>733</v>
      </c>
      <c r="B35" t="s">
        <v>673</v>
      </c>
      <c r="C35">
        <v>0</v>
      </c>
      <c r="D35">
        <v>0</v>
      </c>
      <c r="E35" t="s">
        <v>104</v>
      </c>
      <c r="H35" t="s">
        <v>764</v>
      </c>
    </row>
    <row r="36" spans="1:9">
      <c r="A36" t="s">
        <v>733</v>
      </c>
      <c r="B36" t="s">
        <v>674</v>
      </c>
      <c r="C36">
        <v>0</v>
      </c>
      <c r="D36">
        <v>0</v>
      </c>
      <c r="E36" t="s">
        <v>104</v>
      </c>
      <c r="I36" t="s">
        <v>765</v>
      </c>
    </row>
    <row r="37" spans="1:9">
      <c r="A37" t="s">
        <v>733</v>
      </c>
      <c r="B37" t="s">
        <v>766</v>
      </c>
      <c r="C37">
        <v>0</v>
      </c>
      <c r="D37">
        <v>0</v>
      </c>
      <c r="E37" t="s">
        <v>104</v>
      </c>
    </row>
    <row r="38" spans="1:9">
      <c r="A38" t="s">
        <v>733</v>
      </c>
      <c r="B38" t="s">
        <v>767</v>
      </c>
      <c r="C38">
        <v>0</v>
      </c>
      <c r="D38">
        <v>0</v>
      </c>
      <c r="E38" t="s">
        <v>105</v>
      </c>
      <c r="F38" t="s">
        <v>768</v>
      </c>
    </row>
    <row r="39" spans="1:9">
      <c r="A39" t="s">
        <v>733</v>
      </c>
      <c r="B39" t="s">
        <v>769</v>
      </c>
      <c r="C39">
        <v>0</v>
      </c>
      <c r="D39">
        <v>0</v>
      </c>
      <c r="E39" t="s">
        <v>105</v>
      </c>
      <c r="H39" t="s">
        <v>770</v>
      </c>
    </row>
    <row r="40" spans="1:9">
      <c r="A40" t="s">
        <v>733</v>
      </c>
      <c r="B40" t="s">
        <v>678</v>
      </c>
      <c r="C40">
        <v>0</v>
      </c>
      <c r="D40">
        <v>0</v>
      </c>
      <c r="E40" t="s">
        <v>105</v>
      </c>
    </row>
    <row r="41" spans="1:9">
      <c r="A41" t="s">
        <v>733</v>
      </c>
      <c r="B41" t="s">
        <v>745</v>
      </c>
      <c r="C41">
        <v>0</v>
      </c>
      <c r="D41">
        <v>0</v>
      </c>
      <c r="E41" t="s">
        <v>105</v>
      </c>
    </row>
    <row r="42" spans="1:9">
      <c r="A42" t="s">
        <v>733</v>
      </c>
      <c r="B42" t="s">
        <v>746</v>
      </c>
      <c r="C42">
        <v>0</v>
      </c>
      <c r="D42">
        <v>0</v>
      </c>
      <c r="E42" t="s">
        <v>105</v>
      </c>
    </row>
    <row r="43" spans="1:9">
      <c r="A43" t="s">
        <v>733</v>
      </c>
      <c r="B43" t="s">
        <v>771</v>
      </c>
      <c r="C43">
        <v>0</v>
      </c>
      <c r="D43">
        <v>0</v>
      </c>
      <c r="E43" t="s">
        <v>106</v>
      </c>
      <c r="G43" t="s">
        <v>772</v>
      </c>
    </row>
    <row r="44" spans="1:9">
      <c r="A44" t="s">
        <v>733</v>
      </c>
      <c r="B44" t="s">
        <v>680</v>
      </c>
      <c r="C44">
        <v>0</v>
      </c>
      <c r="D44">
        <v>0</v>
      </c>
      <c r="E44" t="s">
        <v>106</v>
      </c>
      <c r="G44" t="s">
        <v>773</v>
      </c>
    </row>
    <row r="45" spans="1:9">
      <c r="A45" t="s">
        <v>733</v>
      </c>
      <c r="B45" t="s">
        <v>774</v>
      </c>
      <c r="C45">
        <v>0</v>
      </c>
      <c r="D45">
        <v>0</v>
      </c>
      <c r="E45" t="s">
        <v>106</v>
      </c>
      <c r="H45" t="s">
        <v>775</v>
      </c>
    </row>
    <row r="46" spans="1:9">
      <c r="A46" t="s">
        <v>733</v>
      </c>
      <c r="B46" t="s">
        <v>682</v>
      </c>
      <c r="C46">
        <v>0</v>
      </c>
      <c r="D46">
        <v>0</v>
      </c>
      <c r="E46" t="s">
        <v>106</v>
      </c>
    </row>
    <row r="47" spans="1:9">
      <c r="A47" t="s">
        <v>733</v>
      </c>
      <c r="B47" t="s">
        <v>683</v>
      </c>
      <c r="C47">
        <v>0</v>
      </c>
      <c r="D47">
        <v>0</v>
      </c>
      <c r="E47" t="s">
        <v>106</v>
      </c>
    </row>
    <row r="48" spans="1:9">
      <c r="A48" t="s">
        <v>733</v>
      </c>
      <c r="B48" t="s">
        <v>684</v>
      </c>
      <c r="C48">
        <v>0</v>
      </c>
      <c r="D48">
        <v>0</v>
      </c>
      <c r="E48" t="s">
        <v>106</v>
      </c>
      <c r="H48" t="s">
        <v>776</v>
      </c>
    </row>
    <row r="49" spans="1:9">
      <c r="A49" t="s">
        <v>733</v>
      </c>
      <c r="B49" t="s">
        <v>685</v>
      </c>
      <c r="C49">
        <v>0</v>
      </c>
      <c r="D49">
        <v>0</v>
      </c>
      <c r="E49" t="s">
        <v>106</v>
      </c>
      <c r="I49" t="s">
        <v>777</v>
      </c>
    </row>
    <row r="50" spans="1:9">
      <c r="A50" t="s">
        <v>733</v>
      </c>
      <c r="B50" t="s">
        <v>778</v>
      </c>
      <c r="C50">
        <v>0</v>
      </c>
      <c r="D50">
        <v>0</v>
      </c>
      <c r="E50" t="s">
        <v>106</v>
      </c>
      <c r="F50" t="s">
        <v>779</v>
      </c>
    </row>
    <row r="51" spans="1:9">
      <c r="A51" t="s">
        <v>733</v>
      </c>
      <c r="B51" t="s">
        <v>780</v>
      </c>
      <c r="C51">
        <v>0</v>
      </c>
      <c r="D51">
        <v>0</v>
      </c>
      <c r="E51" t="s">
        <v>118</v>
      </c>
    </row>
    <row r="52" spans="1:9">
      <c r="A52" t="s">
        <v>733</v>
      </c>
      <c r="B52" t="s">
        <v>781</v>
      </c>
      <c r="C52">
        <v>0</v>
      </c>
      <c r="D52">
        <v>0</v>
      </c>
      <c r="E52" t="s">
        <v>118</v>
      </c>
    </row>
    <row r="53" spans="1:9">
      <c r="A53" t="s">
        <v>733</v>
      </c>
      <c r="B53" t="s">
        <v>689</v>
      </c>
      <c r="C53">
        <v>0</v>
      </c>
      <c r="D53">
        <v>0</v>
      </c>
      <c r="E53" t="s">
        <v>118</v>
      </c>
    </row>
    <row r="54" spans="1:9">
      <c r="A54" t="s">
        <v>733</v>
      </c>
      <c r="B54" t="s">
        <v>782</v>
      </c>
      <c r="C54">
        <v>0</v>
      </c>
      <c r="D54">
        <v>0</v>
      </c>
      <c r="E54" t="s">
        <v>118</v>
      </c>
    </row>
    <row r="55" spans="1:9">
      <c r="A55" t="s">
        <v>733</v>
      </c>
      <c r="B55" t="s">
        <v>745</v>
      </c>
      <c r="C55">
        <v>0</v>
      </c>
      <c r="D55">
        <v>0</v>
      </c>
      <c r="E55" t="s">
        <v>118</v>
      </c>
    </row>
    <row r="56" spans="1:9">
      <c r="A56" t="s">
        <v>733</v>
      </c>
      <c r="B56" t="s">
        <v>783</v>
      </c>
      <c r="C56">
        <v>0</v>
      </c>
      <c r="D56">
        <v>0</v>
      </c>
      <c r="E56" t="s">
        <v>118</v>
      </c>
    </row>
    <row r="57" spans="1:9">
      <c r="A57" t="s">
        <v>733</v>
      </c>
      <c r="B57" t="s">
        <v>784</v>
      </c>
      <c r="C57">
        <v>0</v>
      </c>
      <c r="D57">
        <v>0</v>
      </c>
      <c r="E57" t="s">
        <v>118</v>
      </c>
    </row>
    <row r="58" spans="1:9">
      <c r="A58" t="s">
        <v>733</v>
      </c>
      <c r="B58" t="s">
        <v>692</v>
      </c>
      <c r="C58">
        <v>0</v>
      </c>
      <c r="D58">
        <v>0</v>
      </c>
      <c r="E58" t="s">
        <v>118</v>
      </c>
    </row>
    <row r="59" spans="1:9">
      <c r="A59" t="s">
        <v>733</v>
      </c>
      <c r="B59" t="s">
        <v>595</v>
      </c>
      <c r="C59">
        <v>0</v>
      </c>
      <c r="D59">
        <v>0</v>
      </c>
      <c r="E59" t="s">
        <v>118</v>
      </c>
    </row>
    <row r="60" spans="1:9">
      <c r="A60" t="s">
        <v>733</v>
      </c>
      <c r="B60" t="s">
        <v>785</v>
      </c>
      <c r="C60">
        <v>0</v>
      </c>
      <c r="D60">
        <v>0</v>
      </c>
      <c r="E60" t="s">
        <v>120</v>
      </c>
    </row>
    <row r="61" spans="1:9">
      <c r="A61" t="s">
        <v>733</v>
      </c>
      <c r="B61" t="s">
        <v>594</v>
      </c>
      <c r="C61">
        <v>0</v>
      </c>
      <c r="D61">
        <v>0</v>
      </c>
      <c r="E61" t="s">
        <v>120</v>
      </c>
    </row>
    <row r="62" spans="1:9">
      <c r="A62" t="s">
        <v>733</v>
      </c>
      <c r="B62" t="s">
        <v>654</v>
      </c>
      <c r="C62">
        <v>0</v>
      </c>
      <c r="D62">
        <v>0</v>
      </c>
      <c r="E62" t="s">
        <v>120</v>
      </c>
    </row>
    <row r="63" spans="1:9">
      <c r="A63" t="s">
        <v>733</v>
      </c>
      <c r="B63" t="s">
        <v>786</v>
      </c>
      <c r="C63">
        <v>0</v>
      </c>
      <c r="D63">
        <v>0</v>
      </c>
      <c r="E63" t="s">
        <v>787</v>
      </c>
    </row>
    <row r="64" spans="1:9">
      <c r="A64" t="s">
        <v>733</v>
      </c>
      <c r="B64" t="s">
        <v>788</v>
      </c>
      <c r="C64">
        <v>0</v>
      </c>
      <c r="D64">
        <v>0</v>
      </c>
      <c r="E64" t="s">
        <v>787</v>
      </c>
    </row>
    <row r="65" spans="1:9">
      <c r="A65" t="s">
        <v>733</v>
      </c>
      <c r="B65" t="s">
        <v>696</v>
      </c>
      <c r="C65">
        <v>0</v>
      </c>
      <c r="D65">
        <v>0</v>
      </c>
      <c r="E65" t="s">
        <v>787</v>
      </c>
      <c r="I65" t="s">
        <v>789</v>
      </c>
    </row>
    <row r="66" spans="1:9">
      <c r="A66" t="s">
        <v>733</v>
      </c>
      <c r="B66" t="s">
        <v>745</v>
      </c>
      <c r="C66">
        <v>0</v>
      </c>
      <c r="D66">
        <v>0</v>
      </c>
      <c r="E66" t="s">
        <v>787</v>
      </c>
    </row>
    <row r="67" spans="1:9">
      <c r="A67" t="s">
        <v>733</v>
      </c>
      <c r="B67" t="s">
        <v>746</v>
      </c>
      <c r="C67">
        <v>0</v>
      </c>
      <c r="D67">
        <v>0</v>
      </c>
      <c r="E67" t="s">
        <v>787</v>
      </c>
    </row>
    <row r="68" spans="1:9">
      <c r="A68" t="s">
        <v>733</v>
      </c>
      <c r="B68" t="s">
        <v>790</v>
      </c>
      <c r="C68">
        <v>0</v>
      </c>
      <c r="D68">
        <v>0</v>
      </c>
      <c r="E68" t="s">
        <v>354</v>
      </c>
      <c r="H68" t="s">
        <v>764</v>
      </c>
    </row>
    <row r="69" spans="1:9">
      <c r="A69" t="s">
        <v>733</v>
      </c>
      <c r="B69" t="s">
        <v>594</v>
      </c>
      <c r="C69">
        <v>0</v>
      </c>
      <c r="D69">
        <v>0</v>
      </c>
      <c r="E69" t="s">
        <v>354</v>
      </c>
    </row>
    <row r="70" spans="1:9">
      <c r="A70" t="s">
        <v>733</v>
      </c>
      <c r="B70" t="s">
        <v>654</v>
      </c>
      <c r="C70">
        <v>0</v>
      </c>
      <c r="D70">
        <v>0</v>
      </c>
      <c r="E70" t="s">
        <v>354</v>
      </c>
    </row>
    <row r="71" spans="1:9">
      <c r="A71" t="s">
        <v>733</v>
      </c>
      <c r="B71" t="s">
        <v>791</v>
      </c>
      <c r="C71">
        <v>0</v>
      </c>
      <c r="D71">
        <v>0</v>
      </c>
      <c r="E71" t="s">
        <v>140</v>
      </c>
      <c r="H71" t="s">
        <v>775</v>
      </c>
    </row>
    <row r="72" spans="1:9">
      <c r="A72" t="s">
        <v>733</v>
      </c>
      <c r="B72" t="s">
        <v>792</v>
      </c>
      <c r="C72">
        <v>0</v>
      </c>
      <c r="D72">
        <v>0</v>
      </c>
      <c r="E72" t="s">
        <v>140</v>
      </c>
    </row>
    <row r="73" spans="1:9">
      <c r="A73" t="s">
        <v>733</v>
      </c>
      <c r="B73" t="s">
        <v>700</v>
      </c>
      <c r="C73">
        <v>0</v>
      </c>
      <c r="D73">
        <v>0</v>
      </c>
      <c r="E73" t="s">
        <v>140</v>
      </c>
      <c r="I73" t="s">
        <v>793</v>
      </c>
    </row>
    <row r="74" spans="1:9">
      <c r="A74" t="s">
        <v>733</v>
      </c>
      <c r="B74" t="s">
        <v>745</v>
      </c>
      <c r="C74">
        <v>0</v>
      </c>
      <c r="D74">
        <v>0</v>
      </c>
      <c r="E74" t="s">
        <v>140</v>
      </c>
    </row>
    <row r="75" spans="1:9">
      <c r="A75" t="s">
        <v>733</v>
      </c>
      <c r="B75" t="s">
        <v>746</v>
      </c>
      <c r="C75">
        <v>0</v>
      </c>
      <c r="D75">
        <v>0</v>
      </c>
      <c r="E75" t="s">
        <v>140</v>
      </c>
    </row>
    <row r="76" spans="1:9">
      <c r="A76" t="s">
        <v>733</v>
      </c>
      <c r="B76" t="s">
        <v>794</v>
      </c>
      <c r="C76">
        <v>0</v>
      </c>
      <c r="D76">
        <v>0</v>
      </c>
      <c r="E76" t="s">
        <v>141</v>
      </c>
      <c r="H76" t="s">
        <v>736</v>
      </c>
    </row>
    <row r="77" spans="1:9">
      <c r="A77" t="s">
        <v>733</v>
      </c>
      <c r="B77" t="s">
        <v>594</v>
      </c>
      <c r="C77">
        <v>0</v>
      </c>
      <c r="D77">
        <v>0</v>
      </c>
      <c r="E77" t="s">
        <v>141</v>
      </c>
    </row>
    <row r="78" spans="1:9">
      <c r="A78" t="s">
        <v>733</v>
      </c>
      <c r="B78" t="s">
        <v>654</v>
      </c>
      <c r="C78">
        <v>0</v>
      </c>
      <c r="D78">
        <v>0</v>
      </c>
      <c r="E78" t="s">
        <v>141</v>
      </c>
    </row>
    <row r="79" spans="1:9">
      <c r="A79" t="s">
        <v>733</v>
      </c>
      <c r="B79" t="s">
        <v>795</v>
      </c>
      <c r="C79">
        <v>0</v>
      </c>
      <c r="D79">
        <v>0</v>
      </c>
      <c r="E79" t="s">
        <v>142</v>
      </c>
      <c r="H79" t="s">
        <v>776</v>
      </c>
    </row>
    <row r="80" spans="1:9">
      <c r="A80" t="s">
        <v>733</v>
      </c>
      <c r="B80" t="s">
        <v>594</v>
      </c>
      <c r="C80">
        <v>0</v>
      </c>
      <c r="D80">
        <v>0</v>
      </c>
      <c r="E80" t="s">
        <v>142</v>
      </c>
    </row>
    <row r="81" spans="1:9">
      <c r="A81" t="s">
        <v>733</v>
      </c>
      <c r="B81" t="s">
        <v>654</v>
      </c>
      <c r="C81">
        <v>0</v>
      </c>
      <c r="D81">
        <v>0</v>
      </c>
      <c r="E81" t="s">
        <v>142</v>
      </c>
    </row>
    <row r="82" spans="1:9">
      <c r="A82" t="s">
        <v>733</v>
      </c>
      <c r="B82" t="s">
        <v>796</v>
      </c>
      <c r="C82">
        <v>0</v>
      </c>
      <c r="D82">
        <v>0</v>
      </c>
      <c r="E82" t="s">
        <v>143</v>
      </c>
      <c r="F82" t="s">
        <v>744</v>
      </c>
    </row>
    <row r="83" spans="1:9">
      <c r="A83" t="s">
        <v>733</v>
      </c>
      <c r="B83" t="s">
        <v>704</v>
      </c>
      <c r="C83">
        <v>0</v>
      </c>
      <c r="D83">
        <v>0</v>
      </c>
      <c r="E83" t="s">
        <v>143</v>
      </c>
      <c r="G83" t="s">
        <v>789</v>
      </c>
    </row>
    <row r="84" spans="1:9">
      <c r="A84" t="s">
        <v>733</v>
      </c>
      <c r="B84" t="s">
        <v>797</v>
      </c>
      <c r="C84">
        <v>0</v>
      </c>
      <c r="D84">
        <v>0</v>
      </c>
      <c r="E84" t="s">
        <v>143</v>
      </c>
    </row>
    <row r="85" spans="1:9">
      <c r="A85" t="s">
        <v>733</v>
      </c>
      <c r="B85" t="s">
        <v>706</v>
      </c>
      <c r="C85">
        <v>0</v>
      </c>
      <c r="D85">
        <v>0</v>
      </c>
      <c r="E85" t="s">
        <v>143</v>
      </c>
      <c r="I85" t="s">
        <v>798</v>
      </c>
    </row>
    <row r="86" spans="1:9">
      <c r="A86" t="s">
        <v>733</v>
      </c>
      <c r="B86" t="s">
        <v>799</v>
      </c>
      <c r="C86">
        <v>0</v>
      </c>
      <c r="D86">
        <v>0</v>
      </c>
      <c r="E86" t="s">
        <v>143</v>
      </c>
    </row>
    <row r="87" spans="1:9">
      <c r="A87" t="s">
        <v>733</v>
      </c>
      <c r="B87" t="s">
        <v>800</v>
      </c>
      <c r="C87">
        <v>0</v>
      </c>
      <c r="D87">
        <v>0</v>
      </c>
      <c r="E87" t="s">
        <v>143</v>
      </c>
    </row>
    <row r="88" spans="1:9">
      <c r="A88" t="s">
        <v>733</v>
      </c>
      <c r="B88" t="s">
        <v>709</v>
      </c>
      <c r="C88">
        <v>0</v>
      </c>
      <c r="D88">
        <v>0</v>
      </c>
      <c r="E88" t="s">
        <v>143</v>
      </c>
    </row>
    <row r="89" spans="1:9">
      <c r="A89" t="s">
        <v>733</v>
      </c>
      <c r="B89" t="s">
        <v>801</v>
      </c>
      <c r="C89">
        <v>0</v>
      </c>
      <c r="D89">
        <v>0</v>
      </c>
      <c r="E89" t="s">
        <v>143</v>
      </c>
      <c r="I89" t="s">
        <v>789</v>
      </c>
    </row>
    <row r="90" spans="1:9">
      <c r="A90" t="s">
        <v>733</v>
      </c>
      <c r="B90" t="s">
        <v>802</v>
      </c>
      <c r="C90">
        <v>0</v>
      </c>
      <c r="D90">
        <v>0</v>
      </c>
      <c r="E90" t="s">
        <v>143</v>
      </c>
    </row>
    <row r="91" spans="1:9">
      <c r="A91" t="s">
        <v>733</v>
      </c>
      <c r="B91" t="s">
        <v>803</v>
      </c>
      <c r="C91">
        <v>0</v>
      </c>
      <c r="D91">
        <v>0</v>
      </c>
      <c r="E91" t="s">
        <v>143</v>
      </c>
    </row>
    <row r="92" spans="1:9">
      <c r="A92" t="s">
        <v>733</v>
      </c>
      <c r="B92" t="s">
        <v>804</v>
      </c>
      <c r="C92">
        <v>0</v>
      </c>
      <c r="D92">
        <v>0</v>
      </c>
      <c r="E92" t="s">
        <v>143</v>
      </c>
      <c r="G92" t="s">
        <v>789</v>
      </c>
    </row>
    <row r="93" spans="1:9">
      <c r="A93" t="s">
        <v>733</v>
      </c>
      <c r="B93" t="s">
        <v>714</v>
      </c>
      <c r="C93">
        <v>0</v>
      </c>
      <c r="D93">
        <v>0</v>
      </c>
      <c r="E93" t="s">
        <v>143</v>
      </c>
    </row>
    <row r="94" spans="1:9">
      <c r="A94" t="s">
        <v>733</v>
      </c>
      <c r="B94" t="s">
        <v>654</v>
      </c>
      <c r="C94">
        <v>0</v>
      </c>
      <c r="D94">
        <v>0</v>
      </c>
      <c r="E94" t="s">
        <v>143</v>
      </c>
    </row>
    <row r="95" spans="1:9">
      <c r="A95" t="s">
        <v>733</v>
      </c>
      <c r="B95" t="s">
        <v>805</v>
      </c>
      <c r="C95">
        <v>0</v>
      </c>
      <c r="D95">
        <v>0</v>
      </c>
      <c r="E95" t="s">
        <v>148</v>
      </c>
    </row>
    <row r="96" spans="1:9">
      <c r="A96" t="s">
        <v>733</v>
      </c>
      <c r="B96" t="s">
        <v>594</v>
      </c>
      <c r="C96">
        <v>0</v>
      </c>
      <c r="D96">
        <v>0</v>
      </c>
      <c r="E96" t="s">
        <v>148</v>
      </c>
    </row>
    <row r="97" spans="1:9">
      <c r="A97" t="s">
        <v>733</v>
      </c>
      <c r="B97" t="s">
        <v>654</v>
      </c>
      <c r="C97">
        <v>0</v>
      </c>
      <c r="D97">
        <v>0</v>
      </c>
      <c r="E97" t="s">
        <v>148</v>
      </c>
    </row>
    <row r="98" spans="1:9">
      <c r="A98" t="s">
        <v>733</v>
      </c>
      <c r="B98" t="s">
        <v>806</v>
      </c>
      <c r="C98">
        <v>0</v>
      </c>
      <c r="D98">
        <v>0</v>
      </c>
      <c r="E98" t="s">
        <v>143</v>
      </c>
    </row>
    <row r="99" spans="1:9">
      <c r="A99" t="s">
        <v>733</v>
      </c>
      <c r="B99" t="s">
        <v>807</v>
      </c>
      <c r="C99">
        <v>0</v>
      </c>
      <c r="D99">
        <v>0</v>
      </c>
      <c r="E99" t="s">
        <v>143</v>
      </c>
    </row>
    <row r="100" spans="1:9">
      <c r="A100" t="s">
        <v>733</v>
      </c>
      <c r="B100" t="s">
        <v>808</v>
      </c>
      <c r="C100">
        <v>0</v>
      </c>
      <c r="D100">
        <v>0</v>
      </c>
      <c r="E100" t="s">
        <v>143</v>
      </c>
    </row>
    <row r="101" spans="1:9">
      <c r="A101" t="s">
        <v>733</v>
      </c>
      <c r="B101" t="s">
        <v>809</v>
      </c>
      <c r="C101">
        <v>0</v>
      </c>
      <c r="D101">
        <v>0</v>
      </c>
      <c r="E101" t="s">
        <v>143</v>
      </c>
    </row>
    <row r="102" spans="1:9">
      <c r="A102" t="s">
        <v>733</v>
      </c>
      <c r="B102" t="s">
        <v>810</v>
      </c>
      <c r="C102">
        <v>0</v>
      </c>
      <c r="D102">
        <v>0</v>
      </c>
      <c r="E102" t="s">
        <v>143</v>
      </c>
    </row>
    <row r="103" spans="1:9">
      <c r="A103" t="s">
        <v>733</v>
      </c>
      <c r="B103" t="s">
        <v>811</v>
      </c>
      <c r="C103">
        <v>0</v>
      </c>
      <c r="D103">
        <v>0</v>
      </c>
      <c r="E103" t="s">
        <v>143</v>
      </c>
    </row>
    <row r="104" spans="1:9">
      <c r="A104" t="s">
        <v>733</v>
      </c>
      <c r="B104" t="s">
        <v>812</v>
      </c>
      <c r="C104">
        <v>0</v>
      </c>
      <c r="D104">
        <v>0</v>
      </c>
      <c r="E104" t="s">
        <v>143</v>
      </c>
    </row>
    <row r="105" spans="1:9">
      <c r="A105" t="s">
        <v>733</v>
      </c>
      <c r="B105" t="s">
        <v>723</v>
      </c>
      <c r="C105">
        <v>0</v>
      </c>
      <c r="D105">
        <v>0</v>
      </c>
      <c r="E105" t="s">
        <v>143</v>
      </c>
      <c r="I105" t="s">
        <v>813</v>
      </c>
    </row>
    <row r="106" spans="1:9">
      <c r="A106" t="s">
        <v>733</v>
      </c>
      <c r="B106" t="s">
        <v>745</v>
      </c>
      <c r="C106">
        <v>0</v>
      </c>
      <c r="D106">
        <v>0</v>
      </c>
      <c r="E106" t="s">
        <v>143</v>
      </c>
    </row>
    <row r="107" spans="1:9">
      <c r="A107" t="s">
        <v>733</v>
      </c>
      <c r="B107" t="s">
        <v>814</v>
      </c>
      <c r="C107">
        <v>0</v>
      </c>
      <c r="D107">
        <v>0</v>
      </c>
      <c r="E107" t="s">
        <v>143</v>
      </c>
    </row>
    <row r="108" spans="1:9">
      <c r="A108" t="s">
        <v>733</v>
      </c>
      <c r="B108" t="s">
        <v>815</v>
      </c>
      <c r="C108">
        <v>0</v>
      </c>
      <c r="D108">
        <v>0</v>
      </c>
      <c r="E108" t="s">
        <v>143</v>
      </c>
    </row>
    <row r="109" spans="1:9">
      <c r="A109" t="s">
        <v>733</v>
      </c>
      <c r="B109" t="s">
        <v>816</v>
      </c>
      <c r="C109">
        <v>0</v>
      </c>
      <c r="D109">
        <v>0</v>
      </c>
      <c r="E109" t="s">
        <v>369</v>
      </c>
    </row>
    <row r="110" spans="1:9">
      <c r="A110" t="s">
        <v>733</v>
      </c>
      <c r="B110" t="s">
        <v>726</v>
      </c>
      <c r="C110">
        <v>0</v>
      </c>
      <c r="D110">
        <v>0</v>
      </c>
      <c r="E110" t="s">
        <v>369</v>
      </c>
      <c r="F110" t="s">
        <v>736</v>
      </c>
    </row>
    <row r="111" spans="1:9">
      <c r="A111" t="s">
        <v>733</v>
      </c>
      <c r="B111" t="s">
        <v>727</v>
      </c>
      <c r="C111">
        <v>0</v>
      </c>
      <c r="D111">
        <v>0</v>
      </c>
      <c r="E111" t="s">
        <v>369</v>
      </c>
    </row>
    <row r="112" spans="1:9">
      <c r="A112" t="s">
        <v>733</v>
      </c>
      <c r="B112" t="s">
        <v>728</v>
      </c>
      <c r="C112">
        <v>0</v>
      </c>
      <c r="D112">
        <v>0</v>
      </c>
      <c r="E112" t="s">
        <v>369</v>
      </c>
    </row>
    <row r="113" spans="1:5">
      <c r="A113" t="s">
        <v>733</v>
      </c>
      <c r="B113" t="s">
        <v>729</v>
      </c>
      <c r="C113">
        <v>0</v>
      </c>
      <c r="D113">
        <v>0</v>
      </c>
      <c r="E113" t="s">
        <v>369</v>
      </c>
    </row>
    <row r="114" spans="1:5">
      <c r="A114" t="s">
        <v>733</v>
      </c>
      <c r="B114" t="s">
        <v>817</v>
      </c>
      <c r="C114">
        <v>0</v>
      </c>
      <c r="D114">
        <v>0</v>
      </c>
      <c r="E114" t="s">
        <v>369</v>
      </c>
    </row>
    <row r="115" spans="1:5">
      <c r="A115" t="s">
        <v>733</v>
      </c>
      <c r="B115" t="s">
        <v>175</v>
      </c>
      <c r="C115">
        <v>0</v>
      </c>
      <c r="D115">
        <v>0</v>
      </c>
      <c r="E115" t="s">
        <v>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74"/>
  <sheetViews>
    <sheetView workbookViewId="0"/>
  </sheetViews>
  <sheetFormatPr defaultRowHeight="14.5"/>
  <sheetData>
    <row r="1" spans="1:35">
      <c r="A1" t="s">
        <v>166</v>
      </c>
      <c r="B1" t="s">
        <v>243</v>
      </c>
      <c r="C1" t="s">
        <v>818</v>
      </c>
      <c r="D1" t="s">
        <v>819</v>
      </c>
      <c r="E1" t="s">
        <v>820</v>
      </c>
      <c r="F1" t="s">
        <v>821</v>
      </c>
      <c r="G1" t="s">
        <v>822</v>
      </c>
      <c r="H1" t="s">
        <v>823</v>
      </c>
      <c r="I1" t="s">
        <v>824</v>
      </c>
      <c r="J1" t="s">
        <v>825</v>
      </c>
      <c r="K1" t="s">
        <v>826</v>
      </c>
      <c r="L1" t="s">
        <v>827</v>
      </c>
      <c r="M1" t="s">
        <v>828</v>
      </c>
      <c r="N1" t="s">
        <v>829</v>
      </c>
      <c r="O1" t="s">
        <v>830</v>
      </c>
      <c r="P1" t="s">
        <v>831</v>
      </c>
      <c r="Q1" t="s">
        <v>832</v>
      </c>
      <c r="R1" t="s">
        <v>833</v>
      </c>
      <c r="S1" t="s">
        <v>834</v>
      </c>
      <c r="T1" t="s">
        <v>835</v>
      </c>
      <c r="U1" t="s">
        <v>836</v>
      </c>
      <c r="V1" t="s">
        <v>837</v>
      </c>
      <c r="W1" t="s">
        <v>838</v>
      </c>
      <c r="X1" t="s">
        <v>400</v>
      </c>
      <c r="Y1" t="s">
        <v>401</v>
      </c>
      <c r="Z1" t="s">
        <v>402</v>
      </c>
      <c r="AA1" t="s">
        <v>403</v>
      </c>
      <c r="AB1" t="s">
        <v>404</v>
      </c>
      <c r="AC1" t="s">
        <v>839</v>
      </c>
      <c r="AD1" t="s">
        <v>840</v>
      </c>
      <c r="AE1" t="s">
        <v>407</v>
      </c>
      <c r="AF1" t="s">
        <v>408</v>
      </c>
      <c r="AG1" t="s">
        <v>409</v>
      </c>
      <c r="AH1" t="s">
        <v>410</v>
      </c>
      <c r="AI1" t="s">
        <v>841</v>
      </c>
    </row>
    <row r="2" spans="1:35">
      <c r="A2" t="s">
        <v>577</v>
      </c>
      <c r="B2" t="s">
        <v>842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AI2">
        <v>0</v>
      </c>
    </row>
    <row r="3" spans="1:35">
      <c r="A3" t="s">
        <v>480</v>
      </c>
      <c r="B3" t="s">
        <v>581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49</v>
      </c>
      <c r="U3">
        <v>1</v>
      </c>
      <c r="V3">
        <v>49.12</v>
      </c>
      <c r="W3">
        <v>0</v>
      </c>
      <c r="X3">
        <v>49</v>
      </c>
      <c r="Y3">
        <v>1</v>
      </c>
      <c r="Z3">
        <v>49.12</v>
      </c>
      <c r="AA3">
        <v>49.12</v>
      </c>
      <c r="AB3">
        <v>0</v>
      </c>
      <c r="AC3">
        <v>49</v>
      </c>
      <c r="AD3">
        <v>1</v>
      </c>
      <c r="AI3">
        <v>0</v>
      </c>
    </row>
    <row r="4" spans="1:35">
      <c r="A4" t="s">
        <v>480</v>
      </c>
      <c r="B4" t="s">
        <v>582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4</v>
      </c>
      <c r="Y4">
        <v>0</v>
      </c>
      <c r="Z4">
        <v>4</v>
      </c>
      <c r="AA4">
        <v>4</v>
      </c>
      <c r="AB4">
        <v>0</v>
      </c>
      <c r="AC4">
        <v>4</v>
      </c>
      <c r="AD4">
        <v>0</v>
      </c>
      <c r="AI4">
        <v>0</v>
      </c>
    </row>
    <row r="5" spans="1:35">
      <c r="A5" t="s">
        <v>480</v>
      </c>
      <c r="B5" t="s">
        <v>583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5</v>
      </c>
      <c r="Y5">
        <v>3</v>
      </c>
      <c r="Z5">
        <v>5.38</v>
      </c>
      <c r="AA5">
        <v>5.38</v>
      </c>
      <c r="AB5">
        <v>0</v>
      </c>
      <c r="AC5">
        <v>5</v>
      </c>
      <c r="AD5">
        <v>3</v>
      </c>
      <c r="AI5">
        <v>0</v>
      </c>
    </row>
    <row r="6" spans="1:35">
      <c r="A6" t="s">
        <v>480</v>
      </c>
      <c r="B6" t="s">
        <v>584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58</v>
      </c>
      <c r="Y6">
        <v>4</v>
      </c>
      <c r="Z6">
        <v>58.5</v>
      </c>
      <c r="AA6">
        <v>58.5</v>
      </c>
      <c r="AB6">
        <v>0</v>
      </c>
      <c r="AC6">
        <v>58</v>
      </c>
      <c r="AD6">
        <v>4</v>
      </c>
      <c r="AI6">
        <v>0</v>
      </c>
    </row>
    <row r="7" spans="1:35">
      <c r="A7" t="s">
        <v>480</v>
      </c>
      <c r="B7" t="s">
        <v>585</v>
      </c>
      <c r="C7">
        <v>0</v>
      </c>
      <c r="D7">
        <v>0</v>
      </c>
      <c r="E7">
        <v>12</v>
      </c>
      <c r="F7">
        <v>0</v>
      </c>
      <c r="G7">
        <v>12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12</v>
      </c>
      <c r="Y7">
        <v>0</v>
      </c>
      <c r="Z7">
        <v>12</v>
      </c>
      <c r="AA7">
        <v>12</v>
      </c>
      <c r="AB7">
        <v>0</v>
      </c>
      <c r="AC7">
        <v>12</v>
      </c>
      <c r="AD7">
        <v>0</v>
      </c>
      <c r="AI7">
        <v>0</v>
      </c>
    </row>
    <row r="8" spans="1:35">
      <c r="A8" t="s">
        <v>480</v>
      </c>
      <c r="B8" t="s">
        <v>586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</v>
      </c>
      <c r="Z8">
        <v>0.25</v>
      </c>
      <c r="AA8">
        <v>0.25</v>
      </c>
      <c r="AB8">
        <v>0</v>
      </c>
      <c r="AC8">
        <v>0</v>
      </c>
      <c r="AD8">
        <v>2</v>
      </c>
      <c r="AI8">
        <v>0</v>
      </c>
    </row>
    <row r="9" spans="1:35">
      <c r="A9" t="s">
        <v>480</v>
      </c>
      <c r="B9" t="s">
        <v>587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</v>
      </c>
      <c r="Y9">
        <v>0</v>
      </c>
      <c r="Z9">
        <v>4</v>
      </c>
      <c r="AA9">
        <v>4</v>
      </c>
      <c r="AB9">
        <v>0</v>
      </c>
      <c r="AC9">
        <v>4</v>
      </c>
      <c r="AD9">
        <v>0</v>
      </c>
      <c r="AI9">
        <v>0</v>
      </c>
    </row>
    <row r="10" spans="1:35">
      <c r="A10" t="s">
        <v>480</v>
      </c>
      <c r="B10" t="s">
        <v>588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2.5</v>
      </c>
      <c r="Z10">
        <v>0.31</v>
      </c>
      <c r="AA10">
        <v>0.31</v>
      </c>
      <c r="AB10">
        <v>0</v>
      </c>
      <c r="AC10">
        <v>0</v>
      </c>
      <c r="AD10">
        <v>2.5</v>
      </c>
      <c r="AI10">
        <v>0</v>
      </c>
    </row>
    <row r="11" spans="1:35">
      <c r="A11" t="s">
        <v>480</v>
      </c>
      <c r="B11" t="s">
        <v>589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36</v>
      </c>
      <c r="R11">
        <v>6.5</v>
      </c>
      <c r="S11">
        <v>36.81</v>
      </c>
      <c r="T11">
        <v>0</v>
      </c>
      <c r="U11">
        <v>0</v>
      </c>
      <c r="V11">
        <v>0</v>
      </c>
      <c r="W11">
        <v>0</v>
      </c>
      <c r="X11">
        <v>36</v>
      </c>
      <c r="Y11">
        <v>6.5</v>
      </c>
      <c r="Z11">
        <v>36.81</v>
      </c>
      <c r="AA11">
        <v>36.81</v>
      </c>
      <c r="AB11">
        <v>0</v>
      </c>
      <c r="AC11">
        <v>36</v>
      </c>
      <c r="AD11">
        <v>6.5</v>
      </c>
      <c r="AI11">
        <v>0</v>
      </c>
    </row>
    <row r="12" spans="1:35">
      <c r="A12" t="s">
        <v>480</v>
      </c>
      <c r="B12" t="s">
        <v>590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6</v>
      </c>
      <c r="R12">
        <v>0</v>
      </c>
      <c r="S12">
        <v>6</v>
      </c>
      <c r="T12">
        <v>0</v>
      </c>
      <c r="U12">
        <v>0</v>
      </c>
      <c r="V12">
        <v>0</v>
      </c>
      <c r="W12">
        <v>0</v>
      </c>
      <c r="X12">
        <v>6</v>
      </c>
      <c r="Y12">
        <v>3</v>
      </c>
      <c r="Z12">
        <v>6.38</v>
      </c>
      <c r="AA12">
        <v>6</v>
      </c>
      <c r="AB12">
        <v>0.38</v>
      </c>
      <c r="AC12">
        <v>6</v>
      </c>
      <c r="AD12">
        <v>0</v>
      </c>
      <c r="AE12">
        <v>0</v>
      </c>
      <c r="AF12">
        <v>3</v>
      </c>
      <c r="AI12">
        <v>0</v>
      </c>
    </row>
    <row r="13" spans="1:35">
      <c r="A13" t="s">
        <v>480</v>
      </c>
      <c r="B13" t="s">
        <v>591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I13">
        <v>0</v>
      </c>
    </row>
    <row r="14" spans="1:35">
      <c r="A14" t="s">
        <v>480</v>
      </c>
      <c r="B14" t="s">
        <v>592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I14">
        <v>0</v>
      </c>
    </row>
    <row r="15" spans="1:35">
      <c r="A15" t="s">
        <v>480</v>
      </c>
      <c r="B15" t="s">
        <v>842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AI15">
        <v>0</v>
      </c>
    </row>
    <row r="16" spans="1:35">
      <c r="A16" t="s">
        <v>481</v>
      </c>
      <c r="B16" t="s">
        <v>593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</v>
      </c>
      <c r="Y16">
        <v>0</v>
      </c>
      <c r="Z16">
        <v>4</v>
      </c>
      <c r="AA16">
        <v>4</v>
      </c>
      <c r="AB16">
        <v>0</v>
      </c>
      <c r="AC16">
        <v>4</v>
      </c>
      <c r="AD16">
        <v>0</v>
      </c>
      <c r="AI16">
        <v>0</v>
      </c>
    </row>
    <row r="17" spans="1:35">
      <c r="A17" t="s">
        <v>481</v>
      </c>
      <c r="B17" t="s">
        <v>594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I17">
        <v>0</v>
      </c>
    </row>
    <row r="18" spans="1:35">
      <c r="A18" t="s">
        <v>481</v>
      </c>
      <c r="B18" t="s">
        <v>595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I18">
        <v>0</v>
      </c>
    </row>
    <row r="19" spans="1:35">
      <c r="A19" t="s">
        <v>481</v>
      </c>
      <c r="B19" t="s">
        <v>842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AI19">
        <v>0</v>
      </c>
    </row>
    <row r="20" spans="1:35">
      <c r="A20" t="s">
        <v>483</v>
      </c>
      <c r="B20" t="s">
        <v>596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106</v>
      </c>
      <c r="U20">
        <v>1</v>
      </c>
      <c r="V20">
        <v>106.12</v>
      </c>
      <c r="W20">
        <v>0</v>
      </c>
      <c r="X20">
        <v>106</v>
      </c>
      <c r="Y20">
        <v>1</v>
      </c>
      <c r="Z20">
        <v>106.12</v>
      </c>
      <c r="AA20">
        <v>106.12</v>
      </c>
      <c r="AB20">
        <v>0</v>
      </c>
      <c r="AC20">
        <v>106</v>
      </c>
      <c r="AD20">
        <v>1</v>
      </c>
      <c r="AI20">
        <v>0</v>
      </c>
    </row>
    <row r="21" spans="1:35">
      <c r="A21" t="s">
        <v>483</v>
      </c>
      <c r="B21" t="s">
        <v>843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AI21">
        <v>0</v>
      </c>
    </row>
    <row r="22" spans="1:35">
      <c r="A22" t="s">
        <v>483</v>
      </c>
      <c r="B22" t="s">
        <v>598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I22">
        <v>0</v>
      </c>
    </row>
    <row r="23" spans="1:35">
      <c r="A23" t="s">
        <v>483</v>
      </c>
      <c r="B23" t="s">
        <v>599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11</v>
      </c>
      <c r="Y23">
        <v>3</v>
      </c>
      <c r="Z23">
        <v>11.38</v>
      </c>
      <c r="AA23">
        <v>11.38</v>
      </c>
      <c r="AB23">
        <v>0</v>
      </c>
      <c r="AC23">
        <v>11</v>
      </c>
      <c r="AD23">
        <v>3</v>
      </c>
      <c r="AI23">
        <v>0</v>
      </c>
    </row>
    <row r="24" spans="1:35">
      <c r="A24" t="s">
        <v>483</v>
      </c>
      <c r="B24" t="s">
        <v>600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118</v>
      </c>
      <c r="Y24">
        <v>6</v>
      </c>
      <c r="Z24">
        <v>118.75</v>
      </c>
      <c r="AA24">
        <v>118.75</v>
      </c>
      <c r="AB24">
        <v>0</v>
      </c>
      <c r="AC24">
        <v>118</v>
      </c>
      <c r="AD24">
        <v>6</v>
      </c>
      <c r="AI24">
        <v>0</v>
      </c>
    </row>
    <row r="25" spans="1:35">
      <c r="A25" t="s">
        <v>483</v>
      </c>
      <c r="B25" t="s">
        <v>601</v>
      </c>
      <c r="C25">
        <v>0</v>
      </c>
      <c r="D25">
        <v>0</v>
      </c>
      <c r="E25">
        <v>21</v>
      </c>
      <c r="F25">
        <v>0</v>
      </c>
      <c r="G25">
        <v>21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21</v>
      </c>
      <c r="Y25">
        <v>0</v>
      </c>
      <c r="Z25">
        <v>21</v>
      </c>
      <c r="AA25">
        <v>21</v>
      </c>
      <c r="AB25">
        <v>0</v>
      </c>
      <c r="AC25">
        <v>21</v>
      </c>
      <c r="AD25">
        <v>0</v>
      </c>
      <c r="AI25">
        <v>0</v>
      </c>
    </row>
    <row r="26" spans="1:35">
      <c r="A26" t="s">
        <v>483</v>
      </c>
      <c r="B26" t="s">
        <v>602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</v>
      </c>
      <c r="Z26">
        <v>0.5</v>
      </c>
      <c r="AA26">
        <v>0.5</v>
      </c>
      <c r="AB26">
        <v>0</v>
      </c>
      <c r="AC26">
        <v>0</v>
      </c>
      <c r="AD26">
        <v>4</v>
      </c>
      <c r="AI26">
        <v>0</v>
      </c>
    </row>
    <row r="27" spans="1:35">
      <c r="A27" t="s">
        <v>483</v>
      </c>
      <c r="B27" t="s">
        <v>844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AI27">
        <v>0</v>
      </c>
    </row>
    <row r="28" spans="1:35">
      <c r="A28" t="s">
        <v>483</v>
      </c>
      <c r="B28" t="s">
        <v>604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</v>
      </c>
      <c r="Y28">
        <v>0</v>
      </c>
      <c r="Z28">
        <v>2</v>
      </c>
      <c r="AA28">
        <v>2</v>
      </c>
      <c r="AB28">
        <v>0</v>
      </c>
      <c r="AC28">
        <v>2</v>
      </c>
      <c r="AD28">
        <v>0</v>
      </c>
      <c r="AI28">
        <v>0</v>
      </c>
    </row>
    <row r="29" spans="1:35">
      <c r="A29" t="s">
        <v>483</v>
      </c>
      <c r="B29" t="s">
        <v>605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45</v>
      </c>
      <c r="Y29">
        <v>0</v>
      </c>
      <c r="Z29">
        <v>45</v>
      </c>
      <c r="AA29">
        <v>45</v>
      </c>
      <c r="AB29">
        <v>0</v>
      </c>
      <c r="AC29">
        <v>45</v>
      </c>
      <c r="AD29">
        <v>0</v>
      </c>
      <c r="AI29">
        <v>0</v>
      </c>
    </row>
    <row r="30" spans="1:35">
      <c r="A30" t="s">
        <v>483</v>
      </c>
      <c r="B30" t="s">
        <v>606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38</v>
      </c>
      <c r="R30">
        <v>1</v>
      </c>
      <c r="S30">
        <v>38.119999999999997</v>
      </c>
      <c r="T30">
        <v>0</v>
      </c>
      <c r="U30">
        <v>0</v>
      </c>
      <c r="V30">
        <v>0</v>
      </c>
      <c r="W30">
        <v>0</v>
      </c>
      <c r="X30">
        <v>38</v>
      </c>
      <c r="Y30">
        <v>1</v>
      </c>
      <c r="Z30">
        <v>38.119999999999997</v>
      </c>
      <c r="AA30">
        <v>38.119999999999997</v>
      </c>
      <c r="AB30">
        <v>0</v>
      </c>
      <c r="AC30">
        <v>38</v>
      </c>
      <c r="AD30">
        <v>1</v>
      </c>
      <c r="AI30">
        <v>0</v>
      </c>
    </row>
    <row r="31" spans="1:35">
      <c r="A31" t="s">
        <v>483</v>
      </c>
      <c r="B31" t="s">
        <v>607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11</v>
      </c>
      <c r="R31">
        <v>3</v>
      </c>
      <c r="S31">
        <v>11.38</v>
      </c>
      <c r="T31">
        <v>0</v>
      </c>
      <c r="U31">
        <v>0</v>
      </c>
      <c r="V31">
        <v>0</v>
      </c>
      <c r="W31">
        <v>0</v>
      </c>
      <c r="X31">
        <v>11</v>
      </c>
      <c r="Y31">
        <v>3</v>
      </c>
      <c r="Z31">
        <v>11.38</v>
      </c>
      <c r="AA31">
        <v>11.38</v>
      </c>
      <c r="AB31">
        <v>0</v>
      </c>
      <c r="AC31">
        <v>11</v>
      </c>
      <c r="AD31">
        <v>3</v>
      </c>
      <c r="AI31">
        <v>0</v>
      </c>
    </row>
    <row r="32" spans="1:35">
      <c r="A32" t="s">
        <v>483</v>
      </c>
      <c r="B32" t="s">
        <v>591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I32">
        <v>0</v>
      </c>
    </row>
    <row r="33" spans="1:35">
      <c r="A33" t="s">
        <v>483</v>
      </c>
      <c r="B33" t="s">
        <v>592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I33">
        <v>0</v>
      </c>
    </row>
    <row r="34" spans="1:35">
      <c r="A34" t="s">
        <v>483</v>
      </c>
      <c r="B34" t="s">
        <v>842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AI34">
        <v>0</v>
      </c>
    </row>
    <row r="35" spans="1:35">
      <c r="A35" t="s">
        <v>485</v>
      </c>
      <c r="B35" t="s">
        <v>608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20</v>
      </c>
      <c r="U35">
        <v>4</v>
      </c>
      <c r="V35">
        <v>20.5</v>
      </c>
      <c r="W35">
        <v>0</v>
      </c>
      <c r="X35">
        <v>20</v>
      </c>
      <c r="Y35">
        <v>4</v>
      </c>
      <c r="Z35">
        <v>20.5</v>
      </c>
      <c r="AA35">
        <v>20.5</v>
      </c>
      <c r="AB35">
        <v>0</v>
      </c>
      <c r="AC35">
        <v>20</v>
      </c>
      <c r="AD35">
        <v>4</v>
      </c>
      <c r="AI35">
        <v>0</v>
      </c>
    </row>
    <row r="36" spans="1:35">
      <c r="A36" t="s">
        <v>485</v>
      </c>
      <c r="B36" t="s">
        <v>609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6</v>
      </c>
      <c r="Z36">
        <v>0.75</v>
      </c>
      <c r="AA36">
        <v>0.75</v>
      </c>
      <c r="AB36">
        <v>0</v>
      </c>
      <c r="AC36">
        <v>0</v>
      </c>
      <c r="AD36">
        <v>6</v>
      </c>
      <c r="AI36">
        <v>0</v>
      </c>
    </row>
    <row r="37" spans="1:35">
      <c r="A37" t="s">
        <v>485</v>
      </c>
      <c r="B37" t="s">
        <v>610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I37">
        <v>0</v>
      </c>
    </row>
    <row r="38" spans="1:35">
      <c r="A38" t="s">
        <v>485</v>
      </c>
      <c r="B38" t="s">
        <v>611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5</v>
      </c>
      <c r="Y38">
        <v>6</v>
      </c>
      <c r="Z38">
        <v>5.75</v>
      </c>
      <c r="AA38">
        <v>5.75</v>
      </c>
      <c r="AB38">
        <v>0</v>
      </c>
      <c r="AC38">
        <v>5</v>
      </c>
      <c r="AD38">
        <v>6</v>
      </c>
      <c r="AI38">
        <v>0</v>
      </c>
    </row>
    <row r="39" spans="1:35">
      <c r="A39" t="s">
        <v>485</v>
      </c>
      <c r="B39" t="s">
        <v>612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27</v>
      </c>
      <c r="Y39">
        <v>0</v>
      </c>
      <c r="Z39">
        <v>27</v>
      </c>
      <c r="AA39">
        <v>27</v>
      </c>
      <c r="AB39">
        <v>0</v>
      </c>
      <c r="AC39">
        <v>27</v>
      </c>
      <c r="AD39">
        <v>0</v>
      </c>
      <c r="AI39">
        <v>0</v>
      </c>
    </row>
    <row r="40" spans="1:35">
      <c r="A40" t="s">
        <v>485</v>
      </c>
      <c r="B40" t="s">
        <v>613</v>
      </c>
      <c r="C40">
        <v>0</v>
      </c>
      <c r="D40">
        <v>0</v>
      </c>
      <c r="E40">
        <v>10</v>
      </c>
      <c r="F40">
        <v>0</v>
      </c>
      <c r="G40">
        <v>10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10</v>
      </c>
      <c r="Y40">
        <v>0</v>
      </c>
      <c r="Z40">
        <v>10</v>
      </c>
      <c r="AA40">
        <v>10</v>
      </c>
      <c r="AB40">
        <v>0</v>
      </c>
      <c r="AC40">
        <v>10</v>
      </c>
      <c r="AD40">
        <v>0</v>
      </c>
      <c r="AI40">
        <v>0</v>
      </c>
    </row>
    <row r="41" spans="1:35">
      <c r="A41" t="s">
        <v>485</v>
      </c>
      <c r="B41" t="s">
        <v>602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4</v>
      </c>
      <c r="Z41">
        <v>0.5</v>
      </c>
      <c r="AA41">
        <v>0.5</v>
      </c>
      <c r="AB41">
        <v>0</v>
      </c>
      <c r="AC41">
        <v>0</v>
      </c>
      <c r="AD41">
        <v>4</v>
      </c>
      <c r="AI41">
        <v>0</v>
      </c>
    </row>
    <row r="42" spans="1:35">
      <c r="A42" t="s">
        <v>485</v>
      </c>
      <c r="B42" t="s">
        <v>614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6</v>
      </c>
      <c r="Z42">
        <v>0.75</v>
      </c>
      <c r="AA42">
        <v>0.75</v>
      </c>
      <c r="AB42">
        <v>0</v>
      </c>
      <c r="AC42">
        <v>0</v>
      </c>
      <c r="AD42">
        <v>6</v>
      </c>
      <c r="AI42">
        <v>0</v>
      </c>
    </row>
    <row r="43" spans="1:35">
      <c r="A43" t="s">
        <v>485</v>
      </c>
      <c r="B43" t="s">
        <v>615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0</v>
      </c>
      <c r="Z43">
        <v>3</v>
      </c>
      <c r="AA43">
        <v>3</v>
      </c>
      <c r="AB43">
        <v>0</v>
      </c>
      <c r="AC43">
        <v>3</v>
      </c>
      <c r="AD43">
        <v>0</v>
      </c>
      <c r="AI43">
        <v>0</v>
      </c>
    </row>
    <row r="44" spans="1:35">
      <c r="A44" t="s">
        <v>485</v>
      </c>
      <c r="B44" t="s">
        <v>617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</v>
      </c>
      <c r="O44">
        <v>7</v>
      </c>
      <c r="P44">
        <v>2.88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</v>
      </c>
      <c r="Y44">
        <v>7</v>
      </c>
      <c r="Z44">
        <v>2.88</v>
      </c>
      <c r="AA44">
        <v>2.88</v>
      </c>
      <c r="AB44">
        <v>0</v>
      </c>
      <c r="AC44">
        <v>2</v>
      </c>
      <c r="AD44">
        <v>7</v>
      </c>
      <c r="AI44">
        <v>0</v>
      </c>
    </row>
    <row r="45" spans="1:35">
      <c r="A45" t="s">
        <v>485</v>
      </c>
      <c r="B45" t="s">
        <v>618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</v>
      </c>
      <c r="R45">
        <v>5</v>
      </c>
      <c r="S45">
        <v>4.62</v>
      </c>
      <c r="T45">
        <v>0</v>
      </c>
      <c r="U45">
        <v>0</v>
      </c>
      <c r="V45">
        <v>0</v>
      </c>
      <c r="W45">
        <v>0</v>
      </c>
      <c r="X45">
        <v>4</v>
      </c>
      <c r="Y45">
        <v>5</v>
      </c>
      <c r="Z45">
        <v>4.62</v>
      </c>
      <c r="AA45">
        <v>4.62</v>
      </c>
      <c r="AB45">
        <v>0</v>
      </c>
      <c r="AC45">
        <v>4</v>
      </c>
      <c r="AD45">
        <v>5</v>
      </c>
      <c r="AI45">
        <v>0</v>
      </c>
    </row>
    <row r="46" spans="1:35">
      <c r="A46" t="s">
        <v>485</v>
      </c>
      <c r="B46" t="s">
        <v>619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</v>
      </c>
      <c r="R46">
        <v>6</v>
      </c>
      <c r="S46">
        <v>5.75</v>
      </c>
      <c r="T46">
        <v>0</v>
      </c>
      <c r="U46">
        <v>0</v>
      </c>
      <c r="V46">
        <v>0</v>
      </c>
      <c r="W46">
        <v>0</v>
      </c>
      <c r="X46">
        <v>5</v>
      </c>
      <c r="Y46">
        <v>6</v>
      </c>
      <c r="Z46">
        <v>5.75</v>
      </c>
      <c r="AA46">
        <v>5.75</v>
      </c>
      <c r="AB46">
        <v>0</v>
      </c>
      <c r="AC46">
        <v>5</v>
      </c>
      <c r="AD46">
        <v>6</v>
      </c>
      <c r="AI46">
        <v>0</v>
      </c>
    </row>
    <row r="47" spans="1:35">
      <c r="A47" t="s">
        <v>485</v>
      </c>
      <c r="B47" t="s">
        <v>591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I47">
        <v>0</v>
      </c>
    </row>
    <row r="48" spans="1:35">
      <c r="A48" t="s">
        <v>485</v>
      </c>
      <c r="B48" t="s">
        <v>592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I48">
        <v>0</v>
      </c>
    </row>
    <row r="49" spans="1:35">
      <c r="A49" t="s">
        <v>485</v>
      </c>
      <c r="B49" t="s">
        <v>842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AI49">
        <v>0</v>
      </c>
    </row>
    <row r="50" spans="1:35">
      <c r="A50" t="s">
        <v>487</v>
      </c>
      <c r="B50" t="s">
        <v>620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5</v>
      </c>
      <c r="Y50">
        <v>1</v>
      </c>
      <c r="Z50">
        <v>5.12</v>
      </c>
      <c r="AA50">
        <v>5.12</v>
      </c>
      <c r="AB50">
        <v>0</v>
      </c>
      <c r="AC50">
        <v>5</v>
      </c>
      <c r="AD50">
        <v>1</v>
      </c>
      <c r="AI50">
        <v>0</v>
      </c>
    </row>
    <row r="51" spans="1:35">
      <c r="A51" t="s">
        <v>487</v>
      </c>
      <c r="B51" t="s">
        <v>621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</v>
      </c>
      <c r="Y51">
        <v>0</v>
      </c>
      <c r="Z51">
        <v>2</v>
      </c>
      <c r="AA51">
        <v>2</v>
      </c>
      <c r="AB51">
        <v>0</v>
      </c>
      <c r="AC51">
        <v>2</v>
      </c>
      <c r="AD51">
        <v>0</v>
      </c>
      <c r="AI51">
        <v>0</v>
      </c>
    </row>
    <row r="52" spans="1:35">
      <c r="A52" t="s">
        <v>487</v>
      </c>
      <c r="B52" t="s">
        <v>622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</v>
      </c>
      <c r="Z52">
        <v>0.25</v>
      </c>
      <c r="AA52">
        <v>0.25</v>
      </c>
      <c r="AB52">
        <v>0</v>
      </c>
      <c r="AC52">
        <v>0</v>
      </c>
      <c r="AD52">
        <v>2</v>
      </c>
      <c r="AI52">
        <v>0</v>
      </c>
    </row>
    <row r="53" spans="1:35">
      <c r="A53" t="s">
        <v>487</v>
      </c>
      <c r="B53" t="s">
        <v>623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I53">
        <v>0</v>
      </c>
    </row>
    <row r="54" spans="1:35">
      <c r="A54" t="s">
        <v>487</v>
      </c>
      <c r="B54" t="s">
        <v>624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7</v>
      </c>
      <c r="Y54">
        <v>3</v>
      </c>
      <c r="Z54">
        <v>7.38</v>
      </c>
      <c r="AA54">
        <v>7.38</v>
      </c>
      <c r="AB54">
        <v>0</v>
      </c>
      <c r="AC54">
        <v>7</v>
      </c>
      <c r="AD54">
        <v>3</v>
      </c>
      <c r="AI54">
        <v>0</v>
      </c>
    </row>
    <row r="55" spans="1:35">
      <c r="A55" t="s">
        <v>487</v>
      </c>
      <c r="B55" t="s">
        <v>625</v>
      </c>
      <c r="C55">
        <v>0</v>
      </c>
      <c r="D55">
        <v>0</v>
      </c>
      <c r="E55">
        <v>2</v>
      </c>
      <c r="F55">
        <v>4</v>
      </c>
      <c r="G55">
        <v>2.5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</v>
      </c>
      <c r="Y55">
        <v>4</v>
      </c>
      <c r="Z55">
        <v>2.5</v>
      </c>
      <c r="AA55">
        <v>2.5</v>
      </c>
      <c r="AB55">
        <v>0</v>
      </c>
      <c r="AC55">
        <v>2</v>
      </c>
      <c r="AD55">
        <v>4</v>
      </c>
      <c r="AI55">
        <v>0</v>
      </c>
    </row>
    <row r="56" spans="1:35">
      <c r="A56" t="s">
        <v>487</v>
      </c>
      <c r="B56" t="s">
        <v>586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</v>
      </c>
      <c r="Z56">
        <v>0.25</v>
      </c>
      <c r="AA56">
        <v>0.25</v>
      </c>
      <c r="AB56">
        <v>0</v>
      </c>
      <c r="AC56">
        <v>0</v>
      </c>
      <c r="AD56">
        <v>2</v>
      </c>
      <c r="AI56">
        <v>0</v>
      </c>
    </row>
    <row r="57" spans="1:35">
      <c r="A57" t="s">
        <v>487</v>
      </c>
      <c r="B57" t="s">
        <v>626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</v>
      </c>
      <c r="Y57">
        <v>0</v>
      </c>
      <c r="Z57">
        <v>2</v>
      </c>
      <c r="AA57">
        <v>2</v>
      </c>
      <c r="AB57">
        <v>0</v>
      </c>
      <c r="AC57">
        <v>2</v>
      </c>
      <c r="AD57">
        <v>0</v>
      </c>
      <c r="AI57">
        <v>0</v>
      </c>
    </row>
    <row r="58" spans="1:35">
      <c r="A58" t="s">
        <v>487</v>
      </c>
      <c r="B58" t="s">
        <v>627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0.25</v>
      </c>
      <c r="AA58">
        <v>0.25</v>
      </c>
      <c r="AB58">
        <v>0</v>
      </c>
      <c r="AC58">
        <v>0</v>
      </c>
      <c r="AD58">
        <v>2</v>
      </c>
      <c r="AI58">
        <v>0</v>
      </c>
    </row>
    <row r="59" spans="1:35">
      <c r="A59" t="s">
        <v>487</v>
      </c>
      <c r="B59" t="s">
        <v>628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</v>
      </c>
      <c r="R59">
        <v>5</v>
      </c>
      <c r="S59">
        <v>2.62</v>
      </c>
      <c r="T59">
        <v>0</v>
      </c>
      <c r="U59">
        <v>0</v>
      </c>
      <c r="V59">
        <v>0</v>
      </c>
      <c r="W59">
        <v>0</v>
      </c>
      <c r="X59">
        <v>2</v>
      </c>
      <c r="Y59">
        <v>5</v>
      </c>
      <c r="Z59">
        <v>2.62</v>
      </c>
      <c r="AA59">
        <v>2.62</v>
      </c>
      <c r="AB59">
        <v>0</v>
      </c>
      <c r="AC59">
        <v>2</v>
      </c>
      <c r="AD59">
        <v>5</v>
      </c>
      <c r="AI59">
        <v>0</v>
      </c>
    </row>
    <row r="60" spans="1:35">
      <c r="A60" t="s">
        <v>487</v>
      </c>
      <c r="B60" t="s">
        <v>591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I60">
        <v>0</v>
      </c>
    </row>
    <row r="61" spans="1:35">
      <c r="A61" t="s">
        <v>487</v>
      </c>
      <c r="B61" t="s">
        <v>592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I61">
        <v>0</v>
      </c>
    </row>
    <row r="62" spans="1:35">
      <c r="A62" t="s">
        <v>487</v>
      </c>
      <c r="B62" t="s">
        <v>842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AI62">
        <v>0</v>
      </c>
    </row>
    <row r="63" spans="1:35">
      <c r="A63" t="s">
        <v>489</v>
      </c>
      <c r="B63" t="s">
        <v>629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6</v>
      </c>
      <c r="Y63">
        <v>4</v>
      </c>
      <c r="Z63">
        <v>6.5</v>
      </c>
      <c r="AA63">
        <v>6.5</v>
      </c>
      <c r="AB63">
        <v>0</v>
      </c>
      <c r="AC63">
        <v>6</v>
      </c>
      <c r="AD63">
        <v>4</v>
      </c>
      <c r="AI63">
        <v>0</v>
      </c>
    </row>
    <row r="64" spans="1:35">
      <c r="A64" t="s">
        <v>489</v>
      </c>
      <c r="B64" t="s">
        <v>621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</v>
      </c>
      <c r="Y64">
        <v>0</v>
      </c>
      <c r="Z64">
        <v>2</v>
      </c>
      <c r="AA64">
        <v>2</v>
      </c>
      <c r="AB64">
        <v>0</v>
      </c>
      <c r="AC64">
        <v>2</v>
      </c>
      <c r="AD64">
        <v>0</v>
      </c>
      <c r="AI64">
        <v>0</v>
      </c>
    </row>
    <row r="65" spans="1:35">
      <c r="A65" t="s">
        <v>489</v>
      </c>
      <c r="B65" t="s">
        <v>630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3</v>
      </c>
      <c r="Z65">
        <v>0.38</v>
      </c>
      <c r="AA65">
        <v>0.38</v>
      </c>
      <c r="AB65">
        <v>0</v>
      </c>
      <c r="AC65">
        <v>0</v>
      </c>
      <c r="AD65">
        <v>3</v>
      </c>
      <c r="AI65">
        <v>0</v>
      </c>
    </row>
    <row r="66" spans="1:35">
      <c r="A66" t="s">
        <v>489</v>
      </c>
      <c r="B66" t="s">
        <v>623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I66">
        <v>0</v>
      </c>
    </row>
    <row r="67" spans="1:35">
      <c r="A67" t="s">
        <v>489</v>
      </c>
      <c r="B67" t="s">
        <v>631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8</v>
      </c>
      <c r="Y67">
        <v>7</v>
      </c>
      <c r="Z67">
        <v>8.8800000000000008</v>
      </c>
      <c r="AA67">
        <v>8.8800000000000008</v>
      </c>
      <c r="AB67">
        <v>0</v>
      </c>
      <c r="AC67">
        <v>8</v>
      </c>
      <c r="AD67">
        <v>7</v>
      </c>
      <c r="AI67">
        <v>0</v>
      </c>
    </row>
    <row r="68" spans="1:35">
      <c r="A68" t="s">
        <v>489</v>
      </c>
      <c r="B68" t="s">
        <v>632</v>
      </c>
      <c r="C68">
        <v>0</v>
      </c>
      <c r="D68">
        <v>0</v>
      </c>
      <c r="E68">
        <v>3</v>
      </c>
      <c r="F68">
        <v>0</v>
      </c>
      <c r="G68">
        <v>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0</v>
      </c>
      <c r="Z68">
        <v>3</v>
      </c>
      <c r="AA68">
        <v>3</v>
      </c>
      <c r="AB68">
        <v>0</v>
      </c>
      <c r="AC68">
        <v>3</v>
      </c>
      <c r="AD68">
        <v>0</v>
      </c>
      <c r="AI68">
        <v>0</v>
      </c>
    </row>
    <row r="69" spans="1:35">
      <c r="A69" t="s">
        <v>489</v>
      </c>
      <c r="B69" t="s">
        <v>586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</v>
      </c>
      <c r="Z69">
        <v>0.25</v>
      </c>
      <c r="AA69">
        <v>0.25</v>
      </c>
      <c r="AB69">
        <v>0</v>
      </c>
      <c r="AC69">
        <v>0</v>
      </c>
      <c r="AD69">
        <v>2</v>
      </c>
      <c r="AI69">
        <v>0</v>
      </c>
    </row>
    <row r="70" spans="1:35">
      <c r="A70" t="s">
        <v>489</v>
      </c>
      <c r="B70" t="s">
        <v>633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</v>
      </c>
      <c r="Y70">
        <v>0</v>
      </c>
      <c r="Z70">
        <v>2</v>
      </c>
      <c r="AA70">
        <v>2</v>
      </c>
      <c r="AB70">
        <v>0</v>
      </c>
      <c r="AC70">
        <v>2</v>
      </c>
      <c r="AD70">
        <v>0</v>
      </c>
      <c r="AI70">
        <v>0</v>
      </c>
    </row>
    <row r="71" spans="1:35">
      <c r="A71" t="s">
        <v>489</v>
      </c>
      <c r="B71" t="s">
        <v>634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3</v>
      </c>
      <c r="Z71">
        <v>0.38</v>
      </c>
      <c r="AA71">
        <v>0.38</v>
      </c>
      <c r="AB71">
        <v>0</v>
      </c>
      <c r="AC71">
        <v>0</v>
      </c>
      <c r="AD71">
        <v>3</v>
      </c>
      <c r="AI71">
        <v>0</v>
      </c>
    </row>
    <row r="72" spans="1:35">
      <c r="A72" t="s">
        <v>489</v>
      </c>
      <c r="B72" t="s">
        <v>635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</v>
      </c>
      <c r="R72">
        <v>4</v>
      </c>
      <c r="S72">
        <v>3.5</v>
      </c>
      <c r="T72">
        <v>0</v>
      </c>
      <c r="U72">
        <v>0</v>
      </c>
      <c r="V72">
        <v>0</v>
      </c>
      <c r="W72">
        <v>0</v>
      </c>
      <c r="X72">
        <v>3</v>
      </c>
      <c r="Y72">
        <v>4</v>
      </c>
      <c r="Z72">
        <v>3.5</v>
      </c>
      <c r="AA72">
        <v>3.5</v>
      </c>
      <c r="AB72">
        <v>0</v>
      </c>
      <c r="AC72">
        <v>3</v>
      </c>
      <c r="AD72">
        <v>4</v>
      </c>
      <c r="AI72">
        <v>0</v>
      </c>
    </row>
    <row r="73" spans="1:35">
      <c r="A73" t="s">
        <v>489</v>
      </c>
      <c r="B73" t="s">
        <v>591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I73">
        <v>0</v>
      </c>
    </row>
    <row r="74" spans="1:35">
      <c r="A74" t="s">
        <v>489</v>
      </c>
      <c r="B74" t="s">
        <v>592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I74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7"/>
  <sheetViews>
    <sheetView workbookViewId="0"/>
  </sheetViews>
  <sheetFormatPr defaultRowHeight="14.5"/>
  <sheetData>
    <row r="1" spans="1:17">
      <c r="A1" t="s">
        <v>845</v>
      </c>
      <c r="B1" t="s">
        <v>846</v>
      </c>
      <c r="C1" t="s">
        <v>835</v>
      </c>
      <c r="D1" t="s">
        <v>836</v>
      </c>
      <c r="E1" t="s">
        <v>837</v>
      </c>
      <c r="F1" t="s">
        <v>823</v>
      </c>
      <c r="G1" t="s">
        <v>824</v>
      </c>
      <c r="H1" t="s">
        <v>841</v>
      </c>
      <c r="I1" t="s">
        <v>832</v>
      </c>
      <c r="J1" t="s">
        <v>833</v>
      </c>
      <c r="K1" t="s">
        <v>834</v>
      </c>
      <c r="L1" t="s">
        <v>847</v>
      </c>
      <c r="M1" t="s">
        <v>848</v>
      </c>
      <c r="N1" t="s">
        <v>849</v>
      </c>
      <c r="O1" t="s">
        <v>850</v>
      </c>
      <c r="P1" t="s">
        <v>851</v>
      </c>
      <c r="Q1" t="s">
        <v>852</v>
      </c>
    </row>
    <row r="2" spans="1:17">
      <c r="A2" t="s">
        <v>577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7">
      <c r="A3" t="s">
        <v>480</v>
      </c>
      <c r="B3">
        <v>0</v>
      </c>
      <c r="C3">
        <v>49</v>
      </c>
      <c r="D3">
        <v>1</v>
      </c>
      <c r="E3">
        <v>49.12</v>
      </c>
      <c r="F3">
        <v>0</v>
      </c>
      <c r="G3">
        <v>0</v>
      </c>
      <c r="H3">
        <v>0</v>
      </c>
      <c r="I3">
        <v>36</v>
      </c>
      <c r="J3">
        <v>6.5</v>
      </c>
      <c r="K3">
        <v>36.81</v>
      </c>
      <c r="L3">
        <v>49.12</v>
      </c>
      <c r="M3">
        <v>12.31</v>
      </c>
      <c r="N3">
        <v>0.48</v>
      </c>
      <c r="O3">
        <v>0.47</v>
      </c>
      <c r="P3">
        <v>23.77</v>
      </c>
      <c r="Q3">
        <v>23.33</v>
      </c>
    </row>
    <row r="4" spans="1:17">
      <c r="A4" t="s">
        <v>481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0.3</v>
      </c>
      <c r="O4">
        <v>0.3</v>
      </c>
      <c r="P4">
        <v>0</v>
      </c>
      <c r="Q4">
        <v>0</v>
      </c>
    </row>
    <row r="5" spans="1:17">
      <c r="A5" t="s">
        <v>483</v>
      </c>
      <c r="B5">
        <v>0</v>
      </c>
      <c r="C5">
        <v>106</v>
      </c>
      <c r="D5">
        <v>1</v>
      </c>
      <c r="E5">
        <v>106.12</v>
      </c>
      <c r="F5">
        <v>0</v>
      </c>
      <c r="G5">
        <v>0</v>
      </c>
      <c r="H5">
        <v>0</v>
      </c>
      <c r="I5">
        <v>38</v>
      </c>
      <c r="J5">
        <v>3</v>
      </c>
      <c r="K5">
        <v>38.119999999999997</v>
      </c>
      <c r="L5">
        <v>106.12</v>
      </c>
      <c r="M5">
        <v>68</v>
      </c>
      <c r="N5">
        <v>0.3</v>
      </c>
      <c r="O5">
        <v>0.3</v>
      </c>
      <c r="P5">
        <v>31.84</v>
      </c>
      <c r="Q5">
        <v>31.84</v>
      </c>
    </row>
    <row r="6" spans="1:17">
      <c r="A6" t="s">
        <v>485</v>
      </c>
      <c r="B6">
        <v>0</v>
      </c>
      <c r="C6">
        <v>20</v>
      </c>
      <c r="D6">
        <v>4</v>
      </c>
      <c r="E6">
        <v>20.5</v>
      </c>
      <c r="F6">
        <v>0</v>
      </c>
      <c r="G6">
        <v>0</v>
      </c>
      <c r="H6">
        <v>0</v>
      </c>
      <c r="I6">
        <v>5</v>
      </c>
      <c r="J6">
        <v>6</v>
      </c>
      <c r="K6">
        <v>5.75</v>
      </c>
      <c r="L6">
        <v>20.5</v>
      </c>
      <c r="M6">
        <v>14.75</v>
      </c>
      <c r="N6">
        <v>0.17</v>
      </c>
      <c r="O6">
        <v>0.17</v>
      </c>
      <c r="P6">
        <v>3.42</v>
      </c>
      <c r="Q6">
        <v>3.42</v>
      </c>
    </row>
    <row r="7" spans="1:17">
      <c r="A7" t="s">
        <v>487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5</v>
      </c>
      <c r="K7">
        <v>2.62</v>
      </c>
      <c r="L7">
        <v>0</v>
      </c>
      <c r="M7">
        <v>-2.62</v>
      </c>
      <c r="N7">
        <v>0.27</v>
      </c>
      <c r="O7">
        <v>0.27</v>
      </c>
      <c r="P7">
        <v>0</v>
      </c>
      <c r="Q7">
        <v>0</v>
      </c>
    </row>
    <row r="8" spans="1:17">
      <c r="A8" t="s">
        <v>489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</v>
      </c>
      <c r="J8">
        <v>4</v>
      </c>
      <c r="K8">
        <v>3.5</v>
      </c>
      <c r="L8">
        <v>0</v>
      </c>
      <c r="M8">
        <v>-3.5</v>
      </c>
      <c r="N8">
        <v>0.25</v>
      </c>
      <c r="O8">
        <v>0.25</v>
      </c>
      <c r="P8">
        <v>0</v>
      </c>
      <c r="Q8">
        <v>0</v>
      </c>
    </row>
    <row r="9" spans="1:17">
      <c r="A9" t="s">
        <v>853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7">
      <c r="A10" t="s">
        <v>80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7">
      <c r="A11" t="s">
        <v>854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7">
      <c r="A12" t="s">
        <v>855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7">
      <c r="A13" t="s">
        <v>77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7">
      <c r="A14" t="s">
        <v>64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7">
      <c r="A15" t="s">
        <v>65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7">
      <c r="A16" t="s">
        <v>856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857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8"/>
  <sheetViews>
    <sheetView workbookViewId="0"/>
  </sheetViews>
  <sheetFormatPr defaultRowHeight="14.5"/>
  <sheetData>
    <row r="1" spans="1:34">
      <c r="A1" t="s">
        <v>166</v>
      </c>
      <c r="B1" t="s">
        <v>243</v>
      </c>
      <c r="C1" t="s">
        <v>395</v>
      </c>
      <c r="D1" t="s">
        <v>396</v>
      </c>
      <c r="E1" t="s">
        <v>397</v>
      </c>
      <c r="F1" t="s">
        <v>398</v>
      </c>
      <c r="G1" t="s">
        <v>399</v>
      </c>
      <c r="H1" t="s">
        <v>400</v>
      </c>
      <c r="I1" t="s">
        <v>401</v>
      </c>
      <c r="J1" t="s">
        <v>402</v>
      </c>
      <c r="K1" t="s">
        <v>403</v>
      </c>
      <c r="L1" t="s">
        <v>404</v>
      </c>
      <c r="M1" t="s">
        <v>858</v>
      </c>
      <c r="N1" t="s">
        <v>859</v>
      </c>
      <c r="O1" t="s">
        <v>411</v>
      </c>
      <c r="P1" t="s">
        <v>412</v>
      </c>
      <c r="Q1" t="s">
        <v>405</v>
      </c>
      <c r="R1" t="s">
        <v>406</v>
      </c>
      <c r="S1" t="s">
        <v>413</v>
      </c>
      <c r="T1" t="s">
        <v>414</v>
      </c>
      <c r="U1" t="s">
        <v>407</v>
      </c>
      <c r="V1" t="s">
        <v>408</v>
      </c>
      <c r="W1" t="s">
        <v>415</v>
      </c>
      <c r="X1" t="s">
        <v>416</v>
      </c>
      <c r="Y1" t="s">
        <v>417</v>
      </c>
      <c r="Z1" t="s">
        <v>418</v>
      </c>
      <c r="AA1" t="s">
        <v>860</v>
      </c>
      <c r="AB1" t="s">
        <v>861</v>
      </c>
      <c r="AC1" t="s">
        <v>862</v>
      </c>
      <c r="AD1" t="s">
        <v>863</v>
      </c>
      <c r="AE1" t="s">
        <v>864</v>
      </c>
      <c r="AF1" t="s">
        <v>849</v>
      </c>
      <c r="AG1" t="s">
        <v>850</v>
      </c>
      <c r="AH1" t="s">
        <v>865</v>
      </c>
    </row>
    <row r="2" spans="1:34">
      <c r="A2" t="s">
        <v>478</v>
      </c>
      <c r="B2" t="s">
        <v>479</v>
      </c>
      <c r="C2">
        <v>17.82</v>
      </c>
      <c r="D2">
        <v>17</v>
      </c>
      <c r="E2">
        <v>16</v>
      </c>
      <c r="F2">
        <v>3.75</v>
      </c>
      <c r="G2" t="s">
        <v>480</v>
      </c>
      <c r="H2">
        <v>36</v>
      </c>
      <c r="I2">
        <v>6.5</v>
      </c>
      <c r="J2">
        <v>36.81</v>
      </c>
      <c r="K2">
        <v>36.81</v>
      </c>
      <c r="L2">
        <v>0</v>
      </c>
      <c r="M2">
        <v>36</v>
      </c>
      <c r="N2">
        <v>6.5</v>
      </c>
      <c r="O2">
        <v>10</v>
      </c>
      <c r="P2">
        <v>0</v>
      </c>
      <c r="Q2">
        <v>25</v>
      </c>
      <c r="R2">
        <v>0</v>
      </c>
      <c r="S2">
        <v>9</v>
      </c>
      <c r="T2">
        <v>0</v>
      </c>
      <c r="U2">
        <v>11</v>
      </c>
      <c r="V2">
        <v>6.5</v>
      </c>
      <c r="AA2">
        <v>0.5</v>
      </c>
      <c r="AB2">
        <v>0.45</v>
      </c>
      <c r="AE2">
        <v>36.81</v>
      </c>
      <c r="AF2">
        <v>0.48</v>
      </c>
      <c r="AG2">
        <v>0.47</v>
      </c>
      <c r="AH2" t="s">
        <v>480</v>
      </c>
    </row>
    <row r="3" spans="1:34">
      <c r="A3" t="s">
        <v>478</v>
      </c>
      <c r="B3" t="s">
        <v>217</v>
      </c>
      <c r="C3">
        <v>1.2</v>
      </c>
      <c r="D3">
        <v>1</v>
      </c>
      <c r="E3">
        <v>4</v>
      </c>
      <c r="F3">
        <v>0</v>
      </c>
      <c r="G3" t="s">
        <v>481</v>
      </c>
      <c r="H3">
        <v>4</v>
      </c>
      <c r="I3">
        <v>0</v>
      </c>
      <c r="J3">
        <v>4</v>
      </c>
      <c r="K3">
        <v>4</v>
      </c>
      <c r="L3">
        <v>0</v>
      </c>
      <c r="M3">
        <v>4</v>
      </c>
      <c r="N3">
        <v>0</v>
      </c>
      <c r="AA3">
        <v>0.3</v>
      </c>
      <c r="AE3">
        <v>4</v>
      </c>
      <c r="AF3">
        <v>0.3</v>
      </c>
      <c r="AG3">
        <v>0.3</v>
      </c>
      <c r="AH3" t="s">
        <v>481</v>
      </c>
    </row>
    <row r="4" spans="1:34">
      <c r="A4" t="s">
        <v>478</v>
      </c>
      <c r="B4" t="s">
        <v>482</v>
      </c>
      <c r="C4">
        <v>11.44</v>
      </c>
      <c r="D4">
        <v>11</v>
      </c>
      <c r="E4">
        <v>8</v>
      </c>
      <c r="F4">
        <v>9</v>
      </c>
      <c r="G4" t="s">
        <v>483</v>
      </c>
      <c r="H4">
        <v>38</v>
      </c>
      <c r="I4">
        <v>1</v>
      </c>
      <c r="J4">
        <v>38.119999999999997</v>
      </c>
      <c r="K4">
        <v>38.119999999999997</v>
      </c>
      <c r="L4">
        <v>0</v>
      </c>
      <c r="M4">
        <v>38</v>
      </c>
      <c r="N4">
        <v>1</v>
      </c>
      <c r="O4">
        <v>6</v>
      </c>
      <c r="P4">
        <v>0</v>
      </c>
      <c r="AA4">
        <v>0.3</v>
      </c>
      <c r="AE4">
        <v>38.119999999999997</v>
      </c>
      <c r="AF4">
        <v>0.3</v>
      </c>
      <c r="AG4">
        <v>0.3</v>
      </c>
      <c r="AH4" t="s">
        <v>483</v>
      </c>
    </row>
    <row r="5" spans="1:34">
      <c r="A5" t="s">
        <v>478</v>
      </c>
      <c r="B5" t="s">
        <v>484</v>
      </c>
      <c r="C5">
        <v>0.77</v>
      </c>
      <c r="D5">
        <v>0</v>
      </c>
      <c r="E5">
        <v>15</v>
      </c>
      <c r="F5">
        <v>5</v>
      </c>
      <c r="G5" t="s">
        <v>485</v>
      </c>
      <c r="H5">
        <v>4</v>
      </c>
      <c r="I5">
        <v>5</v>
      </c>
      <c r="J5">
        <v>4.62</v>
      </c>
      <c r="K5">
        <v>4.62</v>
      </c>
      <c r="L5">
        <v>0</v>
      </c>
      <c r="M5">
        <v>4</v>
      </c>
      <c r="N5">
        <v>5</v>
      </c>
      <c r="O5">
        <v>3</v>
      </c>
      <c r="P5">
        <v>4</v>
      </c>
      <c r="AA5">
        <v>0.17</v>
      </c>
      <c r="AE5">
        <v>4.62</v>
      </c>
      <c r="AF5">
        <v>0.17</v>
      </c>
      <c r="AG5">
        <v>0.17</v>
      </c>
      <c r="AH5" t="s">
        <v>485</v>
      </c>
    </row>
    <row r="6" spans="1:34">
      <c r="A6" t="s">
        <v>478</v>
      </c>
      <c r="B6" t="s">
        <v>486</v>
      </c>
      <c r="C6">
        <v>0.72</v>
      </c>
      <c r="D6">
        <v>0</v>
      </c>
      <c r="E6">
        <v>14</v>
      </c>
      <c r="F6">
        <v>4</v>
      </c>
      <c r="G6" t="s">
        <v>487</v>
      </c>
      <c r="H6">
        <v>2</v>
      </c>
      <c r="I6">
        <v>5</v>
      </c>
      <c r="J6">
        <v>2.62</v>
      </c>
      <c r="K6">
        <v>2.62</v>
      </c>
      <c r="L6">
        <v>0</v>
      </c>
      <c r="M6">
        <v>2</v>
      </c>
      <c r="N6">
        <v>5</v>
      </c>
      <c r="O6">
        <v>5</v>
      </c>
      <c r="P6">
        <v>4</v>
      </c>
      <c r="AA6">
        <v>0.27</v>
      </c>
      <c r="AE6">
        <v>2.62</v>
      </c>
      <c r="AF6">
        <v>0.27</v>
      </c>
      <c r="AG6">
        <v>0.27</v>
      </c>
      <c r="AH6" t="s">
        <v>487</v>
      </c>
    </row>
    <row r="7" spans="1:34">
      <c r="A7" t="s">
        <v>478</v>
      </c>
      <c r="B7" t="s">
        <v>488</v>
      </c>
      <c r="C7">
        <v>0.88</v>
      </c>
      <c r="D7">
        <v>0</v>
      </c>
      <c r="E7">
        <v>17</v>
      </c>
      <c r="F7">
        <v>6</v>
      </c>
      <c r="G7" t="s">
        <v>489</v>
      </c>
      <c r="H7">
        <v>3</v>
      </c>
      <c r="I7">
        <v>3</v>
      </c>
      <c r="J7">
        <v>3.38</v>
      </c>
      <c r="K7">
        <v>3.38</v>
      </c>
      <c r="L7">
        <v>0</v>
      </c>
      <c r="M7">
        <v>3</v>
      </c>
      <c r="N7">
        <v>3</v>
      </c>
      <c r="O7">
        <v>5</v>
      </c>
      <c r="P7">
        <v>0</v>
      </c>
      <c r="AA7">
        <v>0.25</v>
      </c>
      <c r="AE7">
        <v>3.38</v>
      </c>
      <c r="AF7">
        <v>0.25</v>
      </c>
      <c r="AG7">
        <v>0.25</v>
      </c>
      <c r="AH7" t="s">
        <v>489</v>
      </c>
    </row>
    <row r="8" spans="1:34">
      <c r="A8" t="s">
        <v>478</v>
      </c>
      <c r="B8" t="s">
        <v>490</v>
      </c>
      <c r="C8">
        <v>32.799999999999997</v>
      </c>
      <c r="D8">
        <v>32</v>
      </c>
      <c r="E8">
        <v>15</v>
      </c>
      <c r="F8">
        <v>11.75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AA8" t="s">
        <v>866</v>
      </c>
      <c r="AE8">
        <v>0</v>
      </c>
      <c r="AF8" t="s">
        <v>866</v>
      </c>
      <c r="AG8" t="s">
        <v>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Receipts</vt:lpstr>
      <vt:lpstr>Expenses</vt:lpstr>
      <vt:lpstr>Stock</vt:lpstr>
      <vt:lpstr>raw data</vt:lpstr>
      <vt:lpstr>Stock_raw</vt:lpstr>
      <vt:lpstr>Issues of the Mills</vt:lpstr>
      <vt:lpstr>Prices</vt:lpstr>
      <vt:lpstr>Labour Rents</vt:lpstr>
      <vt:lpstr>not needed</vt:lpstr>
      <vt:lpstr>Issues of the Grange raw</vt:lpstr>
      <vt:lpstr>Issues of the Grange</vt:lpstr>
      <vt:lpstr>Sale of Corn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Kowalski, Kuba</cp:lastModifiedBy>
  <dcterms:created xsi:type="dcterms:W3CDTF">2024-09-06T15:22:17Z</dcterms:created>
  <dcterms:modified xsi:type="dcterms:W3CDTF">2026-02-04T22:49:37Z</dcterms:modified>
</cp:coreProperties>
</file>
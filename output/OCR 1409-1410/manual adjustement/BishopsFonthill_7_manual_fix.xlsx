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output/OCR 1409-1410/manual adjustement/"/>
    </mc:Choice>
  </mc:AlternateContent>
  <xr:revisionPtr revIDLastSave="19" documentId="11_EEDEAA7253A5BB209C6D48F86C3F311C917758EA" xr6:coauthVersionLast="47" xr6:coauthVersionMax="47" xr10:uidLastSave="{44428F66-80E1-475E-A902-AC7DC2DEBB22}"/>
  <bookViews>
    <workbookView xWindow="-110" yWindow="-110" windowWidth="38620" windowHeight="21100" activeTab="3" xr2:uid="{00000000-000D-0000-FFFF-FFFF00000000}"/>
  </bookViews>
  <sheets>
    <sheet name="Overview" sheetId="1" r:id="rId1"/>
    <sheet name="Receipts" sheetId="2" r:id="rId2"/>
    <sheet name="Expenses" sheetId="3" r:id="rId3"/>
    <sheet name="Stock" sheetId="4" r:id="rId4"/>
    <sheet name="raw data" sheetId="5" r:id="rId5"/>
    <sheet name="Stock_raw" sheetId="6" r:id="rId6"/>
    <sheet name="Issues of the Mills" sheetId="7" r:id="rId7"/>
    <sheet name="Prices" sheetId="8" r:id="rId8"/>
    <sheet name="Labour Rents" sheetId="9" r:id="rId9"/>
    <sheet name="not needed" sheetId="10" r:id="rId10"/>
    <sheet name="Issues of the Grange raw" sheetId="11" r:id="rId11"/>
    <sheet name="Issues of the Grange" sheetId="12" r:id="rId12"/>
    <sheet name="Sale of Corn Pric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4" l="1"/>
  <c r="O12" i="4"/>
  <c r="F95" i="1" s="1"/>
  <c r="O19" i="4"/>
  <c r="B46" i="1"/>
  <c r="T93" i="4"/>
  <c r="S93" i="4"/>
  <c r="T89" i="4"/>
  <c r="S89" i="4"/>
  <c r="T88" i="4"/>
  <c r="S88" i="4"/>
  <c r="T84" i="4"/>
  <c r="S84" i="4"/>
  <c r="T83" i="4"/>
  <c r="S83" i="4"/>
  <c r="T82" i="4"/>
  <c r="S82" i="4"/>
  <c r="S77" i="4"/>
  <c r="T76" i="4"/>
  <c r="T77" i="4" s="1"/>
  <c r="S76" i="4"/>
  <c r="T75" i="4"/>
  <c r="S75" i="4"/>
  <c r="Q70" i="4"/>
  <c r="N70" i="4"/>
  <c r="T70" i="4" s="1"/>
  <c r="M70" i="4"/>
  <c r="S70" i="4" s="1"/>
  <c r="L70" i="4"/>
  <c r="Q69" i="4"/>
  <c r="F154" i="1" s="1"/>
  <c r="N69" i="4"/>
  <c r="T69" i="4" s="1"/>
  <c r="L69" i="4"/>
  <c r="M69" i="4" s="1"/>
  <c r="T68" i="4"/>
  <c r="Q68" i="4"/>
  <c r="F153" i="1" s="1"/>
  <c r="N68" i="4"/>
  <c r="L68" i="4"/>
  <c r="M68" i="4" s="1"/>
  <c r="Q67" i="4"/>
  <c r="F152" i="1" s="1"/>
  <c r="F156" i="1" s="1"/>
  <c r="N67" i="4"/>
  <c r="T67" i="4" s="1"/>
  <c r="L67" i="4"/>
  <c r="M67" i="4" s="1"/>
  <c r="P30" i="4"/>
  <c r="N30" i="4"/>
  <c r="T30" i="4" s="1"/>
  <c r="M30" i="4"/>
  <c r="S30" i="4" s="1"/>
  <c r="L30" i="4"/>
  <c r="K30" i="4"/>
  <c r="N29" i="4"/>
  <c r="T29" i="4" s="1"/>
  <c r="M29" i="4"/>
  <c r="S29" i="4" s="1"/>
  <c r="L29" i="4"/>
  <c r="K29" i="4"/>
  <c r="P29" i="4" s="1"/>
  <c r="N28" i="4"/>
  <c r="T28" i="4" s="1"/>
  <c r="L28" i="4"/>
  <c r="C111" i="1" s="1"/>
  <c r="D111" i="1" s="1"/>
  <c r="G111" i="1" s="1"/>
  <c r="K28" i="4"/>
  <c r="P28" i="4" s="1"/>
  <c r="T27" i="4"/>
  <c r="N27" i="4"/>
  <c r="L27" i="4"/>
  <c r="M27" i="4" s="1"/>
  <c r="S27" i="4" s="1"/>
  <c r="K27" i="4"/>
  <c r="P27" i="4" s="1"/>
  <c r="T26" i="4"/>
  <c r="N26" i="4"/>
  <c r="L26" i="4"/>
  <c r="M26" i="4" s="1"/>
  <c r="S26" i="4" s="1"/>
  <c r="K26" i="4"/>
  <c r="P26" i="4" s="1"/>
  <c r="T25" i="4"/>
  <c r="S25" i="4"/>
  <c r="N25" i="4"/>
  <c r="M25" i="4"/>
  <c r="L25" i="4"/>
  <c r="K25" i="4"/>
  <c r="P25" i="4" s="1"/>
  <c r="T24" i="4"/>
  <c r="N24" i="4"/>
  <c r="L24" i="4"/>
  <c r="C107" i="1" s="1"/>
  <c r="D107" i="1" s="1"/>
  <c r="G107" i="1" s="1"/>
  <c r="K24" i="4"/>
  <c r="P24" i="4" s="1"/>
  <c r="P23" i="4"/>
  <c r="N23" i="4"/>
  <c r="T23" i="4" s="1"/>
  <c r="L23" i="4"/>
  <c r="F106" i="1" s="1"/>
  <c r="K23" i="4"/>
  <c r="P22" i="4"/>
  <c r="N22" i="4"/>
  <c r="T22" i="4" s="1"/>
  <c r="L22" i="4"/>
  <c r="C105" i="1" s="1"/>
  <c r="D105" i="1" s="1"/>
  <c r="G105" i="1" s="1"/>
  <c r="K22" i="4"/>
  <c r="P21" i="4"/>
  <c r="N21" i="4"/>
  <c r="T21" i="4" s="1"/>
  <c r="L21" i="4"/>
  <c r="F104" i="1" s="1"/>
  <c r="K21" i="4"/>
  <c r="N20" i="4"/>
  <c r="T20" i="4" s="1"/>
  <c r="L20" i="4"/>
  <c r="M20" i="4" s="1"/>
  <c r="S20" i="4" s="1"/>
  <c r="K20" i="4"/>
  <c r="P20" i="4" s="1"/>
  <c r="N19" i="4"/>
  <c r="L19" i="4"/>
  <c r="K19" i="4"/>
  <c r="T18" i="4"/>
  <c r="P18" i="4"/>
  <c r="N18" i="4"/>
  <c r="L18" i="4"/>
  <c r="M18" i="4" s="1"/>
  <c r="S18" i="4" s="1"/>
  <c r="K18" i="4"/>
  <c r="T17" i="4"/>
  <c r="S17" i="4"/>
  <c r="P17" i="4"/>
  <c r="N17" i="4"/>
  <c r="M17" i="4"/>
  <c r="L17" i="4"/>
  <c r="K17" i="4"/>
  <c r="T16" i="4"/>
  <c r="P16" i="4"/>
  <c r="N16" i="4"/>
  <c r="L16" i="4"/>
  <c r="M16" i="4" s="1"/>
  <c r="S16" i="4" s="1"/>
  <c r="K16" i="4"/>
  <c r="N15" i="4"/>
  <c r="T15" i="4" s="1"/>
  <c r="L15" i="4"/>
  <c r="M15" i="4" s="1"/>
  <c r="S15" i="4" s="1"/>
  <c r="K15" i="4"/>
  <c r="P15" i="4" s="1"/>
  <c r="N14" i="4"/>
  <c r="T14" i="4" s="1"/>
  <c r="L14" i="4"/>
  <c r="C97" i="1" s="1"/>
  <c r="D97" i="1" s="1"/>
  <c r="G97" i="1" s="1"/>
  <c r="K14" i="4"/>
  <c r="P14" i="4" s="1"/>
  <c r="N13" i="4"/>
  <c r="T13" i="4" s="1"/>
  <c r="L13" i="4"/>
  <c r="F96" i="1" s="1"/>
  <c r="K13" i="4"/>
  <c r="P13" i="4" s="1"/>
  <c r="N12" i="4"/>
  <c r="L12" i="4"/>
  <c r="C95" i="1" s="1"/>
  <c r="D95" i="1" s="1"/>
  <c r="K12" i="4"/>
  <c r="T11" i="4"/>
  <c r="N11" i="4"/>
  <c r="L11" i="4"/>
  <c r="M11" i="4" s="1"/>
  <c r="S11" i="4" s="1"/>
  <c r="K11" i="4"/>
  <c r="P11" i="4" s="1"/>
  <c r="N10" i="4"/>
  <c r="T10" i="4" s="1"/>
  <c r="L10" i="4"/>
  <c r="F93" i="1" s="1"/>
  <c r="K10" i="4"/>
  <c r="P10" i="4" s="1"/>
  <c r="P9" i="4"/>
  <c r="N9" i="4"/>
  <c r="T9" i="4" s="1"/>
  <c r="L9" i="4"/>
  <c r="M9" i="4" s="1"/>
  <c r="S9" i="4" s="1"/>
  <c r="K9" i="4"/>
  <c r="P8" i="4"/>
  <c r="N8" i="4"/>
  <c r="T8" i="4" s="1"/>
  <c r="L8" i="4"/>
  <c r="M8" i="4" s="1"/>
  <c r="S8" i="4" s="1"/>
  <c r="K8" i="4"/>
  <c r="P7" i="4"/>
  <c r="N7" i="4"/>
  <c r="T7" i="4" s="1"/>
  <c r="L7" i="4"/>
  <c r="M7" i="4" s="1"/>
  <c r="K7" i="4"/>
  <c r="N6" i="4"/>
  <c r="T6" i="4" s="1"/>
  <c r="M6" i="4"/>
  <c r="S6" i="4" s="1"/>
  <c r="L6" i="4"/>
  <c r="K6" i="4"/>
  <c r="P6" i="4" s="1"/>
  <c r="N5" i="4"/>
  <c r="T5" i="4" s="1"/>
  <c r="L5" i="4"/>
  <c r="F88" i="1" s="1"/>
  <c r="K5" i="4"/>
  <c r="P5" i="4" s="1"/>
  <c r="F31" i="2"/>
  <c r="B25" i="1" s="1"/>
  <c r="B178" i="1"/>
  <c r="F170" i="1"/>
  <c r="F163" i="1"/>
  <c r="F157" i="1"/>
  <c r="F155" i="1"/>
  <c r="C155" i="1"/>
  <c r="D155" i="1" s="1"/>
  <c r="B153" i="1"/>
  <c r="B152" i="1"/>
  <c r="F124" i="1"/>
  <c r="F116" i="1"/>
  <c r="F113" i="1"/>
  <c r="C113" i="1"/>
  <c r="D113" i="1" s="1"/>
  <c r="G113" i="1" s="1"/>
  <c r="F112" i="1"/>
  <c r="C112" i="1"/>
  <c r="D112" i="1" s="1"/>
  <c r="G112" i="1" s="1"/>
  <c r="F111" i="1"/>
  <c r="F110" i="1"/>
  <c r="C110" i="1"/>
  <c r="D110" i="1" s="1"/>
  <c r="G110" i="1" s="1"/>
  <c r="F108" i="1"/>
  <c r="C108" i="1"/>
  <c r="D108" i="1" s="1"/>
  <c r="G108" i="1" s="1"/>
  <c r="C106" i="1"/>
  <c r="D106" i="1" s="1"/>
  <c r="G106" i="1" s="1"/>
  <c r="F103" i="1"/>
  <c r="C103" i="1"/>
  <c r="D103" i="1" s="1"/>
  <c r="G103" i="1" s="1"/>
  <c r="C102" i="1"/>
  <c r="D102" i="1" s="1"/>
  <c r="F100" i="1"/>
  <c r="C100" i="1"/>
  <c r="D100" i="1" s="1"/>
  <c r="G100" i="1" s="1"/>
  <c r="F99" i="1"/>
  <c r="C99" i="1"/>
  <c r="D99" i="1" s="1"/>
  <c r="G99" i="1" s="1"/>
  <c r="F98" i="1"/>
  <c r="C98" i="1"/>
  <c r="D98" i="1" s="1"/>
  <c r="G98" i="1" s="1"/>
  <c r="F97" i="1"/>
  <c r="C96" i="1"/>
  <c r="D96" i="1" s="1"/>
  <c r="G96" i="1" s="1"/>
  <c r="F94" i="1"/>
  <c r="C94" i="1"/>
  <c r="D94" i="1" s="1"/>
  <c r="G94" i="1" s="1"/>
  <c r="F92" i="1"/>
  <c r="C92" i="1"/>
  <c r="D92" i="1" s="1"/>
  <c r="G92" i="1" s="1"/>
  <c r="F91" i="1"/>
  <c r="C91" i="1"/>
  <c r="D91" i="1" s="1"/>
  <c r="G91" i="1" s="1"/>
  <c r="F90" i="1"/>
  <c r="C90" i="1"/>
  <c r="D90" i="1" s="1"/>
  <c r="G90" i="1" s="1"/>
  <c r="F89" i="1"/>
  <c r="C89" i="1"/>
  <c r="D89" i="1" s="1"/>
  <c r="G89" i="1" s="1"/>
  <c r="C88" i="1"/>
  <c r="D88" i="1" s="1"/>
  <c r="G88" i="1" s="1"/>
  <c r="E73" i="1"/>
  <c r="E72" i="1"/>
  <c r="B55" i="1"/>
  <c r="B58" i="1" s="1"/>
  <c r="B24" i="1"/>
  <c r="B23" i="1"/>
  <c r="C25" i="1" s="1"/>
  <c r="S7" i="4" l="1"/>
  <c r="P12" i="4"/>
  <c r="T12" i="4"/>
  <c r="G95" i="1"/>
  <c r="P19" i="4"/>
  <c r="G102" i="1"/>
  <c r="T19" i="4"/>
  <c r="F102" i="1"/>
  <c r="B177" i="1"/>
  <c r="S67" i="4"/>
  <c r="C152" i="1"/>
  <c r="C153" i="1"/>
  <c r="D153" i="1" s="1"/>
  <c r="S68" i="4"/>
  <c r="F115" i="1"/>
  <c r="C154" i="1"/>
  <c r="D154" i="1" s="1"/>
  <c r="S69" i="4"/>
  <c r="D152" i="1"/>
  <c r="B176" i="1"/>
  <c r="C104" i="1"/>
  <c r="D104" i="1" s="1"/>
  <c r="G104" i="1" s="1"/>
  <c r="M14" i="4"/>
  <c r="S14" i="4" s="1"/>
  <c r="M28" i="4"/>
  <c r="S28" i="4" s="1"/>
  <c r="F107" i="1"/>
  <c r="M24" i="4"/>
  <c r="S24" i="4" s="1"/>
  <c r="M23" i="4"/>
  <c r="S23" i="4" s="1"/>
  <c r="F32" i="2"/>
  <c r="B26" i="1" s="1"/>
  <c r="M5" i="4"/>
  <c r="S5" i="4" s="1"/>
  <c r="C93" i="1"/>
  <c r="D93" i="1" s="1"/>
  <c r="G93" i="1" s="1"/>
  <c r="C101" i="1"/>
  <c r="D101" i="1" s="1"/>
  <c r="G101" i="1" s="1"/>
  <c r="C109" i="1"/>
  <c r="D109" i="1" s="1"/>
  <c r="G109" i="1" s="1"/>
  <c r="M10" i="4"/>
  <c r="S10" i="4" s="1"/>
  <c r="F101" i="1"/>
  <c r="F109" i="1"/>
  <c r="M22" i="4"/>
  <c r="S22" i="4" s="1"/>
  <c r="M13" i="4"/>
  <c r="S13" i="4" s="1"/>
  <c r="F105" i="1"/>
  <c r="M19" i="4"/>
  <c r="S19" i="4" s="1"/>
  <c r="M12" i="4"/>
  <c r="S12" i="4" s="1"/>
  <c r="B50" i="1"/>
  <c r="M21" i="4"/>
  <c r="S21" i="4" s="1"/>
  <c r="F114" i="1" l="1"/>
  <c r="G114" i="1"/>
  <c r="B181" i="1"/>
  <c r="B179" i="1"/>
  <c r="B18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7" authorId="0" shapeId="0" xr:uid="{00000000-0006-0000-0000-000001000000}">
      <text>
        <r>
          <rPr>
            <sz val="11"/>
            <color theme="1"/>
            <rFont val="Calibri"/>
            <family val="2"/>
            <scheme val="minor"/>
          </rPr>
          <t>Victoria Gierok:
valued at sales prices where available</t>
        </r>
      </text>
    </comment>
    <comment ref="F118" authorId="0" shapeId="0" xr:uid="{00000000-0006-0000-0000-000002000000}">
      <text>
        <r>
          <rPr>
            <sz val="11"/>
            <color theme="1"/>
            <rFont val="Calibri"/>
            <family val="2"/>
            <scheme val="minor"/>
          </rPr>
          <t>Victoria Gierok:
valued at sales prices where available</t>
        </r>
      </text>
    </comment>
    <comment ref="F127" authorId="0" shapeId="0" xr:uid="{00000000-0006-0000-0000-000003000000}">
      <text>
        <r>
          <rPr>
            <sz val="11"/>
            <color theme="1"/>
            <rFont val="Calibri"/>
            <family val="2"/>
            <scheme val="minor"/>
          </rPr>
          <t>Victoria Gierok:
valued at sales prices where available</t>
        </r>
      </text>
    </comment>
    <comment ref="F151" authorId="0" shapeId="0" xr:uid="{00000000-0006-0000-0000-000004000000}">
      <text>
        <r>
          <rPr>
            <sz val="11"/>
            <color theme="1"/>
            <rFont val="Calibri"/>
            <family val="2"/>
            <scheme val="minor"/>
          </rPr>
          <t>Victoria Gierok:
valued at sales prices where available</t>
        </r>
      </text>
    </comment>
    <comment ref="F159" authorId="0" shapeId="0" xr:uid="{00000000-0006-0000-0000-000005000000}">
      <text>
        <r>
          <rPr>
            <sz val="11"/>
            <color theme="1"/>
            <rFont val="Calibri"/>
            <family val="2"/>
            <scheme val="minor"/>
          </rPr>
          <t>Victoria Gierok:
valued at sales prices where available</t>
        </r>
      </text>
    </comment>
    <comment ref="F166"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tc={4F8D5888-4575-457B-9615-D4B14E493448}</author>
    <author>tc={CA487C52-2E09-4EDD-AEE3-94A523D49F64}</author>
    <author>tc={972350FA-57EF-4FEE-96EE-9D2CAA994662}</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 ref="O7" authorId="1" shapeId="0" xr:uid="{4F8D5888-4575-457B-9615-D4B14E493448}">
      <text>
        <t>[Threaded comment]
Your version of Excel allows you to read this threaded comment; however, any edits to it will get removed if the file is opened in a newer version of Excel. Learn more: https://go.microsoft.com/fwlink/?linkid=870924
Comment:
    Plough-horses: 2 remain in the hands of the farmer, worth 6 shilling 8pence each, to be restored at the end of his term.</t>
      </text>
    </comment>
    <comment ref="O12" authorId="2" shapeId="0" xr:uid="{CA487C52-2E09-4EDD-AEE3-94A523D49F64}">
      <text>
        <t>[Threaded comment]
Your version of Excel allows you to read this threaded comment; however, any edits to it will get removed if the file is opened in a newer version of Excel. Learn more: https://go.microsoft.com/fwlink/?linkid=870924
Comment:
    oxen: 12 remain in the hands of the farmer, worth 13 shilling 4pence each, to be restored at the end of his term.</t>
      </text>
    </comment>
    <comment ref="O19" authorId="3" shapeId="0" xr:uid="{972350FA-57EF-4FEE-96EE-9D2CAA994662}">
      <text>
        <t>[Threaded comment]
Your version of Excel allows you to read this threaded comment; however, any edits to it will get removed if the file is opened in a newer version of Excel. Learn more: https://go.microsoft.com/fwlink/?linkid=870924
Comment:
    wethers: 300 remain in the hands of the farmer, worth 1 shilling 10pence each, to be restored at the end of his term.</t>
      </text>
    </comment>
  </commentList>
</comments>
</file>

<file path=xl/sharedStrings.xml><?xml version="1.0" encoding="utf-8"?>
<sst xmlns="http://schemas.openxmlformats.org/spreadsheetml/2006/main" count="721" uniqueCount="462">
  <si>
    <t>BISHOPSFONTHILL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</si>
  <si>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</si>
  <si>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</si>
  <si>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</si>
  <si>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</si>
  <si>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</si>
  <si>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</si>
  <si>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</si>
  <si>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</si>
  <si>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</si>
  <si>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</si>
  <si>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</si>
  <si>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</si>
  <si>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</si>
  <si>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</si>
  <si>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</si>
  <si>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</si>
  <si>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</si>
  <si>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</si>
  <si>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</si>
  <si>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</si>
  <si>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</si>
  <si>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</si>
  <si>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</si>
  <si>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</si>
  <si>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</si>
  <si>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</si>
  <si>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</si>
  <si>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</si>
  <si>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</si>
  <si>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</si>
  <si>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</si>
  <si>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</si>
  <si>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</si>
  <si>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</si>
  <si>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</si>
  <si>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</si>
  <si>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</si>
  <si>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</si>
  <si>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</si>
  <si>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</si>
  <si>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</si>
  <si>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</si>
  <si>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</si>
  <si>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</si>
  <si>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</si>
  <si>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</si>
  <si>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</si>
  <si>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</si>
  <si>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</si>
  <si>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</si>
  <si>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</si>
  <si>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</si>
  <si>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</si>
  <si>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</si>
  <si>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</si>
  <si>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</si>
  <si>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</si>
  <si>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</si>
  <si>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</si>
  <si>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</si>
  <si>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</si>
  <si>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</si>
  <si>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</si>
  <si>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</si>
  <si>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</si>
  <si>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</si>
  <si>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</si>
  <si>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</si>
  <si>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</si>
  <si>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</si>
  <si>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</si>
  <si>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</si>
  <si>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</si>
  <si>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</si>
  <si>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</si>
  <si>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</si>
  <si>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</si>
  <si>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</si>
  <si>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</si>
  <si>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</si>
  <si>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</si>
  <si>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</si>
  <si>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</si>
  <si>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</si>
  <si>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</si>
  <si>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</si>
  <si>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</si>
  <si>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</si>
  <si>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</si>
  <si>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</si>
  <si>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</si>
  <si>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</si>
  <si>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</si>
  <si>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</si>
  <si>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</si>
  <si>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</si>
  <si>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</si>
  <si>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</si>
  <si>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</si>
  <si>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</si>
  <si>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</si>
  <si>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</si>
  <si>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</si>
  <si>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</si>
  <si>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</si>
  <si>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</si>
  <si>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</si>
  <si>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</si>
  <si>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</si>
  <si>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</si>
  <si>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</si>
  <si>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</si>
  <si>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</si>
  <si>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</si>
  <si>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</si>
  <si>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</si>
  <si>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</si>
  <si>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</si>
  <si>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</si>
  <si>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</si>
  <si>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</si>
  <si>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</si>
  <si>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</si>
  <si>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</si>
  <si>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</si>
  <si>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</si>
  <si>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</si>
  <si>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</si>
  <si>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</si>
  <si>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</si>
  <si>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</si>
  <si>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</si>
  <si>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</si>
  <si>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</si>
  <si>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</si>
  <si>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</si>
  <si>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</si>
  <si>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</si>
  <si>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</si>
  <si>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</si>
  <si>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</si>
  <si>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</si>
  <si>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</si>
  <si>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</si>
  <si>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</si>
  <si>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</si>
  <si>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</si>
  <si>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</si>
  <si>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</si>
  <si>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</si>
  <si>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</si>
  <si>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</si>
  <si>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</si>
  <si>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</si>
  <si>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</si>
  <si>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</si>
  <si>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</si>
  <si>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</si>
  <si>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</si>
  <si>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</si>
  <si>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</si>
  <si>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</si>
  <si>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</si>
  <si>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</si>
  <si>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BISHOPSFONTHILL RECEIPTS</t>
  </si>
  <si>
    <t>Heading</t>
  </si>
  <si>
    <t>£</t>
  </si>
  <si>
    <t>s</t>
  </si>
  <si>
    <t>d</t>
  </si>
  <si>
    <t>Notes</t>
  </si>
  <si>
    <t>Own notes</t>
  </si>
  <si>
    <t>Arrears</t>
  </si>
  <si>
    <t>John Brounyng', farmer there, answers for 3 shilling 10pence of arrears from his last account of the preceding year.</t>
  </si>
  <si>
    <t>Total, 3 shilling 10pence.</t>
  </si>
  <si>
    <t>Total</t>
  </si>
  <si>
    <t>Rents</t>
  </si>
  <si>
    <t>Nothing for rents because they pertain to the farmer, the full total of which is made clear in the first year of the translation of the lord and in the preceding pipe rolls.</t>
  </si>
  <si>
    <t>Rents total</t>
  </si>
  <si>
    <t>Annual recognizance</t>
  </si>
  <si>
    <t>And for 6pence for the annual recognizance of Thomas Davy the younger, the lord's villein, so that he may dwell outside the lord's liberty as long as it pleases the lord and come to the tourn of Hockday for the year and remain the lord's villein as before.</t>
  </si>
  <si>
    <t>Total, 6pence.</t>
  </si>
  <si>
    <t>Annual recognizance total</t>
  </si>
  <si>
    <t>Issues of the manor</t>
  </si>
  <si>
    <t>And for £1 17 shilling 8pence from underwood sold this year.</t>
  </si>
  <si>
    <t>Total, £1 17 shilling 8pence.</t>
  </si>
  <si>
    <t>Issues of the manor total</t>
  </si>
  <si>
    <t>Sale of stock</t>
  </si>
  <si>
    <t>And for 14 shilling from 2 cows from a heriot sold.</t>
  </si>
  <si>
    <t>Total, 14 shilling.</t>
  </si>
  <si>
    <t>Sale of stock total</t>
  </si>
  <si>
    <t>Perquisites of court</t>
  </si>
  <si>
    <t>And for 8pence from the perquisites of the tourn of Martinmas.</t>
  </si>
  <si>
    <t>1 shilling 1pence from the perquisites of the tourn of Hockday.</t>
  </si>
  <si>
    <t>5 shilling 1pence from the perquisites of the courts held during the year, that is, from the amercements pertaining to the tourn.</t>
  </si>
  <si>
    <t>Total, 6 shilling 10pence.</t>
  </si>
  <si>
    <t>Perquisites of court total</t>
  </si>
  <si>
    <t>Reliefs</t>
  </si>
  <si>
    <t>And for 10pence from William Elys for the relief of a hundred and twentieth part of one.</t>
  </si>
  <si>
    <t>knight's fee in Bishops Fonthill by hereditary right.</t>
  </si>
  <si>
    <t>Reliefs total</t>
  </si>
  <si>
    <t>Total, 10pence.</t>
  </si>
  <si>
    <t>Total of all receipts recorded in accounts (calculated here)</t>
  </si>
  <si>
    <t>BISHOPSFONTHILL EXPENSES</t>
  </si>
  <si>
    <t>Sentence</t>
  </si>
  <si>
    <t>Fixed Investments</t>
  </si>
  <si>
    <t>Demesne Fixed Investments</t>
  </si>
  <si>
    <t>Stipends</t>
  </si>
  <si>
    <t>In stipend of 1 overseer of the harvest, keeping the woods and officiating at the tourns and courts and collecting the money therefrom, 5 shilling for the year.</t>
  </si>
  <si>
    <t>Total, 5 shilling.</t>
  </si>
  <si>
    <t>Stipends total</t>
  </si>
  <si>
    <t>Expenses of the steward</t>
  </si>
  <si>
    <t>In expenses of the steward coming there to survey the manor and stock at the tourns of Martinmas and Hockday, by 2 sealed bills, together with expenses for the road at Marlborough, 7 shilling.</t>
  </si>
  <si>
    <t>Total, 7 shilling.</t>
  </si>
  <si>
    <t>Expenses of the steward total</t>
  </si>
  <si>
    <t>And he owes</t>
  </si>
  <si>
    <t>And he owes, £22 1 shilling 10pence.</t>
  </si>
  <si>
    <t>And he owes total</t>
  </si>
  <si>
    <t>Delivered to John Arnald', receiver of Wolvesey, by 1 tally, £21 18 shilling.</t>
  </si>
  <si>
    <t>Cash deliveries total</t>
  </si>
  <si>
    <t>Total, £21 18 shilling.</t>
  </si>
  <si>
    <t>BISHOPSFONTHILL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</si>
  <si>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</si>
  <si>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</si>
  <si>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</si>
  <si>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</si>
  <si>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</si>
  <si>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</si>
  <si>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</si>
  <si>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</si>
  <si>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</si>
  <si>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</si>
  <si>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</si>
  <si>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</si>
  <si>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</si>
  <si>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</si>
  <si>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</si>
  <si>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</si>
  <si>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</si>
  <si>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</si>
  <si>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</si>
  <si>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</si>
  <si>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</si>
  <si>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</si>
  <si>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</si>
  <si>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</si>
  <si>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</si>
  <si>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</si>
  <si>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</si>
  <si>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</si>
  <si>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</si>
  <si>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</si>
  <si>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</si>
  <si>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</si>
  <si>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</si>
  <si>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</si>
  <si>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</si>
  <si>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</si>
  <si>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</si>
  <si>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</si>
  <si>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</si>
  <si>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</si>
  <si>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</si>
  <si>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</si>
  <si>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</si>
  <si>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</si>
  <si>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</si>
  <si>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</si>
  <si>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</si>
  <si>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</si>
  <si>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</si>
  <si>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</si>
  <si>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</si>
  <si>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</si>
  <si>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</si>
  <si>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</si>
  <si>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</si>
  <si>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</si>
  <si>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</si>
  <si>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</si>
  <si>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</si>
  <si>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</si>
  <si>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</si>
  <si>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</si>
  <si>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</si>
  <si>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</si>
  <si>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</si>
  <si>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</si>
  <si>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</si>
  <si>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</si>
  <si>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</si>
  <si>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</si>
  <si>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</si>
  <si>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</si>
  <si>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</si>
  <si>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</si>
  <si>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</si>
  <si>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</si>
  <si>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</si>
  <si>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</si>
  <si>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</si>
  <si>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</si>
  <si>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</si>
  <si>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</si>
  <si>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</si>
  <si>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</si>
  <si>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</si>
  <si>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</si>
  <si>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</si>
  <si>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</si>
  <si>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</si>
  <si>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</si>
  <si>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</si>
  <si>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</si>
  <si>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</si>
  <si>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</si>
  <si>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</si>
  <si>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</si>
  <si>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</si>
  <si>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</si>
  <si>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</si>
  <si>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</si>
  <si>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</si>
  <si>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</si>
  <si>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</si>
  <si>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</si>
  <si>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</si>
  <si>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bishops fonthill</t>
  </si>
  <si>
    <t>the account of the same from michaelmas of the fifth year of the translation of henry beaufort', lord bishop of winchester, until michaelmas of the sixth year, for one whole year, and the eleventh year of the reign of king henry the fourth.</t>
  </si>
  <si>
    <t>arrears</t>
  </si>
  <si>
    <t>john brounyng', farmer there, answers for 3 shilling 10pence of arrears from his last account of the preceding year.</t>
  </si>
  <si>
    <t>total, 3 shilling 10pence.</t>
  </si>
  <si>
    <t>rents</t>
  </si>
  <si>
    <t>nothing for rents because they pertain to the farmer, the full total of which is made clear in the first year of the translation of the lord and in the preceding pipe rolls.</t>
  </si>
  <si>
    <t>farms</t>
  </si>
  <si>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</si>
  <si>
    <t>total, £20..</t>
  </si>
  <si>
    <t>annual recognizance</t>
  </si>
  <si>
    <t>and for 6pence for the annual recognizance of thomas davy the younger, the lord's villein, so that he may dwell outside the lord's liberty as long as it pleases the lord and come to the tourn of hockday for the year and remain the lord's villein as before.</t>
  </si>
  <si>
    <t>total, 6pence.</t>
  </si>
  <si>
    <t>issues of the manor</t>
  </si>
  <si>
    <t>and for £1 17 shilling 8pence from underwood sold this year.</t>
  </si>
  <si>
    <t>total, £1 17 shilling 8pence.</t>
  </si>
  <si>
    <t>sale of stock</t>
  </si>
  <si>
    <t>and for 14 shilling from 2 cows from a heriot sold.</t>
  </si>
  <si>
    <t>total, 14 shilling.</t>
  </si>
  <si>
    <t>entry fines</t>
  </si>
  <si>
    <t>and for 6 shilling from tithingpenny at the tourns of martinmas and hockday.</t>
  </si>
  <si>
    <t>2 shilling from thomas reyfe for marrying christine his daughter outside.</t>
  </si>
  <si>
    <t>total, 8 shilling.</t>
  </si>
  <si>
    <t>perquisites of court</t>
  </si>
  <si>
    <t>and for 8pence from the perquisites of the tourn of martinmas.</t>
  </si>
  <si>
    <t>1 shilling 1pence from the perquisites of the tourn of hockday.</t>
  </si>
  <si>
    <t>total, 6 shilling 10pence.</t>
  </si>
  <si>
    <t>reliefs</t>
  </si>
  <si>
    <t>and for 10pence from william elys for the relief of a hundred and twentieth part of one.</t>
  </si>
  <si>
    <t>knight's fee in bishops fonthill by hereditary right.</t>
  </si>
  <si>
    <t>total, 10pence.</t>
  </si>
  <si>
    <t>total of all receipts with arrears</t>
  </si>
  <si>
    <t>total of all receipts with arrears, £23 11 shilling 8pence.</t>
  </si>
  <si>
    <t>necessary costs</t>
  </si>
  <si>
    <t>in enclosing with new hedge 3 furlongs 22 perches around the coppice 17 shilling 10pence, at 5 shilling.</t>
  </si>
  <si>
    <t>a furlong.</t>
  </si>
  <si>
    <t>total, 17 shilling 10pence.</t>
  </si>
  <si>
    <t>stipends</t>
  </si>
  <si>
    <t>in stipend of 1 overseer of the harvest, keeping the woods and officiating at the tourns and courts and collecting the money therefrom, 5 shilling for the year.</t>
  </si>
  <si>
    <t>total, 5 shilling.</t>
  </si>
  <si>
    <t>expenses of the steward</t>
  </si>
  <si>
    <t>in expenses of the steward coming there to survey the manor and stock at the tourns of martinmas and hockday, by 2 sealed bills, together with expenses for the road at marlborough, 7 shilling.</t>
  </si>
  <si>
    <t>total, 7 shilling.</t>
  </si>
  <si>
    <t>total of all expenses and liveries</t>
  </si>
  <si>
    <t>total of all expenses and liveries, £1 9 shilling 10pence.</t>
  </si>
  <si>
    <t>and he owes</t>
  </si>
  <si>
    <t>and he owes, £22 1 shilling 10pence.</t>
  </si>
  <si>
    <t>cash deliveries</t>
  </si>
  <si>
    <t>delivered to john arnald', receiver of wolvesey, by 1 tally, £21 18 shilling.</t>
  </si>
  <si>
    <t>total, £21 18 shilling.</t>
  </si>
  <si>
    <t>and he owes clear</t>
  </si>
  <si>
    <t>and he owes clear, 3 shilling 10pence, all of which is in the hands of the escheator.</t>
  </si>
  <si>
    <t>wheat</t>
  </si>
  <si>
    <t>john brounyng', farmer there, answers for 12 quarters of wheat remaining in the hands of the farmer, to be restored at the end of his term.</t>
  </si>
  <si>
    <t>barley</t>
  </si>
  <si>
    <t>and for 20 quarters of barley remaining in the hands of the farmer, to be restored at the end of his term.</t>
  </si>
  <si>
    <t>oats</t>
  </si>
  <si>
    <t>and for 12 quarters of oats remaining.</t>
  </si>
  <si>
    <t>1 quarters from the farm for the year..</t>
  </si>
  <si>
    <t>total, 13 quarters.</t>
  </si>
  <si>
    <t>delivered to the farmer of east knoyle, 4 bushels.</t>
  </si>
  <si>
    <t>provision of the steward, 4 bushels.</t>
  </si>
  <si>
    <t>total, 1 quarters. 12 quarters remain in the hands of the farmer, to be restored at the end of his term.</t>
  </si>
  <si>
    <t>pulses</t>
  </si>
  <si>
    <t>and for 1 quarters 4 bushels of pulses remaining in the hands of the farmer, to be restored at the end of his term.</t>
  </si>
  <si>
    <t>stock</t>
  </si>
  <si>
    <t>plough-horses: 2 remain in the hands of the farmer, worth 6 shilling 8pence each, to be restored at the end of his term.</t>
  </si>
  <si>
    <t>oxen: 12 remain in the hands of the farmer, worth 13 shilling 4pence each, to be restored at the end of his term.</t>
  </si>
  <si>
    <t>cows: 2 from the heriot of robert ingram.</t>
  </si>
  <si>
    <t>sold within.</t>
  </si>
  <si>
    <t>none remain.</t>
  </si>
  <si>
    <t>wethers: 300 remain in the hands of the farmer, worth 1 shilling 10pence each, to be restored at the end of his term.</t>
  </si>
  <si>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</si>
  <si>
    <t>all this remains in the hands of the farmer, to be restored at the end of his term or the value of the same at the lord's will.</t>
  </si>
  <si>
    <t>inherited stock</t>
  </si>
  <si>
    <t>murrain</t>
  </si>
  <si>
    <t>Stock</t>
  </si>
  <si>
    <t>Plough-horses: 2 remain in the hands of the farmer, worth 6 shilling 8pence each, to be restored at the end of his term.</t>
  </si>
  <si>
    <t>Plough-horses</t>
  </si>
  <si>
    <t>2</t>
  </si>
  <si>
    <t>Oxen: 12 remain in the hands of the farmer, worth 13 shilling 4pence each, to be restored at the end of his term.</t>
  </si>
  <si>
    <t>12</t>
  </si>
  <si>
    <t>Cows: 2 from the heriot of Robert Ingram.</t>
  </si>
  <si>
    <t>Wethers: 300 remain in the hands of the farmer, worth 1 shilling 10pence each, to be restored at the end of his term.</t>
  </si>
  <si>
    <t>300</t>
  </si>
  <si>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</si>
  <si>
    <t>All this remains in the hands of the farmer, to be restored at the end of his term or the value of the same at the lord's will.</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</si>
  <si>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</si>
  <si>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</si>
  <si>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</si>
  <si>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</si>
  <si>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</si>
  <si>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</si>
  <si>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</si>
  <si>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</si>
  <si>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</si>
  <si>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</si>
  <si>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</si>
  <si>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</si>
  <si>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</si>
  <si>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</si>
  <si>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</si>
  <si>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</si>
  <si>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</si>
  <si>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</si>
  <si>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</si>
  <si>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</si>
  <si>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</si>
  <si>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</si>
  <si>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</si>
  <si>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Total Bought Quarters</t>
  </si>
  <si>
    <t>total</t>
  </si>
  <si>
    <t>1 qr from the farm for the year..</t>
  </si>
  <si>
    <t>total, 1 qr. 12 quarters remain in the hands of the farmer, to be restored at the end of his term.</t>
  </si>
  <si>
    <t>Gross Output</t>
  </si>
  <si>
    <t>Bought Only Aggregated</t>
  </si>
  <si>
    <t>Total Corn Quantity</t>
  </si>
  <si>
    <t>Difference Produced+Bought-Sold</t>
  </si>
  <si>
    <t>Weighted Average Price per Quarter</t>
  </si>
  <si>
    <t>Non-Weighted Average Price per Quarter</t>
  </si>
  <si>
    <t>Value of Total Production weighted</t>
  </si>
  <si>
    <t>Value of Total Production unweighted</t>
  </si>
  <si>
    <t>Mancorn</t>
  </si>
  <si>
    <t>First-grade malt</t>
  </si>
  <si>
    <t>Second-grade malt</t>
  </si>
  <si>
    <t>Malt</t>
  </si>
  <si>
    <t>Meal</t>
  </si>
  <si>
    <t>Quarters 0</t>
  </si>
  <si>
    <t>Bushels 0</t>
  </si>
  <si>
    <t>£ a quarter 1</t>
  </si>
  <si>
    <t>£ a quarter 2</t>
  </si>
  <si>
    <t>£ a quarter 3</t>
  </si>
  <si>
    <t>£ a quarter 4</t>
  </si>
  <si>
    <t>Quarters Sold</t>
  </si>
  <si>
    <t>Corn lowercase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</si>
</sst>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b/>
      <sz val="12"/>
      <color rgb="FFFF0000"/>
      <name val="Calibri"/>
      <family val="2"/>
      <scheme val="minor"/>
    </font>
    <font>
      <sz val="9"/>
      <color indexed="81"/>
      <name val="Tahoma"/>
      <charset val="1"/>
    </font>
  </fonts>
  <fills count="10">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3">
    <xf numFmtId="0" fontId="0" fillId="0" borderId="0" xfId="0"/>
    <xf numFmtId="0" fontId="10" fillId="0" borderId="0" xfId="0" applyFont="1"/>
    <xf numFmtId="0" fontId="5" fillId="0" borderId="0" xfId="0" applyFont="1"/>
    <xf numFmtId="0" fontId="6" fillId="0" borderId="0" xfId="0" applyFont="1"/>
    <xf numFmtId="0" fontId="11" fillId="0" borderId="0" xfId="0" applyFont="1"/>
    <xf numFmtId="0" fontId="13" fillId="0" borderId="0" xfId="0" applyFont="1"/>
    <xf numFmtId="0" fontId="10" fillId="2" borderId="0" xfId="0" applyFont="1" applyFill="1"/>
    <xf numFmtId="0" fontId="14" fillId="2" borderId="0" xfId="0" applyFont="1" applyFill="1"/>
    <xf numFmtId="0" fontId="13" fillId="3" borderId="0" xfId="0" applyFont="1" applyFill="1"/>
    <xf numFmtId="0" fontId="14" fillId="3" borderId="0" xfId="0" applyFont="1" applyFill="1"/>
    <xf numFmtId="0" fontId="14" fillId="4" borderId="0" xfId="0" applyFont="1" applyFill="1"/>
    <xf numFmtId="0" fontId="10" fillId="5" borderId="0" xfId="0" applyFont="1" applyFill="1"/>
    <xf numFmtId="0" fontId="13" fillId="0" borderId="0" xfId="0" applyFont="1" applyAlignment="1">
      <alignment wrapText="1"/>
    </xf>
    <xf numFmtId="0" fontId="13" fillId="0" borderId="1" xfId="0" applyFont="1" applyBorder="1"/>
    <xf numFmtId="0" fontId="13" fillId="0" borderId="0" xfId="0" applyFont="1" applyAlignment="1">
      <alignment horizontal="right"/>
    </xf>
    <xf numFmtId="0" fontId="13" fillId="0" borderId="1" xfId="0" applyFont="1" applyBorder="1" applyAlignment="1">
      <alignment horizontal="left"/>
    </xf>
    <xf numFmtId="0" fontId="0" fillId="0" borderId="0" xfId="0" applyAlignment="1">
      <alignment horizontal="right"/>
    </xf>
    <xf numFmtId="0" fontId="6" fillId="0" borderId="0" xfId="0" applyFont="1" applyAlignment="1">
      <alignment horizontal="right" wrapText="1"/>
    </xf>
    <xf numFmtId="0" fontId="16" fillId="0" borderId="0" xfId="0" applyFont="1"/>
    <xf numFmtId="0" fontId="0" fillId="0" borderId="0" xfId="0" applyAlignment="1">
      <alignment horizontal="left"/>
    </xf>
    <xf numFmtId="0" fontId="0" fillId="0" borderId="0" xfId="0" applyAlignment="1">
      <alignment wrapText="1"/>
    </xf>
    <xf numFmtId="0" fontId="6" fillId="5" borderId="0" xfId="0" applyFont="1" applyFill="1"/>
    <xf numFmtId="0" fontId="11" fillId="5" borderId="0" xfId="0" applyFont="1" applyFill="1"/>
    <xf numFmtId="0" fontId="6" fillId="0" borderId="0" xfId="0" applyFont="1" applyAlignment="1">
      <alignment wrapText="1"/>
    </xf>
    <xf numFmtId="0" fontId="11" fillId="6" borderId="0" xfId="0" applyFont="1" applyFill="1"/>
    <xf numFmtId="0" fontId="0" fillId="0" borderId="3" xfId="0" applyBorder="1"/>
    <xf numFmtId="0" fontId="0" fillId="0" borderId="3" xfId="0" applyBorder="1" applyAlignment="1">
      <alignment horizontal="left"/>
    </xf>
    <xf numFmtId="0" fontId="0" fillId="5" borderId="0" xfId="0" applyFill="1"/>
    <xf numFmtId="0" fontId="0" fillId="7" borderId="0" xfId="0" applyFill="1"/>
    <xf numFmtId="2" fontId="0" fillId="0" borderId="0" xfId="0" applyNumberFormat="1"/>
    <xf numFmtId="2" fontId="0" fillId="0" borderId="0" xfId="0" applyNumberFormat="1" applyAlignment="1">
      <alignment wrapText="1"/>
    </xf>
    <xf numFmtId="2" fontId="6" fillId="0" borderId="0" xfId="0" applyNumberFormat="1" applyFont="1" applyAlignment="1">
      <alignment wrapText="1"/>
    </xf>
    <xf numFmtId="0" fontId="4" fillId="0" borderId="0" xfId="0" applyFont="1"/>
    <xf numFmtId="2" fontId="10" fillId="0" borderId="0" xfId="0" applyNumberFormat="1" applyFont="1" applyAlignment="1">
      <alignment horizontal="right"/>
    </xf>
    <xf numFmtId="2" fontId="17" fillId="0" borderId="0" xfId="0" applyNumberFormat="1" applyFont="1" applyAlignment="1">
      <alignment horizontal="right"/>
    </xf>
    <xf numFmtId="0" fontId="4" fillId="0" borderId="5" xfId="0" applyFont="1" applyBorder="1"/>
    <xf numFmtId="0" fontId="5" fillId="0" borderId="5" xfId="0" applyFont="1" applyBorder="1"/>
    <xf numFmtId="0" fontId="12" fillId="5" borderId="5" xfId="0" applyFont="1" applyFill="1" applyBorder="1"/>
    <xf numFmtId="0" fontId="12" fillId="5" borderId="0" xfId="0" applyFont="1" applyFill="1"/>
    <xf numFmtId="0" fontId="15" fillId="2" borderId="0" xfId="0" applyFont="1" applyFill="1"/>
    <xf numFmtId="2" fontId="4" fillId="0" borderId="0" xfId="0" applyNumberFormat="1" applyFont="1"/>
    <xf numFmtId="0" fontId="13" fillId="0" borderId="2" xfId="0" applyFont="1" applyBorder="1"/>
    <xf numFmtId="2" fontId="4" fillId="0" borderId="2" xfId="0" applyNumberFormat="1" applyFont="1" applyBorder="1"/>
    <xf numFmtId="0" fontId="5" fillId="0" borderId="2" xfId="0" applyFont="1" applyBorder="1"/>
    <xf numFmtId="0" fontId="4" fillId="0" borderId="2" xfId="0" applyFont="1" applyBorder="1"/>
    <xf numFmtId="4" fontId="6" fillId="0" borderId="0" xfId="0" applyNumberFormat="1" applyFont="1" applyAlignment="1">
      <alignment horizontal="right"/>
    </xf>
    <xf numFmtId="0" fontId="6" fillId="0" borderId="0" xfId="0" applyFont="1" applyAlignment="1">
      <alignment horizontal="right"/>
    </xf>
    <xf numFmtId="2" fontId="10" fillId="5" borderId="0" xfId="0" applyNumberFormat="1" applyFont="1" applyFill="1" applyAlignment="1">
      <alignment horizontal="right"/>
    </xf>
    <xf numFmtId="0" fontId="10" fillId="8" borderId="0" xfId="0" applyFont="1" applyFill="1"/>
    <xf numFmtId="0" fontId="4" fillId="5" borderId="0" xfId="0" applyFont="1" applyFill="1"/>
    <xf numFmtId="0" fontId="5" fillId="5" borderId="0" xfId="0" applyFont="1" applyFill="1"/>
    <xf numFmtId="0" fontId="6" fillId="5" borderId="0" xfId="0" applyFont="1" applyFill="1" applyAlignment="1">
      <alignment horizontal="right"/>
    </xf>
    <xf numFmtId="0" fontId="3" fillId="0" borderId="0" xfId="0" applyFont="1"/>
    <xf numFmtId="0" fontId="14" fillId="2" borderId="6" xfId="0" applyFont="1" applyFill="1" applyBorder="1"/>
    <xf numFmtId="0" fontId="14" fillId="4" borderId="6" xfId="0" applyFont="1" applyFill="1" applyBorder="1"/>
    <xf numFmtId="0" fontId="13" fillId="0" borderId="6" xfId="0" applyFont="1" applyBorder="1"/>
    <xf numFmtId="10" fontId="14" fillId="2" borderId="6" xfId="0" applyNumberFormat="1" applyFont="1" applyFill="1" applyBorder="1"/>
    <xf numFmtId="10" fontId="14" fillId="4" borderId="8" xfId="0" applyNumberFormat="1" applyFont="1" applyFill="1" applyBorder="1"/>
    <xf numFmtId="0" fontId="5" fillId="0" borderId="9" xfId="0" applyFont="1" applyBorder="1"/>
    <xf numFmtId="0" fontId="13" fillId="5" borderId="11" xfId="0" applyFont="1" applyFill="1" applyBorder="1"/>
    <xf numFmtId="2" fontId="10" fillId="5" borderId="12" xfId="0" applyNumberFormat="1" applyFont="1" applyFill="1" applyBorder="1" applyAlignment="1">
      <alignment horizontal="right"/>
    </xf>
    <xf numFmtId="0" fontId="5" fillId="5" borderId="12" xfId="0" applyFont="1" applyFill="1" applyBorder="1"/>
    <xf numFmtId="0" fontId="3" fillId="0" borderId="9" xfId="0" applyFont="1" applyBorder="1"/>
    <xf numFmtId="2" fontId="4" fillId="5" borderId="0" xfId="0" applyNumberFormat="1" applyFont="1" applyFill="1"/>
    <xf numFmtId="0" fontId="2" fillId="5" borderId="12" xfId="0" applyFont="1" applyFill="1" applyBorder="1"/>
    <xf numFmtId="0" fontId="2" fillId="5" borderId="13" xfId="0" applyFont="1" applyFill="1" applyBorder="1"/>
    <xf numFmtId="2" fontId="2" fillId="0" borderId="0" xfId="0" applyNumberFormat="1" applyFont="1"/>
    <xf numFmtId="0" fontId="2" fillId="0" borderId="0" xfId="0" applyFont="1"/>
    <xf numFmtId="0" fontId="2" fillId="0" borderId="7" xfId="0" applyFont="1" applyBorder="1"/>
    <xf numFmtId="10" fontId="2" fillId="0" borderId="0" xfId="0" applyNumberFormat="1" applyFont="1"/>
    <xf numFmtId="0" fontId="2" fillId="0" borderId="9" xfId="0" applyFont="1" applyBorder="1"/>
    <xf numFmtId="0" fontId="2" fillId="0" borderId="10" xfId="0" applyFont="1" applyBorder="1"/>
    <xf numFmtId="0" fontId="1" fillId="0" borderId="0" xfId="0" applyFont="1"/>
    <xf numFmtId="2" fontId="6" fillId="5" borderId="0" xfId="0" applyNumberFormat="1" applyFont="1" applyFill="1"/>
    <xf numFmtId="2" fontId="10" fillId="0" borderId="0" xfId="0" applyNumberFormat="1" applyFont="1" applyAlignment="1">
      <alignment horizontal="left" vertical="center" wrapText="1"/>
    </xf>
    <xf numFmtId="0" fontId="14" fillId="8" borderId="0" xfId="0" applyFont="1" applyFill="1"/>
    <xf numFmtId="0" fontId="7" fillId="0" borderId="14" xfId="0" applyFont="1" applyBorder="1"/>
    <xf numFmtId="0" fontId="0" fillId="0" borderId="15" xfId="0" applyBorder="1"/>
    <xf numFmtId="0" fontId="9" fillId="0" borderId="16" xfId="0" applyFont="1" applyBorder="1" applyAlignment="1">
      <alignment horizontal="center" vertical="top"/>
    </xf>
    <xf numFmtId="4" fontId="7" fillId="0" borderId="17" xfId="0" applyNumberFormat="1" applyFont="1" applyBorder="1" applyAlignment="1">
      <alignment horizontal="right"/>
    </xf>
    <xf numFmtId="0" fontId="7" fillId="0" borderId="17" xfId="0" applyFont="1" applyBorder="1" applyAlignment="1">
      <alignment horizontal="right"/>
    </xf>
    <xf numFmtId="4" fontId="6" fillId="0" borderId="17" xfId="0" applyNumberFormat="1" applyFont="1" applyBorder="1" applyAlignment="1">
      <alignment horizontal="center"/>
    </xf>
    <xf numFmtId="0" fontId="8" fillId="0" borderId="17" xfId="0" applyFont="1" applyBorder="1" applyAlignment="1">
      <alignment horizontal="center" vertical="top"/>
    </xf>
    <xf numFmtId="0" fontId="9" fillId="0" borderId="17" xfId="0" applyFont="1" applyBorder="1" applyAlignment="1">
      <alignment horizontal="left" vertical="top"/>
    </xf>
    <xf numFmtId="0" fontId="12" fillId="0" borderId="17" xfId="0" applyFont="1" applyBorder="1"/>
    <xf numFmtId="0" fontId="16" fillId="0" borderId="14" xfId="0" applyFont="1" applyBorder="1"/>
    <xf numFmtId="0" fontId="0" fillId="0" borderId="14" xfId="0" applyBorder="1"/>
    <xf numFmtId="0" fontId="16" fillId="9" borderId="14" xfId="0" applyFont="1" applyFill="1" applyBorder="1"/>
    <xf numFmtId="0" fontId="16" fillId="9" borderId="15" xfId="0" applyFont="1" applyFill="1" applyBorder="1"/>
    <xf numFmtId="0" fontId="9" fillId="0" borderId="16" xfId="0" applyFont="1" applyBorder="1" applyAlignment="1">
      <alignment horizontal="center" vertical="center"/>
    </xf>
    <xf numFmtId="4" fontId="7"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0" fillId="0" borderId="17" xfId="0" applyBorder="1"/>
    <xf numFmtId="2" fontId="6" fillId="0" borderId="17" xfId="0" applyNumberFormat="1" applyFont="1" applyBorder="1" applyAlignment="1">
      <alignment horizontal="center" vertical="center"/>
    </xf>
    <xf numFmtId="2" fontId="8" fillId="0" borderId="17" xfId="0" applyNumberFormat="1" applyFont="1" applyBorder="1" applyAlignment="1">
      <alignment horizontal="center" vertical="center"/>
    </xf>
    <xf numFmtId="0" fontId="9" fillId="0" borderId="17" xfId="0" applyFont="1" applyBorder="1" applyAlignment="1">
      <alignment horizontal="center" vertical="center"/>
    </xf>
    <xf numFmtId="0" fontId="6" fillId="5" borderId="0" xfId="0" applyFont="1" applyFill="1" applyAlignment="1">
      <alignment horizontal="center"/>
    </xf>
    <xf numFmtId="0" fontId="5" fillId="0" borderId="0" xfId="0" applyFont="1"/>
    <xf numFmtId="0" fontId="0" fillId="0" borderId="0" xfId="0" applyAlignment="1">
      <alignment horizontal="center" wrapText="1"/>
    </xf>
    <xf numFmtId="0" fontId="0" fillId="0" borderId="0" xfId="0"/>
    <xf numFmtId="0" fontId="0" fillId="0" borderId="4" xfId="0" applyBorder="1" applyAlignment="1">
      <alignment horizontal="center" wrapText="1"/>
    </xf>
    <xf numFmtId="0" fontId="13" fillId="7" borderId="0" xfId="0" applyFont="1" applyFill="1"/>
    <xf numFmtId="2" fontId="4" fillId="7"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owalski, Kuba" id="{61FBE04E-4C61-4293-A268-F7C308F3D900}" userId="S::kuba.kowalski@wur.nl::efd3b399-1095-4b34-9f84-abcd55d1b2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7" dT="2026-02-04T22:18:49.42" personId="{61FBE04E-4C61-4293-A268-F7C308F3D900}" id="{4F8D5888-4575-457B-9615-D4B14E493448}">
    <text>Plough-horses: 2 remain in the hands of the farmer, worth 6 shilling 8pence each, to be restored at the end of his term.</text>
  </threadedComment>
  <threadedComment ref="O12" dT="2026-02-04T22:17:35.01" personId="{61FBE04E-4C61-4293-A268-F7C308F3D900}" id="{CA487C52-2E09-4EDD-AEE3-94A523D49F64}">
    <text>oxen: 12 remain in the hands of the farmer, worth 13 shilling 4pence each, to be restored at the end of his term.</text>
  </threadedComment>
  <threadedComment ref="O19" dT="2026-02-04T22:16:30.27" personId="{61FBE04E-4C61-4293-A268-F7C308F3D900}" id="{972350FA-57EF-4FEE-96EE-9D2CAA994662}">
    <text>wethers: 300 remain in the hands of the farmer, worth 1 shilling 10pence each, to be restored at the end of his term.</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4"/>
  <sheetViews>
    <sheetView topLeftCell="A61" workbookViewId="0">
      <selection activeCell="B47" sqref="B47:B48"/>
    </sheetView>
  </sheetViews>
  <sheetFormatPr defaultColWidth="10.81640625" defaultRowHeight="15.5"/>
  <cols>
    <col min="1" max="1" width="80" style="32" bestFit="1" customWidth="1"/>
    <col min="2" max="2" width="10.81640625" style="32" customWidth="1"/>
    <col min="3" max="3" width="10.81640625" style="2" customWidth="1"/>
    <col min="4" max="4" width="30.81640625" style="32" bestFit="1" customWidth="1"/>
    <col min="5" max="5" width="29.36328125" style="32" bestFit="1" customWidth="1"/>
    <col min="6" max="6" width="35.453125" style="32" bestFit="1" customWidth="1"/>
    <col min="7" max="7" width="21.1796875" style="32" customWidth="1"/>
    <col min="8" max="8" width="10.81640625" style="32" customWidth="1"/>
    <col min="9" max="16384" width="10.81640625" style="32"/>
  </cols>
  <sheetData>
    <row r="1" spans="1:5">
      <c r="A1" s="1" t="s">
        <v>0</v>
      </c>
      <c r="B1" s="33" t="s">
        <v>1</v>
      </c>
      <c r="C1" s="34" t="s">
        <v>2</v>
      </c>
      <c r="D1" s="3" t="s">
        <v>3</v>
      </c>
      <c r="E1" s="3"/>
    </row>
    <row r="2" spans="1:5">
      <c r="A2" s="1" t="s">
        <v>4</v>
      </c>
    </row>
    <row r="3" spans="1:5">
      <c r="A3" s="6" t="s">
        <v>5</v>
      </c>
    </row>
    <row r="4" spans="1:5">
      <c r="A4" s="5" t="s">
        <v>6</v>
      </c>
      <c r="B4" s="32">
        <v>0.19</v>
      </c>
      <c r="D4" s="4"/>
      <c r="E4" s="4"/>
    </row>
    <row r="5" spans="1:5">
      <c r="A5" s="5" t="s">
        <v>7</v>
      </c>
      <c r="B5" s="32">
        <v>0</v>
      </c>
    </row>
    <row r="6" spans="1:5">
      <c r="A6" s="5" t="s">
        <v>8</v>
      </c>
    </row>
    <row r="7" spans="1:5">
      <c r="A7" s="5" t="s">
        <v>9</v>
      </c>
    </row>
    <row r="8" spans="1:5">
      <c r="A8" s="32" t="s">
        <v>10</v>
      </c>
    </row>
    <row r="9" spans="1:5">
      <c r="A9" s="32" t="s">
        <v>11</v>
      </c>
    </row>
    <row r="10" spans="1:5">
      <c r="A10" s="32" t="s">
        <v>12</v>
      </c>
    </row>
    <row r="11" spans="1:5">
      <c r="A11" s="32" t="s">
        <v>13</v>
      </c>
    </row>
    <row r="12" spans="1:5">
      <c r="A12" s="32" t="s">
        <v>14</v>
      </c>
    </row>
    <row r="13" spans="1:5">
      <c r="A13" s="32" t="s">
        <v>15</v>
      </c>
    </row>
    <row r="14" spans="1:5">
      <c r="A14" s="5" t="s">
        <v>16</v>
      </c>
      <c r="B14" s="32">
        <v>0.03</v>
      </c>
    </row>
    <row r="15" spans="1:5">
      <c r="A15" s="5" t="s">
        <v>17</v>
      </c>
      <c r="B15" s="32">
        <v>1.88</v>
      </c>
    </row>
    <row r="16" spans="1:5">
      <c r="A16" s="32" t="s">
        <v>18</v>
      </c>
    </row>
    <row r="17" spans="1:5">
      <c r="A17" s="32" t="s">
        <v>19</v>
      </c>
    </row>
    <row r="18" spans="1:5">
      <c r="A18" s="5" t="s">
        <v>20</v>
      </c>
    </row>
    <row r="19" spans="1:5">
      <c r="A19" s="5" t="s">
        <v>21</v>
      </c>
    </row>
    <row r="20" spans="1:5">
      <c r="A20" s="5" t="s">
        <v>22</v>
      </c>
      <c r="B20" s="32">
        <v>0.33</v>
      </c>
    </row>
    <row r="21" spans="1:5">
      <c r="A21" s="32" t="s">
        <v>23</v>
      </c>
    </row>
    <row r="22" spans="1:5">
      <c r="A22" s="32" t="s">
        <v>24</v>
      </c>
      <c r="D22" s="44"/>
    </row>
    <row r="23" spans="1:5">
      <c r="A23" s="37" t="s">
        <v>25</v>
      </c>
      <c r="B23" s="35">
        <f>SUM(B5:B11)</f>
        <v>0</v>
      </c>
      <c r="C23" s="36"/>
    </row>
    <row r="24" spans="1:5">
      <c r="A24" s="38" t="s">
        <v>26</v>
      </c>
      <c r="B24">
        <f>SUM(B4:B11)</f>
        <v>0.19</v>
      </c>
      <c r="D24" s="4"/>
      <c r="E24" s="4"/>
    </row>
    <row r="25" spans="1:5">
      <c r="A25" s="39" t="s">
        <v>27</v>
      </c>
      <c r="B25" s="32">
        <f>Receipts!F31</f>
        <v>2.98</v>
      </c>
      <c r="C25" s="2">
        <f>B23-B25</f>
        <v>-2.98</v>
      </c>
    </row>
    <row r="26" spans="1:5">
      <c r="A26" s="39" t="s">
        <v>28</v>
      </c>
      <c r="B26">
        <f>Receipts!F32</f>
        <v>3.17</v>
      </c>
      <c r="D26" s="4"/>
      <c r="E26" s="4"/>
    </row>
    <row r="27" spans="1:5">
      <c r="A27" s="5"/>
    </row>
    <row r="28" spans="1:5">
      <c r="A28" s="5"/>
    </row>
    <row r="29" spans="1:5">
      <c r="A29" s="6" t="s">
        <v>29</v>
      </c>
    </row>
    <row r="30" spans="1:5">
      <c r="A30" s="5" t="s">
        <v>30</v>
      </c>
    </row>
    <row r="31" spans="1:5">
      <c r="A31" s="5" t="s">
        <v>31</v>
      </c>
    </row>
    <row r="32" spans="1:5">
      <c r="A32" s="5" t="s">
        <v>32</v>
      </c>
    </row>
    <row r="33" spans="1:4">
      <c r="A33" s="5" t="s">
        <v>33</v>
      </c>
    </row>
    <row r="34" spans="1:4">
      <c r="A34" s="5" t="s">
        <v>34</v>
      </c>
    </row>
    <row r="35" spans="1:4">
      <c r="A35" s="5" t="s">
        <v>35</v>
      </c>
    </row>
    <row r="36" spans="1:4">
      <c r="A36" s="5" t="s">
        <v>36</v>
      </c>
      <c r="B36" s="40"/>
    </row>
    <row r="37" spans="1:4">
      <c r="A37" s="5" t="s">
        <v>37</v>
      </c>
    </row>
    <row r="38" spans="1:4">
      <c r="A38" s="5" t="s">
        <v>38</v>
      </c>
    </row>
    <row r="39" spans="1:4">
      <c r="A39" s="5" t="s">
        <v>39</v>
      </c>
    </row>
    <row r="40" spans="1:4">
      <c r="A40" s="5" t="s">
        <v>40</v>
      </c>
    </row>
    <row r="41" spans="1:4">
      <c r="A41" s="5" t="s">
        <v>41</v>
      </c>
      <c r="B41" s="40"/>
    </row>
    <row r="42" spans="1:4">
      <c r="A42" s="5" t="s">
        <v>42</v>
      </c>
      <c r="B42" s="40">
        <v>0.35</v>
      </c>
    </row>
    <row r="43" spans="1:4">
      <c r="A43" s="101" t="s">
        <v>207</v>
      </c>
      <c r="B43" s="102">
        <v>0.25</v>
      </c>
    </row>
    <row r="44" spans="1:4">
      <c r="A44" s="41" t="s">
        <v>43</v>
      </c>
      <c r="B44" s="42"/>
      <c r="C44" s="43"/>
      <c r="D44" s="44"/>
    </row>
    <row r="45" spans="1:4">
      <c r="A45" s="38" t="s">
        <v>44</v>
      </c>
      <c r="B45" s="40">
        <v>0</v>
      </c>
    </row>
    <row r="46" spans="1:4">
      <c r="A46" s="38" t="s">
        <v>45</v>
      </c>
      <c r="B46" s="40">
        <f>SUM(B42:B43)</f>
        <v>0.6</v>
      </c>
    </row>
    <row r="47" spans="1:4">
      <c r="A47" s="38" t="s">
        <v>46</v>
      </c>
      <c r="B47" s="102">
        <v>0</v>
      </c>
    </row>
    <row r="48" spans="1:4">
      <c r="A48" s="38" t="s">
        <v>47</v>
      </c>
      <c r="B48" s="102">
        <v>0</v>
      </c>
    </row>
    <row r="49" spans="1:6">
      <c r="A49" s="3"/>
    </row>
    <row r="50" spans="1:6">
      <c r="A50" s="8" t="s">
        <v>48</v>
      </c>
      <c r="B50" s="40">
        <f>B23-B46</f>
        <v>-0.6</v>
      </c>
    </row>
    <row r="51" spans="1:6">
      <c r="A51" s="8" t="s">
        <v>49</v>
      </c>
      <c r="B51" s="40">
        <v>22.09</v>
      </c>
    </row>
    <row r="52" spans="1:6">
      <c r="A52" s="5"/>
    </row>
    <row r="53" spans="1:6">
      <c r="A53" s="8" t="s">
        <v>50</v>
      </c>
      <c r="B53" s="40"/>
    </row>
    <row r="54" spans="1:6">
      <c r="A54" s="8" t="s">
        <v>51</v>
      </c>
      <c r="B54" s="40">
        <v>21.9</v>
      </c>
    </row>
    <row r="55" spans="1:6">
      <c r="A55" s="9" t="s">
        <v>52</v>
      </c>
      <c r="B55" s="40">
        <f>SUM(B53:B54)</f>
        <v>21.9</v>
      </c>
    </row>
    <row r="56" spans="1:6">
      <c r="A56" s="10" t="s">
        <v>53</v>
      </c>
    </row>
    <row r="57" spans="1:6">
      <c r="A57" s="5"/>
    </row>
    <row r="58" spans="1:6">
      <c r="A58" s="8" t="s">
        <v>54</v>
      </c>
      <c r="B58" s="40">
        <f>B51-B55</f>
        <v>0.19000000000000128</v>
      </c>
    </row>
    <row r="59" spans="1:6">
      <c r="A59" s="8" t="s">
        <v>55</v>
      </c>
    </row>
    <row r="60" spans="1:6">
      <c r="A60" s="5"/>
    </row>
    <row r="61" spans="1:6">
      <c r="A61" s="6" t="s">
        <v>56</v>
      </c>
      <c r="B61" s="96" t="s">
        <v>57</v>
      </c>
      <c r="C61" s="97"/>
      <c r="D61" s="73" t="s">
        <v>58</v>
      </c>
      <c r="E61" s="73" t="s">
        <v>59</v>
      </c>
    </row>
    <row r="62" spans="1:6">
      <c r="A62" s="1" t="s">
        <v>60</v>
      </c>
      <c r="B62" s="45" t="s">
        <v>61</v>
      </c>
      <c r="C62" s="46" t="s">
        <v>62</v>
      </c>
    </row>
    <row r="63" spans="1:6">
      <c r="A63" s="32" t="s">
        <v>63</v>
      </c>
      <c r="B63">
        <v>0</v>
      </c>
      <c r="C63">
        <v>0</v>
      </c>
      <c r="E63">
        <v>0</v>
      </c>
      <c r="F63" s="4"/>
    </row>
    <row r="64" spans="1:6">
      <c r="A64" s="32" t="s">
        <v>64</v>
      </c>
      <c r="B64">
        <v>0</v>
      </c>
      <c r="C64">
        <v>0</v>
      </c>
      <c r="E64">
        <v>0</v>
      </c>
      <c r="F64" s="4"/>
    </row>
    <row r="65" spans="1:6">
      <c r="A65" s="32" t="s">
        <v>65</v>
      </c>
      <c r="B65">
        <v>0</v>
      </c>
      <c r="C65">
        <v>0</v>
      </c>
      <c r="E65">
        <v>0</v>
      </c>
      <c r="F65" s="4"/>
    </row>
    <row r="66" spans="1:6">
      <c r="A66" s="32" t="s">
        <v>66</v>
      </c>
      <c r="B66">
        <v>0</v>
      </c>
      <c r="C66">
        <v>0</v>
      </c>
      <c r="E66">
        <v>0</v>
      </c>
      <c r="F66" s="4"/>
    </row>
    <row r="67" spans="1:6">
      <c r="A67" s="32" t="s">
        <v>67</v>
      </c>
      <c r="B67">
        <v>0</v>
      </c>
      <c r="C67">
        <v>0</v>
      </c>
      <c r="E67">
        <v>0</v>
      </c>
      <c r="F67" s="4"/>
    </row>
    <row r="68" spans="1:6">
      <c r="A68" s="32" t="s">
        <v>68</v>
      </c>
      <c r="B68">
        <v>0</v>
      </c>
      <c r="C68">
        <v>0</v>
      </c>
      <c r="E68">
        <v>0</v>
      </c>
      <c r="F68" s="4"/>
    </row>
    <row r="69" spans="1:6">
      <c r="A69" s="32" t="s">
        <v>69</v>
      </c>
      <c r="B69">
        <v>0</v>
      </c>
      <c r="C69">
        <v>0</v>
      </c>
      <c r="D69">
        <v>0</v>
      </c>
      <c r="E69">
        <v>0</v>
      </c>
      <c r="F69" s="4"/>
    </row>
    <row r="70" spans="1:6">
      <c r="A70" s="32" t="s">
        <v>70</v>
      </c>
      <c r="B70">
        <v>0</v>
      </c>
      <c r="C70">
        <v>0</v>
      </c>
      <c r="E70">
        <v>0</v>
      </c>
      <c r="F70" s="4"/>
    </row>
    <row r="71" spans="1:6">
      <c r="A71" s="32" t="s">
        <v>71</v>
      </c>
      <c r="B71">
        <v>0</v>
      </c>
      <c r="C71">
        <v>0</v>
      </c>
      <c r="E71">
        <v>0</v>
      </c>
    </row>
    <row r="72" spans="1:6">
      <c r="A72" s="7" t="s">
        <v>72</v>
      </c>
      <c r="B72" s="49"/>
      <c r="C72" s="50"/>
      <c r="D72" s="49"/>
      <c r="E72" s="49">
        <f>SUM(D63:D71)</f>
        <v>0</v>
      </c>
    </row>
    <row r="73" spans="1:6">
      <c r="A73" s="7" t="s">
        <v>73</v>
      </c>
      <c r="B73" s="49"/>
      <c r="C73" s="50"/>
      <c r="D73" s="49"/>
      <c r="E73" s="49">
        <f>SUM(E63:E71)</f>
        <v>0</v>
      </c>
    </row>
    <row r="74" spans="1:6">
      <c r="A74" s="7" t="s">
        <v>74</v>
      </c>
      <c r="B74" s="49"/>
      <c r="C74" s="50"/>
      <c r="D74" s="49"/>
      <c r="E74" s="49">
        <v>0</v>
      </c>
    </row>
    <row r="75" spans="1:6">
      <c r="A75" s="5"/>
    </row>
    <row r="76" spans="1:6">
      <c r="A76" s="6" t="s">
        <v>75</v>
      </c>
      <c r="B76" s="96" t="s">
        <v>57</v>
      </c>
      <c r="C76" s="97"/>
      <c r="D76" s="47" t="s">
        <v>1</v>
      </c>
      <c r="E76" s="47"/>
    </row>
    <row r="77" spans="1:6">
      <c r="A77" s="1" t="s">
        <v>76</v>
      </c>
      <c r="B77" s="45" t="s">
        <v>61</v>
      </c>
      <c r="C77" s="46" t="s">
        <v>62</v>
      </c>
    </row>
    <row r="78" spans="1:6">
      <c r="A78" s="5" t="s">
        <v>63</v>
      </c>
      <c r="F78" s="4"/>
    </row>
    <row r="79" spans="1:6">
      <c r="A79" s="5" t="s">
        <v>77</v>
      </c>
    </row>
    <row r="80" spans="1:6">
      <c r="A80" s="5" t="s">
        <v>78</v>
      </c>
    </row>
    <row r="81" spans="1:7">
      <c r="A81" s="5" t="s">
        <v>79</v>
      </c>
    </row>
    <row r="82" spans="1:7">
      <c r="A82" s="5" t="s">
        <v>80</v>
      </c>
    </row>
    <row r="83" spans="1:7">
      <c r="A83" s="7" t="s">
        <v>81</v>
      </c>
      <c r="B83" s="49"/>
      <c r="C83" s="50"/>
      <c r="D83" s="49"/>
      <c r="E83" s="49"/>
    </row>
    <row r="84" spans="1:7">
      <c r="A84" s="7" t="s">
        <v>74</v>
      </c>
      <c r="B84" s="49"/>
      <c r="C84" s="50"/>
      <c r="D84" s="49"/>
      <c r="E84" s="49"/>
    </row>
    <row r="85" spans="1:7">
      <c r="A85" s="5"/>
    </row>
    <row r="86" spans="1:7">
      <c r="A86" s="48" t="s">
        <v>82</v>
      </c>
      <c r="B86" s="49"/>
      <c r="C86" s="50"/>
      <c r="D86" s="49"/>
      <c r="E86" s="49"/>
      <c r="F86" s="49"/>
      <c r="G86" s="49"/>
    </row>
    <row r="87" spans="1:7">
      <c r="A87" s="11" t="s">
        <v>83</v>
      </c>
      <c r="B87" s="51" t="s">
        <v>84</v>
      </c>
      <c r="C87" s="51" t="s">
        <v>85</v>
      </c>
      <c r="D87" s="51" t="s">
        <v>86</v>
      </c>
      <c r="E87" s="51"/>
      <c r="F87" s="51" t="s">
        <v>87</v>
      </c>
      <c r="G87" s="21" t="s">
        <v>88</v>
      </c>
    </row>
    <row r="88" spans="1:7">
      <c r="A88" s="12" t="s">
        <v>89</v>
      </c>
      <c r="B88" s="32">
        <v>0</v>
      </c>
      <c r="C88" s="32">
        <f>Stock!L5</f>
        <v>0</v>
      </c>
      <c r="D88" s="32">
        <f t="shared" ref="D88:D113" si="0">C88-B88</f>
        <v>0</v>
      </c>
      <c r="F88" s="40">
        <f>Stock!L5*Stock!O5</f>
        <v>0</v>
      </c>
      <c r="G88" s="40">
        <f>D88*Stock!O5</f>
        <v>0</v>
      </c>
    </row>
    <row r="89" spans="1:7">
      <c r="A89" s="12" t="s">
        <v>90</v>
      </c>
      <c r="B89" s="32">
        <v>0</v>
      </c>
      <c r="C89" s="32">
        <f>Stock!L6</f>
        <v>0</v>
      </c>
      <c r="D89" s="32">
        <f t="shared" si="0"/>
        <v>0</v>
      </c>
      <c r="F89" s="40">
        <f>Stock!L6*Stock!O6</f>
        <v>0</v>
      </c>
      <c r="G89" s="40">
        <f>D89*Stock!O6</f>
        <v>0</v>
      </c>
    </row>
    <row r="90" spans="1:7">
      <c r="A90" s="5" t="s">
        <v>91</v>
      </c>
      <c r="B90" s="32">
        <v>2</v>
      </c>
      <c r="C90" s="32">
        <f>Stock!L7</f>
        <v>2</v>
      </c>
      <c r="D90" s="32">
        <f t="shared" si="0"/>
        <v>0</v>
      </c>
      <c r="F90" s="40">
        <f>Stock!L7*Stock!O7</f>
        <v>0.66666666666666663</v>
      </c>
      <c r="G90" s="40">
        <f>D90*Stock!O7</f>
        <v>0</v>
      </c>
    </row>
    <row r="91" spans="1:7">
      <c r="A91" s="5" t="s">
        <v>92</v>
      </c>
      <c r="B91" s="32">
        <v>0</v>
      </c>
      <c r="C91" s="32">
        <f>Stock!L9</f>
        <v>0</v>
      </c>
      <c r="D91" s="32">
        <f t="shared" si="0"/>
        <v>0</v>
      </c>
      <c r="F91" s="40">
        <f>Stock!L9*Stock!O9</f>
        <v>0</v>
      </c>
      <c r="G91" s="40">
        <f>D91*Stock!O9</f>
        <v>0</v>
      </c>
    </row>
    <row r="92" spans="1:7">
      <c r="A92" s="5" t="s">
        <v>92</v>
      </c>
      <c r="B92" s="32">
        <v>0</v>
      </c>
      <c r="C92" s="32">
        <f>Stock!L9</f>
        <v>0</v>
      </c>
      <c r="D92" s="32">
        <f t="shared" si="0"/>
        <v>0</v>
      </c>
      <c r="F92" s="40">
        <f>Stock!L9*Stock!O9</f>
        <v>0</v>
      </c>
      <c r="G92" s="40">
        <f>D92*Stock!O9</f>
        <v>0</v>
      </c>
    </row>
    <row r="93" spans="1:7">
      <c r="A93" s="5" t="s">
        <v>93</v>
      </c>
      <c r="B93" s="32">
        <v>0</v>
      </c>
      <c r="C93" s="32">
        <f>Stock!L10</f>
        <v>0</v>
      </c>
      <c r="D93" s="32">
        <f t="shared" si="0"/>
        <v>0</v>
      </c>
      <c r="F93" s="40">
        <f>Stock!L10*Stock!O10</f>
        <v>0</v>
      </c>
      <c r="G93" s="40">
        <f>D93*Stock!O10</f>
        <v>0</v>
      </c>
    </row>
    <row r="94" spans="1:7">
      <c r="A94" s="5" t="s">
        <v>94</v>
      </c>
      <c r="B94" s="32">
        <v>0</v>
      </c>
      <c r="C94" s="32">
        <f>Stock!L11</f>
        <v>0</v>
      </c>
      <c r="D94" s="32">
        <f t="shared" si="0"/>
        <v>0</v>
      </c>
      <c r="F94" s="40">
        <f>Stock!L11*Stock!O11</f>
        <v>0</v>
      </c>
      <c r="G94" s="40">
        <f>D94*Stock!O11</f>
        <v>0</v>
      </c>
    </row>
    <row r="95" spans="1:7">
      <c r="A95" s="5" t="s">
        <v>95</v>
      </c>
      <c r="B95" s="32">
        <v>12</v>
      </c>
      <c r="C95" s="32">
        <f>Stock!L12</f>
        <v>12</v>
      </c>
      <c r="D95" s="32">
        <f t="shared" si="0"/>
        <v>0</v>
      </c>
      <c r="F95" s="40">
        <f>Stock!L12*Stock!O12</f>
        <v>8</v>
      </c>
      <c r="G95" s="40">
        <f>D95*Stock!O12</f>
        <v>0</v>
      </c>
    </row>
    <row r="96" spans="1:7">
      <c r="A96" s="5" t="s">
        <v>96</v>
      </c>
      <c r="B96" s="32">
        <v>0</v>
      </c>
      <c r="C96" s="32">
        <f>Stock!L13</f>
        <v>0</v>
      </c>
      <c r="D96" s="32">
        <f t="shared" si="0"/>
        <v>0</v>
      </c>
      <c r="F96" s="40">
        <f>Stock!L13*Stock!O13</f>
        <v>0</v>
      </c>
      <c r="G96" s="40">
        <f>D96*Stock!O13</f>
        <v>0</v>
      </c>
    </row>
    <row r="97" spans="1:7">
      <c r="A97" s="5" t="s">
        <v>97</v>
      </c>
      <c r="B97" s="32">
        <v>0</v>
      </c>
      <c r="C97" s="32">
        <f>Stock!L14</f>
        <v>0</v>
      </c>
      <c r="D97" s="32">
        <f t="shared" si="0"/>
        <v>0</v>
      </c>
      <c r="F97" s="40">
        <f>Stock!L14*Stock!O14</f>
        <v>0</v>
      </c>
      <c r="G97" s="40">
        <f>D97*Stock!O14</f>
        <v>0</v>
      </c>
    </row>
    <row r="98" spans="1:7">
      <c r="A98" s="5" t="s">
        <v>98</v>
      </c>
      <c r="B98" s="32">
        <v>0</v>
      </c>
      <c r="C98" s="32">
        <f>Stock!L15</f>
        <v>0</v>
      </c>
      <c r="D98" s="32">
        <f t="shared" si="0"/>
        <v>0</v>
      </c>
      <c r="F98" s="40">
        <f>Stock!L15*Stock!O15</f>
        <v>0</v>
      </c>
      <c r="G98" s="40">
        <f>D98*Stock!O15</f>
        <v>0</v>
      </c>
    </row>
    <row r="99" spans="1:7">
      <c r="A99" s="5" t="s">
        <v>99</v>
      </c>
      <c r="B99" s="32">
        <v>0</v>
      </c>
      <c r="C99" s="32">
        <f>Stock!L16</f>
        <v>0</v>
      </c>
      <c r="D99" s="32">
        <f t="shared" si="0"/>
        <v>0</v>
      </c>
      <c r="F99" s="40">
        <f>Stock!L16*Stock!O16</f>
        <v>0</v>
      </c>
      <c r="G99" s="40">
        <f>D99*Stock!O16</f>
        <v>0</v>
      </c>
    </row>
    <row r="100" spans="1:7">
      <c r="A100" s="5" t="s">
        <v>100</v>
      </c>
      <c r="B100" s="32">
        <v>0</v>
      </c>
      <c r="C100" s="32">
        <f>Stock!L17</f>
        <v>0</v>
      </c>
      <c r="D100" s="32">
        <f t="shared" si="0"/>
        <v>0</v>
      </c>
      <c r="F100" s="40">
        <f>Stock!L17*Stock!O17</f>
        <v>0</v>
      </c>
      <c r="G100" s="40">
        <f>D100*Stock!O17</f>
        <v>0</v>
      </c>
    </row>
    <row r="101" spans="1:7">
      <c r="A101" s="5" t="s">
        <v>101</v>
      </c>
      <c r="B101" s="32">
        <v>0</v>
      </c>
      <c r="C101" s="32">
        <f>Stock!L18</f>
        <v>0</v>
      </c>
      <c r="D101" s="32">
        <f t="shared" si="0"/>
        <v>0</v>
      </c>
      <c r="F101" s="40">
        <f>Stock!L18*Stock!O18</f>
        <v>0</v>
      </c>
      <c r="G101" s="40">
        <f>D101*Stock!O18</f>
        <v>0</v>
      </c>
    </row>
    <row r="102" spans="1:7">
      <c r="A102" s="5" t="s">
        <v>102</v>
      </c>
      <c r="B102" s="32">
        <v>300</v>
      </c>
      <c r="C102" s="32">
        <f>Stock!L19</f>
        <v>300</v>
      </c>
      <c r="D102" s="32">
        <f t="shared" si="0"/>
        <v>0</v>
      </c>
      <c r="F102" s="40">
        <f>Stock!L19*Stock!O19</f>
        <v>27.499999999999996</v>
      </c>
      <c r="G102" s="40">
        <f>D102*Stock!O19</f>
        <v>0</v>
      </c>
    </row>
    <row r="103" spans="1:7">
      <c r="A103" s="5" t="s">
        <v>103</v>
      </c>
      <c r="B103" s="32">
        <v>0</v>
      </c>
      <c r="C103" s="32">
        <f>Stock!L20</f>
        <v>0</v>
      </c>
      <c r="D103" s="32">
        <f t="shared" si="0"/>
        <v>0</v>
      </c>
      <c r="F103" s="40">
        <f>Stock!L20*Stock!O20</f>
        <v>0</v>
      </c>
      <c r="G103" s="40">
        <f>D103*Stock!O20</f>
        <v>0</v>
      </c>
    </row>
    <row r="104" spans="1:7">
      <c r="A104" s="5" t="s">
        <v>104</v>
      </c>
      <c r="B104" s="32">
        <v>0</v>
      </c>
      <c r="C104" s="32">
        <f>Stock!L21</f>
        <v>0</v>
      </c>
      <c r="D104" s="32">
        <f t="shared" si="0"/>
        <v>0</v>
      </c>
      <c r="F104" s="40">
        <f>Stock!L21*Stock!O21</f>
        <v>0</v>
      </c>
      <c r="G104" s="40">
        <f>D104*Stock!O21</f>
        <v>0</v>
      </c>
    </row>
    <row r="105" spans="1:7">
      <c r="A105" s="5" t="s">
        <v>105</v>
      </c>
      <c r="B105" s="32">
        <v>0</v>
      </c>
      <c r="C105" s="32">
        <f>Stock!L22</f>
        <v>0</v>
      </c>
      <c r="D105" s="32">
        <f t="shared" si="0"/>
        <v>0</v>
      </c>
      <c r="F105" s="40">
        <f>Stock!L22*Stock!O22</f>
        <v>0</v>
      </c>
      <c r="G105" s="40">
        <f>D105*Stock!O22</f>
        <v>0</v>
      </c>
    </row>
    <row r="106" spans="1:7">
      <c r="A106" s="5" t="s">
        <v>106</v>
      </c>
      <c r="B106" s="32">
        <v>0</v>
      </c>
      <c r="C106" s="32">
        <f>Stock!L23</f>
        <v>0</v>
      </c>
      <c r="D106" s="32">
        <f t="shared" si="0"/>
        <v>0</v>
      </c>
      <c r="F106" s="40">
        <f>Stock!L23*Stock!O23</f>
        <v>0</v>
      </c>
      <c r="G106" s="40">
        <f>D106*Stock!O23</f>
        <v>0</v>
      </c>
    </row>
    <row r="107" spans="1:7">
      <c r="A107" s="5" t="s">
        <v>107</v>
      </c>
      <c r="B107" s="32">
        <v>0</v>
      </c>
      <c r="C107" s="32">
        <f>Stock!L24</f>
        <v>0</v>
      </c>
      <c r="D107" s="32">
        <f t="shared" si="0"/>
        <v>0</v>
      </c>
      <c r="F107" s="40">
        <f>Stock!L24*Stock!O24</f>
        <v>0</v>
      </c>
      <c r="G107" s="40">
        <f>D107*Stock!O24</f>
        <v>0</v>
      </c>
    </row>
    <row r="108" spans="1:7">
      <c r="A108" s="5" t="s">
        <v>108</v>
      </c>
      <c r="B108" s="32">
        <v>0</v>
      </c>
      <c r="C108" s="32">
        <f>Stock!L25</f>
        <v>0</v>
      </c>
      <c r="D108" s="32">
        <f t="shared" si="0"/>
        <v>0</v>
      </c>
      <c r="F108" s="40">
        <f>Stock!L25*Stock!O25</f>
        <v>0</v>
      </c>
      <c r="G108" s="40">
        <f>D108*Stock!O25</f>
        <v>0</v>
      </c>
    </row>
    <row r="109" spans="1:7">
      <c r="A109" s="5" t="s">
        <v>109</v>
      </c>
      <c r="B109" s="32">
        <v>0</v>
      </c>
      <c r="C109" s="32">
        <f>Stock!L26</f>
        <v>0</v>
      </c>
      <c r="D109" s="32">
        <f t="shared" si="0"/>
        <v>0</v>
      </c>
      <c r="F109" s="40">
        <f>Stock!L26*Stock!O26</f>
        <v>0</v>
      </c>
      <c r="G109" s="40">
        <f>D109*Stock!O26</f>
        <v>0</v>
      </c>
    </row>
    <row r="110" spans="1:7">
      <c r="A110" s="5" t="s">
        <v>110</v>
      </c>
      <c r="B110" s="32">
        <v>0</v>
      </c>
      <c r="C110" s="32">
        <f>Stock!L27</f>
        <v>0</v>
      </c>
      <c r="D110" s="32">
        <f t="shared" si="0"/>
        <v>0</v>
      </c>
      <c r="F110" s="40">
        <f>Stock!L27*Stock!O27</f>
        <v>0</v>
      </c>
      <c r="G110" s="40">
        <f>D110*Stock!O27</f>
        <v>0</v>
      </c>
    </row>
    <row r="111" spans="1:7">
      <c r="A111" s="5" t="s">
        <v>111</v>
      </c>
      <c r="B111" s="32">
        <v>0</v>
      </c>
      <c r="C111" s="32">
        <f>Stock!L28</f>
        <v>0</v>
      </c>
      <c r="D111" s="32">
        <f t="shared" si="0"/>
        <v>0</v>
      </c>
      <c r="F111" s="40">
        <f>Stock!L28*Stock!O28</f>
        <v>0</v>
      </c>
      <c r="G111" s="40">
        <f>D111*Stock!O28</f>
        <v>0</v>
      </c>
    </row>
    <row r="112" spans="1:7">
      <c r="A112" s="5" t="s">
        <v>112</v>
      </c>
      <c r="B112" s="32">
        <v>0</v>
      </c>
      <c r="C112" s="32">
        <f>Stock!L29</f>
        <v>0</v>
      </c>
      <c r="D112" s="32">
        <f t="shared" si="0"/>
        <v>0</v>
      </c>
      <c r="F112" s="40">
        <f>Stock!L29*Stock!O29</f>
        <v>0</v>
      </c>
      <c r="G112" s="40">
        <f>D112*Stock!O29</f>
        <v>0</v>
      </c>
    </row>
    <row r="113" spans="1:7">
      <c r="A113" s="5" t="s">
        <v>113</v>
      </c>
      <c r="B113" s="32">
        <v>0</v>
      </c>
      <c r="C113" s="32">
        <f>Stock!L30</f>
        <v>0</v>
      </c>
      <c r="D113" s="32">
        <f t="shared" si="0"/>
        <v>0</v>
      </c>
      <c r="F113" s="40">
        <f>Stock!L30*Stock!O30</f>
        <v>0</v>
      </c>
      <c r="G113" s="40">
        <f>D113*Stock!O30</f>
        <v>0</v>
      </c>
    </row>
    <row r="114" spans="1:7">
      <c r="A114" s="7" t="s">
        <v>114</v>
      </c>
      <c r="B114" s="49"/>
      <c r="C114" s="50"/>
      <c r="D114" s="49"/>
      <c r="E114" s="49"/>
      <c r="F114" s="63">
        <f>SUM(F88:F113)</f>
        <v>36.166666666666664</v>
      </c>
      <c r="G114" s="63">
        <f>SUM(G88:G113)</f>
        <v>0</v>
      </c>
    </row>
    <row r="115" spans="1:7">
      <c r="A115" s="7" t="s">
        <v>115</v>
      </c>
      <c r="B115" s="49"/>
      <c r="C115" s="50"/>
      <c r="D115" s="49"/>
      <c r="E115" s="49"/>
      <c r="F115" s="63">
        <f>SUM(Stock!T5:T30)</f>
        <v>0</v>
      </c>
      <c r="G115" s="63"/>
    </row>
    <row r="116" spans="1:7">
      <c r="A116" s="7" t="s">
        <v>74</v>
      </c>
      <c r="B116" s="49"/>
      <c r="C116" s="50"/>
      <c r="D116" s="49"/>
      <c r="E116" s="49"/>
      <c r="F116" s="63">
        <f>SUM(Stock!R5:R30)</f>
        <v>0.7</v>
      </c>
      <c r="G116" s="63"/>
    </row>
    <row r="117" spans="1:7">
      <c r="A117" s="5"/>
    </row>
    <row r="118" spans="1:7">
      <c r="A118" s="6" t="s">
        <v>116</v>
      </c>
      <c r="B118" s="51" t="s">
        <v>84</v>
      </c>
      <c r="C118" s="51" t="s">
        <v>85</v>
      </c>
      <c r="D118" s="51" t="s">
        <v>86</v>
      </c>
      <c r="E118" s="51"/>
      <c r="F118" s="51" t="s">
        <v>87</v>
      </c>
    </row>
    <row r="119" spans="1:7">
      <c r="A119" s="12" t="s">
        <v>117</v>
      </c>
      <c r="B119">
        <v>0</v>
      </c>
      <c r="C119">
        <v>0</v>
      </c>
      <c r="D119">
        <v>0</v>
      </c>
      <c r="G119" s="52"/>
    </row>
    <row r="120" spans="1:7">
      <c r="A120" s="5" t="s">
        <v>118</v>
      </c>
      <c r="B120">
        <v>0</v>
      </c>
      <c r="C120">
        <v>0</v>
      </c>
      <c r="D120">
        <v>0</v>
      </c>
    </row>
    <row r="121" spans="1:7">
      <c r="A121" s="5" t="s">
        <v>119</v>
      </c>
      <c r="B121">
        <v>0</v>
      </c>
      <c r="C121">
        <v>0</v>
      </c>
      <c r="D121">
        <v>0</v>
      </c>
    </row>
    <row r="122" spans="1:7">
      <c r="A122" s="5" t="s">
        <v>120</v>
      </c>
      <c r="B122">
        <v>0</v>
      </c>
      <c r="C122">
        <v>0</v>
      </c>
      <c r="D122">
        <v>0</v>
      </c>
    </row>
    <row r="123" spans="1:7">
      <c r="A123" s="5" t="s">
        <v>121</v>
      </c>
      <c r="B123">
        <v>0</v>
      </c>
      <c r="C123">
        <v>0</v>
      </c>
      <c r="D123">
        <v>0</v>
      </c>
    </row>
    <row r="124" spans="1:7">
      <c r="A124" s="75" t="s">
        <v>81</v>
      </c>
      <c r="B124" s="49"/>
      <c r="C124" s="50"/>
      <c r="D124" s="49"/>
      <c r="E124" s="49"/>
      <c r="F124" s="49">
        <f>SUM(F119:F123)</f>
        <v>0</v>
      </c>
    </row>
    <row r="125" spans="1:7">
      <c r="A125" s="75" t="s">
        <v>74</v>
      </c>
      <c r="B125" s="49"/>
      <c r="C125" s="50"/>
      <c r="D125" s="49"/>
      <c r="E125" s="49"/>
      <c r="F125" s="49"/>
    </row>
    <row r="126" spans="1:7">
      <c r="A126" s="1"/>
    </row>
    <row r="127" spans="1:7">
      <c r="A127" s="6" t="s">
        <v>122</v>
      </c>
      <c r="B127" s="51" t="s">
        <v>84</v>
      </c>
      <c r="C127" s="51" t="s">
        <v>85</v>
      </c>
      <c r="D127" s="51" t="s">
        <v>86</v>
      </c>
      <c r="E127" s="51"/>
      <c r="F127" s="51" t="s">
        <v>87</v>
      </c>
    </row>
    <row r="128" spans="1:7">
      <c r="A128" s="5" t="s">
        <v>123</v>
      </c>
      <c r="B128">
        <v>0</v>
      </c>
      <c r="C128">
        <v>0</v>
      </c>
      <c r="D128">
        <v>0</v>
      </c>
      <c r="G128" s="52"/>
    </row>
    <row r="129" spans="1:4">
      <c r="A129" s="5" t="s">
        <v>124</v>
      </c>
      <c r="B129">
        <v>0</v>
      </c>
      <c r="C129">
        <v>0</v>
      </c>
      <c r="D129">
        <v>0</v>
      </c>
    </row>
    <row r="130" spans="1:4">
      <c r="A130" s="5" t="s">
        <v>125</v>
      </c>
      <c r="B130">
        <v>0</v>
      </c>
      <c r="C130">
        <v>0</v>
      </c>
      <c r="D130">
        <v>0</v>
      </c>
    </row>
    <row r="131" spans="1:4">
      <c r="A131" s="5" t="s">
        <v>126</v>
      </c>
      <c r="B131">
        <v>0</v>
      </c>
      <c r="C131">
        <v>0</v>
      </c>
      <c r="D131">
        <v>0</v>
      </c>
    </row>
    <row r="132" spans="1:4">
      <c r="A132" s="5" t="s">
        <v>127</v>
      </c>
      <c r="B132">
        <v>0</v>
      </c>
      <c r="C132">
        <v>0</v>
      </c>
      <c r="D132">
        <v>0</v>
      </c>
    </row>
    <row r="133" spans="1:4">
      <c r="A133" s="5" t="s">
        <v>128</v>
      </c>
      <c r="B133">
        <v>0</v>
      </c>
      <c r="C133">
        <v>0</v>
      </c>
      <c r="D133">
        <v>0</v>
      </c>
    </row>
    <row r="134" spans="1:4">
      <c r="A134" s="13" t="s">
        <v>129</v>
      </c>
      <c r="B134">
        <v>0</v>
      </c>
      <c r="C134">
        <v>0</v>
      </c>
      <c r="D134">
        <v>0</v>
      </c>
    </row>
    <row r="135" spans="1:4">
      <c r="A135" s="14" t="s">
        <v>130</v>
      </c>
    </row>
    <row r="136" spans="1:4">
      <c r="A136" s="14" t="s">
        <v>131</v>
      </c>
    </row>
    <row r="137" spans="1:4">
      <c r="A137" s="14" t="s">
        <v>132</v>
      </c>
    </row>
    <row r="138" spans="1:4">
      <c r="A138" s="14" t="s">
        <v>133</v>
      </c>
    </row>
    <row r="139" spans="1:4">
      <c r="A139" s="15" t="s">
        <v>134</v>
      </c>
      <c r="B139">
        <v>0</v>
      </c>
      <c r="C139">
        <v>0</v>
      </c>
      <c r="D139">
        <v>0</v>
      </c>
    </row>
    <row r="140" spans="1:4">
      <c r="A140" s="14" t="s">
        <v>135</v>
      </c>
    </row>
    <row r="141" spans="1:4">
      <c r="A141" s="14" t="s">
        <v>136</v>
      </c>
    </row>
    <row r="142" spans="1:4">
      <c r="A142" s="14" t="s">
        <v>137</v>
      </c>
    </row>
    <row r="143" spans="1:4">
      <c r="A143" s="14" t="s">
        <v>138</v>
      </c>
    </row>
    <row r="144" spans="1:4">
      <c r="A144" s="15" t="s">
        <v>139</v>
      </c>
      <c r="B144">
        <v>0</v>
      </c>
      <c r="C144">
        <v>0</v>
      </c>
      <c r="D144">
        <v>0</v>
      </c>
    </row>
    <row r="145" spans="1:7">
      <c r="A145" s="5" t="s">
        <v>140</v>
      </c>
      <c r="B145">
        <v>0</v>
      </c>
      <c r="C145">
        <v>0</v>
      </c>
      <c r="D145">
        <v>0</v>
      </c>
    </row>
    <row r="146" spans="1:7">
      <c r="A146" s="5" t="s">
        <v>141</v>
      </c>
      <c r="B146">
        <v>0</v>
      </c>
      <c r="C146">
        <v>0</v>
      </c>
      <c r="D146">
        <v>0</v>
      </c>
    </row>
    <row r="147" spans="1:7">
      <c r="A147" s="5" t="s">
        <v>142</v>
      </c>
      <c r="B147">
        <v>0</v>
      </c>
      <c r="C147">
        <v>0</v>
      </c>
      <c r="D147">
        <v>0</v>
      </c>
    </row>
    <row r="148" spans="1:7">
      <c r="A148" s="7" t="s">
        <v>81</v>
      </c>
      <c r="B148" s="49"/>
      <c r="C148" s="50"/>
      <c r="D148" s="49"/>
      <c r="E148" s="49"/>
      <c r="F148" s="49"/>
    </row>
    <row r="149" spans="1:7">
      <c r="A149" s="7" t="s">
        <v>74</v>
      </c>
      <c r="B149" s="49"/>
      <c r="C149" s="50"/>
      <c r="D149" s="49"/>
      <c r="E149" s="49"/>
      <c r="F149" s="49"/>
    </row>
    <row r="150" spans="1:7">
      <c r="A150" s="5"/>
    </row>
    <row r="151" spans="1:7">
      <c r="A151" s="6" t="s">
        <v>143</v>
      </c>
      <c r="B151" s="51" t="s">
        <v>84</v>
      </c>
      <c r="C151" s="51" t="s">
        <v>85</v>
      </c>
      <c r="D151" s="51" t="s">
        <v>86</v>
      </c>
      <c r="E151" s="51"/>
      <c r="F151" s="51" t="s">
        <v>87</v>
      </c>
    </row>
    <row r="152" spans="1:7">
      <c r="A152" s="12" t="s">
        <v>144</v>
      </c>
      <c r="B152" s="32">
        <f>Stock!B67</f>
        <v>0</v>
      </c>
      <c r="C152" s="32">
        <f>Stock!B67-Stock!M67</f>
        <v>0</v>
      </c>
      <c r="D152" s="32">
        <f>B152-C152</f>
        <v>0</v>
      </c>
      <c r="F152" s="32">
        <f>Stock!Q67</f>
        <v>0</v>
      </c>
      <c r="G152" s="52"/>
    </row>
    <row r="153" spans="1:7">
      <c r="A153" s="5" t="s">
        <v>145</v>
      </c>
      <c r="B153" s="32">
        <f>Stock!B68</f>
        <v>0</v>
      </c>
      <c r="C153" s="32">
        <f>Stock!B68-Stock!M68</f>
        <v>0</v>
      </c>
      <c r="D153" s="32">
        <f>B153-C153</f>
        <v>0</v>
      </c>
      <c r="F153" s="32">
        <f>Stock!Q68</f>
        <v>0</v>
      </c>
    </row>
    <row r="154" spans="1:7">
      <c r="A154" s="5" t="s">
        <v>146</v>
      </c>
      <c r="B154" s="32">
        <v>0</v>
      </c>
      <c r="C154" s="32">
        <f>Stock!B69-Stock!M69</f>
        <v>0</v>
      </c>
      <c r="D154" s="32">
        <f>B154-C154</f>
        <v>0</v>
      </c>
      <c r="F154" s="32">
        <f>Stock!Q69</f>
        <v>0</v>
      </c>
    </row>
    <row r="155" spans="1:7">
      <c r="A155" s="5" t="s">
        <v>147</v>
      </c>
      <c r="B155" s="32">
        <v>0</v>
      </c>
      <c r="C155" s="32">
        <f>Stock!B70-Stock!M70</f>
        <v>10</v>
      </c>
      <c r="D155" s="32">
        <f>B155-C155</f>
        <v>-10</v>
      </c>
      <c r="F155" s="32">
        <f>Stock!Q70</f>
        <v>0</v>
      </c>
    </row>
    <row r="156" spans="1:7">
      <c r="A156" s="75" t="s">
        <v>81</v>
      </c>
      <c r="B156" s="49"/>
      <c r="C156" s="49"/>
      <c r="D156" s="49"/>
      <c r="E156" s="49"/>
      <c r="F156" s="49">
        <f>SUM(F152:F155)</f>
        <v>0</v>
      </c>
    </row>
    <row r="157" spans="1:7">
      <c r="A157" s="75" t="s">
        <v>74</v>
      </c>
      <c r="B157" s="49"/>
      <c r="C157" s="50"/>
      <c r="D157" s="49"/>
      <c r="E157" s="49"/>
      <c r="F157" s="49">
        <f>SUM(Stock!R67:R70)</f>
        <v>0</v>
      </c>
    </row>
    <row r="158" spans="1:7">
      <c r="A158" s="5"/>
    </row>
    <row r="159" spans="1:7">
      <c r="A159" s="6" t="s">
        <v>148</v>
      </c>
      <c r="B159" s="51" t="s">
        <v>84</v>
      </c>
      <c r="C159" s="51" t="s">
        <v>85</v>
      </c>
      <c r="D159" s="51" t="s">
        <v>86</v>
      </c>
      <c r="E159" s="51"/>
      <c r="F159" s="51" t="s">
        <v>87</v>
      </c>
    </row>
    <row r="160" spans="1:7">
      <c r="A160" s="5" t="s">
        <v>149</v>
      </c>
      <c r="B160">
        <v>0</v>
      </c>
      <c r="C160">
        <v>0</v>
      </c>
      <c r="D160">
        <v>0</v>
      </c>
      <c r="G160" s="72"/>
    </row>
    <row r="161" spans="1:7">
      <c r="A161" s="5" t="s">
        <v>150</v>
      </c>
      <c r="B161">
        <v>0</v>
      </c>
      <c r="C161">
        <v>0</v>
      </c>
      <c r="D161">
        <v>0</v>
      </c>
    </row>
    <row r="162" spans="1:7">
      <c r="A162" s="5" t="s">
        <v>151</v>
      </c>
      <c r="B162">
        <v>0</v>
      </c>
      <c r="C162">
        <v>0</v>
      </c>
      <c r="D162">
        <v>0</v>
      </c>
    </row>
    <row r="163" spans="1:7">
      <c r="A163" s="7" t="s">
        <v>152</v>
      </c>
      <c r="B163" s="49"/>
      <c r="C163" s="50"/>
      <c r="D163" s="49"/>
      <c r="E163" s="49"/>
      <c r="F163" s="49">
        <f>SUM(F160:F161)</f>
        <v>0</v>
      </c>
    </row>
    <row r="164" spans="1:7">
      <c r="A164" s="7" t="s">
        <v>74</v>
      </c>
      <c r="B164" s="49"/>
      <c r="C164" s="50"/>
      <c r="D164" s="49"/>
      <c r="E164" s="49"/>
      <c r="F164" s="49"/>
    </row>
    <row r="165" spans="1:7">
      <c r="A165" s="5"/>
    </row>
    <row r="166" spans="1:7">
      <c r="A166" s="6" t="s">
        <v>153</v>
      </c>
      <c r="B166" s="51" t="s">
        <v>84</v>
      </c>
      <c r="C166" s="51" t="s">
        <v>85</v>
      </c>
      <c r="D166" s="51" t="s">
        <v>86</v>
      </c>
      <c r="E166" s="51"/>
      <c r="F166" s="51" t="s">
        <v>87</v>
      </c>
    </row>
    <row r="167" spans="1:7">
      <c r="A167" s="5" t="s">
        <v>154</v>
      </c>
      <c r="B167">
        <v>0</v>
      </c>
      <c r="C167">
        <v>0</v>
      </c>
      <c r="D167">
        <v>0</v>
      </c>
      <c r="G167" s="72"/>
    </row>
    <row r="168" spans="1:7">
      <c r="A168" s="5" t="s">
        <v>155</v>
      </c>
      <c r="B168">
        <v>0</v>
      </c>
      <c r="C168">
        <v>0</v>
      </c>
      <c r="D168">
        <v>0</v>
      </c>
    </row>
    <row r="169" spans="1:7">
      <c r="A169" s="5" t="s">
        <v>156</v>
      </c>
      <c r="B169">
        <v>0</v>
      </c>
      <c r="C169">
        <v>0</v>
      </c>
      <c r="D169">
        <v>0</v>
      </c>
    </row>
    <row r="170" spans="1:7">
      <c r="A170" s="7" t="s">
        <v>81</v>
      </c>
      <c r="B170" s="49"/>
      <c r="C170" s="50"/>
      <c r="D170" s="49"/>
      <c r="E170" s="49"/>
      <c r="F170" s="49">
        <f>SUM(F167:F169)</f>
        <v>0</v>
      </c>
    </row>
    <row r="171" spans="1:7">
      <c r="A171" s="7" t="s">
        <v>74</v>
      </c>
      <c r="B171" s="49"/>
      <c r="C171" s="50"/>
      <c r="D171" s="49"/>
      <c r="E171" s="49"/>
      <c r="F171" s="49"/>
    </row>
    <row r="172" spans="1:7">
      <c r="A172" s="5"/>
    </row>
    <row r="173" spans="1:7">
      <c r="A173" s="5"/>
    </row>
    <row r="174" spans="1:7" ht="16" customHeight="1" thickBot="1"/>
    <row r="175" spans="1:7" ht="16" customHeight="1" thickBot="1">
      <c r="A175" s="59"/>
      <c r="B175" s="60" t="s">
        <v>1</v>
      </c>
      <c r="C175" s="61"/>
      <c r="D175" s="64"/>
      <c r="E175" s="64"/>
      <c r="F175" s="65"/>
    </row>
    <row r="176" spans="1:7">
      <c r="A176" s="53" t="s">
        <v>157</v>
      </c>
      <c r="B176" s="66">
        <f>F170+F163+F156+F148+F124+F116+E73</f>
        <v>0.7</v>
      </c>
      <c r="D176" s="67"/>
      <c r="E176" s="67"/>
      <c r="F176" s="68"/>
    </row>
    <row r="177" spans="1:6">
      <c r="A177" s="54" t="s">
        <v>158</v>
      </c>
      <c r="B177" s="66">
        <f>F171+F164+F157+F149+F125+F116+D74</f>
        <v>0.7</v>
      </c>
      <c r="D177" s="67"/>
      <c r="E177" s="67"/>
      <c r="F177" s="68"/>
    </row>
    <row r="178" spans="1:6">
      <c r="A178" s="54" t="s">
        <v>159</v>
      </c>
      <c r="B178" s="66">
        <f>B15+B18</f>
        <v>1.88</v>
      </c>
      <c r="D178" s="67"/>
      <c r="E178" s="67"/>
      <c r="F178" s="68"/>
    </row>
    <row r="179" spans="1:6">
      <c r="A179" s="54" t="s">
        <v>160</v>
      </c>
      <c r="B179" s="66">
        <f>B176+B12+B13+B14+B16+B17+B19+B20+B21+B22</f>
        <v>1.06</v>
      </c>
      <c r="D179" s="67"/>
      <c r="E179" s="67"/>
      <c r="F179" s="68"/>
    </row>
    <row r="180" spans="1:6">
      <c r="A180" s="55"/>
      <c r="B180" s="67"/>
      <c r="D180" s="67"/>
      <c r="E180" s="67"/>
      <c r="F180" s="68"/>
    </row>
    <row r="181" spans="1:6">
      <c r="A181" s="56" t="s">
        <v>161</v>
      </c>
      <c r="B181" s="69">
        <f>B48/B176</f>
        <v>0</v>
      </c>
      <c r="C181" s="4"/>
      <c r="F181" s="68"/>
    </row>
    <row r="182" spans="1:6">
      <c r="A182" s="54" t="s">
        <v>162</v>
      </c>
      <c r="B182" s="69">
        <f>B48/B179</f>
        <v>0</v>
      </c>
      <c r="D182" s="67"/>
      <c r="E182" s="67"/>
      <c r="F182" s="68"/>
    </row>
    <row r="183" spans="1:6">
      <c r="A183" s="55"/>
      <c r="D183" s="67"/>
      <c r="E183" s="67"/>
      <c r="F183" s="68"/>
    </row>
    <row r="184" spans="1:6" ht="16" customHeight="1" thickBot="1">
      <c r="A184" s="57" t="s">
        <v>163</v>
      </c>
      <c r="B184" s="62" t="s">
        <v>164</v>
      </c>
      <c r="C184" s="58"/>
      <c r="D184" s="70"/>
      <c r="E184" s="70"/>
      <c r="F184" s="71"/>
    </row>
  </sheetData>
  <mergeCells count="2">
    <mergeCell ref="B61:C61"/>
    <mergeCell ref="B76:C7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workbookViewId="0"/>
  </sheetViews>
  <sheetFormatPr defaultRowHeight="14.5"/>
  <cols>
    <col min="1" max="1" width="41.453125" customWidth="1"/>
    <col min="2" max="2" width="8.81640625" customWidth="1"/>
    <col min="6" max="6" width="12.81640625" customWidth="1"/>
    <col min="7" max="7" width="8.81640625" customWidth="1"/>
    <col min="8" max="8" width="12.453125" customWidth="1"/>
    <col min="9" max="10" width="8.81640625" customWidth="1"/>
  </cols>
  <sheetData>
    <row r="1" spans="1:9" ht="15.5">
      <c r="A1" s="76" t="s">
        <v>165</v>
      </c>
      <c r="B1" s="77"/>
      <c r="C1" s="77"/>
      <c r="D1" s="77"/>
      <c r="E1" s="77"/>
      <c r="F1" s="77"/>
      <c r="G1" s="77"/>
      <c r="H1" s="77"/>
      <c r="I1" s="77"/>
    </row>
    <row r="2" spans="1:9" ht="15.5">
      <c r="A2" s="78" t="s">
        <v>166</v>
      </c>
      <c r="B2" s="79" t="s">
        <v>167</v>
      </c>
      <c r="C2" s="80" t="s">
        <v>168</v>
      </c>
      <c r="D2" s="80" t="s">
        <v>169</v>
      </c>
      <c r="E2" s="80"/>
      <c r="F2" s="81" t="s">
        <v>1</v>
      </c>
      <c r="G2" s="82" t="s">
        <v>2</v>
      </c>
      <c r="H2" s="83" t="s">
        <v>170</v>
      </c>
      <c r="I2" s="84" t="s">
        <v>171</v>
      </c>
    </row>
    <row r="3" spans="1:9">
      <c r="A3" s="85" t="s">
        <v>172</v>
      </c>
      <c r="B3" s="77">
        <v>0</v>
      </c>
      <c r="C3" s="77">
        <v>3</v>
      </c>
      <c r="D3" s="77">
        <v>10</v>
      </c>
      <c r="E3" s="77"/>
      <c r="F3" s="77">
        <v>0.19</v>
      </c>
      <c r="G3" s="77"/>
      <c r="H3" s="77" t="s">
        <v>173</v>
      </c>
      <c r="I3" s="77"/>
    </row>
    <row r="4" spans="1:9">
      <c r="A4" s="86" t="s">
        <v>172</v>
      </c>
      <c r="B4" s="77">
        <v>0</v>
      </c>
      <c r="C4" s="77">
        <v>3</v>
      </c>
      <c r="D4" s="77">
        <v>10</v>
      </c>
      <c r="E4" s="77"/>
      <c r="F4" s="77">
        <v>0.19</v>
      </c>
      <c r="G4" s="77"/>
      <c r="H4" s="77" t="s">
        <v>174</v>
      </c>
      <c r="I4" s="77"/>
    </row>
    <row r="5" spans="1:9">
      <c r="A5" s="87" t="s">
        <v>6</v>
      </c>
      <c r="B5" s="88"/>
      <c r="C5" s="88"/>
      <c r="D5" s="88"/>
      <c r="E5" s="88"/>
      <c r="F5" s="88">
        <v>0.19</v>
      </c>
      <c r="G5" s="88">
        <v>0</v>
      </c>
      <c r="H5" s="88" t="s">
        <v>175</v>
      </c>
      <c r="I5" s="88"/>
    </row>
    <row r="6" spans="1:9">
      <c r="A6" s="86"/>
      <c r="B6" s="77"/>
      <c r="C6" s="77"/>
      <c r="D6" s="77"/>
      <c r="E6" s="77"/>
      <c r="F6" s="77"/>
      <c r="G6" s="77"/>
      <c r="H6" s="77"/>
      <c r="I6" s="77"/>
    </row>
    <row r="7" spans="1:9">
      <c r="A7" s="85" t="s">
        <v>176</v>
      </c>
      <c r="B7" s="77">
        <v>0</v>
      </c>
      <c r="C7" s="77">
        <v>0</v>
      </c>
      <c r="D7" s="77">
        <v>0</v>
      </c>
      <c r="E7" s="77"/>
      <c r="F7" s="77">
        <v>0</v>
      </c>
      <c r="G7" s="77"/>
      <c r="H7" s="77" t="s">
        <v>177</v>
      </c>
      <c r="I7" s="77"/>
    </row>
    <row r="8" spans="1:9">
      <c r="A8" s="87" t="s">
        <v>178</v>
      </c>
      <c r="B8" s="88"/>
      <c r="C8" s="88"/>
      <c r="D8" s="88"/>
      <c r="E8" s="88"/>
      <c r="F8" s="88">
        <v>0</v>
      </c>
      <c r="G8" s="88">
        <v>0</v>
      </c>
      <c r="H8" s="88" t="s">
        <v>175</v>
      </c>
      <c r="I8" s="88"/>
    </row>
    <row r="9" spans="1:9">
      <c r="A9" s="86"/>
      <c r="B9" s="77"/>
      <c r="C9" s="77"/>
      <c r="D9" s="77"/>
      <c r="E9" s="77"/>
      <c r="F9" s="77"/>
      <c r="G9" s="77"/>
      <c r="H9" s="77"/>
      <c r="I9" s="77"/>
    </row>
    <row r="10" spans="1:9">
      <c r="A10" s="85" t="s">
        <v>179</v>
      </c>
      <c r="B10" s="77">
        <v>0</v>
      </c>
      <c r="C10" s="77">
        <v>0</v>
      </c>
      <c r="D10" s="77">
        <v>6</v>
      </c>
      <c r="E10" s="77"/>
      <c r="F10" s="77">
        <v>0.03</v>
      </c>
      <c r="G10" s="77"/>
      <c r="H10" s="77" t="s">
        <v>180</v>
      </c>
      <c r="I10" s="77"/>
    </row>
    <row r="11" spans="1:9">
      <c r="A11" s="86" t="s">
        <v>179</v>
      </c>
      <c r="B11" s="77">
        <v>0</v>
      </c>
      <c r="C11" s="77">
        <v>0</v>
      </c>
      <c r="D11" s="77">
        <v>6</v>
      </c>
      <c r="E11" s="77"/>
      <c r="F11" s="77">
        <v>0.03</v>
      </c>
      <c r="G11" s="77"/>
      <c r="H11" s="77" t="s">
        <v>181</v>
      </c>
      <c r="I11" s="77"/>
    </row>
    <row r="12" spans="1:9">
      <c r="A12" s="87" t="s">
        <v>182</v>
      </c>
      <c r="B12" s="88"/>
      <c r="C12" s="88"/>
      <c r="D12" s="88"/>
      <c r="E12" s="88"/>
      <c r="F12" s="88">
        <v>0.03</v>
      </c>
      <c r="G12" s="88">
        <v>0</v>
      </c>
      <c r="H12" s="88" t="s">
        <v>175</v>
      </c>
      <c r="I12" s="88"/>
    </row>
    <row r="13" spans="1:9">
      <c r="A13" s="86"/>
      <c r="B13" s="77"/>
      <c r="C13" s="77"/>
      <c r="D13" s="77"/>
      <c r="E13" s="77"/>
      <c r="F13" s="77"/>
      <c r="G13" s="77"/>
      <c r="H13" s="77"/>
      <c r="I13" s="77"/>
    </row>
    <row r="14" spans="1:9">
      <c r="A14" s="85" t="s">
        <v>183</v>
      </c>
      <c r="B14" s="77">
        <v>1</v>
      </c>
      <c r="C14" s="77">
        <v>17</v>
      </c>
      <c r="D14" s="77">
        <v>8</v>
      </c>
      <c r="E14" s="77"/>
      <c r="F14" s="77">
        <v>1.88</v>
      </c>
      <c r="G14" s="77"/>
      <c r="H14" s="77" t="s">
        <v>184</v>
      </c>
      <c r="I14" s="77"/>
    </row>
    <row r="15" spans="1:9">
      <c r="A15" s="86" t="s">
        <v>183</v>
      </c>
      <c r="B15" s="77">
        <v>1</v>
      </c>
      <c r="C15" s="77">
        <v>17</v>
      </c>
      <c r="D15" s="77">
        <v>8</v>
      </c>
      <c r="E15" s="77"/>
      <c r="F15" s="77">
        <v>1.88</v>
      </c>
      <c r="G15" s="77"/>
      <c r="H15" s="77" t="s">
        <v>185</v>
      </c>
      <c r="I15" s="77"/>
    </row>
    <row r="16" spans="1:9">
      <c r="A16" s="87" t="s">
        <v>186</v>
      </c>
      <c r="B16" s="88"/>
      <c r="C16" s="88"/>
      <c r="D16" s="88"/>
      <c r="E16" s="88"/>
      <c r="F16" s="88">
        <v>1.88</v>
      </c>
      <c r="G16" s="88">
        <v>0</v>
      </c>
      <c r="H16" s="88" t="s">
        <v>175</v>
      </c>
      <c r="I16" s="88"/>
    </row>
    <row r="17" spans="1:9">
      <c r="A17" s="86"/>
      <c r="B17" s="77"/>
      <c r="C17" s="77"/>
      <c r="D17" s="77"/>
      <c r="E17" s="77"/>
      <c r="F17" s="77"/>
      <c r="G17" s="77"/>
      <c r="H17" s="77"/>
      <c r="I17" s="77"/>
    </row>
    <row r="18" spans="1:9">
      <c r="A18" s="85" t="s">
        <v>187</v>
      </c>
      <c r="B18" s="77">
        <v>0</v>
      </c>
      <c r="C18" s="77">
        <v>14</v>
      </c>
      <c r="D18" s="77">
        <v>0</v>
      </c>
      <c r="E18" s="77"/>
      <c r="F18" s="77">
        <v>0.7</v>
      </c>
      <c r="G18" s="77"/>
      <c r="H18" s="77" t="s">
        <v>188</v>
      </c>
      <c r="I18" s="77"/>
    </row>
    <row r="19" spans="1:9">
      <c r="A19" s="86" t="s">
        <v>187</v>
      </c>
      <c r="B19" s="77">
        <v>0</v>
      </c>
      <c r="C19" s="77">
        <v>14</v>
      </c>
      <c r="D19" s="77">
        <v>0</v>
      </c>
      <c r="E19" s="77"/>
      <c r="F19" s="77">
        <v>0.7</v>
      </c>
      <c r="G19" s="77"/>
      <c r="H19" s="77" t="s">
        <v>189</v>
      </c>
      <c r="I19" s="77"/>
    </row>
    <row r="20" spans="1:9">
      <c r="A20" s="87" t="s">
        <v>190</v>
      </c>
      <c r="B20" s="88"/>
      <c r="C20" s="88"/>
      <c r="D20" s="88"/>
      <c r="E20" s="88"/>
      <c r="F20" s="88">
        <v>0.7</v>
      </c>
      <c r="G20" s="88">
        <v>0</v>
      </c>
      <c r="H20" s="88" t="s">
        <v>175</v>
      </c>
      <c r="I20" s="88"/>
    </row>
    <row r="21" spans="1:9">
      <c r="A21" s="86"/>
      <c r="B21" s="77"/>
      <c r="C21" s="77"/>
      <c r="D21" s="77"/>
      <c r="E21" s="77"/>
      <c r="F21" s="77"/>
      <c r="G21" s="77"/>
      <c r="H21" s="77"/>
      <c r="I21" s="77"/>
    </row>
    <row r="22" spans="1:9">
      <c r="A22" s="85" t="s">
        <v>191</v>
      </c>
      <c r="B22" s="77">
        <v>0</v>
      </c>
      <c r="C22" s="77">
        <v>0</v>
      </c>
      <c r="D22" s="77">
        <v>8</v>
      </c>
      <c r="E22" s="77"/>
      <c r="F22" s="77">
        <v>0.03</v>
      </c>
      <c r="G22" s="77"/>
      <c r="H22" s="77" t="s">
        <v>192</v>
      </c>
      <c r="I22" s="77"/>
    </row>
    <row r="23" spans="1:9">
      <c r="A23" s="86" t="s">
        <v>191</v>
      </c>
      <c r="B23" s="77">
        <v>0</v>
      </c>
      <c r="C23" s="77">
        <v>1</v>
      </c>
      <c r="D23" s="77">
        <v>1</v>
      </c>
      <c r="E23" s="77"/>
      <c r="F23" s="77">
        <v>0.05</v>
      </c>
      <c r="G23" s="77"/>
      <c r="H23" s="77" t="s">
        <v>193</v>
      </c>
      <c r="I23" s="77"/>
    </row>
    <row r="24" spans="1:9">
      <c r="A24" s="86" t="s">
        <v>191</v>
      </c>
      <c r="B24" s="77">
        <v>0</v>
      </c>
      <c r="C24" s="77">
        <v>5</v>
      </c>
      <c r="D24" s="77">
        <v>1</v>
      </c>
      <c r="E24" s="77"/>
      <c r="F24" s="77">
        <v>0.25</v>
      </c>
      <c r="G24" s="77"/>
      <c r="H24" s="77" t="s">
        <v>194</v>
      </c>
      <c r="I24" s="77"/>
    </row>
    <row r="25" spans="1:9">
      <c r="A25" s="86" t="s">
        <v>191</v>
      </c>
      <c r="B25" s="77">
        <v>0</v>
      </c>
      <c r="C25" s="77">
        <v>6</v>
      </c>
      <c r="D25" s="77">
        <v>10</v>
      </c>
      <c r="E25" s="77"/>
      <c r="F25" s="77">
        <v>0.34</v>
      </c>
      <c r="G25" s="77"/>
      <c r="H25" s="77" t="s">
        <v>195</v>
      </c>
      <c r="I25" s="77"/>
    </row>
    <row r="26" spans="1:9">
      <c r="A26" s="87" t="s">
        <v>196</v>
      </c>
      <c r="B26" s="88"/>
      <c r="C26" s="88"/>
      <c r="D26" s="88"/>
      <c r="E26" s="88"/>
      <c r="F26" s="88">
        <v>0.33</v>
      </c>
      <c r="G26" s="88">
        <v>-0.01</v>
      </c>
      <c r="H26" s="88" t="s">
        <v>175</v>
      </c>
      <c r="I26" s="88"/>
    </row>
    <row r="27" spans="1:9">
      <c r="A27" s="86"/>
      <c r="B27" s="77"/>
      <c r="C27" s="77"/>
      <c r="D27" s="77"/>
      <c r="E27" s="77"/>
      <c r="F27" s="77"/>
      <c r="G27" s="77"/>
      <c r="H27" s="77"/>
      <c r="I27" s="77"/>
    </row>
    <row r="28" spans="1:9">
      <c r="A28" s="85" t="s">
        <v>197</v>
      </c>
      <c r="B28" s="77">
        <v>0</v>
      </c>
      <c r="C28" s="77">
        <v>0</v>
      </c>
      <c r="D28" s="77">
        <v>10</v>
      </c>
      <c r="E28" s="77"/>
      <c r="F28" s="77">
        <v>0.04</v>
      </c>
      <c r="G28" s="77"/>
      <c r="H28" s="77" t="s">
        <v>198</v>
      </c>
      <c r="I28" s="77"/>
    </row>
    <row r="29" spans="1:9">
      <c r="A29" s="86" t="s">
        <v>197</v>
      </c>
      <c r="B29" s="77">
        <v>0</v>
      </c>
      <c r="C29" s="77">
        <v>0</v>
      </c>
      <c r="D29" s="77">
        <v>0</v>
      </c>
      <c r="E29" s="77"/>
      <c r="F29" s="77">
        <v>0</v>
      </c>
      <c r="G29" s="77"/>
      <c r="H29" s="77" t="s">
        <v>199</v>
      </c>
      <c r="I29" s="77"/>
    </row>
    <row r="30" spans="1:9">
      <c r="A30" s="87" t="s">
        <v>200</v>
      </c>
      <c r="B30" s="88">
        <v>0</v>
      </c>
      <c r="C30" s="88">
        <v>0</v>
      </c>
      <c r="D30" s="88">
        <v>10</v>
      </c>
      <c r="E30" s="88"/>
      <c r="F30" s="88">
        <v>0.04</v>
      </c>
      <c r="G30" s="88">
        <v>0.04</v>
      </c>
      <c r="H30" s="88" t="s">
        <v>201</v>
      </c>
      <c r="I30" s="88"/>
    </row>
    <row r="31" spans="1:9">
      <c r="A31" s="18" t="s">
        <v>202</v>
      </c>
      <c r="F31">
        <f>SUMIF(A1:A30,"* total",F1:F30)-SUMIF(A1:A30,"Arrears total",F1:F30)</f>
        <v>2.98</v>
      </c>
    </row>
    <row r="32" spans="1:9">
      <c r="A32" s="18" t="s">
        <v>26</v>
      </c>
      <c r="F32">
        <f>F31+SUMIF(A1:A30,"Arrears total",F1:F30)</f>
        <v>3.17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workbookViewId="0">
      <selection activeCell="F6" sqref="F6"/>
    </sheetView>
  </sheetViews>
  <sheetFormatPr defaultRowHeight="14.5"/>
  <cols>
    <col min="1" max="1" width="34.453125" customWidth="1"/>
    <col min="2" max="2" width="8.81640625" customWidth="1"/>
    <col min="6" max="7" width="8.81640625" customWidth="1"/>
    <col min="8" max="8" width="43" customWidth="1"/>
  </cols>
  <sheetData>
    <row r="1" spans="1:10" ht="15.5">
      <c r="A1" s="76" t="s">
        <v>203</v>
      </c>
      <c r="B1" s="77"/>
      <c r="C1" s="77"/>
      <c r="D1" s="77"/>
      <c r="E1" s="77"/>
      <c r="F1" s="77"/>
      <c r="G1" s="77"/>
      <c r="H1" s="77"/>
    </row>
    <row r="2" spans="1:10" ht="31" customHeight="1">
      <c r="A2" s="89" t="s">
        <v>166</v>
      </c>
      <c r="B2" s="90" t="s">
        <v>167</v>
      </c>
      <c r="C2" s="91" t="s">
        <v>168</v>
      </c>
      <c r="D2" s="91" t="s">
        <v>169</v>
      </c>
      <c r="E2" s="92"/>
      <c r="F2" s="93" t="s">
        <v>1</v>
      </c>
      <c r="G2" s="94" t="s">
        <v>2</v>
      </c>
      <c r="H2" s="95" t="s">
        <v>204</v>
      </c>
      <c r="I2" t="s">
        <v>205</v>
      </c>
      <c r="J2" t="s">
        <v>206</v>
      </c>
    </row>
    <row r="3" spans="1:10">
      <c r="A3" s="86"/>
      <c r="B3" s="77"/>
      <c r="C3" s="77"/>
      <c r="D3" s="77"/>
      <c r="E3" s="77"/>
      <c r="F3" s="77"/>
      <c r="G3" s="77"/>
      <c r="H3" s="77"/>
    </row>
    <row r="4" spans="1:10">
      <c r="A4" s="85" t="s">
        <v>207</v>
      </c>
      <c r="B4" s="77">
        <v>0</v>
      </c>
      <c r="C4" s="77">
        <v>5</v>
      </c>
      <c r="D4" s="77">
        <v>0</v>
      </c>
      <c r="E4" s="77"/>
      <c r="F4" s="77">
        <v>0.25</v>
      </c>
      <c r="G4" s="77"/>
      <c r="H4" s="77" t="s">
        <v>208</v>
      </c>
    </row>
    <row r="5" spans="1:10">
      <c r="A5" s="86" t="s">
        <v>207</v>
      </c>
      <c r="B5" s="77">
        <v>0</v>
      </c>
      <c r="C5" s="77">
        <v>5</v>
      </c>
      <c r="D5" s="77">
        <v>0</v>
      </c>
      <c r="E5" s="77"/>
      <c r="F5" s="77">
        <v>0.25</v>
      </c>
      <c r="G5" s="77"/>
      <c r="H5" s="77" t="s">
        <v>209</v>
      </c>
    </row>
    <row r="6" spans="1:10">
      <c r="A6" s="87" t="s">
        <v>210</v>
      </c>
      <c r="B6" s="88"/>
      <c r="C6" s="88"/>
      <c r="D6" s="88"/>
      <c r="E6" s="88"/>
      <c r="F6" s="88">
        <v>0.25</v>
      </c>
      <c r="G6" s="88">
        <v>0</v>
      </c>
      <c r="H6" s="88" t="s">
        <v>175</v>
      </c>
    </row>
    <row r="7" spans="1:10">
      <c r="A7" s="86"/>
      <c r="B7" s="77"/>
      <c r="C7" s="77"/>
      <c r="D7" s="77"/>
      <c r="E7" s="77"/>
      <c r="F7" s="77"/>
      <c r="G7" s="77"/>
      <c r="H7" s="77"/>
    </row>
    <row r="8" spans="1:10">
      <c r="A8" s="85" t="s">
        <v>211</v>
      </c>
      <c r="B8" s="77">
        <v>0</v>
      </c>
      <c r="C8" s="77">
        <v>7</v>
      </c>
      <c r="D8" s="77">
        <v>0</v>
      </c>
      <c r="E8" s="77"/>
      <c r="F8" s="77">
        <v>0.35</v>
      </c>
      <c r="G8" s="77"/>
      <c r="H8" s="77" t="s">
        <v>212</v>
      </c>
    </row>
    <row r="9" spans="1:10">
      <c r="A9" s="86" t="s">
        <v>211</v>
      </c>
      <c r="B9" s="77">
        <v>0</v>
      </c>
      <c r="C9" s="77">
        <v>7</v>
      </c>
      <c r="D9" s="77">
        <v>0</v>
      </c>
      <c r="E9" s="77"/>
      <c r="F9" s="77">
        <v>0.35</v>
      </c>
      <c r="G9" s="77"/>
      <c r="H9" s="77" t="s">
        <v>213</v>
      </c>
    </row>
    <row r="10" spans="1:10">
      <c r="A10" s="87" t="s">
        <v>214</v>
      </c>
      <c r="B10" s="88"/>
      <c r="C10" s="88"/>
      <c r="D10" s="88"/>
      <c r="E10" s="88"/>
      <c r="F10" s="88">
        <v>0.35</v>
      </c>
      <c r="G10" s="88">
        <v>0</v>
      </c>
      <c r="H10" s="88" t="s">
        <v>175</v>
      </c>
    </row>
    <row r="11" spans="1:10">
      <c r="A11" s="86"/>
      <c r="B11" s="77"/>
      <c r="C11" s="77"/>
      <c r="D11" s="77"/>
      <c r="E11" s="77"/>
      <c r="F11" s="77"/>
      <c r="G11" s="77"/>
      <c r="H11" s="77"/>
    </row>
    <row r="12" spans="1:10">
      <c r="A12" s="85" t="s">
        <v>215</v>
      </c>
      <c r="B12" s="77">
        <v>22</v>
      </c>
      <c r="C12" s="77">
        <v>1</v>
      </c>
      <c r="D12" s="77">
        <v>10</v>
      </c>
      <c r="E12" s="77"/>
      <c r="F12" s="77">
        <v>22.09</v>
      </c>
      <c r="G12" s="77"/>
      <c r="H12" s="77" t="s">
        <v>216</v>
      </c>
    </row>
    <row r="13" spans="1:10">
      <c r="A13" s="87" t="s">
        <v>217</v>
      </c>
      <c r="B13" s="88"/>
      <c r="C13" s="88"/>
      <c r="D13" s="88"/>
      <c r="E13" s="88"/>
      <c r="F13" s="88">
        <v>22.09</v>
      </c>
      <c r="G13" s="88">
        <v>0</v>
      </c>
      <c r="H13" s="88" t="s">
        <v>175</v>
      </c>
    </row>
    <row r="14" spans="1:10">
      <c r="A14" s="86"/>
      <c r="B14" s="77"/>
      <c r="C14" s="77"/>
      <c r="D14" s="77"/>
      <c r="E14" s="77"/>
      <c r="F14" s="77"/>
      <c r="G14" s="77"/>
      <c r="H14" s="77"/>
    </row>
    <row r="15" spans="1:10">
      <c r="A15" s="85" t="s">
        <v>51</v>
      </c>
      <c r="B15" s="77">
        <v>21</v>
      </c>
      <c r="C15" s="77">
        <v>18</v>
      </c>
      <c r="D15" s="77">
        <v>0</v>
      </c>
      <c r="E15" s="77"/>
      <c r="F15" s="77">
        <v>21.9</v>
      </c>
      <c r="G15" s="77"/>
      <c r="H15" s="77" t="s">
        <v>218</v>
      </c>
    </row>
    <row r="16" spans="1:10">
      <c r="A16" s="87" t="s">
        <v>219</v>
      </c>
      <c r="B16" s="88">
        <v>21</v>
      </c>
      <c r="C16" s="88">
        <v>18</v>
      </c>
      <c r="D16" s="88">
        <v>0</v>
      </c>
      <c r="E16" s="88"/>
      <c r="F16" s="88">
        <v>21.9</v>
      </c>
      <c r="G16" s="88">
        <v>0</v>
      </c>
      <c r="H16" s="88" t="s">
        <v>220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tabSelected="1" workbookViewId="0">
      <selection activeCell="G31" sqref="G31"/>
    </sheetView>
  </sheetViews>
  <sheetFormatPr defaultRowHeight="14.5"/>
  <cols>
    <col min="1" max="1" width="44.36328125" customWidth="1"/>
    <col min="2" max="2" width="14.36328125" customWidth="1"/>
    <col min="6" max="6" width="9.81640625" customWidth="1"/>
    <col min="7" max="7" width="16.6328125" customWidth="1"/>
    <col min="10" max="10" width="16.1796875" customWidth="1"/>
    <col min="11" max="11" width="11.453125" customWidth="1"/>
    <col min="13" max="13" width="8.453125" customWidth="1"/>
    <col min="14" max="14" width="10.6328125" customWidth="1"/>
    <col min="16" max="16" width="16.6328125" customWidth="1"/>
    <col min="17" max="17" width="17.36328125" customWidth="1"/>
    <col min="19" max="19" width="16.1796875" customWidth="1"/>
    <col min="21" max="21" width="13.1796875" customWidth="1"/>
  </cols>
  <sheetData>
    <row r="1" spans="1:21" ht="15.5" customHeight="1">
      <c r="A1" s="3" t="s">
        <v>221</v>
      </c>
    </row>
    <row r="2" spans="1:21" ht="15.5" customHeight="1">
      <c r="A2" s="3"/>
    </row>
    <row r="3" spans="1:21" ht="17" customHeight="1">
      <c r="A3" s="20"/>
      <c r="B3" s="20"/>
      <c r="C3" s="98" t="s">
        <v>222</v>
      </c>
      <c r="D3" s="99"/>
      <c r="E3" s="99"/>
      <c r="F3" s="99"/>
      <c r="G3" s="100" t="s">
        <v>223</v>
      </c>
      <c r="H3" s="99"/>
      <c r="I3" s="99"/>
      <c r="J3" s="99"/>
      <c r="K3" s="20"/>
      <c r="L3" s="20"/>
      <c r="M3" s="20"/>
      <c r="N3" s="20"/>
      <c r="O3" s="20"/>
      <c r="P3" s="30"/>
      <c r="Q3" s="20"/>
      <c r="R3" s="20"/>
      <c r="S3" s="20"/>
      <c r="T3" s="20"/>
    </row>
    <row r="4" spans="1:21" ht="46.5" customHeight="1">
      <c r="A4" s="23" t="s">
        <v>83</v>
      </c>
      <c r="B4" s="17" t="s">
        <v>224</v>
      </c>
      <c r="C4" s="17" t="s">
        <v>222</v>
      </c>
      <c r="D4" s="3" t="s">
        <v>225</v>
      </c>
      <c r="E4" s="3" t="s">
        <v>226</v>
      </c>
      <c r="F4" s="3" t="s">
        <v>227</v>
      </c>
      <c r="G4" s="3" t="s">
        <v>228</v>
      </c>
      <c r="H4" s="17" t="s">
        <v>229</v>
      </c>
      <c r="I4" s="17" t="s">
        <v>230</v>
      </c>
      <c r="J4" s="17" t="s">
        <v>231</v>
      </c>
      <c r="K4" s="17" t="s">
        <v>232</v>
      </c>
      <c r="L4" s="17" t="s">
        <v>233</v>
      </c>
      <c r="M4" s="17" t="s">
        <v>234</v>
      </c>
      <c r="N4" s="17" t="s">
        <v>235</v>
      </c>
      <c r="O4" s="17" t="s">
        <v>236</v>
      </c>
      <c r="P4" s="31" t="s">
        <v>237</v>
      </c>
      <c r="Q4" s="23" t="s">
        <v>238</v>
      </c>
      <c r="R4" s="23" t="s">
        <v>239</v>
      </c>
      <c r="S4" s="23" t="s">
        <v>240</v>
      </c>
      <c r="T4" s="74" t="s">
        <v>241</v>
      </c>
      <c r="U4" s="17" t="s">
        <v>242</v>
      </c>
    </row>
    <row r="5" spans="1:21">
      <c r="A5" s="20" t="s">
        <v>89</v>
      </c>
      <c r="B5">
        <v>0</v>
      </c>
      <c r="C5">
        <v>0</v>
      </c>
      <c r="H5">
        <v>0</v>
      </c>
      <c r="I5">
        <v>0</v>
      </c>
      <c r="K5">
        <f t="shared" ref="K5:K30" si="0">B5+C5-H5-I5</f>
        <v>0</v>
      </c>
      <c r="L5">
        <f t="shared" ref="L5:L30" si="1">B5+C5-H5</f>
        <v>0</v>
      </c>
      <c r="M5">
        <f t="shared" ref="M5:M30" si="2">L5-B5</f>
        <v>0</v>
      </c>
      <c r="N5">
        <f t="shared" ref="N5:N30" si="3">C5</f>
        <v>0</v>
      </c>
      <c r="O5">
        <v>0</v>
      </c>
      <c r="P5" s="29">
        <f t="shared" ref="P5:P30" si="4">O5*K5</f>
        <v>0</v>
      </c>
      <c r="R5">
        <v>0</v>
      </c>
      <c r="S5">
        <f t="shared" ref="S5:S30" si="5">O5*M5</f>
        <v>0</v>
      </c>
      <c r="T5">
        <f t="shared" ref="T5:T30" si="6">O5*N5</f>
        <v>0</v>
      </c>
    </row>
    <row r="6" spans="1:21">
      <c r="A6" s="20" t="s">
        <v>90</v>
      </c>
      <c r="B6">
        <v>0</v>
      </c>
      <c r="C6">
        <v>0</v>
      </c>
      <c r="H6">
        <v>0</v>
      </c>
      <c r="I6">
        <v>0</v>
      </c>
      <c r="K6">
        <f t="shared" si="0"/>
        <v>0</v>
      </c>
      <c r="L6">
        <f t="shared" si="1"/>
        <v>0</v>
      </c>
      <c r="M6">
        <f t="shared" si="2"/>
        <v>0</v>
      </c>
      <c r="N6">
        <f t="shared" si="3"/>
        <v>0</v>
      </c>
      <c r="O6">
        <v>0</v>
      </c>
      <c r="P6" s="29">
        <f t="shared" si="4"/>
        <v>0</v>
      </c>
      <c r="R6">
        <v>0</v>
      </c>
      <c r="S6">
        <f t="shared" si="5"/>
        <v>0</v>
      </c>
      <c r="T6">
        <f t="shared" si="6"/>
        <v>0</v>
      </c>
    </row>
    <row r="7" spans="1:21">
      <c r="A7" t="s">
        <v>91</v>
      </c>
      <c r="B7">
        <v>2</v>
      </c>
      <c r="C7">
        <v>0</v>
      </c>
      <c r="H7">
        <v>0</v>
      </c>
      <c r="I7">
        <v>0</v>
      </c>
      <c r="K7">
        <f t="shared" si="0"/>
        <v>2</v>
      </c>
      <c r="L7">
        <f t="shared" si="1"/>
        <v>2</v>
      </c>
      <c r="M7">
        <f t="shared" si="2"/>
        <v>0</v>
      </c>
      <c r="N7">
        <f t="shared" si="3"/>
        <v>0</v>
      </c>
      <c r="O7" s="28">
        <f>80/240</f>
        <v>0.33333333333333331</v>
      </c>
      <c r="P7" s="29">
        <f t="shared" si="4"/>
        <v>0.66666666666666663</v>
      </c>
      <c r="R7">
        <v>0</v>
      </c>
      <c r="S7">
        <f t="shared" si="5"/>
        <v>0</v>
      </c>
      <c r="T7">
        <f t="shared" si="6"/>
        <v>0</v>
      </c>
    </row>
    <row r="8" spans="1:21">
      <c r="A8" t="s">
        <v>243</v>
      </c>
      <c r="B8">
        <v>0</v>
      </c>
      <c r="C8">
        <v>0</v>
      </c>
      <c r="H8">
        <v>0</v>
      </c>
      <c r="I8">
        <v>0</v>
      </c>
      <c r="K8">
        <f t="shared" si="0"/>
        <v>0</v>
      </c>
      <c r="L8">
        <f t="shared" si="1"/>
        <v>0</v>
      </c>
      <c r="M8">
        <f t="shared" si="2"/>
        <v>0</v>
      </c>
      <c r="N8">
        <f t="shared" si="3"/>
        <v>0</v>
      </c>
      <c r="O8">
        <v>0</v>
      </c>
      <c r="P8" s="29">
        <f t="shared" si="4"/>
        <v>0</v>
      </c>
      <c r="R8">
        <v>0</v>
      </c>
      <c r="S8">
        <f t="shared" si="5"/>
        <v>0</v>
      </c>
      <c r="T8">
        <f t="shared" si="6"/>
        <v>0</v>
      </c>
    </row>
    <row r="9" spans="1:21">
      <c r="A9" t="s">
        <v>92</v>
      </c>
      <c r="B9">
        <v>0</v>
      </c>
      <c r="C9">
        <v>0</v>
      </c>
      <c r="H9">
        <v>0</v>
      </c>
      <c r="I9">
        <v>0</v>
      </c>
      <c r="K9">
        <f t="shared" si="0"/>
        <v>0</v>
      </c>
      <c r="L9">
        <f t="shared" si="1"/>
        <v>0</v>
      </c>
      <c r="M9">
        <f t="shared" si="2"/>
        <v>0</v>
      </c>
      <c r="N9">
        <f t="shared" si="3"/>
        <v>0</v>
      </c>
      <c r="O9">
        <v>0</v>
      </c>
      <c r="P9" s="29">
        <f t="shared" si="4"/>
        <v>0</v>
      </c>
      <c r="R9">
        <v>0</v>
      </c>
      <c r="S9">
        <f t="shared" si="5"/>
        <v>0</v>
      </c>
      <c r="T9">
        <f t="shared" si="6"/>
        <v>0</v>
      </c>
    </row>
    <row r="10" spans="1:21">
      <c r="A10" t="s">
        <v>93</v>
      </c>
      <c r="B10">
        <v>0</v>
      </c>
      <c r="C10">
        <v>0</v>
      </c>
      <c r="H10">
        <v>0</v>
      </c>
      <c r="I10">
        <v>0</v>
      </c>
      <c r="K10">
        <f t="shared" si="0"/>
        <v>0</v>
      </c>
      <c r="L10">
        <f t="shared" si="1"/>
        <v>0</v>
      </c>
      <c r="M10">
        <f t="shared" si="2"/>
        <v>0</v>
      </c>
      <c r="N10">
        <f t="shared" si="3"/>
        <v>0</v>
      </c>
      <c r="O10">
        <v>0</v>
      </c>
      <c r="P10" s="29">
        <f t="shared" si="4"/>
        <v>0</v>
      </c>
      <c r="R10">
        <v>0</v>
      </c>
      <c r="S10">
        <f t="shared" si="5"/>
        <v>0</v>
      </c>
      <c r="T10">
        <f t="shared" si="6"/>
        <v>0</v>
      </c>
    </row>
    <row r="11" spans="1:21">
      <c r="A11" t="s">
        <v>94</v>
      </c>
      <c r="B11">
        <v>0</v>
      </c>
      <c r="C11">
        <v>0</v>
      </c>
      <c r="H11">
        <v>0</v>
      </c>
      <c r="I11">
        <v>0</v>
      </c>
      <c r="K11">
        <f t="shared" si="0"/>
        <v>0</v>
      </c>
      <c r="L11">
        <f t="shared" si="1"/>
        <v>0</v>
      </c>
      <c r="M11">
        <f t="shared" si="2"/>
        <v>0</v>
      </c>
      <c r="N11">
        <f t="shared" si="3"/>
        <v>0</v>
      </c>
      <c r="O11">
        <v>0</v>
      </c>
      <c r="P11" s="29">
        <f t="shared" si="4"/>
        <v>0</v>
      </c>
      <c r="R11">
        <v>0</v>
      </c>
      <c r="S11">
        <f t="shared" si="5"/>
        <v>0</v>
      </c>
      <c r="T11">
        <f t="shared" si="6"/>
        <v>0</v>
      </c>
    </row>
    <row r="12" spans="1:21">
      <c r="A12" t="s">
        <v>95</v>
      </c>
      <c r="B12">
        <v>12</v>
      </c>
      <c r="C12">
        <v>0</v>
      </c>
      <c r="H12">
        <v>0</v>
      </c>
      <c r="I12">
        <v>0</v>
      </c>
      <c r="K12">
        <f t="shared" si="0"/>
        <v>12</v>
      </c>
      <c r="L12">
        <f t="shared" si="1"/>
        <v>12</v>
      </c>
      <c r="M12">
        <f t="shared" si="2"/>
        <v>0</v>
      </c>
      <c r="N12">
        <f t="shared" si="3"/>
        <v>0</v>
      </c>
      <c r="O12" s="28">
        <f>160/240</f>
        <v>0.66666666666666663</v>
      </c>
      <c r="P12" s="29">
        <f t="shared" si="4"/>
        <v>8</v>
      </c>
      <c r="R12">
        <v>0</v>
      </c>
      <c r="S12">
        <f t="shared" si="5"/>
        <v>0</v>
      </c>
      <c r="T12">
        <f t="shared" si="6"/>
        <v>0</v>
      </c>
    </row>
    <row r="13" spans="1:21">
      <c r="A13" t="s">
        <v>96</v>
      </c>
      <c r="B13">
        <v>0</v>
      </c>
      <c r="C13">
        <v>0</v>
      </c>
      <c r="H13">
        <v>0</v>
      </c>
      <c r="I13">
        <v>0</v>
      </c>
      <c r="K13">
        <f t="shared" si="0"/>
        <v>0</v>
      </c>
      <c r="L13">
        <f t="shared" si="1"/>
        <v>0</v>
      </c>
      <c r="M13">
        <f t="shared" si="2"/>
        <v>0</v>
      </c>
      <c r="N13">
        <f t="shared" si="3"/>
        <v>0</v>
      </c>
      <c r="O13">
        <v>0</v>
      </c>
      <c r="P13" s="29">
        <f t="shared" si="4"/>
        <v>0</v>
      </c>
      <c r="R13">
        <v>0</v>
      </c>
      <c r="S13">
        <f t="shared" si="5"/>
        <v>0</v>
      </c>
      <c r="T13">
        <f t="shared" si="6"/>
        <v>0</v>
      </c>
    </row>
    <row r="14" spans="1:21">
      <c r="A14" t="s">
        <v>97</v>
      </c>
      <c r="B14">
        <v>0</v>
      </c>
      <c r="C14">
        <v>0</v>
      </c>
      <c r="H14">
        <v>0</v>
      </c>
      <c r="I14">
        <v>0</v>
      </c>
      <c r="K14">
        <f t="shared" si="0"/>
        <v>0</v>
      </c>
      <c r="L14">
        <f t="shared" si="1"/>
        <v>0</v>
      </c>
      <c r="M14">
        <f t="shared" si="2"/>
        <v>0</v>
      </c>
      <c r="N14">
        <f t="shared" si="3"/>
        <v>0</v>
      </c>
      <c r="O14">
        <v>0</v>
      </c>
      <c r="P14" s="29">
        <f t="shared" si="4"/>
        <v>0</v>
      </c>
      <c r="R14">
        <v>0.7</v>
      </c>
      <c r="S14">
        <f t="shared" si="5"/>
        <v>0</v>
      </c>
      <c r="T14">
        <f t="shared" si="6"/>
        <v>0</v>
      </c>
    </row>
    <row r="15" spans="1:21">
      <c r="A15" t="s">
        <v>98</v>
      </c>
      <c r="B15">
        <v>0</v>
      </c>
      <c r="C15">
        <v>0</v>
      </c>
      <c r="H15">
        <v>0</v>
      </c>
      <c r="I15">
        <v>0</v>
      </c>
      <c r="K15">
        <f t="shared" si="0"/>
        <v>0</v>
      </c>
      <c r="L15">
        <f t="shared" si="1"/>
        <v>0</v>
      </c>
      <c r="M15">
        <f t="shared" si="2"/>
        <v>0</v>
      </c>
      <c r="N15">
        <f t="shared" si="3"/>
        <v>0</v>
      </c>
      <c r="O15">
        <v>0</v>
      </c>
      <c r="P15" s="29">
        <f t="shared" si="4"/>
        <v>0</v>
      </c>
      <c r="R15">
        <v>0</v>
      </c>
      <c r="S15">
        <f t="shared" si="5"/>
        <v>0</v>
      </c>
      <c r="T15">
        <f t="shared" si="6"/>
        <v>0</v>
      </c>
    </row>
    <row r="16" spans="1:21">
      <c r="A16" t="s">
        <v>99</v>
      </c>
      <c r="B16">
        <v>0</v>
      </c>
      <c r="C16">
        <v>0</v>
      </c>
      <c r="H16">
        <v>0</v>
      </c>
      <c r="I16">
        <v>0</v>
      </c>
      <c r="K16">
        <f t="shared" si="0"/>
        <v>0</v>
      </c>
      <c r="L16">
        <f t="shared" si="1"/>
        <v>0</v>
      </c>
      <c r="M16">
        <f t="shared" si="2"/>
        <v>0</v>
      </c>
      <c r="N16">
        <f t="shared" si="3"/>
        <v>0</v>
      </c>
      <c r="O16">
        <v>0</v>
      </c>
      <c r="P16" s="29">
        <f t="shared" si="4"/>
        <v>0</v>
      </c>
      <c r="R16">
        <v>0</v>
      </c>
      <c r="S16">
        <f t="shared" si="5"/>
        <v>0</v>
      </c>
      <c r="T16">
        <f t="shared" si="6"/>
        <v>0</v>
      </c>
    </row>
    <row r="17" spans="1:20">
      <c r="A17" t="s">
        <v>100</v>
      </c>
      <c r="B17">
        <v>0</v>
      </c>
      <c r="C17">
        <v>0</v>
      </c>
      <c r="H17">
        <v>0</v>
      </c>
      <c r="I17">
        <v>0</v>
      </c>
      <c r="K17">
        <f t="shared" si="0"/>
        <v>0</v>
      </c>
      <c r="L17">
        <f t="shared" si="1"/>
        <v>0</v>
      </c>
      <c r="M17">
        <f t="shared" si="2"/>
        <v>0</v>
      </c>
      <c r="N17">
        <f t="shared" si="3"/>
        <v>0</v>
      </c>
      <c r="O17">
        <v>0</v>
      </c>
      <c r="P17" s="29">
        <f t="shared" si="4"/>
        <v>0</v>
      </c>
      <c r="R17">
        <v>0</v>
      </c>
      <c r="S17">
        <f t="shared" si="5"/>
        <v>0</v>
      </c>
      <c r="T17">
        <f t="shared" si="6"/>
        <v>0</v>
      </c>
    </row>
    <row r="18" spans="1:20">
      <c r="A18" t="s">
        <v>101</v>
      </c>
      <c r="B18">
        <v>0</v>
      </c>
      <c r="C18">
        <v>0</v>
      </c>
      <c r="H18">
        <v>0</v>
      </c>
      <c r="I18">
        <v>0</v>
      </c>
      <c r="K18">
        <f t="shared" si="0"/>
        <v>0</v>
      </c>
      <c r="L18">
        <f t="shared" si="1"/>
        <v>0</v>
      </c>
      <c r="M18">
        <f t="shared" si="2"/>
        <v>0</v>
      </c>
      <c r="N18">
        <f t="shared" si="3"/>
        <v>0</v>
      </c>
      <c r="O18">
        <v>0</v>
      </c>
      <c r="P18" s="29">
        <f t="shared" si="4"/>
        <v>0</v>
      </c>
      <c r="R18">
        <v>0</v>
      </c>
      <c r="S18">
        <f t="shared" si="5"/>
        <v>0</v>
      </c>
      <c r="T18">
        <f t="shared" si="6"/>
        <v>0</v>
      </c>
    </row>
    <row r="19" spans="1:20">
      <c r="A19" t="s">
        <v>102</v>
      </c>
      <c r="B19">
        <v>300</v>
      </c>
      <c r="C19">
        <v>0</v>
      </c>
      <c r="H19">
        <v>0</v>
      </c>
      <c r="I19">
        <v>0</v>
      </c>
      <c r="K19">
        <f t="shared" si="0"/>
        <v>300</v>
      </c>
      <c r="L19">
        <f t="shared" si="1"/>
        <v>300</v>
      </c>
      <c r="M19">
        <f t="shared" si="2"/>
        <v>0</v>
      </c>
      <c r="N19">
        <f t="shared" si="3"/>
        <v>0</v>
      </c>
      <c r="O19" s="28">
        <f>22/240</f>
        <v>9.166666666666666E-2</v>
      </c>
      <c r="P19" s="29">
        <f t="shared" si="4"/>
        <v>27.499999999999996</v>
      </c>
      <c r="R19">
        <v>0</v>
      </c>
      <c r="S19">
        <f t="shared" si="5"/>
        <v>0</v>
      </c>
      <c r="T19">
        <f t="shared" si="6"/>
        <v>0</v>
      </c>
    </row>
    <row r="20" spans="1:20">
      <c r="A20" t="s">
        <v>103</v>
      </c>
      <c r="B20">
        <v>0</v>
      </c>
      <c r="C20">
        <v>0</v>
      </c>
      <c r="H20">
        <v>0</v>
      </c>
      <c r="I20">
        <v>0</v>
      </c>
      <c r="K20">
        <f t="shared" si="0"/>
        <v>0</v>
      </c>
      <c r="L20">
        <f t="shared" si="1"/>
        <v>0</v>
      </c>
      <c r="M20">
        <f t="shared" si="2"/>
        <v>0</v>
      </c>
      <c r="N20">
        <f t="shared" si="3"/>
        <v>0</v>
      </c>
      <c r="O20">
        <v>0</v>
      </c>
      <c r="P20" s="29">
        <f t="shared" si="4"/>
        <v>0</v>
      </c>
      <c r="R20">
        <v>0</v>
      </c>
      <c r="S20">
        <f t="shared" si="5"/>
        <v>0</v>
      </c>
      <c r="T20">
        <f t="shared" si="6"/>
        <v>0</v>
      </c>
    </row>
    <row r="21" spans="1:20">
      <c r="A21" t="s">
        <v>104</v>
      </c>
      <c r="B21">
        <v>0</v>
      </c>
      <c r="C21">
        <v>0</v>
      </c>
      <c r="H21">
        <v>0</v>
      </c>
      <c r="I21">
        <v>0</v>
      </c>
      <c r="K21">
        <f t="shared" si="0"/>
        <v>0</v>
      </c>
      <c r="L21">
        <f t="shared" si="1"/>
        <v>0</v>
      </c>
      <c r="M21">
        <f t="shared" si="2"/>
        <v>0</v>
      </c>
      <c r="N21">
        <f t="shared" si="3"/>
        <v>0</v>
      </c>
      <c r="O21">
        <v>0</v>
      </c>
      <c r="P21" s="29">
        <f t="shared" si="4"/>
        <v>0</v>
      </c>
      <c r="Q21">
        <v>0</v>
      </c>
      <c r="R21">
        <v>0</v>
      </c>
      <c r="S21">
        <f t="shared" si="5"/>
        <v>0</v>
      </c>
      <c r="T21">
        <f t="shared" si="6"/>
        <v>0</v>
      </c>
    </row>
    <row r="22" spans="1:20">
      <c r="A22" t="s">
        <v>105</v>
      </c>
      <c r="B22">
        <v>0</v>
      </c>
      <c r="C22">
        <v>0</v>
      </c>
      <c r="H22">
        <v>0</v>
      </c>
      <c r="I22">
        <v>0</v>
      </c>
      <c r="K22">
        <f t="shared" si="0"/>
        <v>0</v>
      </c>
      <c r="L22">
        <f t="shared" si="1"/>
        <v>0</v>
      </c>
      <c r="M22">
        <f t="shared" si="2"/>
        <v>0</v>
      </c>
      <c r="N22">
        <f t="shared" si="3"/>
        <v>0</v>
      </c>
      <c r="O22">
        <v>0</v>
      </c>
      <c r="P22" s="29">
        <f t="shared" si="4"/>
        <v>0</v>
      </c>
      <c r="R22">
        <v>0</v>
      </c>
      <c r="S22">
        <f t="shared" si="5"/>
        <v>0</v>
      </c>
      <c r="T22">
        <f t="shared" si="6"/>
        <v>0</v>
      </c>
    </row>
    <row r="23" spans="1:20">
      <c r="A23" t="s">
        <v>106</v>
      </c>
      <c r="B23">
        <v>0</v>
      </c>
      <c r="C23">
        <v>0</v>
      </c>
      <c r="H23">
        <v>0</v>
      </c>
      <c r="I23">
        <v>0</v>
      </c>
      <c r="K23">
        <f t="shared" si="0"/>
        <v>0</v>
      </c>
      <c r="L23">
        <f t="shared" si="1"/>
        <v>0</v>
      </c>
      <c r="M23">
        <f t="shared" si="2"/>
        <v>0</v>
      </c>
      <c r="N23">
        <f t="shared" si="3"/>
        <v>0</v>
      </c>
      <c r="O23">
        <v>0</v>
      </c>
      <c r="P23" s="29">
        <f t="shared" si="4"/>
        <v>0</v>
      </c>
      <c r="R23">
        <v>0</v>
      </c>
      <c r="S23">
        <f t="shared" si="5"/>
        <v>0</v>
      </c>
      <c r="T23">
        <f t="shared" si="6"/>
        <v>0</v>
      </c>
    </row>
    <row r="24" spans="1:20">
      <c r="A24" t="s">
        <v>107</v>
      </c>
      <c r="B24">
        <v>0</v>
      </c>
      <c r="C24">
        <v>0</v>
      </c>
      <c r="H24">
        <v>0</v>
      </c>
      <c r="I24">
        <v>0</v>
      </c>
      <c r="K24">
        <f t="shared" si="0"/>
        <v>0</v>
      </c>
      <c r="L24">
        <f t="shared" si="1"/>
        <v>0</v>
      </c>
      <c r="M24">
        <f t="shared" si="2"/>
        <v>0</v>
      </c>
      <c r="N24">
        <f t="shared" si="3"/>
        <v>0</v>
      </c>
      <c r="O24">
        <v>0</v>
      </c>
      <c r="P24" s="29">
        <f t="shared" si="4"/>
        <v>0</v>
      </c>
      <c r="R24">
        <v>0</v>
      </c>
      <c r="S24">
        <f t="shared" si="5"/>
        <v>0</v>
      </c>
      <c r="T24">
        <f t="shared" si="6"/>
        <v>0</v>
      </c>
    </row>
    <row r="25" spans="1:20">
      <c r="A25" t="s">
        <v>108</v>
      </c>
      <c r="B25">
        <v>0</v>
      </c>
      <c r="C25">
        <v>0</v>
      </c>
      <c r="H25">
        <v>0</v>
      </c>
      <c r="I25">
        <v>0</v>
      </c>
      <c r="K25">
        <f t="shared" si="0"/>
        <v>0</v>
      </c>
      <c r="L25">
        <f t="shared" si="1"/>
        <v>0</v>
      </c>
      <c r="M25">
        <f t="shared" si="2"/>
        <v>0</v>
      </c>
      <c r="N25">
        <f t="shared" si="3"/>
        <v>0</v>
      </c>
      <c r="O25">
        <v>0</v>
      </c>
      <c r="P25" s="29">
        <f t="shared" si="4"/>
        <v>0</v>
      </c>
      <c r="R25">
        <v>0</v>
      </c>
      <c r="S25">
        <f t="shared" si="5"/>
        <v>0</v>
      </c>
      <c r="T25">
        <f t="shared" si="6"/>
        <v>0</v>
      </c>
    </row>
    <row r="26" spans="1:20">
      <c r="A26" t="s">
        <v>109</v>
      </c>
      <c r="B26">
        <v>0</v>
      </c>
      <c r="C26">
        <v>0</v>
      </c>
      <c r="H26">
        <v>0</v>
      </c>
      <c r="I26">
        <v>0</v>
      </c>
      <c r="K26">
        <f t="shared" si="0"/>
        <v>0</v>
      </c>
      <c r="L26">
        <f t="shared" si="1"/>
        <v>0</v>
      </c>
      <c r="M26">
        <f t="shared" si="2"/>
        <v>0</v>
      </c>
      <c r="N26">
        <f t="shared" si="3"/>
        <v>0</v>
      </c>
      <c r="O26">
        <v>0</v>
      </c>
      <c r="P26" s="29">
        <f t="shared" si="4"/>
        <v>0</v>
      </c>
      <c r="R26">
        <v>0</v>
      </c>
      <c r="S26">
        <f t="shared" si="5"/>
        <v>0</v>
      </c>
      <c r="T26">
        <f t="shared" si="6"/>
        <v>0</v>
      </c>
    </row>
    <row r="27" spans="1:20">
      <c r="A27" t="s">
        <v>110</v>
      </c>
      <c r="B27">
        <v>0</v>
      </c>
      <c r="C27">
        <v>0</v>
      </c>
      <c r="H27">
        <v>0</v>
      </c>
      <c r="I27">
        <v>0</v>
      </c>
      <c r="K27">
        <f t="shared" si="0"/>
        <v>0</v>
      </c>
      <c r="L27">
        <f t="shared" si="1"/>
        <v>0</v>
      </c>
      <c r="M27">
        <f t="shared" si="2"/>
        <v>0</v>
      </c>
      <c r="N27">
        <f t="shared" si="3"/>
        <v>0</v>
      </c>
      <c r="O27">
        <v>0</v>
      </c>
      <c r="P27" s="29">
        <f t="shared" si="4"/>
        <v>0</v>
      </c>
      <c r="R27">
        <v>0</v>
      </c>
      <c r="S27">
        <f t="shared" si="5"/>
        <v>0</v>
      </c>
      <c r="T27">
        <f t="shared" si="6"/>
        <v>0</v>
      </c>
    </row>
    <row r="28" spans="1:20">
      <c r="A28" t="s">
        <v>111</v>
      </c>
      <c r="B28">
        <v>0</v>
      </c>
      <c r="C28">
        <v>0</v>
      </c>
      <c r="H28">
        <v>0</v>
      </c>
      <c r="I28">
        <v>0</v>
      </c>
      <c r="K28">
        <f t="shared" si="0"/>
        <v>0</v>
      </c>
      <c r="L28">
        <f t="shared" si="1"/>
        <v>0</v>
      </c>
      <c r="M28">
        <f t="shared" si="2"/>
        <v>0</v>
      </c>
      <c r="N28">
        <f t="shared" si="3"/>
        <v>0</v>
      </c>
      <c r="O28">
        <v>0</v>
      </c>
      <c r="P28" s="29">
        <f t="shared" si="4"/>
        <v>0</v>
      </c>
      <c r="R28">
        <v>0</v>
      </c>
      <c r="S28">
        <f t="shared" si="5"/>
        <v>0</v>
      </c>
      <c r="T28">
        <f t="shared" si="6"/>
        <v>0</v>
      </c>
    </row>
    <row r="29" spans="1:20">
      <c r="A29" t="s">
        <v>112</v>
      </c>
      <c r="B29">
        <v>0</v>
      </c>
      <c r="C29">
        <v>0</v>
      </c>
      <c r="H29">
        <v>0</v>
      </c>
      <c r="I29">
        <v>0</v>
      </c>
      <c r="K29">
        <f t="shared" si="0"/>
        <v>0</v>
      </c>
      <c r="L29">
        <f t="shared" si="1"/>
        <v>0</v>
      </c>
      <c r="M29">
        <f t="shared" si="2"/>
        <v>0</v>
      </c>
      <c r="N29">
        <f t="shared" si="3"/>
        <v>0</v>
      </c>
      <c r="O29">
        <v>0</v>
      </c>
      <c r="P29" s="29">
        <f t="shared" si="4"/>
        <v>0</v>
      </c>
      <c r="R29">
        <v>0</v>
      </c>
      <c r="S29">
        <f t="shared" si="5"/>
        <v>0</v>
      </c>
      <c r="T29">
        <f t="shared" si="6"/>
        <v>0</v>
      </c>
    </row>
    <row r="30" spans="1:20">
      <c r="A30" t="s">
        <v>113</v>
      </c>
      <c r="B30">
        <v>0</v>
      </c>
      <c r="C30">
        <v>0</v>
      </c>
      <c r="H30">
        <v>0</v>
      </c>
      <c r="I30">
        <v>0</v>
      </c>
      <c r="K30">
        <f t="shared" si="0"/>
        <v>0</v>
      </c>
      <c r="L30">
        <f t="shared" si="1"/>
        <v>0</v>
      </c>
      <c r="M30">
        <f t="shared" si="2"/>
        <v>0</v>
      </c>
      <c r="N30">
        <f t="shared" si="3"/>
        <v>0</v>
      </c>
      <c r="O30">
        <v>0</v>
      </c>
      <c r="P30" s="29">
        <f t="shared" si="4"/>
        <v>0</v>
      </c>
      <c r="R30">
        <v>0</v>
      </c>
      <c r="S30">
        <f t="shared" si="5"/>
        <v>0</v>
      </c>
      <c r="T30">
        <f t="shared" si="6"/>
        <v>0</v>
      </c>
    </row>
    <row r="31" spans="1:20" ht="15.5" customHeight="1">
      <c r="A31" s="24" t="s">
        <v>244</v>
      </c>
    </row>
    <row r="34" spans="1:9" ht="15.5" customHeight="1">
      <c r="A34" s="23" t="s">
        <v>116</v>
      </c>
      <c r="B34">
        <v>0</v>
      </c>
      <c r="C34">
        <v>0</v>
      </c>
      <c r="H34">
        <v>0</v>
      </c>
      <c r="I34">
        <v>0</v>
      </c>
    </row>
    <row r="35" spans="1:9">
      <c r="A35" t="s">
        <v>118</v>
      </c>
      <c r="B35">
        <v>0</v>
      </c>
      <c r="C35">
        <v>0</v>
      </c>
      <c r="H35">
        <v>0</v>
      </c>
      <c r="I35">
        <v>0</v>
      </c>
    </row>
    <row r="36" spans="1:9">
      <c r="A36" t="s">
        <v>119</v>
      </c>
      <c r="B36">
        <v>0</v>
      </c>
      <c r="C36">
        <v>0</v>
      </c>
      <c r="H36">
        <v>0</v>
      </c>
      <c r="I36">
        <v>0</v>
      </c>
    </row>
    <row r="37" spans="1:9">
      <c r="A37" t="s">
        <v>120</v>
      </c>
      <c r="B37">
        <v>0</v>
      </c>
      <c r="C37">
        <v>0</v>
      </c>
      <c r="H37">
        <v>0</v>
      </c>
      <c r="I37">
        <v>0</v>
      </c>
    </row>
    <row r="38" spans="1:9">
      <c r="A38" t="s">
        <v>121</v>
      </c>
      <c r="B38">
        <v>0</v>
      </c>
      <c r="C38">
        <v>0</v>
      </c>
      <c r="H38">
        <v>0</v>
      </c>
      <c r="I38">
        <v>0</v>
      </c>
    </row>
    <row r="39" spans="1:9" ht="15.5" customHeight="1">
      <c r="A39" s="24" t="s">
        <v>245</v>
      </c>
      <c r="B39">
        <v>0</v>
      </c>
      <c r="C39">
        <v>0</v>
      </c>
      <c r="H39">
        <v>0</v>
      </c>
      <c r="I39">
        <v>0</v>
      </c>
    </row>
    <row r="40" spans="1:9">
      <c r="B40">
        <v>0</v>
      </c>
      <c r="C40">
        <v>0</v>
      </c>
      <c r="H40">
        <v>0</v>
      </c>
      <c r="I40">
        <v>0</v>
      </c>
    </row>
    <row r="41" spans="1:9">
      <c r="B41">
        <v>0</v>
      </c>
      <c r="C41">
        <v>0</v>
      </c>
      <c r="H41">
        <v>0</v>
      </c>
      <c r="I41">
        <v>0</v>
      </c>
    </row>
    <row r="42" spans="1:9" ht="15.5" customHeight="1">
      <c r="A42" s="23" t="s">
        <v>122</v>
      </c>
      <c r="B42">
        <v>0</v>
      </c>
      <c r="C42">
        <v>0</v>
      </c>
      <c r="H42">
        <v>0</v>
      </c>
      <c r="I42">
        <v>0</v>
      </c>
    </row>
    <row r="43" spans="1:9">
      <c r="A43" t="s">
        <v>123</v>
      </c>
      <c r="B43">
        <v>0</v>
      </c>
      <c r="C43">
        <v>0</v>
      </c>
      <c r="H43">
        <v>0</v>
      </c>
      <c r="I43">
        <v>0</v>
      </c>
    </row>
    <row r="44" spans="1:9">
      <c r="A44" t="s">
        <v>246</v>
      </c>
      <c r="B44">
        <v>0</v>
      </c>
      <c r="C44">
        <v>0</v>
      </c>
      <c r="H44">
        <v>0</v>
      </c>
      <c r="I44">
        <v>0</v>
      </c>
    </row>
    <row r="45" spans="1:9">
      <c r="A45" t="s">
        <v>247</v>
      </c>
      <c r="B45">
        <v>0</v>
      </c>
      <c r="C45">
        <v>0</v>
      </c>
      <c r="H45">
        <v>0</v>
      </c>
      <c r="I45">
        <v>0</v>
      </c>
    </row>
    <row r="46" spans="1:9">
      <c r="A46" t="s">
        <v>248</v>
      </c>
      <c r="B46">
        <v>0</v>
      </c>
      <c r="C46">
        <v>0</v>
      </c>
      <c r="H46">
        <v>0</v>
      </c>
      <c r="I46">
        <v>0</v>
      </c>
    </row>
    <row r="47" spans="1:9">
      <c r="A47" s="25" t="s">
        <v>249</v>
      </c>
      <c r="B47">
        <v>0</v>
      </c>
      <c r="C47">
        <v>0</v>
      </c>
      <c r="H47">
        <v>0</v>
      </c>
      <c r="I47">
        <v>0</v>
      </c>
    </row>
    <row r="48" spans="1:9">
      <c r="A48" t="s">
        <v>250</v>
      </c>
    </row>
    <row r="49" spans="1:9">
      <c r="A49" s="16" t="s">
        <v>251</v>
      </c>
    </row>
    <row r="50" spans="1:9">
      <c r="A50" s="16" t="s">
        <v>252</v>
      </c>
    </row>
    <row r="51" spans="1:9">
      <c r="A51" s="16" t="s">
        <v>253</v>
      </c>
    </row>
    <row r="52" spans="1:9">
      <c r="A52" s="16" t="s">
        <v>254</v>
      </c>
    </row>
    <row r="53" spans="1:9">
      <c r="A53" s="26" t="s">
        <v>255</v>
      </c>
      <c r="B53">
        <v>0</v>
      </c>
      <c r="C53">
        <v>0</v>
      </c>
      <c r="H53">
        <v>0</v>
      </c>
      <c r="I53">
        <v>0</v>
      </c>
    </row>
    <row r="54" spans="1:9">
      <c r="A54" s="19" t="s">
        <v>256</v>
      </c>
    </row>
    <row r="55" spans="1:9">
      <c r="A55" s="16" t="s">
        <v>251</v>
      </c>
    </row>
    <row r="56" spans="1:9">
      <c r="A56" s="16" t="s">
        <v>252</v>
      </c>
    </row>
    <row r="57" spans="1:9">
      <c r="A57" s="16" t="s">
        <v>253</v>
      </c>
    </row>
    <row r="58" spans="1:9">
      <c r="A58" s="16" t="s">
        <v>254</v>
      </c>
    </row>
    <row r="59" spans="1:9">
      <c r="A59" s="26" t="s">
        <v>257</v>
      </c>
      <c r="B59">
        <v>0</v>
      </c>
      <c r="C59">
        <v>0</v>
      </c>
      <c r="H59">
        <v>0</v>
      </c>
      <c r="I59">
        <v>0</v>
      </c>
    </row>
    <row r="60" spans="1:9">
      <c r="A60" t="s">
        <v>140</v>
      </c>
      <c r="B60">
        <v>0</v>
      </c>
      <c r="C60">
        <v>0</v>
      </c>
      <c r="H60">
        <v>0</v>
      </c>
      <c r="I60">
        <v>0</v>
      </c>
    </row>
    <row r="61" spans="1:9">
      <c r="A61" t="s">
        <v>141</v>
      </c>
      <c r="B61">
        <v>0</v>
      </c>
      <c r="C61">
        <v>0</v>
      </c>
      <c r="H61">
        <v>0</v>
      </c>
      <c r="I61">
        <v>0</v>
      </c>
    </row>
    <row r="62" spans="1:9">
      <c r="A62" t="s">
        <v>142</v>
      </c>
      <c r="B62">
        <v>0</v>
      </c>
      <c r="C62">
        <v>0</v>
      </c>
      <c r="H62">
        <v>0</v>
      </c>
      <c r="I62">
        <v>0</v>
      </c>
    </row>
    <row r="63" spans="1:9">
      <c r="A63" s="27" t="s">
        <v>258</v>
      </c>
    </row>
    <row r="66" spans="1:20" ht="15.5" customHeight="1">
      <c r="A66" s="23" t="s">
        <v>143</v>
      </c>
    </row>
    <row r="67" spans="1:20">
      <c r="A67" s="20" t="s">
        <v>144</v>
      </c>
      <c r="L67">
        <f>B67+C67-H67</f>
        <v>0</v>
      </c>
      <c r="M67">
        <f>L67-B67</f>
        <v>0</v>
      </c>
      <c r="N67">
        <f>C67</f>
        <v>0</v>
      </c>
      <c r="O67">
        <v>0</v>
      </c>
      <c r="Q67">
        <f>R67*K67</f>
        <v>0</v>
      </c>
      <c r="R67">
        <v>0</v>
      </c>
      <c r="S67">
        <f>O67*M67</f>
        <v>0</v>
      </c>
      <c r="T67">
        <f>O67*N67</f>
        <v>0</v>
      </c>
    </row>
    <row r="68" spans="1:20">
      <c r="A68" t="s">
        <v>145</v>
      </c>
      <c r="L68">
        <f>B68+C68-H68</f>
        <v>0</v>
      </c>
      <c r="M68">
        <f>L68-B68</f>
        <v>0</v>
      </c>
      <c r="N68">
        <f>C68</f>
        <v>0</v>
      </c>
      <c r="O68">
        <v>0</v>
      </c>
      <c r="Q68">
        <f>R68*K68</f>
        <v>0</v>
      </c>
      <c r="R68">
        <v>0</v>
      </c>
      <c r="S68">
        <f>O68*M68</f>
        <v>0</v>
      </c>
      <c r="T68">
        <f>O68*N68</f>
        <v>0</v>
      </c>
    </row>
    <row r="69" spans="1:20">
      <c r="A69" t="s">
        <v>146</v>
      </c>
      <c r="B69">
        <v>0</v>
      </c>
      <c r="C69">
        <v>6</v>
      </c>
      <c r="H69">
        <v>6</v>
      </c>
      <c r="K69">
        <v>0</v>
      </c>
      <c r="L69">
        <f>B69+C69-H69</f>
        <v>0</v>
      </c>
      <c r="M69">
        <f>L69-B69</f>
        <v>0</v>
      </c>
      <c r="N69">
        <f>C69</f>
        <v>6</v>
      </c>
      <c r="O69">
        <v>0</v>
      </c>
      <c r="Q69">
        <f>R69*K69</f>
        <v>0</v>
      </c>
      <c r="R69">
        <v>0</v>
      </c>
      <c r="S69">
        <f>O69*M69</f>
        <v>0</v>
      </c>
      <c r="T69">
        <f>O69*N69</f>
        <v>0</v>
      </c>
    </row>
    <row r="70" spans="1:20">
      <c r="A70" t="s">
        <v>147</v>
      </c>
      <c r="B70">
        <v>0</v>
      </c>
      <c r="F70">
        <v>28</v>
      </c>
      <c r="G70">
        <v>18</v>
      </c>
      <c r="H70">
        <v>10</v>
      </c>
      <c r="K70">
        <v>0</v>
      </c>
      <c r="L70">
        <f>B70+C70-H70</f>
        <v>-10</v>
      </c>
      <c r="M70">
        <f>L70-B70</f>
        <v>-10</v>
      </c>
      <c r="N70">
        <f>C70</f>
        <v>0</v>
      </c>
      <c r="O70">
        <v>0</v>
      </c>
      <c r="Q70">
        <f>R70*K70</f>
        <v>0</v>
      </c>
      <c r="R70">
        <v>0</v>
      </c>
      <c r="S70">
        <f>O70*M70</f>
        <v>0</v>
      </c>
      <c r="T70">
        <f>O70*N70</f>
        <v>0</v>
      </c>
    </row>
    <row r="71" spans="1:20">
      <c r="A71" s="27" t="s">
        <v>259</v>
      </c>
    </row>
    <row r="72" spans="1:20">
      <c r="A72" s="28" t="s">
        <v>260</v>
      </c>
    </row>
    <row r="74" spans="1:20" ht="15.5" customHeight="1">
      <c r="A74" s="3" t="s">
        <v>148</v>
      </c>
    </row>
    <row r="75" spans="1:20">
      <c r="A75" t="s">
        <v>149</v>
      </c>
      <c r="B75">
        <v>0</v>
      </c>
      <c r="C75">
        <v>0</v>
      </c>
      <c r="H75">
        <v>0</v>
      </c>
      <c r="I75">
        <v>0</v>
      </c>
      <c r="S75">
        <f>O75*M75</f>
        <v>0</v>
      </c>
      <c r="T75">
        <f>O75*N75</f>
        <v>0</v>
      </c>
    </row>
    <row r="76" spans="1:20">
      <c r="A76" t="s">
        <v>150</v>
      </c>
      <c r="B76">
        <v>0</v>
      </c>
      <c r="C76">
        <v>0</v>
      </c>
      <c r="H76">
        <v>0</v>
      </c>
      <c r="I76">
        <v>0</v>
      </c>
      <c r="S76">
        <f>O76*M76</f>
        <v>0</v>
      </c>
      <c r="T76">
        <f>O76*N76</f>
        <v>0</v>
      </c>
    </row>
    <row r="77" spans="1:20">
      <c r="A77" t="s">
        <v>151</v>
      </c>
      <c r="S77">
        <f>SUM(S75:S76)</f>
        <v>0</v>
      </c>
      <c r="T77">
        <f>SUM(T75:T76)</f>
        <v>0</v>
      </c>
    </row>
    <row r="78" spans="1:20">
      <c r="A78" s="27" t="s">
        <v>175</v>
      </c>
    </row>
    <row r="81" spans="1:20" ht="15.5" customHeight="1">
      <c r="A81" s="3" t="s">
        <v>261</v>
      </c>
    </row>
    <row r="82" spans="1:20">
      <c r="A82" t="s">
        <v>262</v>
      </c>
      <c r="B82">
        <v>0</v>
      </c>
      <c r="C82">
        <v>0</v>
      </c>
      <c r="H82">
        <v>0</v>
      </c>
      <c r="I82">
        <v>0</v>
      </c>
      <c r="S82">
        <f>O82*M82</f>
        <v>0</v>
      </c>
      <c r="T82">
        <f>O82*N82</f>
        <v>0</v>
      </c>
    </row>
    <row r="83" spans="1:20">
      <c r="A83" t="s">
        <v>263</v>
      </c>
      <c r="B83">
        <v>0</v>
      </c>
      <c r="C83">
        <v>0</v>
      </c>
      <c r="H83">
        <v>0</v>
      </c>
      <c r="I83">
        <v>0</v>
      </c>
      <c r="S83">
        <f>O83*M83</f>
        <v>0</v>
      </c>
      <c r="T83">
        <f>O83*N83</f>
        <v>0</v>
      </c>
    </row>
    <row r="84" spans="1:20">
      <c r="A84" t="s">
        <v>264</v>
      </c>
      <c r="B84">
        <v>0</v>
      </c>
      <c r="C84">
        <v>0</v>
      </c>
      <c r="H84">
        <v>0</v>
      </c>
      <c r="I84">
        <v>0</v>
      </c>
      <c r="S84">
        <f>O84*M84</f>
        <v>0</v>
      </c>
      <c r="T84">
        <f>O84*N84</f>
        <v>0</v>
      </c>
    </row>
    <row r="85" spans="1:20" ht="15.5" customHeight="1">
      <c r="A85" s="22" t="s">
        <v>258</v>
      </c>
    </row>
    <row r="87" spans="1:20" ht="15.5" customHeight="1">
      <c r="A87" s="3" t="s">
        <v>265</v>
      </c>
    </row>
    <row r="88" spans="1:20">
      <c r="A88" t="s">
        <v>266</v>
      </c>
      <c r="B88">
        <v>0</v>
      </c>
      <c r="C88">
        <v>0</v>
      </c>
      <c r="H88">
        <v>0</v>
      </c>
      <c r="I88">
        <v>0</v>
      </c>
      <c r="S88">
        <f>O88*M88</f>
        <v>0</v>
      </c>
      <c r="T88">
        <f>O88*N88</f>
        <v>0</v>
      </c>
    </row>
    <row r="89" spans="1:20">
      <c r="A89" t="s">
        <v>267</v>
      </c>
      <c r="B89">
        <v>0</v>
      </c>
      <c r="C89">
        <v>0</v>
      </c>
      <c r="H89">
        <v>0</v>
      </c>
      <c r="I89">
        <v>0</v>
      </c>
      <c r="S89">
        <f>O89*M89</f>
        <v>0</v>
      </c>
      <c r="T89">
        <f>O89*N89</f>
        <v>0</v>
      </c>
    </row>
    <row r="90" spans="1:20" ht="15.5" customHeight="1">
      <c r="A90" s="22" t="s">
        <v>175</v>
      </c>
    </row>
    <row r="92" spans="1:20" ht="15.5" customHeight="1">
      <c r="A92" s="3" t="s">
        <v>154</v>
      </c>
    </row>
    <row r="93" spans="1:20">
      <c r="A93" t="s">
        <v>154</v>
      </c>
      <c r="B93">
        <v>0</v>
      </c>
      <c r="C93">
        <v>0</v>
      </c>
      <c r="H93">
        <v>0</v>
      </c>
      <c r="I93">
        <v>0</v>
      </c>
      <c r="S93">
        <f>O93*M93</f>
        <v>0</v>
      </c>
      <c r="T93">
        <f>O93*N93</f>
        <v>0</v>
      </c>
    </row>
    <row r="94" spans="1:20" ht="15.5" customHeight="1">
      <c r="A94" s="22" t="s">
        <v>175</v>
      </c>
    </row>
    <row r="95" spans="1:20" ht="15.5" customHeight="1">
      <c r="A95" s="4"/>
    </row>
    <row r="96" spans="1:20" ht="15.5" customHeight="1">
      <c r="A96" s="22" t="s">
        <v>268</v>
      </c>
    </row>
    <row r="99" spans="1:9" ht="15.5" customHeight="1">
      <c r="A99" s="3" t="s">
        <v>269</v>
      </c>
      <c r="B99">
        <v>0</v>
      </c>
      <c r="C99">
        <v>0</v>
      </c>
      <c r="H99">
        <v>0</v>
      </c>
      <c r="I99">
        <v>0</v>
      </c>
    </row>
    <row r="102" spans="1:9" ht="15.5" customHeight="1">
      <c r="A102" s="4" t="s">
        <v>270</v>
      </c>
    </row>
    <row r="103" spans="1:9" ht="15.5" customHeight="1">
      <c r="A103" s="3" t="s">
        <v>271</v>
      </c>
    </row>
    <row r="104" spans="1:9">
      <c r="A104" t="s">
        <v>272</v>
      </c>
    </row>
    <row r="105" spans="1:9">
      <c r="A105" t="s">
        <v>273</v>
      </c>
    </row>
    <row r="106" spans="1:9">
      <c r="A106" t="s">
        <v>274</v>
      </c>
    </row>
    <row r="107" spans="1:9">
      <c r="A107" t="s">
        <v>275</v>
      </c>
    </row>
    <row r="108" spans="1:9">
      <c r="A108" t="s">
        <v>276</v>
      </c>
    </row>
    <row r="109" spans="1:9">
      <c r="A109" t="s">
        <v>277</v>
      </c>
    </row>
    <row r="110" spans="1:9">
      <c r="A110" t="s">
        <v>278</v>
      </c>
    </row>
    <row r="111" spans="1:9">
      <c r="A111" t="s">
        <v>279</v>
      </c>
    </row>
    <row r="112" spans="1:9">
      <c r="A112" t="s">
        <v>280</v>
      </c>
    </row>
    <row r="113" spans="1:1">
      <c r="A113" t="s">
        <v>281</v>
      </c>
    </row>
    <row r="114" spans="1:1">
      <c r="A114" t="s">
        <v>282</v>
      </c>
    </row>
    <row r="115" spans="1:1">
      <c r="A115" t="s">
        <v>283</v>
      </c>
    </row>
    <row r="116" spans="1:1">
      <c r="A116" t="s">
        <v>284</v>
      </c>
    </row>
    <row r="117" spans="1:1">
      <c r="A117" t="s">
        <v>285</v>
      </c>
    </row>
    <row r="118" spans="1:1">
      <c r="A118" t="s">
        <v>286</v>
      </c>
    </row>
    <row r="119" spans="1:1">
      <c r="A119" t="s">
        <v>287</v>
      </c>
    </row>
    <row r="120" spans="1:1">
      <c r="A120" t="s">
        <v>288</v>
      </c>
    </row>
    <row r="121" spans="1:1">
      <c r="A121" t="s">
        <v>289</v>
      </c>
    </row>
    <row r="122" spans="1:1">
      <c r="A122" t="s">
        <v>290</v>
      </c>
    </row>
    <row r="123" spans="1:1">
      <c r="A123" t="s">
        <v>291</v>
      </c>
    </row>
    <row r="124" spans="1:1">
      <c r="A124" t="s">
        <v>292</v>
      </c>
    </row>
    <row r="125" spans="1:1">
      <c r="A125" t="s">
        <v>293</v>
      </c>
    </row>
    <row r="126" spans="1:1">
      <c r="A126" t="s">
        <v>294</v>
      </c>
    </row>
    <row r="127" spans="1:1">
      <c r="A127" t="s">
        <v>295</v>
      </c>
    </row>
    <row r="128" spans="1:1">
      <c r="A128" t="s">
        <v>296</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3"/>
  <sheetViews>
    <sheetView topLeftCell="A27" workbookViewId="0">
      <selection activeCell="I75" sqref="I75"/>
    </sheetView>
  </sheetViews>
  <sheetFormatPr defaultRowHeight="14.5"/>
  <sheetData>
    <row r="1" spans="1:32">
      <c r="A1" t="s">
        <v>166</v>
      </c>
      <c r="B1" t="s">
        <v>204</v>
      </c>
      <c r="C1" t="s">
        <v>297</v>
      </c>
      <c r="D1" t="s">
        <v>298</v>
      </c>
      <c r="E1" t="s">
        <v>299</v>
      </c>
      <c r="F1" t="s">
        <v>300</v>
      </c>
      <c r="G1" t="s">
        <v>301</v>
      </c>
      <c r="H1" t="s">
        <v>302</v>
      </c>
      <c r="I1" t="s">
        <v>303</v>
      </c>
      <c r="J1" t="s">
        <v>304</v>
      </c>
      <c r="K1" t="s">
        <v>305</v>
      </c>
      <c r="L1" t="s">
        <v>306</v>
      </c>
      <c r="M1" t="s">
        <v>307</v>
      </c>
      <c r="N1" t="s">
        <v>308</v>
      </c>
      <c r="O1" t="s">
        <v>309</v>
      </c>
      <c r="P1" t="s">
        <v>310</v>
      </c>
      <c r="Q1" t="s">
        <v>311</v>
      </c>
      <c r="R1" t="s">
        <v>312</v>
      </c>
      <c r="S1" t="s">
        <v>313</v>
      </c>
      <c r="T1" t="s">
        <v>314</v>
      </c>
      <c r="U1" t="s">
        <v>315</v>
      </c>
      <c r="V1" t="s">
        <v>316</v>
      </c>
      <c r="W1" t="s">
        <v>317</v>
      </c>
      <c r="X1" t="s">
        <v>318</v>
      </c>
      <c r="Y1" t="s">
        <v>319</v>
      </c>
      <c r="Z1" t="s">
        <v>320</v>
      </c>
      <c r="AA1" t="s">
        <v>321</v>
      </c>
      <c r="AB1" t="s">
        <v>322</v>
      </c>
      <c r="AC1" t="s">
        <v>323</v>
      </c>
      <c r="AD1" t="s">
        <v>324</v>
      </c>
      <c r="AE1" t="s">
        <v>325</v>
      </c>
      <c r="AF1" t="s">
        <v>326</v>
      </c>
    </row>
    <row r="2" spans="1:32">
      <c r="A2" t="s">
        <v>327</v>
      </c>
      <c r="B2" t="s">
        <v>328</v>
      </c>
      <c r="C2">
        <v>0</v>
      </c>
      <c r="D2">
        <v>0</v>
      </c>
      <c r="E2">
        <v>0</v>
      </c>
      <c r="F2">
        <v>0</v>
      </c>
      <c r="H2">
        <v>0</v>
      </c>
      <c r="I2">
        <v>0</v>
      </c>
      <c r="J2">
        <v>0</v>
      </c>
      <c r="K2">
        <v>0</v>
      </c>
      <c r="L2">
        <v>0</v>
      </c>
      <c r="M2">
        <v>0</v>
      </c>
      <c r="N2">
        <v>0</v>
      </c>
    </row>
    <row r="3" spans="1:32">
      <c r="A3" t="s">
        <v>329</v>
      </c>
      <c r="B3" t="s">
        <v>330</v>
      </c>
      <c r="C3">
        <v>0.19</v>
      </c>
      <c r="D3">
        <v>0</v>
      </c>
      <c r="E3">
        <v>3</v>
      </c>
      <c r="F3">
        <v>10</v>
      </c>
      <c r="H3">
        <v>0</v>
      </c>
      <c r="I3">
        <v>0</v>
      </c>
      <c r="J3">
        <v>0</v>
      </c>
      <c r="K3">
        <v>0</v>
      </c>
      <c r="L3">
        <v>0</v>
      </c>
      <c r="M3">
        <v>0</v>
      </c>
      <c r="N3">
        <v>0</v>
      </c>
    </row>
    <row r="4" spans="1:32">
      <c r="A4" t="s">
        <v>329</v>
      </c>
      <c r="B4" t="s">
        <v>331</v>
      </c>
      <c r="C4">
        <v>0.19</v>
      </c>
      <c r="D4">
        <v>0</v>
      </c>
      <c r="E4">
        <v>3</v>
      </c>
      <c r="F4">
        <v>10</v>
      </c>
      <c r="H4">
        <v>0</v>
      </c>
      <c r="I4">
        <v>0</v>
      </c>
      <c r="J4">
        <v>0</v>
      </c>
      <c r="K4">
        <v>0</v>
      </c>
      <c r="L4">
        <v>0</v>
      </c>
      <c r="M4">
        <v>0</v>
      </c>
      <c r="N4">
        <v>0</v>
      </c>
    </row>
    <row r="5" spans="1:32">
      <c r="A5" t="s">
        <v>332</v>
      </c>
      <c r="B5" t="s">
        <v>333</v>
      </c>
      <c r="C5">
        <v>0</v>
      </c>
      <c r="D5">
        <v>0</v>
      </c>
      <c r="E5">
        <v>0</v>
      </c>
      <c r="F5">
        <v>0</v>
      </c>
      <c r="H5">
        <v>0</v>
      </c>
      <c r="I5">
        <v>0</v>
      </c>
      <c r="J5">
        <v>0</v>
      </c>
      <c r="K5">
        <v>0</v>
      </c>
      <c r="L5">
        <v>0</v>
      </c>
      <c r="M5">
        <v>0</v>
      </c>
      <c r="N5">
        <v>0</v>
      </c>
    </row>
    <row r="6" spans="1:32">
      <c r="A6" t="s">
        <v>334</v>
      </c>
      <c r="B6" t="s">
        <v>335</v>
      </c>
      <c r="C6">
        <v>20</v>
      </c>
      <c r="D6">
        <v>20</v>
      </c>
      <c r="E6">
        <v>0</v>
      </c>
      <c r="F6">
        <v>0</v>
      </c>
      <c r="H6">
        <v>0</v>
      </c>
      <c r="I6">
        <v>0</v>
      </c>
      <c r="J6">
        <v>0</v>
      </c>
      <c r="K6">
        <v>0</v>
      </c>
      <c r="L6">
        <v>0</v>
      </c>
      <c r="M6">
        <v>0</v>
      </c>
      <c r="N6">
        <v>0</v>
      </c>
    </row>
    <row r="7" spans="1:32">
      <c r="A7" t="s">
        <v>334</v>
      </c>
      <c r="B7" t="s">
        <v>336</v>
      </c>
      <c r="C7">
        <v>20</v>
      </c>
      <c r="D7">
        <v>20</v>
      </c>
      <c r="E7">
        <v>0</v>
      </c>
      <c r="F7">
        <v>0</v>
      </c>
      <c r="H7">
        <v>0</v>
      </c>
      <c r="I7">
        <v>0</v>
      </c>
      <c r="J7">
        <v>0</v>
      </c>
      <c r="K7">
        <v>0</v>
      </c>
      <c r="L7">
        <v>0</v>
      </c>
      <c r="M7">
        <v>0</v>
      </c>
      <c r="N7">
        <v>0</v>
      </c>
    </row>
    <row r="8" spans="1:32">
      <c r="A8" t="s">
        <v>337</v>
      </c>
      <c r="B8" t="s">
        <v>338</v>
      </c>
      <c r="C8">
        <v>0.03</v>
      </c>
      <c r="D8">
        <v>0</v>
      </c>
      <c r="E8">
        <v>0</v>
      </c>
      <c r="F8">
        <v>6</v>
      </c>
      <c r="H8">
        <v>0</v>
      </c>
      <c r="I8">
        <v>0</v>
      </c>
      <c r="J8">
        <v>0</v>
      </c>
      <c r="K8">
        <v>0</v>
      </c>
      <c r="L8">
        <v>0</v>
      </c>
      <c r="M8">
        <v>0</v>
      </c>
      <c r="N8">
        <v>0</v>
      </c>
    </row>
    <row r="9" spans="1:32">
      <c r="A9" t="s">
        <v>337</v>
      </c>
      <c r="B9" t="s">
        <v>339</v>
      </c>
      <c r="C9">
        <v>0.03</v>
      </c>
      <c r="D9">
        <v>0</v>
      </c>
      <c r="E9">
        <v>0</v>
      </c>
      <c r="F9">
        <v>6</v>
      </c>
      <c r="H9">
        <v>0</v>
      </c>
      <c r="I9">
        <v>0</v>
      </c>
      <c r="J9">
        <v>0</v>
      </c>
      <c r="K9">
        <v>0</v>
      </c>
      <c r="L9">
        <v>0</v>
      </c>
      <c r="M9">
        <v>0</v>
      </c>
      <c r="N9">
        <v>0</v>
      </c>
    </row>
    <row r="10" spans="1:32">
      <c r="A10" t="s">
        <v>340</v>
      </c>
      <c r="B10" t="s">
        <v>341</v>
      </c>
      <c r="C10">
        <v>1.88</v>
      </c>
      <c r="D10">
        <v>1</v>
      </c>
      <c r="E10">
        <v>17</v>
      </c>
      <c r="F10">
        <v>8</v>
      </c>
      <c r="H10">
        <v>0</v>
      </c>
      <c r="I10">
        <v>0</v>
      </c>
      <c r="J10">
        <v>0</v>
      </c>
      <c r="K10">
        <v>0</v>
      </c>
      <c r="L10">
        <v>0</v>
      </c>
      <c r="M10">
        <v>0</v>
      </c>
      <c r="N10">
        <v>0</v>
      </c>
    </row>
    <row r="11" spans="1:32">
      <c r="A11" t="s">
        <v>340</v>
      </c>
      <c r="B11" t="s">
        <v>342</v>
      </c>
      <c r="C11">
        <v>1.88</v>
      </c>
      <c r="D11">
        <v>1</v>
      </c>
      <c r="E11">
        <v>17</v>
      </c>
      <c r="F11">
        <v>8</v>
      </c>
      <c r="H11">
        <v>0</v>
      </c>
      <c r="I11">
        <v>0</v>
      </c>
      <c r="J11">
        <v>0</v>
      </c>
      <c r="K11">
        <v>0</v>
      </c>
      <c r="L11">
        <v>0</v>
      </c>
      <c r="M11">
        <v>0</v>
      </c>
      <c r="N11">
        <v>0</v>
      </c>
    </row>
    <row r="12" spans="1:32">
      <c r="A12" t="s">
        <v>343</v>
      </c>
      <c r="B12" t="s">
        <v>344</v>
      </c>
      <c r="C12">
        <v>0.7</v>
      </c>
      <c r="D12">
        <v>0</v>
      </c>
      <c r="E12">
        <v>14</v>
      </c>
      <c r="F12">
        <v>0</v>
      </c>
      <c r="H12">
        <v>0</v>
      </c>
      <c r="I12">
        <v>0</v>
      </c>
      <c r="J12">
        <v>0</v>
      </c>
      <c r="K12">
        <v>0</v>
      </c>
      <c r="L12">
        <v>0</v>
      </c>
      <c r="M12">
        <v>0</v>
      </c>
      <c r="N12">
        <v>0</v>
      </c>
    </row>
    <row r="13" spans="1:32">
      <c r="A13" t="s">
        <v>343</v>
      </c>
      <c r="B13" t="s">
        <v>345</v>
      </c>
      <c r="C13">
        <v>0.7</v>
      </c>
      <c r="D13">
        <v>0</v>
      </c>
      <c r="E13">
        <v>14</v>
      </c>
      <c r="F13">
        <v>0</v>
      </c>
      <c r="H13">
        <v>0</v>
      </c>
      <c r="I13">
        <v>0</v>
      </c>
      <c r="J13">
        <v>0</v>
      </c>
      <c r="K13">
        <v>0</v>
      </c>
      <c r="L13">
        <v>0</v>
      </c>
      <c r="M13">
        <v>0</v>
      </c>
      <c r="N13">
        <v>0</v>
      </c>
    </row>
    <row r="14" spans="1:32">
      <c r="A14" t="s">
        <v>346</v>
      </c>
      <c r="B14" t="s">
        <v>347</v>
      </c>
      <c r="C14">
        <v>0.3</v>
      </c>
      <c r="D14">
        <v>0</v>
      </c>
      <c r="E14">
        <v>6</v>
      </c>
      <c r="F14">
        <v>0</v>
      </c>
      <c r="H14">
        <v>0</v>
      </c>
      <c r="I14">
        <v>0</v>
      </c>
      <c r="J14">
        <v>0</v>
      </c>
      <c r="K14">
        <v>0</v>
      </c>
      <c r="L14">
        <v>0</v>
      </c>
      <c r="M14">
        <v>0</v>
      </c>
      <c r="N14">
        <v>0</v>
      </c>
    </row>
    <row r="15" spans="1:32">
      <c r="A15" t="s">
        <v>346</v>
      </c>
      <c r="B15" t="s">
        <v>348</v>
      </c>
      <c r="C15">
        <v>0.1</v>
      </c>
      <c r="D15">
        <v>0</v>
      </c>
      <c r="E15">
        <v>2</v>
      </c>
      <c r="F15">
        <v>0</v>
      </c>
      <c r="H15">
        <v>0</v>
      </c>
      <c r="I15">
        <v>0</v>
      </c>
      <c r="J15">
        <v>0</v>
      </c>
      <c r="K15">
        <v>0</v>
      </c>
      <c r="L15">
        <v>0</v>
      </c>
      <c r="M15">
        <v>0</v>
      </c>
      <c r="N15">
        <v>0</v>
      </c>
    </row>
    <row r="16" spans="1:32">
      <c r="A16" t="s">
        <v>346</v>
      </c>
      <c r="B16" t="s">
        <v>349</v>
      </c>
      <c r="C16">
        <v>0.4</v>
      </c>
      <c r="D16">
        <v>0</v>
      </c>
      <c r="E16">
        <v>8</v>
      </c>
      <c r="F16">
        <v>0</v>
      </c>
      <c r="H16">
        <v>0</v>
      </c>
      <c r="I16">
        <v>0</v>
      </c>
      <c r="J16">
        <v>0</v>
      </c>
      <c r="K16">
        <v>0</v>
      </c>
      <c r="L16">
        <v>0</v>
      </c>
      <c r="M16">
        <v>0</v>
      </c>
      <c r="N16">
        <v>0</v>
      </c>
    </row>
    <row r="17" spans="1:14">
      <c r="A17" t="s">
        <v>350</v>
      </c>
      <c r="B17" t="s">
        <v>351</v>
      </c>
      <c r="C17">
        <v>0.03</v>
      </c>
      <c r="D17">
        <v>0</v>
      </c>
      <c r="E17">
        <v>0</v>
      </c>
      <c r="F17">
        <v>8</v>
      </c>
      <c r="H17">
        <v>0</v>
      </c>
      <c r="I17">
        <v>0</v>
      </c>
      <c r="J17">
        <v>0</v>
      </c>
      <c r="K17">
        <v>0</v>
      </c>
      <c r="L17">
        <v>0</v>
      </c>
      <c r="M17">
        <v>0</v>
      </c>
      <c r="N17">
        <v>0</v>
      </c>
    </row>
    <row r="18" spans="1:14">
      <c r="A18" t="s">
        <v>350</v>
      </c>
      <c r="B18" t="s">
        <v>352</v>
      </c>
      <c r="C18">
        <v>0.05</v>
      </c>
      <c r="D18">
        <v>0</v>
      </c>
      <c r="E18">
        <v>1</v>
      </c>
      <c r="F18">
        <v>1</v>
      </c>
      <c r="H18">
        <v>0</v>
      </c>
      <c r="I18">
        <v>0</v>
      </c>
      <c r="J18">
        <v>0</v>
      </c>
      <c r="K18">
        <v>0</v>
      </c>
      <c r="L18">
        <v>0</v>
      </c>
      <c r="M18">
        <v>0</v>
      </c>
      <c r="N18">
        <v>0</v>
      </c>
    </row>
    <row r="19" spans="1:14">
      <c r="A19" t="s">
        <v>350</v>
      </c>
      <c r="B19" t="s">
        <v>194</v>
      </c>
      <c r="C19">
        <v>0.25</v>
      </c>
      <c r="D19">
        <v>0</v>
      </c>
      <c r="E19">
        <v>5</v>
      </c>
      <c r="F19">
        <v>1</v>
      </c>
      <c r="H19">
        <v>0</v>
      </c>
      <c r="I19">
        <v>0</v>
      </c>
      <c r="J19">
        <v>0</v>
      </c>
      <c r="K19">
        <v>0</v>
      </c>
      <c r="L19">
        <v>0</v>
      </c>
      <c r="M19">
        <v>0</v>
      </c>
      <c r="N19">
        <v>0</v>
      </c>
    </row>
    <row r="20" spans="1:14">
      <c r="A20" t="s">
        <v>350</v>
      </c>
      <c r="B20" t="s">
        <v>353</v>
      </c>
      <c r="C20">
        <v>0.34</v>
      </c>
      <c r="D20">
        <v>0</v>
      </c>
      <c r="E20">
        <v>6</v>
      </c>
      <c r="F20">
        <v>10</v>
      </c>
      <c r="H20">
        <v>0</v>
      </c>
      <c r="I20">
        <v>0</v>
      </c>
      <c r="J20">
        <v>0</v>
      </c>
      <c r="K20">
        <v>0</v>
      </c>
      <c r="L20">
        <v>0</v>
      </c>
      <c r="M20">
        <v>0</v>
      </c>
      <c r="N20">
        <v>0</v>
      </c>
    </row>
    <row r="21" spans="1:14">
      <c r="A21" t="s">
        <v>354</v>
      </c>
      <c r="B21" t="s">
        <v>355</v>
      </c>
      <c r="C21">
        <v>0.04</v>
      </c>
      <c r="D21">
        <v>0</v>
      </c>
      <c r="E21">
        <v>0</v>
      </c>
      <c r="F21">
        <v>10</v>
      </c>
      <c r="H21">
        <v>0</v>
      </c>
      <c r="I21">
        <v>0</v>
      </c>
      <c r="J21">
        <v>0</v>
      </c>
      <c r="K21">
        <v>0</v>
      </c>
      <c r="L21">
        <v>0</v>
      </c>
      <c r="M21">
        <v>0</v>
      </c>
      <c r="N21">
        <v>0</v>
      </c>
    </row>
    <row r="22" spans="1:14">
      <c r="A22" t="s">
        <v>354</v>
      </c>
      <c r="B22" t="s">
        <v>356</v>
      </c>
      <c r="C22">
        <v>0</v>
      </c>
      <c r="D22">
        <v>0</v>
      </c>
      <c r="E22">
        <v>0</v>
      </c>
      <c r="F22">
        <v>0</v>
      </c>
      <c r="H22">
        <v>0</v>
      </c>
      <c r="I22">
        <v>0</v>
      </c>
      <c r="J22">
        <v>0</v>
      </c>
      <c r="K22">
        <v>0</v>
      </c>
      <c r="L22">
        <v>0</v>
      </c>
      <c r="M22">
        <v>0</v>
      </c>
      <c r="N22">
        <v>0</v>
      </c>
    </row>
    <row r="23" spans="1:14">
      <c r="A23" t="s">
        <v>354</v>
      </c>
      <c r="B23" t="s">
        <v>357</v>
      </c>
      <c r="C23">
        <v>0.04</v>
      </c>
      <c r="D23">
        <v>0</v>
      </c>
      <c r="E23">
        <v>0</v>
      </c>
      <c r="F23">
        <v>10</v>
      </c>
      <c r="H23">
        <v>0</v>
      </c>
      <c r="I23">
        <v>0</v>
      </c>
      <c r="J23">
        <v>0</v>
      </c>
      <c r="K23">
        <v>0</v>
      </c>
      <c r="L23">
        <v>0</v>
      </c>
      <c r="M23">
        <v>0</v>
      </c>
      <c r="N23">
        <v>0</v>
      </c>
    </row>
    <row r="24" spans="1:14">
      <c r="A24" t="s">
        <v>358</v>
      </c>
      <c r="B24" t="s">
        <v>359</v>
      </c>
      <c r="C24">
        <v>23.58</v>
      </c>
      <c r="D24">
        <v>23</v>
      </c>
      <c r="E24">
        <v>11</v>
      </c>
      <c r="F24">
        <v>8</v>
      </c>
      <c r="H24">
        <v>0</v>
      </c>
      <c r="I24">
        <v>0</v>
      </c>
      <c r="J24">
        <v>0</v>
      </c>
      <c r="K24">
        <v>0</v>
      </c>
      <c r="L24">
        <v>0</v>
      </c>
      <c r="M24">
        <v>0</v>
      </c>
      <c r="N24">
        <v>0</v>
      </c>
    </row>
    <row r="25" spans="1:14">
      <c r="A25" t="s">
        <v>360</v>
      </c>
      <c r="B25" t="s">
        <v>361</v>
      </c>
      <c r="C25">
        <v>0.89</v>
      </c>
      <c r="D25">
        <v>0</v>
      </c>
      <c r="E25">
        <v>17</v>
      </c>
      <c r="F25">
        <v>10</v>
      </c>
      <c r="H25">
        <v>0</v>
      </c>
      <c r="I25">
        <v>0</v>
      </c>
      <c r="J25">
        <v>0</v>
      </c>
      <c r="K25">
        <v>0</v>
      </c>
      <c r="L25">
        <v>0</v>
      </c>
      <c r="M25">
        <v>0</v>
      </c>
      <c r="N25">
        <v>0</v>
      </c>
    </row>
    <row r="26" spans="1:14">
      <c r="A26" t="s">
        <v>360</v>
      </c>
      <c r="B26" t="s">
        <v>362</v>
      </c>
      <c r="C26">
        <v>0</v>
      </c>
      <c r="D26">
        <v>0</v>
      </c>
      <c r="E26">
        <v>0</v>
      </c>
      <c r="F26">
        <v>0</v>
      </c>
      <c r="H26">
        <v>0</v>
      </c>
      <c r="I26">
        <v>0</v>
      </c>
      <c r="J26">
        <v>0</v>
      </c>
      <c r="K26">
        <v>0</v>
      </c>
      <c r="L26">
        <v>0</v>
      </c>
      <c r="M26">
        <v>0</v>
      </c>
      <c r="N26">
        <v>0</v>
      </c>
    </row>
    <row r="27" spans="1:14">
      <c r="A27" t="s">
        <v>360</v>
      </c>
      <c r="B27" t="s">
        <v>363</v>
      </c>
      <c r="C27">
        <v>0.89</v>
      </c>
      <c r="D27">
        <v>0</v>
      </c>
      <c r="E27">
        <v>17</v>
      </c>
      <c r="F27">
        <v>10</v>
      </c>
      <c r="H27">
        <v>0</v>
      </c>
      <c r="I27">
        <v>0</v>
      </c>
      <c r="J27">
        <v>0</v>
      </c>
      <c r="K27">
        <v>0</v>
      </c>
      <c r="L27">
        <v>0</v>
      </c>
      <c r="M27">
        <v>0</v>
      </c>
      <c r="N27">
        <v>0</v>
      </c>
    </row>
    <row r="28" spans="1:14">
      <c r="A28" t="s">
        <v>364</v>
      </c>
      <c r="B28" t="s">
        <v>365</v>
      </c>
      <c r="C28">
        <v>0.25</v>
      </c>
      <c r="D28">
        <v>0</v>
      </c>
      <c r="E28">
        <v>5</v>
      </c>
      <c r="F28">
        <v>0</v>
      </c>
      <c r="H28">
        <v>0</v>
      </c>
      <c r="I28">
        <v>0</v>
      </c>
      <c r="J28">
        <v>0</v>
      </c>
      <c r="K28">
        <v>0</v>
      </c>
      <c r="L28">
        <v>0</v>
      </c>
      <c r="M28">
        <v>0</v>
      </c>
      <c r="N28">
        <v>0</v>
      </c>
    </row>
    <row r="29" spans="1:14">
      <c r="A29" t="s">
        <v>364</v>
      </c>
      <c r="B29" t="s">
        <v>366</v>
      </c>
      <c r="C29">
        <v>0.25</v>
      </c>
      <c r="D29">
        <v>0</v>
      </c>
      <c r="E29">
        <v>5</v>
      </c>
      <c r="F29">
        <v>0</v>
      </c>
      <c r="H29">
        <v>0</v>
      </c>
      <c r="I29">
        <v>0</v>
      </c>
      <c r="J29">
        <v>0</v>
      </c>
      <c r="K29">
        <v>0</v>
      </c>
      <c r="L29">
        <v>0</v>
      </c>
      <c r="M29">
        <v>0</v>
      </c>
      <c r="N29">
        <v>0</v>
      </c>
    </row>
    <row r="30" spans="1:14">
      <c r="A30" t="s">
        <v>367</v>
      </c>
      <c r="B30" t="s">
        <v>368</v>
      </c>
      <c r="C30">
        <v>0.35</v>
      </c>
      <c r="D30">
        <v>0</v>
      </c>
      <c r="E30">
        <v>7</v>
      </c>
      <c r="F30">
        <v>0</v>
      </c>
      <c r="H30">
        <v>0</v>
      </c>
      <c r="I30">
        <v>0</v>
      </c>
      <c r="J30">
        <v>0</v>
      </c>
      <c r="K30">
        <v>0</v>
      </c>
      <c r="L30">
        <v>0</v>
      </c>
      <c r="M30">
        <v>0</v>
      </c>
      <c r="N30">
        <v>0</v>
      </c>
    </row>
    <row r="31" spans="1:14">
      <c r="A31" t="s">
        <v>367</v>
      </c>
      <c r="B31" t="s">
        <v>369</v>
      </c>
      <c r="C31">
        <v>0.35</v>
      </c>
      <c r="D31">
        <v>0</v>
      </c>
      <c r="E31">
        <v>7</v>
      </c>
      <c r="F31">
        <v>0</v>
      </c>
      <c r="H31">
        <v>0</v>
      </c>
      <c r="I31">
        <v>0</v>
      </c>
      <c r="J31">
        <v>0</v>
      </c>
      <c r="K31">
        <v>0</v>
      </c>
      <c r="L31">
        <v>0</v>
      </c>
      <c r="M31">
        <v>0</v>
      </c>
      <c r="N31">
        <v>0</v>
      </c>
    </row>
    <row r="32" spans="1:14">
      <c r="A32" t="s">
        <v>370</v>
      </c>
      <c r="B32" t="s">
        <v>371</v>
      </c>
      <c r="C32">
        <v>1.49</v>
      </c>
      <c r="D32">
        <v>1</v>
      </c>
      <c r="E32">
        <v>9</v>
      </c>
      <c r="F32">
        <v>10</v>
      </c>
      <c r="H32">
        <v>0</v>
      </c>
      <c r="I32">
        <v>0</v>
      </c>
      <c r="J32">
        <v>0</v>
      </c>
      <c r="K32">
        <v>0</v>
      </c>
      <c r="L32">
        <v>0</v>
      </c>
      <c r="M32">
        <v>0</v>
      </c>
      <c r="N32">
        <v>0</v>
      </c>
    </row>
    <row r="33" spans="1:16">
      <c r="A33" t="s">
        <v>372</v>
      </c>
      <c r="B33" t="s">
        <v>373</v>
      </c>
      <c r="C33">
        <v>22.09</v>
      </c>
      <c r="D33">
        <v>22</v>
      </c>
      <c r="E33">
        <v>1</v>
      </c>
      <c r="F33">
        <v>10</v>
      </c>
      <c r="H33">
        <v>0</v>
      </c>
      <c r="I33">
        <v>0</v>
      </c>
      <c r="J33">
        <v>0</v>
      </c>
      <c r="K33">
        <v>0</v>
      </c>
      <c r="L33">
        <v>0</v>
      </c>
      <c r="M33">
        <v>0</v>
      </c>
      <c r="N33">
        <v>0</v>
      </c>
    </row>
    <row r="34" spans="1:16">
      <c r="A34" t="s">
        <v>374</v>
      </c>
      <c r="B34" t="s">
        <v>375</v>
      </c>
      <c r="C34">
        <v>21.9</v>
      </c>
      <c r="D34">
        <v>21</v>
      </c>
      <c r="E34">
        <v>18</v>
      </c>
      <c r="F34">
        <v>0</v>
      </c>
      <c r="H34">
        <v>0</v>
      </c>
      <c r="I34">
        <v>0</v>
      </c>
      <c r="J34">
        <v>0</v>
      </c>
      <c r="K34">
        <v>0</v>
      </c>
      <c r="L34">
        <v>0</v>
      </c>
      <c r="M34">
        <v>0</v>
      </c>
      <c r="N34">
        <v>0</v>
      </c>
    </row>
    <row r="35" spans="1:16">
      <c r="A35" t="s">
        <v>374</v>
      </c>
      <c r="B35" t="s">
        <v>376</v>
      </c>
      <c r="C35">
        <v>21.9</v>
      </c>
      <c r="D35">
        <v>21</v>
      </c>
      <c r="E35">
        <v>18</v>
      </c>
      <c r="F35">
        <v>0</v>
      </c>
      <c r="H35">
        <v>0</v>
      </c>
      <c r="I35">
        <v>0</v>
      </c>
      <c r="J35">
        <v>0</v>
      </c>
      <c r="K35">
        <v>0</v>
      </c>
      <c r="L35">
        <v>0</v>
      </c>
      <c r="M35">
        <v>0</v>
      </c>
      <c r="N35">
        <v>0</v>
      </c>
    </row>
    <row r="36" spans="1:16">
      <c r="A36" t="s">
        <v>377</v>
      </c>
      <c r="B36" t="s">
        <v>378</v>
      </c>
      <c r="C36">
        <v>0.19</v>
      </c>
      <c r="D36">
        <v>0</v>
      </c>
      <c r="E36">
        <v>3</v>
      </c>
      <c r="F36">
        <v>10</v>
      </c>
      <c r="H36">
        <v>0</v>
      </c>
      <c r="I36">
        <v>0</v>
      </c>
      <c r="J36">
        <v>0</v>
      </c>
      <c r="K36">
        <v>0</v>
      </c>
      <c r="L36">
        <v>0</v>
      </c>
      <c r="M36">
        <v>0</v>
      </c>
      <c r="N36">
        <v>0</v>
      </c>
    </row>
    <row r="37" spans="1:16">
      <c r="A37" t="s">
        <v>379</v>
      </c>
      <c r="B37" t="s">
        <v>380</v>
      </c>
      <c r="C37">
        <v>0</v>
      </c>
      <c r="D37">
        <v>0</v>
      </c>
      <c r="E37">
        <v>0</v>
      </c>
      <c r="F37">
        <v>0</v>
      </c>
      <c r="G37" t="s">
        <v>379</v>
      </c>
      <c r="H37">
        <v>12</v>
      </c>
      <c r="I37">
        <v>0</v>
      </c>
      <c r="J37">
        <v>12</v>
      </c>
      <c r="K37">
        <v>12</v>
      </c>
      <c r="L37">
        <v>0</v>
      </c>
      <c r="M37">
        <v>12</v>
      </c>
      <c r="N37">
        <v>0</v>
      </c>
    </row>
    <row r="38" spans="1:16">
      <c r="A38" t="s">
        <v>381</v>
      </c>
      <c r="B38" t="s">
        <v>382</v>
      </c>
      <c r="C38">
        <v>0</v>
      </c>
      <c r="D38">
        <v>0</v>
      </c>
      <c r="E38">
        <v>0</v>
      </c>
      <c r="F38">
        <v>0</v>
      </c>
      <c r="G38" t="s">
        <v>381</v>
      </c>
      <c r="H38">
        <v>20</v>
      </c>
      <c r="I38">
        <v>0</v>
      </c>
      <c r="J38">
        <v>20</v>
      </c>
      <c r="K38">
        <v>20</v>
      </c>
      <c r="L38">
        <v>0</v>
      </c>
      <c r="M38">
        <v>20</v>
      </c>
      <c r="N38">
        <v>0</v>
      </c>
    </row>
    <row r="39" spans="1:16">
      <c r="A39" t="s">
        <v>383</v>
      </c>
      <c r="B39" t="s">
        <v>384</v>
      </c>
      <c r="C39">
        <v>0</v>
      </c>
      <c r="D39">
        <v>0</v>
      </c>
      <c r="E39">
        <v>0</v>
      </c>
      <c r="F39">
        <v>0</v>
      </c>
      <c r="G39" t="s">
        <v>383</v>
      </c>
      <c r="H39">
        <v>12</v>
      </c>
      <c r="I39">
        <v>0</v>
      </c>
      <c r="J39">
        <v>12</v>
      </c>
      <c r="K39">
        <v>12</v>
      </c>
      <c r="L39">
        <v>0</v>
      </c>
      <c r="M39">
        <v>12</v>
      </c>
      <c r="N39">
        <v>0</v>
      </c>
    </row>
    <row r="40" spans="1:16">
      <c r="A40" t="s">
        <v>383</v>
      </c>
      <c r="B40" t="s">
        <v>385</v>
      </c>
      <c r="C40">
        <v>0</v>
      </c>
      <c r="D40">
        <v>0</v>
      </c>
      <c r="E40">
        <v>0</v>
      </c>
      <c r="F40">
        <v>0</v>
      </c>
      <c r="H40">
        <v>1</v>
      </c>
      <c r="I40">
        <v>0</v>
      </c>
      <c r="J40">
        <v>1</v>
      </c>
      <c r="K40">
        <v>1</v>
      </c>
      <c r="L40">
        <v>0</v>
      </c>
      <c r="M40">
        <v>1</v>
      </c>
      <c r="N40">
        <v>0</v>
      </c>
    </row>
    <row r="41" spans="1:16">
      <c r="A41" t="s">
        <v>383</v>
      </c>
      <c r="B41" t="s">
        <v>386</v>
      </c>
      <c r="C41">
        <v>0</v>
      </c>
      <c r="D41">
        <v>0</v>
      </c>
      <c r="E41">
        <v>0</v>
      </c>
      <c r="F41">
        <v>0</v>
      </c>
      <c r="H41">
        <v>13</v>
      </c>
      <c r="I41">
        <v>0</v>
      </c>
      <c r="J41">
        <v>13</v>
      </c>
      <c r="K41">
        <v>13</v>
      </c>
      <c r="L41">
        <v>0</v>
      </c>
      <c r="M41">
        <v>13</v>
      </c>
      <c r="N41">
        <v>0</v>
      </c>
    </row>
    <row r="42" spans="1:16">
      <c r="A42" t="s">
        <v>383</v>
      </c>
      <c r="B42" t="s">
        <v>387</v>
      </c>
      <c r="C42">
        <v>0</v>
      </c>
      <c r="D42">
        <v>0</v>
      </c>
      <c r="E42">
        <v>0</v>
      </c>
      <c r="F42">
        <v>0</v>
      </c>
      <c r="H42">
        <v>0</v>
      </c>
      <c r="I42">
        <v>4</v>
      </c>
      <c r="J42">
        <v>0.5</v>
      </c>
      <c r="K42">
        <v>0.5</v>
      </c>
      <c r="L42">
        <v>0</v>
      </c>
      <c r="M42">
        <v>0</v>
      </c>
      <c r="N42">
        <v>4</v>
      </c>
    </row>
    <row r="43" spans="1:16">
      <c r="A43" t="s">
        <v>383</v>
      </c>
      <c r="B43" t="s">
        <v>388</v>
      </c>
      <c r="C43">
        <v>0</v>
      </c>
      <c r="D43">
        <v>0</v>
      </c>
      <c r="E43">
        <v>0</v>
      </c>
      <c r="F43">
        <v>0</v>
      </c>
      <c r="H43">
        <v>0</v>
      </c>
      <c r="I43">
        <v>4</v>
      </c>
      <c r="J43">
        <v>0.5</v>
      </c>
      <c r="K43">
        <v>0.5</v>
      </c>
      <c r="L43">
        <v>0</v>
      </c>
      <c r="M43">
        <v>0</v>
      </c>
      <c r="N43">
        <v>4</v>
      </c>
    </row>
    <row r="44" spans="1:16">
      <c r="A44" t="s">
        <v>383</v>
      </c>
      <c r="B44" t="s">
        <v>389</v>
      </c>
      <c r="C44">
        <v>0</v>
      </c>
      <c r="D44">
        <v>0</v>
      </c>
      <c r="E44">
        <v>0</v>
      </c>
      <c r="F44">
        <v>0</v>
      </c>
      <c r="H44">
        <v>12</v>
      </c>
      <c r="I44">
        <v>0</v>
      </c>
      <c r="J44">
        <v>12</v>
      </c>
      <c r="K44">
        <v>1</v>
      </c>
      <c r="L44">
        <v>11</v>
      </c>
      <c r="M44">
        <v>1</v>
      </c>
      <c r="N44">
        <v>0</v>
      </c>
      <c r="O44">
        <v>12</v>
      </c>
      <c r="P44">
        <v>0</v>
      </c>
    </row>
    <row r="45" spans="1:16">
      <c r="A45" t="s">
        <v>390</v>
      </c>
      <c r="B45" t="s">
        <v>391</v>
      </c>
      <c r="C45">
        <v>0</v>
      </c>
      <c r="D45">
        <v>0</v>
      </c>
      <c r="E45">
        <v>0</v>
      </c>
      <c r="F45">
        <v>0</v>
      </c>
      <c r="H45">
        <v>1</v>
      </c>
      <c r="I45">
        <v>4</v>
      </c>
      <c r="J45">
        <v>1.5</v>
      </c>
      <c r="K45">
        <v>1.5</v>
      </c>
      <c r="L45">
        <v>0</v>
      </c>
      <c r="M45">
        <v>1</v>
      </c>
      <c r="N45">
        <v>4</v>
      </c>
    </row>
    <row r="46" spans="1:16">
      <c r="A46" t="s">
        <v>392</v>
      </c>
      <c r="B46" t="s">
        <v>393</v>
      </c>
      <c r="C46">
        <v>0.33</v>
      </c>
      <c r="D46">
        <v>0</v>
      </c>
      <c r="E46">
        <v>6</v>
      </c>
      <c r="F46">
        <v>8</v>
      </c>
      <c r="H46">
        <v>0</v>
      </c>
      <c r="I46">
        <v>0</v>
      </c>
      <c r="J46">
        <v>0</v>
      </c>
      <c r="K46">
        <v>0</v>
      </c>
      <c r="L46">
        <v>0</v>
      </c>
      <c r="M46">
        <v>0</v>
      </c>
      <c r="N46">
        <v>0</v>
      </c>
    </row>
    <row r="47" spans="1:16">
      <c r="A47" t="s">
        <v>392</v>
      </c>
      <c r="B47" t="s">
        <v>394</v>
      </c>
      <c r="C47">
        <v>0.67</v>
      </c>
      <c r="D47">
        <v>0</v>
      </c>
      <c r="E47">
        <v>13</v>
      </c>
      <c r="F47">
        <v>4</v>
      </c>
      <c r="H47">
        <v>0</v>
      </c>
      <c r="I47">
        <v>0</v>
      </c>
      <c r="J47">
        <v>0</v>
      </c>
      <c r="K47">
        <v>0</v>
      </c>
      <c r="L47">
        <v>0</v>
      </c>
      <c r="M47">
        <v>0</v>
      </c>
      <c r="N47">
        <v>0</v>
      </c>
    </row>
    <row r="48" spans="1:16">
      <c r="A48" t="s">
        <v>392</v>
      </c>
      <c r="B48" t="s">
        <v>395</v>
      </c>
      <c r="C48">
        <v>0</v>
      </c>
      <c r="D48">
        <v>0</v>
      </c>
      <c r="E48">
        <v>0</v>
      </c>
      <c r="F48">
        <v>0</v>
      </c>
      <c r="H48">
        <v>0</v>
      </c>
      <c r="I48">
        <v>0</v>
      </c>
      <c r="J48">
        <v>0</v>
      </c>
      <c r="K48">
        <v>0</v>
      </c>
      <c r="L48">
        <v>0</v>
      </c>
      <c r="M48">
        <v>0</v>
      </c>
      <c r="N48">
        <v>0</v>
      </c>
    </row>
    <row r="49" spans="1:14">
      <c r="A49" t="s">
        <v>392</v>
      </c>
      <c r="B49" t="s">
        <v>396</v>
      </c>
      <c r="C49">
        <v>0</v>
      </c>
      <c r="D49">
        <v>0</v>
      </c>
      <c r="E49">
        <v>0</v>
      </c>
      <c r="F49">
        <v>0</v>
      </c>
      <c r="H49">
        <v>0</v>
      </c>
      <c r="I49">
        <v>0</v>
      </c>
      <c r="J49">
        <v>0</v>
      </c>
      <c r="K49">
        <v>0</v>
      </c>
      <c r="L49">
        <v>0</v>
      </c>
      <c r="M49">
        <v>0</v>
      </c>
      <c r="N49">
        <v>0</v>
      </c>
    </row>
    <row r="50" spans="1:14">
      <c r="A50" t="s">
        <v>392</v>
      </c>
      <c r="B50" t="s">
        <v>397</v>
      </c>
      <c r="C50">
        <v>0</v>
      </c>
      <c r="D50">
        <v>0</v>
      </c>
      <c r="E50">
        <v>0</v>
      </c>
      <c r="F50">
        <v>0</v>
      </c>
      <c r="H50">
        <v>0</v>
      </c>
      <c r="I50">
        <v>0</v>
      </c>
      <c r="J50">
        <v>0</v>
      </c>
      <c r="K50">
        <v>0</v>
      </c>
      <c r="L50">
        <v>0</v>
      </c>
      <c r="M50">
        <v>0</v>
      </c>
      <c r="N50">
        <v>0</v>
      </c>
    </row>
    <row r="51" spans="1:14">
      <c r="A51" t="s">
        <v>392</v>
      </c>
      <c r="B51" t="s">
        <v>398</v>
      </c>
      <c r="C51">
        <v>0.09</v>
      </c>
      <c r="D51">
        <v>0</v>
      </c>
      <c r="E51">
        <v>1</v>
      </c>
      <c r="F51">
        <v>10</v>
      </c>
      <c r="H51">
        <v>0</v>
      </c>
      <c r="I51">
        <v>0</v>
      </c>
      <c r="J51">
        <v>0</v>
      </c>
      <c r="K51">
        <v>0</v>
      </c>
      <c r="L51">
        <v>0</v>
      </c>
      <c r="M51">
        <v>0</v>
      </c>
      <c r="N51">
        <v>0</v>
      </c>
    </row>
    <row r="52" spans="1:14">
      <c r="A52" t="s">
        <v>392</v>
      </c>
      <c r="B52" t="s">
        <v>399</v>
      </c>
      <c r="C52">
        <v>0.13</v>
      </c>
      <c r="D52">
        <v>0</v>
      </c>
      <c r="E52">
        <v>2</v>
      </c>
      <c r="F52">
        <v>8</v>
      </c>
      <c r="H52">
        <v>0</v>
      </c>
      <c r="I52">
        <v>0</v>
      </c>
      <c r="J52">
        <v>0</v>
      </c>
      <c r="K52">
        <v>0</v>
      </c>
      <c r="L52">
        <v>0</v>
      </c>
      <c r="M52">
        <v>0</v>
      </c>
      <c r="N52">
        <v>0</v>
      </c>
    </row>
    <row r="53" spans="1:14">
      <c r="A53" t="s">
        <v>392</v>
      </c>
      <c r="B53" t="s">
        <v>400</v>
      </c>
      <c r="C53">
        <v>0</v>
      </c>
      <c r="D53">
        <v>0</v>
      </c>
      <c r="E53">
        <v>0</v>
      </c>
      <c r="F53">
        <v>0</v>
      </c>
      <c r="H53">
        <v>0</v>
      </c>
      <c r="I53">
        <v>0</v>
      </c>
      <c r="J53">
        <v>0</v>
      </c>
      <c r="K53">
        <v>0</v>
      </c>
      <c r="L53">
        <v>0</v>
      </c>
      <c r="M53">
        <v>0</v>
      </c>
      <c r="N53">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
  <sheetViews>
    <sheetView workbookViewId="0">
      <selection activeCell="B3" sqref="B3"/>
    </sheetView>
  </sheetViews>
  <sheetFormatPr defaultRowHeight="14.5"/>
  <sheetData>
    <row r="1" spans="1:9">
      <c r="A1" t="s">
        <v>166</v>
      </c>
      <c r="B1" t="s">
        <v>204</v>
      </c>
      <c r="C1" t="s">
        <v>307</v>
      </c>
      <c r="D1" t="s">
        <v>308</v>
      </c>
      <c r="E1" t="s">
        <v>392</v>
      </c>
      <c r="F1" t="s">
        <v>401</v>
      </c>
      <c r="G1" t="s">
        <v>222</v>
      </c>
      <c r="H1" t="s">
        <v>402</v>
      </c>
      <c r="I1" t="s">
        <v>229</v>
      </c>
    </row>
    <row r="2" spans="1:9">
      <c r="A2" t="s">
        <v>68</v>
      </c>
      <c r="B2" t="s">
        <v>175</v>
      </c>
      <c r="C2">
        <v>0</v>
      </c>
      <c r="D2">
        <v>0</v>
      </c>
    </row>
    <row r="3" spans="1:9">
      <c r="A3" t="s">
        <v>403</v>
      </c>
      <c r="B3" t="s">
        <v>404</v>
      </c>
      <c r="C3">
        <v>0</v>
      </c>
      <c r="D3">
        <v>0</v>
      </c>
      <c r="E3" t="s">
        <v>405</v>
      </c>
      <c r="F3" t="s">
        <v>406</v>
      </c>
    </row>
    <row r="4" spans="1:9">
      <c r="A4" t="s">
        <v>403</v>
      </c>
      <c r="B4" t="s">
        <v>407</v>
      </c>
      <c r="C4">
        <v>0</v>
      </c>
      <c r="D4">
        <v>0</v>
      </c>
      <c r="E4" t="s">
        <v>95</v>
      </c>
      <c r="F4" t="s">
        <v>408</v>
      </c>
    </row>
    <row r="5" spans="1:9">
      <c r="A5" t="s">
        <v>403</v>
      </c>
      <c r="B5" t="s">
        <v>409</v>
      </c>
      <c r="C5">
        <v>0</v>
      </c>
      <c r="D5">
        <v>0</v>
      </c>
      <c r="E5" t="s">
        <v>97</v>
      </c>
    </row>
    <row r="6" spans="1:9">
      <c r="A6" t="s">
        <v>403</v>
      </c>
      <c r="B6" t="s">
        <v>396</v>
      </c>
      <c r="C6">
        <v>0</v>
      </c>
      <c r="D6">
        <v>0</v>
      </c>
      <c r="E6" t="s">
        <v>97</v>
      </c>
    </row>
    <row r="7" spans="1:9">
      <c r="A7" t="s">
        <v>403</v>
      </c>
      <c r="B7" t="s">
        <v>397</v>
      </c>
      <c r="C7">
        <v>0</v>
      </c>
      <c r="D7">
        <v>0</v>
      </c>
      <c r="E7" t="s">
        <v>97</v>
      </c>
    </row>
    <row r="8" spans="1:9">
      <c r="A8" t="s">
        <v>403</v>
      </c>
      <c r="B8" t="s">
        <v>410</v>
      </c>
      <c r="C8">
        <v>0</v>
      </c>
      <c r="D8">
        <v>0</v>
      </c>
      <c r="E8" t="s">
        <v>102</v>
      </c>
      <c r="F8" t="s">
        <v>411</v>
      </c>
    </row>
    <row r="9" spans="1:9">
      <c r="A9" t="s">
        <v>403</v>
      </c>
      <c r="B9" t="s">
        <v>412</v>
      </c>
      <c r="C9">
        <v>0</v>
      </c>
      <c r="D9">
        <v>0</v>
      </c>
      <c r="E9" t="s">
        <v>271</v>
      </c>
    </row>
    <row r="10" spans="1:9">
      <c r="A10" t="s">
        <v>403</v>
      </c>
      <c r="B10" t="s">
        <v>413</v>
      </c>
      <c r="C10">
        <v>0</v>
      </c>
      <c r="D10">
        <v>0</v>
      </c>
      <c r="E10" t="s">
        <v>271</v>
      </c>
    </row>
    <row r="11" spans="1:9">
      <c r="A11" t="s">
        <v>403</v>
      </c>
      <c r="B11" t="s">
        <v>175</v>
      </c>
      <c r="C11">
        <v>0</v>
      </c>
      <c r="D11">
        <v>0</v>
      </c>
      <c r="E11" t="s">
        <v>271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12"/>
  <sheetViews>
    <sheetView workbookViewId="0"/>
  </sheetViews>
  <sheetFormatPr defaultRowHeight="14.5"/>
  <sheetData>
    <row r="1" spans="1:33">
      <c r="A1" t="s">
        <v>166</v>
      </c>
      <c r="B1" t="s">
        <v>204</v>
      </c>
      <c r="C1" t="s">
        <v>414</v>
      </c>
      <c r="D1" t="s">
        <v>415</v>
      </c>
      <c r="E1" t="s">
        <v>416</v>
      </c>
      <c r="F1" t="s">
        <v>417</v>
      </c>
      <c r="G1" t="s">
        <v>418</v>
      </c>
      <c r="H1" t="s">
        <v>419</v>
      </c>
      <c r="I1" t="s">
        <v>420</v>
      </c>
      <c r="J1" t="s">
        <v>421</v>
      </c>
      <c r="K1" t="s">
        <v>422</v>
      </c>
      <c r="L1" t="s">
        <v>423</v>
      </c>
      <c r="M1" t="s">
        <v>424</v>
      </c>
      <c r="N1" t="s">
        <v>425</v>
      </c>
      <c r="O1" t="s">
        <v>426</v>
      </c>
      <c r="P1" t="s">
        <v>427</v>
      </c>
      <c r="Q1" t="s">
        <v>428</v>
      </c>
      <c r="R1" t="s">
        <v>429</v>
      </c>
      <c r="S1" t="s">
        <v>430</v>
      </c>
      <c r="T1" t="s">
        <v>431</v>
      </c>
      <c r="U1" t="s">
        <v>432</v>
      </c>
      <c r="V1" t="s">
        <v>433</v>
      </c>
      <c r="W1" t="s">
        <v>434</v>
      </c>
      <c r="X1" t="s">
        <v>302</v>
      </c>
      <c r="Y1" t="s">
        <v>303</v>
      </c>
      <c r="Z1" t="s">
        <v>304</v>
      </c>
      <c r="AA1" t="s">
        <v>305</v>
      </c>
      <c r="AB1" t="s">
        <v>306</v>
      </c>
      <c r="AC1" t="s">
        <v>435</v>
      </c>
      <c r="AD1" t="s">
        <v>436</v>
      </c>
      <c r="AE1" t="s">
        <v>309</v>
      </c>
      <c r="AF1" t="s">
        <v>310</v>
      </c>
      <c r="AG1" t="s">
        <v>437</v>
      </c>
    </row>
    <row r="2" spans="1:33">
      <c r="A2" t="s">
        <v>374</v>
      </c>
      <c r="B2" t="s">
        <v>438</v>
      </c>
      <c r="C2">
        <v>0</v>
      </c>
      <c r="D2">
        <v>0</v>
      </c>
      <c r="E2">
        <v>0</v>
      </c>
      <c r="F2">
        <v>0</v>
      </c>
      <c r="G2">
        <v>0</v>
      </c>
      <c r="H2">
        <v>0</v>
      </c>
      <c r="I2">
        <v>0</v>
      </c>
      <c r="J2">
        <v>0</v>
      </c>
      <c r="K2">
        <v>0</v>
      </c>
      <c r="L2">
        <v>0</v>
      </c>
      <c r="M2">
        <v>0</v>
      </c>
      <c r="N2">
        <v>0</v>
      </c>
      <c r="O2">
        <v>0</v>
      </c>
      <c r="P2">
        <v>0</v>
      </c>
      <c r="Q2">
        <v>0</v>
      </c>
      <c r="R2">
        <v>0</v>
      </c>
      <c r="S2">
        <v>0</v>
      </c>
      <c r="T2">
        <v>0</v>
      </c>
      <c r="U2">
        <v>0</v>
      </c>
      <c r="V2">
        <v>0</v>
      </c>
      <c r="W2">
        <v>0</v>
      </c>
      <c r="AG2">
        <v>0</v>
      </c>
    </row>
    <row r="3" spans="1:33">
      <c r="A3" t="s">
        <v>379</v>
      </c>
      <c r="B3" t="s">
        <v>380</v>
      </c>
      <c r="C3">
        <v>0</v>
      </c>
      <c r="D3">
        <v>0</v>
      </c>
      <c r="E3">
        <v>0</v>
      </c>
      <c r="F3">
        <v>0</v>
      </c>
      <c r="G3">
        <v>0</v>
      </c>
      <c r="H3">
        <v>0</v>
      </c>
      <c r="I3">
        <v>0</v>
      </c>
      <c r="J3">
        <v>0</v>
      </c>
      <c r="K3">
        <v>0</v>
      </c>
      <c r="L3">
        <v>0</v>
      </c>
      <c r="M3">
        <v>0</v>
      </c>
      <c r="N3">
        <v>0</v>
      </c>
      <c r="O3">
        <v>0</v>
      </c>
      <c r="P3">
        <v>0</v>
      </c>
      <c r="Q3">
        <v>0</v>
      </c>
      <c r="R3">
        <v>0</v>
      </c>
      <c r="S3">
        <v>0</v>
      </c>
      <c r="T3">
        <v>0</v>
      </c>
      <c r="U3">
        <v>0</v>
      </c>
      <c r="V3">
        <v>0</v>
      </c>
      <c r="W3">
        <v>0</v>
      </c>
      <c r="X3">
        <v>12</v>
      </c>
      <c r="Y3">
        <v>0</v>
      </c>
      <c r="Z3">
        <v>12</v>
      </c>
      <c r="AA3">
        <v>12</v>
      </c>
      <c r="AB3">
        <v>0</v>
      </c>
      <c r="AC3">
        <v>12</v>
      </c>
      <c r="AD3">
        <v>0</v>
      </c>
      <c r="AG3">
        <v>0</v>
      </c>
    </row>
    <row r="4" spans="1:33">
      <c r="A4" t="s">
        <v>379</v>
      </c>
      <c r="B4" t="s">
        <v>438</v>
      </c>
      <c r="C4">
        <v>0</v>
      </c>
      <c r="D4">
        <v>0</v>
      </c>
      <c r="E4">
        <v>0</v>
      </c>
      <c r="F4">
        <v>0</v>
      </c>
      <c r="G4">
        <v>0</v>
      </c>
      <c r="H4">
        <v>0</v>
      </c>
      <c r="I4">
        <v>0</v>
      </c>
      <c r="J4">
        <v>0</v>
      </c>
      <c r="K4">
        <v>0</v>
      </c>
      <c r="L4">
        <v>0</v>
      </c>
      <c r="M4">
        <v>0</v>
      </c>
      <c r="N4">
        <v>0</v>
      </c>
      <c r="O4">
        <v>0</v>
      </c>
      <c r="P4">
        <v>0</v>
      </c>
      <c r="Q4">
        <v>0</v>
      </c>
      <c r="R4">
        <v>0</v>
      </c>
      <c r="S4">
        <v>0</v>
      </c>
      <c r="T4">
        <v>0</v>
      </c>
      <c r="U4">
        <v>0</v>
      </c>
      <c r="V4">
        <v>0</v>
      </c>
      <c r="W4">
        <v>0</v>
      </c>
      <c r="AG4">
        <v>0</v>
      </c>
    </row>
    <row r="5" spans="1:33">
      <c r="A5" t="s">
        <v>381</v>
      </c>
      <c r="B5" t="s">
        <v>382</v>
      </c>
      <c r="C5">
        <v>0</v>
      </c>
      <c r="D5">
        <v>0</v>
      </c>
      <c r="E5">
        <v>0</v>
      </c>
      <c r="F5">
        <v>0</v>
      </c>
      <c r="G5">
        <v>0</v>
      </c>
      <c r="H5">
        <v>0</v>
      </c>
      <c r="I5">
        <v>0</v>
      </c>
      <c r="J5">
        <v>0</v>
      </c>
      <c r="K5">
        <v>0</v>
      </c>
      <c r="L5">
        <v>0</v>
      </c>
      <c r="M5">
        <v>0</v>
      </c>
      <c r="N5">
        <v>0</v>
      </c>
      <c r="O5">
        <v>0</v>
      </c>
      <c r="P5">
        <v>0</v>
      </c>
      <c r="Q5">
        <v>0</v>
      </c>
      <c r="R5">
        <v>0</v>
      </c>
      <c r="S5">
        <v>0</v>
      </c>
      <c r="T5">
        <v>0</v>
      </c>
      <c r="U5">
        <v>0</v>
      </c>
      <c r="V5">
        <v>0</v>
      </c>
      <c r="W5">
        <v>0</v>
      </c>
      <c r="X5">
        <v>20</v>
      </c>
      <c r="Y5">
        <v>0</v>
      </c>
      <c r="Z5">
        <v>20</v>
      </c>
      <c r="AA5">
        <v>20</v>
      </c>
      <c r="AB5">
        <v>0</v>
      </c>
      <c r="AC5">
        <v>20</v>
      </c>
      <c r="AD5">
        <v>0</v>
      </c>
      <c r="AG5">
        <v>0</v>
      </c>
    </row>
    <row r="6" spans="1:33">
      <c r="A6" t="s">
        <v>381</v>
      </c>
      <c r="B6" t="s">
        <v>438</v>
      </c>
      <c r="C6">
        <v>0</v>
      </c>
      <c r="D6">
        <v>0</v>
      </c>
      <c r="E6">
        <v>0</v>
      </c>
      <c r="F6">
        <v>0</v>
      </c>
      <c r="G6">
        <v>0</v>
      </c>
      <c r="H6">
        <v>0</v>
      </c>
      <c r="I6">
        <v>0</v>
      </c>
      <c r="J6">
        <v>0</v>
      </c>
      <c r="K6">
        <v>0</v>
      </c>
      <c r="L6">
        <v>0</v>
      </c>
      <c r="M6">
        <v>0</v>
      </c>
      <c r="N6">
        <v>0</v>
      </c>
      <c r="O6">
        <v>0</v>
      </c>
      <c r="P6">
        <v>0</v>
      </c>
      <c r="Q6">
        <v>0</v>
      </c>
      <c r="R6">
        <v>0</v>
      </c>
      <c r="S6">
        <v>0</v>
      </c>
      <c r="T6">
        <v>0</v>
      </c>
      <c r="U6">
        <v>0</v>
      </c>
      <c r="V6">
        <v>0</v>
      </c>
      <c r="W6">
        <v>0</v>
      </c>
      <c r="AG6">
        <v>0</v>
      </c>
    </row>
    <row r="7" spans="1:33">
      <c r="A7" t="s">
        <v>383</v>
      </c>
      <c r="B7" t="s">
        <v>384</v>
      </c>
      <c r="C7">
        <v>0</v>
      </c>
      <c r="D7">
        <v>0</v>
      </c>
      <c r="E7">
        <v>0</v>
      </c>
      <c r="F7">
        <v>0</v>
      </c>
      <c r="G7">
        <v>0</v>
      </c>
      <c r="H7">
        <v>0</v>
      </c>
      <c r="I7">
        <v>0</v>
      </c>
      <c r="J7">
        <v>0</v>
      </c>
      <c r="K7">
        <v>0</v>
      </c>
      <c r="L7">
        <v>0</v>
      </c>
      <c r="M7">
        <v>0</v>
      </c>
      <c r="N7">
        <v>0</v>
      </c>
      <c r="O7">
        <v>0</v>
      </c>
      <c r="P7">
        <v>0</v>
      </c>
      <c r="Q7">
        <v>0</v>
      </c>
      <c r="R7">
        <v>0</v>
      </c>
      <c r="S7">
        <v>0</v>
      </c>
      <c r="T7">
        <v>0</v>
      </c>
      <c r="U7">
        <v>0</v>
      </c>
      <c r="V7">
        <v>0</v>
      </c>
      <c r="W7">
        <v>0</v>
      </c>
      <c r="X7">
        <v>12</v>
      </c>
      <c r="Y7">
        <v>0</v>
      </c>
      <c r="Z7">
        <v>12</v>
      </c>
      <c r="AA7">
        <v>12</v>
      </c>
      <c r="AB7">
        <v>0</v>
      </c>
      <c r="AC7">
        <v>12</v>
      </c>
      <c r="AD7">
        <v>0</v>
      </c>
      <c r="AG7">
        <v>0</v>
      </c>
    </row>
    <row r="8" spans="1:33">
      <c r="A8" t="s">
        <v>383</v>
      </c>
      <c r="B8" t="s">
        <v>439</v>
      </c>
      <c r="C8">
        <v>0</v>
      </c>
      <c r="D8">
        <v>0</v>
      </c>
      <c r="E8">
        <v>0</v>
      </c>
      <c r="F8">
        <v>0</v>
      </c>
      <c r="G8">
        <v>0</v>
      </c>
      <c r="H8">
        <v>0</v>
      </c>
      <c r="I8">
        <v>0</v>
      </c>
      <c r="J8">
        <v>0</v>
      </c>
      <c r="K8">
        <v>0</v>
      </c>
      <c r="L8">
        <v>0</v>
      </c>
      <c r="M8">
        <v>0</v>
      </c>
      <c r="N8">
        <v>0</v>
      </c>
      <c r="O8">
        <v>0</v>
      </c>
      <c r="P8">
        <v>0</v>
      </c>
      <c r="Q8">
        <v>0</v>
      </c>
      <c r="R8">
        <v>0</v>
      </c>
      <c r="S8">
        <v>0</v>
      </c>
      <c r="T8">
        <v>0</v>
      </c>
      <c r="U8">
        <v>0</v>
      </c>
      <c r="V8">
        <v>0</v>
      </c>
      <c r="W8">
        <v>0</v>
      </c>
      <c r="AG8">
        <v>0</v>
      </c>
    </row>
    <row r="9" spans="1:33">
      <c r="A9" t="s">
        <v>383</v>
      </c>
      <c r="B9" t="s">
        <v>386</v>
      </c>
      <c r="C9">
        <v>0</v>
      </c>
      <c r="D9">
        <v>0</v>
      </c>
      <c r="E9">
        <v>0</v>
      </c>
      <c r="F9">
        <v>0</v>
      </c>
      <c r="G9">
        <v>0</v>
      </c>
      <c r="H9">
        <v>0</v>
      </c>
      <c r="I9">
        <v>0</v>
      </c>
      <c r="J9">
        <v>0</v>
      </c>
      <c r="K9">
        <v>0</v>
      </c>
      <c r="L9">
        <v>0</v>
      </c>
      <c r="M9">
        <v>0</v>
      </c>
      <c r="N9">
        <v>0</v>
      </c>
      <c r="O9">
        <v>0</v>
      </c>
      <c r="P9">
        <v>0</v>
      </c>
      <c r="Q9">
        <v>0</v>
      </c>
      <c r="R9">
        <v>0</v>
      </c>
      <c r="S9">
        <v>0</v>
      </c>
      <c r="T9">
        <v>0</v>
      </c>
      <c r="U9">
        <v>0</v>
      </c>
      <c r="V9">
        <v>0</v>
      </c>
      <c r="W9">
        <v>0</v>
      </c>
      <c r="X9">
        <v>13</v>
      </c>
      <c r="Y9">
        <v>0</v>
      </c>
      <c r="Z9">
        <v>13</v>
      </c>
      <c r="AA9">
        <v>13</v>
      </c>
      <c r="AB9">
        <v>0</v>
      </c>
      <c r="AC9">
        <v>13</v>
      </c>
      <c r="AD9">
        <v>0</v>
      </c>
      <c r="AG9">
        <v>0</v>
      </c>
    </row>
    <row r="10" spans="1:33">
      <c r="A10" t="s">
        <v>383</v>
      </c>
      <c r="B10" t="s">
        <v>387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4</v>
      </c>
      <c r="Z10">
        <v>0.5</v>
      </c>
      <c r="AA10">
        <v>0.5</v>
      </c>
      <c r="AB10">
        <v>0</v>
      </c>
      <c r="AC10">
        <v>0</v>
      </c>
      <c r="AD10">
        <v>4</v>
      </c>
      <c r="AG10">
        <v>0</v>
      </c>
    </row>
    <row r="11" spans="1:33">
      <c r="A11" t="s">
        <v>383</v>
      </c>
      <c r="B11" t="s">
        <v>388</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4</v>
      </c>
      <c r="Z11">
        <v>0.5</v>
      </c>
      <c r="AA11">
        <v>0.5</v>
      </c>
      <c r="AB11">
        <v>0</v>
      </c>
      <c r="AC11">
        <v>0</v>
      </c>
      <c r="AD11">
        <v>4</v>
      </c>
      <c r="AG11">
        <v>0</v>
      </c>
    </row>
    <row r="12" spans="1:33">
      <c r="A12" t="s">
        <v>383</v>
      </c>
      <c r="B12" t="s">
        <v>440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AG12">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7"/>
  <sheetViews>
    <sheetView workbookViewId="0"/>
  </sheetViews>
  <sheetFormatPr defaultRowHeight="14.5"/>
  <sheetData>
    <row r="1" spans="1:17">
      <c r="A1" t="s">
        <v>441</v>
      </c>
      <c r="B1" t="s">
        <v>442</v>
      </c>
      <c r="C1" t="s">
        <v>431</v>
      </c>
      <c r="D1" t="s">
        <v>432</v>
      </c>
      <c r="E1" t="s">
        <v>433</v>
      </c>
      <c r="F1" t="s">
        <v>419</v>
      </c>
      <c r="G1" t="s">
        <v>420</v>
      </c>
      <c r="H1" t="s">
        <v>437</v>
      </c>
      <c r="I1" t="s">
        <v>428</v>
      </c>
      <c r="J1" t="s">
        <v>429</v>
      </c>
      <c r="K1" t="s">
        <v>430</v>
      </c>
      <c r="L1" t="s">
        <v>443</v>
      </c>
      <c r="M1" t="s">
        <v>444</v>
      </c>
      <c r="N1" t="s">
        <v>445</v>
      </c>
      <c r="O1" t="s">
        <v>446</v>
      </c>
      <c r="P1" t="s">
        <v>447</v>
      </c>
      <c r="Q1" t="s">
        <v>448</v>
      </c>
    </row>
    <row r="2" spans="1:17">
      <c r="A2" t="s">
        <v>374</v>
      </c>
      <c r="B2">
        <v>0</v>
      </c>
      <c r="C2">
        <v>0</v>
      </c>
      <c r="D2">
        <v>0</v>
      </c>
      <c r="E2">
        <v>0</v>
      </c>
      <c r="F2">
        <v>0</v>
      </c>
      <c r="G2">
        <v>0</v>
      </c>
      <c r="H2">
        <v>0</v>
      </c>
      <c r="I2">
        <v>0</v>
      </c>
      <c r="J2">
        <v>0</v>
      </c>
      <c r="K2">
        <v>0</v>
      </c>
      <c r="L2">
        <v>0</v>
      </c>
      <c r="M2">
        <v>0</v>
      </c>
    </row>
    <row r="3" spans="1:17">
      <c r="A3" t="s">
        <v>379</v>
      </c>
      <c r="B3">
        <v>0</v>
      </c>
      <c r="C3">
        <v>0</v>
      </c>
      <c r="D3">
        <v>0</v>
      </c>
      <c r="E3">
        <v>0</v>
      </c>
      <c r="F3">
        <v>0</v>
      </c>
      <c r="G3">
        <v>0</v>
      </c>
      <c r="H3">
        <v>0</v>
      </c>
      <c r="I3">
        <v>0</v>
      </c>
      <c r="J3">
        <v>0</v>
      </c>
      <c r="K3">
        <v>0</v>
      </c>
      <c r="L3">
        <v>0</v>
      </c>
      <c r="M3">
        <v>0</v>
      </c>
    </row>
    <row r="4" spans="1:17">
      <c r="A4" t="s">
        <v>381</v>
      </c>
      <c r="B4">
        <v>0</v>
      </c>
      <c r="C4">
        <v>0</v>
      </c>
      <c r="D4">
        <v>0</v>
      </c>
      <c r="E4">
        <v>0</v>
      </c>
      <c r="F4">
        <v>0</v>
      </c>
      <c r="G4">
        <v>0</v>
      </c>
      <c r="H4">
        <v>0</v>
      </c>
      <c r="I4">
        <v>0</v>
      </c>
      <c r="J4">
        <v>0</v>
      </c>
      <c r="K4">
        <v>0</v>
      </c>
      <c r="L4">
        <v>0</v>
      </c>
      <c r="M4">
        <v>0</v>
      </c>
    </row>
    <row r="5" spans="1:17">
      <c r="A5" t="s">
        <v>383</v>
      </c>
      <c r="B5">
        <v>0</v>
      </c>
      <c r="C5">
        <v>0</v>
      </c>
      <c r="D5">
        <v>0</v>
      </c>
      <c r="E5">
        <v>0</v>
      </c>
      <c r="F5">
        <v>0</v>
      </c>
      <c r="G5">
        <v>0</v>
      </c>
      <c r="H5">
        <v>0</v>
      </c>
      <c r="I5">
        <v>0</v>
      </c>
      <c r="J5">
        <v>0</v>
      </c>
      <c r="K5">
        <v>0</v>
      </c>
      <c r="L5">
        <v>0</v>
      </c>
      <c r="M5">
        <v>0</v>
      </c>
    </row>
    <row r="6" spans="1:17">
      <c r="A6" t="s">
        <v>449</v>
      </c>
      <c r="B6">
        <v>0</v>
      </c>
      <c r="C6">
        <v>0</v>
      </c>
      <c r="D6">
        <v>0</v>
      </c>
      <c r="E6">
        <v>0</v>
      </c>
      <c r="F6">
        <v>0</v>
      </c>
      <c r="G6">
        <v>0</v>
      </c>
      <c r="H6">
        <v>0</v>
      </c>
      <c r="I6">
        <v>0</v>
      </c>
      <c r="J6">
        <v>0</v>
      </c>
      <c r="K6">
        <v>0</v>
      </c>
      <c r="L6">
        <v>0</v>
      </c>
      <c r="M6">
        <v>0</v>
      </c>
    </row>
    <row r="7" spans="1:17">
      <c r="A7" t="s">
        <v>80</v>
      </c>
      <c r="B7">
        <v>0</v>
      </c>
      <c r="C7">
        <v>0</v>
      </c>
      <c r="D7">
        <v>0</v>
      </c>
      <c r="E7">
        <v>0</v>
      </c>
      <c r="F7">
        <v>0</v>
      </c>
      <c r="G7">
        <v>0</v>
      </c>
      <c r="H7">
        <v>0</v>
      </c>
      <c r="I7">
        <v>0</v>
      </c>
      <c r="J7">
        <v>0</v>
      </c>
      <c r="K7">
        <v>0</v>
      </c>
      <c r="L7">
        <v>0</v>
      </c>
      <c r="M7">
        <v>0</v>
      </c>
    </row>
    <row r="8" spans="1:17">
      <c r="A8" t="s">
        <v>450</v>
      </c>
      <c r="B8">
        <v>0</v>
      </c>
      <c r="C8">
        <v>0</v>
      </c>
      <c r="D8">
        <v>0</v>
      </c>
      <c r="E8">
        <v>0</v>
      </c>
      <c r="F8">
        <v>0</v>
      </c>
      <c r="G8">
        <v>0</v>
      </c>
      <c r="H8">
        <v>0</v>
      </c>
      <c r="I8">
        <v>0</v>
      </c>
      <c r="J8">
        <v>0</v>
      </c>
      <c r="K8">
        <v>0</v>
      </c>
      <c r="L8">
        <v>0</v>
      </c>
      <c r="M8">
        <v>0</v>
      </c>
    </row>
    <row r="9" spans="1:17">
      <c r="A9" t="s">
        <v>451</v>
      </c>
      <c r="B9">
        <v>0</v>
      </c>
      <c r="C9">
        <v>0</v>
      </c>
      <c r="D9">
        <v>0</v>
      </c>
      <c r="E9">
        <v>0</v>
      </c>
      <c r="F9">
        <v>0</v>
      </c>
      <c r="G9">
        <v>0</v>
      </c>
      <c r="H9">
        <v>0</v>
      </c>
      <c r="I9">
        <v>0</v>
      </c>
      <c r="J9">
        <v>0</v>
      </c>
      <c r="K9">
        <v>0</v>
      </c>
      <c r="L9">
        <v>0</v>
      </c>
      <c r="M9">
        <v>0</v>
      </c>
    </row>
    <row r="10" spans="1:17">
      <c r="A10" t="s">
        <v>70</v>
      </c>
      <c r="B10">
        <v>0</v>
      </c>
      <c r="C10">
        <v>0</v>
      </c>
      <c r="D10">
        <v>0</v>
      </c>
      <c r="E10">
        <v>0</v>
      </c>
      <c r="F10">
        <v>0</v>
      </c>
      <c r="G10">
        <v>0</v>
      </c>
      <c r="H10">
        <v>0</v>
      </c>
      <c r="I10">
        <v>0</v>
      </c>
      <c r="J10">
        <v>0</v>
      </c>
      <c r="K10">
        <v>0</v>
      </c>
      <c r="L10">
        <v>0</v>
      </c>
      <c r="M10">
        <v>0</v>
      </c>
    </row>
    <row r="11" spans="1:17">
      <c r="A11" t="s">
        <v>77</v>
      </c>
      <c r="B11">
        <v>0</v>
      </c>
      <c r="C11">
        <v>0</v>
      </c>
      <c r="D11">
        <v>0</v>
      </c>
      <c r="E11">
        <v>0</v>
      </c>
      <c r="F11">
        <v>0</v>
      </c>
      <c r="G11">
        <v>0</v>
      </c>
      <c r="H11">
        <v>0</v>
      </c>
      <c r="I11">
        <v>0</v>
      </c>
      <c r="J11">
        <v>0</v>
      </c>
      <c r="K11">
        <v>0</v>
      </c>
      <c r="L11">
        <v>0</v>
      </c>
      <c r="M11">
        <v>0</v>
      </c>
    </row>
    <row r="12" spans="1:17">
      <c r="A12" t="s">
        <v>71</v>
      </c>
      <c r="B12">
        <v>0</v>
      </c>
      <c r="C12">
        <v>0</v>
      </c>
      <c r="D12">
        <v>0</v>
      </c>
      <c r="E12">
        <v>0</v>
      </c>
      <c r="F12">
        <v>0</v>
      </c>
      <c r="G12">
        <v>0</v>
      </c>
      <c r="H12">
        <v>0</v>
      </c>
      <c r="I12">
        <v>0</v>
      </c>
      <c r="J12">
        <v>0</v>
      </c>
      <c r="K12">
        <v>0</v>
      </c>
      <c r="L12">
        <v>0</v>
      </c>
      <c r="M12">
        <v>0</v>
      </c>
    </row>
    <row r="13" spans="1:17">
      <c r="A13" t="s">
        <v>64</v>
      </c>
      <c r="B13">
        <v>0</v>
      </c>
      <c r="C13">
        <v>0</v>
      </c>
      <c r="D13">
        <v>0</v>
      </c>
      <c r="E13">
        <v>0</v>
      </c>
      <c r="F13">
        <v>0</v>
      </c>
      <c r="G13">
        <v>0</v>
      </c>
      <c r="H13">
        <v>0</v>
      </c>
      <c r="I13">
        <v>0</v>
      </c>
      <c r="J13">
        <v>0</v>
      </c>
      <c r="K13">
        <v>0</v>
      </c>
      <c r="L13">
        <v>0</v>
      </c>
      <c r="M13">
        <v>0</v>
      </c>
    </row>
    <row r="14" spans="1:17">
      <c r="A14" t="s">
        <v>65</v>
      </c>
      <c r="B14">
        <v>0</v>
      </c>
      <c r="C14">
        <v>0</v>
      </c>
      <c r="D14">
        <v>0</v>
      </c>
      <c r="E14">
        <v>0</v>
      </c>
      <c r="F14">
        <v>0</v>
      </c>
      <c r="G14">
        <v>0</v>
      </c>
      <c r="H14">
        <v>0</v>
      </c>
      <c r="I14">
        <v>0</v>
      </c>
      <c r="J14">
        <v>0</v>
      </c>
      <c r="K14">
        <v>0</v>
      </c>
      <c r="L14">
        <v>0</v>
      </c>
      <c r="M14">
        <v>0</v>
      </c>
    </row>
    <row r="15" spans="1:17">
      <c r="A15" t="s">
        <v>452</v>
      </c>
      <c r="B15">
        <v>0</v>
      </c>
      <c r="C15">
        <v>0</v>
      </c>
      <c r="D15">
        <v>0</v>
      </c>
      <c r="E15">
        <v>0</v>
      </c>
      <c r="F15">
        <v>0</v>
      </c>
      <c r="G15">
        <v>0</v>
      </c>
      <c r="H15">
        <v>0</v>
      </c>
      <c r="I15">
        <v>0</v>
      </c>
      <c r="J15">
        <v>0</v>
      </c>
      <c r="K15">
        <v>0</v>
      </c>
      <c r="L15">
        <v>0</v>
      </c>
      <c r="M15">
        <v>0</v>
      </c>
    </row>
    <row r="16" spans="1:17">
      <c r="A16" t="s">
        <v>453</v>
      </c>
      <c r="B16">
        <v>0</v>
      </c>
      <c r="C16">
        <v>0</v>
      </c>
      <c r="D16">
        <v>0</v>
      </c>
      <c r="E16">
        <v>0</v>
      </c>
      <c r="F16">
        <v>0</v>
      </c>
      <c r="G16">
        <v>0</v>
      </c>
      <c r="H16">
        <v>0</v>
      </c>
      <c r="I16">
        <v>0</v>
      </c>
      <c r="J16">
        <v>0</v>
      </c>
      <c r="K16">
        <v>0</v>
      </c>
      <c r="L16">
        <v>0</v>
      </c>
      <c r="M16">
        <v>0</v>
      </c>
    </row>
    <row r="17" spans="1:13">
      <c r="A17" t="s">
        <v>66</v>
      </c>
      <c r="B17">
        <v>0</v>
      </c>
      <c r="C17">
        <v>0</v>
      </c>
      <c r="D17">
        <v>0</v>
      </c>
      <c r="E17">
        <v>0</v>
      </c>
      <c r="F17">
        <v>0</v>
      </c>
      <c r="G17">
        <v>0</v>
      </c>
      <c r="H17">
        <v>0</v>
      </c>
      <c r="I17">
        <v>0</v>
      </c>
      <c r="J17">
        <v>0</v>
      </c>
      <c r="K17">
        <v>0</v>
      </c>
      <c r="L17">
        <v>0</v>
      </c>
      <c r="M1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
  <sheetViews>
    <sheetView workbookViewId="0"/>
  </sheetViews>
  <sheetFormatPr defaultRowHeight="14.5"/>
  <sheetData>
    <row r="1" spans="1:32">
      <c r="A1" t="s">
        <v>166</v>
      </c>
      <c r="B1" t="s">
        <v>204</v>
      </c>
      <c r="C1" t="s">
        <v>297</v>
      </c>
      <c r="D1" t="s">
        <v>298</v>
      </c>
      <c r="E1" t="s">
        <v>299</v>
      </c>
      <c r="F1" t="s">
        <v>300</v>
      </c>
      <c r="G1" t="s">
        <v>301</v>
      </c>
      <c r="H1" t="s">
        <v>302</v>
      </c>
      <c r="I1" t="s">
        <v>303</v>
      </c>
      <c r="J1" t="s">
        <v>304</v>
      </c>
      <c r="K1" t="s">
        <v>305</v>
      </c>
      <c r="L1" t="s">
        <v>306</v>
      </c>
      <c r="M1" t="s">
        <v>454</v>
      </c>
      <c r="N1" t="s">
        <v>455</v>
      </c>
      <c r="O1" t="s">
        <v>311</v>
      </c>
      <c r="P1" t="s">
        <v>312</v>
      </c>
      <c r="Q1" t="s">
        <v>307</v>
      </c>
      <c r="R1" t="s">
        <v>308</v>
      </c>
      <c r="S1" t="s">
        <v>313</v>
      </c>
      <c r="T1" t="s">
        <v>314</v>
      </c>
      <c r="U1" t="s">
        <v>315</v>
      </c>
      <c r="V1" t="s">
        <v>316</v>
      </c>
      <c r="W1" t="s">
        <v>317</v>
      </c>
      <c r="X1" t="s">
        <v>318</v>
      </c>
      <c r="Y1" t="s">
        <v>456</v>
      </c>
      <c r="Z1" t="s">
        <v>457</v>
      </c>
      <c r="AA1" t="s">
        <v>458</v>
      </c>
      <c r="AB1" t="s">
        <v>459</v>
      </c>
      <c r="AC1" t="s">
        <v>460</v>
      </c>
      <c r="AD1" t="s">
        <v>445</v>
      </c>
      <c r="AE1" t="s">
        <v>446</v>
      </c>
      <c r="AF1" t="s">
        <v>461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Receipts</vt:lpstr>
      <vt:lpstr>Expenses</vt:lpstr>
      <vt:lpstr>Stock</vt:lpstr>
      <vt:lpstr>raw data</vt:lpstr>
      <vt:lpstr>Stock_raw</vt:lpstr>
      <vt:lpstr>Issues of the Mills</vt:lpstr>
      <vt:lpstr>Prices</vt:lpstr>
      <vt:lpstr>Labour Rents</vt:lpstr>
      <vt:lpstr>not needed</vt:lpstr>
      <vt:lpstr>Issues of the Grange raw</vt:lpstr>
      <vt:lpstr>Issues of the Grange</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Kowalski, Kuba</cp:lastModifiedBy>
  <dcterms:created xsi:type="dcterms:W3CDTF">2024-09-06T15:22:17Z</dcterms:created>
  <dcterms:modified xsi:type="dcterms:W3CDTF">2026-02-04T22:19:17Z</dcterms:modified>
</cp:coreProperties>
</file>
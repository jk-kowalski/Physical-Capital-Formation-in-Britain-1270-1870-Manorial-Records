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8520" yWindow="5790" windowWidth="38640" windowHeight="21120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Receipts" sheetId="2" state="visible" r:id="rId2"/>
    <sheet xmlns:r="http://schemas.openxmlformats.org/officeDocument/2006/relationships" name="Expenses" sheetId="3" state="visible" r:id="rId3"/>
    <sheet xmlns:r="http://schemas.openxmlformats.org/officeDocument/2006/relationships" name="Stock" sheetId="4" state="visible" r:id="rId4"/>
    <sheet xmlns:r="http://schemas.openxmlformats.org/officeDocument/2006/relationships" name="raw data" sheetId="5" state="visible" r:id="rId5"/>
    <sheet xmlns:r="http://schemas.openxmlformats.org/officeDocument/2006/relationships" name="Issues of the Grange" sheetId="6" state="visible" r:id="rId6"/>
    <sheet xmlns:r="http://schemas.openxmlformats.org/officeDocument/2006/relationships" name="Issues of the Mills" sheetId="7" state="visible" r:id="rId7"/>
    <sheet xmlns:r="http://schemas.openxmlformats.org/officeDocument/2006/relationships" name="Stock_raw" sheetId="8" state="visible" r:id="rId8"/>
    <sheet xmlns:r="http://schemas.openxmlformats.org/officeDocument/2006/relationships" name="Prices" sheetId="9" state="visible" r:id="rId9"/>
    <sheet xmlns:r="http://schemas.openxmlformats.org/officeDocument/2006/relationships" name="Labour Rents" sheetId="10" state="visible" r:id="rId10"/>
    <sheet xmlns:r="http://schemas.openxmlformats.org/officeDocument/2006/relationships" name="not needed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#,##0.000000"/>
  </numFmts>
  <fonts count="28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sz val="11"/>
    </font>
    <font>
      <name val="Calibri"/>
      <family val="2"/>
      <color rgb="FFFF0000"/>
      <sz val="12"/>
      <scheme val="minor"/>
    </font>
    <font>
      <name val="Calibri"/>
      <family val="2"/>
      <b val="1"/>
      <color theme="1"/>
      <sz val="12"/>
      <scheme val="minor"/>
    </font>
    <font>
      <name val="Calibri (Body)"/>
      <b val="1"/>
      <color theme="1"/>
      <sz val="12"/>
    </font>
    <font>
      <name val="Calibri (Body)"/>
      <b val="1"/>
      <color rgb="FFFF0000"/>
      <sz val="12"/>
    </font>
    <font>
      <name val="Calibri"/>
      <family val="2"/>
      <b val="1"/>
      <sz val="12"/>
    </font>
    <font>
      <name val="Calibri"/>
      <family val="2"/>
      <b val="1"/>
      <color rgb="FF000000"/>
      <sz val="12"/>
      <scheme val="minor"/>
    </font>
    <font>
      <name val="Calibri"/>
      <family val="2"/>
      <i val="1"/>
      <color theme="1"/>
      <sz val="12"/>
      <scheme val="minor"/>
    </font>
    <font>
      <name val="Calibri"/>
      <family val="2"/>
      <b val="1"/>
      <i val="1"/>
      <color theme="1"/>
      <sz val="12"/>
      <scheme val="minor"/>
    </font>
    <font>
      <name val="Calibri"/>
      <family val="2"/>
      <color rgb="FF000000"/>
      <sz val="12"/>
      <scheme val="minor"/>
    </font>
    <font>
      <name val="Calibri"/>
      <family val="2"/>
      <i val="1"/>
      <color rgb="FF000000"/>
      <sz val="12"/>
      <scheme val="minor"/>
    </font>
    <font>
      <name val="Calibri"/>
      <family val="2"/>
      <b val="1"/>
      <i val="1"/>
      <color rgb="FF000000"/>
      <sz val="12"/>
      <scheme val="minor"/>
    </font>
    <font>
      <name val="Calibri (Body)"/>
      <color rgb="FFFF0000"/>
      <sz val="12"/>
    </font>
    <font>
      <name val="Calibri"/>
      <family val="2"/>
      <b val="1"/>
      <color theme="1"/>
      <sz val="11"/>
      <scheme val="minor"/>
    </font>
    <font>
      <name val="Calibri"/>
      <family val="2"/>
      <i val="1"/>
      <color rgb="FFFF0000"/>
      <sz val="12"/>
      <scheme val="minor"/>
    </font>
    <font>
      <name val="Tahoma"/>
      <family val="2"/>
      <b val="1"/>
      <color rgb="FF000000"/>
      <sz val="10"/>
    </font>
    <font>
      <name val="Tahoma"/>
      <family val="2"/>
      <color rgb="FF000000"/>
      <sz val="10"/>
    </font>
    <font>
      <name val="Calibri"/>
      <family val="2"/>
      <i val="1"/>
      <color theme="1"/>
      <sz val="11"/>
      <scheme val="minor"/>
    </font>
    <font>
      <name val="Calibri"/>
      <family val="2"/>
      <i val="1"/>
      <color rgb="FFFF0000"/>
      <sz val="11"/>
      <scheme val="minor"/>
    </font>
    <font>
      <name val="Calibri"/>
      <family val="2"/>
      <sz val="12"/>
      <scheme val="minor"/>
    </font>
    <font>
      <name val="Calibri"/>
      <family val="2"/>
      <b val="1"/>
      <color rgb="FFFF0000"/>
      <sz val="12"/>
      <scheme val="minor"/>
    </font>
  </fonts>
  <fills count="12">
    <fill>
      <patternFill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7999816888943144"/>
        <bgColor rgb="FF000000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0499893185216834"/>
        <bgColor rgb="FF000000"/>
      </patternFill>
    </fill>
    <fill>
      <patternFill patternType="solid">
        <fgColor rgb="00F2F2F2"/>
        <bgColor rgb="00F2F2F2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right style="thin">
        <color rgb="00000000"/>
      </right>
    </border>
    <border/>
    <border>
      <right style="thin">
        <color rgb="00000000"/>
      </right>
      <bottom style="thin">
        <color rgb="00000000"/>
      </bottom>
    </border>
    <border>
      <bottom style="thin">
        <color rgb="00000000"/>
      </bottom>
    </border>
  </borders>
  <cellStyleXfs count="1">
    <xf numFmtId="0" fontId="0" fillId="0" borderId="0"/>
  </cellStyleXfs>
  <cellXfs count="147">
    <xf numFmtId="0" fontId="0" fillId="0" borderId="0" pivotButton="0" quotePrefix="0" xfId="0"/>
    <xf numFmtId="0" fontId="7" fillId="0" borderId="1" applyAlignment="1" pivotButton="0" quotePrefix="0" xfId="0">
      <alignment horizontal="center" vertical="top"/>
    </xf>
    <xf numFmtId="0" fontId="10" fillId="0" borderId="0" pivotButton="0" quotePrefix="0" xfId="0"/>
    <xf numFmtId="4" fontId="10" fillId="0" borderId="0" applyAlignment="1" pivotButton="0" quotePrefix="0" xfId="0">
      <alignment horizontal="right"/>
    </xf>
    <xf numFmtId="0" fontId="10" fillId="0" borderId="0" applyAlignment="1" pivotButton="0" quotePrefix="0" xfId="0">
      <alignment horizontal="right"/>
    </xf>
    <xf numFmtId="4" fontId="9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top"/>
    </xf>
    <xf numFmtId="0" fontId="12" fillId="0" borderId="0" applyAlignment="1" pivotButton="0" quotePrefix="0" xfId="0">
      <alignment horizontal="left" vertical="top"/>
    </xf>
    <xf numFmtId="0" fontId="13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12" fillId="0" borderId="0" applyAlignment="1" pivotButton="0" quotePrefix="0" xfId="0">
      <alignment horizontal="center" vertical="top"/>
    </xf>
    <xf numFmtId="0" fontId="9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3" fillId="2" borderId="0" pivotButton="0" quotePrefix="0" xfId="0"/>
    <xf numFmtId="0" fontId="17" fillId="2" borderId="0" pivotButton="0" quotePrefix="0" xfId="0"/>
    <xf numFmtId="0" fontId="16" fillId="3" borderId="0" pivotButton="0" quotePrefix="0" xfId="0"/>
    <xf numFmtId="0" fontId="17" fillId="3" borderId="0" pivotButton="0" quotePrefix="0" xfId="0"/>
    <xf numFmtId="0" fontId="17" fillId="4" borderId="0" pivotButton="0" quotePrefix="0" xfId="0"/>
    <xf numFmtId="0" fontId="13" fillId="5" borderId="0" pivotButton="0" quotePrefix="0" xfId="0"/>
    <xf numFmtId="0" fontId="16" fillId="0" borderId="0" applyAlignment="1" pivotButton="0" quotePrefix="0" xfId="0">
      <alignment wrapText="1"/>
    </xf>
    <xf numFmtId="0" fontId="16" fillId="0" borderId="2" pivotButton="0" quotePrefix="0" xfId="0"/>
    <xf numFmtId="0" fontId="16" fillId="0" borderId="0" applyAlignment="1" pivotButton="0" quotePrefix="0" xfId="0">
      <alignment horizontal="right"/>
    </xf>
    <xf numFmtId="0" fontId="16" fillId="0" borderId="2" applyAlignment="1" pivotButton="0" quotePrefix="0" xfId="0">
      <alignment horizontal="left"/>
    </xf>
    <xf numFmtId="2" fontId="6" fillId="0" borderId="0" pivotButton="0" quotePrefix="0" xfId="0"/>
    <xf numFmtId="0" fontId="0" fillId="0" borderId="0" applyAlignment="1" pivotButton="0" quotePrefix="0" xfId="0">
      <alignment horizontal="right" wrapText="1"/>
    </xf>
    <xf numFmtId="0" fontId="0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right" wrapText="1"/>
    </xf>
    <xf numFmtId="0" fontId="12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4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2" fontId="9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7" fillId="0" borderId="0" applyAlignment="1" pivotButton="0" quotePrefix="0" xfId="0">
      <alignment horizontal="center" vertical="top"/>
    </xf>
    <xf numFmtId="0" fontId="20" fillId="0" borderId="0" pivotButton="0" quotePrefix="0" xfId="0"/>
    <xf numFmtId="0" fontId="0" fillId="6" borderId="0" pivotButton="0" quotePrefix="0" xfId="0"/>
    <xf numFmtId="0" fontId="21" fillId="0" borderId="0" pivotButton="0" quotePrefix="0" xfId="0"/>
    <xf numFmtId="0" fontId="0" fillId="0" borderId="0" applyAlignment="1" pivotButton="0" quotePrefix="0" xfId="0">
      <alignment horizontal="center"/>
    </xf>
    <xf numFmtId="0" fontId="0" fillId="8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wrapText="1"/>
    </xf>
    <xf numFmtId="4" fontId="0" fillId="0" borderId="0" applyAlignment="1" pivotButton="0" quotePrefix="0" xfId="0">
      <alignment horizontal="right" wrapText="1"/>
    </xf>
    <xf numFmtId="0" fontId="0" fillId="0" borderId="3" applyAlignment="1" pivotButton="0" quotePrefix="0" xfId="0">
      <alignment horizontal="right"/>
    </xf>
    <xf numFmtId="0" fontId="0" fillId="0" borderId="4" applyAlignment="1" pivotButton="0" quotePrefix="0" xfId="0">
      <alignment horizontal="right"/>
    </xf>
    <xf numFmtId="0" fontId="0" fillId="0" borderId="5" applyAlignment="1" pivotButton="0" quotePrefix="0" xfId="0">
      <alignment horizontal="right"/>
    </xf>
    <xf numFmtId="0" fontId="0" fillId="0" borderId="4" applyAlignment="1" pivotButton="0" quotePrefix="0" xfId="0">
      <alignment horizontal="center"/>
    </xf>
    <xf numFmtId="2" fontId="19" fillId="0" borderId="0" pivotButton="0" quotePrefix="0" xfId="0"/>
    <xf numFmtId="2" fontId="11" fillId="0" borderId="0" applyAlignment="1" pivotButton="0" quotePrefix="0" xfId="0">
      <alignment horizontal="center" vertical="center"/>
    </xf>
    <xf numFmtId="2" fontId="9" fillId="0" borderId="0" applyAlignment="1" pivotButton="0" quotePrefix="0" xfId="0">
      <alignment horizontal="center" vertical="center" wrapText="1"/>
    </xf>
    <xf numFmtId="0" fontId="9" fillId="5" borderId="0" pivotButton="0" quotePrefix="0" xfId="0"/>
    <xf numFmtId="0" fontId="6" fillId="5" borderId="0" pivotButton="0" quotePrefix="0" xfId="0"/>
    <xf numFmtId="2" fontId="6" fillId="5" borderId="0" pivotButton="0" quotePrefix="0" xfId="0"/>
    <xf numFmtId="2" fontId="19" fillId="5" borderId="0" pivotButton="0" quotePrefix="0" xfId="0"/>
    <xf numFmtId="0" fontId="14" fillId="5" borderId="0" pivotButton="0" quotePrefix="0" xfId="0"/>
    <xf numFmtId="0" fontId="21" fillId="5" borderId="0" pivotButton="0" quotePrefix="0" xfId="0"/>
    <xf numFmtId="0" fontId="24" fillId="0" borderId="0" pivotButton="0" quotePrefix="0" xfId="0"/>
    <xf numFmtId="0" fontId="0" fillId="0" borderId="4" pivotButton="0" quotePrefix="0" xfId="0"/>
    <xf numFmtId="0" fontId="25" fillId="0" borderId="0" pivotButton="0" quotePrefix="0" xfId="0"/>
    <xf numFmtId="164" fontId="26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pivotButton="0" quotePrefix="0" xfId="0"/>
    <xf numFmtId="164" fontId="0" fillId="0" borderId="0" pivotButton="0" quotePrefix="0" xfId="0"/>
    <xf numFmtId="0" fontId="9" fillId="0" borderId="0" applyAlignment="1" pivotButton="0" quotePrefix="0" xfId="0">
      <alignment wrapText="1"/>
    </xf>
    <xf numFmtId="0" fontId="14" fillId="6" borderId="0" pivotButton="0" quotePrefix="0" xfId="0"/>
    <xf numFmtId="0" fontId="0" fillId="0" borderId="6" pivotButton="0" quotePrefix="0" xfId="0"/>
    <xf numFmtId="0" fontId="0" fillId="0" borderId="6" applyAlignment="1" pivotButton="0" quotePrefix="0" xfId="0">
      <alignment horizontal="left"/>
    </xf>
    <xf numFmtId="0" fontId="0" fillId="5" borderId="0" pivotButton="0" quotePrefix="0" xfId="0"/>
    <xf numFmtId="0" fontId="0" fillId="9" borderId="0" pivotButton="0" quotePrefix="0" xfId="0"/>
    <xf numFmtId="2" fontId="0" fillId="0" borderId="0" pivotButton="0" quotePrefix="0" xfId="0"/>
    <xf numFmtId="2" fontId="0" fillId="0" borderId="0" applyAlignment="1" pivotButton="0" quotePrefix="0" xfId="0">
      <alignment wrapText="1"/>
    </xf>
    <xf numFmtId="2" fontId="9" fillId="0" borderId="0" applyAlignment="1" pivotButton="0" quotePrefix="0" xfId="0">
      <alignment wrapText="1"/>
    </xf>
    <xf numFmtId="4" fontId="0" fillId="0" borderId="0" applyAlignment="1" pivotButton="0" quotePrefix="0" xfId="0">
      <alignment horizontal="right"/>
    </xf>
    <xf numFmtId="0" fontId="4" fillId="0" borderId="0" pivotButton="0" quotePrefix="0" xfId="0"/>
    <xf numFmtId="2" fontId="13" fillId="0" borderId="0" applyAlignment="1" pivotButton="0" quotePrefix="0" xfId="0">
      <alignment horizontal="right"/>
    </xf>
    <xf numFmtId="2" fontId="27" fillId="0" borderId="0" applyAlignment="1" pivotButton="0" quotePrefix="0" xfId="0">
      <alignment horizontal="right"/>
    </xf>
    <xf numFmtId="0" fontId="4" fillId="0" borderId="8" pivotButton="0" quotePrefix="0" xfId="0"/>
    <xf numFmtId="0" fontId="8" fillId="0" borderId="8" pivotButton="0" quotePrefix="0" xfId="0"/>
    <xf numFmtId="0" fontId="15" fillId="5" borderId="8" pivotButton="0" quotePrefix="0" xfId="0"/>
    <xf numFmtId="0" fontId="15" fillId="5" borderId="0" pivotButton="0" quotePrefix="0" xfId="0"/>
    <xf numFmtId="0" fontId="18" fillId="2" borderId="0" pivotButton="0" quotePrefix="0" xfId="0"/>
    <xf numFmtId="2" fontId="4" fillId="0" borderId="0" pivotButton="0" quotePrefix="0" xfId="0"/>
    <xf numFmtId="0" fontId="16" fillId="0" borderId="4" pivotButton="0" quotePrefix="0" xfId="0"/>
    <xf numFmtId="2" fontId="4" fillId="0" borderId="4" pivotButton="0" quotePrefix="0" xfId="0"/>
    <xf numFmtId="0" fontId="8" fillId="0" borderId="4" pivotButton="0" quotePrefix="0" xfId="0"/>
    <xf numFmtId="0" fontId="4" fillId="0" borderId="4" pivotButton="0" quotePrefix="0" xfId="0"/>
    <xf numFmtId="4" fontId="9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right"/>
    </xf>
    <xf numFmtId="2" fontId="13" fillId="5" borderId="0" applyAlignment="1" pivotButton="0" quotePrefix="0" xfId="0">
      <alignment horizontal="right"/>
    </xf>
    <xf numFmtId="0" fontId="13" fillId="10" borderId="0" pivotButton="0" quotePrefix="0" xfId="0"/>
    <xf numFmtId="0" fontId="4" fillId="5" borderId="0" pivotButton="0" quotePrefix="0" xfId="0"/>
    <xf numFmtId="0" fontId="8" fillId="5" borderId="0" pivotButton="0" quotePrefix="0" xfId="0"/>
    <xf numFmtId="0" fontId="9" fillId="5" borderId="0" applyAlignment="1" pivotButton="0" quotePrefix="0" xfId="0">
      <alignment horizontal="right"/>
    </xf>
    <xf numFmtId="0" fontId="3" fillId="0" borderId="0" pivotButton="0" quotePrefix="0" xfId="0"/>
    <xf numFmtId="0" fontId="17" fillId="2" borderId="9" pivotButton="0" quotePrefix="0" xfId="0"/>
    <xf numFmtId="0" fontId="17" fillId="4" borderId="9" pivotButton="0" quotePrefix="0" xfId="0"/>
    <xf numFmtId="0" fontId="16" fillId="0" borderId="9" pivotButton="0" quotePrefix="0" xfId="0"/>
    <xf numFmtId="10" fontId="17" fillId="2" borderId="9" pivotButton="0" quotePrefix="0" xfId="0"/>
    <xf numFmtId="10" fontId="17" fillId="4" borderId="11" pivotButton="0" quotePrefix="0" xfId="0"/>
    <xf numFmtId="0" fontId="8" fillId="0" borderId="12" pivotButton="0" quotePrefix="0" xfId="0"/>
    <xf numFmtId="0" fontId="16" fillId="5" borderId="14" pivotButton="0" quotePrefix="0" xfId="0"/>
    <xf numFmtId="2" fontId="13" fillId="5" borderId="15" applyAlignment="1" pivotButton="0" quotePrefix="0" xfId="0">
      <alignment horizontal="right"/>
    </xf>
    <xf numFmtId="0" fontId="8" fillId="5" borderId="15" pivotButton="0" quotePrefix="0" xfId="0"/>
    <xf numFmtId="0" fontId="3" fillId="0" borderId="12" pivotButton="0" quotePrefix="0" xfId="0"/>
    <xf numFmtId="2" fontId="4" fillId="5" borderId="0" pivotButton="0" quotePrefix="0" xfId="0"/>
    <xf numFmtId="0" fontId="2" fillId="5" borderId="15" pivotButton="0" quotePrefix="0" xfId="0"/>
    <xf numFmtId="0" fontId="2" fillId="5" borderId="16" pivotButton="0" quotePrefix="0" xfId="0"/>
    <xf numFmtId="2" fontId="2" fillId="0" borderId="0" pivotButton="0" quotePrefix="0" xfId="0"/>
    <xf numFmtId="0" fontId="2" fillId="0" borderId="0" pivotButton="0" quotePrefix="0" xfId="0"/>
    <xf numFmtId="0" fontId="2" fillId="0" borderId="10" pivotButton="0" quotePrefix="0" xfId="0"/>
    <xf numFmtId="10" fontId="2" fillId="0" borderId="0" pivotButton="0" quotePrefix="0" xfId="0"/>
    <xf numFmtId="0" fontId="2" fillId="0" borderId="12" pivotButton="0" quotePrefix="0" xfId="0"/>
    <xf numFmtId="0" fontId="2" fillId="0" borderId="13" pivotButton="0" quotePrefix="0" xfId="0"/>
    <xf numFmtId="0" fontId="1" fillId="0" borderId="0" pivotButton="0" quotePrefix="0" xfId="0"/>
    <xf numFmtId="2" fontId="9" fillId="5" borderId="0" pivotButton="0" quotePrefix="0" xfId="0"/>
    <xf numFmtId="2" fontId="13" fillId="0" borderId="0" applyAlignment="1" pivotButton="0" quotePrefix="0" xfId="0">
      <alignment horizontal="left" vertical="center" wrapText="1"/>
    </xf>
    <xf numFmtId="0" fontId="17" fillId="10" borderId="0" pivotButton="0" quotePrefix="0" xfId="0"/>
    <xf numFmtId="0" fontId="9" fillId="5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3" borderId="3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0" borderId="7" applyAlignment="1" pivotButton="0" quotePrefix="0" xfId="0">
      <alignment horizontal="center" wrapText="1"/>
    </xf>
    <xf numFmtId="0" fontId="10" fillId="0" borderId="17" pivotButton="0" quotePrefix="0" xfId="0"/>
    <xf numFmtId="0" fontId="0" fillId="0" borderId="18" pivotButton="0" quotePrefix="0" xfId="0"/>
    <xf numFmtId="0" fontId="12" fillId="0" borderId="19" applyAlignment="1" pivotButton="0" quotePrefix="0" xfId="0">
      <alignment horizontal="center" vertical="top"/>
    </xf>
    <xf numFmtId="4" fontId="10" fillId="0" borderId="20" applyAlignment="1" pivotButton="0" quotePrefix="0" xfId="0">
      <alignment horizontal="right"/>
    </xf>
    <xf numFmtId="0" fontId="10" fillId="0" borderId="20" applyAlignment="1" pivotButton="0" quotePrefix="0" xfId="0">
      <alignment horizontal="right"/>
    </xf>
    <xf numFmtId="4" fontId="9" fillId="0" borderId="20" applyAlignment="1" pivotButton="0" quotePrefix="0" xfId="0">
      <alignment horizontal="center"/>
    </xf>
    <xf numFmtId="0" fontId="11" fillId="0" borderId="20" applyAlignment="1" pivotButton="0" quotePrefix="0" xfId="0">
      <alignment horizontal="center" vertical="top"/>
    </xf>
    <xf numFmtId="0" fontId="12" fillId="0" borderId="20" applyAlignment="1" pivotButton="0" quotePrefix="0" xfId="0">
      <alignment horizontal="left" vertical="top"/>
    </xf>
    <xf numFmtId="0" fontId="15" fillId="0" borderId="20" pivotButton="0" quotePrefix="0" xfId="0"/>
    <xf numFmtId="0" fontId="20" fillId="0" borderId="17" pivotButton="0" quotePrefix="0" xfId="0"/>
    <xf numFmtId="0" fontId="0" fillId="0" borderId="17" pivotButton="0" quotePrefix="0" xfId="0"/>
    <xf numFmtId="0" fontId="20" fillId="11" borderId="17" pivotButton="0" quotePrefix="0" xfId="0"/>
    <xf numFmtId="0" fontId="20" fillId="11" borderId="18" pivotButton="0" quotePrefix="0" xfId="0"/>
    <xf numFmtId="0" fontId="12" fillId="0" borderId="19" applyAlignment="1" pivotButton="0" quotePrefix="0" xfId="0">
      <alignment horizontal="center" vertical="center"/>
    </xf>
    <xf numFmtId="4" fontId="10" fillId="0" borderId="20" applyAlignment="1" pivotButton="0" quotePrefix="0" xfId="0">
      <alignment horizontal="center" vertical="center"/>
    </xf>
    <xf numFmtId="0" fontId="10" fillId="0" borderId="20" applyAlignment="1" pivotButton="0" quotePrefix="0" xfId="0">
      <alignment horizontal="center" vertical="center"/>
    </xf>
    <xf numFmtId="0" fontId="0" fillId="0" borderId="20" pivotButton="0" quotePrefix="0" xfId="0"/>
    <xf numFmtId="2" fontId="9" fillId="0" borderId="20" applyAlignment="1" pivotButton="0" quotePrefix="0" xfId="0">
      <alignment horizontal="center" vertical="center"/>
    </xf>
    <xf numFmtId="2" fontId="11" fillId="0" borderId="20" applyAlignment="1" pivotButton="0" quotePrefix="0" xfId="0">
      <alignment horizontal="center" vertical="center"/>
    </xf>
    <xf numFmtId="0" fontId="12" fillId="0" borderId="2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Victoria Gierok</author>
  </authors>
  <commentList>
    <comment ref="F86" authorId="0" shapeId="0">
      <text>
        <t>Victoria Gierok:
valued at sales prices where available</t>
      </text>
    </comment>
    <comment ref="F117" authorId="0" shapeId="0">
      <text>
        <t>Victoria Gierok:
valued at sales prices where available</t>
      </text>
    </comment>
    <comment ref="F126" authorId="0" shapeId="0">
      <text>
        <t>Victoria Gierok:
valued at sales prices where available</t>
      </text>
    </comment>
    <comment ref="F150" authorId="0" shapeId="0">
      <text>
        <t>Victoria Gierok:
valued at sales prices where available</t>
      </text>
    </comment>
    <comment ref="F158" authorId="0" shapeId="0">
      <text>
        <t>Victoria Gierok:
valued at sales prices where available</t>
      </text>
    </comment>
    <comment ref="F165" authorId="0" shapeId="0">
      <text>
        <t>Victoria Gierok:
valued at sales prices where available</t>
      </text>
    </comment>
  </commentList>
</comments>
</file>

<file path=xl/comments/comment2.xml><?xml version="1.0" encoding="utf-8"?>
<comments xmlns="http://schemas.openxmlformats.org/spreadsheetml/2006/main">
  <authors>
    <author>Victoria Gierok</author>
  </authors>
  <commentList>
    <comment ref="D4" authorId="0" shapeId="0">
      <text>
        <t>Victoria Gierok:
strays that the seem to have added to their own stock?</t>
      </text>
    </comment>
    <comment ref="E4" authorId="0" shapeId="0">
      <text>
        <t>Victoria Gierok:
herbage = a type of customary payment to the lord; hence an addition to the stock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3"/>
  <sheetViews>
    <sheetView topLeftCell="A1" workbookViewId="0">
      <selection activeCell="A1" sqref="A1"/>
    </sheetView>
  </sheetViews>
  <sheetFormatPr baseColWidth="8" defaultColWidth="10.81640625" defaultRowHeight="15.5"/>
  <cols>
    <col width="80" bestFit="1" customWidth="1" style="76" min="1" max="1"/>
    <col width="10.81640625" customWidth="1" style="76" min="2" max="2"/>
    <col width="10.81640625" customWidth="1" style="10" min="3" max="3"/>
    <col width="30.81640625" bestFit="1" customWidth="1" style="76" min="4" max="4"/>
    <col width="29.36328125" bestFit="1" customWidth="1" style="76" min="5" max="5"/>
    <col width="35.453125" bestFit="1" customWidth="1" style="76" min="6" max="6"/>
    <col width="21.1796875" customWidth="1" style="76" min="7" max="7"/>
    <col width="10.81640625" customWidth="1" style="76" min="8" max="16384"/>
  </cols>
  <sheetData>
    <row r="1">
      <c r="A1" s="8" t="inlineStr">
        <is>
          <t>DOWNTONBOROUGH OVERVIEW - COMPLETED</t>
        </is>
      </c>
      <c r="B1" s="77" t="inlineStr">
        <is>
          <t>Total in £</t>
        </is>
      </c>
      <c r="C1" s="78" t="inlineStr">
        <is>
          <t>Error</t>
        </is>
      </c>
      <c r="D1" s="12" t="inlineStr">
        <is>
          <t>Note</t>
        </is>
      </c>
      <c r="E1" s="12" t="n"/>
    </row>
    <row r="2">
      <c r="A2" s="8" t="inlineStr">
        <is>
          <t>CASH ACCOUNT</t>
        </is>
      </c>
    </row>
    <row r="3">
      <c r="A3" s="16" t="inlineStr">
        <is>
          <t>RECEIPTS</t>
        </is>
      </c>
    </row>
    <row r="4">
      <c r="A4" s="15" t="inlineStr">
        <is>
          <t>Arrears total</t>
        </is>
      </c>
      <c r="B4" s="76" t="n">
        <v>0.78</v>
      </c>
      <c r="D4" s="13" t="n"/>
      <c r="E4" s="13" t="n"/>
    </row>
    <row r="5">
      <c r="A5" s="15" t="inlineStr">
        <is>
          <t>Rents of assize total</t>
        </is>
      </c>
      <c r="B5" s="76" t="n">
        <v>6.33</v>
      </c>
    </row>
    <row r="6">
      <c r="A6" s="15" t="inlineStr">
        <is>
          <t>Quittances total</t>
        </is>
      </c>
      <c r="B6" s="76" t="n"/>
    </row>
    <row r="7">
      <c r="A7" s="15" t="inlineStr">
        <is>
          <t>Defaults of rent total</t>
        </is>
      </c>
      <c r="B7" s="76" t="n"/>
    </row>
    <row r="8">
      <c r="A8" s="76" t="inlineStr">
        <is>
          <t>Defaults of rent through the pestilence total</t>
        </is>
      </c>
      <c r="B8" s="76" t="n"/>
    </row>
    <row r="9">
      <c r="A9" s="76" t="inlineStr">
        <is>
          <t>Cotlands defaults total</t>
        </is>
      </c>
      <c r="B9" s="76" t="n"/>
    </row>
    <row r="10">
      <c r="A10" s="76" t="inlineStr">
        <is>
          <t>Cotlands total</t>
        </is>
      </c>
      <c r="B10" s="76" t="n"/>
    </row>
    <row r="11">
      <c r="A11" s="76" t="inlineStr">
        <is>
          <t>Total of quittances and defaults of rent total</t>
        </is>
      </c>
      <c r="B11" s="76" t="n"/>
    </row>
    <row r="12">
      <c r="A12" s="76" t="inlineStr">
        <is>
          <t>Total of rents remaining clear total</t>
        </is>
      </c>
      <c r="B12" s="76" t="n">
        <v>6.5</v>
      </c>
    </row>
    <row r="13">
      <c r="A13" s="76" t="inlineStr">
        <is>
          <t>Farms total</t>
        </is>
      </c>
      <c r="B13" s="76" t="n"/>
    </row>
    <row r="14">
      <c r="A14" s="15" t="inlineStr">
        <is>
          <t>Annual recognizances total</t>
        </is>
      </c>
      <c r="B14" s="76" t="n"/>
    </row>
    <row r="15">
      <c r="A15" s="15" t="inlineStr">
        <is>
          <t>Issues of the Manor total</t>
        </is>
      </c>
      <c r="B15" s="76" t="n"/>
    </row>
    <row r="16">
      <c r="A16" s="76" t="inlineStr">
        <is>
          <t>Issues of the tenements in the lord's hands total</t>
        </is>
      </c>
      <c r="B16" s="76" t="n"/>
    </row>
    <row r="17">
      <c r="A17" s="76" t="inlineStr">
        <is>
          <t>Sale of labour services total</t>
        </is>
      </c>
      <c r="B17" s="76" t="n"/>
    </row>
    <row r="18">
      <c r="A18" s="15" t="inlineStr">
        <is>
          <t>Sale of corn total</t>
        </is>
      </c>
      <c r="B18" s="76" t="n"/>
    </row>
    <row r="19">
      <c r="A19" s="15" t="inlineStr">
        <is>
          <t>Entry and marriage fines total</t>
        </is>
      </c>
      <c r="B19" s="76" t="n"/>
    </row>
    <row r="20">
      <c r="A20" s="15" t="inlineStr">
        <is>
          <t>Pleas &amp; perquisites total</t>
        </is>
      </c>
      <c r="B20" s="76" t="n">
        <v>2.67</v>
      </c>
    </row>
    <row r="21">
      <c r="A21" s="76" t="inlineStr">
        <is>
          <t>Forfeited chattels total</t>
        </is>
      </c>
      <c r="B21" s="76" t="n"/>
    </row>
    <row r="22">
      <c r="A22" s="76" t="inlineStr">
        <is>
          <t>Farm of the demesne land total</t>
        </is>
      </c>
      <c r="B22" s="76" t="n"/>
      <c r="D22" s="88" t="n"/>
    </row>
    <row r="23">
      <c r="A23" s="81" t="inlineStr">
        <is>
          <t>Total of all receipts (calculated here)</t>
        </is>
      </c>
      <c r="B23" s="79">
        <f>SUM(B5:B11)</f>
        <v/>
      </c>
      <c r="C23" s="80" t="n"/>
    </row>
    <row r="24">
      <c r="A24" s="82" t="inlineStr">
        <is>
          <t>Total of all receipts (calculated here) incl arrears</t>
        </is>
      </c>
      <c r="B24">
        <f>SUM(B4:B11)</f>
        <v/>
      </c>
      <c r="D24" s="13" t="n"/>
      <c r="E24" s="13" t="n"/>
    </row>
    <row r="25">
      <c r="A25" s="83" t="inlineStr">
        <is>
          <t>Total recorded in the accounts excl. arrears</t>
        </is>
      </c>
      <c r="B25" s="76">
        <f>'Receipts'!F20</f>
        <v/>
      </c>
      <c r="C25" s="10">
        <f>B23-B25</f>
        <v/>
      </c>
    </row>
    <row r="26">
      <c r="A26" s="83" t="inlineStr">
        <is>
          <t>Total recorded in the accounts incl. arrears</t>
        </is>
      </c>
      <c r="B26">
        <f>'Receipts'!F21</f>
        <v/>
      </c>
      <c r="D26" s="13" t="n"/>
      <c r="E26" s="13" t="n"/>
    </row>
    <row r="27">
      <c r="A27" s="15" t="n"/>
    </row>
    <row r="28">
      <c r="A28" s="15" t="n"/>
    </row>
    <row r="29">
      <c r="A29" s="16" t="inlineStr">
        <is>
          <t>EXPENSES</t>
        </is>
      </c>
    </row>
    <row r="30">
      <c r="A30" s="15" t="inlineStr">
        <is>
          <t>Cost of ploughs total</t>
        </is>
      </c>
    </row>
    <row r="31">
      <c r="A31" s="15" t="inlineStr">
        <is>
          <t>Purchase of corn total</t>
        </is>
      </c>
    </row>
    <row r="32">
      <c r="A32" s="15" t="inlineStr">
        <is>
          <t>Cost of carts and wagons total</t>
        </is>
      </c>
    </row>
    <row r="33">
      <c r="A33" s="15" t="inlineStr">
        <is>
          <t>Cost of dairy total</t>
        </is>
      </c>
    </row>
    <row r="34">
      <c r="A34" s="15" t="inlineStr">
        <is>
          <t>Purchase of stock total</t>
        </is>
      </c>
    </row>
    <row r="35">
      <c r="A35" s="15" t="inlineStr">
        <is>
          <t>Sheepcote total</t>
        </is>
      </c>
    </row>
    <row r="36">
      <c r="A36" s="15" t="inlineStr">
        <is>
          <t>Cost of buildings total</t>
        </is>
      </c>
      <c r="B36" s="84" t="n"/>
    </row>
    <row r="37">
      <c r="A37" s="15" t="inlineStr">
        <is>
          <t>Threshing total</t>
        </is>
      </c>
    </row>
    <row r="38">
      <c r="A38" s="15" t="inlineStr">
        <is>
          <t>Barley expenses</t>
        </is>
      </c>
    </row>
    <row r="39">
      <c r="A39" s="15" t="inlineStr">
        <is>
          <t>Expenses of the harvest total</t>
        </is>
      </c>
    </row>
    <row r="40">
      <c r="A40" s="15" t="inlineStr">
        <is>
          <t>Necessary expenses</t>
        </is>
      </c>
    </row>
    <row r="41">
      <c r="A41" s="15" t="inlineStr">
        <is>
          <t>Wages of the bailiff</t>
        </is>
      </c>
      <c r="B41" s="84" t="n"/>
    </row>
    <row r="42">
      <c r="A42" s="15" t="inlineStr">
        <is>
          <t>Steward's expenses total</t>
        </is>
      </c>
      <c r="B42" s="84" t="n"/>
    </row>
    <row r="43">
      <c r="A43" s="85" t="inlineStr">
        <is>
          <t>Annual fees</t>
        </is>
      </c>
      <c r="B43" s="86" t="n"/>
      <c r="C43" s="87" t="n"/>
      <c r="D43" s="88" t="n"/>
    </row>
    <row r="44">
      <c r="A44" s="82" t="inlineStr">
        <is>
          <t>Total of all expenses per account</t>
        </is>
      </c>
      <c r="B44" s="84" t="n">
        <v>0</v>
      </c>
    </row>
    <row r="45">
      <c r="A45" s="82" t="inlineStr">
        <is>
          <t>Total of all expenses (calculated here)</t>
        </is>
      </c>
      <c r="B45" s="84" t="n">
        <v>0</v>
      </c>
    </row>
    <row r="46">
      <c r="A46" s="82" t="inlineStr">
        <is>
          <t>Total fixed investment</t>
        </is>
      </c>
      <c r="B46" s="84" t="n"/>
    </row>
    <row r="47">
      <c r="A47" s="82" t="inlineStr">
        <is>
          <t>Total Demesne fixed investment</t>
        </is>
      </c>
      <c r="B47" s="84" t="n"/>
    </row>
    <row r="48">
      <c r="A48" s="12" t="n"/>
    </row>
    <row r="49">
      <c r="A49" s="18" t="inlineStr">
        <is>
          <t>Owed by the reeve</t>
        </is>
      </c>
      <c r="B49" s="84">
        <f>B23-B45</f>
        <v/>
      </c>
    </row>
    <row r="50">
      <c r="A50" s="18" t="inlineStr">
        <is>
          <t>From accounts</t>
        </is>
      </c>
      <c r="B50" s="84" t="n"/>
    </row>
    <row r="51">
      <c r="A51" s="15" t="n"/>
    </row>
    <row r="52">
      <c r="A52" s="18" t="inlineStr">
        <is>
          <t>Allowances</t>
        </is>
      </c>
      <c r="B52" s="84" t="n"/>
    </row>
    <row r="53">
      <c r="A53" s="18" t="inlineStr">
        <is>
          <t>Cash deliveries</t>
        </is>
      </c>
      <c r="B53" s="84" t="n">
        <v>8.949999999999999</v>
      </c>
    </row>
    <row r="54">
      <c r="A54" s="19" t="inlineStr">
        <is>
          <t>Sum of the above</t>
        </is>
      </c>
      <c r="B54" s="84">
        <f>SUM(B52:B53)</f>
        <v/>
      </c>
    </row>
    <row r="55">
      <c r="A55" s="20" t="inlineStr">
        <is>
          <t>Total of all allowances and cash deliveries in accounts</t>
        </is>
      </c>
    </row>
    <row r="56">
      <c r="A56" s="15" t="n"/>
    </row>
    <row r="57">
      <c r="A57" s="18" t="inlineStr">
        <is>
          <t>Net amount owed</t>
        </is>
      </c>
      <c r="B57" s="84">
        <f>B50-B54</f>
        <v/>
      </c>
    </row>
    <row r="58">
      <c r="A58" s="18" t="inlineStr">
        <is>
          <t>Net amount owed in accounts</t>
        </is>
      </c>
    </row>
    <row r="59">
      <c r="A59" s="15" t="n"/>
    </row>
    <row r="60">
      <c r="A60" s="16" t="inlineStr">
        <is>
          <t xml:space="preserve">GRANGE ACCOUNT </t>
        </is>
      </c>
      <c r="B60" s="120" t="inlineStr">
        <is>
          <t>Total Production</t>
        </is>
      </c>
      <c r="D60" s="117" t="inlineStr">
        <is>
          <t>Value of total gross production in £</t>
        </is>
      </c>
      <c r="E60" s="117" t="inlineStr">
        <is>
          <t>Value of total net production in £</t>
        </is>
      </c>
    </row>
    <row r="61">
      <c r="A61" s="8" t="inlineStr">
        <is>
          <t>Grange</t>
        </is>
      </c>
      <c r="B61" s="89" t="inlineStr">
        <is>
          <t>qrs</t>
        </is>
      </c>
      <c r="C61" s="90" t="inlineStr">
        <is>
          <t>bus</t>
        </is>
      </c>
    </row>
    <row r="62">
      <c r="A62" s="76" t="inlineStr">
        <is>
          <t>Wheat</t>
        </is>
      </c>
      <c r="B62" t="n">
        <v>0</v>
      </c>
      <c r="C62" t="n">
        <v>0</v>
      </c>
      <c r="D62" t="n">
        <v>0</v>
      </c>
      <c r="E62" t="n">
        <v>0</v>
      </c>
      <c r="F62" s="13" t="n"/>
    </row>
    <row r="63">
      <c r="A63" s="76" t="inlineStr">
        <is>
          <t>Rye</t>
        </is>
      </c>
      <c r="B63" t="n">
        <v>0</v>
      </c>
      <c r="C63" t="n">
        <v>0</v>
      </c>
      <c r="D63" t="n">
        <v>0</v>
      </c>
      <c r="E63" t="n">
        <v>0</v>
      </c>
      <c r="F63" s="13" t="n"/>
    </row>
    <row r="64">
      <c r="A64" s="76" t="inlineStr">
        <is>
          <t>Dredge</t>
        </is>
      </c>
      <c r="B64" t="n">
        <v>0</v>
      </c>
      <c r="C64" t="n">
        <v>0</v>
      </c>
      <c r="D64" t="n">
        <v>0</v>
      </c>
      <c r="E64" t="n">
        <v>0</v>
      </c>
      <c r="F64" s="13" t="n"/>
    </row>
    <row r="65">
      <c r="A65" s="76" t="inlineStr">
        <is>
          <t>Curall</t>
        </is>
      </c>
      <c r="B65" t="n">
        <v>0</v>
      </c>
      <c r="C65" t="n">
        <v>0</v>
      </c>
      <c r="D65" t="n">
        <v>0</v>
      </c>
      <c r="E65" t="n">
        <v>0</v>
      </c>
      <c r="F65" s="13" t="n"/>
    </row>
    <row r="66">
      <c r="A66" s="76" t="inlineStr">
        <is>
          <t>Barley</t>
        </is>
      </c>
      <c r="B66" t="n">
        <v>0</v>
      </c>
      <c r="C66" t="n">
        <v>0</v>
      </c>
      <c r="D66" t="n">
        <v>0</v>
      </c>
      <c r="E66" t="n">
        <v>0</v>
      </c>
      <c r="F66" s="13" t="n"/>
    </row>
    <row r="67">
      <c r="A67" s="76" t="inlineStr">
        <is>
          <t>Oats</t>
        </is>
      </c>
      <c r="B67" t="n">
        <v>0</v>
      </c>
      <c r="C67" t="n">
        <v>0</v>
      </c>
      <c r="D67" t="n">
        <v>0</v>
      </c>
      <c r="E67" t="n">
        <v>0</v>
      </c>
      <c r="F67" s="13" t="n"/>
    </row>
    <row r="68">
      <c r="A68" s="76" t="inlineStr">
        <is>
          <t>Beans</t>
        </is>
      </c>
      <c r="B68" t="n">
        <v>0</v>
      </c>
      <c r="C68" t="n">
        <v>0</v>
      </c>
      <c r="D68" t="n">
        <v>0</v>
      </c>
      <c r="E68" t="n">
        <v>0</v>
      </c>
      <c r="F68" s="13" t="n"/>
    </row>
    <row r="69">
      <c r="A69" s="76" t="inlineStr">
        <is>
          <t>Peas</t>
        </is>
      </c>
      <c r="B69" t="n">
        <v>0</v>
      </c>
      <c r="C69" t="n">
        <v>0</v>
      </c>
      <c r="D69" t="n">
        <v>0</v>
      </c>
      <c r="E69" t="n">
        <v>0</v>
      </c>
      <c r="F69" s="13" t="n"/>
    </row>
    <row r="70">
      <c r="A70" s="76" t="inlineStr">
        <is>
          <t>Vetches</t>
        </is>
      </c>
      <c r="B70" t="n">
        <v>0</v>
      </c>
      <c r="C70" t="n">
        <v>0</v>
      </c>
      <c r="D70" t="n">
        <v>0</v>
      </c>
      <c r="E70" t="n">
        <v>0</v>
      </c>
    </row>
    <row r="71">
      <c r="A71" s="17" t="inlineStr">
        <is>
          <t>Total value of gross production (sum of the above)</t>
        </is>
      </c>
      <c r="B71" s="93" t="n"/>
      <c r="C71" s="94" t="n"/>
      <c r="D71" s="93" t="n"/>
      <c r="E71" s="93">
        <f>SUM(D62:D70)</f>
        <v/>
      </c>
    </row>
    <row r="72">
      <c r="A72" s="17" t="inlineStr">
        <is>
          <t>Total value of net production</t>
        </is>
      </c>
      <c r="B72" s="93" t="n"/>
      <c r="C72" s="94" t="n"/>
      <c r="D72" s="93" t="n"/>
      <c r="E72" s="93">
        <f>SUM(E62:E70)</f>
        <v/>
      </c>
    </row>
    <row r="73">
      <c r="A73" s="17" t="inlineStr">
        <is>
          <t>Value of sales</t>
        </is>
      </c>
      <c r="B73" s="93" t="n"/>
      <c r="C73" s="94" t="n"/>
      <c r="D73" s="93" t="n"/>
      <c r="E73" s="93" t="n">
        <v>0</v>
      </c>
    </row>
    <row r="74">
      <c r="A74" s="15" t="n"/>
    </row>
    <row r="75">
      <c r="A75" s="16" t="inlineStr">
        <is>
          <t>MILL ACCOUNT</t>
        </is>
      </c>
      <c r="B75" s="120" t="inlineStr">
        <is>
          <t>Total Production</t>
        </is>
      </c>
      <c r="D75" s="91" t="inlineStr">
        <is>
          <t>Total in £</t>
        </is>
      </c>
      <c r="E75" s="91" t="n"/>
    </row>
    <row r="76">
      <c r="A76" s="8" t="inlineStr">
        <is>
          <t>Issues of the mill</t>
        </is>
      </c>
      <c r="B76" s="89" t="inlineStr">
        <is>
          <t>qrs</t>
        </is>
      </c>
      <c r="C76" s="90" t="inlineStr">
        <is>
          <t>bus</t>
        </is>
      </c>
    </row>
    <row r="77">
      <c r="A77" s="15" t="inlineStr">
        <is>
          <t>Wheat</t>
        </is>
      </c>
      <c r="F77" s="13" t="n"/>
    </row>
    <row r="78">
      <c r="A78" s="15" t="inlineStr">
        <is>
          <t>Oatmeal</t>
        </is>
      </c>
    </row>
    <row r="79">
      <c r="A79" s="15" t="inlineStr">
        <is>
          <t>1st grade malt</t>
        </is>
      </c>
    </row>
    <row r="80">
      <c r="A80" s="15" t="inlineStr">
        <is>
          <t>2nd grade malt</t>
        </is>
      </c>
    </row>
    <row r="81">
      <c r="A81" s="15" t="inlineStr">
        <is>
          <t>Maslin</t>
        </is>
      </c>
    </row>
    <row r="82">
      <c r="A82" s="17" t="inlineStr">
        <is>
          <t>Total value of production (sum of the above)</t>
        </is>
      </c>
      <c r="B82" s="93" t="n"/>
      <c r="C82" s="94" t="n"/>
      <c r="D82" s="93" t="n"/>
      <c r="E82" s="93" t="n"/>
    </row>
    <row r="83">
      <c r="A83" s="17" t="inlineStr">
        <is>
          <t>Value of sales</t>
        </is>
      </c>
      <c r="B83" s="93" t="n"/>
      <c r="C83" s="94" t="n"/>
      <c r="D83" s="93" t="n"/>
      <c r="E83" s="93" t="n"/>
    </row>
    <row r="84">
      <c r="A84" s="15" t="n"/>
    </row>
    <row r="85">
      <c r="A85" s="92" t="inlineStr">
        <is>
          <t>STOCK ACCOUNT</t>
        </is>
      </c>
      <c r="B85" s="93" t="n"/>
      <c r="C85" s="94" t="n"/>
      <c r="D85" s="93" t="n"/>
      <c r="E85" s="93" t="n"/>
      <c r="F85" s="93" t="n"/>
      <c r="G85" s="93" t="n"/>
    </row>
    <row r="86">
      <c r="A86" s="21" t="inlineStr">
        <is>
          <t>Livestock</t>
        </is>
      </c>
      <c r="B86" s="95" t="inlineStr">
        <is>
          <t>Begin stock</t>
        </is>
      </c>
      <c r="C86" s="95" t="inlineStr">
        <is>
          <t>End stock</t>
        </is>
      </c>
      <c r="D86" s="95" t="inlineStr">
        <is>
          <t>Stockbuilding</t>
        </is>
      </c>
      <c r="E86" s="95" t="n"/>
      <c r="F86" s="95" t="inlineStr">
        <is>
          <t>Value of stock in £</t>
        </is>
      </c>
      <c r="G86" s="53" t="inlineStr">
        <is>
          <t>Value of stockbuilding</t>
        </is>
      </c>
    </row>
    <row r="87">
      <c r="A87" s="22" t="inlineStr">
        <is>
          <t>Cart-horses</t>
        </is>
      </c>
      <c r="B87" s="76" t="n">
        <v>0</v>
      </c>
      <c r="C87" s="76">
        <f>'Stock'!L5</f>
        <v/>
      </c>
      <c r="D87" s="76">
        <f>C87-B87</f>
        <v/>
      </c>
      <c r="F87" s="84">
        <f>'Stock'!L5*'Stock'!O5</f>
        <v/>
      </c>
      <c r="G87" s="84">
        <f>D87*'Stock'!O5</f>
        <v/>
      </c>
    </row>
    <row r="88">
      <c r="A88" s="22" t="inlineStr">
        <is>
          <t>Mares</t>
        </is>
      </c>
      <c r="B88" s="76" t="n">
        <v>0</v>
      </c>
      <c r="C88" s="76">
        <f>'Stock'!L6</f>
        <v/>
      </c>
      <c r="D88" s="76">
        <f>C88-B88</f>
        <v/>
      </c>
      <c r="F88" s="84">
        <f>'Stock'!L6*'Stock'!O6</f>
        <v/>
      </c>
      <c r="G88" s="84">
        <f>D88*'Stock'!O6</f>
        <v/>
      </c>
    </row>
    <row r="89">
      <c r="A89" s="15" t="inlineStr">
        <is>
          <t>Plough horses</t>
        </is>
      </c>
      <c r="B89" s="76" t="n">
        <v>0</v>
      </c>
      <c r="C89" s="76">
        <f>'Stock'!L7</f>
        <v/>
      </c>
      <c r="D89" s="76">
        <f>C89-B89</f>
        <v/>
      </c>
      <c r="F89" s="84">
        <f>'Stock'!L7*'Stock'!O7</f>
        <v/>
      </c>
      <c r="G89" s="84">
        <f>D89*'Stock'!O7</f>
        <v/>
      </c>
    </row>
    <row r="90">
      <c r="A90" s="15" t="inlineStr">
        <is>
          <t>Colts (2 years)</t>
        </is>
      </c>
      <c r="B90" s="76" t="n">
        <v>0</v>
      </c>
      <c r="C90" s="76">
        <f>'Stock'!L9</f>
        <v/>
      </c>
      <c r="D90" s="76">
        <f>C90-B90</f>
        <v/>
      </c>
      <c r="F90" s="84">
        <f>'Stock'!L9*'Stock'!O9</f>
        <v/>
      </c>
      <c r="G90" s="84">
        <f>D90*'Stock'!O9</f>
        <v/>
      </c>
    </row>
    <row r="91">
      <c r="A91" s="15" t="inlineStr">
        <is>
          <t>Colts (2 years)</t>
        </is>
      </c>
      <c r="B91" s="76" t="n">
        <v>0</v>
      </c>
      <c r="C91" s="76">
        <f>'Stock'!L9</f>
        <v/>
      </c>
      <c r="D91" s="76">
        <f>C91-B91</f>
        <v/>
      </c>
      <c r="F91" s="84">
        <f>'Stock'!L9*'Stock'!O9</f>
        <v/>
      </c>
      <c r="G91" s="84">
        <f>D91*'Stock'!O9</f>
        <v/>
      </c>
    </row>
    <row r="92">
      <c r="A92" s="15" t="inlineStr">
        <is>
          <t>Colts (1 year)</t>
        </is>
      </c>
      <c r="B92" s="76" t="n">
        <v>0</v>
      </c>
      <c r="C92" s="76">
        <f>'Stock'!L10</f>
        <v/>
      </c>
      <c r="D92" s="76">
        <f>C92-B92</f>
        <v/>
      </c>
      <c r="F92" s="84">
        <f>'Stock'!L10*'Stock'!O10</f>
        <v/>
      </c>
      <c r="G92" s="84">
        <f>D92*'Stock'!O10</f>
        <v/>
      </c>
    </row>
    <row r="93">
      <c r="A93" s="15" t="inlineStr">
        <is>
          <t>Foals</t>
        </is>
      </c>
      <c r="B93" s="76" t="n">
        <v>0</v>
      </c>
      <c r="C93" s="76">
        <f>'Stock'!L11</f>
        <v/>
      </c>
      <c r="D93" s="76">
        <f>C93-B93</f>
        <v/>
      </c>
      <c r="F93" s="84">
        <f>'Stock'!L11*'Stock'!O11</f>
        <v/>
      </c>
      <c r="G93" s="84">
        <f>D93*'Stock'!O11</f>
        <v/>
      </c>
    </row>
    <row r="94">
      <c r="A94" s="15" t="inlineStr">
        <is>
          <t>Oxen</t>
        </is>
      </c>
      <c r="B94" s="76" t="n">
        <v>0</v>
      </c>
      <c r="C94" s="76">
        <f>'Stock'!L12</f>
        <v/>
      </c>
      <c r="D94" s="76">
        <f>C94-B94</f>
        <v/>
      </c>
      <c r="F94" s="84">
        <f>'Stock'!L12*'Stock'!O12</f>
        <v/>
      </c>
      <c r="G94" s="84">
        <f>D94*'Stock'!O12</f>
        <v/>
      </c>
    </row>
    <row r="95">
      <c r="A95" s="15" t="inlineStr">
        <is>
          <t>Bulls</t>
        </is>
      </c>
      <c r="B95" s="76" t="n">
        <v>0</v>
      </c>
      <c r="C95" s="76">
        <f>'Stock'!L13</f>
        <v/>
      </c>
      <c r="D95" s="76">
        <f>C95-B95</f>
        <v/>
      </c>
      <c r="F95" s="84">
        <f>'Stock'!L13*'Stock'!O13</f>
        <v/>
      </c>
      <c r="G95" s="84">
        <f>D95*'Stock'!O13</f>
        <v/>
      </c>
    </row>
    <row r="96">
      <c r="A96" s="15" t="inlineStr">
        <is>
          <t>Cows</t>
        </is>
      </c>
      <c r="B96" s="76" t="n">
        <v>0</v>
      </c>
      <c r="C96" s="76">
        <f>'Stock'!L14</f>
        <v/>
      </c>
      <c r="D96" s="76">
        <f>C96-B96</f>
        <v/>
      </c>
      <c r="F96" s="84">
        <f>'Stock'!L14*'Stock'!O14</f>
        <v/>
      </c>
      <c r="G96" s="84">
        <f>D96*'Stock'!O14</f>
        <v/>
      </c>
    </row>
    <row r="97">
      <c r="A97" s="15" t="inlineStr">
        <is>
          <t>Steers</t>
        </is>
      </c>
      <c r="B97" s="76" t="n">
        <v>0</v>
      </c>
      <c r="C97" s="76">
        <f>'Stock'!L15</f>
        <v/>
      </c>
      <c r="D97" s="76">
        <f>C97-B97</f>
        <v/>
      </c>
      <c r="F97" s="84">
        <f>'Stock'!L15*'Stock'!O15</f>
        <v/>
      </c>
      <c r="G97" s="84">
        <f>D97*'Stock'!O15</f>
        <v/>
      </c>
    </row>
    <row r="98">
      <c r="A98" s="15" t="inlineStr">
        <is>
          <t>Bullocks</t>
        </is>
      </c>
      <c r="B98" s="76" t="n">
        <v>0</v>
      </c>
      <c r="C98" s="76">
        <f>'Stock'!L16</f>
        <v/>
      </c>
      <c r="D98" s="76">
        <f>C98-B98</f>
        <v/>
      </c>
      <c r="F98" s="84">
        <f>'Stock'!L16*'Stock'!O16</f>
        <v/>
      </c>
      <c r="G98" s="84">
        <f>D98*'Stock'!O16</f>
        <v/>
      </c>
    </row>
    <row r="99">
      <c r="A99" s="15" t="inlineStr">
        <is>
          <t>Yearlings</t>
        </is>
      </c>
      <c r="B99" s="76" t="n">
        <v>0</v>
      </c>
      <c r="C99" s="76">
        <f>'Stock'!L17</f>
        <v/>
      </c>
      <c r="D99" s="76">
        <f>C99-B99</f>
        <v/>
      </c>
      <c r="F99" s="84">
        <f>'Stock'!L17*'Stock'!O17</f>
        <v/>
      </c>
      <c r="G99" s="84">
        <f>D99*'Stock'!O17</f>
        <v/>
      </c>
    </row>
    <row r="100">
      <c r="A100" s="15" t="inlineStr">
        <is>
          <t>Calves</t>
        </is>
      </c>
      <c r="B100" s="76" t="n">
        <v>0</v>
      </c>
      <c r="C100" s="76">
        <f>'Stock'!L18</f>
        <v/>
      </c>
      <c r="D100" s="76">
        <f>C100-B100</f>
        <v/>
      </c>
      <c r="F100" s="84">
        <f>'Stock'!L18*'Stock'!O18</f>
        <v/>
      </c>
      <c r="G100" s="84">
        <f>D100*'Stock'!O18</f>
        <v/>
      </c>
    </row>
    <row r="101">
      <c r="A101" s="15" t="inlineStr">
        <is>
          <t>Wethers</t>
        </is>
      </c>
      <c r="B101" s="76" t="n">
        <v>0</v>
      </c>
      <c r="C101" s="76">
        <f>'Stock'!L19</f>
        <v/>
      </c>
      <c r="D101" s="76">
        <f>C101-B101</f>
        <v/>
      </c>
      <c r="F101" s="84">
        <f>'Stock'!L19*'Stock'!O19</f>
        <v/>
      </c>
      <c r="G101" s="84">
        <f>D101*'Stock'!O19</f>
        <v/>
      </c>
    </row>
    <row r="102">
      <c r="A102" s="15" t="inlineStr">
        <is>
          <t>Rams</t>
        </is>
      </c>
      <c r="B102" s="76" t="n">
        <v>0</v>
      </c>
      <c r="C102" s="76">
        <f>'Stock'!L20</f>
        <v/>
      </c>
      <c r="D102" s="76">
        <f>C102-B102</f>
        <v/>
      </c>
      <c r="F102" s="84">
        <f>'Stock'!L20*'Stock'!O20</f>
        <v/>
      </c>
      <c r="G102" s="84">
        <f>D102*'Stock'!O20</f>
        <v/>
      </c>
    </row>
    <row r="103">
      <c r="A103" s="15" t="inlineStr">
        <is>
          <t>Ewes</t>
        </is>
      </c>
      <c r="B103" s="76" t="n">
        <v>0</v>
      </c>
      <c r="C103" s="76">
        <f>'Stock'!L21</f>
        <v/>
      </c>
      <c r="D103" s="76">
        <f>C103-B103</f>
        <v/>
      </c>
      <c r="F103" s="84">
        <f>'Stock'!L21*'Stock'!O21</f>
        <v/>
      </c>
      <c r="G103" s="84">
        <f>D103*'Stock'!O21</f>
        <v/>
      </c>
    </row>
    <row r="104">
      <c r="A104" s="15" t="inlineStr">
        <is>
          <t>Hoggs</t>
        </is>
      </c>
      <c r="B104" s="76" t="n">
        <v>0</v>
      </c>
      <c r="C104" s="76">
        <f>'Stock'!L22</f>
        <v/>
      </c>
      <c r="D104" s="76">
        <f>C104-B104</f>
        <v/>
      </c>
      <c r="F104" s="84">
        <f>'Stock'!L22*'Stock'!O22</f>
        <v/>
      </c>
      <c r="G104" s="84">
        <f>D104*'Stock'!O22</f>
        <v/>
      </c>
    </row>
    <row r="105">
      <c r="A105" s="15" t="inlineStr">
        <is>
          <t>Lambs</t>
        </is>
      </c>
      <c r="B105" s="76" t="n">
        <v>0</v>
      </c>
      <c r="C105" s="76">
        <f>'Stock'!L23</f>
        <v/>
      </c>
      <c r="D105" s="76">
        <f>C105-B105</f>
        <v/>
      </c>
      <c r="F105" s="84">
        <f>'Stock'!L23*'Stock'!O23</f>
        <v/>
      </c>
      <c r="G105" s="84">
        <f>D105*'Stock'!O23</f>
        <v/>
      </c>
    </row>
    <row r="106">
      <c r="A106" s="15" t="inlineStr">
        <is>
          <t>Boars</t>
        </is>
      </c>
      <c r="B106" s="76" t="n">
        <v>0</v>
      </c>
      <c r="C106" s="76">
        <f>'Stock'!L24</f>
        <v/>
      </c>
      <c r="D106" s="76">
        <f>C106-B106</f>
        <v/>
      </c>
      <c r="F106" s="84">
        <f>'Stock'!L24*'Stock'!O24</f>
        <v/>
      </c>
      <c r="G106" s="84">
        <f>D106*'Stock'!O24</f>
        <v/>
      </c>
    </row>
    <row r="107">
      <c r="A107" s="15" t="inlineStr">
        <is>
          <t>Sows</t>
        </is>
      </c>
      <c r="B107" s="76" t="n">
        <v>0</v>
      </c>
      <c r="C107" s="76">
        <f>'Stock'!L25</f>
        <v/>
      </c>
      <c r="D107" s="76">
        <f>C107-B107</f>
        <v/>
      </c>
      <c r="F107" s="84">
        <f>'Stock'!L25*'Stock'!O25</f>
        <v/>
      </c>
      <c r="G107" s="84">
        <f>D107*'Stock'!O25</f>
        <v/>
      </c>
    </row>
    <row r="108">
      <c r="A108" s="15" t="inlineStr">
        <is>
          <t>Pigs</t>
        </is>
      </c>
      <c r="B108" s="76" t="n">
        <v>0</v>
      </c>
      <c r="C108" s="76">
        <f>'Stock'!L26</f>
        <v/>
      </c>
      <c r="D108" s="76">
        <f>C108-B108</f>
        <v/>
      </c>
      <c r="F108" s="84">
        <f>'Stock'!L26*'Stock'!O26</f>
        <v/>
      </c>
      <c r="G108" s="84">
        <f>D108*'Stock'!O26</f>
        <v/>
      </c>
    </row>
    <row r="109">
      <c r="A109" s="15" t="inlineStr">
        <is>
          <t>Hoggets</t>
        </is>
      </c>
      <c r="B109" s="76" t="n">
        <v>0</v>
      </c>
      <c r="C109" s="76">
        <f>'Stock'!L27</f>
        <v/>
      </c>
      <c r="D109" s="76">
        <f>C109-B109</f>
        <v/>
      </c>
      <c r="F109" s="84">
        <f>'Stock'!L27*'Stock'!O27</f>
        <v/>
      </c>
      <c r="G109" s="84">
        <f>D109*'Stock'!O27</f>
        <v/>
      </c>
    </row>
    <row r="110">
      <c r="A110" s="15" t="inlineStr">
        <is>
          <t>Piglets</t>
        </is>
      </c>
      <c r="B110" s="76" t="n">
        <v>0</v>
      </c>
      <c r="C110" s="76">
        <f>'Stock'!L28</f>
        <v/>
      </c>
      <c r="D110" s="76">
        <f>C110-B110</f>
        <v/>
      </c>
      <c r="F110" s="84">
        <f>'Stock'!L28*'Stock'!O28</f>
        <v/>
      </c>
      <c r="G110" s="84">
        <f>D110*'Stock'!O28</f>
        <v/>
      </c>
    </row>
    <row r="111">
      <c r="A111" s="15" t="inlineStr">
        <is>
          <t>Swans</t>
        </is>
      </c>
      <c r="B111" s="76" t="n">
        <v>0</v>
      </c>
      <c r="C111" s="76">
        <f>'Stock'!L29</f>
        <v/>
      </c>
      <c r="D111" s="76">
        <f>C111-B111</f>
        <v/>
      </c>
      <c r="F111" s="84">
        <f>'Stock'!L29*'Stock'!O29</f>
        <v/>
      </c>
      <c r="G111" s="84">
        <f>D111*'Stock'!O29</f>
        <v/>
      </c>
    </row>
    <row r="112">
      <c r="A112" s="15" t="inlineStr">
        <is>
          <t>Peacocks</t>
        </is>
      </c>
      <c r="B112" s="76" t="n">
        <v>0</v>
      </c>
      <c r="C112" s="76">
        <f>'Stock'!L30</f>
        <v/>
      </c>
      <c r="D112" s="76">
        <f>C112-B112</f>
        <v/>
      </c>
      <c r="F112" s="84">
        <f>'Stock'!L30*'Stock'!O30</f>
        <v/>
      </c>
      <c r="G112" s="84">
        <f>D112*'Stock'!O30</f>
        <v/>
      </c>
    </row>
    <row r="113">
      <c r="A113" s="17" t="inlineStr">
        <is>
          <t>Total value of stock (sum of the above)</t>
        </is>
      </c>
      <c r="B113" s="93" t="n"/>
      <c r="C113" s="94" t="n"/>
      <c r="D113" s="93" t="n"/>
      <c r="E113" s="93" t="n"/>
      <c r="F113" s="107">
        <f>SUM(F87:F112)</f>
        <v/>
      </c>
      <c r="G113" s="107">
        <f>SUM(G87:G112)</f>
        <v/>
      </c>
    </row>
    <row r="114">
      <c r="A114" s="17" t="inlineStr">
        <is>
          <t>Total value of production</t>
        </is>
      </c>
      <c r="B114" s="93" t="n"/>
      <c r="C114" s="94" t="n"/>
      <c r="D114" s="93" t="n"/>
      <c r="E114" s="93" t="n"/>
      <c r="F114" s="107">
        <f>SUM('Stock'!T5:T30)</f>
        <v/>
      </c>
      <c r="G114" s="107" t="n"/>
    </row>
    <row r="115">
      <c r="A115" s="17" t="inlineStr">
        <is>
          <t>Value of sales</t>
        </is>
      </c>
      <c r="B115" s="93" t="n"/>
      <c r="C115" s="94" t="n"/>
      <c r="D115" s="93" t="n"/>
      <c r="E115" s="93" t="n"/>
      <c r="F115" s="107">
        <f>SUM('Stock'!R5:R30)</f>
        <v/>
      </c>
      <c r="G115" s="107" t="n"/>
    </row>
    <row r="116">
      <c r="A116" s="15" t="n"/>
    </row>
    <row r="117">
      <c r="A117" s="16" t="inlineStr">
        <is>
          <t>Wool</t>
        </is>
      </c>
      <c r="B117" s="95" t="inlineStr">
        <is>
          <t>Begin stock</t>
        </is>
      </c>
      <c r="C117" s="95" t="inlineStr">
        <is>
          <t>End stock</t>
        </is>
      </c>
      <c r="D117" s="95" t="inlineStr">
        <is>
          <t>Stockbuilding</t>
        </is>
      </c>
      <c r="E117" s="95" t="n"/>
      <c r="F117" s="95" t="inlineStr">
        <is>
          <t>Value of stock in £</t>
        </is>
      </c>
    </row>
    <row r="118">
      <c r="A118" s="22" t="inlineStr">
        <is>
          <t>Fleeces</t>
        </is>
      </c>
      <c r="B118" t="n">
        <v>0</v>
      </c>
      <c r="C118" t="n">
        <v>0</v>
      </c>
      <c r="D118" t="n">
        <v>0</v>
      </c>
      <c r="G118" s="96" t="n"/>
    </row>
    <row r="119">
      <c r="A119" s="15" t="inlineStr">
        <is>
          <t>Coarse wool</t>
        </is>
      </c>
      <c r="B119" t="n">
        <v>0</v>
      </c>
      <c r="C119" t="n">
        <v>0</v>
      </c>
      <c r="D119" t="n">
        <v>0</v>
      </c>
    </row>
    <row r="120">
      <c r="A120" s="15" t="inlineStr">
        <is>
          <t>Lamb's wool</t>
        </is>
      </c>
      <c r="B120" t="n">
        <v>0</v>
      </c>
      <c r="C120" t="n">
        <v>0</v>
      </c>
      <c r="D120" t="n">
        <v>0</v>
      </c>
    </row>
    <row r="121">
      <c r="A121" s="15" t="inlineStr">
        <is>
          <t>Wool locks</t>
        </is>
      </c>
      <c r="B121" t="n">
        <v>0</v>
      </c>
      <c r="C121" t="n">
        <v>0</v>
      </c>
      <c r="D121" t="n">
        <v>0</v>
      </c>
    </row>
    <row r="122">
      <c r="A122" s="15" t="inlineStr">
        <is>
          <t>Wool sold at shearing</t>
        </is>
      </c>
      <c r="B122" t="n">
        <v>0</v>
      </c>
      <c r="C122" t="n">
        <v>0</v>
      </c>
      <c r="D122" t="n">
        <v>0</v>
      </c>
    </row>
    <row r="123">
      <c r="A123" s="119" t="inlineStr">
        <is>
          <t>Total value of production (sum of the above)</t>
        </is>
      </c>
      <c r="B123" s="93" t="n"/>
      <c r="C123" s="94" t="n"/>
      <c r="D123" s="93" t="n"/>
      <c r="E123" s="93" t="n"/>
      <c r="F123" s="93">
        <f>SUM(F118:F122)</f>
        <v/>
      </c>
    </row>
    <row r="124">
      <c r="A124" s="119" t="inlineStr">
        <is>
          <t>Value of sales</t>
        </is>
      </c>
      <c r="B124" s="93" t="n"/>
      <c r="C124" s="94" t="n"/>
      <c r="D124" s="93" t="n"/>
      <c r="E124" s="93" t="n"/>
      <c r="F124" s="93" t="n"/>
    </row>
    <row r="125">
      <c r="A125" s="8" t="n"/>
    </row>
    <row r="126">
      <c r="A126" s="16" t="inlineStr">
        <is>
          <t>Hides</t>
        </is>
      </c>
      <c r="B126" s="95" t="inlineStr">
        <is>
          <t>Begin stock</t>
        </is>
      </c>
      <c r="C126" s="95" t="inlineStr">
        <is>
          <t>End stock</t>
        </is>
      </c>
      <c r="D126" s="95" t="inlineStr">
        <is>
          <t>Stockbuilding</t>
        </is>
      </c>
      <c r="E126" s="95" t="n"/>
      <c r="F126" s="95" t="inlineStr">
        <is>
          <t>Value of stock in £</t>
        </is>
      </c>
    </row>
    <row r="127">
      <c r="A127" s="15" t="inlineStr">
        <is>
          <t>Ox hides</t>
        </is>
      </c>
      <c r="B127" t="n">
        <v>0</v>
      </c>
      <c r="C127" t="n">
        <v>0</v>
      </c>
      <c r="D127" t="n">
        <v>0</v>
      </c>
      <c r="G127" s="96" t="n"/>
    </row>
    <row r="128">
      <c r="A128" s="15" t="inlineStr">
        <is>
          <t>Cow hides</t>
        </is>
      </c>
      <c r="B128" t="n">
        <v>0</v>
      </c>
      <c r="C128" t="n">
        <v>0</v>
      </c>
      <c r="D128" t="n">
        <v>0</v>
      </c>
    </row>
    <row r="129">
      <c r="A129" s="15" t="inlineStr">
        <is>
          <t>Mare hides</t>
        </is>
      </c>
      <c r="B129" t="n">
        <v>0</v>
      </c>
      <c r="C129" t="n">
        <v>0</v>
      </c>
      <c r="D129" t="n">
        <v>0</v>
      </c>
    </row>
    <row r="130">
      <c r="A130" s="15" t="inlineStr">
        <is>
          <t>Steer hides</t>
        </is>
      </c>
      <c r="B130" t="n">
        <v>0</v>
      </c>
      <c r="C130" t="n">
        <v>0</v>
      </c>
      <c r="D130" t="n">
        <v>0</v>
      </c>
    </row>
    <row r="131">
      <c r="A131" s="15" t="inlineStr">
        <is>
          <t>Yearling Calf hides</t>
        </is>
      </c>
      <c r="B131" t="n">
        <v>0</v>
      </c>
      <c r="C131" t="n">
        <v>0</v>
      </c>
      <c r="D131" t="n">
        <v>0</v>
      </c>
    </row>
    <row r="132">
      <c r="A132" s="15" t="inlineStr">
        <is>
          <t>Calf hides</t>
        </is>
      </c>
      <c r="B132" t="n">
        <v>0</v>
      </c>
      <c r="C132" t="n">
        <v>0</v>
      </c>
      <c r="D132" t="n">
        <v>0</v>
      </c>
    </row>
    <row r="133">
      <c r="A133" s="23" t="inlineStr">
        <is>
          <t>Pig hides</t>
        </is>
      </c>
      <c r="B133" t="n">
        <v>0</v>
      </c>
      <c r="C133" t="n">
        <v>0</v>
      </c>
      <c r="D133" t="n">
        <v>0</v>
      </c>
    </row>
    <row r="134">
      <c r="A134" s="24" t="inlineStr">
        <is>
          <t>Wether woolskins</t>
        </is>
      </c>
    </row>
    <row r="135">
      <c r="A135" s="24" t="inlineStr">
        <is>
          <t>Ram woolskins</t>
        </is>
      </c>
    </row>
    <row r="136">
      <c r="A136" s="24" t="inlineStr">
        <is>
          <t>Ewe woolskins</t>
        </is>
      </c>
    </row>
    <row r="137">
      <c r="A137" s="24" t="inlineStr">
        <is>
          <t>Hogg woolskins</t>
        </is>
      </c>
    </row>
    <row r="138">
      <c r="A138" s="25" t="inlineStr">
        <is>
          <t>Woolskins (total)</t>
        </is>
      </c>
      <c r="B138" t="n">
        <v>0</v>
      </c>
      <c r="C138" t="n">
        <v>0</v>
      </c>
      <c r="D138" t="n">
        <v>0</v>
      </c>
    </row>
    <row r="139">
      <c r="A139" s="24" t="inlineStr">
        <is>
          <t>Wether bareskins</t>
        </is>
      </c>
    </row>
    <row r="140">
      <c r="A140" s="24" t="inlineStr">
        <is>
          <t>Ram bareskins</t>
        </is>
      </c>
    </row>
    <row r="141">
      <c r="A141" s="24" t="inlineStr">
        <is>
          <t>Ewe bareskins</t>
        </is>
      </c>
    </row>
    <row r="142">
      <c r="A142" s="24" t="inlineStr">
        <is>
          <t>Hogg bareskins</t>
        </is>
      </c>
    </row>
    <row r="143">
      <c r="A143" s="25" t="inlineStr">
        <is>
          <t>Bareskins (total)</t>
        </is>
      </c>
      <c r="B143" t="n">
        <v>0</v>
      </c>
      <c r="C143" t="n">
        <v>0</v>
      </c>
      <c r="D143" t="n">
        <v>0</v>
      </c>
    </row>
    <row r="144">
      <c r="A144" s="15" t="inlineStr">
        <is>
          <t>Lambskins</t>
        </is>
      </c>
      <c r="B144" t="n">
        <v>0</v>
      </c>
      <c r="C144" t="n">
        <v>0</v>
      </c>
      <c r="D144" t="n">
        <v>0</v>
      </c>
    </row>
    <row r="145">
      <c r="A145" s="15" t="inlineStr">
        <is>
          <t>Rotted skins</t>
        </is>
      </c>
      <c r="B145" t="n">
        <v>0</v>
      </c>
      <c r="C145" t="n">
        <v>0</v>
      </c>
      <c r="D145" t="n">
        <v>0</v>
      </c>
    </row>
    <row r="146">
      <c r="A146" s="15" t="inlineStr">
        <is>
          <t>Shorn skins</t>
        </is>
      </c>
      <c r="B146" t="n">
        <v>0</v>
      </c>
      <c r="C146" t="n">
        <v>0</v>
      </c>
      <c r="D146" t="n">
        <v>0</v>
      </c>
    </row>
    <row r="147">
      <c r="A147" s="17" t="inlineStr">
        <is>
          <t>Total value of production (sum of the above)</t>
        </is>
      </c>
      <c r="B147" s="93" t="n"/>
      <c r="C147" s="94" t="n"/>
      <c r="D147" s="93" t="n"/>
      <c r="E147" s="93" t="n"/>
      <c r="F147" s="93" t="n"/>
    </row>
    <row r="148">
      <c r="A148" s="17" t="inlineStr">
        <is>
          <t>Value of sales</t>
        </is>
      </c>
      <c r="B148" s="93" t="n"/>
      <c r="C148" s="94" t="n"/>
      <c r="D148" s="93" t="n"/>
      <c r="E148" s="93" t="n"/>
      <c r="F148" s="93" t="n"/>
    </row>
    <row r="149">
      <c r="A149" s="15" t="n"/>
    </row>
    <row r="150">
      <c r="A150" s="16" t="inlineStr">
        <is>
          <t>Poultry stock</t>
        </is>
      </c>
      <c r="B150" s="95" t="inlineStr">
        <is>
          <t>Begin stock</t>
        </is>
      </c>
      <c r="C150" s="95" t="inlineStr">
        <is>
          <t>End stock</t>
        </is>
      </c>
      <c r="D150" s="95" t="inlineStr">
        <is>
          <t>Stockbuilding</t>
        </is>
      </c>
      <c r="E150" s="95" t="n"/>
      <c r="F150" s="95" t="inlineStr">
        <is>
          <t>Value of stock in £</t>
        </is>
      </c>
    </row>
    <row r="151">
      <c r="A151" s="22" t="inlineStr">
        <is>
          <t>Hens</t>
        </is>
      </c>
      <c r="B151" s="76">
        <f>'Stock'!B67</f>
        <v/>
      </c>
      <c r="C151" s="76">
        <f>'Stock'!B67-'Stock'!M67</f>
        <v/>
      </c>
      <c r="D151" s="76">
        <f>B151-C151</f>
        <v/>
      </c>
      <c r="F151" s="76">
        <f>'Stock'!Q67</f>
        <v/>
      </c>
      <c r="G151" s="96" t="n"/>
    </row>
    <row r="152">
      <c r="A152" s="15" t="inlineStr">
        <is>
          <t>Geese</t>
        </is>
      </c>
      <c r="B152" s="76">
        <f>'Stock'!B68</f>
        <v/>
      </c>
      <c r="C152" s="76">
        <f>'Stock'!B68-'Stock'!M68</f>
        <v/>
      </c>
      <c r="D152" s="76">
        <f>B152-C152</f>
        <v/>
      </c>
      <c r="F152" s="76">
        <f>'Stock'!Q68</f>
        <v/>
      </c>
    </row>
    <row r="153">
      <c r="A153" s="15" t="inlineStr">
        <is>
          <t>Capons (from chickens)</t>
        </is>
      </c>
      <c r="B153" s="76" t="n">
        <v>0</v>
      </c>
      <c r="C153" s="76">
        <f>'Stock'!B69-'Stock'!M69</f>
        <v/>
      </c>
      <c r="D153" s="76">
        <f>B153-C153</f>
        <v/>
      </c>
      <c r="F153" s="76">
        <f>'Stock'!Q69</f>
        <v/>
      </c>
    </row>
    <row r="154">
      <c r="A154" s="15" t="inlineStr">
        <is>
          <t>Cocks &amp; hens</t>
        </is>
      </c>
      <c r="B154" s="76" t="n">
        <v>0</v>
      </c>
      <c r="C154" s="76">
        <f>'Stock'!B70-'Stock'!M70</f>
        <v/>
      </c>
      <c r="D154" s="76">
        <f>B154-C154</f>
        <v/>
      </c>
      <c r="F154" s="76">
        <f>'Stock'!Q70</f>
        <v/>
      </c>
    </row>
    <row r="155">
      <c r="A155" s="119" t="inlineStr">
        <is>
          <t>Total value of production (sum of the above)</t>
        </is>
      </c>
      <c r="B155" s="93" t="n"/>
      <c r="C155" s="93" t="n"/>
      <c r="D155" s="93" t="n"/>
      <c r="E155" s="93" t="n"/>
      <c r="F155" s="93">
        <f>SUM(F151:F154)</f>
        <v/>
      </c>
    </row>
    <row r="156">
      <c r="A156" s="119" t="inlineStr">
        <is>
          <t>Value of sales</t>
        </is>
      </c>
      <c r="B156" s="93" t="n"/>
      <c r="C156" s="94" t="n"/>
      <c r="D156" s="93" t="n"/>
      <c r="E156" s="93" t="n"/>
      <c r="F156" s="93">
        <f>SUM('Stock'!R67:R70)</f>
        <v/>
      </c>
    </row>
    <row r="157">
      <c r="A157" s="15" t="n"/>
    </row>
    <row r="158">
      <c r="A158" s="16" t="inlineStr">
        <is>
          <t>Poultry production</t>
        </is>
      </c>
      <c r="B158" s="95" t="inlineStr">
        <is>
          <t>Begin stock</t>
        </is>
      </c>
      <c r="C158" s="95" t="inlineStr">
        <is>
          <t>End stock</t>
        </is>
      </c>
      <c r="D158" s="95" t="inlineStr">
        <is>
          <t>Stockbuilding</t>
        </is>
      </c>
      <c r="E158" s="95" t="n"/>
      <c r="F158" s="95" t="inlineStr">
        <is>
          <t>Value of stock in £</t>
        </is>
      </c>
    </row>
    <row r="159">
      <c r="A159" s="15" t="inlineStr">
        <is>
          <t>Eggs</t>
        </is>
      </c>
      <c r="B159" t="n">
        <v>0</v>
      </c>
      <c r="C159" t="n">
        <v>0</v>
      </c>
      <c r="D159" t="n">
        <v>0</v>
      </c>
      <c r="G159" s="116" t="n"/>
    </row>
    <row r="160">
      <c r="A160" s="15" t="inlineStr">
        <is>
          <t>Cocks &amp; hens from churchscot of customary tenants</t>
        </is>
      </c>
      <c r="B160" t="n">
        <v>0</v>
      </c>
      <c r="C160" t="n">
        <v>0</v>
      </c>
      <c r="D160" t="n">
        <v>0</v>
      </c>
    </row>
    <row r="161">
      <c r="A161" s="15" t="inlineStr">
        <is>
          <t>Sum of above</t>
        </is>
      </c>
      <c r="B161" t="n">
        <v>0</v>
      </c>
      <c r="C161" t="n">
        <v>0</v>
      </c>
      <c r="D161" t="n">
        <v>0</v>
      </c>
    </row>
    <row r="162">
      <c r="A162" s="17" t="inlineStr">
        <is>
          <t>Total value of stock</t>
        </is>
      </c>
      <c r="B162" s="93" t="n"/>
      <c r="C162" s="94" t="n"/>
      <c r="D162" s="93" t="n"/>
      <c r="E162" s="93" t="n"/>
      <c r="F162" s="93">
        <f>SUM(F159:F160)</f>
        <v/>
      </c>
    </row>
    <row r="163">
      <c r="A163" s="17" t="inlineStr">
        <is>
          <t>Value of sales</t>
        </is>
      </c>
      <c r="B163" s="93" t="n"/>
      <c r="C163" s="94" t="n"/>
      <c r="D163" s="93" t="n"/>
      <c r="E163" s="93" t="n"/>
      <c r="F163" s="93" t="n"/>
    </row>
    <row r="164">
      <c r="A164" s="15" t="n"/>
    </row>
    <row r="165">
      <c r="A165" s="16" t="inlineStr">
        <is>
          <t>Dairy Production</t>
        </is>
      </c>
      <c r="B165" s="95" t="inlineStr">
        <is>
          <t>Begin stock</t>
        </is>
      </c>
      <c r="C165" s="95" t="inlineStr">
        <is>
          <t>End stock</t>
        </is>
      </c>
      <c r="D165" s="95" t="inlineStr">
        <is>
          <t>Stockbuilding</t>
        </is>
      </c>
      <c r="E165" s="95" t="n"/>
      <c r="F165" s="95" t="inlineStr">
        <is>
          <t>Value of stock in £</t>
        </is>
      </c>
    </row>
    <row r="166">
      <c r="A166" s="15" t="inlineStr">
        <is>
          <t>Butter</t>
        </is>
      </c>
      <c r="B166" t="n">
        <v>0</v>
      </c>
      <c r="C166" t="n">
        <v>0</v>
      </c>
      <c r="D166" t="n">
        <v>0</v>
      </c>
      <c r="G166" s="116" t="n"/>
    </row>
    <row r="167">
      <c r="A167" s="15" t="inlineStr">
        <is>
          <t>Winter Cheese</t>
        </is>
      </c>
      <c r="B167" t="n">
        <v>0</v>
      </c>
      <c r="C167" t="n">
        <v>0</v>
      </c>
      <c r="D167" t="n">
        <v>0</v>
      </c>
    </row>
    <row r="168">
      <c r="A168" s="15" t="inlineStr">
        <is>
          <t>Summer Cheese</t>
        </is>
      </c>
      <c r="B168" t="n">
        <v>0</v>
      </c>
      <c r="C168" t="n">
        <v>0</v>
      </c>
      <c r="D168" t="n">
        <v>0</v>
      </c>
    </row>
    <row r="169">
      <c r="A169" s="17" t="inlineStr">
        <is>
          <t>Total value of production (sum of the above)</t>
        </is>
      </c>
      <c r="B169" s="93" t="n"/>
      <c r="C169" s="94" t="n"/>
      <c r="D169" s="93" t="n"/>
      <c r="E169" s="93" t="n"/>
      <c r="F169" s="93">
        <f>SUM(F166:F168)</f>
        <v/>
      </c>
    </row>
    <row r="170">
      <c r="A170" s="17" t="inlineStr">
        <is>
          <t>Value of sales</t>
        </is>
      </c>
      <c r="B170" s="93" t="n"/>
      <c r="C170" s="94" t="n"/>
      <c r="D170" s="93" t="n"/>
      <c r="E170" s="93" t="n"/>
      <c r="F170" s="93" t="n"/>
    </row>
    <row r="171">
      <c r="A171" s="15" t="n"/>
    </row>
    <row r="172">
      <c r="A172" s="15" t="n"/>
    </row>
    <row r="173" ht="16" customHeight="1" thickBot="1"/>
    <row r="174" ht="16" customHeight="1" thickBot="1">
      <c r="A174" s="103" t="n"/>
      <c r="B174" s="104" t="inlineStr">
        <is>
          <t>Total in £</t>
        </is>
      </c>
      <c r="C174" s="105" t="n"/>
      <c r="D174" s="108" t="n"/>
      <c r="E174" s="108" t="n"/>
      <c r="F174" s="109" t="n"/>
    </row>
    <row r="175">
      <c r="A175" s="97" t="inlineStr">
        <is>
          <t>Total Production Value of all Output (Grange, Dairy, Livestock Sales, Wools, Skins - NO Mill)</t>
        </is>
      </c>
      <c r="B175" s="110">
        <f>F169+F162+F155+F147+F123+F115+E72</f>
        <v/>
      </c>
      <c r="D175" s="111" t="n"/>
      <c r="E175" s="111" t="n"/>
      <c r="F175" s="112" t="n"/>
    </row>
    <row r="176">
      <c r="A176" s="98" t="inlineStr">
        <is>
          <t>Total Sales Value of all Output as defined above</t>
        </is>
      </c>
      <c r="B176" s="110">
        <f>F170+F163+F156+F148+F124+F115+D73</f>
        <v/>
      </c>
      <c r="D176" s="111" t="n"/>
      <c r="E176" s="111" t="n"/>
      <c r="F176" s="112" t="n"/>
    </row>
    <row r="177">
      <c r="A177" s="98" t="inlineStr">
        <is>
          <t>Total Sales of Corn + Issues of the Manor as recorded in account</t>
        </is>
      </c>
      <c r="B177" s="110">
        <f>B15+B18</f>
        <v/>
      </c>
      <c r="D177" s="111" t="n"/>
      <c r="E177" s="111" t="n"/>
      <c r="F177" s="112" t="n"/>
    </row>
    <row r="178">
      <c r="A178" s="98" t="inlineStr">
        <is>
          <t>Production Value + Cash Receipts (excl. Arrears, Issues, Corn and Mill)</t>
        </is>
      </c>
      <c r="B178" s="110">
        <f>B175+B12+B13+B14+B16+B17+B19+B20+B21+B22</f>
        <v/>
      </c>
      <c r="D178" s="111" t="n"/>
      <c r="E178" s="111" t="n"/>
      <c r="F178" s="112" t="n"/>
    </row>
    <row r="179">
      <c r="A179" s="99" t="n"/>
      <c r="B179" s="111" t="n"/>
      <c r="D179" s="111" t="n"/>
      <c r="E179" s="111" t="n"/>
      <c r="F179" s="112" t="n"/>
    </row>
    <row r="180">
      <c r="A180" s="100" t="inlineStr">
        <is>
          <t>% of capital expenses in terms of total production</t>
        </is>
      </c>
      <c r="B180" s="113">
        <f>B47/B175</f>
        <v/>
      </c>
      <c r="C180" s="13" t="n"/>
      <c r="F180" s="112" t="n"/>
    </row>
    <row r="181">
      <c r="A181" s="98" t="inlineStr">
        <is>
          <t>% of capital expenses in terms of total production + cash receipts</t>
        </is>
      </c>
      <c r="B181" s="113">
        <f>B47/B178</f>
        <v/>
      </c>
      <c r="D181" s="111" t="n"/>
      <c r="E181" s="111" t="n"/>
      <c r="F181" s="112" t="n"/>
    </row>
    <row r="182">
      <c r="A182" s="99" t="n"/>
      <c r="D182" s="111" t="n"/>
      <c r="E182" s="111" t="n"/>
      <c r="F182" s="112" t="n"/>
    </row>
    <row r="183" ht="16" customHeight="1" thickBot="1">
      <c r="A183" s="101" t="inlineStr">
        <is>
          <t>% of capital expenses as calculated previously</t>
        </is>
      </c>
      <c r="B183" s="106" t="inlineStr">
        <is>
          <t>n/a</t>
        </is>
      </c>
      <c r="C183" s="102" t="n"/>
      <c r="D183" s="114" t="n"/>
      <c r="E183" s="114" t="n"/>
      <c r="F183" s="115" t="n"/>
    </row>
  </sheetData>
  <mergeCells count="2">
    <mergeCell ref="B60:C60"/>
    <mergeCell ref="B75:C75"/>
  </mergeCell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topLeftCell="A1" workbookViewId="0">
      <selection activeCell="A1" sqref="A1"/>
    </sheetView>
  </sheetViews>
  <sheetFormatPr baseColWidth="8" defaultRowHeight="15"/>
  <cols>
    <col width="41.453125" customWidth="1" min="1" max="1"/>
    <col width="8.81640625" customWidth="1" min="2" max="2"/>
    <col width="12.81640625" customWidth="1" min="6" max="6"/>
    <col width="8.81640625" customWidth="1" min="7" max="7"/>
    <col width="12.453125" customWidth="1" min="8" max="8"/>
    <col width="8.81640625" customWidth="1" min="9" max="9"/>
    <col width="8.81640625" customWidth="1" min="10" max="10"/>
  </cols>
  <sheetData>
    <row r="1">
      <c r="A1" s="127" t="inlineStr">
        <is>
          <t>DOWNTONBOROUGH RECEIPTS</t>
        </is>
      </c>
      <c r="B1" s="128" t="n"/>
      <c r="C1" s="128" t="n"/>
      <c r="D1" s="128" t="n"/>
      <c r="E1" s="128" t="n"/>
      <c r="F1" s="128" t="n"/>
      <c r="G1" s="128" t="n"/>
      <c r="H1" s="128" t="n"/>
      <c r="I1" s="128" t="n"/>
    </row>
    <row r="2">
      <c r="A2" s="129" t="inlineStr">
        <is>
          <t>Heading</t>
        </is>
      </c>
      <c r="B2" s="130" t="inlineStr">
        <is>
          <t>£</t>
        </is>
      </c>
      <c r="C2" s="131" t="inlineStr">
        <is>
          <t>s</t>
        </is>
      </c>
      <c r="D2" s="131" t="inlineStr">
        <is>
          <t>d</t>
        </is>
      </c>
      <c r="E2" s="131" t="n"/>
      <c r="F2" s="132" t="inlineStr">
        <is>
          <t>Total in £</t>
        </is>
      </c>
      <c r="G2" s="133" t="inlineStr">
        <is>
          <t>Error</t>
        </is>
      </c>
      <c r="H2" s="134" t="inlineStr">
        <is>
          <t>Notes</t>
        </is>
      </c>
      <c r="I2" s="135" t="inlineStr">
        <is>
          <t>Own notes</t>
        </is>
      </c>
    </row>
    <row r="3">
      <c r="A3" s="136" t="inlineStr">
        <is>
          <t>Arrears</t>
        </is>
      </c>
      <c r="B3" s="128" t="n">
        <v>0</v>
      </c>
      <c r="C3" s="128" t="n">
        <v>15</v>
      </c>
      <c r="D3" s="128" t="n">
        <v>7</v>
      </c>
      <c r="E3" s="128" t="n"/>
      <c r="F3" s="128" t="n">
        <v>0.78</v>
      </c>
      <c r="G3" s="128" t="n"/>
      <c r="H3" s="128" t="inlineStr">
        <is>
          <t>Ralph Fotere, reeve there, answers for 15 shilling 7pence of arrears from his last account of the preceding year.</t>
        </is>
      </c>
      <c r="I3" s="128" t="n"/>
    </row>
    <row r="4">
      <c r="A4" s="137" t="inlineStr">
        <is>
          <t>Arrears</t>
        </is>
      </c>
      <c r="B4" s="128" t="n">
        <v>0</v>
      </c>
      <c r="C4" s="128" t="n">
        <v>15</v>
      </c>
      <c r="D4" s="128" t="n">
        <v>7</v>
      </c>
      <c r="E4" s="128" t="n"/>
      <c r="F4" s="128" t="n">
        <v>0.78</v>
      </c>
      <c r="G4" s="128" t="n"/>
      <c r="H4" s="128" t="inlineStr">
        <is>
          <t>Total, 15 shilling 7pence.</t>
        </is>
      </c>
      <c r="I4" s="128" t="n"/>
    </row>
    <row r="5">
      <c r="A5" s="138" t="inlineStr">
        <is>
          <t>Arrears total</t>
        </is>
      </c>
      <c r="B5" s="139" t="n"/>
      <c r="C5" s="139" t="n"/>
      <c r="D5" s="139" t="n"/>
      <c r="E5" s="139" t="n"/>
      <c r="F5" s="139" t="n">
        <v>0.78</v>
      </c>
      <c r="G5" s="139" t="n">
        <v>0</v>
      </c>
      <c r="H5" s="139" t="inlineStr">
        <is>
          <t>Total</t>
        </is>
      </c>
      <c r="I5" s="139" t="n"/>
    </row>
    <row r="6">
      <c r="A6" s="137" t="n"/>
      <c r="B6" s="128" t="n"/>
      <c r="C6" s="128" t="n"/>
      <c r="D6" s="128" t="n"/>
      <c r="E6" s="128" t="n"/>
      <c r="F6" s="128" t="n"/>
      <c r="G6" s="128" t="n"/>
      <c r="H6" s="128" t="n"/>
      <c r="I6" s="128" t="n"/>
    </row>
    <row r="7">
      <c r="A7" s="136" t="inlineStr">
        <is>
          <t>Rents</t>
        </is>
      </c>
      <c r="B7" s="128" t="n">
        <v>6</v>
      </c>
      <c r="C7" s="128" t="n">
        <v>6</v>
      </c>
      <c r="D7" s="128" t="n">
        <v>2</v>
      </c>
      <c r="E7" s="128" t="n"/>
      <c r="F7" s="128" t="n">
        <v>6.31</v>
      </c>
      <c r="G7" s="128" t="n"/>
      <c r="H7" s="128" t="inlineStr">
        <is>
          <t>Geoffrey Fotere, reeve there, answers for £6 6 shilling 2pence for all rents of assize there for the year.</t>
        </is>
      </c>
      <c r="I7" s="128" t="n"/>
    </row>
    <row r="8">
      <c r="A8" s="137" t="inlineStr">
        <is>
          <t>Rents</t>
        </is>
      </c>
      <c r="B8" s="128" t="n">
        <v>0</v>
      </c>
      <c r="C8" s="128" t="n">
        <v>0</v>
      </c>
      <c r="D8" s="128" t="n">
        <v>4</v>
      </c>
      <c r="E8" s="128" t="n"/>
      <c r="F8" s="128" t="n">
        <v>0.02</v>
      </c>
      <c r="G8" s="128" t="n"/>
      <c r="H8" s="128" t="inlineStr">
        <is>
          <t>4pence from John Seuyere for 1 plot of purpresture of the lord's ground, 20 feet long and 6 feet wide, at the eastern end of his house.</t>
        </is>
      </c>
      <c r="I8" s="128" t="n"/>
    </row>
    <row r="9">
      <c r="A9" s="137" t="inlineStr">
        <is>
          <t>Rents</t>
        </is>
      </c>
      <c r="B9" s="128" t="n">
        <v>6</v>
      </c>
      <c r="C9" s="128" t="n">
        <v>6</v>
      </c>
      <c r="D9" s="128" t="n">
        <v>6</v>
      </c>
      <c r="E9" s="128" t="n"/>
      <c r="F9" s="128" t="n">
        <v>6.33</v>
      </c>
      <c r="G9" s="128" t="n"/>
      <c r="H9" s="128" t="inlineStr">
        <is>
          <t>Total, £6 6 shilling 6pence.</t>
        </is>
      </c>
      <c r="I9" s="128" t="n"/>
    </row>
    <row r="10">
      <c r="A10" s="138" t="inlineStr">
        <is>
          <t>Rents total</t>
        </is>
      </c>
      <c r="B10" s="139" t="n"/>
      <c r="C10" s="139" t="n"/>
      <c r="D10" s="139" t="n"/>
      <c r="E10" s="139" t="n"/>
      <c r="F10" s="139" t="n">
        <v>6.33</v>
      </c>
      <c r="G10" s="139" t="n">
        <v>0</v>
      </c>
      <c r="H10" s="139" t="inlineStr">
        <is>
          <t>Total</t>
        </is>
      </c>
      <c r="I10" s="139" t="n"/>
    </row>
    <row r="11">
      <c r="A11" s="137" t="n"/>
      <c r="B11" s="128" t="n"/>
      <c r="C11" s="128" t="n"/>
      <c r="D11" s="128" t="n"/>
      <c r="E11" s="128" t="n"/>
      <c r="F11" s="128" t="n"/>
      <c r="G11" s="128" t="n"/>
      <c r="H11" s="128" t="n"/>
      <c r="I11" s="128" t="n"/>
    </row>
    <row r="12">
      <c r="A12" s="136" t="inlineStr">
        <is>
          <t>Total of rents remaining clear</t>
        </is>
      </c>
      <c r="B12" s="128" t="n">
        <v>6.5</v>
      </c>
      <c r="C12" s="128" t="n">
        <v>0</v>
      </c>
      <c r="D12" s="128" t="n">
        <v>0</v>
      </c>
      <c r="E12" s="128" t="n"/>
      <c r="F12" s="128" t="n">
        <v>6.5</v>
      </c>
      <c r="G12" s="128" t="n"/>
      <c r="H12" s="128" t="inlineStr">
        <is>
          <t>Total of rents remaining clear, £6.5 shilling 6pence.</t>
        </is>
      </c>
      <c r="I12" s="128" t="n"/>
    </row>
    <row r="13">
      <c r="A13" s="138" t="inlineStr">
        <is>
          <t>Total of rents remaining clear total</t>
        </is>
      </c>
      <c r="B13" s="139" t="n"/>
      <c r="C13" s="139" t="n"/>
      <c r="D13" s="139" t="n"/>
      <c r="E13" s="139" t="n"/>
      <c r="F13" s="139" t="n">
        <v>6.5</v>
      </c>
      <c r="G13" s="139" t="n">
        <v>0</v>
      </c>
      <c r="H13" s="139" t="inlineStr">
        <is>
          <t>Total</t>
        </is>
      </c>
      <c r="I13" s="139" t="n"/>
    </row>
    <row r="14">
      <c r="A14" s="137" t="n"/>
      <c r="B14" s="128" t="n"/>
      <c r="C14" s="128" t="n"/>
      <c r="D14" s="128" t="n"/>
      <c r="E14" s="128" t="n"/>
      <c r="F14" s="128" t="n"/>
      <c r="G14" s="128" t="n"/>
      <c r="H14" s="128" t="n"/>
      <c r="I14" s="128" t="n"/>
    </row>
    <row r="15">
      <c r="A15" s="136" t="inlineStr">
        <is>
          <t>Perquisites of court</t>
        </is>
      </c>
      <c r="B15" s="128" t="n">
        <v>1</v>
      </c>
      <c r="C15" s="128" t="n">
        <v>1</v>
      </c>
      <c r="D15" s="128" t="n">
        <v>5</v>
      </c>
      <c r="E15" s="128" t="n"/>
      <c r="F15" s="128" t="n">
        <v>1.07</v>
      </c>
      <c r="G15" s="128" t="n"/>
      <c r="H15" s="128" t="inlineStr">
        <is>
          <t>And for £1 1 shilling 5pence from the perquisites of the tourn of Martinmas (11 November).</t>
        </is>
      </c>
      <c r="I15" s="128" t="n"/>
    </row>
    <row r="16">
      <c r="A16" s="137" t="inlineStr">
        <is>
          <t>Perquisites of court</t>
        </is>
      </c>
      <c r="B16" s="128" t="n">
        <v>0</v>
      </c>
      <c r="C16" s="128" t="n">
        <v>3</v>
      </c>
      <c r="D16" s="128" t="n">
        <v>6</v>
      </c>
      <c r="E16" s="128" t="n"/>
      <c r="F16" s="128" t="n">
        <v>0.17</v>
      </c>
      <c r="G16" s="128" t="n"/>
      <c r="H16" s="128" t="inlineStr">
        <is>
          <t>3 shilling 6pence from the perquisites of the courts held between Michaelmas and the tourn of Hockday.</t>
        </is>
      </c>
      <c r="I16" s="128" t="n"/>
    </row>
    <row r="17">
      <c r="A17" s="137" t="inlineStr">
        <is>
          <t>Perquisites of court</t>
        </is>
      </c>
      <c r="B17" s="128" t="n">
        <v>1</v>
      </c>
      <c r="C17" s="128" t="n">
        <v>5</v>
      </c>
      <c r="D17" s="128" t="n">
        <v>6</v>
      </c>
      <c r="E17" s="128" t="n"/>
      <c r="F17" s="128" t="n">
        <v>1.27</v>
      </c>
      <c r="G17" s="128" t="n"/>
      <c r="H17" s="128" t="inlineStr">
        <is>
          <t>£1 5 shilling 6pence from the perquisites of the tourn of Hockday (1 April).</t>
        </is>
      </c>
      <c r="I17" s="128" t="n"/>
    </row>
    <row r="18">
      <c r="A18" s="137" t="inlineStr">
        <is>
          <t>Perquisites of court</t>
        </is>
      </c>
      <c r="B18" s="128" t="n">
        <v>0</v>
      </c>
      <c r="C18" s="128" t="n">
        <v>3</v>
      </c>
      <c r="D18" s="128" t="n">
        <v>1</v>
      </c>
      <c r="E18" s="128" t="n"/>
      <c r="F18" s="128" t="n">
        <v>0.15</v>
      </c>
      <c r="G18" s="128" t="n"/>
      <c r="H18" s="128" t="inlineStr">
        <is>
          <t>3 shilling 1pence from the perquisites of the courts held after the tourn of Hockday.</t>
        </is>
      </c>
      <c r="I18" s="128" t="n"/>
    </row>
    <row r="19">
      <c r="A19" s="138" t="inlineStr">
        <is>
          <t>Perquisites of court total</t>
        </is>
      </c>
      <c r="B19" s="139" t="n">
        <v>2</v>
      </c>
      <c r="C19" s="139" t="n">
        <v>13</v>
      </c>
      <c r="D19" s="139" t="n">
        <v>6</v>
      </c>
      <c r="E19" s="139" t="n"/>
      <c r="F19" s="139" t="n">
        <v>2.67</v>
      </c>
      <c r="G19" s="139" t="n">
        <v>2.52</v>
      </c>
      <c r="H19" s="139" t="inlineStr">
        <is>
          <t>Total, £2 13 shilling 6pence.</t>
        </is>
      </c>
      <c r="I19" s="139" t="n"/>
    </row>
    <row r="20">
      <c r="A20" s="38" t="inlineStr">
        <is>
          <t>Total of all receipts recorded in accounts (calculated here)</t>
        </is>
      </c>
      <c r="F20">
        <f>SUMIF(A1:A19,"* total",F1:F19)-SUMIF(A1:A19,"Arrears total",F1:F19)</f>
        <v/>
      </c>
    </row>
    <row r="21">
      <c r="A21" s="38" t="inlineStr">
        <is>
          <t>Total of all receipts (calculated here) incl arrears</t>
        </is>
      </c>
      <c r="F21">
        <f>F20+SUMIF(A1:A19,"Arrears total",F1:F19)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topLeftCell="A1" workbookViewId="0">
      <selection activeCell="A1" sqref="A1"/>
    </sheetView>
  </sheetViews>
  <sheetFormatPr baseColWidth="8" defaultRowHeight="15"/>
  <cols>
    <col width="34.453125" customWidth="1" min="1" max="1"/>
    <col width="8.81640625" customWidth="1" min="2" max="2"/>
    <col width="8.81640625" customWidth="1" min="6" max="6"/>
    <col width="8.81640625" customWidth="1" min="7" max="7"/>
    <col width="43" customWidth="1" min="8" max="8"/>
  </cols>
  <sheetData>
    <row r="1">
      <c r="A1" s="127" t="inlineStr">
        <is>
          <t>DOWNTONBOROUGH EXPENSES</t>
        </is>
      </c>
      <c r="B1" s="128" t="n"/>
      <c r="C1" s="128" t="n"/>
      <c r="D1" s="128" t="n"/>
      <c r="E1" s="128" t="n"/>
      <c r="F1" s="128" t="n"/>
      <c r="G1" s="128" t="n"/>
      <c r="H1" s="128" t="n"/>
    </row>
    <row r="2" ht="31" customHeight="1">
      <c r="A2" s="140" t="inlineStr">
        <is>
          <t>Heading</t>
        </is>
      </c>
      <c r="B2" s="141" t="inlineStr">
        <is>
          <t>£</t>
        </is>
      </c>
      <c r="C2" s="142" t="inlineStr">
        <is>
          <t>s</t>
        </is>
      </c>
      <c r="D2" s="142" t="inlineStr">
        <is>
          <t>d</t>
        </is>
      </c>
      <c r="E2" s="143" t="n"/>
      <c r="F2" s="144" t="inlineStr">
        <is>
          <t>Total in £</t>
        </is>
      </c>
      <c r="G2" s="145" t="inlineStr">
        <is>
          <t>Error</t>
        </is>
      </c>
      <c r="H2" s="146" t="inlineStr">
        <is>
          <t>Sentence</t>
        </is>
      </c>
      <c r="I2" t="inlineStr">
        <is>
          <t>Fixed Investments</t>
        </is>
      </c>
      <c r="J2" t="inlineStr">
        <is>
          <t>Demesne Fixed Investments</t>
        </is>
      </c>
    </row>
    <row r="3">
      <c r="A3" s="137" t="n"/>
      <c r="B3" s="128" t="n"/>
      <c r="C3" s="128" t="n"/>
      <c r="D3" s="128" t="n"/>
      <c r="E3" s="128" t="n"/>
      <c r="F3" s="128" t="n"/>
      <c r="G3" s="128" t="n"/>
      <c r="H3" s="128" t="n"/>
    </row>
    <row r="4">
      <c r="A4" s="136" t="inlineStr">
        <is>
          <t>Cash deliveries</t>
        </is>
      </c>
      <c r="B4" s="128" t="n">
        <v>8</v>
      </c>
      <c r="C4" s="128" t="n">
        <v>19</v>
      </c>
      <c r="D4" s="128" t="n">
        <v>0</v>
      </c>
      <c r="E4" s="128" t="n"/>
      <c r="F4" s="128" t="n">
        <v>8.949999999999999</v>
      </c>
      <c r="G4" s="128" t="n"/>
      <c r="H4" s="128" t="inlineStr">
        <is>
          <t>Delivered to John Arnald', receiver of Wolvesey, by 1 tally, £8 19 shilling.</t>
        </is>
      </c>
    </row>
    <row r="5">
      <c r="A5" s="137" t="inlineStr">
        <is>
          <t>Cash deliveries</t>
        </is>
      </c>
      <c r="B5" s="128" t="n">
        <v>8</v>
      </c>
      <c r="C5" s="128" t="n">
        <v>19</v>
      </c>
      <c r="D5" s="128" t="n">
        <v>0</v>
      </c>
      <c r="E5" s="128" t="n"/>
      <c r="F5" s="128" t="n">
        <v>8.949999999999999</v>
      </c>
      <c r="G5" s="128" t="n"/>
      <c r="H5" s="128" t="inlineStr">
        <is>
          <t>Total, £8 19 shilling And he owes, 15 shilling 7pence, all of which is in the hands of the escheator, for which he is charged in the following account.</t>
        </is>
      </c>
    </row>
    <row r="6">
      <c r="A6" s="138" t="inlineStr">
        <is>
          <t>Cash deliveries total</t>
        </is>
      </c>
      <c r="B6" s="139" t="n"/>
      <c r="C6" s="139" t="n"/>
      <c r="D6" s="139" t="n"/>
      <c r="E6" s="139" t="n"/>
      <c r="F6" s="139" t="n">
        <v>8.949999999999999</v>
      </c>
      <c r="G6" s="139" t="n">
        <v>0</v>
      </c>
      <c r="H6" s="139" t="inlineStr">
        <is>
          <t>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28"/>
  <sheetViews>
    <sheetView topLeftCell="A1" workbookViewId="0">
      <selection activeCell="A1" sqref="A1"/>
    </sheetView>
  </sheetViews>
  <sheetFormatPr baseColWidth="8" defaultRowHeight="15"/>
  <cols>
    <col width="44.36328125" customWidth="1" min="1" max="1"/>
    <col width="14.36328125" customWidth="1" min="2" max="2"/>
    <col width="9.81640625" customWidth="1" min="6" max="6"/>
    <col width="16.6328125" customWidth="1" min="7" max="7"/>
    <col width="16.1796875" customWidth="1" min="10" max="10"/>
    <col width="11.453125" customWidth="1" min="11" max="11"/>
    <col width="8.453125" customWidth="1" min="13" max="13"/>
    <col width="10.6328125" customWidth="1" min="14" max="14"/>
    <col width="16.6328125" customWidth="1" min="16" max="16"/>
    <col width="17.36328125" customWidth="1" min="17" max="17"/>
    <col width="16.1796875" customWidth="1" min="19" max="19"/>
    <col width="13.1796875" customWidth="1" min="21" max="21"/>
  </cols>
  <sheetData>
    <row r="1" ht="15.5" customHeight="1">
      <c r="A1" s="12" t="inlineStr">
        <is>
          <t>DOWNTONBOROUGH STOCK ACCOUNT</t>
        </is>
      </c>
    </row>
    <row r="2" ht="15.5" customHeight="1">
      <c r="A2" s="12" t="n"/>
    </row>
    <row r="3" ht="17" customHeight="1">
      <c r="A3" s="44" t="n"/>
      <c r="B3" s="44" t="n"/>
      <c r="C3" s="125" t="inlineStr">
        <is>
          <t>added</t>
        </is>
      </c>
      <c r="G3" s="126" t="inlineStr">
        <is>
          <t>subtracted</t>
        </is>
      </c>
      <c r="K3" s="44" t="n"/>
      <c r="L3" s="44" t="n"/>
      <c r="M3" s="44" t="n"/>
      <c r="N3" s="44" t="n"/>
      <c r="O3" s="44" t="n"/>
      <c r="P3" s="73" t="n"/>
      <c r="Q3" s="44" t="n"/>
      <c r="R3" s="44" t="n"/>
      <c r="S3" s="44" t="n"/>
      <c r="T3" s="44" t="n"/>
    </row>
    <row r="4" ht="46.5" customHeight="1">
      <c r="A4" s="66" t="inlineStr">
        <is>
          <t>Livestock</t>
        </is>
      </c>
      <c r="B4" s="29" t="inlineStr">
        <is>
          <t>Inherited stock</t>
        </is>
      </c>
      <c r="C4" s="29" t="inlineStr">
        <is>
          <t>added</t>
        </is>
      </c>
      <c r="D4" s="12" t="inlineStr">
        <is>
          <t>strays</t>
        </is>
      </c>
      <c r="E4" s="12" t="inlineStr">
        <is>
          <t>herbage</t>
        </is>
      </c>
      <c r="F4" s="12" t="inlineStr">
        <is>
          <t>churchscot</t>
        </is>
      </c>
      <c r="G4" s="12" t="inlineStr">
        <is>
          <t>of which in default</t>
        </is>
      </c>
      <c r="H4" s="29" t="inlineStr">
        <is>
          <t>sold</t>
        </is>
      </c>
      <c r="I4" s="29" t="inlineStr">
        <is>
          <t>in murrain</t>
        </is>
      </c>
      <c r="J4" s="29" t="inlineStr">
        <is>
          <t>accounted for elsewhere</t>
        </is>
      </c>
      <c r="K4" s="29" t="inlineStr">
        <is>
          <t>End-period  stock</t>
        </is>
      </c>
      <c r="L4" s="29" t="inlineStr">
        <is>
          <t>cross-check</t>
        </is>
      </c>
      <c r="M4" s="29" t="inlineStr">
        <is>
          <t>stock building</t>
        </is>
      </c>
      <c r="N4" s="29" t="inlineStr">
        <is>
          <t>raw production</t>
        </is>
      </c>
      <c r="O4" s="29" t="inlineStr">
        <is>
          <t>Unit price (£)</t>
        </is>
      </c>
      <c r="P4" s="74" t="inlineStr">
        <is>
          <t>Value of stock  (£) at given value</t>
        </is>
      </c>
      <c r="Q4" s="66" t="inlineStr">
        <is>
          <t>Value of stock  (£) at sales prices</t>
        </is>
      </c>
      <c r="R4" s="66" t="inlineStr">
        <is>
          <t>Sales in (£)</t>
        </is>
      </c>
      <c r="S4" s="66" t="inlineStr">
        <is>
          <t>Value of stock building (£)</t>
        </is>
      </c>
      <c r="T4" s="118" t="inlineStr">
        <is>
          <t>Value of production (£) at sales prices</t>
        </is>
      </c>
      <c r="U4" s="29" t="inlineStr">
        <is>
          <t>Details</t>
        </is>
      </c>
    </row>
    <row r="5">
      <c r="A5" s="44" t="inlineStr">
        <is>
          <t>Cart-horses</t>
        </is>
      </c>
      <c r="B5" t="n">
        <v>0</v>
      </c>
      <c r="C5" t="n">
        <v>0</v>
      </c>
      <c r="H5" t="n">
        <v>0</v>
      </c>
      <c r="I5" t="n">
        <v>0</v>
      </c>
      <c r="K5">
        <f>B5+C5-H5-I5</f>
        <v/>
      </c>
      <c r="L5">
        <f>B5+C5-H5</f>
        <v/>
      </c>
      <c r="M5">
        <f>L5-B5</f>
        <v/>
      </c>
      <c r="N5">
        <f>C5</f>
        <v/>
      </c>
      <c r="O5" t="n">
        <v>0</v>
      </c>
      <c r="P5" s="72">
        <f>O5*K5</f>
        <v/>
      </c>
      <c r="R5" t="n">
        <v>0</v>
      </c>
      <c r="S5">
        <f>O5*M5</f>
        <v/>
      </c>
      <c r="T5">
        <f>O5*N5</f>
        <v/>
      </c>
    </row>
    <row r="6">
      <c r="A6" s="44" t="inlineStr">
        <is>
          <t>Mares</t>
        </is>
      </c>
      <c r="B6" t="n">
        <v>0</v>
      </c>
      <c r="C6" t="n">
        <v>0</v>
      </c>
      <c r="H6" t="n">
        <v>0</v>
      </c>
      <c r="I6" t="n">
        <v>0</v>
      </c>
      <c r="K6">
        <f>B6+C6-H6-I6</f>
        <v/>
      </c>
      <c r="L6">
        <f>B6+C6-H6</f>
        <v/>
      </c>
      <c r="M6">
        <f>L6-B6</f>
        <v/>
      </c>
      <c r="N6">
        <f>C6</f>
        <v/>
      </c>
      <c r="O6" t="n">
        <v>0</v>
      </c>
      <c r="P6" s="72">
        <f>O6*K6</f>
        <v/>
      </c>
      <c r="R6" t="n">
        <v>0</v>
      </c>
      <c r="S6">
        <f>O6*M6</f>
        <v/>
      </c>
      <c r="T6">
        <f>O6*N6</f>
        <v/>
      </c>
    </row>
    <row r="7">
      <c r="A7" t="inlineStr">
        <is>
          <t>Plough horses</t>
        </is>
      </c>
      <c r="B7" t="n">
        <v>0</v>
      </c>
      <c r="C7" t="n">
        <v>0</v>
      </c>
      <c r="H7" t="n">
        <v>0</v>
      </c>
      <c r="I7" t="n">
        <v>0</v>
      </c>
      <c r="K7">
        <f>B7+C7-H7-I7</f>
        <v/>
      </c>
      <c r="L7">
        <f>B7+C7-H7</f>
        <v/>
      </c>
      <c r="M7">
        <f>L7-B7</f>
        <v/>
      </c>
      <c r="N7">
        <f>C7</f>
        <v/>
      </c>
      <c r="O7" t="n">
        <v>0</v>
      </c>
      <c r="P7" s="72">
        <f>O7*K7</f>
        <v/>
      </c>
      <c r="R7" t="n">
        <v>0</v>
      </c>
      <c r="S7">
        <f>O7*M7</f>
        <v/>
      </c>
      <c r="T7">
        <f>O7*N7</f>
        <v/>
      </c>
    </row>
    <row r="8">
      <c r="A8" t="inlineStr">
        <is>
          <t>Colts (unspecified years)</t>
        </is>
      </c>
      <c r="B8" t="n">
        <v>0</v>
      </c>
      <c r="C8" t="n">
        <v>0</v>
      </c>
      <c r="H8" t="n">
        <v>0</v>
      </c>
      <c r="I8" t="n">
        <v>0</v>
      </c>
      <c r="K8">
        <f>B8+C8-H8-I8</f>
        <v/>
      </c>
      <c r="L8">
        <f>B8+C8-H8</f>
        <v/>
      </c>
      <c r="M8">
        <f>L8-B8</f>
        <v/>
      </c>
      <c r="N8">
        <f>C8</f>
        <v/>
      </c>
      <c r="O8" t="n">
        <v>0</v>
      </c>
      <c r="P8" s="72">
        <f>O8*K8</f>
        <v/>
      </c>
      <c r="R8" t="n">
        <v>0</v>
      </c>
      <c r="S8">
        <f>O8*M8</f>
        <v/>
      </c>
      <c r="T8">
        <f>O8*N8</f>
        <v/>
      </c>
    </row>
    <row r="9">
      <c r="A9" t="inlineStr">
        <is>
          <t>Colts (2 years)</t>
        </is>
      </c>
      <c r="B9" t="n">
        <v>0</v>
      </c>
      <c r="C9" t="n">
        <v>0</v>
      </c>
      <c r="H9" t="n">
        <v>0</v>
      </c>
      <c r="I9" t="n">
        <v>0</v>
      </c>
      <c r="K9">
        <f>B9+C9-H9-I9</f>
        <v/>
      </c>
      <c r="L9">
        <f>B9+C9-H9</f>
        <v/>
      </c>
      <c r="M9">
        <f>L9-B9</f>
        <v/>
      </c>
      <c r="N9">
        <f>C9</f>
        <v/>
      </c>
      <c r="O9" t="n">
        <v>0</v>
      </c>
      <c r="P9" s="72">
        <f>O9*K9</f>
        <v/>
      </c>
      <c r="R9" t="n">
        <v>0</v>
      </c>
      <c r="S9">
        <f>O9*M9</f>
        <v/>
      </c>
      <c r="T9">
        <f>O9*N9</f>
        <v/>
      </c>
    </row>
    <row r="10">
      <c r="A10" t="inlineStr">
        <is>
          <t>Colts (1 year)</t>
        </is>
      </c>
      <c r="B10" t="n">
        <v>0</v>
      </c>
      <c r="C10" t="n">
        <v>0</v>
      </c>
      <c r="H10" t="n">
        <v>0</v>
      </c>
      <c r="I10" t="n">
        <v>0</v>
      </c>
      <c r="K10">
        <f>B10+C10-H10-I10</f>
        <v/>
      </c>
      <c r="L10">
        <f>B10+C10-H10</f>
        <v/>
      </c>
      <c r="M10">
        <f>L10-B10</f>
        <v/>
      </c>
      <c r="N10">
        <f>C10</f>
        <v/>
      </c>
      <c r="O10" t="n">
        <v>0</v>
      </c>
      <c r="P10" s="72">
        <f>O10*K10</f>
        <v/>
      </c>
      <c r="R10" t="n">
        <v>0</v>
      </c>
      <c r="S10">
        <f>O10*M10</f>
        <v/>
      </c>
      <c r="T10">
        <f>O10*N10</f>
        <v/>
      </c>
    </row>
    <row r="11">
      <c r="A11" t="inlineStr">
        <is>
          <t>Foals</t>
        </is>
      </c>
      <c r="B11" t="n">
        <v>0</v>
      </c>
      <c r="C11" t="n">
        <v>0</v>
      </c>
      <c r="H11" t="n">
        <v>0</v>
      </c>
      <c r="I11" t="n">
        <v>0</v>
      </c>
      <c r="K11">
        <f>B11+C11-H11-I11</f>
        <v/>
      </c>
      <c r="L11">
        <f>B11+C11-H11</f>
        <v/>
      </c>
      <c r="M11">
        <f>L11-B11</f>
        <v/>
      </c>
      <c r="N11">
        <f>C11</f>
        <v/>
      </c>
      <c r="O11" t="n">
        <v>0</v>
      </c>
      <c r="P11" s="72">
        <f>O11*K11</f>
        <v/>
      </c>
      <c r="R11" t="n">
        <v>0</v>
      </c>
      <c r="S11">
        <f>O11*M11</f>
        <v/>
      </c>
      <c r="T11">
        <f>O11*N11</f>
        <v/>
      </c>
    </row>
    <row r="12">
      <c r="A12" t="inlineStr">
        <is>
          <t>Oxen</t>
        </is>
      </c>
      <c r="B12" t="n">
        <v>0</v>
      </c>
      <c r="C12" t="n">
        <v>0</v>
      </c>
      <c r="H12" t="n">
        <v>0</v>
      </c>
      <c r="I12" t="n">
        <v>0</v>
      </c>
      <c r="K12">
        <f>B12+C12-H12-I12</f>
        <v/>
      </c>
      <c r="L12">
        <f>B12+C12-H12</f>
        <v/>
      </c>
      <c r="M12">
        <f>L12-B12</f>
        <v/>
      </c>
      <c r="N12">
        <f>C12</f>
        <v/>
      </c>
      <c r="O12" t="n">
        <v>0</v>
      </c>
      <c r="P12" s="72">
        <f>O12*K12</f>
        <v/>
      </c>
      <c r="R12" t="n">
        <v>0</v>
      </c>
      <c r="S12">
        <f>O12*M12</f>
        <v/>
      </c>
      <c r="T12">
        <f>O12*N12</f>
        <v/>
      </c>
    </row>
    <row r="13">
      <c r="A13" t="inlineStr">
        <is>
          <t>Bulls</t>
        </is>
      </c>
      <c r="B13" t="n">
        <v>0</v>
      </c>
      <c r="C13" t="n">
        <v>0</v>
      </c>
      <c r="H13" t="n">
        <v>0</v>
      </c>
      <c r="I13" t="n">
        <v>0</v>
      </c>
      <c r="K13">
        <f>B13+C13-H13-I13</f>
        <v/>
      </c>
      <c r="L13">
        <f>B13+C13-H13</f>
        <v/>
      </c>
      <c r="M13">
        <f>L13-B13</f>
        <v/>
      </c>
      <c r="N13">
        <f>C13</f>
        <v/>
      </c>
      <c r="O13" t="n">
        <v>0</v>
      </c>
      <c r="P13" s="72">
        <f>O13*K13</f>
        <v/>
      </c>
      <c r="R13" t="n">
        <v>0</v>
      </c>
      <c r="S13">
        <f>O13*M13</f>
        <v/>
      </c>
      <c r="T13">
        <f>O13*N13</f>
        <v/>
      </c>
    </row>
    <row r="14">
      <c r="A14" t="inlineStr">
        <is>
          <t>Cows</t>
        </is>
      </c>
      <c r="B14" t="n">
        <v>0</v>
      </c>
      <c r="C14" t="n">
        <v>0</v>
      </c>
      <c r="H14" t="n">
        <v>0</v>
      </c>
      <c r="I14" t="n">
        <v>0</v>
      </c>
      <c r="K14">
        <f>B14+C14-H14-I14</f>
        <v/>
      </c>
      <c r="L14">
        <f>B14+C14-H14</f>
        <v/>
      </c>
      <c r="M14">
        <f>L14-B14</f>
        <v/>
      </c>
      <c r="N14">
        <f>C14</f>
        <v/>
      </c>
      <c r="O14" t="n">
        <v>0</v>
      </c>
      <c r="P14" s="72">
        <f>O14*K14</f>
        <v/>
      </c>
      <c r="R14" t="n">
        <v>0</v>
      </c>
      <c r="S14">
        <f>O14*M14</f>
        <v/>
      </c>
      <c r="T14">
        <f>O14*N14</f>
        <v/>
      </c>
    </row>
    <row r="15">
      <c r="A15" t="inlineStr">
        <is>
          <t>Steers</t>
        </is>
      </c>
      <c r="B15" t="n">
        <v>0</v>
      </c>
      <c r="C15" t="n">
        <v>0</v>
      </c>
      <c r="H15" t="n">
        <v>0</v>
      </c>
      <c r="I15" t="n">
        <v>0</v>
      </c>
      <c r="K15">
        <f>B15+C15-H15-I15</f>
        <v/>
      </c>
      <c r="L15">
        <f>B15+C15-H15</f>
        <v/>
      </c>
      <c r="M15">
        <f>L15-B15</f>
        <v/>
      </c>
      <c r="N15">
        <f>C15</f>
        <v/>
      </c>
      <c r="O15" t="n">
        <v>0</v>
      </c>
      <c r="P15" s="72">
        <f>O15*K15</f>
        <v/>
      </c>
      <c r="R15" t="n">
        <v>0</v>
      </c>
      <c r="S15">
        <f>O15*M15</f>
        <v/>
      </c>
      <c r="T15">
        <f>O15*N15</f>
        <v/>
      </c>
    </row>
    <row r="16">
      <c r="A16" t="inlineStr">
        <is>
          <t>Bullocks</t>
        </is>
      </c>
      <c r="B16" t="n">
        <v>0</v>
      </c>
      <c r="C16" t="n">
        <v>0</v>
      </c>
      <c r="H16" t="n">
        <v>0</v>
      </c>
      <c r="I16" t="n">
        <v>0</v>
      </c>
      <c r="K16">
        <f>B16+C16-H16-I16</f>
        <v/>
      </c>
      <c r="L16">
        <f>B16+C16-H16</f>
        <v/>
      </c>
      <c r="M16">
        <f>L16-B16</f>
        <v/>
      </c>
      <c r="N16">
        <f>C16</f>
        <v/>
      </c>
      <c r="O16" t="n">
        <v>0</v>
      </c>
      <c r="P16" s="72">
        <f>O16*K16</f>
        <v/>
      </c>
      <c r="R16" t="n">
        <v>0</v>
      </c>
      <c r="S16">
        <f>O16*M16</f>
        <v/>
      </c>
      <c r="T16">
        <f>O16*N16</f>
        <v/>
      </c>
    </row>
    <row r="17">
      <c r="A17" t="inlineStr">
        <is>
          <t>Yearlings</t>
        </is>
      </c>
      <c r="B17" t="n">
        <v>0</v>
      </c>
      <c r="C17" t="n">
        <v>0</v>
      </c>
      <c r="H17" t="n">
        <v>0</v>
      </c>
      <c r="I17" t="n">
        <v>0</v>
      </c>
      <c r="K17">
        <f>B17+C17-H17-I17</f>
        <v/>
      </c>
      <c r="L17">
        <f>B17+C17-H17</f>
        <v/>
      </c>
      <c r="M17">
        <f>L17-B17</f>
        <v/>
      </c>
      <c r="N17">
        <f>C17</f>
        <v/>
      </c>
      <c r="O17" t="n">
        <v>0</v>
      </c>
      <c r="P17" s="72">
        <f>O17*K17</f>
        <v/>
      </c>
      <c r="R17" t="n">
        <v>0</v>
      </c>
      <c r="S17">
        <f>O17*M17</f>
        <v/>
      </c>
      <c r="T17">
        <f>O17*N17</f>
        <v/>
      </c>
    </row>
    <row r="18">
      <c r="A18" t="inlineStr">
        <is>
          <t>Calves</t>
        </is>
      </c>
      <c r="B18" t="n">
        <v>0</v>
      </c>
      <c r="C18" t="n">
        <v>0</v>
      </c>
      <c r="H18" t="n">
        <v>0</v>
      </c>
      <c r="I18" t="n">
        <v>0</v>
      </c>
      <c r="K18">
        <f>B18+C18-H18-I18</f>
        <v/>
      </c>
      <c r="L18">
        <f>B18+C18-H18</f>
        <v/>
      </c>
      <c r="M18">
        <f>L18-B18</f>
        <v/>
      </c>
      <c r="N18">
        <f>C18</f>
        <v/>
      </c>
      <c r="O18" t="n">
        <v>0</v>
      </c>
      <c r="P18" s="72">
        <f>O18*K18</f>
        <v/>
      </c>
      <c r="R18" t="n">
        <v>0</v>
      </c>
      <c r="S18">
        <f>O18*M18</f>
        <v/>
      </c>
      <c r="T18">
        <f>O18*N18</f>
        <v/>
      </c>
    </row>
    <row r="19">
      <c r="A19" t="inlineStr">
        <is>
          <t>Wethers</t>
        </is>
      </c>
      <c r="B19" t="n">
        <v>0</v>
      </c>
      <c r="C19" t="n">
        <v>0</v>
      </c>
      <c r="H19" t="n">
        <v>0</v>
      </c>
      <c r="I19" t="n">
        <v>0</v>
      </c>
      <c r="K19">
        <f>B19+C19-H19-I19</f>
        <v/>
      </c>
      <c r="L19">
        <f>B19+C19-H19</f>
        <v/>
      </c>
      <c r="M19">
        <f>L19-B19</f>
        <v/>
      </c>
      <c r="N19">
        <f>C19</f>
        <v/>
      </c>
      <c r="O19" t="n">
        <v>0</v>
      </c>
      <c r="P19" s="72">
        <f>O19*K19</f>
        <v/>
      </c>
      <c r="R19" t="n">
        <v>0</v>
      </c>
      <c r="S19">
        <f>O19*M19</f>
        <v/>
      </c>
      <c r="T19">
        <f>O19*N19</f>
        <v/>
      </c>
    </row>
    <row r="20">
      <c r="A20" t="inlineStr">
        <is>
          <t>Rams</t>
        </is>
      </c>
      <c r="B20" t="n">
        <v>0</v>
      </c>
      <c r="C20" t="n">
        <v>0</v>
      </c>
      <c r="H20" t="n">
        <v>0</v>
      </c>
      <c r="I20" t="n">
        <v>0</v>
      </c>
      <c r="K20">
        <f>B20+C20-H20-I20</f>
        <v/>
      </c>
      <c r="L20">
        <f>B20+C20-H20</f>
        <v/>
      </c>
      <c r="M20">
        <f>L20-B20</f>
        <v/>
      </c>
      <c r="N20">
        <f>C20</f>
        <v/>
      </c>
      <c r="O20" t="n">
        <v>0</v>
      </c>
      <c r="P20" s="72">
        <f>O20*K20</f>
        <v/>
      </c>
      <c r="R20" t="n">
        <v>0</v>
      </c>
      <c r="S20">
        <f>O20*M20</f>
        <v/>
      </c>
      <c r="T20">
        <f>O20*N20</f>
        <v/>
      </c>
    </row>
    <row r="21">
      <c r="A21" t="inlineStr">
        <is>
          <t>Ewes</t>
        </is>
      </c>
      <c r="B21" t="n">
        <v>0</v>
      </c>
      <c r="C21" t="n">
        <v>0</v>
      </c>
      <c r="H21" t="n">
        <v>0</v>
      </c>
      <c r="I21" t="n">
        <v>0</v>
      </c>
      <c r="K21">
        <f>B21+C21-H21-I21</f>
        <v/>
      </c>
      <c r="L21">
        <f>B21+C21-H21</f>
        <v/>
      </c>
      <c r="M21">
        <f>L21-B21</f>
        <v/>
      </c>
      <c r="N21">
        <f>C21</f>
        <v/>
      </c>
      <c r="O21" t="n">
        <v>0</v>
      </c>
      <c r="P21" s="72">
        <f>O21*K21</f>
        <v/>
      </c>
      <c r="Q21" t="n">
        <v>0</v>
      </c>
      <c r="R21" t="n">
        <v>0</v>
      </c>
      <c r="S21">
        <f>O21*M21</f>
        <v/>
      </c>
      <c r="T21">
        <f>O21*N21</f>
        <v/>
      </c>
    </row>
    <row r="22">
      <c r="A22" t="inlineStr">
        <is>
          <t>Hoggs</t>
        </is>
      </c>
      <c r="B22" t="n">
        <v>0</v>
      </c>
      <c r="C22" t="n">
        <v>0</v>
      </c>
      <c r="H22" t="n">
        <v>0</v>
      </c>
      <c r="I22" t="n">
        <v>0</v>
      </c>
      <c r="K22">
        <f>B22+C22-H22-I22</f>
        <v/>
      </c>
      <c r="L22">
        <f>B22+C22-H22</f>
        <v/>
      </c>
      <c r="M22">
        <f>L22-B22</f>
        <v/>
      </c>
      <c r="N22">
        <f>C22</f>
        <v/>
      </c>
      <c r="O22" t="n">
        <v>0</v>
      </c>
      <c r="P22" s="72">
        <f>O22*K22</f>
        <v/>
      </c>
      <c r="R22" t="n">
        <v>0</v>
      </c>
      <c r="S22">
        <f>O22*M22</f>
        <v/>
      </c>
      <c r="T22">
        <f>O22*N22</f>
        <v/>
      </c>
    </row>
    <row r="23">
      <c r="A23" t="inlineStr">
        <is>
          <t>Lambs</t>
        </is>
      </c>
      <c r="B23" t="n">
        <v>0</v>
      </c>
      <c r="C23" t="n">
        <v>0</v>
      </c>
      <c r="H23" t="n">
        <v>0</v>
      </c>
      <c r="I23" t="n">
        <v>0</v>
      </c>
      <c r="K23">
        <f>B23+C23-H23-I23</f>
        <v/>
      </c>
      <c r="L23">
        <f>B23+C23-H23</f>
        <v/>
      </c>
      <c r="M23">
        <f>L23-B23</f>
        <v/>
      </c>
      <c r="N23">
        <f>C23</f>
        <v/>
      </c>
      <c r="O23" t="n">
        <v>0</v>
      </c>
      <c r="P23" s="72">
        <f>O23*K23</f>
        <v/>
      </c>
      <c r="R23" t="n">
        <v>0</v>
      </c>
      <c r="S23">
        <f>O23*M23</f>
        <v/>
      </c>
      <c r="T23">
        <f>O23*N23</f>
        <v/>
      </c>
    </row>
    <row r="24">
      <c r="A24" t="inlineStr">
        <is>
          <t>Boars</t>
        </is>
      </c>
      <c r="B24" t="n">
        <v>0</v>
      </c>
      <c r="C24" t="n">
        <v>0</v>
      </c>
      <c r="H24" t="n">
        <v>0</v>
      </c>
      <c r="I24" t="n">
        <v>0</v>
      </c>
      <c r="K24">
        <f>B24+C24-H24-I24</f>
        <v/>
      </c>
      <c r="L24">
        <f>B24+C24-H24</f>
        <v/>
      </c>
      <c r="M24">
        <f>L24-B24</f>
        <v/>
      </c>
      <c r="N24">
        <f>C24</f>
        <v/>
      </c>
      <c r="O24" t="n">
        <v>0</v>
      </c>
      <c r="P24" s="72">
        <f>O24*K24</f>
        <v/>
      </c>
      <c r="R24" t="n">
        <v>0</v>
      </c>
      <c r="S24">
        <f>O24*M24</f>
        <v/>
      </c>
      <c r="T24">
        <f>O24*N24</f>
        <v/>
      </c>
    </row>
    <row r="25">
      <c r="A25" t="inlineStr">
        <is>
          <t>Sows</t>
        </is>
      </c>
      <c r="B25" t="n">
        <v>0</v>
      </c>
      <c r="C25" t="n">
        <v>0</v>
      </c>
      <c r="H25" t="n">
        <v>0</v>
      </c>
      <c r="I25" t="n">
        <v>0</v>
      </c>
      <c r="K25">
        <f>B25+C25-H25-I25</f>
        <v/>
      </c>
      <c r="L25">
        <f>B25+C25-H25</f>
        <v/>
      </c>
      <c r="M25">
        <f>L25-B25</f>
        <v/>
      </c>
      <c r="N25">
        <f>C25</f>
        <v/>
      </c>
      <c r="O25" t="n">
        <v>0</v>
      </c>
      <c r="P25" s="72">
        <f>O25*K25</f>
        <v/>
      </c>
      <c r="R25" t="n">
        <v>0</v>
      </c>
      <c r="S25">
        <f>O25*M25</f>
        <v/>
      </c>
      <c r="T25">
        <f>O25*N25</f>
        <v/>
      </c>
    </row>
    <row r="26">
      <c r="A26" t="inlineStr">
        <is>
          <t>Pigs</t>
        </is>
      </c>
      <c r="B26" t="n">
        <v>0</v>
      </c>
      <c r="C26" t="n">
        <v>0</v>
      </c>
      <c r="H26" t="n">
        <v>0</v>
      </c>
      <c r="I26" t="n">
        <v>0</v>
      </c>
      <c r="K26">
        <f>B26+C26-H26-I26</f>
        <v/>
      </c>
      <c r="L26">
        <f>B26+C26-H26</f>
        <v/>
      </c>
      <c r="M26">
        <f>L26-B26</f>
        <v/>
      </c>
      <c r="N26">
        <f>C26</f>
        <v/>
      </c>
      <c r="O26" t="n">
        <v>0</v>
      </c>
      <c r="P26" s="72">
        <f>O26*K26</f>
        <v/>
      </c>
      <c r="R26" t="n">
        <v>0</v>
      </c>
      <c r="S26">
        <f>O26*M26</f>
        <v/>
      </c>
      <c r="T26">
        <f>O26*N26</f>
        <v/>
      </c>
    </row>
    <row r="27">
      <c r="A27" t="inlineStr">
        <is>
          <t>Hoggets</t>
        </is>
      </c>
      <c r="B27" t="n">
        <v>0</v>
      </c>
      <c r="C27" t="n">
        <v>0</v>
      </c>
      <c r="H27" t="n">
        <v>0</v>
      </c>
      <c r="I27" t="n">
        <v>0</v>
      </c>
      <c r="K27">
        <f>B27+C27-H27-I27</f>
        <v/>
      </c>
      <c r="L27">
        <f>B27+C27-H27</f>
        <v/>
      </c>
      <c r="M27">
        <f>L27-B27</f>
        <v/>
      </c>
      <c r="N27">
        <f>C27</f>
        <v/>
      </c>
      <c r="O27" t="n">
        <v>0</v>
      </c>
      <c r="P27" s="72">
        <f>O27*K27</f>
        <v/>
      </c>
      <c r="R27" t="n">
        <v>0</v>
      </c>
      <c r="S27">
        <f>O27*M27</f>
        <v/>
      </c>
      <c r="T27">
        <f>O27*N27</f>
        <v/>
      </c>
    </row>
    <row r="28">
      <c r="A28" t="inlineStr">
        <is>
          <t>Piglets</t>
        </is>
      </c>
      <c r="B28" t="n">
        <v>0</v>
      </c>
      <c r="C28" t="n">
        <v>0</v>
      </c>
      <c r="H28" t="n">
        <v>0</v>
      </c>
      <c r="I28" t="n">
        <v>0</v>
      </c>
      <c r="K28">
        <f>B28+C28-H28-I28</f>
        <v/>
      </c>
      <c r="L28">
        <f>B28+C28-H28</f>
        <v/>
      </c>
      <c r="M28">
        <f>L28-B28</f>
        <v/>
      </c>
      <c r="N28">
        <f>C28</f>
        <v/>
      </c>
      <c r="O28" t="n">
        <v>0</v>
      </c>
      <c r="P28" s="72">
        <f>O28*K28</f>
        <v/>
      </c>
      <c r="R28" t="n">
        <v>0</v>
      </c>
      <c r="S28">
        <f>O28*M28</f>
        <v/>
      </c>
      <c r="T28">
        <f>O28*N28</f>
        <v/>
      </c>
    </row>
    <row r="29">
      <c r="A29" t="inlineStr">
        <is>
          <t>Swans</t>
        </is>
      </c>
      <c r="B29" t="n">
        <v>0</v>
      </c>
      <c r="C29" t="n">
        <v>0</v>
      </c>
      <c r="H29" t="n">
        <v>0</v>
      </c>
      <c r="I29" t="n">
        <v>0</v>
      </c>
      <c r="K29">
        <f>B29+C29-H29-I29</f>
        <v/>
      </c>
      <c r="L29">
        <f>B29+C29-H29</f>
        <v/>
      </c>
      <c r="M29">
        <f>L29-B29</f>
        <v/>
      </c>
      <c r="N29">
        <f>C29</f>
        <v/>
      </c>
      <c r="O29" t="n">
        <v>0</v>
      </c>
      <c r="P29" s="72">
        <f>O29*K29</f>
        <v/>
      </c>
      <c r="R29" t="n">
        <v>0</v>
      </c>
      <c r="S29">
        <f>O29*M29</f>
        <v/>
      </c>
      <c r="T29">
        <f>O29*N29</f>
        <v/>
      </c>
    </row>
    <row r="30">
      <c r="A30" t="inlineStr">
        <is>
          <t>Peacocks</t>
        </is>
      </c>
      <c r="B30" t="n">
        <v>0</v>
      </c>
      <c r="C30" t="n">
        <v>0</v>
      </c>
      <c r="H30" t="n">
        <v>0</v>
      </c>
      <c r="I30" t="n">
        <v>0</v>
      </c>
      <c r="K30">
        <f>B30+C30-H30-I30</f>
        <v/>
      </c>
      <c r="L30">
        <f>B30+C30-H30</f>
        <v/>
      </c>
      <c r="M30">
        <f>L30-B30</f>
        <v/>
      </c>
      <c r="N30">
        <f>C30</f>
        <v/>
      </c>
      <c r="O30" t="n">
        <v>0</v>
      </c>
      <c r="P30" s="72">
        <f>O30*K30</f>
        <v/>
      </c>
      <c r="R30" t="n">
        <v>0</v>
      </c>
      <c r="S30">
        <f>O30*M30</f>
        <v/>
      </c>
      <c r="T30">
        <f>O30*N30</f>
        <v/>
      </c>
    </row>
    <row r="31" ht="15.5" customHeight="1">
      <c r="A31" s="67" t="inlineStr">
        <is>
          <t>Total Value</t>
        </is>
      </c>
    </row>
    <row r="34" ht="15.5" customHeight="1">
      <c r="A34" s="66" t="inlineStr">
        <is>
          <t>Wool</t>
        </is>
      </c>
      <c r="B34" t="n">
        <v>0</v>
      </c>
      <c r="C34" t="n">
        <v>0</v>
      </c>
      <c r="H34" t="n">
        <v>0</v>
      </c>
      <c r="I34" t="n">
        <v>0</v>
      </c>
    </row>
    <row r="35">
      <c r="A35" t="inlineStr">
        <is>
          <t>Coarse wool</t>
        </is>
      </c>
      <c r="B35" t="n">
        <v>0</v>
      </c>
      <c r="C35" t="n">
        <v>0</v>
      </c>
      <c r="H35" t="n">
        <v>0</v>
      </c>
      <c r="I35" t="n">
        <v>0</v>
      </c>
    </row>
    <row r="36">
      <c r="A36" t="inlineStr">
        <is>
          <t>Lamb's wool</t>
        </is>
      </c>
      <c r="B36" t="n">
        <v>0</v>
      </c>
      <c r="C36" t="n">
        <v>0</v>
      </c>
      <c r="H36" t="n">
        <v>0</v>
      </c>
      <c r="I36" t="n">
        <v>0</v>
      </c>
    </row>
    <row r="37">
      <c r="A37" t="inlineStr">
        <is>
          <t>Wool locks</t>
        </is>
      </c>
      <c r="B37" t="n">
        <v>0</v>
      </c>
      <c r="C37" t="n">
        <v>0</v>
      </c>
      <c r="H37" t="n">
        <v>0</v>
      </c>
      <c r="I37" t="n">
        <v>0</v>
      </c>
    </row>
    <row r="38">
      <c r="A38" t="inlineStr">
        <is>
          <t>Wool sold at shearing</t>
        </is>
      </c>
      <c r="B38" t="n">
        <v>0</v>
      </c>
      <c r="C38" t="n">
        <v>0</v>
      </c>
      <c r="H38" t="n">
        <v>0</v>
      </c>
      <c r="I38" t="n">
        <v>0</v>
      </c>
    </row>
    <row r="39" ht="15.5" customHeight="1">
      <c r="A39" s="67" t="inlineStr">
        <is>
          <t>Total wool</t>
        </is>
      </c>
      <c r="B39" t="n">
        <v>0</v>
      </c>
      <c r="C39" t="n">
        <v>0</v>
      </c>
      <c r="H39" t="n">
        <v>0</v>
      </c>
      <c r="I39" t="n">
        <v>0</v>
      </c>
    </row>
    <row r="40">
      <c r="B40" t="n">
        <v>0</v>
      </c>
      <c r="C40" t="n">
        <v>0</v>
      </c>
      <c r="H40" t="n">
        <v>0</v>
      </c>
      <c r="I40" t="n">
        <v>0</v>
      </c>
    </row>
    <row r="41">
      <c r="B41" t="n">
        <v>0</v>
      </c>
      <c r="C41" t="n">
        <v>0</v>
      </c>
      <c r="H41" t="n">
        <v>0</v>
      </c>
      <c r="I41" t="n">
        <v>0</v>
      </c>
    </row>
    <row r="42" ht="15.5" customHeight="1">
      <c r="A42" s="66" t="inlineStr">
        <is>
          <t>Hides</t>
        </is>
      </c>
      <c r="B42" t="n">
        <v>0</v>
      </c>
      <c r="C42" t="n">
        <v>0</v>
      </c>
      <c r="H42" t="n">
        <v>0</v>
      </c>
      <c r="I42" t="n">
        <v>0</v>
      </c>
    </row>
    <row r="43">
      <c r="A43" t="inlineStr">
        <is>
          <t>Ox hides</t>
        </is>
      </c>
      <c r="B43" t="n">
        <v>0</v>
      </c>
      <c r="C43" t="n">
        <v>0</v>
      </c>
      <c r="H43" t="n">
        <v>0</v>
      </c>
      <c r="I43" t="n">
        <v>0</v>
      </c>
    </row>
    <row r="44">
      <c r="A44" t="inlineStr">
        <is>
          <t>Mare</t>
        </is>
      </c>
      <c r="B44" t="n">
        <v>0</v>
      </c>
      <c r="C44" t="n">
        <v>0</v>
      </c>
      <c r="H44" t="n">
        <v>0</v>
      </c>
      <c r="I44" t="n">
        <v>0</v>
      </c>
    </row>
    <row r="45">
      <c r="A45" t="inlineStr">
        <is>
          <t>Steer</t>
        </is>
      </c>
      <c r="B45" t="n">
        <v>0</v>
      </c>
      <c r="C45" t="n">
        <v>0</v>
      </c>
      <c r="H45" t="n">
        <v>0</v>
      </c>
      <c r="I45" t="n">
        <v>0</v>
      </c>
    </row>
    <row r="46">
      <c r="A46" t="inlineStr">
        <is>
          <t>calves</t>
        </is>
      </c>
      <c r="B46" t="n">
        <v>0</v>
      </c>
      <c r="C46" t="n">
        <v>0</v>
      </c>
      <c r="H46" t="n">
        <v>0</v>
      </c>
      <c r="I46" t="n">
        <v>0</v>
      </c>
    </row>
    <row r="47">
      <c r="A47" s="68" t="inlineStr">
        <is>
          <t>pigs</t>
        </is>
      </c>
      <c r="B47" t="n">
        <v>0</v>
      </c>
      <c r="C47" t="n">
        <v>0</v>
      </c>
      <c r="H47" t="n">
        <v>0</v>
      </c>
      <c r="I47" t="n">
        <v>0</v>
      </c>
    </row>
    <row r="48">
      <c r="A48" t="inlineStr">
        <is>
          <t xml:space="preserve">Woolskins </t>
        </is>
      </c>
    </row>
    <row r="49">
      <c r="A49" s="28" t="inlineStr">
        <is>
          <t>wethers</t>
        </is>
      </c>
    </row>
    <row r="50">
      <c r="A50" s="28" t="inlineStr">
        <is>
          <t>rams</t>
        </is>
      </c>
    </row>
    <row r="51">
      <c r="A51" s="28" t="inlineStr">
        <is>
          <t>ewes</t>
        </is>
      </c>
    </row>
    <row r="52">
      <c r="A52" s="28" t="inlineStr">
        <is>
          <t>hoggs</t>
        </is>
      </c>
    </row>
    <row r="53">
      <c r="A53" s="69" t="inlineStr">
        <is>
          <t>Woolskins total</t>
        </is>
      </c>
      <c r="B53" t="n">
        <v>0</v>
      </c>
      <c r="C53" t="n">
        <v>0</v>
      </c>
      <c r="H53" t="n">
        <v>0</v>
      </c>
      <c r="I53" t="n">
        <v>0</v>
      </c>
    </row>
    <row r="54">
      <c r="A54" s="43" t="inlineStr">
        <is>
          <t>Bareskins</t>
        </is>
      </c>
    </row>
    <row r="55">
      <c r="A55" s="28" t="inlineStr">
        <is>
          <t>wethers</t>
        </is>
      </c>
    </row>
    <row r="56">
      <c r="A56" s="28" t="inlineStr">
        <is>
          <t>rams</t>
        </is>
      </c>
    </row>
    <row r="57">
      <c r="A57" s="28" t="inlineStr">
        <is>
          <t>ewes</t>
        </is>
      </c>
    </row>
    <row r="58">
      <c r="A58" s="28" t="inlineStr">
        <is>
          <t>hoggs</t>
        </is>
      </c>
    </row>
    <row r="59">
      <c r="A59" s="69" t="inlineStr">
        <is>
          <t>Bareskins total</t>
        </is>
      </c>
      <c r="B59" t="n">
        <v>0</v>
      </c>
      <c r="C59" t="n">
        <v>0</v>
      </c>
      <c r="H59" t="n">
        <v>0</v>
      </c>
      <c r="I59" t="n">
        <v>0</v>
      </c>
    </row>
    <row r="60">
      <c r="A60" t="inlineStr">
        <is>
          <t>Lambskins</t>
        </is>
      </c>
      <c r="B60" t="n">
        <v>0</v>
      </c>
      <c r="C60" t="n">
        <v>0</v>
      </c>
      <c r="H60" t="n">
        <v>0</v>
      </c>
      <c r="I60" t="n">
        <v>0</v>
      </c>
    </row>
    <row r="61">
      <c r="A61" t="inlineStr">
        <is>
          <t>Rotted skins</t>
        </is>
      </c>
      <c r="B61" t="n">
        <v>0</v>
      </c>
      <c r="C61" t="n">
        <v>0</v>
      </c>
      <c r="H61" t="n">
        <v>0</v>
      </c>
      <c r="I61" t="n">
        <v>0</v>
      </c>
    </row>
    <row r="62">
      <c r="A62" t="inlineStr">
        <is>
          <t>Shorn skins</t>
        </is>
      </c>
      <c r="B62" t="n">
        <v>0</v>
      </c>
      <c r="C62" t="n">
        <v>0</v>
      </c>
      <c r="H62" t="n">
        <v>0</v>
      </c>
      <c r="I62" t="n">
        <v>0</v>
      </c>
    </row>
    <row r="63">
      <c r="A63" s="70" t="inlineStr">
        <is>
          <t xml:space="preserve">Total </t>
        </is>
      </c>
    </row>
    <row r="66" ht="15.5" customHeight="1">
      <c r="A66" s="66" t="inlineStr">
        <is>
          <t>Poultry stock</t>
        </is>
      </c>
    </row>
    <row r="67">
      <c r="A67" s="44" t="inlineStr">
        <is>
          <t>Hens</t>
        </is>
      </c>
      <c r="L67">
        <f>B67+C67-H67</f>
        <v/>
      </c>
      <c r="M67">
        <f>L67-B67</f>
        <v/>
      </c>
      <c r="N67">
        <f>C67</f>
        <v/>
      </c>
      <c r="O67" t="n">
        <v>0</v>
      </c>
      <c r="Q67">
        <f>R67*K67</f>
        <v/>
      </c>
      <c r="R67" t="n">
        <v>0</v>
      </c>
      <c r="S67">
        <f>O67*M67</f>
        <v/>
      </c>
      <c r="T67">
        <f>O67*N67</f>
        <v/>
      </c>
    </row>
    <row r="68">
      <c r="A68" t="inlineStr">
        <is>
          <t>Geese</t>
        </is>
      </c>
      <c r="L68">
        <f>B68+C68-H68</f>
        <v/>
      </c>
      <c r="M68">
        <f>L68-B68</f>
        <v/>
      </c>
      <c r="N68">
        <f>C68</f>
        <v/>
      </c>
      <c r="O68" t="n">
        <v>0</v>
      </c>
      <c r="Q68">
        <f>R68*K68</f>
        <v/>
      </c>
      <c r="R68" t="n">
        <v>0</v>
      </c>
      <c r="S68">
        <f>O68*M68</f>
        <v/>
      </c>
      <c r="T68">
        <f>O68*N68</f>
        <v/>
      </c>
    </row>
    <row r="69">
      <c r="A69" t="inlineStr">
        <is>
          <t>Capons (from chickens)</t>
        </is>
      </c>
      <c r="B69" t="n">
        <v>0</v>
      </c>
      <c r="C69" t="n">
        <v>6</v>
      </c>
      <c r="H69" t="n">
        <v>6</v>
      </c>
      <c r="K69" t="n">
        <v>0</v>
      </c>
      <c r="L69">
        <f>B69+C69-H69</f>
        <v/>
      </c>
      <c r="M69">
        <f>L69-B69</f>
        <v/>
      </c>
      <c r="N69">
        <f>C69</f>
        <v/>
      </c>
      <c r="O69" t="n">
        <v>0</v>
      </c>
      <c r="Q69">
        <f>R69*K69</f>
        <v/>
      </c>
      <c r="R69" t="n">
        <v>0</v>
      </c>
      <c r="S69">
        <f>O69*M69</f>
        <v/>
      </c>
      <c r="T69">
        <f>O69*N69</f>
        <v/>
      </c>
    </row>
    <row r="70">
      <c r="A70" t="inlineStr">
        <is>
          <t>Cocks &amp; hens</t>
        </is>
      </c>
      <c r="B70" t="n">
        <v>0</v>
      </c>
      <c r="F70" t="n">
        <v>28</v>
      </c>
      <c r="G70" t="n">
        <v>18</v>
      </c>
      <c r="H70" t="n">
        <v>10</v>
      </c>
      <c r="K70" t="n">
        <v>0</v>
      </c>
      <c r="L70">
        <f>B70+C70-H70</f>
        <v/>
      </c>
      <c r="M70">
        <f>L70-B70</f>
        <v/>
      </c>
      <c r="N70">
        <f>C70</f>
        <v/>
      </c>
      <c r="O70" t="n">
        <v>0</v>
      </c>
      <c r="Q70">
        <f>R70*K70</f>
        <v/>
      </c>
      <c r="R70" t="n">
        <v>0</v>
      </c>
      <c r="S70">
        <f>O70*M70</f>
        <v/>
      </c>
      <c r="T70">
        <f>O70*N70</f>
        <v/>
      </c>
    </row>
    <row r="71">
      <c r="A71" s="70" t="inlineStr">
        <is>
          <t>Total poultry stock</t>
        </is>
      </c>
    </row>
    <row r="72">
      <c r="A72" s="71" t="inlineStr">
        <is>
          <t>Total poultry excluding churchscot</t>
        </is>
      </c>
    </row>
    <row r="74" ht="15.5" customHeight="1">
      <c r="A74" s="12" t="inlineStr">
        <is>
          <t>Poultry production</t>
        </is>
      </c>
    </row>
    <row r="75">
      <c r="A75" t="inlineStr">
        <is>
          <t>Eggs</t>
        </is>
      </c>
      <c r="B75" t="n">
        <v>0</v>
      </c>
      <c r="C75" t="n">
        <v>0</v>
      </c>
      <c r="H75" t="n">
        <v>0</v>
      </c>
      <c r="I75" t="n">
        <v>0</v>
      </c>
      <c r="S75">
        <f>O75*M75</f>
        <v/>
      </c>
      <c r="T75">
        <f>O75*N75</f>
        <v/>
      </c>
    </row>
    <row r="76">
      <c r="A76" t="inlineStr">
        <is>
          <t>Cocks &amp; hens from churchscot of customary tenants</t>
        </is>
      </c>
      <c r="B76" t="n">
        <v>0</v>
      </c>
      <c r="C76" t="n">
        <v>0</v>
      </c>
      <c r="H76" t="n">
        <v>0</v>
      </c>
      <c r="I76" t="n">
        <v>0</v>
      </c>
      <c r="S76">
        <f>O76*M76</f>
        <v/>
      </c>
      <c r="T76">
        <f>O76*N76</f>
        <v/>
      </c>
    </row>
    <row r="77">
      <c r="A77" t="inlineStr">
        <is>
          <t>Sum of above</t>
        </is>
      </c>
      <c r="S77">
        <f>SUM(S75:S76)</f>
        <v/>
      </c>
      <c r="T77">
        <f>SUM(T75:T76)</f>
        <v/>
      </c>
    </row>
    <row r="78">
      <c r="A78" s="70" t="inlineStr">
        <is>
          <t>Total</t>
        </is>
      </c>
    </row>
    <row r="81" ht="15.5" customHeight="1">
      <c r="A81" s="12" t="inlineStr">
        <is>
          <t>Meat</t>
        </is>
      </c>
    </row>
    <row r="82">
      <c r="A82" t="inlineStr">
        <is>
          <t>Beef</t>
        </is>
      </c>
      <c r="B82" t="n">
        <v>0</v>
      </c>
      <c r="C82" t="n">
        <v>0</v>
      </c>
      <c r="H82" t="n">
        <v>0</v>
      </c>
      <c r="I82" t="n">
        <v>0</v>
      </c>
      <c r="S82">
        <f>O82*M82</f>
        <v/>
      </c>
      <c r="T82">
        <f>O82*N82</f>
        <v/>
      </c>
    </row>
    <row r="83">
      <c r="A83" t="inlineStr">
        <is>
          <t>Mutton</t>
        </is>
      </c>
      <c r="B83" t="n">
        <v>0</v>
      </c>
      <c r="C83" t="n">
        <v>0</v>
      </c>
      <c r="H83" t="n">
        <v>0</v>
      </c>
      <c r="I83" t="n">
        <v>0</v>
      </c>
      <c r="S83">
        <f>O83*M83</f>
        <v/>
      </c>
      <c r="T83">
        <f>O83*N83</f>
        <v/>
      </c>
    </row>
    <row r="84">
      <c r="A84" t="inlineStr">
        <is>
          <t>Pork</t>
        </is>
      </c>
      <c r="B84" t="n">
        <v>0</v>
      </c>
      <c r="C84" t="n">
        <v>0</v>
      </c>
      <c r="H84" t="n">
        <v>0</v>
      </c>
      <c r="I84" t="n">
        <v>0</v>
      </c>
      <c r="S84">
        <f>O84*M84</f>
        <v/>
      </c>
      <c r="T84">
        <f>O84*N84</f>
        <v/>
      </c>
    </row>
    <row r="85" ht="15.5" customHeight="1">
      <c r="A85" s="57" t="inlineStr">
        <is>
          <t xml:space="preserve">Total </t>
        </is>
      </c>
    </row>
    <row r="87" ht="15.5" customHeight="1">
      <c r="A87" s="12" t="inlineStr">
        <is>
          <t>Cheese</t>
        </is>
      </c>
    </row>
    <row r="88">
      <c r="A88" t="inlineStr">
        <is>
          <t>Winter cheese</t>
        </is>
      </c>
      <c r="B88" t="n">
        <v>0</v>
      </c>
      <c r="C88" t="n">
        <v>0</v>
      </c>
      <c r="H88" t="n">
        <v>0</v>
      </c>
      <c r="I88" t="n">
        <v>0</v>
      </c>
      <c r="S88">
        <f>O88*M88</f>
        <v/>
      </c>
      <c r="T88">
        <f>O88*N88</f>
        <v/>
      </c>
    </row>
    <row r="89">
      <c r="A89" t="inlineStr">
        <is>
          <t>Summer cheese</t>
        </is>
      </c>
      <c r="B89" t="n">
        <v>0</v>
      </c>
      <c r="C89" t="n">
        <v>0</v>
      </c>
      <c r="H89" t="n">
        <v>0</v>
      </c>
      <c r="I89" t="n">
        <v>0</v>
      </c>
      <c r="S89">
        <f>O89*M89</f>
        <v/>
      </c>
      <c r="T89">
        <f>O89*N89</f>
        <v/>
      </c>
    </row>
    <row r="90" ht="15.5" customHeight="1">
      <c r="A90" s="57" t="inlineStr">
        <is>
          <t>Total</t>
        </is>
      </c>
    </row>
    <row r="92" ht="15.5" customHeight="1">
      <c r="A92" s="12" t="inlineStr">
        <is>
          <t>Butter</t>
        </is>
      </c>
    </row>
    <row r="93">
      <c r="A93" t="inlineStr">
        <is>
          <t>Butter</t>
        </is>
      </c>
      <c r="B93" t="n">
        <v>0</v>
      </c>
      <c r="C93" t="n">
        <v>0</v>
      </c>
      <c r="H93" t="n">
        <v>0</v>
      </c>
      <c r="I93" t="n">
        <v>0</v>
      </c>
      <c r="S93">
        <f>O93*M93</f>
        <v/>
      </c>
      <c r="T93">
        <f>O93*N93</f>
        <v/>
      </c>
    </row>
    <row r="94" ht="15.5" customHeight="1">
      <c r="A94" s="57" t="inlineStr">
        <is>
          <t>Total</t>
        </is>
      </c>
    </row>
    <row r="95" ht="15.5" customHeight="1">
      <c r="A95" s="13" t="n"/>
    </row>
    <row r="96" ht="15.5" customHeight="1">
      <c r="A96" s="57" t="inlineStr">
        <is>
          <t>Total Dairy Sales</t>
        </is>
      </c>
    </row>
    <row r="99" ht="15.5" customHeight="1">
      <c r="A99" s="12" t="inlineStr">
        <is>
          <t>Cider</t>
        </is>
      </c>
      <c r="B99" t="n">
        <v>0</v>
      </c>
      <c r="C99" t="n">
        <v>0</v>
      </c>
      <c r="H99" t="n">
        <v>0</v>
      </c>
      <c r="I99" t="n">
        <v>0</v>
      </c>
    </row>
    <row r="102" ht="15.5" customHeight="1">
      <c r="A102" s="13" t="inlineStr">
        <is>
          <t>Additional Information (not necessarily useful)</t>
        </is>
      </c>
    </row>
    <row r="103" ht="15.5" customHeight="1">
      <c r="A103" s="12" t="inlineStr">
        <is>
          <t>Utensils</t>
        </is>
      </c>
    </row>
    <row r="104">
      <c r="A104" t="inlineStr">
        <is>
          <t>ploughs</t>
        </is>
      </c>
    </row>
    <row r="105">
      <c r="A105" t="inlineStr">
        <is>
          <t>carts</t>
        </is>
      </c>
    </row>
    <row r="106">
      <c r="A106" t="inlineStr">
        <is>
          <t>cart-ropes</t>
        </is>
      </c>
    </row>
    <row r="107">
      <c r="A107" t="inlineStr">
        <is>
          <t>corn baskets</t>
        </is>
      </c>
    </row>
    <row r="108">
      <c r="A108" t="inlineStr">
        <is>
          <t>seed-sacks</t>
        </is>
      </c>
    </row>
    <row r="109">
      <c r="A109" t="inlineStr">
        <is>
          <t>seed basket</t>
        </is>
      </c>
    </row>
    <row r="110">
      <c r="A110" t="inlineStr">
        <is>
          <t>locks for the doors</t>
        </is>
      </c>
    </row>
    <row r="111">
      <c r="A111" t="inlineStr">
        <is>
          <t>lead vessel</t>
        </is>
      </c>
    </row>
    <row r="112">
      <c r="A112" t="inlineStr">
        <is>
          <t>brass pots</t>
        </is>
      </c>
    </row>
    <row r="113">
      <c r="A113" t="inlineStr">
        <is>
          <t>pans</t>
        </is>
      </c>
    </row>
    <row r="114">
      <c r="A114" t="inlineStr">
        <is>
          <t>tripods</t>
        </is>
      </c>
    </row>
    <row r="115">
      <c r="A115" t="inlineStr">
        <is>
          <t>mortar</t>
        </is>
      </c>
    </row>
    <row r="116">
      <c r="A116" t="inlineStr">
        <is>
          <t>axe</t>
        </is>
      </c>
    </row>
    <row r="117">
      <c r="A117" t="inlineStr">
        <is>
          <t>casks</t>
        </is>
      </c>
    </row>
    <row r="118">
      <c r="A118" t="inlineStr">
        <is>
          <t>tubs</t>
        </is>
      </c>
    </row>
    <row r="119">
      <c r="A119" t="inlineStr">
        <is>
          <t>troughs</t>
        </is>
      </c>
    </row>
    <row r="120">
      <c r="A120" t="inlineStr">
        <is>
          <t>bucket</t>
        </is>
      </c>
    </row>
    <row r="121">
      <c r="A121" t="inlineStr">
        <is>
          <t>cheese basket</t>
        </is>
      </c>
    </row>
    <row r="122">
      <c r="A122" t="inlineStr">
        <is>
          <t>tables</t>
        </is>
      </c>
    </row>
    <row r="123">
      <c r="A123" t="inlineStr">
        <is>
          <t>table with trestles</t>
        </is>
      </c>
    </row>
    <row r="124">
      <c r="A124" t="inlineStr">
        <is>
          <t>benches</t>
        </is>
      </c>
    </row>
    <row r="125">
      <c r="A125" t="inlineStr">
        <is>
          <t>ewer with a basin</t>
        </is>
      </c>
    </row>
    <row r="126">
      <c r="A126" t="inlineStr">
        <is>
          <t>ladders</t>
        </is>
      </c>
    </row>
    <row r="127">
      <c r="A127" t="inlineStr">
        <is>
          <t>cloth</t>
        </is>
      </c>
    </row>
    <row r="128">
      <c r="A128" t="inlineStr">
        <is>
          <t>brass posnets</t>
        </is>
      </c>
    </row>
  </sheetData>
  <mergeCells count="2">
    <mergeCell ref="C3:F3"/>
    <mergeCell ref="G3:J3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8"/>
  <sheetViews>
    <sheetView topLeftCell="A1"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Sentence</t>
        </is>
      </c>
      <c r="C1" t="inlineStr">
        <is>
          <t>Total in Pounds</t>
        </is>
      </c>
      <c r="D1" t="inlineStr">
        <is>
          <t>Pounds</t>
        </is>
      </c>
      <c r="E1" t="inlineStr">
        <is>
          <t>Shillings</t>
        </is>
      </c>
      <c r="F1" t="inlineStr">
        <is>
          <t>Pence</t>
        </is>
      </c>
      <c r="G1" t="inlineStr">
        <is>
          <t>Corn</t>
        </is>
      </c>
      <c r="H1" t="inlineStr">
        <is>
          <t>Total Quarters Except 1</t>
        </is>
      </c>
      <c r="I1" t="inlineStr">
        <is>
          <t>Total Bushels Except 1</t>
        </is>
      </c>
      <c r="J1" t="inlineStr">
        <is>
          <t>Total Corn Cross-Check</t>
        </is>
      </c>
      <c r="K1" t="inlineStr">
        <is>
          <t>Total Corn Manorial Account</t>
        </is>
      </c>
      <c r="L1" t="inlineStr">
        <is>
          <t>Corn Quantity Error</t>
        </is>
      </c>
      <c r="M1" t="inlineStr">
        <is>
          <t>Quarters 1</t>
        </is>
      </c>
      <c r="N1" t="inlineStr">
        <is>
          <t>Bushels 1</t>
        </is>
      </c>
      <c r="O1" t="inlineStr">
        <is>
          <t>shilling a quarter 1</t>
        </is>
      </c>
      <c r="P1" t="inlineStr">
        <is>
          <t>pence a quarter 1</t>
        </is>
      </c>
      <c r="Q1" t="inlineStr">
        <is>
          <t>shilling a quarter 2</t>
        </is>
      </c>
      <c r="R1" t="inlineStr">
        <is>
          <t>pence a quarter 2</t>
        </is>
      </c>
      <c r="S1" t="inlineStr">
        <is>
          <t>shilling a quarter 3</t>
        </is>
      </c>
      <c r="T1" t="inlineStr">
        <is>
          <t>pence a quarter 3</t>
        </is>
      </c>
      <c r="U1" t="inlineStr">
        <is>
          <t>shilling a quarter 4</t>
        </is>
      </c>
      <c r="V1" t="inlineStr">
        <is>
          <t>pence a quarter 4</t>
        </is>
      </c>
      <c r="W1" t="inlineStr">
        <is>
          <t>shilling a bushel 1</t>
        </is>
      </c>
      <c r="X1" t="inlineStr">
        <is>
          <t>pence a bushel 1</t>
        </is>
      </c>
      <c r="Y1" t="inlineStr">
        <is>
          <t>shilling a bushel 2</t>
        </is>
      </c>
      <c r="Z1" t="inlineStr">
        <is>
          <t>pence a bushel 2</t>
        </is>
      </c>
      <c r="AA1" t="inlineStr">
        <is>
          <t>shilling a bushel 3</t>
        </is>
      </c>
      <c r="AB1" t="inlineStr">
        <is>
          <t>pence a bushel 3</t>
        </is>
      </c>
      <c r="AC1" t="inlineStr">
        <is>
          <t>shilling a bushel 4</t>
        </is>
      </c>
      <c r="AD1" t="inlineStr">
        <is>
          <t>pence a bushel 4</t>
        </is>
      </c>
    </row>
    <row r="2">
      <c r="A2" t="inlineStr">
        <is>
          <t>Downton Borough</t>
        </is>
      </c>
      <c r="B2" t="inlineStr">
        <is>
          <t>The account' of the same for the abovesaid year.</t>
        </is>
      </c>
      <c r="C2" t="n">
        <v>0</v>
      </c>
      <c r="D2" t="n">
        <v>0</v>
      </c>
      <c r="E2" t="n">
        <v>0</v>
      </c>
      <c r="F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Arrears</t>
        </is>
      </c>
      <c r="B3" t="inlineStr">
        <is>
          <t>Ralph Fotere, reeve there, answers for 15 shilling 7pence of arrears from his last account of the preceding year.</t>
        </is>
      </c>
      <c r="C3" t="n">
        <v>0.78</v>
      </c>
      <c r="D3" t="n">
        <v>0</v>
      </c>
      <c r="E3" t="n">
        <v>15</v>
      </c>
      <c r="F3" t="n">
        <v>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Arrears</t>
        </is>
      </c>
      <c r="B4" t="inlineStr">
        <is>
          <t>Total, 15 shilling 7pence.</t>
        </is>
      </c>
      <c r="C4" t="n">
        <v>0.78</v>
      </c>
      <c r="D4" t="n">
        <v>0</v>
      </c>
      <c r="E4" t="n">
        <v>15</v>
      </c>
      <c r="F4" t="n">
        <v>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Rents</t>
        </is>
      </c>
      <c r="B5" t="inlineStr">
        <is>
          <t>Geoffrey Fotere, reeve there, answers for £6 6 shilling 2pence for all rents of assize there for the year.</t>
        </is>
      </c>
      <c r="C5" t="n">
        <v>6.31</v>
      </c>
      <c r="D5" t="n">
        <v>6</v>
      </c>
      <c r="E5" t="n">
        <v>6</v>
      </c>
      <c r="F5" t="n">
        <v>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Rents</t>
        </is>
      </c>
      <c r="B6" t="inlineStr">
        <is>
          <t>4pence from John Seuyere for 1 plot of purpresture of the lord's ground, 20 feet long and 6 feet wide, at the eastern end of his house.</t>
        </is>
      </c>
      <c r="C6" t="n">
        <v>0.02</v>
      </c>
      <c r="D6" t="n">
        <v>0</v>
      </c>
      <c r="E6" t="n">
        <v>0</v>
      </c>
      <c r="F6" t="n">
        <v>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Rents</t>
        </is>
      </c>
      <c r="B7" t="inlineStr">
        <is>
          <t>Total, £6 6 shilling 6pence.</t>
        </is>
      </c>
      <c r="C7" t="n">
        <v>6.33</v>
      </c>
      <c r="D7" t="n">
        <v>6</v>
      </c>
      <c r="E7" t="n">
        <v>6</v>
      </c>
      <c r="F7" t="n">
        <v>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Quittances of rent</t>
        </is>
      </c>
      <c r="B8" t="inlineStr">
        <is>
          <t>In quittance of rent of 1 reeve of the borough for the year 1 shilling.</t>
        </is>
      </c>
      <c r="C8" t="n">
        <v>0.05</v>
      </c>
      <c r="D8" t="n">
        <v>0</v>
      </c>
      <c r="E8" t="n">
        <v>1</v>
      </c>
      <c r="F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Quittances of rent</t>
        </is>
      </c>
      <c r="B9" t="inlineStr">
        <is>
          <t>Total, 1 shilling.</t>
        </is>
      </c>
      <c r="C9" t="n">
        <v>0.05</v>
      </c>
      <c r="D9" t="n">
        <v>0</v>
      </c>
      <c r="E9" t="n">
        <v>1</v>
      </c>
      <c r="F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Total of rents remaining clear</t>
        </is>
      </c>
      <c r="B10" t="inlineStr">
        <is>
          <t>Total of rents remaining clear, £6.5 shilling 6pence.</t>
        </is>
      </c>
      <c r="C10" t="n">
        <v>6.5</v>
      </c>
      <c r="D10" t="n">
        <v>6.5</v>
      </c>
      <c r="E10" t="n">
        <v>0</v>
      </c>
      <c r="F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Perquisites of court</t>
        </is>
      </c>
      <c r="B11" t="inlineStr">
        <is>
          <t>And for £1 1 shilling 5pence from the perquisites of the tourn of Martinmas (11 November).</t>
        </is>
      </c>
      <c r="C11" t="n">
        <v>1.07</v>
      </c>
      <c r="D11" t="n">
        <v>1</v>
      </c>
      <c r="E11" t="n">
        <v>1</v>
      </c>
      <c r="F11" t="n">
        <v>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Perquisites of court</t>
        </is>
      </c>
      <c r="B12" t="inlineStr">
        <is>
          <t>3 shilling 6pence from the perquisites of the courts held between Michaelmas and the tourn of Hockday.</t>
        </is>
      </c>
      <c r="C12" t="n">
        <v>0.17</v>
      </c>
      <c r="D12" t="n">
        <v>0</v>
      </c>
      <c r="E12" t="n">
        <v>3</v>
      </c>
      <c r="F12" t="n">
        <v>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Perquisites of court</t>
        </is>
      </c>
      <c r="B13" t="inlineStr">
        <is>
          <t>£1 5 shilling 6pence from the perquisites of the tourn of Hockday (1 April).</t>
        </is>
      </c>
      <c r="C13" t="n">
        <v>1.27</v>
      </c>
      <c r="D13" t="n">
        <v>1</v>
      </c>
      <c r="E13" t="n">
        <v>5</v>
      </c>
      <c r="F13" t="n">
        <v>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Perquisites of court</t>
        </is>
      </c>
      <c r="B14" t="inlineStr">
        <is>
          <t>3 shilling 1pence from the perquisites of the courts held after the tourn of Hockday.</t>
        </is>
      </c>
      <c r="C14" t="n">
        <v>0.15</v>
      </c>
      <c r="D14" t="n">
        <v>0</v>
      </c>
      <c r="E14" t="n">
        <v>3</v>
      </c>
      <c r="F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Perquisites of court</t>
        </is>
      </c>
      <c r="B15" t="inlineStr">
        <is>
          <t>Total, £2 13 shilling 6pence.</t>
        </is>
      </c>
      <c r="C15" t="n">
        <v>2.67</v>
      </c>
      <c r="D15" t="n">
        <v>2</v>
      </c>
      <c r="E15" t="n">
        <v>13</v>
      </c>
      <c r="F15" t="n">
        <v>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Total of all receipts with arrears</t>
        </is>
      </c>
      <c r="B16" t="inlineStr">
        <is>
          <t>Total of all receipts with arrears, £9 14 shilling 7pence.</t>
        </is>
      </c>
      <c r="C16" t="n">
        <v>9.73</v>
      </c>
      <c r="D16" t="n">
        <v>9</v>
      </c>
      <c r="E16" t="n">
        <v>14</v>
      </c>
      <c r="F16" t="n">
        <v>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Cash deliveries</t>
        </is>
      </c>
      <c r="B17" t="inlineStr">
        <is>
          <t>Delivered to John Arnald', receiver of Wolvesey, by 1 tally, £8 19 shilling.</t>
        </is>
      </c>
      <c r="C17" t="n">
        <v>8.949999999999999</v>
      </c>
      <c r="D17" t="n">
        <v>8</v>
      </c>
      <c r="E17" t="n">
        <v>19</v>
      </c>
      <c r="F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Cash deliveries</t>
        </is>
      </c>
      <c r="B18" t="inlineStr">
        <is>
          <t>Total, £8 19 shilling And he owes, 15 shilling 7pence, all of which is in the hands of the escheator, for which he is charged in the following account.</t>
        </is>
      </c>
      <c r="C18" t="n">
        <v>8.949999999999999</v>
      </c>
      <c r="D18" t="n">
        <v>8</v>
      </c>
      <c r="E18" t="n">
        <v>19</v>
      </c>
      <c r="F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1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1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1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1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1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1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2024-09-06T15:22:17Z</dcterms:created>
  <dcterms:modified xmlns:dcterms="http://purl.org/dc/terms/" xmlns:xsi="http://www.w3.org/2001/XMLSchema-instance" xsi:type="dcterms:W3CDTF">2026-02-04T20:29:32Z</dcterms:modified>
  <cp:lastModifiedBy>Kowalski, Kuba</cp:lastModifiedBy>
</cp:coreProperties>
</file>
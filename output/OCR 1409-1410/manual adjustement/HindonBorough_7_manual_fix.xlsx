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HINDONBOROUGH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0.15</v>
      </c>
      <c r="D4" s="13" t="n"/>
      <c r="E4" s="13" t="n"/>
    </row>
    <row r="5">
      <c r="A5" s="15" t="inlineStr">
        <is>
          <t>Rents of assize total</t>
        </is>
      </c>
      <c r="B5" s="76" t="n">
        <v>6.58</v>
      </c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>
        <v>0.18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0.28</v>
      </c>
    </row>
    <row r="12">
      <c r="A12" s="76" t="inlineStr">
        <is>
          <t>Total of rents remaining clear total</t>
        </is>
      </c>
      <c r="B12" s="76" t="n">
        <v>6.29</v>
      </c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>
        <v>2</v>
      </c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'Receipts'!F42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'Receipts'!F43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0.15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8.550000000000001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HINDONBOROUGH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3</v>
      </c>
      <c r="D3" s="128" t="n">
        <v>0</v>
      </c>
      <c r="E3" s="128" t="n"/>
      <c r="F3" s="128" t="n">
        <v>0.15</v>
      </c>
      <c r="G3" s="128" t="n"/>
      <c r="H3" s="128" t="inlineStr">
        <is>
          <t>John Bryt', reeve there, answers for 3 shilling of arrears from his last account of the preceding year.</t>
        </is>
      </c>
      <c r="I3" s="128" t="n"/>
    </row>
    <row r="4">
      <c r="A4" s="137" t="inlineStr">
        <is>
          <t>Arrears</t>
        </is>
      </c>
      <c r="B4" s="128" t="n">
        <v>0</v>
      </c>
      <c r="C4" s="128" t="n">
        <v>3</v>
      </c>
      <c r="D4" s="128" t="n">
        <v>0</v>
      </c>
      <c r="E4" s="128" t="n"/>
      <c r="F4" s="128" t="n">
        <v>0.15</v>
      </c>
      <c r="G4" s="128" t="n"/>
      <c r="H4" s="128" t="inlineStr">
        <is>
          <t>Total, 3 shilling.</t>
        </is>
      </c>
      <c r="I4" s="128" t="n"/>
    </row>
    <row r="5">
      <c r="A5" s="138" t="inlineStr">
        <is>
          <t>Arrears total</t>
        </is>
      </c>
      <c r="B5" s="139" t="n"/>
      <c r="C5" s="139" t="n"/>
      <c r="D5" s="139" t="n"/>
      <c r="E5" s="139" t="n"/>
      <c r="F5" s="139" t="n">
        <v>0.15</v>
      </c>
      <c r="G5" s="139" t="n">
        <v>0</v>
      </c>
      <c r="H5" s="139" t="inlineStr">
        <is>
          <t>Total</t>
        </is>
      </c>
      <c r="I5" s="139" t="n"/>
    </row>
    <row r="6">
      <c r="A6" s="137" t="n"/>
      <c r="B6" s="128" t="n"/>
      <c r="C6" s="128" t="n"/>
      <c r="D6" s="128" t="n"/>
      <c r="E6" s="128" t="n"/>
      <c r="F6" s="128" t="n"/>
      <c r="G6" s="128" t="n"/>
      <c r="H6" s="128" t="n"/>
      <c r="I6" s="128" t="n"/>
    </row>
    <row r="7">
      <c r="A7" s="136" t="inlineStr">
        <is>
          <t>Rents</t>
        </is>
      </c>
      <c r="B7" s="128" t="n">
        <v>6</v>
      </c>
      <c r="C7" s="128" t="n">
        <v>10</v>
      </c>
      <c r="D7" s="128" t="n">
        <v>4.5</v>
      </c>
      <c r="E7" s="128" t="n"/>
      <c r="F7" s="128" t="n">
        <v>6.52</v>
      </c>
      <c r="G7" s="128" t="n"/>
      <c r="H7" s="128" t="inlineStr">
        <is>
          <t>And for £6 10 shilling 4.5pence for the rents of assize of the vill of Hindon at Michaelmas.</t>
        </is>
      </c>
      <c r="I7" s="128" t="n"/>
    </row>
    <row r="8">
      <c r="A8" s="137" t="inlineStr">
        <is>
          <t>Rents</t>
        </is>
      </c>
      <c r="B8" s="128" t="n">
        <v>0</v>
      </c>
      <c r="C8" s="128" t="n">
        <v>0</v>
      </c>
      <c r="D8" s="128" t="n">
        <v>1</v>
      </c>
      <c r="E8" s="128" t="n"/>
      <c r="F8" s="128" t="n">
        <v>0</v>
      </c>
      <c r="G8" s="128" t="n"/>
      <c r="H8" s="128" t="inlineStr">
        <is>
          <t>1pence for the increment of rent of Thomas Mulward' for 1 plot of the lord's waste, 48 feet long, opposite his tenement at the southern end of Hindon Borough.</t>
        </is>
      </c>
      <c r="I8" s="128" t="n"/>
    </row>
    <row r="9">
      <c r="A9" s="137" t="inlineStr">
        <is>
          <t>Rents</t>
        </is>
      </c>
      <c r="B9" s="128" t="n">
        <v>0</v>
      </c>
      <c r="C9" s="128" t="n">
        <v>0</v>
      </c>
      <c r="D9" s="128" t="n">
        <v>1</v>
      </c>
      <c r="E9" s="128" t="n"/>
      <c r="F9" s="128" t="n">
        <v>0</v>
      </c>
      <c r="G9" s="128" t="n"/>
      <c r="H9" s="128" t="inlineStr">
        <is>
          <t>1pence for the increment of rent of Richard Smyth' for 1 plot of the lord's waste, ... feet long and ... feet wide.</t>
        </is>
      </c>
      <c r="I9" s="128" t="n"/>
    </row>
    <row r="10">
      <c r="A10" s="137" t="inlineStr">
        <is>
          <t>Rents</t>
        </is>
      </c>
      <c r="B10" s="128" t="n">
        <v>0</v>
      </c>
      <c r="C10" s="128" t="n">
        <v>0</v>
      </c>
      <c r="D10" s="128" t="n">
        <v>4</v>
      </c>
      <c r="E10" s="128" t="n"/>
      <c r="F10" s="128" t="n">
        <v>0.02</v>
      </c>
      <c r="G10" s="128" t="n"/>
      <c r="H10" s="128" t="inlineStr">
        <is>
          <t>4pence for the increment of rent of Thomas Budyl for 1 plot of the lord's waste, 35 feet long and 6 feet wide, opposite his tenement.</t>
        </is>
      </c>
      <c r="I10" s="128" t="n"/>
    </row>
    <row r="11">
      <c r="A11" s="137" t="inlineStr">
        <is>
          <t>Rents</t>
        </is>
      </c>
      <c r="B11" s="128" t="n">
        <v>0</v>
      </c>
      <c r="C11" s="128" t="n">
        <v>0</v>
      </c>
      <c r="D11" s="128" t="n">
        <v>4</v>
      </c>
      <c r="E11" s="128" t="n"/>
      <c r="F11" s="128" t="n">
        <v>0.02</v>
      </c>
      <c r="G11" s="128" t="n"/>
      <c r="H11" s="128" t="inlineStr">
        <is>
          <t>4pence for the increment of rent of John Personys for 1 plot of the lord's waste, 54 feet long and 5 feet wide, in Hindon Borough opposite his tenement.</t>
        </is>
      </c>
      <c r="I11" s="128" t="n"/>
    </row>
    <row r="12">
      <c r="A12" s="137" t="inlineStr">
        <is>
          <t>Rents</t>
        </is>
      </c>
      <c r="B12" s="128" t="n">
        <v>0</v>
      </c>
      <c r="C12" s="128" t="n">
        <v>0</v>
      </c>
      <c r="D12" s="128" t="n">
        <v>4</v>
      </c>
      <c r="E12" s="128" t="n"/>
      <c r="F12" s="128" t="n">
        <v>0.02</v>
      </c>
      <c r="G12" s="128" t="n"/>
      <c r="H12" s="128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I12" s="128" t="n"/>
    </row>
    <row r="13">
      <c r="A13" s="137" t="inlineStr">
        <is>
          <t>Rents</t>
        </is>
      </c>
      <c r="B13" s="128" t="n">
        <v>6</v>
      </c>
      <c r="C13" s="128" t="n">
        <v>11</v>
      </c>
      <c r="D13" s="128" t="n">
        <v>6.5</v>
      </c>
      <c r="E13" s="128" t="n"/>
      <c r="F13" s="128" t="n">
        <v>6.58</v>
      </c>
      <c r="G13" s="128" t="n"/>
      <c r="H13" s="128" t="inlineStr">
        <is>
          <t>Total, £6 11 shilling 6.5pence.</t>
        </is>
      </c>
      <c r="I13" s="128" t="n"/>
    </row>
    <row r="14">
      <c r="A14" s="138" t="inlineStr">
        <is>
          <t>Rents total</t>
        </is>
      </c>
      <c r="B14" s="139" t="n"/>
      <c r="C14" s="139" t="n"/>
      <c r="D14" s="139" t="n"/>
      <c r="E14" s="139" t="n"/>
      <c r="F14" s="139" t="n">
        <v>6.58</v>
      </c>
      <c r="G14" s="139" t="n">
        <v>0</v>
      </c>
      <c r="H14" s="139" t="inlineStr">
        <is>
          <t>Total</t>
        </is>
      </c>
      <c r="I14" s="139" t="n"/>
    </row>
    <row r="15">
      <c r="A15" s="137" t="n"/>
      <c r="B15" s="128" t="n"/>
      <c r="C15" s="128" t="n"/>
      <c r="D15" s="128" t="n"/>
      <c r="E15" s="128" t="n"/>
      <c r="F15" s="128" t="n"/>
      <c r="G15" s="128" t="n"/>
      <c r="H15" s="128" t="n"/>
      <c r="I15" s="128" t="n"/>
    </row>
    <row r="16">
      <c r="A16" s="136" t="inlineStr">
        <is>
          <t>Defaults of rent</t>
        </is>
      </c>
      <c r="B16" s="128" t="n">
        <v>0</v>
      </c>
      <c r="C16" s="128" t="n">
        <v>3</v>
      </c>
      <c r="D16" s="128" t="n">
        <v>8</v>
      </c>
      <c r="E16" s="128" t="n"/>
      <c r="F16" s="128" t="n">
        <v>0.18</v>
      </c>
      <c r="G16" s="128" t="n"/>
      <c r="H16" s="128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I16" s="128" t="n"/>
    </row>
    <row r="17">
      <c r="A17" s="137" t="inlineStr">
        <is>
          <t>Defaults of rent</t>
        </is>
      </c>
      <c r="B17" s="128" t="n">
        <v>0</v>
      </c>
      <c r="C17" s="128" t="n">
        <v>4</v>
      </c>
      <c r="D17" s="128" t="n">
        <v>8</v>
      </c>
      <c r="E17" s="128" t="n"/>
      <c r="F17" s="128" t="n">
        <v>0.23</v>
      </c>
      <c r="G17" s="128" t="n"/>
      <c r="H17" s="128" t="inlineStr">
        <is>
          <t>Total, 4 shilling 8pence.</t>
        </is>
      </c>
      <c r="I17" s="128" t="n"/>
    </row>
    <row r="18">
      <c r="A18" s="138" t="inlineStr">
        <is>
          <t>Defaults of rent total</t>
        </is>
      </c>
      <c r="B18" s="139" t="n"/>
      <c r="C18" s="139" t="n"/>
      <c r="D18" s="139" t="n"/>
      <c r="E18" s="139" t="n"/>
      <c r="F18" s="139" t="n">
        <v>0.18</v>
      </c>
      <c r="G18" s="139" t="n">
        <v>-0.05</v>
      </c>
      <c r="H18" s="139" t="inlineStr">
        <is>
          <t>Total</t>
        </is>
      </c>
      <c r="I18" s="139" t="n"/>
    </row>
    <row r="19">
      <c r="A19" s="137" t="n"/>
      <c r="B19" s="128" t="n"/>
      <c r="C19" s="128" t="n"/>
      <c r="D19" s="128" t="n"/>
      <c r="E19" s="128" t="n"/>
      <c r="F19" s="128" t="n"/>
      <c r="G19" s="128" t="n"/>
      <c r="H19" s="128" t="n"/>
      <c r="I19" s="128" t="n"/>
    </row>
    <row r="20">
      <c r="A20" s="136" t="inlineStr">
        <is>
          <t>Total of quittances and defaults of rent</t>
        </is>
      </c>
      <c r="B20" s="128" t="n">
        <v>0</v>
      </c>
      <c r="C20" s="128" t="n">
        <v>5</v>
      </c>
      <c r="D20" s="128" t="n">
        <v>8</v>
      </c>
      <c r="E20" s="128" t="n"/>
      <c r="F20" s="128" t="n">
        <v>0.28</v>
      </c>
      <c r="G20" s="128" t="n"/>
      <c r="H20" s="128" t="inlineStr">
        <is>
          <t>Total of quittances and defaults of rent, 5 shilling 8pence.</t>
        </is>
      </c>
      <c r="I20" s="128" t="n"/>
    </row>
    <row r="21">
      <c r="A21" s="138" t="inlineStr">
        <is>
          <t>Total of quittances and defaults of rent total</t>
        </is>
      </c>
      <c r="B21" s="139" t="n"/>
      <c r="C21" s="139" t="n"/>
      <c r="D21" s="139" t="n"/>
      <c r="E21" s="139" t="n"/>
      <c r="F21" s="139" t="n">
        <v>0.28</v>
      </c>
      <c r="G21" s="139" t="n">
        <v>0</v>
      </c>
      <c r="H21" s="139" t="inlineStr">
        <is>
          <t>Total</t>
        </is>
      </c>
      <c r="I21" s="139" t="n"/>
    </row>
    <row r="22">
      <c r="A22" s="137" t="n"/>
      <c r="B22" s="128" t="n"/>
      <c r="C22" s="128" t="n"/>
      <c r="D22" s="128" t="n"/>
      <c r="E22" s="128" t="n"/>
      <c r="F22" s="128" t="n"/>
      <c r="G22" s="128" t="n"/>
      <c r="H22" s="128" t="n"/>
      <c r="I22" s="128" t="n"/>
    </row>
    <row r="23">
      <c r="A23" s="136" t="inlineStr">
        <is>
          <t>Total of rents remaining clear</t>
        </is>
      </c>
      <c r="B23" s="128" t="n">
        <v>6</v>
      </c>
      <c r="C23" s="128" t="n">
        <v>5</v>
      </c>
      <c r="D23" s="128" t="n">
        <v>10.5</v>
      </c>
      <c r="E23" s="128" t="n"/>
      <c r="F23" s="128" t="n">
        <v>6.29</v>
      </c>
      <c r="G23" s="128" t="n"/>
      <c r="H23" s="128" t="inlineStr">
        <is>
          <t>Total of rents remaining clear, £6 5 shilling 10.5pence.</t>
        </is>
      </c>
      <c r="I23" s="128" t="n"/>
    </row>
    <row r="24">
      <c r="A24" s="138" t="inlineStr">
        <is>
          <t>Total of rents remaining clear total</t>
        </is>
      </c>
      <c r="B24" s="139" t="n"/>
      <c r="C24" s="139" t="n"/>
      <c r="D24" s="139" t="n"/>
      <c r="E24" s="139" t="n"/>
      <c r="F24" s="139" t="n">
        <v>6.29</v>
      </c>
      <c r="G24" s="139" t="n">
        <v>0</v>
      </c>
      <c r="H24" s="139" t="inlineStr">
        <is>
          <t>Total</t>
        </is>
      </c>
      <c r="I24" s="139" t="n"/>
    </row>
    <row r="25">
      <c r="A25" s="137" t="n"/>
      <c r="B25" s="128" t="n"/>
      <c r="C25" s="128" t="n"/>
      <c r="D25" s="128" t="n"/>
      <c r="E25" s="128" t="n"/>
      <c r="F25" s="128" t="n"/>
      <c r="G25" s="128" t="n"/>
      <c r="H25" s="128" t="n"/>
      <c r="I25" s="128" t="n"/>
    </row>
    <row r="26">
      <c r="A26" s="136" t="inlineStr">
        <is>
          <t>Stallage</t>
        </is>
      </c>
      <c r="B26" s="128" t="n">
        <v>0</v>
      </c>
      <c r="C26" s="128" t="n">
        <v>1</v>
      </c>
      <c r="D26" s="128" t="n">
        <v>0</v>
      </c>
      <c r="E26" s="128" t="n"/>
      <c r="F26" s="128" t="n">
        <v>0.05</v>
      </c>
      <c r="G26" s="128" t="n"/>
      <c r="H26" s="128" t="inlineStr">
        <is>
          <t>And for 1 shilling for the year at Michaelmas from Thomas Turg' for 1 stall in the market which Thomas Houpere recently held.</t>
        </is>
      </c>
      <c r="I26" s="128" t="n"/>
    </row>
    <row r="27">
      <c r="A27" s="137" t="inlineStr">
        <is>
          <t>Stallage</t>
        </is>
      </c>
      <c r="B27" s="128" t="n">
        <v>0</v>
      </c>
      <c r="C27" s="128" t="n">
        <v>1</v>
      </c>
      <c r="D27" s="128" t="n">
        <v>0</v>
      </c>
      <c r="E27" s="128" t="n"/>
      <c r="F27" s="128" t="n">
        <v>0.05</v>
      </c>
      <c r="G27" s="128" t="n"/>
      <c r="H27" s="128" t="inlineStr">
        <is>
          <t>1 shilling from Thomas Mossel for 1 plot which Walter Mossel formerly held which belonged to Hamo Deverell' and Robert Pycok’.</t>
        </is>
      </c>
      <c r="I27" s="128" t="n"/>
    </row>
    <row r="28">
      <c r="A28" s="137" t="inlineStr">
        <is>
          <t>Stallage</t>
        </is>
      </c>
      <c r="B28" s="128" t="n">
        <v>0</v>
      </c>
      <c r="C28" s="128" t="n">
        <v>0</v>
      </c>
      <c r="D28" s="128" t="n">
        <v>6</v>
      </c>
      <c r="E28" s="128" t="n"/>
      <c r="F28" s="128" t="n">
        <v>0.03</v>
      </c>
      <c r="G28" s="128" t="n"/>
      <c r="H28" s="128" t="inlineStr">
        <is>
          <t>6pence from Robert Mossel for similar which John Hacker' formerly held.</t>
        </is>
      </c>
      <c r="I28" s="128" t="n"/>
    </row>
    <row r="29">
      <c r="A29" s="137" t="inlineStr">
        <is>
          <t>Stallage</t>
        </is>
      </c>
      <c r="B29" s="128" t="n">
        <v>0</v>
      </c>
      <c r="C29" s="128" t="n">
        <v>0</v>
      </c>
      <c r="D29" s="128" t="n">
        <v>1</v>
      </c>
      <c r="E29" s="128" t="n"/>
      <c r="F29" s="128" t="n">
        <v>0</v>
      </c>
      <c r="G29" s="128" t="n"/>
      <c r="H29" s="128" t="inlineStr">
        <is>
          <t>1pence from Thomas Mossell' for similar which John Trylle formerly held.</t>
        </is>
      </c>
      <c r="I29" s="128" t="n"/>
    </row>
    <row r="30">
      <c r="A30" s="137" t="inlineStr">
        <is>
          <t>Stallage</t>
        </is>
      </c>
      <c r="B30" s="128" t="n">
        <v>0</v>
      </c>
      <c r="C30" s="128" t="n">
        <v>1</v>
      </c>
      <c r="D30" s="128" t="n">
        <v>0</v>
      </c>
      <c r="E30" s="128" t="n"/>
      <c r="F30" s="128" t="n">
        <v>0.05</v>
      </c>
      <c r="G30" s="128" t="n"/>
      <c r="H30" s="128" t="inlineStr">
        <is>
          <t>1 shilling from William Mosselle for similar which John TryIle formerly held.</t>
        </is>
      </c>
      <c r="I30" s="128" t="n"/>
    </row>
    <row r="31">
      <c r="A31" s="137" t="inlineStr">
        <is>
          <t>Stallage</t>
        </is>
      </c>
      <c r="B31" s="128" t="n">
        <v>0</v>
      </c>
      <c r="C31" s="128" t="n">
        <v>0</v>
      </c>
      <c r="D31" s="128" t="n">
        <v>9</v>
      </c>
      <c r="E31" s="128" t="n"/>
      <c r="F31" s="128" t="n">
        <v>0.04</v>
      </c>
      <c r="G31" s="128" t="n"/>
      <c r="H31" s="128" t="inlineStr">
        <is>
          <t>9pence from Thomas Godewyne for 1 stall which belonged to Jeovosd' and Robert Palmer'.</t>
        </is>
      </c>
      <c r="I31" s="128" t="n"/>
    </row>
    <row r="32">
      <c r="A32" s="137" t="inlineStr">
        <is>
          <t>Stallage</t>
        </is>
      </c>
      <c r="B32" s="128" t="n">
        <v>0</v>
      </c>
      <c r="C32" s="128" t="n">
        <v>0</v>
      </c>
      <c r="D32" s="128" t="n">
        <v>0</v>
      </c>
      <c r="E32" s="128" t="n"/>
      <c r="F32" s="128" t="n">
        <v>0</v>
      </c>
      <c r="G32" s="128" t="n"/>
      <c r="H32" s="128" t="inlineStr">
        <is>
          <t>4d, from Christine Lyngerevere for similar.</t>
        </is>
      </c>
      <c r="I32" s="128" t="n"/>
    </row>
    <row r="33">
      <c r="A33" s="137" t="inlineStr">
        <is>
          <t>Stallage</t>
        </is>
      </c>
      <c r="B33" s="128" t="n">
        <v>0</v>
      </c>
      <c r="C33" s="128" t="n">
        <v>0</v>
      </c>
      <c r="D33" s="128" t="n">
        <v>4</v>
      </c>
      <c r="E33" s="128" t="n"/>
      <c r="F33" s="128" t="n">
        <v>0.02</v>
      </c>
      <c r="G33" s="128" t="n"/>
      <c r="H33" s="128" t="inlineStr">
        <is>
          <t>4pence from Thomas Godewyne for 1 stall whtin the tannery demised to him.</t>
        </is>
      </c>
      <c r="I33" s="128" t="n"/>
    </row>
    <row r="34">
      <c r="A34" s="137" t="inlineStr">
        <is>
          <t>Stallage</t>
        </is>
      </c>
      <c r="B34" s="128" t="n">
        <v>0</v>
      </c>
      <c r="C34" s="128" t="n">
        <v>5</v>
      </c>
      <c r="D34" s="128" t="n">
        <v>0</v>
      </c>
      <c r="E34" s="128" t="n"/>
      <c r="F34" s="128" t="n">
        <v>0.25</v>
      </c>
      <c r="G34" s="128" t="n"/>
      <c r="H34" s="128" t="inlineStr">
        <is>
          <t>Total, 5 shilling.</t>
        </is>
      </c>
      <c r="I34" s="128" t="n"/>
    </row>
    <row r="35">
      <c r="A35" s="138" t="inlineStr">
        <is>
          <t>Stallage total</t>
        </is>
      </c>
      <c r="B35" s="139" t="n"/>
      <c r="C35" s="139" t="n"/>
      <c r="D35" s="139" t="n"/>
      <c r="E35" s="139" t="n"/>
      <c r="F35" s="139" t="n">
        <v>0.24</v>
      </c>
      <c r="G35" s="139" t="n">
        <v>-0.01</v>
      </c>
      <c r="H35" s="139" t="inlineStr">
        <is>
          <t>Total</t>
        </is>
      </c>
      <c r="I35" s="139" t="n"/>
    </row>
    <row r="36">
      <c r="A36" s="137" t="n"/>
      <c r="B36" s="128" t="n"/>
      <c r="C36" s="128" t="n"/>
      <c r="D36" s="128" t="n"/>
      <c r="E36" s="128" t="n"/>
      <c r="F36" s="128" t="n"/>
      <c r="G36" s="128" t="n"/>
      <c r="H36" s="128" t="n"/>
      <c r="I36" s="128" t="n"/>
    </row>
    <row r="37">
      <c r="A37" s="136" t="inlineStr">
        <is>
          <t>Perquisites of court</t>
        </is>
      </c>
      <c r="B37" s="128" t="n">
        <v>0</v>
      </c>
      <c r="C37" s="128" t="n">
        <v>6</v>
      </c>
      <c r="D37" s="128" t="n">
        <v>7</v>
      </c>
      <c r="E37" s="128" t="n"/>
      <c r="F37" s="128" t="n">
        <v>0.33</v>
      </c>
      <c r="G37" s="128" t="n"/>
      <c r="H37" s="128" t="inlineStr">
        <is>
          <t>And for 6 shilling 7pence from the perquisites of the tourn of Martinmas (11 Noyember).</t>
        </is>
      </c>
      <c r="I37" s="128" t="n"/>
    </row>
    <row r="38">
      <c r="A38" s="137" t="inlineStr">
        <is>
          <t>Perquisites of court</t>
        </is>
      </c>
      <c r="B38" s="128" t="n">
        <v>0</v>
      </c>
      <c r="C38" s="128" t="n">
        <v>17</v>
      </c>
      <c r="D38" s="128" t="n">
        <v>1</v>
      </c>
      <c r="E38" s="128" t="n"/>
      <c r="F38" s="128" t="n">
        <v>0.85</v>
      </c>
      <c r="G38" s="128" t="n"/>
      <c r="H38" s="128" t="inlineStr">
        <is>
          <t>17 shilling 1pence from the perquisites of the courts held before the tourn of Hockday.</t>
        </is>
      </c>
      <c r="I38" s="128" t="n"/>
    </row>
    <row r="39">
      <c r="A39" s="137" t="inlineStr">
        <is>
          <t>Perquisites of court</t>
        </is>
      </c>
      <c r="B39" s="128" t="n">
        <v>0</v>
      </c>
      <c r="C39" s="128" t="n">
        <v>5</v>
      </c>
      <c r="D39" s="128" t="n">
        <v>3</v>
      </c>
      <c r="E39" s="128" t="n"/>
      <c r="F39" s="128" t="n">
        <v>0.26</v>
      </c>
      <c r="G39" s="128" t="n"/>
      <c r="H39" s="128" t="inlineStr">
        <is>
          <t>5 shilling 3pence from the perquisites of the tourn of Hockday (1 April).</t>
        </is>
      </c>
      <c r="I39" s="128" t="n"/>
    </row>
    <row r="40">
      <c r="A40" s="137" t="inlineStr">
        <is>
          <t>Perquisites of court</t>
        </is>
      </c>
      <c r="B40" s="128" t="n">
        <v>0</v>
      </c>
      <c r="C40" s="128" t="n">
        <v>11</v>
      </c>
      <c r="D40" s="128" t="n">
        <v>2</v>
      </c>
      <c r="E40" s="128" t="n"/>
      <c r="F40" s="128" t="n">
        <v>0.5600000000000001</v>
      </c>
      <c r="G40" s="128" t="n"/>
      <c r="H40" s="128" t="inlineStr">
        <is>
          <t>11 shilling 2pence from the perquisites of the courts held after the tourn of Hockday.</t>
        </is>
      </c>
      <c r="I40" s="128" t="n"/>
    </row>
    <row r="41">
      <c r="A41" s="138" t="inlineStr">
        <is>
          <t>Perquisites of court total</t>
        </is>
      </c>
      <c r="B41" s="139" t="n">
        <v>2</v>
      </c>
      <c r="C41" s="139" t="n">
        <v>0</v>
      </c>
      <c r="D41" s="139" t="n">
        <v>1</v>
      </c>
      <c r="E41" s="139" t="n"/>
      <c r="F41" s="139" t="n">
        <v>2</v>
      </c>
      <c r="G41" s="139" t="n">
        <v>1.44</v>
      </c>
      <c r="H41" s="139" t="inlineStr">
        <is>
          <t>Total, £2 1pence.</t>
        </is>
      </c>
      <c r="I41" s="139" t="n"/>
    </row>
    <row r="42">
      <c r="A42" s="38" t="inlineStr">
        <is>
          <t>Total of all receipts recorded in accounts (calculated here)</t>
        </is>
      </c>
      <c r="F42">
        <f>SUMIF(A1:A41,"* total",F1:F41)-SUMIF(A1:A41,"Arrears total",F1:F41)</f>
        <v/>
      </c>
    </row>
    <row r="43">
      <c r="A43" s="38" t="inlineStr">
        <is>
          <t>Total of all receipts (calculated here) incl arrears</t>
        </is>
      </c>
      <c r="F43">
        <f>F42+SUMIF(A1:A41,"Arrears total",F1:F41)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HINDONBOROUGH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Sentence</t>
        </is>
      </c>
      <c r="I2" t="inlineStr">
        <is>
          <t>Fixed Investments</t>
        </is>
      </c>
      <c r="J2" t="inlineStr">
        <is>
          <t>Demesne Fixed Investments</t>
        </is>
      </c>
    </row>
    <row r="3">
      <c r="A3" s="137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Cash deliveries</t>
        </is>
      </c>
      <c r="B4" s="128" t="n">
        <v>8</v>
      </c>
      <c r="C4" s="128" t="n">
        <v>10</v>
      </c>
      <c r="D4" s="128" t="n">
        <v>11.5</v>
      </c>
      <c r="E4" s="128" t="n"/>
      <c r="F4" s="128" t="n">
        <v>8.550000000000001</v>
      </c>
      <c r="G4" s="128" t="n"/>
      <c r="H4" s="128" t="inlineStr">
        <is>
          <t>Delivered to John Arnald', receiver of Wolvesey, by 1 tally, £8 10 shilling 11.5pence.</t>
        </is>
      </c>
    </row>
    <row r="5">
      <c r="A5" s="137" t="inlineStr">
        <is>
          <t>Cash deliveries</t>
        </is>
      </c>
      <c r="B5" s="128" t="n">
        <v>8</v>
      </c>
      <c r="C5" s="128" t="n">
        <v>10</v>
      </c>
      <c r="D5" s="128" t="n">
        <v>11.5</v>
      </c>
      <c r="E5" s="128" t="n"/>
      <c r="F5" s="128" t="n">
        <v>8.550000000000001</v>
      </c>
      <c r="G5" s="128" t="n"/>
      <c r="H5" s="128" t="inlineStr">
        <is>
          <t>Total, £8 10 shilling 11.5pence.</t>
        </is>
      </c>
    </row>
    <row r="6">
      <c r="A6" s="138" t="inlineStr">
        <is>
          <t>Cash deliveries total</t>
        </is>
      </c>
      <c r="B6" s="139" t="n"/>
      <c r="C6" s="139" t="n"/>
      <c r="D6" s="139" t="n"/>
      <c r="E6" s="139" t="n"/>
      <c r="F6" s="139" t="n">
        <v>8.550000000000001</v>
      </c>
      <c r="G6" s="139" t="n">
        <v>0</v>
      </c>
      <c r="H6" s="139" t="inlineStr">
        <is>
          <t>Total</t>
        </is>
      </c>
    </row>
    <row r="7">
      <c r="A7" s="137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6" t="inlineStr">
        <is>
          <t>And he owes</t>
        </is>
      </c>
      <c r="B8" s="128" t="n">
        <v>0</v>
      </c>
      <c r="C8" s="128" t="n">
        <v>3</v>
      </c>
      <c r="D8" s="128" t="n">
        <v>0</v>
      </c>
      <c r="E8" s="128" t="n"/>
      <c r="F8" s="128" t="n">
        <v>0.15</v>
      </c>
      <c r="G8" s="128" t="n"/>
      <c r="H8" s="128" t="inlineStr">
        <is>
          <t>And he owes, 3 shilling, for which he is charged in the following year's account under the heading of arrears.</t>
        </is>
      </c>
    </row>
    <row r="9">
      <c r="A9" s="138" t="inlineStr">
        <is>
          <t>And he owes total</t>
        </is>
      </c>
      <c r="B9" s="139" t="n"/>
      <c r="C9" s="139" t="n"/>
      <c r="D9" s="139" t="n"/>
      <c r="E9" s="139" t="n"/>
      <c r="F9" s="139" t="n">
        <v>0.15</v>
      </c>
      <c r="G9" s="139" t="n">
        <v>0</v>
      </c>
      <c r="H9" s="13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HINDONBOROUGH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K5">
        <f>B5+C5-H5-I5</f>
        <v/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K6">
        <f>B6+C6-H6-I6</f>
        <v/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K7">
        <f>B7+C7-H7-I7</f>
        <v/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K8">
        <f>B8+C8-H8-I8</f>
        <v/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K9">
        <f>B9+C9-H9-I9</f>
        <v/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K10">
        <f>B10+C10-H10-I10</f>
        <v/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K11">
        <f>B11+C11-H11-I11</f>
        <v/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K12">
        <f>B12+C12-H12-I12</f>
        <v/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K13">
        <f>B13+C13-H13-I13</f>
        <v/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K14">
        <f>B14+C14-H14-I14</f>
        <v/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K15">
        <f>B15+C15-H15-I15</f>
        <v/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K16">
        <f>B16+C16-H16-I16</f>
        <v/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K17">
        <f>B17+C17-H17-I17</f>
        <v/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K18">
        <f>B18+C18-H18-I18</f>
        <v/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K19">
        <f>B19+C19-H19-I19</f>
        <v/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K20">
        <f>B20+C20-H20-I20</f>
        <v/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K21">
        <f>B21+C21-H21-I21</f>
        <v/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K22">
        <f>B22+C22-H22-I22</f>
        <v/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K23">
        <f>B23+C23-H23-I23</f>
        <v/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K24">
        <f>B24+C24-H24-I24</f>
        <v/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K25">
        <f>B25+C25-H25-I25</f>
        <v/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K26">
        <f>B26+C26-H26-I26</f>
        <v/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K27">
        <f>B27+C27-H27-I27</f>
        <v/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K28">
        <f>B28+C28-H28-I28</f>
        <v/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K29">
        <f>B29+C29-H29-I29</f>
        <v/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K30">
        <f>B30+C30-H30-I30</f>
        <v/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5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2026-02-04T20:29:35Z</dcterms:modified>
  <cp:lastModifiedBy>Kowalski, Kuba</cp:lastModifiedBy>
</cp:coreProperties>
</file>
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wageningenur4-my.sharepoint.com/personal/kuba_kowalski_wur_nl/Documents/WUR/2024-2025/research_assistant_ox/workfolder/output/OCR 1409-1410/manual adjustement/"/>
    </mc:Choice>
  </mc:AlternateContent>
  <xr:revisionPtr revIDLastSave="10" documentId="11_7C7E99D3168FBB983C88EE6C604B3AD618A7FB28" xr6:coauthVersionLast="47" xr6:coauthVersionMax="47" xr10:uidLastSave="{75F43B70-2784-4A9D-B689-53589D7F2008}"/>
  <bookViews>
    <workbookView xWindow="2160" yWindow="2160" windowWidth="32990" windowHeight="18180" xr2:uid="{00000000-000D-0000-FFFF-FFFF00000000}"/>
  </bookViews>
  <sheets>
    <sheet name="Overview" sheetId="1" r:id="rId1"/>
    <sheet name="Receipts" sheetId="2" r:id="rId2"/>
    <sheet name="Expenses" sheetId="3" r:id="rId3"/>
    <sheet name="Stock" sheetId="4" r:id="rId4"/>
    <sheet name="raw data" sheetId="5" r:id="rId5"/>
    <sheet name="Stock_raw" sheetId="6" r:id="rId6"/>
    <sheet name="Issues of the Mills" sheetId="7" r:id="rId7"/>
    <sheet name="Prices" sheetId="8" r:id="rId8"/>
    <sheet name="Labour Rents" sheetId="9" r:id="rId9"/>
    <sheet name="not needed" sheetId="10" r:id="rId10"/>
    <sheet name="Issues of the Grange raw" sheetId="11" r:id="rId11"/>
    <sheet name="Issues of the Grange" sheetId="12" r:id="rId12"/>
    <sheet name="Sale of Corn Pric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1" l="1"/>
  <c r="B180" i="1"/>
  <c r="F114" i="1"/>
  <c r="T93" i="4"/>
  <c r="S93" i="4"/>
  <c r="T89" i="4"/>
  <c r="S89" i="4"/>
  <c r="T88" i="4"/>
  <c r="S88" i="4"/>
  <c r="T84" i="4"/>
  <c r="S84" i="4"/>
  <c r="T83" i="4"/>
  <c r="S83" i="4"/>
  <c r="T82" i="4"/>
  <c r="S82" i="4"/>
  <c r="T76" i="4"/>
  <c r="S76" i="4"/>
  <c r="T75" i="4"/>
  <c r="T77" i="4" s="1"/>
  <c r="S75" i="4"/>
  <c r="S77" i="4" s="1"/>
  <c r="Q70" i="4"/>
  <c r="F154" i="1" s="1"/>
  <c r="N70" i="4"/>
  <c r="T70" i="4" s="1"/>
  <c r="L70" i="4"/>
  <c r="M70" i="4" s="1"/>
  <c r="Q69" i="4"/>
  <c r="F153" i="1" s="1"/>
  <c r="N69" i="4"/>
  <c r="T69" i="4" s="1"/>
  <c r="L69" i="4"/>
  <c r="M69" i="4" s="1"/>
  <c r="T68" i="4"/>
  <c r="Q68" i="4"/>
  <c r="F152" i="1" s="1"/>
  <c r="N68" i="4"/>
  <c r="L68" i="4"/>
  <c r="M68" i="4" s="1"/>
  <c r="Q67" i="4"/>
  <c r="N67" i="4"/>
  <c r="T67" i="4" s="1"/>
  <c r="L67" i="4"/>
  <c r="M67" i="4" s="1"/>
  <c r="N30" i="4"/>
  <c r="T30" i="4" s="1"/>
  <c r="L30" i="4"/>
  <c r="F112" i="1" s="1"/>
  <c r="K30" i="4"/>
  <c r="P30" i="4" s="1"/>
  <c r="N29" i="4"/>
  <c r="T29" i="4" s="1"/>
  <c r="L29" i="4"/>
  <c r="F111" i="1" s="1"/>
  <c r="K29" i="4"/>
  <c r="P29" i="4" s="1"/>
  <c r="N28" i="4"/>
  <c r="T28" i="4" s="1"/>
  <c r="L28" i="4"/>
  <c r="F110" i="1" s="1"/>
  <c r="K28" i="4"/>
  <c r="P28" i="4" s="1"/>
  <c r="T27" i="4"/>
  <c r="N27" i="4"/>
  <c r="L27" i="4"/>
  <c r="M27" i="4" s="1"/>
  <c r="S27" i="4" s="1"/>
  <c r="K27" i="4"/>
  <c r="P27" i="4" s="1"/>
  <c r="N26" i="4"/>
  <c r="T26" i="4" s="1"/>
  <c r="L26" i="4"/>
  <c r="M26" i="4" s="1"/>
  <c r="S26" i="4" s="1"/>
  <c r="K26" i="4"/>
  <c r="P26" i="4" s="1"/>
  <c r="N25" i="4"/>
  <c r="T25" i="4" s="1"/>
  <c r="L25" i="4"/>
  <c r="M25" i="4" s="1"/>
  <c r="S25" i="4" s="1"/>
  <c r="K25" i="4"/>
  <c r="P25" i="4" s="1"/>
  <c r="N24" i="4"/>
  <c r="T24" i="4" s="1"/>
  <c r="L24" i="4"/>
  <c r="M24" i="4" s="1"/>
  <c r="S24" i="4" s="1"/>
  <c r="K24" i="4"/>
  <c r="P24" i="4" s="1"/>
  <c r="P23" i="4"/>
  <c r="N23" i="4"/>
  <c r="T23" i="4" s="1"/>
  <c r="L23" i="4"/>
  <c r="M23" i="4" s="1"/>
  <c r="S23" i="4" s="1"/>
  <c r="K23" i="4"/>
  <c r="N22" i="4"/>
  <c r="T22" i="4" s="1"/>
  <c r="L22" i="4"/>
  <c r="C104" i="1" s="1"/>
  <c r="D104" i="1" s="1"/>
  <c r="G104" i="1" s="1"/>
  <c r="K22" i="4"/>
  <c r="P22" i="4" s="1"/>
  <c r="N21" i="4"/>
  <c r="T21" i="4" s="1"/>
  <c r="L21" i="4"/>
  <c r="F103" i="1" s="1"/>
  <c r="K21" i="4"/>
  <c r="P21" i="4" s="1"/>
  <c r="N20" i="4"/>
  <c r="T20" i="4" s="1"/>
  <c r="L20" i="4"/>
  <c r="C102" i="1" s="1"/>
  <c r="D102" i="1" s="1"/>
  <c r="G102" i="1" s="1"/>
  <c r="K20" i="4"/>
  <c r="P20" i="4" s="1"/>
  <c r="N19" i="4"/>
  <c r="T19" i="4" s="1"/>
  <c r="L19" i="4"/>
  <c r="F101" i="1" s="1"/>
  <c r="K19" i="4"/>
  <c r="P19" i="4" s="1"/>
  <c r="T18" i="4"/>
  <c r="S18" i="4"/>
  <c r="P18" i="4"/>
  <c r="N18" i="4"/>
  <c r="M18" i="4"/>
  <c r="L18" i="4"/>
  <c r="K18" i="4"/>
  <c r="N17" i="4"/>
  <c r="T17" i="4" s="1"/>
  <c r="L17" i="4"/>
  <c r="M17" i="4" s="1"/>
  <c r="S17" i="4" s="1"/>
  <c r="K17" i="4"/>
  <c r="P17" i="4" s="1"/>
  <c r="N16" i="4"/>
  <c r="T16" i="4" s="1"/>
  <c r="L16" i="4"/>
  <c r="M16" i="4" s="1"/>
  <c r="S16" i="4" s="1"/>
  <c r="K16" i="4"/>
  <c r="P16" i="4" s="1"/>
  <c r="N15" i="4"/>
  <c r="T15" i="4" s="1"/>
  <c r="L15" i="4"/>
  <c r="M15" i="4" s="1"/>
  <c r="S15" i="4" s="1"/>
  <c r="K15" i="4"/>
  <c r="P15" i="4" s="1"/>
  <c r="N14" i="4"/>
  <c r="T14" i="4" s="1"/>
  <c r="L14" i="4"/>
  <c r="F96" i="1" s="1"/>
  <c r="K14" i="4"/>
  <c r="P14" i="4" s="1"/>
  <c r="N13" i="4"/>
  <c r="T13" i="4" s="1"/>
  <c r="L13" i="4"/>
  <c r="M13" i="4" s="1"/>
  <c r="S13" i="4" s="1"/>
  <c r="K13" i="4"/>
  <c r="P13" i="4" s="1"/>
  <c r="N12" i="4"/>
  <c r="T12" i="4" s="1"/>
  <c r="L12" i="4"/>
  <c r="F94" i="1" s="1"/>
  <c r="K12" i="4"/>
  <c r="P12" i="4" s="1"/>
  <c r="N11" i="4"/>
  <c r="T11" i="4" s="1"/>
  <c r="L11" i="4"/>
  <c r="M11" i="4" s="1"/>
  <c r="S11" i="4" s="1"/>
  <c r="K11" i="4"/>
  <c r="P11" i="4" s="1"/>
  <c r="T10" i="4"/>
  <c r="N10" i="4"/>
  <c r="L10" i="4"/>
  <c r="C92" i="1" s="1"/>
  <c r="D92" i="1" s="1"/>
  <c r="G92" i="1" s="1"/>
  <c r="K10" i="4"/>
  <c r="P10" i="4" s="1"/>
  <c r="S9" i="4"/>
  <c r="P9" i="4"/>
  <c r="N9" i="4"/>
  <c r="T9" i="4" s="1"/>
  <c r="M9" i="4"/>
  <c r="L9" i="4"/>
  <c r="K9" i="4"/>
  <c r="N8" i="4"/>
  <c r="T8" i="4" s="1"/>
  <c r="L8" i="4"/>
  <c r="M8" i="4" s="1"/>
  <c r="S8" i="4" s="1"/>
  <c r="K8" i="4"/>
  <c r="P8" i="4" s="1"/>
  <c r="N7" i="4"/>
  <c r="T7" i="4" s="1"/>
  <c r="L7" i="4"/>
  <c r="M7" i="4" s="1"/>
  <c r="S7" i="4" s="1"/>
  <c r="K7" i="4"/>
  <c r="P7" i="4" s="1"/>
  <c r="N6" i="4"/>
  <c r="T6" i="4" s="1"/>
  <c r="L6" i="4"/>
  <c r="F88" i="1" s="1"/>
  <c r="K6" i="4"/>
  <c r="P6" i="4" s="1"/>
  <c r="N5" i="4"/>
  <c r="T5" i="4" s="1"/>
  <c r="L5" i="4"/>
  <c r="F87" i="1" s="1"/>
  <c r="K5" i="4"/>
  <c r="P5" i="4" s="1"/>
  <c r="F24" i="3"/>
  <c r="B45" i="1" s="1"/>
  <c r="F23" i="3"/>
  <c r="F47" i="2"/>
  <c r="F48" i="2" s="1"/>
  <c r="B26" i="1" s="1"/>
  <c r="B177" i="1"/>
  <c r="F169" i="1"/>
  <c r="F162" i="1"/>
  <c r="F156" i="1"/>
  <c r="B176" i="1" s="1"/>
  <c r="B152" i="1"/>
  <c r="F151" i="1"/>
  <c r="F155" i="1" s="1"/>
  <c r="B151" i="1"/>
  <c r="F123" i="1"/>
  <c r="F115" i="1"/>
  <c r="F109" i="1"/>
  <c r="C109" i="1"/>
  <c r="D109" i="1" s="1"/>
  <c r="G109" i="1" s="1"/>
  <c r="F108" i="1"/>
  <c r="D108" i="1"/>
  <c r="G108" i="1" s="1"/>
  <c r="C108" i="1"/>
  <c r="F107" i="1"/>
  <c r="C107" i="1"/>
  <c r="D107" i="1" s="1"/>
  <c r="G107" i="1" s="1"/>
  <c r="F106" i="1"/>
  <c r="C106" i="1"/>
  <c r="D106" i="1" s="1"/>
  <c r="G106" i="1" s="1"/>
  <c r="C105" i="1"/>
  <c r="D105" i="1" s="1"/>
  <c r="G105" i="1" s="1"/>
  <c r="F100" i="1"/>
  <c r="C100" i="1"/>
  <c r="D100" i="1" s="1"/>
  <c r="G100" i="1" s="1"/>
  <c r="F99" i="1"/>
  <c r="C99" i="1"/>
  <c r="D99" i="1" s="1"/>
  <c r="G99" i="1" s="1"/>
  <c r="F98" i="1"/>
  <c r="C98" i="1"/>
  <c r="D98" i="1" s="1"/>
  <c r="G98" i="1" s="1"/>
  <c r="F97" i="1"/>
  <c r="C97" i="1"/>
  <c r="D97" i="1" s="1"/>
  <c r="G97" i="1" s="1"/>
  <c r="F95" i="1"/>
  <c r="C95" i="1"/>
  <c r="D95" i="1" s="1"/>
  <c r="G95" i="1" s="1"/>
  <c r="F91" i="1"/>
  <c r="C91" i="1"/>
  <c r="D91" i="1" s="1"/>
  <c r="G91" i="1" s="1"/>
  <c r="F90" i="1"/>
  <c r="C90" i="1"/>
  <c r="D90" i="1" s="1"/>
  <c r="G90" i="1" s="1"/>
  <c r="F89" i="1"/>
  <c r="C89" i="1"/>
  <c r="D89" i="1" s="1"/>
  <c r="G89" i="1" s="1"/>
  <c r="E72" i="1"/>
  <c r="E71" i="1"/>
  <c r="B54" i="1"/>
  <c r="B57" i="1" s="1"/>
  <c r="B44" i="1"/>
  <c r="B25" i="1"/>
  <c r="B24" i="1"/>
  <c r="B23" i="1"/>
  <c r="C152" i="1" l="1"/>
  <c r="D152" i="1" s="1"/>
  <c r="S68" i="4"/>
  <c r="B175" i="1"/>
  <c r="C154" i="1"/>
  <c r="D154" i="1" s="1"/>
  <c r="S70" i="4"/>
  <c r="S67" i="4"/>
  <c r="C151" i="1"/>
  <c r="D151" i="1" s="1"/>
  <c r="C153" i="1"/>
  <c r="D153" i="1" s="1"/>
  <c r="S69" i="4"/>
  <c r="B49" i="1"/>
  <c r="F105" i="1"/>
  <c r="M14" i="4"/>
  <c r="S14" i="4" s="1"/>
  <c r="M5" i="4"/>
  <c r="S5" i="4" s="1"/>
  <c r="M20" i="4"/>
  <c r="S20" i="4" s="1"/>
  <c r="C93" i="1"/>
  <c r="D93" i="1" s="1"/>
  <c r="G93" i="1" s="1"/>
  <c r="C101" i="1"/>
  <c r="D101" i="1" s="1"/>
  <c r="G101" i="1" s="1"/>
  <c r="F93" i="1"/>
  <c r="C94" i="1"/>
  <c r="D94" i="1" s="1"/>
  <c r="G94" i="1" s="1"/>
  <c r="C103" i="1"/>
  <c r="D103" i="1" s="1"/>
  <c r="G103" i="1" s="1"/>
  <c r="M19" i="4"/>
  <c r="S19" i="4" s="1"/>
  <c r="M10" i="4"/>
  <c r="S10" i="4" s="1"/>
  <c r="F102" i="1"/>
  <c r="M28" i="4"/>
  <c r="S28" i="4" s="1"/>
  <c r="M6" i="4"/>
  <c r="S6" i="4" s="1"/>
  <c r="F92" i="1"/>
  <c r="F113" i="1" s="1"/>
  <c r="C25" i="1"/>
  <c r="M30" i="4"/>
  <c r="S30" i="4" s="1"/>
  <c r="M21" i="4"/>
  <c r="S21" i="4" s="1"/>
  <c r="C110" i="1"/>
  <c r="D110" i="1" s="1"/>
  <c r="G110" i="1" s="1"/>
  <c r="M12" i="4"/>
  <c r="S12" i="4" s="1"/>
  <c r="C87" i="1"/>
  <c r="D87" i="1" s="1"/>
  <c r="G87" i="1" s="1"/>
  <c r="M22" i="4"/>
  <c r="S22" i="4" s="1"/>
  <c r="C88" i="1"/>
  <c r="D88" i="1" s="1"/>
  <c r="G88" i="1" s="1"/>
  <c r="C96" i="1"/>
  <c r="D96" i="1" s="1"/>
  <c r="G96" i="1" s="1"/>
  <c r="C112" i="1"/>
  <c r="D112" i="1" s="1"/>
  <c r="G112" i="1" s="1"/>
  <c r="F104" i="1"/>
  <c r="M29" i="4"/>
  <c r="S29" i="4" s="1"/>
  <c r="C111" i="1"/>
  <c r="D111" i="1" s="1"/>
  <c r="G111" i="1" s="1"/>
  <c r="G113" i="1" l="1"/>
  <c r="B178" i="1"/>
  <c r="B18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6" authorId="0" shapeId="0" xr:uid="{00000000-0006-0000-0000-000003000000}">
      <text>
        <r>
          <rPr>
            <sz val="11"/>
            <color theme="1"/>
            <rFont val="Calibri"/>
            <family val="2"/>
            <scheme val="minor"/>
          </rPr>
          <t>Victoria Gierok:
valued at sales prices where available</t>
        </r>
      </text>
    </comment>
    <comment ref="F117" authorId="0" shapeId="0" xr:uid="{00000000-0006-0000-0000-000004000000}">
      <text>
        <r>
          <rPr>
            <sz val="11"/>
            <color theme="1"/>
            <rFont val="Calibri"/>
            <family val="2"/>
            <scheme val="minor"/>
          </rPr>
          <t>Victoria Gierok:
valued at sales prices where available</t>
        </r>
      </text>
    </comment>
    <comment ref="F126" authorId="0" shapeId="0" xr:uid="{00000000-0006-0000-0000-000005000000}">
      <text>
        <r>
          <rPr>
            <sz val="11"/>
            <color theme="1"/>
            <rFont val="Calibri"/>
            <family val="2"/>
            <scheme val="minor"/>
          </rPr>
          <t>Victoria Gierok:
valued at sales prices where available</t>
        </r>
      </text>
    </comment>
    <comment ref="F150" authorId="0" shapeId="0" xr:uid="{00000000-0006-0000-0000-000006000000}">
      <text>
        <r>
          <rPr>
            <sz val="11"/>
            <color theme="1"/>
            <rFont val="Calibri"/>
            <family val="2"/>
            <scheme val="minor"/>
          </rPr>
          <t>Victoria Gierok:
valued at sales prices where available</t>
        </r>
      </text>
    </comment>
    <comment ref="F158" authorId="0" shapeId="0" xr:uid="{00000000-0006-0000-0000-000007000000}">
      <text>
        <r>
          <rPr>
            <sz val="11"/>
            <color theme="1"/>
            <rFont val="Calibri"/>
            <family val="2"/>
            <scheme val="minor"/>
          </rPr>
          <t>Victoria Gierok:
valued at sales prices where available</t>
        </r>
      </text>
    </comment>
    <comment ref="F165" authorId="0" shapeId="0" xr:uid="{00000000-0006-0000-0000-000008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00000000-0006-0000-0300-000001000000}">
      <text>
        <r>
          <rPr>
            <sz val="11"/>
            <color theme="1"/>
            <rFont val="Calibri"/>
            <family val="2"/>
            <scheme val="minor"/>
          </rPr>
          <t>Victoria Gierok:
strays that the seem to have added to their own stock?</t>
        </r>
      </text>
    </comment>
    <comment ref="E4" authorId="0" shapeId="0" xr:uid="{00000000-0006-0000-0300-000002000000}">
      <text>
        <r>
          <rPr>
            <sz val="11"/>
            <color theme="1"/>
            <rFont val="Calibri"/>
            <family val="2"/>
            <scheme val="minor"/>
          </rPr>
          <t>Victoria Gierok:
herbage = a type of customary payment to the lord; hence an addition to the stock</t>
        </r>
      </text>
    </comment>
  </commentList>
</comments>
</file>

<file path=xl/sharedStrings.xml><?xml version="1.0" encoding="utf-8"?>
<sst xmlns="http://schemas.openxmlformats.org/spreadsheetml/2006/main" count="1055" uniqueCount="588">
  <si>
    <t>ASHMANSWORTH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</si>
  <si>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</si>
  <si>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</si>
  <si>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</si>
  <si>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</si>
  <si>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</si>
  <si>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</si>
  <si>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</si>
  <si>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</si>
  <si>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</si>
  <si>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</si>
  <si>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</si>
  <si>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</si>
  <si>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</si>
  <si>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</si>
  <si>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</si>
  <si>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</si>
  <si>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</si>
  <si>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</si>
  <si>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</si>
  <si>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</si>
  <si>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</si>
  <si>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</si>
  <si>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</si>
  <si>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</si>
  <si>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</si>
  <si>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</si>
  <si>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</si>
  <si>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</si>
  <si>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</si>
  <si>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</si>
  <si>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</si>
  <si>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</si>
  <si>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</si>
  <si>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</si>
  <si>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</si>
  <si>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</si>
  <si>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</si>
  <si>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</si>
  <si>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</si>
  <si>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</si>
  <si>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</si>
  <si>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</si>
  <si>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</si>
  <si>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</si>
  <si>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</si>
  <si>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</si>
  <si>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</si>
  <si>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</si>
  <si>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</si>
  <si>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</si>
  <si>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</si>
  <si>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</si>
  <si>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</si>
  <si>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</si>
  <si>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</si>
  <si>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</si>
  <si>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</si>
  <si>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</si>
  <si>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</si>
  <si>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</si>
  <si>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</si>
  <si>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</si>
  <si>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</si>
  <si>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</si>
  <si>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</si>
  <si>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</si>
  <si>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</si>
  <si>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</si>
  <si>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</si>
  <si>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</si>
  <si>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</si>
  <si>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</si>
  <si>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</si>
  <si>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</si>
  <si>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</si>
  <si>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</si>
  <si>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</si>
  <si>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</si>
  <si>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</si>
  <si>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</si>
  <si>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</si>
  <si>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</si>
  <si>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</si>
  <si>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</si>
  <si>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</si>
  <si>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</si>
  <si>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</si>
  <si>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</si>
  <si>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</si>
  <si>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</si>
  <si>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</si>
  <si>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</si>
  <si>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</si>
  <si>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</si>
  <si>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</si>
  <si>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</si>
  <si>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</si>
  <si>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</si>
  <si>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</si>
  <si>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</si>
  <si>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</si>
  <si>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</si>
  <si>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</si>
  <si>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</si>
  <si>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</si>
  <si>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</si>
  <si>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</si>
  <si>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</si>
  <si>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</si>
  <si>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</si>
  <si>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</si>
  <si>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</si>
  <si>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</si>
  <si>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</si>
  <si>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</si>
  <si>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</si>
  <si>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</si>
  <si>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</si>
  <si>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</si>
  <si>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</si>
  <si>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</si>
  <si>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</si>
  <si>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</si>
  <si>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</si>
  <si>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</si>
  <si>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</si>
  <si>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</si>
  <si>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</si>
  <si>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</si>
  <si>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</si>
  <si>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</si>
  <si>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</si>
  <si>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</si>
  <si>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</si>
  <si>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</si>
  <si>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</si>
  <si>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</si>
  <si>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</si>
  <si>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</si>
  <si>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</si>
  <si>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</si>
  <si>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</si>
  <si>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</si>
  <si>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</si>
  <si>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</si>
  <si>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</si>
  <si>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</si>
  <si>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</si>
  <si>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</si>
  <si>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</si>
  <si>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</si>
  <si>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</si>
  <si>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</si>
  <si>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</si>
  <si>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</si>
  <si>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</si>
  <si>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</si>
  <si>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</si>
  <si>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</si>
  <si>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</si>
  <si>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</si>
  <si>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</si>
  <si>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</si>
  <si>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</si>
  <si>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ASHMANSWORTH RECEIPTS</t>
  </si>
  <si>
    <t>Heading</t>
  </si>
  <si>
    <t>£</t>
  </si>
  <si>
    <t>s</t>
  </si>
  <si>
    <t>d</t>
  </si>
  <si>
    <t>Notes</t>
  </si>
  <si>
    <t>Own notes</t>
  </si>
  <si>
    <t>Arrears</t>
  </si>
  <si>
    <t>The same answers for £3 14 shilling 0.75pence of arrears from the last account of the preceding year.</t>
  </si>
  <si>
    <t>Total, £3 14 shilling 0.75pence.</t>
  </si>
  <si>
    <t>Total</t>
  </si>
  <si>
    <t>Rents of assize</t>
  </si>
  <si>
    <t>And for £1 15 shilling 3pence for all rents of assize at Christmas.</t>
  </si>
  <si>
    <t>£1 16 shilling 8pence at Easter (23 March).</t>
  </si>
  <si>
    <t>£1 15 shilling 7.25pence at the Nativity of the blessed John the Baptist (24 June).</t>
  </si>
  <si>
    <t>£2 8 shilling 10pence at Michaelmas (29 September).</t>
  </si>
  <si>
    <t>Total, £7 16 shilling 5.75pence.</t>
  </si>
  <si>
    <t>Total of rents remaining clear</t>
  </si>
  <si>
    <t>Total of rents remaining clear, £7 9 shilling 9.75pence.</t>
  </si>
  <si>
    <t>Quittance of labour service</t>
  </si>
  <si>
    <t>In quittance of the labour service of 1 collector of rents holding 1 virgate of land 6 shilling 8pence.</t>
  </si>
  <si>
    <t>Total, 6 shilling 8pence.</t>
  </si>
  <si>
    <t>Quittance of labour service total</t>
  </si>
  <si>
    <t>Annual recognizance</t>
  </si>
  <si>
    <t>And for 1 shilling for the annual recognizance of John, son of Richard le Aas, the lord's villein, so that he may dwell outside the lord's liberty as long as it pleases the lord and come to the tourn of Hockday and remain the lord's villein as before.</t>
  </si>
  <si>
    <t>Total, 1 shilling.</t>
  </si>
  <si>
    <t>Annual recognizance total</t>
  </si>
  <si>
    <t>Issues of the manor</t>
  </si>
  <si>
    <t>And for 2 shilling 7pence from the pannage of the pigs of the customary tenants at Martinmas, that is, for 20 pigs, at 1pence each, and 22 piglets, at .5pence each.</t>
  </si>
  <si>
    <t>1 shilling from Richard atte Grene so that he may drive his sheep beyond the lord's land (solum) of Dounhangre this year.</t>
  </si>
  <si>
    <t>5 shilling 8pence from 34 cocks and hens from churchscot sold as made clear elsewhere, at 2pence each.</t>
  </si>
  <si>
    <t>4 shilling 6pence from the lord's tenants of Ashmansworth for not paying suit to the windmill for the year, at Easter and Michaelmas.</t>
  </si>
  <si>
    <t>4 shilling from 1 acre 1 rood of underwood in Privet and la Frithe sold this year.</t>
  </si>
  <si>
    <t>4 shilling 6pence from the woolskins sold of 18 wethers in murrain before shearing as made clear elsewhere, at 3pence a skin.</t>
  </si>
  <si>
    <t>1 shilling 9pence from the bare skins sold of 21 wethers in murrain as made clear elsewhere.</t>
  </si>
  <si>
    <t>1 shilling 134pence from 274 hens' eggs sold as made clear elsewhere.</t>
  </si>
  <si>
    <t>Total, £1 5 shilling 134pence.</t>
  </si>
  <si>
    <t>Issues of the manor total</t>
  </si>
  <si>
    <t>Entry and marriage fines</t>
  </si>
  <si>
    <t>And for 4 shilling from tithingpenny at the tourns of Martinmas and Hockday.</t>
  </si>
  <si>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</si>
  <si>
    <t>6 shilling 8pence from William Janekyn to have 1 messuage and 1 cotland of villein land in Ashmansworth which belonged to John Godewy and for which Katharine, who was wife of the said John, refused to fine in full court.</t>
  </si>
  <si>
    <t>Total, £1 8pence.</t>
  </si>
  <si>
    <t>Perquisites of court</t>
  </si>
  <si>
    <t>And for 2 shilling 7pence from the perquisites of the tourn of Martinmas (11 November).</t>
  </si>
  <si>
    <t>5 shilling 4pence from the perquisites of the courts held between the 2 tourns.</t>
  </si>
  <si>
    <t>2 shilling 1pence from the perquisites of the tourn of Hockday (1 April).</t>
  </si>
  <si>
    <t>4 shilling 3pence from the perquisites of the courts held after the said tourn.</t>
  </si>
  <si>
    <t>Perquisites of court total</t>
  </si>
  <si>
    <t>Total, 14 shilling 3pence.</t>
  </si>
  <si>
    <t>Total of all receipts recorded in accounts (calculated here)</t>
  </si>
  <si>
    <t>ASHMANSWORTH EXPENSES</t>
  </si>
  <si>
    <t>Sentence</t>
  </si>
  <si>
    <t>Fixed Investments</t>
  </si>
  <si>
    <t>Demesne Fixed Investments</t>
  </si>
  <si>
    <t>Cost of ploughs</t>
  </si>
  <si>
    <t>Nothing for the costs of ploughs and carts because they pertain to the farmer.</t>
  </si>
  <si>
    <t>Purchase of stock</t>
  </si>
  <si>
    <t>In 103 hoggs bought before shearing £8 11 shilling 8pence, 82 of them from the reeve of Overton and 21 from the reeve of Alresford, at 1 shilling 8pence each.</t>
  </si>
  <si>
    <t>Total, £8 11 shilling 8pence.</t>
  </si>
  <si>
    <t>Total of all expenses</t>
  </si>
  <si>
    <t>Total of all expenses, £10 15 shilling 8pence.</t>
  </si>
  <si>
    <t>And he owes</t>
  </si>
  <si>
    <t>And he owes, £20 9 shilling 103Rd.</t>
  </si>
  <si>
    <t>And he owes total</t>
  </si>
  <si>
    <t>Delivered to John Arnold', receiver of Wolvesey, by tally, £13 9 shilling 9pence.</t>
  </si>
  <si>
    <t>Total, £13 9 shilling 9pence.</t>
  </si>
  <si>
    <t>Cash deliveries total</t>
  </si>
  <si>
    <t>Total of all allowances and cash deliveries</t>
  </si>
  <si>
    <t>Total of all allowances and cash deliveries, £14 3 shilling 1.75 pence.</t>
  </si>
  <si>
    <t>ASHMANSWORTH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</si>
  <si>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</si>
  <si>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</si>
  <si>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</si>
  <si>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</si>
  <si>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</si>
  <si>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</si>
  <si>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</si>
  <si>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</si>
  <si>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</si>
  <si>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</si>
  <si>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</si>
  <si>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</si>
  <si>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</si>
  <si>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</si>
  <si>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</si>
  <si>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</si>
  <si>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</si>
  <si>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</si>
  <si>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</si>
  <si>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</si>
  <si>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</si>
  <si>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</si>
  <si>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</si>
  <si>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</si>
  <si>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</si>
  <si>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</si>
  <si>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</si>
  <si>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</si>
  <si>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</si>
  <si>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</si>
  <si>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</si>
  <si>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</si>
  <si>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</si>
  <si>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Woolskins total</t>
  </si>
  <si>
    <t>Bareskins</t>
  </si>
  <si>
    <t>Bareskins total</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</si>
  <si>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</si>
  <si>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</si>
  <si>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</si>
  <si>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</si>
  <si>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</si>
  <si>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</si>
  <si>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</si>
  <si>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</si>
  <si>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</si>
  <si>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</si>
  <si>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</si>
  <si>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</si>
  <si>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</si>
  <si>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</si>
  <si>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</si>
  <si>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</si>
  <si>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</si>
  <si>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</si>
  <si>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</si>
  <si>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</si>
  <si>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</si>
  <si>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</si>
  <si>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</si>
  <si>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</si>
  <si>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</si>
  <si>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</si>
  <si>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</si>
  <si>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</si>
  <si>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</si>
  <si>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</si>
  <si>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</si>
  <si>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</si>
  <si>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</si>
  <si>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</si>
  <si>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</si>
  <si>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</si>
  <si>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</si>
  <si>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</si>
  <si>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</si>
  <si>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</si>
  <si>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</si>
  <si>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</si>
  <si>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</si>
  <si>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</si>
  <si>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</si>
  <si>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</si>
  <si>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</si>
  <si>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</si>
  <si>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</si>
  <si>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</si>
  <si>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</si>
  <si>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</si>
  <si>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</si>
  <si>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</si>
  <si>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</si>
  <si>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</si>
  <si>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</si>
  <si>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</si>
  <si>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</si>
  <si>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</si>
  <si>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</si>
  <si>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</si>
  <si>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</si>
  <si>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</si>
  <si>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</si>
  <si>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</si>
  <si>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</si>
  <si>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ashmansworth</t>
  </si>
  <si>
    <t>the account of william alisandre, farmer, and john janekynes, collector of rents there, for the sixth year of the translation of henry beaufort, lord bishop of winchester, and the eleventh year of the reign of king henry the fourth.</t>
  </si>
  <si>
    <t>arrears</t>
  </si>
  <si>
    <t>the same answers for £3 14 shilling 0.75pence of arrears from the last account of the preceding year.</t>
  </si>
  <si>
    <t>total, £3 14 shilling 0.75pence.</t>
  </si>
  <si>
    <t>rents of assize</t>
  </si>
  <si>
    <t>and for £1 15 shilling 3pence for all rents of assize at christmas.</t>
  </si>
  <si>
    <t>£1 16 shilling 8pence at easter (23 march).</t>
  </si>
  <si>
    <t>£1 15 shilling 7.25pence at the nativity of the blessed john the baptist (24 june).</t>
  </si>
  <si>
    <t>£2 8 shilling 10pence at michaelmas (29 september).</t>
  </si>
  <si>
    <t>total, £7 16 shilling 5.75pence.</t>
  </si>
  <si>
    <t>quittances of rent</t>
  </si>
  <si>
    <t>in quittance of rent of 1 collector of rents for the year 4 shilling 8pence.</t>
  </si>
  <si>
    <t>1 overseer of the harvest for the year 2 shilling.</t>
  </si>
  <si>
    <t>total, 6 shilling 8pence.</t>
  </si>
  <si>
    <t>defaults</t>
  </si>
  <si>
    <t>nothing for defaults of rent this year.</t>
  </si>
  <si>
    <t>total of rents remaining clear</t>
  </si>
  <si>
    <t>total of rents remaining clear, £7 9 shilling 9.75pence.</t>
  </si>
  <si>
    <t>release of labour services</t>
  </si>
  <si>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</si>
  <si>
    <t>10 shilling for release of the labour services of 5 cotlands, of john hardyng', richard seward', william gode, william seward' and john wylot, at 2 shilling and not more because 1 cotland of william wylot is in the lord's hands.</t>
  </si>
  <si>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</si>
  <si>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</si>
  <si>
    <t>total, £4 15 shilling 10pence.</t>
  </si>
  <si>
    <t>quittance of labour service</t>
  </si>
  <si>
    <t>in quittance of the labour service of 1 collector of rents holding 1 virgate of land 6 shilling 8pence.</t>
  </si>
  <si>
    <t>total of labour services remaining clear</t>
  </si>
  <si>
    <t>total of labour services remaining clear, £4 9 shilling 2pence.</t>
  </si>
  <si>
    <t>annual recognizance</t>
  </si>
  <si>
    <t>and for 1 shilling for the annual recognizance of john, son of richard le aas, the lord's villein, so that he may dwell outside the lord's liberty as long as it pleases the lord and come to the tourn of hockday and remain the lord's villein as before.</t>
  </si>
  <si>
    <t>total, 1 shilling.</t>
  </si>
  <si>
    <t>issues of the manor</t>
  </si>
  <si>
    <t>and for 2 shilling 7pence from the pannage of the pigs of the customary tenants at martinmas, that is, for 20 pigs, at 1pence each, and 22 piglets, at .5pence each.</t>
  </si>
  <si>
    <t>1 shilling from richard atte grene so that he may drive his sheep beyond the lord's land (solum) of dounhangre this year.</t>
  </si>
  <si>
    <t>4 shilling 6pence from the lord's tenants of ashmansworth for not paying suit to the windmill for the year, at easter and michaelmas.</t>
  </si>
  <si>
    <t>4 shilling from 1 acre 1 rood of underwood in privet and la frithe sold this year.</t>
  </si>
  <si>
    <t>total, £1 5 shilling 134pence.</t>
  </si>
  <si>
    <t>sale of corn and stock</t>
  </si>
  <si>
    <t>and for £1 3 shilling 1.5pence from 2 quarters 2 bushels' of wheat from churchscot sold as made clear elsewhere, at 10 shilling a quarters.</t>
  </si>
  <si>
    <t>wheat</t>
  </si>
  <si>
    <t>£5 8 shilling 4pence from 65 kebb wethers sold before shearing, at 1 shilling 8pence each, and sold so dearly this year on account of the dearness and scarcity of sheep in the vale of the white horse.</t>
  </si>
  <si>
    <t>13 shilling 4pence from 16 lambs unfit for the stock sold, at ioct each.</t>
  </si>
  <si>
    <t>total, £7 4 shilling 9.5pence.</t>
  </si>
  <si>
    <t>farm of the demesne lands</t>
  </si>
  <si>
    <t>and for £5 6 shilling 8pence for the farm of the demesne lands, demised to william alisandre for 9 years, this year being the sixth.</t>
  </si>
  <si>
    <t>total, £5 6 shilling 8pence.</t>
  </si>
  <si>
    <t>entry and marriage fines</t>
  </si>
  <si>
    <t>and for 4 shilling from tithingpenny at the tourns of martinmas and hockday.</t>
  </si>
  <si>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</si>
  <si>
    <t>6 shilling 8pence from william janekyn to have 1 messuage and 1 cotland of villein land in ashmansworth which belonged to john godewy and for which katharine, who was wife of the said john, refused to fine in full court.</t>
  </si>
  <si>
    <t>total, £1 8pence.</t>
  </si>
  <si>
    <t>perquisites of court</t>
  </si>
  <si>
    <t>and for 2 shilling 7pence from the perquisites of the tourn of martinmas (11 november).</t>
  </si>
  <si>
    <t>2 shilling 1pence from the perquisites of the tourn of hockday (1 april).</t>
  </si>
  <si>
    <t>total, 14 shilling 3pence.</t>
  </si>
  <si>
    <t>total of all receipts with arrears</t>
  </si>
  <si>
    <t>total of all receipts with arrears, £31 5 shilling 6.75pence.</t>
  </si>
  <si>
    <t>cost of ploughs</t>
  </si>
  <si>
    <t>nothing for the costs of ploughs and carts because they pertain to the farmer.</t>
  </si>
  <si>
    <t>cost of the sheepcote</t>
  </si>
  <si>
    <t>in tar bought for greasing the lord's sheep 3 shilling.</t>
  </si>
  <si>
    <t>grease bought for the same 4 shilling.</t>
  </si>
  <si>
    <t>red ochre bought 6pence.</t>
  </si>
  <si>
    <t>hay bought for supporting feeble wethers in winter 6 shilling 8pence, and so much this year because of the many feeble hoggs added last time.</t>
  </si>
  <si>
    <t>total, 14 shilling 2pence.</t>
  </si>
  <si>
    <t>purchase of stock</t>
  </si>
  <si>
    <t>in 103 hoggs bought before shearing £8 11 shilling 8pence, 82 of them from the reeve of overton and 21 from the reeve of alresford, at 1 shilling 8pence each.</t>
  </si>
  <si>
    <t>total, £8 11 shilling 8pence.</t>
  </si>
  <si>
    <t>cost of buildings with necessaries</t>
  </si>
  <si>
    <t>in hiring 2 carpenters for 8 days to fit the old building within the curia with ground-sills and studs, and also to drive the said building from 1 place to another, just as they were assigned by the steward, 6 shilling 8pence, taking between them 10pence a day.</t>
  </si>
  <si>
    <t>wattling the walls of the said building by piece-work, with wood for fencing felled for the same, 1 shilling 8pence.</t>
  </si>
  <si>
    <t>1,000 lath-nails bought for the same 1 shilling 6pence.</t>
  </si>
  <si>
    <t>100 board-nails bought for the same 6pence.</t>
  </si>
  <si>
    <t>sawing planks to make doors for the same 1 shilling.</t>
  </si>
  <si>
    <t>hooks and hinges bought for the same 1 shilling.</t>
  </si>
  <si>
    <t>underpinning the stones below the ground-sills of the said building by piece-work 1 shilling 8pence.</t>
  </si>
  <si>
    <t>hiring 1 thatcher for 5 days to roof the said building 2 shilling taking 5pence a day.</t>
  </si>
  <si>
    <t>2 of his mates for the same time 2 shilling 1pence, taking between them 5pence a day.</t>
  </si>
  <si>
    <t>4 cart-loads of straw bought for the same 2 shilling 8pence, at 8pence a cart-load.</t>
  </si>
  <si>
    <t>carrying wool to wolvesey this year 1 shilling.</t>
  </si>
  <si>
    <t>making well 60 female hoggs 1 shilling 8pence, at 1pence for each 3..</t>
  </si>
  <si>
    <t>expenses of 2 men seeking 103 hoggs at overton and alresford 1 shilling.</t>
  </si>
  <si>
    <t>payment to the overseer of the harvest for 1 acre of wheat and 1 acre of oats which he ought to have and receive according to ancient custom as made clear by the custumal 4 shilling.</t>
  </si>
  <si>
    <t>wheat, oats</t>
  </si>
  <si>
    <t>enclosing and strengthening various breaches (brackes) in the fence around the wood of privet by piece-work 1 shilling 4pence.</t>
  </si>
  <si>
    <t>total, £1 9 shilling 10pence.</t>
  </si>
  <si>
    <t>total of all expenses</t>
  </si>
  <si>
    <t>total of all expenses, £10 15 shilling 8pence.</t>
  </si>
  <si>
    <t>and he owes</t>
  </si>
  <si>
    <t>and he owes, £20 9 shilling 103rd.</t>
  </si>
  <si>
    <t>allowances without writ</t>
  </si>
  <si>
    <t>in allowance to the same for 10 shilling surcharged for the sale of labour services of the customary tenants in the third and fourth years of the lord (1406-8), just as it is found by the inquest of the steward.</t>
  </si>
  <si>
    <t>3 shilling 4.75pence for various disallowances made against him in the present account.</t>
  </si>
  <si>
    <t>total, 13 shilling 4.75pence.</t>
  </si>
  <si>
    <t>cash deliveries</t>
  </si>
  <si>
    <t>delivered to john arnold', receiver of wolvesey, by tally, £13 9 shilling 9pence.</t>
  </si>
  <si>
    <t>total, £13 9 shilling 9pence.</t>
  </si>
  <si>
    <t>total of all allowances and cash deliveries</t>
  </si>
  <si>
    <t>total of all allowances and cash deliveries, £14 3 shilling 1.75 pence.</t>
  </si>
  <si>
    <t>and he owes clear</t>
  </si>
  <si>
    <t>and he owes clear, £6 6 shilling 9pence, of which 10 shilling 3pence is in the hands of the escheator, for which he is charged in the following account.</t>
  </si>
  <si>
    <t>john janekyn, collector of rents there, answers for 2 quarters 5.5 bushels of wheat from the churchscot of the customary tenants at martinmas..</t>
  </si>
  <si>
    <t>total, 2 quarters 5.5 bushels.</t>
  </si>
  <si>
    <t>in quittance of the churchscot of 1 collector of rents, collecting churchscot in place of 1 reeve, 3 bushels.</t>
  </si>
  <si>
    <t>sold within, 2 quarters 2.5 bushels.</t>
  </si>
  <si>
    <t>total as before.</t>
  </si>
  <si>
    <t>it balances.</t>
  </si>
  <si>
    <t>fallow land</t>
  </si>
  <si>
    <t>william alisandre, farmer there, answers for 70 acres of fallow land remaining, 27 of them manured..</t>
  </si>
  <si>
    <t>total, 70 acres..</t>
  </si>
  <si>
    <t>70 acres remain, 27 of them manured, in the hands of the said farmer, worth £1 12 shilling 1pence, to be handed back and restored at the end of his term of 9 years, this year being the sixth.</t>
  </si>
  <si>
    <t>stock</t>
  </si>
  <si>
    <t>hay: 5 cart-loads of hay remain.</t>
  </si>
  <si>
    <t>total, 5 cart-loads. 5 cart-loads remain, worth 16 shilling 8pence, in the hands of the said farmer, to be handed back and restored at the end of his term as before.</t>
  </si>
  <si>
    <t>horses: 2 remain.</t>
  </si>
  <si>
    <t>total, 2. 2 remain, worth 13 shilling 4pence, in the hands of the said farmer, to be handed back and restored as before.</t>
  </si>
  <si>
    <t>oxen: 6 remain.</t>
  </si>
  <si>
    <t>total, 6. 6 remain, worth £3 12 shilling, in the hands of the said farmer, to be handed back and restored as before.</t>
  </si>
  <si>
    <t>wethers: 500 remain.</t>
  </si>
  <si>
    <t>103 added from hoggs after shearing.</t>
  </si>
  <si>
    <t>total, 603. 20 in murrain before shearing and 21 after.</t>
  </si>
  <si>
    <t>65 kebbs sold within before shearing.</t>
  </si>
  <si>
    <t>total, 106. 497 remain.</t>
  </si>
  <si>
    <t>hoggs: 103 bought before shearing, 82 of them from the reeve of overton and 21 from the reeve of alresford.</t>
  </si>
  <si>
    <t>total, 103. all added above to the wethers.</t>
  </si>
  <si>
    <t>none remain..</t>
  </si>
  <si>
    <t>lambs: 18 from the offspring of as many ewes going among the wethers.</t>
  </si>
  <si>
    <t>total, 18. 2 in tithe.</t>
  </si>
  <si>
    <t>16 sold within because they were unfit for the stock.</t>
  </si>
  <si>
    <t>coarse wool: 480 fleeces from wethers and 103 from hoggs produced at the shearing this year.</t>
  </si>
  <si>
    <t>total, 583, answering for an average of 1.25 lb a fleece, plus 6 lb in all. 58 in tithe.</t>
  </si>
  <si>
    <t>525 delivered to the treasurer of wolvesey, weighing 1 sack 31 cloves..</t>
  </si>
  <si>
    <t>woolskins: 20 from wethers in murrain before shearing.</t>
  </si>
  <si>
    <t>total, 20. 2 in tithe.</t>
  </si>
  <si>
    <t>18 sold within.</t>
  </si>
  <si>
    <t>none remain.</t>
  </si>
  <si>
    <t>bare skins: 21 from wethers in murrain after shearing.</t>
  </si>
  <si>
    <t>total, 21. sold within.</t>
  </si>
  <si>
    <t>none  remain.</t>
  </si>
  <si>
    <t>cocks and hens: 50 from the churchscot of the customary tenants at martinmas.</t>
  </si>
  <si>
    <t>total, 50. none in default of 1 cotland formerly of john cocke and 1 cotland of alice copemore because they are fined for.</t>
  </si>
  <si>
    <t>4 in default of 1 cotland of william wilot in the lord's hands.</t>
  </si>
  <si>
    <t>6 in quittance of 1 cotland of john godewyne, 1 cotland of john walkeleyn and 1 cotland of robert hardyng' because they do not have wives.</t>
  </si>
  <si>
    <t>6 in quittance of 1 cotland of emma gale, 1 cotland of joan tressher' and 1 cotland of isabel kyng' because they do not have husbands.</t>
  </si>
  <si>
    <t>34 sold within.</t>
  </si>
  <si>
    <t>eggs: 300 from the customary tenants according to custom at easter.</t>
  </si>
  <si>
    <t>total, 300. none in default of the aforesaid 2 cotlands because they are fined for.</t>
  </si>
  <si>
    <t>4 in default of 1 cotland of william wylot in the lord's hands.</t>
  </si>
  <si>
    <t>10.5 in quittance of the aforesaid 3 cotlands of john godewyne, john walkelayn and robert hardyng' because they do not have wives.</t>
  </si>
  <si>
    <t>10.5 in quittance of the 41 cotlands of emma gale, joan tresshere and isabel kyng' because they do not have husbands.</t>
  </si>
  <si>
    <t>274.5 sold within.</t>
  </si>
  <si>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</si>
  <si>
    <t>inherited stock</t>
  </si>
  <si>
    <t>murrain</t>
  </si>
  <si>
    <t>Stock</t>
  </si>
  <si>
    <t>Hay: 5 cart-loads of hay remain.</t>
  </si>
  <si>
    <t>5</t>
  </si>
  <si>
    <t>Total, 5 cart-loads. 5 cart-loads remain, worth 16 shilling 8pence, in the hands of the said farmer, to be handed back and restored at the end of his term as before.</t>
  </si>
  <si>
    <t>Horses: 2 remain.</t>
  </si>
  <si>
    <t>Total, 2. 2 remain, worth 13 shilling 4pence, in the hands of the said farmer, to be handed back and restored as before.</t>
  </si>
  <si>
    <t>Oxen: 6 remain.</t>
  </si>
  <si>
    <t>6</t>
  </si>
  <si>
    <t>Total, 6. 6 remain, worth £3 12 shilling, in the hands of the said farmer, to be handed back and restored as before.</t>
  </si>
  <si>
    <t>Wethers: 500 remain.</t>
  </si>
  <si>
    <t>500</t>
  </si>
  <si>
    <t>Total, 603. 20 in murrain before shearing and 21 after.</t>
  </si>
  <si>
    <t>20</t>
  </si>
  <si>
    <t>65</t>
  </si>
  <si>
    <t>Total, 106. 497 remain.</t>
  </si>
  <si>
    <t>Hoggs: 103 bought before shearing, 82 of them from the reeve of Overton and 21 from the reeve of Alresford.</t>
  </si>
  <si>
    <t>103</t>
  </si>
  <si>
    <t>Total, 103. All added above to the wethers.</t>
  </si>
  <si>
    <t>None remain..</t>
  </si>
  <si>
    <t>Lambs: 18 from the offspring of as many ewes going among the wethers.</t>
  </si>
  <si>
    <t>18</t>
  </si>
  <si>
    <t>Total, 18. 2 in tithe.</t>
  </si>
  <si>
    <t>16</t>
  </si>
  <si>
    <t>Total as before.</t>
  </si>
  <si>
    <t>Coarse wool: 480 fleeces from wethers and 103 from hoggs produced at the shearing this year.</t>
  </si>
  <si>
    <t>Total, 583, answering for an average of 1.25 lb a fleece, plus 6 lb in all. 58 in tithe.</t>
  </si>
  <si>
    <t>525 delivered to the treasurer of Wolvesey, weighing 1 sack 31 cloves..</t>
  </si>
  <si>
    <t>Woolskins: 20 from wethers in murrain before shearing.</t>
  </si>
  <si>
    <t>Woolskins</t>
  </si>
  <si>
    <t>Total, 20. 2 in tithe.</t>
  </si>
  <si>
    <t>None remain.</t>
  </si>
  <si>
    <t>Bare skins: 21 from wethers in murrain after shearing.</t>
  </si>
  <si>
    <t>21</t>
  </si>
  <si>
    <t>Total, 21. Sold within.</t>
  </si>
  <si>
    <t>Cocks and hens: 50 from the churchscot of the customary tenants at Martinmas.</t>
  </si>
  <si>
    <t>Total, 50. None in default of 1 cotland formerly of John Cocke and 1 cotland of Alice Copemore because they are fined for.</t>
  </si>
  <si>
    <t>4 in default of 1 cotland of William Wilot in the lord's hands.</t>
  </si>
  <si>
    <t>6 in quittance of 1 cotland of John Godewyne, 1 cotland of John Walkeleyn and 1 cotland of Robert Hardyng' because they do not have wives.</t>
  </si>
  <si>
    <t>6 in quittance of 1 cotland of Emma Gale, 1 cotland of Joan Tressher' and 1 cotland of Isabel Kyng' because they do not have husbands.</t>
  </si>
  <si>
    <t>34</t>
  </si>
  <si>
    <t>It balances.</t>
  </si>
  <si>
    <t>Eggs: 300 from the customary tenants according to custom at Easter.</t>
  </si>
  <si>
    <t>Total, 300. None in default of the aforesaid 2 cotlands because they are fined for.</t>
  </si>
  <si>
    <t>4 in default of 1 cotland of William Wylot in the lord's hands.</t>
  </si>
  <si>
    <t>10.5 in quittance of the aforesaid 3 cotlands of John Godewyne, John Walkelayn and Robert Hardyng' because they do not have wives.</t>
  </si>
  <si>
    <t>10.5 in quittance of the 41 cotlands of Emma Gale, Joan Tresshere and Isabel Kyng' because they do not have husbands.</t>
  </si>
  <si>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</si>
  <si>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</si>
  <si>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</si>
  <si>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</si>
  <si>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</si>
  <si>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</si>
  <si>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</si>
  <si>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</si>
  <si>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</si>
  <si>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</si>
  <si>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</si>
  <si>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</si>
  <si>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</si>
  <si>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</si>
  <si>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</si>
  <si>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</si>
  <si>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</si>
  <si>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</si>
  <si>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</si>
  <si>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</si>
  <si>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</si>
  <si>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</si>
  <si>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</si>
  <si>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</si>
  <si>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Total Bought Quarters</t>
  </si>
  <si>
    <t>total</t>
  </si>
  <si>
    <t>Gross Output</t>
  </si>
  <si>
    <t>Bought Only Aggregated</t>
  </si>
  <si>
    <t>Total Corn Quantity</t>
  </si>
  <si>
    <t>Difference Produced+Bought-Sold</t>
  </si>
  <si>
    <t>Weighted Average Price per Quarter</t>
  </si>
  <si>
    <t>Non-Weighted Average Price per Quarter</t>
  </si>
  <si>
    <t>Value of Total Production weighted</t>
  </si>
  <si>
    <t>Value of Total Production unweighted</t>
  </si>
  <si>
    <t>Mancorn</t>
  </si>
  <si>
    <t>First-grade malt</t>
  </si>
  <si>
    <t>Second-grade malt</t>
  </si>
  <si>
    <t>Malt</t>
  </si>
  <si>
    <t>Meal</t>
  </si>
  <si>
    <t>Quarters 0</t>
  </si>
  <si>
    <t>Bushels 0</t>
  </si>
  <si>
    <t>£ a quarter 1</t>
  </si>
  <si>
    <t>£ a quarter 2</t>
  </si>
  <si>
    <t>£ a quarter 3</t>
  </si>
  <si>
    <t>£ a quarter 4</t>
  </si>
  <si>
    <t>Quarters Sold</t>
  </si>
  <si>
    <t>Corn lowercase</t>
  </si>
  <si>
    <t>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</si>
</sst>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b/>
      <sz val="11"/>
      <color theme="1"/>
      <name val="Calibri"/>
      <family val="2"/>
      <scheme val="minor"/>
    </font>
    <font>
      <b/>
      <sz val="12"/>
      <color rgb="FFFF0000"/>
      <name val="Calibri"/>
      <family val="2"/>
      <scheme val="minor"/>
    </font>
  </fonts>
  <fills count="10">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2F2F2"/>
        <bgColor rgb="FFF2F2F2"/>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15"/>
  </cellStyleXfs>
  <cellXfs count="104">
    <xf numFmtId="0" fontId="0" fillId="0" borderId="0" xfId="0" applyBorder="1"/>
    <xf numFmtId="0" fontId="10" fillId="0" borderId="0" xfId="0" applyFont="1" applyBorder="1"/>
    <xf numFmtId="0" fontId="5" fillId="0" borderId="0" xfId="0" applyFont="1" applyBorder="1"/>
    <xf numFmtId="0" fontId="6" fillId="0" borderId="0" xfId="0" applyFont="1" applyBorder="1"/>
    <xf numFmtId="0" fontId="11" fillId="0" borderId="0" xfId="0" applyFont="1" applyBorder="1"/>
    <xf numFmtId="0" fontId="13" fillId="0" borderId="0" xfId="0" applyFont="1" applyBorder="1"/>
    <xf numFmtId="0" fontId="10" fillId="2" borderId="0" xfId="0" applyFont="1" applyFill="1" applyBorder="1"/>
    <xf numFmtId="0" fontId="14" fillId="2" borderId="0" xfId="0" applyFont="1" applyFill="1" applyBorder="1"/>
    <xf numFmtId="0" fontId="13" fillId="3" borderId="0" xfId="0" applyFont="1" applyFill="1" applyBorder="1"/>
    <xf numFmtId="0" fontId="14" fillId="3" borderId="0" xfId="0" applyFont="1" applyFill="1" applyBorder="1"/>
    <xf numFmtId="0" fontId="14" fillId="4" borderId="0" xfId="0" applyFont="1" applyFill="1" applyBorder="1"/>
    <xf numFmtId="0" fontId="10" fillId="5" borderId="0" xfId="0" applyFont="1" applyFill="1" applyBorder="1"/>
    <xf numFmtId="0" fontId="13" fillId="0" borderId="0" xfId="0" applyFont="1" applyBorder="1" applyAlignment="1">
      <alignment wrapText="1"/>
    </xf>
    <xf numFmtId="0" fontId="13" fillId="0" borderId="1" xfId="0" applyFont="1" applyBorder="1"/>
    <xf numFmtId="0" fontId="13" fillId="0" borderId="0" xfId="0" applyFont="1" applyBorder="1" applyAlignment="1">
      <alignment horizontal="right"/>
    </xf>
    <xf numFmtId="0" fontId="13" fillId="0" borderId="1" xfId="0" applyFont="1" applyBorder="1" applyAlignment="1">
      <alignment horizontal="left"/>
    </xf>
    <xf numFmtId="0" fontId="0" fillId="0" borderId="0" xfId="0" applyBorder="1" applyAlignment="1">
      <alignment horizontal="right"/>
    </xf>
    <xf numFmtId="0" fontId="6" fillId="0" borderId="0" xfId="0" applyFont="1" applyBorder="1" applyAlignment="1">
      <alignment horizontal="right" wrapText="1"/>
    </xf>
    <xf numFmtId="0" fontId="16" fillId="0" borderId="0" xfId="0" applyFont="1" applyBorder="1"/>
    <xf numFmtId="0" fontId="0" fillId="0" borderId="0" xfId="0" applyBorder="1" applyAlignment="1">
      <alignment horizontal="left"/>
    </xf>
    <xf numFmtId="0" fontId="0" fillId="0" borderId="0" xfId="0" applyBorder="1" applyAlignment="1">
      <alignment wrapText="1"/>
    </xf>
    <xf numFmtId="0" fontId="6" fillId="5" borderId="0" xfId="0" applyFont="1" applyFill="1" applyBorder="1"/>
    <xf numFmtId="0" fontId="11" fillId="5" borderId="0" xfId="0" applyFont="1" applyFill="1" applyBorder="1"/>
    <xf numFmtId="0" fontId="6" fillId="0" borderId="0" xfId="0" applyFont="1" applyBorder="1" applyAlignment="1">
      <alignment wrapText="1"/>
    </xf>
    <xf numFmtId="0" fontId="11" fillId="6" borderId="0" xfId="0" applyFont="1" applyFill="1" applyBorder="1"/>
    <xf numFmtId="0" fontId="0" fillId="0" borderId="3" xfId="0" applyBorder="1"/>
    <xf numFmtId="0" fontId="0" fillId="0" borderId="3" xfId="0" applyBorder="1" applyAlignment="1">
      <alignment horizontal="left"/>
    </xf>
    <xf numFmtId="0" fontId="0" fillId="5" borderId="0" xfId="0" applyFill="1" applyBorder="1"/>
    <xf numFmtId="0" fontId="0" fillId="7" borderId="0" xfId="0" applyFill="1" applyBorder="1"/>
    <xf numFmtId="2" fontId="0" fillId="0" borderId="0" xfId="0" applyNumberFormat="1" applyBorder="1"/>
    <xf numFmtId="2" fontId="0" fillId="0" borderId="0" xfId="0" applyNumberFormat="1" applyBorder="1" applyAlignment="1">
      <alignment wrapText="1"/>
    </xf>
    <xf numFmtId="2" fontId="6" fillId="0" borderId="0" xfId="0" applyNumberFormat="1" applyFont="1" applyBorder="1" applyAlignment="1">
      <alignment wrapText="1"/>
    </xf>
    <xf numFmtId="0" fontId="4" fillId="0" borderId="0" xfId="0" applyFont="1" applyBorder="1"/>
    <xf numFmtId="2" fontId="10" fillId="0" borderId="0" xfId="0" applyNumberFormat="1" applyFont="1" applyBorder="1" applyAlignment="1">
      <alignment horizontal="right"/>
    </xf>
    <xf numFmtId="2" fontId="17" fillId="0" borderId="0" xfId="0" applyNumberFormat="1" applyFont="1" applyBorder="1" applyAlignment="1">
      <alignment horizontal="right"/>
    </xf>
    <xf numFmtId="0" fontId="4" fillId="0" borderId="5" xfId="0" applyFont="1" applyBorder="1"/>
    <xf numFmtId="0" fontId="5" fillId="0" borderId="5" xfId="0" applyFont="1" applyBorder="1"/>
    <xf numFmtId="0" fontId="12" fillId="5" borderId="5" xfId="0" applyFont="1" applyFill="1" applyBorder="1"/>
    <xf numFmtId="0" fontId="12" fillId="5" borderId="0" xfId="0" applyFont="1" applyFill="1" applyBorder="1"/>
    <xf numFmtId="0" fontId="15" fillId="2" borderId="0" xfId="0" applyFont="1" applyFill="1" applyBorder="1"/>
    <xf numFmtId="2" fontId="4" fillId="0" borderId="0" xfId="0" applyNumberFormat="1" applyFont="1" applyBorder="1"/>
    <xf numFmtId="0" fontId="13" fillId="0" borderId="2" xfId="0" applyFont="1" applyBorder="1"/>
    <xf numFmtId="2" fontId="4" fillId="0" borderId="2" xfId="0" applyNumberFormat="1" applyFont="1" applyBorder="1"/>
    <xf numFmtId="0" fontId="5" fillId="0" borderId="2" xfId="0" applyFont="1" applyBorder="1"/>
    <xf numFmtId="0" fontId="4" fillId="0" borderId="2" xfId="0" applyFont="1" applyBorder="1"/>
    <xf numFmtId="4" fontId="6" fillId="0" borderId="0" xfId="0" applyNumberFormat="1" applyFont="1" applyBorder="1" applyAlignment="1">
      <alignment horizontal="right"/>
    </xf>
    <xf numFmtId="0" fontId="6" fillId="0" borderId="0" xfId="0" applyFont="1" applyBorder="1" applyAlignment="1">
      <alignment horizontal="right"/>
    </xf>
    <xf numFmtId="2" fontId="10" fillId="5" borderId="0" xfId="0" applyNumberFormat="1" applyFont="1" applyFill="1" applyBorder="1" applyAlignment="1">
      <alignment horizontal="right"/>
    </xf>
    <xf numFmtId="0" fontId="10" fillId="8" borderId="0" xfId="0" applyFont="1" applyFill="1" applyBorder="1"/>
    <xf numFmtId="0" fontId="4" fillId="5" borderId="0" xfId="0" applyFont="1" applyFill="1" applyBorder="1"/>
    <xf numFmtId="0" fontId="5" fillId="5" borderId="0" xfId="0" applyFont="1" applyFill="1" applyBorder="1"/>
    <xf numFmtId="0" fontId="6" fillId="5" borderId="0" xfId="0" applyFont="1" applyFill="1" applyBorder="1" applyAlignment="1">
      <alignment horizontal="right"/>
    </xf>
    <xf numFmtId="0" fontId="3" fillId="0" borderId="0" xfId="0" applyFont="1" applyBorder="1"/>
    <xf numFmtId="0" fontId="14" fillId="2" borderId="6" xfId="0" applyFont="1" applyFill="1" applyBorder="1"/>
    <xf numFmtId="0" fontId="14" fillId="4" borderId="6" xfId="0" applyFont="1" applyFill="1" applyBorder="1"/>
    <xf numFmtId="0" fontId="13" fillId="0" borderId="6" xfId="0" applyFont="1" applyBorder="1"/>
    <xf numFmtId="10" fontId="14" fillId="2" borderId="6" xfId="0" applyNumberFormat="1" applyFont="1" applyFill="1" applyBorder="1"/>
    <xf numFmtId="10" fontId="14" fillId="4" borderId="8" xfId="0" applyNumberFormat="1" applyFont="1" applyFill="1" applyBorder="1"/>
    <xf numFmtId="0" fontId="5" fillId="0" borderId="9" xfId="0" applyFont="1" applyBorder="1"/>
    <xf numFmtId="0" fontId="13" fillId="5" borderId="11" xfId="0" applyFont="1" applyFill="1" applyBorder="1"/>
    <xf numFmtId="2" fontId="10" fillId="5" borderId="12" xfId="0" applyNumberFormat="1" applyFont="1" applyFill="1" applyBorder="1" applyAlignment="1">
      <alignment horizontal="right"/>
    </xf>
    <xf numFmtId="0" fontId="5" fillId="5" borderId="12" xfId="0" applyFont="1" applyFill="1" applyBorder="1"/>
    <xf numFmtId="0" fontId="3" fillId="0" borderId="9" xfId="0" applyFont="1" applyBorder="1"/>
    <xf numFmtId="2" fontId="4" fillId="5" borderId="0" xfId="0" applyNumberFormat="1" applyFont="1" applyFill="1" applyBorder="1"/>
    <xf numFmtId="0" fontId="2" fillId="5" borderId="12" xfId="0" applyFont="1" applyFill="1" applyBorder="1"/>
    <xf numFmtId="0" fontId="2" fillId="5" borderId="13" xfId="0" applyFont="1" applyFill="1" applyBorder="1"/>
    <xf numFmtId="2" fontId="2" fillId="0" borderId="0" xfId="0" applyNumberFormat="1" applyFont="1" applyBorder="1"/>
    <xf numFmtId="0" fontId="2" fillId="0" borderId="0" xfId="0" applyFont="1" applyBorder="1"/>
    <xf numFmtId="0" fontId="2" fillId="0" borderId="7" xfId="0" applyFont="1" applyBorder="1"/>
    <xf numFmtId="10" fontId="2" fillId="0" borderId="0" xfId="0" applyNumberFormat="1" applyFont="1" applyBorder="1"/>
    <xf numFmtId="0" fontId="2" fillId="0" borderId="9" xfId="0" applyFont="1" applyBorder="1"/>
    <xf numFmtId="0" fontId="2" fillId="0" borderId="10" xfId="0" applyFont="1" applyBorder="1"/>
    <xf numFmtId="0" fontId="1" fillId="0" borderId="0" xfId="0" applyFont="1" applyBorder="1"/>
    <xf numFmtId="2" fontId="6" fillId="5" borderId="0" xfId="0" applyNumberFormat="1" applyFont="1" applyFill="1" applyBorder="1"/>
    <xf numFmtId="2" fontId="10" fillId="0" borderId="0" xfId="0" applyNumberFormat="1" applyFont="1" applyBorder="1" applyAlignment="1">
      <alignment horizontal="left" vertical="center" wrapText="1"/>
    </xf>
    <xf numFmtId="0" fontId="14" fillId="8" borderId="0" xfId="0" applyFont="1" applyFill="1" applyBorder="1"/>
    <xf numFmtId="0" fontId="7" fillId="0" borderId="14" xfId="0" applyFont="1" applyBorder="1"/>
    <xf numFmtId="0" fontId="0" fillId="0" borderId="15" xfId="0"/>
    <xf numFmtId="0" fontId="9" fillId="0" borderId="16" xfId="0" applyFont="1" applyBorder="1" applyAlignment="1">
      <alignment horizontal="center" vertical="top"/>
    </xf>
    <xf numFmtId="4" fontId="7" fillId="0" borderId="17" xfId="0" applyNumberFormat="1" applyFont="1" applyBorder="1" applyAlignment="1">
      <alignment horizontal="right"/>
    </xf>
    <xf numFmtId="0" fontId="7" fillId="0" borderId="17" xfId="0" applyFont="1" applyBorder="1" applyAlignment="1">
      <alignment horizontal="right"/>
    </xf>
    <xf numFmtId="4" fontId="6" fillId="0" borderId="17" xfId="0" applyNumberFormat="1" applyFont="1" applyBorder="1" applyAlignment="1">
      <alignment horizontal="center"/>
    </xf>
    <xf numFmtId="0" fontId="8" fillId="0" borderId="17" xfId="0" applyFont="1" applyBorder="1" applyAlignment="1">
      <alignment horizontal="center" vertical="top"/>
    </xf>
    <xf numFmtId="0" fontId="9" fillId="0" borderId="17" xfId="0" applyFont="1" applyBorder="1" applyAlignment="1">
      <alignment horizontal="left" vertical="top"/>
    </xf>
    <xf numFmtId="0" fontId="12" fillId="0" borderId="17" xfId="0" applyFont="1" applyBorder="1"/>
    <xf numFmtId="0" fontId="16" fillId="0" borderId="14" xfId="0" applyFont="1" applyBorder="1"/>
    <xf numFmtId="0" fontId="0" fillId="0" borderId="14" xfId="0" applyBorder="1"/>
    <xf numFmtId="0" fontId="16" fillId="9" borderId="14" xfId="0" applyFont="1" applyFill="1" applyBorder="1"/>
    <xf numFmtId="0" fontId="16" fillId="9" borderId="15" xfId="0" applyFont="1" applyFill="1"/>
    <xf numFmtId="0" fontId="9" fillId="0" borderId="16" xfId="0" applyFont="1" applyBorder="1" applyAlignment="1">
      <alignment horizontal="center" vertical="center"/>
    </xf>
    <xf numFmtId="4" fontId="7" fillId="0" borderId="17" xfId="0" applyNumberFormat="1" applyFont="1" applyBorder="1" applyAlignment="1">
      <alignment horizontal="center" vertical="center"/>
    </xf>
    <xf numFmtId="0" fontId="7" fillId="0" borderId="17" xfId="0" applyFont="1" applyBorder="1" applyAlignment="1">
      <alignment horizontal="center" vertical="center"/>
    </xf>
    <xf numFmtId="0" fontId="0" fillId="0" borderId="17" xfId="0" applyBorder="1"/>
    <xf numFmtId="2" fontId="6" fillId="0" borderId="17" xfId="0" applyNumberFormat="1" applyFont="1" applyBorder="1" applyAlignment="1">
      <alignment horizontal="center" vertical="center"/>
    </xf>
    <xf numFmtId="2" fontId="8" fillId="0" borderId="17" xfId="0" applyNumberFormat="1" applyFont="1" applyBorder="1" applyAlignment="1">
      <alignment horizontal="center" vertical="center"/>
    </xf>
    <xf numFmtId="0" fontId="9" fillId="0" borderId="17" xfId="0" applyFont="1" applyBorder="1" applyAlignment="1">
      <alignment horizontal="center" vertical="center"/>
    </xf>
    <xf numFmtId="0" fontId="4" fillId="7" borderId="0" xfId="0" applyFont="1" applyFill="1" applyBorder="1"/>
    <xf numFmtId="0" fontId="6" fillId="5" borderId="15" xfId="0" applyFont="1" applyFill="1" applyAlignment="1">
      <alignment horizontal="center"/>
    </xf>
    <xf numFmtId="0" fontId="5" fillId="0" borderId="0" xfId="0" applyFont="1" applyBorder="1"/>
    <xf numFmtId="0" fontId="0" fillId="0" borderId="15" xfId="0" applyAlignment="1">
      <alignment horizontal="center" wrapText="1"/>
    </xf>
    <xf numFmtId="0" fontId="0" fillId="0" borderId="0" xfId="0" applyBorder="1"/>
    <xf numFmtId="0" fontId="0" fillId="0" borderId="4" xfId="0" applyBorder="1" applyAlignment="1">
      <alignment horizontal="center" wrapText="1"/>
    </xf>
    <xf numFmtId="0" fontId="0" fillId="0" borderId="0" xfId="0" applyFill="1" applyBorder="1"/>
    <xf numFmtId="2" fontId="4" fillId="7" borderId="0"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topLeftCell="A25" workbookViewId="0">
      <selection activeCell="D44" sqref="D44"/>
    </sheetView>
  </sheetViews>
  <sheetFormatPr defaultColWidth="10.81640625" defaultRowHeight="15.5"/>
  <cols>
    <col min="1" max="1" width="80" style="32" bestFit="1" customWidth="1"/>
    <col min="2" max="2" width="10.81640625" style="32" customWidth="1"/>
    <col min="3" max="3" width="10.81640625" style="2" customWidth="1"/>
    <col min="4" max="4" width="30.81640625" style="32" bestFit="1" customWidth="1"/>
    <col min="5" max="5" width="29.36328125" style="32" bestFit="1" customWidth="1"/>
    <col min="6" max="6" width="35.453125" style="32" bestFit="1" customWidth="1"/>
    <col min="7" max="7" width="21.1796875" style="32" customWidth="1"/>
    <col min="8" max="9" width="10.81640625" style="32" customWidth="1"/>
    <col min="10" max="16384" width="10.81640625" style="32"/>
  </cols>
  <sheetData>
    <row r="1" spans="1:5">
      <c r="A1" s="1" t="s">
        <v>0</v>
      </c>
      <c r="B1" s="33" t="s">
        <v>1</v>
      </c>
      <c r="C1" s="34" t="s">
        <v>2</v>
      </c>
      <c r="D1" s="3" t="s">
        <v>3</v>
      </c>
      <c r="E1" s="3"/>
    </row>
    <row r="2" spans="1:5">
      <c r="A2" s="1" t="s">
        <v>4</v>
      </c>
    </row>
    <row r="3" spans="1:5">
      <c r="A3" s="6" t="s">
        <v>5</v>
      </c>
    </row>
    <row r="4" spans="1:5">
      <c r="A4" s="5" t="s">
        <v>6</v>
      </c>
      <c r="B4" s="32">
        <v>3.7</v>
      </c>
      <c r="D4" s="4"/>
      <c r="E4" s="4"/>
    </row>
    <row r="5" spans="1:5">
      <c r="A5" s="5" t="s">
        <v>7</v>
      </c>
      <c r="B5" s="32">
        <v>7.81</v>
      </c>
    </row>
    <row r="6" spans="1:5">
      <c r="A6" s="5" t="s">
        <v>8</v>
      </c>
      <c r="B6" s="96">
        <v>0.33</v>
      </c>
    </row>
    <row r="7" spans="1:5">
      <c r="A7" s="5" t="s">
        <v>9</v>
      </c>
    </row>
    <row r="8" spans="1:5">
      <c r="A8" s="32" t="s">
        <v>10</v>
      </c>
    </row>
    <row r="9" spans="1:5">
      <c r="A9" s="32" t="s">
        <v>11</v>
      </c>
    </row>
    <row r="10" spans="1:5">
      <c r="A10" s="32" t="s">
        <v>12</v>
      </c>
    </row>
    <row r="11" spans="1:5">
      <c r="A11" s="32" t="s">
        <v>13</v>
      </c>
    </row>
    <row r="12" spans="1:5">
      <c r="A12" s="32" t="s">
        <v>14</v>
      </c>
      <c r="B12" s="32">
        <v>7.49</v>
      </c>
    </row>
    <row r="13" spans="1:5">
      <c r="A13" s="32" t="s">
        <v>15</v>
      </c>
    </row>
    <row r="14" spans="1:5">
      <c r="A14" s="5" t="s">
        <v>16</v>
      </c>
      <c r="B14" s="32">
        <v>0.05</v>
      </c>
    </row>
    <row r="15" spans="1:5">
      <c r="A15" s="5" t="s">
        <v>17</v>
      </c>
      <c r="B15" s="32">
        <v>1.82</v>
      </c>
    </row>
    <row r="16" spans="1:5">
      <c r="A16" s="32" t="s">
        <v>18</v>
      </c>
    </row>
    <row r="17" spans="1:5">
      <c r="A17" s="32" t="s">
        <v>19</v>
      </c>
    </row>
    <row r="18" spans="1:5">
      <c r="A18" s="5" t="s">
        <v>20</v>
      </c>
    </row>
    <row r="19" spans="1:5">
      <c r="A19" s="5" t="s">
        <v>21</v>
      </c>
      <c r="B19" s="32">
        <v>1.03</v>
      </c>
    </row>
    <row r="20" spans="1:5">
      <c r="A20" s="5" t="s">
        <v>22</v>
      </c>
      <c r="B20" s="32">
        <v>0.71</v>
      </c>
    </row>
    <row r="21" spans="1:5">
      <c r="A21" s="32" t="s">
        <v>23</v>
      </c>
    </row>
    <row r="22" spans="1:5">
      <c r="A22" s="32" t="s">
        <v>24</v>
      </c>
      <c r="D22" s="44"/>
    </row>
    <row r="23" spans="1:5">
      <c r="A23" s="37" t="s">
        <v>25</v>
      </c>
      <c r="B23" s="35">
        <f>SUM(B5:B11)</f>
        <v>8.1399999999999988</v>
      </c>
      <c r="C23" s="36"/>
    </row>
    <row r="24" spans="1:5">
      <c r="A24" s="38" t="s">
        <v>26</v>
      </c>
      <c r="B24">
        <f>SUM(B4:B11)</f>
        <v>11.84</v>
      </c>
      <c r="D24" s="4"/>
      <c r="E24" s="4"/>
    </row>
    <row r="25" spans="1:5">
      <c r="A25" s="39" t="s">
        <v>27</v>
      </c>
      <c r="B25" s="32">
        <f>Receipts!F47</f>
        <v>19.240000000000002</v>
      </c>
      <c r="C25" s="2">
        <f>B23-B25</f>
        <v>-11.100000000000003</v>
      </c>
    </row>
    <row r="26" spans="1:5">
      <c r="A26" s="39" t="s">
        <v>28</v>
      </c>
      <c r="B26">
        <f>Receipts!F48</f>
        <v>22.94</v>
      </c>
      <c r="D26" s="4"/>
      <c r="E26" s="4"/>
    </row>
    <row r="27" spans="1:5">
      <c r="A27" s="5"/>
    </row>
    <row r="28" spans="1:5">
      <c r="A28" s="5"/>
    </row>
    <row r="29" spans="1:5">
      <c r="A29" s="6" t="s">
        <v>29</v>
      </c>
    </row>
    <row r="30" spans="1:5">
      <c r="A30" s="5" t="s">
        <v>30</v>
      </c>
      <c r="B30">
        <v>0</v>
      </c>
    </row>
    <row r="31" spans="1:5">
      <c r="A31" s="5" t="s">
        <v>31</v>
      </c>
    </row>
    <row r="32" spans="1:5">
      <c r="A32" s="5" t="s">
        <v>32</v>
      </c>
    </row>
    <row r="33" spans="1:4">
      <c r="A33" s="5" t="s">
        <v>33</v>
      </c>
    </row>
    <row r="34" spans="1:4">
      <c r="A34" s="5" t="s">
        <v>34</v>
      </c>
      <c r="B34">
        <v>8.58</v>
      </c>
    </row>
    <row r="35" spans="1:4">
      <c r="A35" s="5" t="s">
        <v>35</v>
      </c>
    </row>
    <row r="36" spans="1:4">
      <c r="A36" s="5" t="s">
        <v>36</v>
      </c>
      <c r="B36" s="40"/>
    </row>
    <row r="37" spans="1:4">
      <c r="A37" s="5" t="s">
        <v>37</v>
      </c>
    </row>
    <row r="38" spans="1:4">
      <c r="A38" s="5" t="s">
        <v>38</v>
      </c>
    </row>
    <row r="39" spans="1:4">
      <c r="A39" s="5" t="s">
        <v>39</v>
      </c>
    </row>
    <row r="40" spans="1:4">
      <c r="A40" s="5" t="s">
        <v>40</v>
      </c>
    </row>
    <row r="41" spans="1:4">
      <c r="A41" s="5" t="s">
        <v>41</v>
      </c>
      <c r="B41" s="40"/>
    </row>
    <row r="42" spans="1:4">
      <c r="A42" s="5" t="s">
        <v>42</v>
      </c>
      <c r="B42" s="40"/>
    </row>
    <row r="43" spans="1:4">
      <c r="A43" s="41" t="s">
        <v>43</v>
      </c>
      <c r="B43" s="42"/>
      <c r="C43" s="43"/>
      <c r="D43" s="44"/>
    </row>
    <row r="44" spans="1:4">
      <c r="A44" s="38" t="s">
        <v>44</v>
      </c>
      <c r="B44" s="40">
        <f>Expenses!F23</f>
        <v>10.78</v>
      </c>
    </row>
    <row r="45" spans="1:4">
      <c r="A45" s="38" t="s">
        <v>45</v>
      </c>
      <c r="B45" s="40">
        <f>Expenses!F24</f>
        <v>8.58</v>
      </c>
    </row>
    <row r="46" spans="1:4">
      <c r="A46" s="38" t="s">
        <v>46</v>
      </c>
      <c r="B46" s="103">
        <f>B34</f>
        <v>8.58</v>
      </c>
    </row>
    <row r="47" spans="1:4">
      <c r="A47" s="38" t="s">
        <v>47</v>
      </c>
      <c r="B47" s="103">
        <v>0</v>
      </c>
    </row>
    <row r="48" spans="1:4">
      <c r="A48" s="3"/>
    </row>
    <row r="49" spans="1:6">
      <c r="A49" s="8" t="s">
        <v>48</v>
      </c>
      <c r="B49" s="40">
        <f>B23-B45</f>
        <v>-0.44000000000000128</v>
      </c>
    </row>
    <row r="50" spans="1:6">
      <c r="A50" s="8" t="s">
        <v>49</v>
      </c>
      <c r="B50" s="40">
        <v>20.45</v>
      </c>
    </row>
    <row r="51" spans="1:6">
      <c r="A51" s="5"/>
    </row>
    <row r="52" spans="1:6">
      <c r="A52" s="8" t="s">
        <v>50</v>
      </c>
      <c r="B52" s="40"/>
    </row>
    <row r="53" spans="1:6">
      <c r="A53" s="8" t="s">
        <v>51</v>
      </c>
      <c r="B53" s="40">
        <v>13.49</v>
      </c>
    </row>
    <row r="54" spans="1:6">
      <c r="A54" s="9" t="s">
        <v>52</v>
      </c>
      <c r="B54" s="40">
        <f>SUM(B52:B53)</f>
        <v>13.49</v>
      </c>
    </row>
    <row r="55" spans="1:6">
      <c r="A55" s="10" t="s">
        <v>53</v>
      </c>
    </row>
    <row r="56" spans="1:6">
      <c r="A56" s="5"/>
    </row>
    <row r="57" spans="1:6">
      <c r="A57" s="8" t="s">
        <v>54</v>
      </c>
      <c r="B57" s="40">
        <f>B50-B54</f>
        <v>6.9599999999999991</v>
      </c>
    </row>
    <row r="58" spans="1:6">
      <c r="A58" s="8" t="s">
        <v>55</v>
      </c>
    </row>
    <row r="59" spans="1:6">
      <c r="A59" s="5"/>
    </row>
    <row r="60" spans="1:6">
      <c r="A60" s="6" t="s">
        <v>56</v>
      </c>
      <c r="B60" s="97" t="s">
        <v>57</v>
      </c>
      <c r="C60" s="98"/>
      <c r="D60" s="73" t="s">
        <v>58</v>
      </c>
      <c r="E60" s="73" t="s">
        <v>59</v>
      </c>
    </row>
    <row r="61" spans="1:6">
      <c r="A61" s="1" t="s">
        <v>60</v>
      </c>
      <c r="B61" s="45" t="s">
        <v>61</v>
      </c>
      <c r="C61" s="46" t="s">
        <v>62</v>
      </c>
    </row>
    <row r="62" spans="1:6">
      <c r="A62" s="32" t="s">
        <v>63</v>
      </c>
      <c r="B62">
        <v>0</v>
      </c>
      <c r="C62">
        <v>0</v>
      </c>
      <c r="E62">
        <v>0</v>
      </c>
      <c r="F62" s="4"/>
    </row>
    <row r="63" spans="1:6">
      <c r="A63" s="32" t="s">
        <v>64</v>
      </c>
      <c r="B63">
        <v>0</v>
      </c>
      <c r="C63">
        <v>0</v>
      </c>
      <c r="E63">
        <v>0</v>
      </c>
      <c r="F63" s="4"/>
    </row>
    <row r="64" spans="1:6">
      <c r="A64" s="32" t="s">
        <v>65</v>
      </c>
      <c r="B64">
        <v>0</v>
      </c>
      <c r="C64">
        <v>0</v>
      </c>
      <c r="E64">
        <v>0</v>
      </c>
      <c r="F64" s="4"/>
    </row>
    <row r="65" spans="1:6">
      <c r="A65" s="32" t="s">
        <v>66</v>
      </c>
      <c r="B65">
        <v>0</v>
      </c>
      <c r="C65">
        <v>0</v>
      </c>
      <c r="E65">
        <v>0</v>
      </c>
      <c r="F65" s="4"/>
    </row>
    <row r="66" spans="1:6">
      <c r="A66" s="32" t="s">
        <v>67</v>
      </c>
      <c r="B66">
        <v>0</v>
      </c>
      <c r="C66">
        <v>0</v>
      </c>
      <c r="E66">
        <v>0</v>
      </c>
      <c r="F66" s="4"/>
    </row>
    <row r="67" spans="1:6">
      <c r="A67" s="32" t="s">
        <v>68</v>
      </c>
      <c r="B67">
        <v>0</v>
      </c>
      <c r="C67">
        <v>0</v>
      </c>
      <c r="E67">
        <v>0</v>
      </c>
      <c r="F67" s="4"/>
    </row>
    <row r="68" spans="1:6">
      <c r="A68" s="32" t="s">
        <v>69</v>
      </c>
      <c r="B68">
        <v>0</v>
      </c>
      <c r="C68">
        <v>0</v>
      </c>
      <c r="D68">
        <v>0</v>
      </c>
      <c r="E68">
        <v>0</v>
      </c>
      <c r="F68" s="4"/>
    </row>
    <row r="69" spans="1:6">
      <c r="A69" s="32" t="s">
        <v>70</v>
      </c>
      <c r="B69">
        <v>0</v>
      </c>
      <c r="C69">
        <v>0</v>
      </c>
      <c r="E69">
        <v>0</v>
      </c>
      <c r="F69" s="4"/>
    </row>
    <row r="70" spans="1:6">
      <c r="A70" s="32" t="s">
        <v>71</v>
      </c>
      <c r="B70">
        <v>0</v>
      </c>
      <c r="C70">
        <v>0</v>
      </c>
      <c r="E70">
        <v>0</v>
      </c>
    </row>
    <row r="71" spans="1:6">
      <c r="A71" s="7" t="s">
        <v>72</v>
      </c>
      <c r="B71" s="49"/>
      <c r="C71" s="50"/>
      <c r="D71" s="49"/>
      <c r="E71" s="49">
        <f>SUM(D62:D70)</f>
        <v>0</v>
      </c>
    </row>
    <row r="72" spans="1:6">
      <c r="A72" s="7" t="s">
        <v>73</v>
      </c>
      <c r="B72" s="49"/>
      <c r="C72" s="50"/>
      <c r="D72" s="49"/>
      <c r="E72" s="49">
        <f>SUM(E62:E70)</f>
        <v>0</v>
      </c>
    </row>
    <row r="73" spans="1:6">
      <c r="A73" s="7" t="s">
        <v>74</v>
      </c>
      <c r="B73" s="49"/>
      <c r="C73" s="50"/>
      <c r="D73" s="49"/>
      <c r="E73" s="49">
        <v>0</v>
      </c>
    </row>
    <row r="74" spans="1:6">
      <c r="A74" s="5"/>
    </row>
    <row r="75" spans="1:6">
      <c r="A75" s="6" t="s">
        <v>75</v>
      </c>
      <c r="B75" s="97" t="s">
        <v>57</v>
      </c>
      <c r="C75" s="98"/>
      <c r="D75" s="47" t="s">
        <v>1</v>
      </c>
      <c r="E75" s="47"/>
    </row>
    <row r="76" spans="1:6">
      <c r="A76" s="1" t="s">
        <v>76</v>
      </c>
      <c r="B76" s="45" t="s">
        <v>61</v>
      </c>
      <c r="C76" s="46" t="s">
        <v>62</v>
      </c>
    </row>
    <row r="77" spans="1:6">
      <c r="A77" s="5" t="s">
        <v>63</v>
      </c>
      <c r="F77" s="4"/>
    </row>
    <row r="78" spans="1:6">
      <c r="A78" s="5" t="s">
        <v>77</v>
      </c>
    </row>
    <row r="79" spans="1:6">
      <c r="A79" s="5" t="s">
        <v>78</v>
      </c>
    </row>
    <row r="80" spans="1:6">
      <c r="A80" s="5" t="s">
        <v>79</v>
      </c>
    </row>
    <row r="81" spans="1:7">
      <c r="A81" s="5" t="s">
        <v>80</v>
      </c>
    </row>
    <row r="82" spans="1:7">
      <c r="A82" s="7" t="s">
        <v>81</v>
      </c>
      <c r="B82" s="49"/>
      <c r="C82" s="50"/>
      <c r="D82" s="49"/>
      <c r="E82" s="49"/>
    </row>
    <row r="83" spans="1:7">
      <c r="A83" s="7" t="s">
        <v>74</v>
      </c>
      <c r="B83" s="49"/>
      <c r="C83" s="50"/>
      <c r="D83" s="49"/>
      <c r="E83" s="49"/>
    </row>
    <row r="84" spans="1:7">
      <c r="A84" s="5"/>
    </row>
    <row r="85" spans="1:7">
      <c r="A85" s="48" t="s">
        <v>82</v>
      </c>
      <c r="B85" s="49"/>
      <c r="C85" s="50"/>
      <c r="D85" s="49"/>
      <c r="E85" s="49"/>
      <c r="F85" s="49"/>
      <c r="G85" s="49"/>
    </row>
    <row r="86" spans="1:7">
      <c r="A86" s="11" t="s">
        <v>83</v>
      </c>
      <c r="B86" s="51" t="s">
        <v>84</v>
      </c>
      <c r="C86" s="51" t="s">
        <v>85</v>
      </c>
      <c r="D86" s="51" t="s">
        <v>86</v>
      </c>
      <c r="E86" s="51"/>
      <c r="F86" s="51" t="s">
        <v>87</v>
      </c>
      <c r="G86" s="21" t="s">
        <v>88</v>
      </c>
    </row>
    <row r="87" spans="1:7">
      <c r="A87" s="12" t="s">
        <v>89</v>
      </c>
      <c r="B87" s="32">
        <v>0</v>
      </c>
      <c r="C87" s="32">
        <f>Stock!L5</f>
        <v>0</v>
      </c>
      <c r="D87" s="32">
        <f t="shared" ref="D87:D112" si="0">C87-B87</f>
        <v>0</v>
      </c>
      <c r="F87" s="40">
        <f>Stock!L5*Stock!O5</f>
        <v>0</v>
      </c>
      <c r="G87" s="40">
        <f>D87*Stock!O5</f>
        <v>0</v>
      </c>
    </row>
    <row r="88" spans="1:7">
      <c r="A88" s="12" t="s">
        <v>90</v>
      </c>
      <c r="B88" s="32">
        <v>0</v>
      </c>
      <c r="C88" s="32">
        <f>Stock!L6</f>
        <v>0</v>
      </c>
      <c r="D88" s="32">
        <f t="shared" si="0"/>
        <v>0</v>
      </c>
      <c r="F88" s="40">
        <f>Stock!L6*Stock!O6</f>
        <v>0</v>
      </c>
      <c r="G88" s="40">
        <f>D88*Stock!O6</f>
        <v>0</v>
      </c>
    </row>
    <row r="89" spans="1:7">
      <c r="A89" s="5" t="s">
        <v>91</v>
      </c>
      <c r="B89" s="32">
        <v>0</v>
      </c>
      <c r="C89" s="32">
        <f>Stock!L7</f>
        <v>0</v>
      </c>
      <c r="D89" s="32">
        <f t="shared" si="0"/>
        <v>0</v>
      </c>
      <c r="F89" s="40">
        <f>Stock!L7*Stock!O7</f>
        <v>0</v>
      </c>
      <c r="G89" s="40">
        <f>D89*Stock!O7</f>
        <v>0</v>
      </c>
    </row>
    <row r="90" spans="1:7">
      <c r="A90" s="5" t="s">
        <v>92</v>
      </c>
      <c r="B90" s="32">
        <v>0</v>
      </c>
      <c r="C90" s="32">
        <f>Stock!L9</f>
        <v>0</v>
      </c>
      <c r="D90" s="32">
        <f t="shared" si="0"/>
        <v>0</v>
      </c>
      <c r="F90" s="40">
        <f>Stock!L9*Stock!O9</f>
        <v>0</v>
      </c>
      <c r="G90" s="40">
        <f>D90*Stock!O9</f>
        <v>0</v>
      </c>
    </row>
    <row r="91" spans="1:7">
      <c r="A91" s="5" t="s">
        <v>92</v>
      </c>
      <c r="B91" s="32">
        <v>0</v>
      </c>
      <c r="C91" s="32">
        <f>Stock!L9</f>
        <v>0</v>
      </c>
      <c r="D91" s="32">
        <f t="shared" si="0"/>
        <v>0</v>
      </c>
      <c r="F91" s="40">
        <f>Stock!L9*Stock!O9</f>
        <v>0</v>
      </c>
      <c r="G91" s="40">
        <f>D91*Stock!O9</f>
        <v>0</v>
      </c>
    </row>
    <row r="92" spans="1:7">
      <c r="A92" s="5" t="s">
        <v>93</v>
      </c>
      <c r="B92" s="32">
        <v>0</v>
      </c>
      <c r="C92" s="32">
        <f>Stock!L10</f>
        <v>0</v>
      </c>
      <c r="D92" s="32">
        <f t="shared" si="0"/>
        <v>0</v>
      </c>
      <c r="F92" s="40">
        <f>Stock!L10*Stock!O10</f>
        <v>0</v>
      </c>
      <c r="G92" s="40">
        <f>D92*Stock!O10</f>
        <v>0</v>
      </c>
    </row>
    <row r="93" spans="1:7">
      <c r="A93" s="5" t="s">
        <v>94</v>
      </c>
      <c r="B93" s="32">
        <v>0</v>
      </c>
      <c r="C93" s="32">
        <f>Stock!L11</f>
        <v>0</v>
      </c>
      <c r="D93" s="32">
        <f t="shared" si="0"/>
        <v>0</v>
      </c>
      <c r="F93" s="40">
        <f>Stock!L11*Stock!O11</f>
        <v>0</v>
      </c>
      <c r="G93" s="40">
        <f>D93*Stock!O11</f>
        <v>0</v>
      </c>
    </row>
    <row r="94" spans="1:7">
      <c r="A94" s="5" t="s">
        <v>95</v>
      </c>
      <c r="B94" s="32">
        <v>6</v>
      </c>
      <c r="C94" s="32">
        <f>Stock!L12</f>
        <v>6</v>
      </c>
      <c r="D94" s="32">
        <f t="shared" si="0"/>
        <v>0</v>
      </c>
      <c r="F94" s="40">
        <f>Stock!L12*Stock!O12</f>
        <v>0</v>
      </c>
      <c r="G94" s="40">
        <f>D94*Stock!O12</f>
        <v>0</v>
      </c>
    </row>
    <row r="95" spans="1:7">
      <c r="A95" s="5" t="s">
        <v>96</v>
      </c>
      <c r="B95" s="32">
        <v>0</v>
      </c>
      <c r="C95" s="32">
        <f>Stock!L13</f>
        <v>0</v>
      </c>
      <c r="D95" s="32">
        <f t="shared" si="0"/>
        <v>0</v>
      </c>
      <c r="F95" s="40">
        <f>Stock!L13*Stock!O13</f>
        <v>0</v>
      </c>
      <c r="G95" s="40">
        <f>D95*Stock!O13</f>
        <v>0</v>
      </c>
    </row>
    <row r="96" spans="1:7">
      <c r="A96" s="5" t="s">
        <v>97</v>
      </c>
      <c r="B96" s="32">
        <v>0</v>
      </c>
      <c r="C96" s="32">
        <f>Stock!L14</f>
        <v>0</v>
      </c>
      <c r="D96" s="32">
        <f t="shared" si="0"/>
        <v>0</v>
      </c>
      <c r="F96" s="40">
        <f>Stock!L14*Stock!O14</f>
        <v>0</v>
      </c>
      <c r="G96" s="40">
        <f>D96*Stock!O14</f>
        <v>0</v>
      </c>
    </row>
    <row r="97" spans="1:7">
      <c r="A97" s="5" t="s">
        <v>98</v>
      </c>
      <c r="B97" s="32">
        <v>0</v>
      </c>
      <c r="C97" s="32">
        <f>Stock!L15</f>
        <v>0</v>
      </c>
      <c r="D97" s="32">
        <f t="shared" si="0"/>
        <v>0</v>
      </c>
      <c r="F97" s="40">
        <f>Stock!L15*Stock!O15</f>
        <v>0</v>
      </c>
      <c r="G97" s="40">
        <f>D97*Stock!O15</f>
        <v>0</v>
      </c>
    </row>
    <row r="98" spans="1:7">
      <c r="A98" s="5" t="s">
        <v>99</v>
      </c>
      <c r="B98" s="32">
        <v>0</v>
      </c>
      <c r="C98" s="32">
        <f>Stock!L16</f>
        <v>0</v>
      </c>
      <c r="D98" s="32">
        <f t="shared" si="0"/>
        <v>0</v>
      </c>
      <c r="F98" s="40">
        <f>Stock!L16*Stock!O16</f>
        <v>0</v>
      </c>
      <c r="G98" s="40">
        <f>D98*Stock!O16</f>
        <v>0</v>
      </c>
    </row>
    <row r="99" spans="1:7">
      <c r="A99" s="5" t="s">
        <v>100</v>
      </c>
      <c r="B99" s="32">
        <v>0</v>
      </c>
      <c r="C99" s="32">
        <f>Stock!L17</f>
        <v>0</v>
      </c>
      <c r="D99" s="32">
        <f t="shared" si="0"/>
        <v>0</v>
      </c>
      <c r="F99" s="40">
        <f>Stock!L17*Stock!O17</f>
        <v>0</v>
      </c>
      <c r="G99" s="40">
        <f>D99*Stock!O17</f>
        <v>0</v>
      </c>
    </row>
    <row r="100" spans="1:7">
      <c r="A100" s="5" t="s">
        <v>101</v>
      </c>
      <c r="B100" s="32">
        <v>0</v>
      </c>
      <c r="C100" s="32">
        <f>Stock!L18</f>
        <v>0</v>
      </c>
      <c r="D100" s="32">
        <f t="shared" si="0"/>
        <v>0</v>
      </c>
      <c r="F100" s="40">
        <f>Stock!L18*Stock!O18</f>
        <v>0</v>
      </c>
      <c r="G100" s="40">
        <f>D100*Stock!O18</f>
        <v>0</v>
      </c>
    </row>
    <row r="101" spans="1:7">
      <c r="A101" s="5" t="s">
        <v>102</v>
      </c>
      <c r="B101" s="32">
        <v>500</v>
      </c>
      <c r="C101" s="32">
        <f>Stock!L19</f>
        <v>435</v>
      </c>
      <c r="D101" s="32">
        <f t="shared" si="0"/>
        <v>-65</v>
      </c>
      <c r="F101" s="40">
        <f>Stock!L19*Stock!O19</f>
        <v>36.235500000000002</v>
      </c>
      <c r="G101" s="40">
        <f>D101*Stock!O19</f>
        <v>-5.4145000000000003</v>
      </c>
    </row>
    <row r="102" spans="1:7">
      <c r="A102" s="5" t="s">
        <v>103</v>
      </c>
      <c r="B102" s="32">
        <v>0</v>
      </c>
      <c r="C102" s="32">
        <f>Stock!L20</f>
        <v>0</v>
      </c>
      <c r="D102" s="32">
        <f t="shared" si="0"/>
        <v>0</v>
      </c>
      <c r="F102" s="40">
        <f>Stock!L20*Stock!O20</f>
        <v>0</v>
      </c>
      <c r="G102" s="40">
        <f>D102*Stock!O20</f>
        <v>0</v>
      </c>
    </row>
    <row r="103" spans="1:7">
      <c r="A103" s="5" t="s">
        <v>104</v>
      </c>
      <c r="B103" s="32">
        <v>0</v>
      </c>
      <c r="C103" s="32">
        <f>Stock!L21</f>
        <v>0</v>
      </c>
      <c r="D103" s="32">
        <f t="shared" si="0"/>
        <v>0</v>
      </c>
      <c r="F103" s="40">
        <f>Stock!L21*Stock!O21</f>
        <v>0</v>
      </c>
      <c r="G103" s="40">
        <f>D103*Stock!O21</f>
        <v>0</v>
      </c>
    </row>
    <row r="104" spans="1:7">
      <c r="A104" s="5" t="s">
        <v>105</v>
      </c>
      <c r="B104" s="32">
        <v>0</v>
      </c>
      <c r="C104" s="32">
        <f>Stock!L22</f>
        <v>103</v>
      </c>
      <c r="D104" s="32">
        <f t="shared" si="0"/>
        <v>103</v>
      </c>
      <c r="F104" s="40">
        <f>Stock!L22*Stock!O22</f>
        <v>8.58</v>
      </c>
      <c r="G104" s="40">
        <f>D104*Stock!O22</f>
        <v>8.58</v>
      </c>
    </row>
    <row r="105" spans="1:7">
      <c r="A105" s="5" t="s">
        <v>106</v>
      </c>
      <c r="B105" s="32">
        <v>0</v>
      </c>
      <c r="C105" s="32">
        <f>Stock!L23</f>
        <v>2</v>
      </c>
      <c r="D105" s="32">
        <f t="shared" si="0"/>
        <v>2</v>
      </c>
      <c r="F105" s="40">
        <f>Stock!L23*Stock!O23</f>
        <v>0</v>
      </c>
      <c r="G105" s="40">
        <f>D105*Stock!O23</f>
        <v>0</v>
      </c>
    </row>
    <row r="106" spans="1:7">
      <c r="A106" s="5" t="s">
        <v>107</v>
      </c>
      <c r="B106" s="32">
        <v>0</v>
      </c>
      <c r="C106" s="32">
        <f>Stock!L24</f>
        <v>0</v>
      </c>
      <c r="D106" s="32">
        <f t="shared" si="0"/>
        <v>0</v>
      </c>
      <c r="F106" s="40">
        <f>Stock!L24*Stock!O24</f>
        <v>0</v>
      </c>
      <c r="G106" s="40">
        <f>D106*Stock!O24</f>
        <v>0</v>
      </c>
    </row>
    <row r="107" spans="1:7">
      <c r="A107" s="5" t="s">
        <v>108</v>
      </c>
      <c r="B107" s="32">
        <v>0</v>
      </c>
      <c r="C107" s="32">
        <f>Stock!L25</f>
        <v>0</v>
      </c>
      <c r="D107" s="32">
        <f t="shared" si="0"/>
        <v>0</v>
      </c>
      <c r="F107" s="40">
        <f>Stock!L25*Stock!O25</f>
        <v>0</v>
      </c>
      <c r="G107" s="40">
        <f>D107*Stock!O25</f>
        <v>0</v>
      </c>
    </row>
    <row r="108" spans="1:7">
      <c r="A108" s="5" t="s">
        <v>109</v>
      </c>
      <c r="B108" s="32">
        <v>0</v>
      </c>
      <c r="C108" s="32">
        <f>Stock!L26</f>
        <v>0</v>
      </c>
      <c r="D108" s="32">
        <f t="shared" si="0"/>
        <v>0</v>
      </c>
      <c r="F108" s="40">
        <f>Stock!L26*Stock!O26</f>
        <v>0</v>
      </c>
      <c r="G108" s="40">
        <f>D108*Stock!O26</f>
        <v>0</v>
      </c>
    </row>
    <row r="109" spans="1:7">
      <c r="A109" s="5" t="s">
        <v>110</v>
      </c>
      <c r="B109" s="32">
        <v>0</v>
      </c>
      <c r="C109" s="32">
        <f>Stock!L27</f>
        <v>0</v>
      </c>
      <c r="D109" s="32">
        <f t="shared" si="0"/>
        <v>0</v>
      </c>
      <c r="F109" s="40">
        <f>Stock!L27*Stock!O27</f>
        <v>0</v>
      </c>
      <c r="G109" s="40">
        <f>D109*Stock!O27</f>
        <v>0</v>
      </c>
    </row>
    <row r="110" spans="1:7">
      <c r="A110" s="5" t="s">
        <v>111</v>
      </c>
      <c r="B110" s="32">
        <v>0</v>
      </c>
      <c r="C110" s="32">
        <f>Stock!L28</f>
        <v>0</v>
      </c>
      <c r="D110" s="32">
        <f t="shared" si="0"/>
        <v>0</v>
      </c>
      <c r="F110" s="40">
        <f>Stock!L28*Stock!O28</f>
        <v>0</v>
      </c>
      <c r="G110" s="40">
        <f>D110*Stock!O28</f>
        <v>0</v>
      </c>
    </row>
    <row r="111" spans="1:7">
      <c r="A111" s="5" t="s">
        <v>112</v>
      </c>
      <c r="B111" s="32">
        <v>0</v>
      </c>
      <c r="C111" s="32">
        <f>Stock!L29</f>
        <v>0</v>
      </c>
      <c r="D111" s="32">
        <f t="shared" si="0"/>
        <v>0</v>
      </c>
      <c r="F111" s="40">
        <f>Stock!L29*Stock!O29</f>
        <v>0</v>
      </c>
      <c r="G111" s="40">
        <f>D111*Stock!O29</f>
        <v>0</v>
      </c>
    </row>
    <row r="112" spans="1:7">
      <c r="A112" s="5" t="s">
        <v>113</v>
      </c>
      <c r="B112" s="32">
        <v>0</v>
      </c>
      <c r="C112" s="32">
        <f>Stock!L30</f>
        <v>0</v>
      </c>
      <c r="D112" s="32">
        <f t="shared" si="0"/>
        <v>0</v>
      </c>
      <c r="F112" s="40">
        <f>Stock!L30*Stock!O30</f>
        <v>0</v>
      </c>
      <c r="G112" s="40">
        <f>D112*Stock!O30</f>
        <v>0</v>
      </c>
    </row>
    <row r="113" spans="1:7">
      <c r="A113" s="7" t="s">
        <v>114</v>
      </c>
      <c r="B113" s="49"/>
      <c r="C113" s="50"/>
      <c r="D113" s="49"/>
      <c r="E113" s="49"/>
      <c r="F113" s="63">
        <f>SUM(F87:F112)</f>
        <v>44.8155</v>
      </c>
      <c r="G113" s="63">
        <f>SUM(G87:G112)</f>
        <v>3.1654999999999998</v>
      </c>
    </row>
    <row r="114" spans="1:7">
      <c r="A114" s="7" t="s">
        <v>115</v>
      </c>
      <c r="B114" s="49"/>
      <c r="C114" s="50"/>
      <c r="D114" s="49"/>
      <c r="E114" s="49"/>
      <c r="F114" s="63">
        <f>SUM(Stock!T5:T30)</f>
        <v>8.58</v>
      </c>
      <c r="G114" s="63"/>
    </row>
    <row r="115" spans="1:7">
      <c r="A115" s="7" t="s">
        <v>74</v>
      </c>
      <c r="B115" s="49"/>
      <c r="C115" s="50"/>
      <c r="D115" s="49"/>
      <c r="E115" s="49"/>
      <c r="F115" s="63">
        <f>SUM(Stock!R5:R30)</f>
        <v>0</v>
      </c>
      <c r="G115" s="63"/>
    </row>
    <row r="116" spans="1:7">
      <c r="A116" s="5"/>
    </row>
    <row r="117" spans="1:7">
      <c r="A117" s="6" t="s">
        <v>116</v>
      </c>
      <c r="B117" s="51" t="s">
        <v>84</v>
      </c>
      <c r="C117" s="51" t="s">
        <v>85</v>
      </c>
      <c r="D117" s="51" t="s">
        <v>86</v>
      </c>
      <c r="E117" s="51"/>
      <c r="F117" s="51" t="s">
        <v>87</v>
      </c>
    </row>
    <row r="118" spans="1:7">
      <c r="A118" s="12" t="s">
        <v>117</v>
      </c>
      <c r="B118">
        <v>0</v>
      </c>
      <c r="C118">
        <v>0</v>
      </c>
      <c r="D118">
        <v>0</v>
      </c>
      <c r="G118" s="52"/>
    </row>
    <row r="119" spans="1:7">
      <c r="A119" s="5" t="s">
        <v>118</v>
      </c>
      <c r="B119">
        <v>0</v>
      </c>
      <c r="C119">
        <v>0</v>
      </c>
      <c r="D119">
        <v>0</v>
      </c>
    </row>
    <row r="120" spans="1:7">
      <c r="A120" s="5" t="s">
        <v>119</v>
      </c>
      <c r="B120">
        <v>0</v>
      </c>
      <c r="C120">
        <v>0</v>
      </c>
      <c r="D120">
        <v>0</v>
      </c>
    </row>
    <row r="121" spans="1:7">
      <c r="A121" s="5" t="s">
        <v>120</v>
      </c>
      <c r="B121">
        <v>0</v>
      </c>
      <c r="C121">
        <v>0</v>
      </c>
      <c r="D121">
        <v>0</v>
      </c>
    </row>
    <row r="122" spans="1:7">
      <c r="A122" s="5" t="s">
        <v>121</v>
      </c>
      <c r="B122">
        <v>0</v>
      </c>
      <c r="C122">
        <v>0</v>
      </c>
      <c r="D122">
        <v>0</v>
      </c>
    </row>
    <row r="123" spans="1:7">
      <c r="A123" s="75" t="s">
        <v>81</v>
      </c>
      <c r="B123" s="49"/>
      <c r="C123" s="50"/>
      <c r="D123" s="49"/>
      <c r="E123" s="49"/>
      <c r="F123" s="49">
        <f>SUM(F118:F122)</f>
        <v>0</v>
      </c>
    </row>
    <row r="124" spans="1:7">
      <c r="A124" s="75" t="s">
        <v>74</v>
      </c>
      <c r="B124" s="49"/>
      <c r="C124" s="50"/>
      <c r="D124" s="49"/>
      <c r="E124" s="49"/>
      <c r="F124" s="49"/>
    </row>
    <row r="125" spans="1:7">
      <c r="A125" s="1"/>
    </row>
    <row r="126" spans="1:7">
      <c r="A126" s="6" t="s">
        <v>122</v>
      </c>
      <c r="B126" s="51" t="s">
        <v>84</v>
      </c>
      <c r="C126" s="51" t="s">
        <v>85</v>
      </c>
      <c r="D126" s="51" t="s">
        <v>86</v>
      </c>
      <c r="E126" s="51"/>
      <c r="F126" s="51" t="s">
        <v>87</v>
      </c>
    </row>
    <row r="127" spans="1:7">
      <c r="A127" s="5" t="s">
        <v>123</v>
      </c>
      <c r="B127">
        <v>0</v>
      </c>
      <c r="C127">
        <v>0</v>
      </c>
      <c r="D127">
        <v>0</v>
      </c>
      <c r="G127" s="52"/>
    </row>
    <row r="128" spans="1:7">
      <c r="A128" s="5" t="s">
        <v>124</v>
      </c>
      <c r="B128">
        <v>0</v>
      </c>
      <c r="C128">
        <v>0</v>
      </c>
      <c r="D128">
        <v>0</v>
      </c>
    </row>
    <row r="129" spans="1:4">
      <c r="A129" s="5" t="s">
        <v>125</v>
      </c>
      <c r="B129">
        <v>0</v>
      </c>
      <c r="C129">
        <v>0</v>
      </c>
      <c r="D129">
        <v>0</v>
      </c>
    </row>
    <row r="130" spans="1:4">
      <c r="A130" s="5" t="s">
        <v>126</v>
      </c>
      <c r="B130">
        <v>0</v>
      </c>
      <c r="C130">
        <v>0</v>
      </c>
      <c r="D130">
        <v>0</v>
      </c>
    </row>
    <row r="131" spans="1:4">
      <c r="A131" s="5" t="s">
        <v>127</v>
      </c>
      <c r="B131">
        <v>0</v>
      </c>
      <c r="C131">
        <v>0</v>
      </c>
      <c r="D131">
        <v>0</v>
      </c>
    </row>
    <row r="132" spans="1:4">
      <c r="A132" s="5" t="s">
        <v>128</v>
      </c>
      <c r="B132">
        <v>0</v>
      </c>
      <c r="C132">
        <v>0</v>
      </c>
      <c r="D132">
        <v>0</v>
      </c>
    </row>
    <row r="133" spans="1:4">
      <c r="A133" s="13" t="s">
        <v>129</v>
      </c>
      <c r="B133">
        <v>0</v>
      </c>
      <c r="C133">
        <v>0</v>
      </c>
      <c r="D133">
        <v>0</v>
      </c>
    </row>
    <row r="134" spans="1:4">
      <c r="A134" s="14" t="s">
        <v>130</v>
      </c>
    </row>
    <row r="135" spans="1:4">
      <c r="A135" s="14" t="s">
        <v>131</v>
      </c>
    </row>
    <row r="136" spans="1:4">
      <c r="A136" s="14" t="s">
        <v>132</v>
      </c>
    </row>
    <row r="137" spans="1:4">
      <c r="A137" s="14" t="s">
        <v>133</v>
      </c>
    </row>
    <row r="138" spans="1:4">
      <c r="A138" s="15" t="s">
        <v>134</v>
      </c>
      <c r="B138">
        <v>0</v>
      </c>
      <c r="C138">
        <v>0</v>
      </c>
      <c r="D138">
        <v>0</v>
      </c>
    </row>
    <row r="139" spans="1:4">
      <c r="A139" s="14" t="s">
        <v>135</v>
      </c>
    </row>
    <row r="140" spans="1:4">
      <c r="A140" s="14" t="s">
        <v>136</v>
      </c>
    </row>
    <row r="141" spans="1:4">
      <c r="A141" s="14" t="s">
        <v>137</v>
      </c>
    </row>
    <row r="142" spans="1:4">
      <c r="A142" s="14" t="s">
        <v>138</v>
      </c>
    </row>
    <row r="143" spans="1:4">
      <c r="A143" s="15" t="s">
        <v>139</v>
      </c>
      <c r="B143">
        <v>0</v>
      </c>
      <c r="C143">
        <v>0</v>
      </c>
      <c r="D143">
        <v>0</v>
      </c>
    </row>
    <row r="144" spans="1:4">
      <c r="A144" s="5" t="s">
        <v>140</v>
      </c>
      <c r="B144">
        <v>0</v>
      </c>
      <c r="C144">
        <v>0</v>
      </c>
      <c r="D144">
        <v>0</v>
      </c>
    </row>
    <row r="145" spans="1:7">
      <c r="A145" s="5" t="s">
        <v>141</v>
      </c>
      <c r="B145">
        <v>0</v>
      </c>
      <c r="C145">
        <v>0</v>
      </c>
      <c r="D145">
        <v>0</v>
      </c>
    </row>
    <row r="146" spans="1:7">
      <c r="A146" s="5" t="s">
        <v>142</v>
      </c>
      <c r="B146">
        <v>0</v>
      </c>
      <c r="C146">
        <v>0</v>
      </c>
      <c r="D146">
        <v>0</v>
      </c>
    </row>
    <row r="147" spans="1:7">
      <c r="A147" s="7" t="s">
        <v>81</v>
      </c>
      <c r="B147" s="49"/>
      <c r="C147" s="50"/>
      <c r="D147" s="49"/>
      <c r="E147" s="49"/>
      <c r="F147" s="49"/>
    </row>
    <row r="148" spans="1:7">
      <c r="A148" s="7" t="s">
        <v>74</v>
      </c>
      <c r="B148" s="49"/>
      <c r="C148" s="50"/>
      <c r="D148" s="49"/>
      <c r="E148" s="49"/>
      <c r="F148" s="49"/>
    </row>
    <row r="149" spans="1:7">
      <c r="A149" s="5"/>
    </row>
    <row r="150" spans="1:7">
      <c r="A150" s="6" t="s">
        <v>143</v>
      </c>
      <c r="B150" s="51" t="s">
        <v>84</v>
      </c>
      <c r="C150" s="51" t="s">
        <v>85</v>
      </c>
      <c r="D150" s="51" t="s">
        <v>86</v>
      </c>
      <c r="E150" s="51"/>
      <c r="F150" s="51" t="s">
        <v>87</v>
      </c>
    </row>
    <row r="151" spans="1:7">
      <c r="A151" s="12" t="s">
        <v>144</v>
      </c>
      <c r="B151" s="32">
        <f>Stock!B67</f>
        <v>0</v>
      </c>
      <c r="C151" s="32">
        <f>Stock!B67-Stock!M67</f>
        <v>0</v>
      </c>
      <c r="D151" s="32">
        <f>B151-C151</f>
        <v>0</v>
      </c>
      <c r="F151" s="32">
        <f>Stock!Q67</f>
        <v>0</v>
      </c>
      <c r="G151" s="52"/>
    </row>
    <row r="152" spans="1:7">
      <c r="A152" s="5" t="s">
        <v>145</v>
      </c>
      <c r="B152" s="32">
        <f>Stock!B68</f>
        <v>0</v>
      </c>
      <c r="C152" s="32">
        <f>Stock!B68-Stock!M68</f>
        <v>0</v>
      </c>
      <c r="D152" s="32">
        <f>B152-C152</f>
        <v>0</v>
      </c>
      <c r="F152" s="32">
        <f>Stock!Q68</f>
        <v>0</v>
      </c>
    </row>
    <row r="153" spans="1:7">
      <c r="A153" s="5" t="s">
        <v>146</v>
      </c>
      <c r="B153" s="32">
        <v>0</v>
      </c>
      <c r="C153" s="32">
        <f>Stock!B69-Stock!M69</f>
        <v>0</v>
      </c>
      <c r="D153" s="32">
        <f>B153-C153</f>
        <v>0</v>
      </c>
      <c r="F153" s="32">
        <f>Stock!Q69</f>
        <v>0</v>
      </c>
    </row>
    <row r="154" spans="1:7">
      <c r="A154" s="5" t="s">
        <v>147</v>
      </c>
      <c r="B154" s="32">
        <v>0</v>
      </c>
      <c r="C154" s="32">
        <f>Stock!B70-Stock!M70</f>
        <v>10</v>
      </c>
      <c r="D154" s="32">
        <f>B154-C154</f>
        <v>-10</v>
      </c>
      <c r="F154" s="32">
        <f>Stock!Q70</f>
        <v>0</v>
      </c>
    </row>
    <row r="155" spans="1:7">
      <c r="A155" s="75" t="s">
        <v>81</v>
      </c>
      <c r="B155" s="49"/>
      <c r="C155" s="49"/>
      <c r="D155" s="49"/>
      <c r="E155" s="49"/>
      <c r="F155" s="49">
        <f>SUM(F151:F154)</f>
        <v>0</v>
      </c>
    </row>
    <row r="156" spans="1:7">
      <c r="A156" s="75" t="s">
        <v>74</v>
      </c>
      <c r="B156" s="49"/>
      <c r="C156" s="50"/>
      <c r="D156" s="49"/>
      <c r="E156" s="49"/>
      <c r="F156" s="49">
        <f>SUM(Stock!R67:R70)</f>
        <v>0.89</v>
      </c>
    </row>
    <row r="157" spans="1:7">
      <c r="A157" s="5"/>
    </row>
    <row r="158" spans="1:7">
      <c r="A158" s="6" t="s">
        <v>148</v>
      </c>
      <c r="B158" s="51" t="s">
        <v>84</v>
      </c>
      <c r="C158" s="51" t="s">
        <v>85</v>
      </c>
      <c r="D158" s="51" t="s">
        <v>86</v>
      </c>
      <c r="E158" s="51"/>
      <c r="F158" s="51" t="s">
        <v>87</v>
      </c>
    </row>
    <row r="159" spans="1:7">
      <c r="A159" s="5" t="s">
        <v>149</v>
      </c>
      <c r="B159">
        <v>0</v>
      </c>
      <c r="C159">
        <v>0</v>
      </c>
      <c r="D159">
        <v>0</v>
      </c>
      <c r="G159" s="72"/>
    </row>
    <row r="160" spans="1:7">
      <c r="A160" s="5" t="s">
        <v>150</v>
      </c>
      <c r="B160">
        <v>0</v>
      </c>
      <c r="C160">
        <v>0</v>
      </c>
      <c r="D160">
        <v>0</v>
      </c>
    </row>
    <row r="161" spans="1:7">
      <c r="A161" s="5" t="s">
        <v>151</v>
      </c>
      <c r="B161">
        <v>0</v>
      </c>
      <c r="C161">
        <v>0</v>
      </c>
      <c r="D161">
        <v>0</v>
      </c>
    </row>
    <row r="162" spans="1:7">
      <c r="A162" s="7" t="s">
        <v>152</v>
      </c>
      <c r="B162" s="49"/>
      <c r="C162" s="50"/>
      <c r="D162" s="49"/>
      <c r="E162" s="49"/>
      <c r="F162" s="49">
        <f>SUM(F159:F160)</f>
        <v>0</v>
      </c>
    </row>
    <row r="163" spans="1:7">
      <c r="A163" s="7" t="s">
        <v>74</v>
      </c>
      <c r="B163" s="49"/>
      <c r="C163" s="50"/>
      <c r="D163" s="49"/>
      <c r="E163" s="49"/>
      <c r="F163" s="49"/>
    </row>
    <row r="164" spans="1:7">
      <c r="A164" s="5"/>
    </row>
    <row r="165" spans="1:7">
      <c r="A165" s="6" t="s">
        <v>153</v>
      </c>
      <c r="B165" s="51" t="s">
        <v>84</v>
      </c>
      <c r="C165" s="51" t="s">
        <v>85</v>
      </c>
      <c r="D165" s="51" t="s">
        <v>86</v>
      </c>
      <c r="E165" s="51"/>
      <c r="F165" s="51" t="s">
        <v>87</v>
      </c>
    </row>
    <row r="166" spans="1:7">
      <c r="A166" s="5" t="s">
        <v>154</v>
      </c>
      <c r="B166">
        <v>0</v>
      </c>
      <c r="C166">
        <v>0</v>
      </c>
      <c r="D166">
        <v>0</v>
      </c>
      <c r="G166" s="72"/>
    </row>
    <row r="167" spans="1:7">
      <c r="A167" s="5" t="s">
        <v>155</v>
      </c>
      <c r="B167">
        <v>0</v>
      </c>
      <c r="C167">
        <v>0</v>
      </c>
      <c r="D167">
        <v>0</v>
      </c>
    </row>
    <row r="168" spans="1:7">
      <c r="A168" s="5" t="s">
        <v>156</v>
      </c>
      <c r="B168">
        <v>0</v>
      </c>
      <c r="C168">
        <v>0</v>
      </c>
      <c r="D168">
        <v>0</v>
      </c>
    </row>
    <row r="169" spans="1:7">
      <c r="A169" s="7" t="s">
        <v>81</v>
      </c>
      <c r="B169" s="49"/>
      <c r="C169" s="50"/>
      <c r="D169" s="49"/>
      <c r="E169" s="49"/>
      <c r="F169" s="49">
        <f>SUM(F166:F168)</f>
        <v>0</v>
      </c>
    </row>
    <row r="170" spans="1:7">
      <c r="A170" s="7" t="s">
        <v>74</v>
      </c>
      <c r="B170" s="49"/>
      <c r="C170" s="50"/>
      <c r="D170" s="49"/>
      <c r="E170" s="49"/>
      <c r="F170" s="49"/>
    </row>
    <row r="171" spans="1:7">
      <c r="A171" s="5"/>
    </row>
    <row r="172" spans="1:7">
      <c r="A172" s="5"/>
    </row>
    <row r="173" spans="1:7" ht="16" customHeight="1" thickBot="1"/>
    <row r="174" spans="1:7" ht="16" customHeight="1" thickBot="1">
      <c r="A174" s="59"/>
      <c r="B174" s="60" t="s">
        <v>1</v>
      </c>
      <c r="C174" s="61"/>
      <c r="D174" s="64"/>
      <c r="E174" s="64"/>
      <c r="F174" s="65"/>
    </row>
    <row r="175" spans="1:7">
      <c r="A175" s="53" t="s">
        <v>157</v>
      </c>
      <c r="B175" s="66">
        <f>F169+F162+F155+F147+F123+F115+E72</f>
        <v>0</v>
      </c>
      <c r="D175" s="67"/>
      <c r="E175" s="67"/>
      <c r="F175" s="68"/>
    </row>
    <row r="176" spans="1:7">
      <c r="A176" s="54" t="s">
        <v>158</v>
      </c>
      <c r="B176" s="66">
        <f>F170+F163+F156+F148+F124+F115+D73</f>
        <v>0.89</v>
      </c>
      <c r="D176" s="67"/>
      <c r="E176" s="67"/>
      <c r="F176" s="68"/>
    </row>
    <row r="177" spans="1:6">
      <c r="A177" s="54" t="s">
        <v>159</v>
      </c>
      <c r="B177" s="66">
        <f>B15+B18</f>
        <v>1.82</v>
      </c>
      <c r="D177" s="67"/>
      <c r="E177" s="67"/>
      <c r="F177" s="68"/>
    </row>
    <row r="178" spans="1:6">
      <c r="A178" s="54" t="s">
        <v>160</v>
      </c>
      <c r="B178" s="66">
        <f>B175+B12+B13+B14+B16+B17+B19+B20+B21+B22</f>
        <v>9.2800000000000011</v>
      </c>
      <c r="D178" s="67"/>
      <c r="E178" s="67"/>
      <c r="F178" s="68"/>
    </row>
    <row r="179" spans="1:6">
      <c r="A179" s="55"/>
      <c r="B179" s="67"/>
      <c r="D179" s="67"/>
      <c r="E179" s="67"/>
      <c r="F179" s="68"/>
    </row>
    <row r="180" spans="1:6">
      <c r="A180" s="56" t="s">
        <v>161</v>
      </c>
      <c r="B180" s="69" t="e">
        <f>B47/B175</f>
        <v>#DIV/0!</v>
      </c>
      <c r="C180" s="4"/>
      <c r="F180" s="68"/>
    </row>
    <row r="181" spans="1:6">
      <c r="A181" s="54" t="s">
        <v>162</v>
      </c>
      <c r="B181" s="69">
        <f>B47/B178</f>
        <v>0</v>
      </c>
      <c r="D181" s="67"/>
      <c r="E181" s="67"/>
      <c r="F181" s="68"/>
    </row>
    <row r="182" spans="1:6">
      <c r="A182" s="55"/>
      <c r="D182" s="67"/>
      <c r="E182" s="67"/>
      <c r="F182" s="68"/>
    </row>
    <row r="183" spans="1:6" ht="16" customHeight="1" thickBot="1">
      <c r="A183" s="57" t="s">
        <v>163</v>
      </c>
      <c r="B183" s="62" t="s">
        <v>164</v>
      </c>
      <c r="C183" s="58"/>
      <c r="D183" s="70"/>
      <c r="E183" s="70"/>
      <c r="F183" s="71"/>
    </row>
  </sheetData>
  <mergeCells count="2">
    <mergeCell ref="B60:C60"/>
    <mergeCell ref="B75:C7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workbookViewId="0">
      <selection activeCell="C3" sqref="C3"/>
    </sheetView>
  </sheetViews>
  <sheetFormatPr defaultRowHeight="14.5"/>
  <cols>
    <col min="1" max="1" width="41.453125" customWidth="1"/>
    <col min="2" max="2" width="8.81640625" customWidth="1"/>
    <col min="6" max="6" width="12.81640625" customWidth="1"/>
    <col min="7" max="7" width="8.81640625" customWidth="1"/>
    <col min="8" max="8" width="12.453125" customWidth="1"/>
    <col min="9" max="10" width="8.81640625" customWidth="1"/>
  </cols>
  <sheetData>
    <row r="1" spans="1:9" ht="15.5" customHeight="1">
      <c r="A1" s="76" t="s">
        <v>165</v>
      </c>
      <c r="B1" s="77"/>
      <c r="C1" s="77"/>
      <c r="D1" s="77"/>
      <c r="E1" s="77"/>
      <c r="F1" s="77"/>
      <c r="G1" s="77"/>
      <c r="H1" s="77"/>
      <c r="I1" s="77"/>
    </row>
    <row r="2" spans="1:9" ht="15.5" customHeight="1">
      <c r="A2" s="78" t="s">
        <v>166</v>
      </c>
      <c r="B2" s="79" t="s">
        <v>167</v>
      </c>
      <c r="C2" s="80" t="s">
        <v>168</v>
      </c>
      <c r="D2" s="80" t="s">
        <v>169</v>
      </c>
      <c r="E2" s="80"/>
      <c r="F2" s="81" t="s">
        <v>1</v>
      </c>
      <c r="G2" s="82" t="s">
        <v>2</v>
      </c>
      <c r="H2" s="83" t="s">
        <v>170</v>
      </c>
      <c r="I2" s="84" t="s">
        <v>171</v>
      </c>
    </row>
    <row r="3" spans="1:9">
      <c r="A3" s="85" t="s">
        <v>172</v>
      </c>
      <c r="B3" s="77">
        <v>3</v>
      </c>
      <c r="C3" s="77">
        <v>14</v>
      </c>
      <c r="D3" s="77">
        <v>0.75</v>
      </c>
      <c r="E3" s="77"/>
      <c r="F3" s="77">
        <v>3.7</v>
      </c>
      <c r="G3" s="77"/>
      <c r="H3" s="77" t="s">
        <v>173</v>
      </c>
      <c r="I3" s="77"/>
    </row>
    <row r="4" spans="1:9">
      <c r="A4" s="86" t="s">
        <v>172</v>
      </c>
      <c r="B4" s="77">
        <v>3</v>
      </c>
      <c r="C4" s="77">
        <v>14</v>
      </c>
      <c r="D4" s="77">
        <v>0.75</v>
      </c>
      <c r="E4" s="77"/>
      <c r="F4" s="77">
        <v>3.7</v>
      </c>
      <c r="G4" s="77"/>
      <c r="H4" s="77" t="s">
        <v>174</v>
      </c>
      <c r="I4" s="77"/>
    </row>
    <row r="5" spans="1:9">
      <c r="A5" s="87" t="s">
        <v>6</v>
      </c>
      <c r="B5" s="88"/>
      <c r="C5" s="88"/>
      <c r="D5" s="88"/>
      <c r="E5" s="88"/>
      <c r="F5" s="88">
        <v>3.7</v>
      </c>
      <c r="G5" s="88">
        <v>0</v>
      </c>
      <c r="H5" s="88" t="s">
        <v>175</v>
      </c>
      <c r="I5" s="88"/>
    </row>
    <row r="6" spans="1:9">
      <c r="A6" s="86"/>
      <c r="B6" s="77"/>
      <c r="C6" s="77"/>
      <c r="D6" s="77"/>
      <c r="E6" s="77"/>
      <c r="F6" s="77"/>
      <c r="G6" s="77"/>
      <c r="H6" s="77"/>
      <c r="I6" s="77"/>
    </row>
    <row r="7" spans="1:9">
      <c r="A7" s="85" t="s">
        <v>176</v>
      </c>
      <c r="B7" s="77">
        <v>1</v>
      </c>
      <c r="C7" s="77">
        <v>15</v>
      </c>
      <c r="D7" s="77">
        <v>3</v>
      </c>
      <c r="E7" s="77"/>
      <c r="F7" s="77">
        <v>1.76</v>
      </c>
      <c r="G7" s="77"/>
      <c r="H7" s="77" t="s">
        <v>177</v>
      </c>
      <c r="I7" s="77"/>
    </row>
    <row r="8" spans="1:9">
      <c r="A8" s="86" t="s">
        <v>176</v>
      </c>
      <c r="B8" s="77">
        <v>1</v>
      </c>
      <c r="C8" s="77">
        <v>16</v>
      </c>
      <c r="D8" s="77">
        <v>8</v>
      </c>
      <c r="E8" s="77"/>
      <c r="F8" s="77">
        <v>1.83</v>
      </c>
      <c r="G8" s="77"/>
      <c r="H8" s="77" t="s">
        <v>178</v>
      </c>
      <c r="I8" s="77"/>
    </row>
    <row r="9" spans="1:9">
      <c r="A9" s="86" t="s">
        <v>176</v>
      </c>
      <c r="B9" s="77">
        <v>1</v>
      </c>
      <c r="C9" s="77">
        <v>15</v>
      </c>
      <c r="D9" s="77">
        <v>7.25</v>
      </c>
      <c r="E9" s="77"/>
      <c r="F9" s="77">
        <v>1.78</v>
      </c>
      <c r="G9" s="77"/>
      <c r="H9" s="77" t="s">
        <v>179</v>
      </c>
      <c r="I9" s="77"/>
    </row>
    <row r="10" spans="1:9">
      <c r="A10" s="86" t="s">
        <v>176</v>
      </c>
      <c r="B10" s="77">
        <v>2</v>
      </c>
      <c r="C10" s="77">
        <v>8</v>
      </c>
      <c r="D10" s="77">
        <v>10</v>
      </c>
      <c r="E10" s="77"/>
      <c r="F10" s="77">
        <v>2.44</v>
      </c>
      <c r="G10" s="77"/>
      <c r="H10" s="77" t="s">
        <v>180</v>
      </c>
      <c r="I10" s="77"/>
    </row>
    <row r="11" spans="1:9">
      <c r="A11" s="86" t="s">
        <v>176</v>
      </c>
      <c r="B11" s="77">
        <v>7</v>
      </c>
      <c r="C11" s="77">
        <v>16</v>
      </c>
      <c r="D11" s="77">
        <v>5.75</v>
      </c>
      <c r="E11" s="77"/>
      <c r="F11" s="77">
        <v>7.82</v>
      </c>
      <c r="G11" s="77"/>
      <c r="H11" s="77" t="s">
        <v>181</v>
      </c>
      <c r="I11" s="77"/>
    </row>
    <row r="12" spans="1:9">
      <c r="A12" s="87" t="s">
        <v>7</v>
      </c>
      <c r="B12" s="88"/>
      <c r="C12" s="88"/>
      <c r="D12" s="88"/>
      <c r="E12" s="88"/>
      <c r="F12" s="88">
        <v>7.81</v>
      </c>
      <c r="G12" s="88">
        <v>-0.01</v>
      </c>
      <c r="H12" s="88" t="s">
        <v>175</v>
      </c>
      <c r="I12" s="88"/>
    </row>
    <row r="13" spans="1:9">
      <c r="A13" s="86"/>
      <c r="B13" s="77"/>
      <c r="C13" s="77"/>
      <c r="D13" s="77"/>
      <c r="E13" s="77"/>
      <c r="F13" s="77"/>
      <c r="G13" s="77"/>
      <c r="H13" s="77"/>
      <c r="I13" s="77"/>
    </row>
    <row r="14" spans="1:9">
      <c r="A14" s="85" t="s">
        <v>182</v>
      </c>
      <c r="B14" s="77">
        <v>7</v>
      </c>
      <c r="C14" s="77">
        <v>9</v>
      </c>
      <c r="D14" s="77">
        <v>9.75</v>
      </c>
      <c r="E14" s="77"/>
      <c r="F14" s="77">
        <v>7.49</v>
      </c>
      <c r="G14" s="77"/>
      <c r="H14" s="77" t="s">
        <v>183</v>
      </c>
      <c r="I14" s="77"/>
    </row>
    <row r="15" spans="1:9">
      <c r="A15" s="87" t="s">
        <v>14</v>
      </c>
      <c r="B15" s="88"/>
      <c r="C15" s="88"/>
      <c r="D15" s="88"/>
      <c r="E15" s="88"/>
      <c r="F15" s="88">
        <v>7.49</v>
      </c>
      <c r="G15" s="88">
        <v>0</v>
      </c>
      <c r="H15" s="88" t="s">
        <v>175</v>
      </c>
      <c r="I15" s="88"/>
    </row>
    <row r="16" spans="1:9">
      <c r="A16" s="86"/>
      <c r="B16" s="77"/>
      <c r="C16" s="77"/>
      <c r="D16" s="77"/>
      <c r="E16" s="77"/>
      <c r="F16" s="77"/>
      <c r="G16" s="77"/>
      <c r="H16" s="77"/>
      <c r="I16" s="77"/>
    </row>
    <row r="17" spans="1:9">
      <c r="A17" s="85" t="s">
        <v>184</v>
      </c>
      <c r="B17" s="77">
        <v>0</v>
      </c>
      <c r="C17" s="77">
        <v>6</v>
      </c>
      <c r="D17" s="77">
        <v>8</v>
      </c>
      <c r="E17" s="77"/>
      <c r="F17" s="77">
        <v>0.33</v>
      </c>
      <c r="G17" s="77"/>
      <c r="H17" s="77" t="s">
        <v>185</v>
      </c>
      <c r="I17" s="77"/>
    </row>
    <row r="18" spans="1:9">
      <c r="A18" s="86" t="s">
        <v>184</v>
      </c>
      <c r="B18" s="77">
        <v>0</v>
      </c>
      <c r="C18" s="77">
        <v>6</v>
      </c>
      <c r="D18" s="77">
        <v>8</v>
      </c>
      <c r="E18" s="77"/>
      <c r="F18" s="77">
        <v>0.33</v>
      </c>
      <c r="G18" s="77"/>
      <c r="H18" s="77" t="s">
        <v>186</v>
      </c>
      <c r="I18" s="77"/>
    </row>
    <row r="19" spans="1:9">
      <c r="A19" s="87" t="s">
        <v>187</v>
      </c>
      <c r="B19" s="88"/>
      <c r="C19" s="88"/>
      <c r="D19" s="88"/>
      <c r="E19" s="88"/>
      <c r="F19" s="88">
        <v>0.33</v>
      </c>
      <c r="G19" s="88">
        <v>0</v>
      </c>
      <c r="H19" s="88" t="s">
        <v>175</v>
      </c>
      <c r="I19" s="88"/>
    </row>
    <row r="20" spans="1:9">
      <c r="A20" s="86"/>
      <c r="B20" s="77"/>
      <c r="C20" s="77"/>
      <c r="D20" s="77"/>
      <c r="E20" s="77"/>
      <c r="F20" s="77"/>
      <c r="G20" s="77"/>
      <c r="H20" s="77"/>
      <c r="I20" s="77"/>
    </row>
    <row r="21" spans="1:9">
      <c r="A21" s="85" t="s">
        <v>188</v>
      </c>
      <c r="B21" s="77">
        <v>0</v>
      </c>
      <c r="C21" s="77">
        <v>1</v>
      </c>
      <c r="D21" s="77">
        <v>0</v>
      </c>
      <c r="E21" s="77"/>
      <c r="F21" s="77">
        <v>0.05</v>
      </c>
      <c r="G21" s="77"/>
      <c r="H21" s="77" t="s">
        <v>189</v>
      </c>
      <c r="I21" s="77"/>
    </row>
    <row r="22" spans="1:9">
      <c r="A22" s="86" t="s">
        <v>188</v>
      </c>
      <c r="B22" s="77">
        <v>0</v>
      </c>
      <c r="C22" s="77">
        <v>1</v>
      </c>
      <c r="D22" s="77">
        <v>0</v>
      </c>
      <c r="E22" s="77"/>
      <c r="F22" s="77">
        <v>0.05</v>
      </c>
      <c r="G22" s="77"/>
      <c r="H22" s="77" t="s">
        <v>190</v>
      </c>
      <c r="I22" s="77"/>
    </row>
    <row r="23" spans="1:9">
      <c r="A23" s="87" t="s">
        <v>191</v>
      </c>
      <c r="B23" s="88"/>
      <c r="C23" s="88"/>
      <c r="D23" s="88"/>
      <c r="E23" s="88"/>
      <c r="F23" s="88">
        <v>0.05</v>
      </c>
      <c r="G23" s="88">
        <v>0</v>
      </c>
      <c r="H23" s="88" t="s">
        <v>175</v>
      </c>
      <c r="I23" s="88"/>
    </row>
    <row r="24" spans="1:9">
      <c r="A24" s="86"/>
      <c r="B24" s="77"/>
      <c r="C24" s="77"/>
      <c r="D24" s="77"/>
      <c r="E24" s="77"/>
      <c r="F24" s="77"/>
      <c r="G24" s="77"/>
      <c r="H24" s="77"/>
      <c r="I24" s="77"/>
    </row>
    <row r="25" spans="1:9">
      <c r="A25" s="85" t="s">
        <v>192</v>
      </c>
      <c r="B25" s="77">
        <v>0</v>
      </c>
      <c r="C25" s="77">
        <v>2</v>
      </c>
      <c r="D25" s="77">
        <v>7</v>
      </c>
      <c r="E25" s="77"/>
      <c r="F25" s="77">
        <v>0.13</v>
      </c>
      <c r="G25" s="77"/>
      <c r="H25" s="77" t="s">
        <v>193</v>
      </c>
      <c r="I25" s="77"/>
    </row>
    <row r="26" spans="1:9">
      <c r="A26" s="86" t="s">
        <v>192</v>
      </c>
      <c r="B26" s="77">
        <v>0</v>
      </c>
      <c r="C26" s="77">
        <v>1</v>
      </c>
      <c r="D26" s="77">
        <v>0</v>
      </c>
      <c r="E26" s="77"/>
      <c r="F26" s="77">
        <v>0.05</v>
      </c>
      <c r="G26" s="77"/>
      <c r="H26" s="77" t="s">
        <v>194</v>
      </c>
      <c r="I26" s="77"/>
    </row>
    <row r="27" spans="1:9">
      <c r="A27" s="86" t="s">
        <v>192</v>
      </c>
      <c r="B27" s="77">
        <v>0</v>
      </c>
      <c r="C27" s="77">
        <v>5</v>
      </c>
      <c r="D27" s="77">
        <v>8</v>
      </c>
      <c r="E27" s="77"/>
      <c r="F27" s="77">
        <v>0.28000000000000003</v>
      </c>
      <c r="G27" s="77"/>
      <c r="H27" s="77" t="s">
        <v>195</v>
      </c>
      <c r="I27" s="77"/>
    </row>
    <row r="28" spans="1:9">
      <c r="A28" s="86" t="s">
        <v>192</v>
      </c>
      <c r="B28" s="77">
        <v>0</v>
      </c>
      <c r="C28" s="77">
        <v>4</v>
      </c>
      <c r="D28" s="77">
        <v>6</v>
      </c>
      <c r="E28" s="77"/>
      <c r="F28" s="77">
        <v>0.23</v>
      </c>
      <c r="G28" s="77"/>
      <c r="H28" s="77" t="s">
        <v>196</v>
      </c>
      <c r="I28" s="77"/>
    </row>
    <row r="29" spans="1:9">
      <c r="A29" s="86" t="s">
        <v>192</v>
      </c>
      <c r="B29" s="77">
        <v>0</v>
      </c>
      <c r="C29" s="77">
        <v>4</v>
      </c>
      <c r="D29" s="77">
        <v>0</v>
      </c>
      <c r="E29" s="77"/>
      <c r="F29" s="77">
        <v>0.2</v>
      </c>
      <c r="G29" s="77"/>
      <c r="H29" s="77" t="s">
        <v>197</v>
      </c>
      <c r="I29" s="77"/>
    </row>
    <row r="30" spans="1:9">
      <c r="A30" s="86" t="s">
        <v>192</v>
      </c>
      <c r="B30" s="77">
        <v>0</v>
      </c>
      <c r="C30" s="77">
        <v>4</v>
      </c>
      <c r="D30" s="77">
        <v>6</v>
      </c>
      <c r="E30" s="77"/>
      <c r="F30" s="77">
        <v>0.23</v>
      </c>
      <c r="G30" s="77"/>
      <c r="H30" s="77" t="s">
        <v>198</v>
      </c>
      <c r="I30" s="77"/>
    </row>
    <row r="31" spans="1:9">
      <c r="A31" s="86" t="s">
        <v>192</v>
      </c>
      <c r="B31" s="77">
        <v>0</v>
      </c>
      <c r="C31" s="77">
        <v>1</v>
      </c>
      <c r="D31" s="77">
        <v>9</v>
      </c>
      <c r="E31" s="77"/>
      <c r="F31" s="77">
        <v>0.09</v>
      </c>
      <c r="G31" s="77"/>
      <c r="H31" s="77" t="s">
        <v>199</v>
      </c>
      <c r="I31" s="77"/>
    </row>
    <row r="32" spans="1:9">
      <c r="A32" s="86" t="s">
        <v>192</v>
      </c>
      <c r="B32" s="77">
        <v>0</v>
      </c>
      <c r="C32" s="77">
        <v>1</v>
      </c>
      <c r="D32" s="77">
        <v>134</v>
      </c>
      <c r="E32" s="77"/>
      <c r="F32" s="77">
        <v>0.61</v>
      </c>
      <c r="G32" s="77"/>
      <c r="H32" s="77" t="s">
        <v>200</v>
      </c>
      <c r="I32" s="77"/>
    </row>
    <row r="33" spans="1:9">
      <c r="A33" s="86" t="s">
        <v>192</v>
      </c>
      <c r="B33" s="77">
        <v>1</v>
      </c>
      <c r="C33" s="77">
        <v>5</v>
      </c>
      <c r="D33" s="77">
        <v>134</v>
      </c>
      <c r="E33" s="77"/>
      <c r="F33" s="77">
        <v>1.81</v>
      </c>
      <c r="G33" s="77"/>
      <c r="H33" s="77" t="s">
        <v>201</v>
      </c>
      <c r="I33" s="77"/>
    </row>
    <row r="34" spans="1:9">
      <c r="A34" s="87" t="s">
        <v>202</v>
      </c>
      <c r="B34" s="88"/>
      <c r="C34" s="88"/>
      <c r="D34" s="88"/>
      <c r="E34" s="88"/>
      <c r="F34" s="88">
        <v>1.82</v>
      </c>
      <c r="G34" s="88">
        <v>0.01</v>
      </c>
      <c r="H34" s="88" t="s">
        <v>175</v>
      </c>
      <c r="I34" s="88"/>
    </row>
    <row r="35" spans="1:9">
      <c r="A35" s="86"/>
      <c r="B35" s="77"/>
      <c r="C35" s="77"/>
      <c r="D35" s="77"/>
      <c r="E35" s="77"/>
      <c r="F35" s="77"/>
      <c r="G35" s="77"/>
      <c r="H35" s="77"/>
      <c r="I35" s="77"/>
    </row>
    <row r="36" spans="1:9">
      <c r="A36" s="85" t="s">
        <v>203</v>
      </c>
      <c r="B36" s="77">
        <v>0</v>
      </c>
      <c r="C36" s="77">
        <v>4</v>
      </c>
      <c r="D36" s="77">
        <v>0</v>
      </c>
      <c r="E36" s="77"/>
      <c r="F36" s="77">
        <v>0.2</v>
      </c>
      <c r="G36" s="77"/>
      <c r="H36" s="77" t="s">
        <v>204</v>
      </c>
      <c r="I36" s="77"/>
    </row>
    <row r="37" spans="1:9">
      <c r="A37" s="86" t="s">
        <v>203</v>
      </c>
      <c r="B37" s="77">
        <v>0</v>
      </c>
      <c r="C37" s="77">
        <v>10</v>
      </c>
      <c r="D37" s="77">
        <v>0</v>
      </c>
      <c r="E37" s="77"/>
      <c r="F37" s="77">
        <v>0.5</v>
      </c>
      <c r="G37" s="77"/>
      <c r="H37" s="77" t="s">
        <v>205</v>
      </c>
      <c r="I37" s="77"/>
    </row>
    <row r="38" spans="1:9">
      <c r="A38" s="86" t="s">
        <v>203</v>
      </c>
      <c r="B38" s="77">
        <v>0</v>
      </c>
      <c r="C38" s="77">
        <v>6</v>
      </c>
      <c r="D38" s="77">
        <v>8</v>
      </c>
      <c r="E38" s="77"/>
      <c r="F38" s="77">
        <v>0.33</v>
      </c>
      <c r="G38" s="77"/>
      <c r="H38" s="77" t="s">
        <v>206</v>
      </c>
      <c r="I38" s="77"/>
    </row>
    <row r="39" spans="1:9">
      <c r="A39" s="86" t="s">
        <v>203</v>
      </c>
      <c r="B39" s="77">
        <v>1</v>
      </c>
      <c r="C39" s="77">
        <v>0</v>
      </c>
      <c r="D39" s="77">
        <v>8</v>
      </c>
      <c r="E39" s="77"/>
      <c r="F39" s="77">
        <v>1.03</v>
      </c>
      <c r="G39" s="77"/>
      <c r="H39" s="77" t="s">
        <v>207</v>
      </c>
      <c r="I39" s="77"/>
    </row>
    <row r="40" spans="1:9">
      <c r="A40" s="87" t="s">
        <v>21</v>
      </c>
      <c r="B40" s="88"/>
      <c r="C40" s="88"/>
      <c r="D40" s="88"/>
      <c r="E40" s="88"/>
      <c r="F40" s="88">
        <v>1.03</v>
      </c>
      <c r="G40" s="88">
        <v>0</v>
      </c>
      <c r="H40" s="88" t="s">
        <v>175</v>
      </c>
      <c r="I40" s="88"/>
    </row>
    <row r="41" spans="1:9">
      <c r="A41" s="86"/>
      <c r="B41" s="77"/>
      <c r="C41" s="77"/>
      <c r="D41" s="77"/>
      <c r="E41" s="77"/>
      <c r="F41" s="77"/>
      <c r="G41" s="77"/>
      <c r="H41" s="77"/>
      <c r="I41" s="77"/>
    </row>
    <row r="42" spans="1:9">
      <c r="A42" s="85" t="s">
        <v>208</v>
      </c>
      <c r="B42" s="77">
        <v>0</v>
      </c>
      <c r="C42" s="77">
        <v>2</v>
      </c>
      <c r="D42" s="77">
        <v>7</v>
      </c>
      <c r="E42" s="77"/>
      <c r="F42" s="77">
        <v>0.13</v>
      </c>
      <c r="G42" s="77"/>
      <c r="H42" s="77" t="s">
        <v>209</v>
      </c>
      <c r="I42" s="77"/>
    </row>
    <row r="43" spans="1:9">
      <c r="A43" s="86" t="s">
        <v>208</v>
      </c>
      <c r="B43" s="77">
        <v>0</v>
      </c>
      <c r="C43" s="77">
        <v>5</v>
      </c>
      <c r="D43" s="77">
        <v>4</v>
      </c>
      <c r="E43" s="77"/>
      <c r="F43" s="77">
        <v>0.27</v>
      </c>
      <c r="G43" s="77"/>
      <c r="H43" s="77" t="s">
        <v>210</v>
      </c>
      <c r="I43" s="77"/>
    </row>
    <row r="44" spans="1:9">
      <c r="A44" s="86" t="s">
        <v>208</v>
      </c>
      <c r="B44" s="77">
        <v>0</v>
      </c>
      <c r="C44" s="77">
        <v>2</v>
      </c>
      <c r="D44" s="77">
        <v>1</v>
      </c>
      <c r="E44" s="77"/>
      <c r="F44" s="77">
        <v>0.1</v>
      </c>
      <c r="G44" s="77"/>
      <c r="H44" s="77" t="s">
        <v>211</v>
      </c>
      <c r="I44" s="77"/>
    </row>
    <row r="45" spans="1:9">
      <c r="A45" s="86" t="s">
        <v>208</v>
      </c>
      <c r="B45" s="77">
        <v>0</v>
      </c>
      <c r="C45" s="77">
        <v>4</v>
      </c>
      <c r="D45" s="77">
        <v>3</v>
      </c>
      <c r="E45" s="77"/>
      <c r="F45" s="77">
        <v>0.21</v>
      </c>
      <c r="G45" s="77"/>
      <c r="H45" s="77" t="s">
        <v>212</v>
      </c>
      <c r="I45" s="77"/>
    </row>
    <row r="46" spans="1:9">
      <c r="A46" s="87" t="s">
        <v>213</v>
      </c>
      <c r="B46" s="88">
        <v>0</v>
      </c>
      <c r="C46" s="88">
        <v>14</v>
      </c>
      <c r="D46" s="88">
        <v>3</v>
      </c>
      <c r="E46" s="88"/>
      <c r="F46" s="88">
        <v>0.71</v>
      </c>
      <c r="G46" s="88">
        <v>0.5</v>
      </c>
      <c r="H46" s="88" t="s">
        <v>214</v>
      </c>
      <c r="I46" s="88"/>
    </row>
    <row r="47" spans="1:9">
      <c r="A47" s="18" t="s">
        <v>215</v>
      </c>
      <c r="F47">
        <f>SUMIF(A1:A46,"* total",F1:F46)-SUMIF(A1:A46,"Arrears total",F1:F46)</f>
        <v>19.240000000000002</v>
      </c>
    </row>
    <row r="48" spans="1:9">
      <c r="A48" s="18" t="s">
        <v>26</v>
      </c>
      <c r="F48">
        <f>F47+SUMIF(A1:A46,"Arrears total",F1:F46)</f>
        <v>22.94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
  <sheetViews>
    <sheetView workbookViewId="0">
      <selection activeCell="J9" sqref="J9"/>
    </sheetView>
  </sheetViews>
  <sheetFormatPr defaultRowHeight="14.5"/>
  <cols>
    <col min="1" max="1" width="34.453125" customWidth="1"/>
    <col min="2" max="2" width="8.81640625" customWidth="1"/>
    <col min="6" max="7" width="8.81640625" customWidth="1"/>
    <col min="8" max="8" width="43" customWidth="1"/>
  </cols>
  <sheetData>
    <row r="1" spans="1:10" ht="15.5" customHeight="1">
      <c r="A1" s="76" t="s">
        <v>216</v>
      </c>
      <c r="B1" s="77"/>
      <c r="C1" s="77"/>
      <c r="D1" s="77"/>
      <c r="E1" s="77"/>
      <c r="F1" s="77"/>
      <c r="G1" s="77"/>
      <c r="H1" s="77"/>
    </row>
    <row r="2" spans="1:10" ht="31" customHeight="1">
      <c r="A2" s="89" t="s">
        <v>166</v>
      </c>
      <c r="B2" s="90" t="s">
        <v>167</v>
      </c>
      <c r="C2" s="91" t="s">
        <v>168</v>
      </c>
      <c r="D2" s="91" t="s">
        <v>169</v>
      </c>
      <c r="E2" s="92"/>
      <c r="F2" s="93" t="s">
        <v>1</v>
      </c>
      <c r="G2" s="94" t="s">
        <v>2</v>
      </c>
      <c r="H2" s="95" t="s">
        <v>217</v>
      </c>
      <c r="I2" t="s">
        <v>218</v>
      </c>
      <c r="J2" t="s">
        <v>219</v>
      </c>
    </row>
    <row r="3" spans="1:10">
      <c r="A3" s="86"/>
      <c r="B3" s="77"/>
      <c r="C3" s="77"/>
      <c r="D3" s="77"/>
      <c r="E3" s="77"/>
      <c r="F3" s="77"/>
      <c r="G3" s="77"/>
      <c r="H3" s="77"/>
    </row>
    <row r="4" spans="1:10">
      <c r="A4" s="85" t="s">
        <v>220</v>
      </c>
      <c r="B4" s="77">
        <v>0</v>
      </c>
      <c r="C4" s="77">
        <v>0</v>
      </c>
      <c r="D4" s="77">
        <v>0</v>
      </c>
      <c r="E4" s="77"/>
      <c r="F4" s="77">
        <v>0</v>
      </c>
      <c r="G4" s="77"/>
      <c r="H4" s="77" t="s">
        <v>221</v>
      </c>
    </row>
    <row r="5" spans="1:10">
      <c r="A5" s="87" t="s">
        <v>30</v>
      </c>
      <c r="B5" s="88"/>
      <c r="C5" s="88"/>
      <c r="D5" s="88"/>
      <c r="E5" s="88"/>
      <c r="F5" s="88">
        <v>0</v>
      </c>
      <c r="G5" s="88">
        <v>0</v>
      </c>
      <c r="H5" s="88" t="s">
        <v>175</v>
      </c>
    </row>
    <row r="6" spans="1:10">
      <c r="A6" s="86"/>
      <c r="B6" s="77"/>
      <c r="C6" s="77"/>
      <c r="D6" s="77"/>
      <c r="E6" s="77"/>
      <c r="F6" s="77"/>
      <c r="G6" s="77"/>
      <c r="H6" s="77"/>
    </row>
    <row r="7" spans="1:10">
      <c r="A7" s="85" t="s">
        <v>222</v>
      </c>
      <c r="B7" s="77">
        <v>8</v>
      </c>
      <c r="C7" s="77">
        <v>11</v>
      </c>
      <c r="D7" s="77">
        <v>8</v>
      </c>
      <c r="E7" s="77"/>
      <c r="F7" s="77">
        <v>8.58</v>
      </c>
      <c r="G7" s="77"/>
      <c r="H7" s="77" t="s">
        <v>223</v>
      </c>
    </row>
    <row r="8" spans="1:10">
      <c r="A8" s="86" t="s">
        <v>222</v>
      </c>
      <c r="B8" s="77">
        <v>8</v>
      </c>
      <c r="C8" s="77">
        <v>11</v>
      </c>
      <c r="D8" s="77">
        <v>8</v>
      </c>
      <c r="E8" s="77"/>
      <c r="F8" s="77">
        <v>8.58</v>
      </c>
      <c r="G8" s="77"/>
      <c r="H8" s="77" t="s">
        <v>224</v>
      </c>
    </row>
    <row r="9" spans="1:10">
      <c r="A9" s="87" t="s">
        <v>34</v>
      </c>
      <c r="B9" s="88"/>
      <c r="C9" s="88"/>
      <c r="D9" s="88"/>
      <c r="E9" s="88"/>
      <c r="F9" s="88">
        <v>8.58</v>
      </c>
      <c r="G9" s="88">
        <v>0</v>
      </c>
      <c r="H9" s="88" t="s">
        <v>175</v>
      </c>
    </row>
    <row r="10" spans="1:10">
      <c r="A10" s="86"/>
      <c r="B10" s="77"/>
      <c r="C10" s="77"/>
      <c r="D10" s="77"/>
      <c r="E10" s="77"/>
      <c r="F10" s="77"/>
      <c r="G10" s="77"/>
      <c r="H10" s="77"/>
    </row>
    <row r="11" spans="1:10">
      <c r="A11" s="86" t="s">
        <v>225</v>
      </c>
      <c r="B11" s="77">
        <v>10</v>
      </c>
      <c r="C11" s="77">
        <v>15</v>
      </c>
      <c r="D11" s="77">
        <v>8</v>
      </c>
      <c r="E11" s="77"/>
      <c r="F11" s="77">
        <v>10.78</v>
      </c>
      <c r="G11" s="77"/>
      <c r="H11" s="77" t="s">
        <v>226</v>
      </c>
    </row>
    <row r="12" spans="1:10">
      <c r="A12" s="86" t="s">
        <v>225</v>
      </c>
      <c r="B12" s="77"/>
      <c r="C12" s="77"/>
      <c r="D12" s="77"/>
      <c r="E12" s="77"/>
      <c r="F12" s="77">
        <v>10.78</v>
      </c>
      <c r="G12" s="77">
        <v>-10.78</v>
      </c>
      <c r="H12" s="77" t="s">
        <v>175</v>
      </c>
    </row>
    <row r="13" spans="1:10">
      <c r="A13" s="86"/>
      <c r="B13" s="77"/>
      <c r="C13" s="77"/>
      <c r="D13" s="77"/>
      <c r="E13" s="77"/>
      <c r="F13" s="77"/>
      <c r="G13" s="77"/>
      <c r="H13" s="77"/>
    </row>
    <row r="14" spans="1:10">
      <c r="A14" s="85" t="s">
        <v>227</v>
      </c>
      <c r="B14" s="77">
        <v>20</v>
      </c>
      <c r="C14" s="77">
        <v>9</v>
      </c>
      <c r="D14" s="77">
        <v>0</v>
      </c>
      <c r="E14" s="77"/>
      <c r="F14" s="77">
        <v>20.45</v>
      </c>
      <c r="G14" s="77"/>
      <c r="H14" s="77" t="s">
        <v>228</v>
      </c>
    </row>
    <row r="15" spans="1:10">
      <c r="A15" s="87" t="s">
        <v>229</v>
      </c>
      <c r="B15" s="88"/>
      <c r="C15" s="88"/>
      <c r="D15" s="88"/>
      <c r="E15" s="88"/>
      <c r="F15" s="88">
        <v>20.45</v>
      </c>
      <c r="G15" s="88">
        <v>0</v>
      </c>
      <c r="H15" s="88" t="s">
        <v>175</v>
      </c>
    </row>
    <row r="16" spans="1:10">
      <c r="A16" s="86"/>
      <c r="B16" s="77"/>
      <c r="C16" s="77"/>
      <c r="D16" s="77"/>
      <c r="E16" s="77"/>
      <c r="F16" s="77"/>
      <c r="G16" s="77"/>
      <c r="H16" s="77"/>
    </row>
    <row r="17" spans="1:8">
      <c r="A17" s="85" t="s">
        <v>51</v>
      </c>
      <c r="B17" s="77">
        <v>13</v>
      </c>
      <c r="C17" s="77">
        <v>9</v>
      </c>
      <c r="D17" s="77">
        <v>9</v>
      </c>
      <c r="E17" s="77"/>
      <c r="F17" s="77">
        <v>13.49</v>
      </c>
      <c r="G17" s="77"/>
      <c r="H17" s="77" t="s">
        <v>230</v>
      </c>
    </row>
    <row r="18" spans="1:8">
      <c r="A18" s="86" t="s">
        <v>51</v>
      </c>
      <c r="B18" s="77">
        <v>13</v>
      </c>
      <c r="C18" s="77">
        <v>9</v>
      </c>
      <c r="D18" s="77">
        <v>9</v>
      </c>
      <c r="E18" s="77"/>
      <c r="F18" s="77">
        <v>13.49</v>
      </c>
      <c r="G18" s="77"/>
      <c r="H18" s="77" t="s">
        <v>231</v>
      </c>
    </row>
    <row r="19" spans="1:8">
      <c r="A19" s="87" t="s">
        <v>232</v>
      </c>
      <c r="B19" s="88"/>
      <c r="C19" s="88"/>
      <c r="D19" s="88"/>
      <c r="E19" s="88"/>
      <c r="F19" s="88">
        <v>13.49</v>
      </c>
      <c r="G19" s="88">
        <v>0</v>
      </c>
      <c r="H19" s="88" t="s">
        <v>175</v>
      </c>
    </row>
    <row r="20" spans="1:8">
      <c r="A20" s="86"/>
      <c r="B20" s="77"/>
      <c r="C20" s="77"/>
      <c r="D20" s="77"/>
      <c r="E20" s="77"/>
      <c r="F20" s="77"/>
      <c r="G20" s="77"/>
      <c r="H20" s="77"/>
    </row>
    <row r="21" spans="1:8">
      <c r="A21" s="85" t="s">
        <v>233</v>
      </c>
      <c r="B21" s="77">
        <v>14</v>
      </c>
      <c r="C21" s="77">
        <v>3</v>
      </c>
      <c r="D21" s="77">
        <v>1.75</v>
      </c>
      <c r="E21" s="77"/>
      <c r="F21" s="77">
        <v>14.16</v>
      </c>
      <c r="G21" s="77"/>
      <c r="H21" s="77" t="s">
        <v>234</v>
      </c>
    </row>
    <row r="23" spans="1:8">
      <c r="A23" s="18" t="s">
        <v>44</v>
      </c>
      <c r="B23">
        <v>10</v>
      </c>
      <c r="C23">
        <v>15</v>
      </c>
      <c r="D23">
        <v>8</v>
      </c>
      <c r="F23">
        <f>F11</f>
        <v>10.78</v>
      </c>
    </row>
    <row r="24" spans="1:8">
      <c r="A24" s="18" t="s">
        <v>45</v>
      </c>
      <c r="F24">
        <f>SUMIF(A1:A10,"* total",F1:F10)</f>
        <v>8.58</v>
      </c>
    </row>
    <row r="25" spans="1:8">
      <c r="A25" s="18" t="s">
        <v>46</v>
      </c>
    </row>
    <row r="26" spans="1:8">
      <c r="A26" s="18" t="s">
        <v>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workbookViewId="0">
      <selection activeCell="N14" sqref="N14"/>
    </sheetView>
  </sheetViews>
  <sheetFormatPr defaultRowHeight="14.5"/>
  <cols>
    <col min="1" max="1" width="44.36328125" customWidth="1"/>
    <col min="2" max="2" width="14.36328125" customWidth="1"/>
    <col min="6" max="6" width="9.81640625" customWidth="1"/>
    <col min="7" max="7" width="16.6328125" customWidth="1"/>
    <col min="10" max="10" width="16.1796875" customWidth="1"/>
    <col min="11" max="11" width="11.453125" customWidth="1"/>
    <col min="13" max="13" width="8.453125" customWidth="1"/>
    <col min="14" max="14" width="10.6328125" customWidth="1"/>
    <col min="16" max="16" width="16.6328125" customWidth="1"/>
    <col min="17" max="17" width="17.36328125" customWidth="1"/>
    <col min="19" max="19" width="16.1796875" customWidth="1"/>
    <col min="21" max="21" width="13.1796875" customWidth="1"/>
  </cols>
  <sheetData>
    <row r="1" spans="1:21" ht="15.5" customHeight="1">
      <c r="A1" s="3" t="s">
        <v>235</v>
      </c>
    </row>
    <row r="2" spans="1:21" ht="15.5" customHeight="1">
      <c r="A2" s="3"/>
    </row>
    <row r="3" spans="1:21" ht="17" customHeight="1">
      <c r="A3" s="20"/>
      <c r="B3" s="20"/>
      <c r="C3" s="99" t="s">
        <v>236</v>
      </c>
      <c r="D3" s="100"/>
      <c r="E3" s="100"/>
      <c r="F3" s="100"/>
      <c r="G3" s="101" t="s">
        <v>237</v>
      </c>
      <c r="H3" s="100"/>
      <c r="I3" s="100"/>
      <c r="J3" s="100"/>
      <c r="K3" s="20"/>
      <c r="L3" s="20"/>
      <c r="M3" s="20"/>
      <c r="N3" s="20"/>
      <c r="O3" s="20"/>
      <c r="P3" s="30"/>
      <c r="Q3" s="20"/>
      <c r="R3" s="20"/>
      <c r="S3" s="20"/>
      <c r="T3" s="20"/>
    </row>
    <row r="4" spans="1:21" ht="46.5" customHeight="1">
      <c r="A4" s="23" t="s">
        <v>83</v>
      </c>
      <c r="B4" s="17" t="s">
        <v>238</v>
      </c>
      <c r="C4" s="17" t="s">
        <v>236</v>
      </c>
      <c r="D4" s="3" t="s">
        <v>239</v>
      </c>
      <c r="E4" s="3" t="s">
        <v>240</v>
      </c>
      <c r="F4" s="3" t="s">
        <v>241</v>
      </c>
      <c r="G4" s="3" t="s">
        <v>242</v>
      </c>
      <c r="H4" s="17" t="s">
        <v>243</v>
      </c>
      <c r="I4" s="17" t="s">
        <v>244</v>
      </c>
      <c r="J4" s="17" t="s">
        <v>245</v>
      </c>
      <c r="K4" s="17" t="s">
        <v>246</v>
      </c>
      <c r="L4" s="17" t="s">
        <v>247</v>
      </c>
      <c r="M4" s="17" t="s">
        <v>248</v>
      </c>
      <c r="N4" s="17" t="s">
        <v>249</v>
      </c>
      <c r="O4" s="17" t="s">
        <v>250</v>
      </c>
      <c r="P4" s="31" t="s">
        <v>251</v>
      </c>
      <c r="Q4" s="23" t="s">
        <v>252</v>
      </c>
      <c r="R4" s="23" t="s">
        <v>253</v>
      </c>
      <c r="S4" s="23" t="s">
        <v>254</v>
      </c>
      <c r="T4" s="74" t="s">
        <v>255</v>
      </c>
      <c r="U4" s="17" t="s">
        <v>256</v>
      </c>
    </row>
    <row r="5" spans="1:21">
      <c r="A5" s="20" t="s">
        <v>89</v>
      </c>
      <c r="B5">
        <v>0</v>
      </c>
      <c r="C5">
        <v>0</v>
      </c>
      <c r="H5">
        <v>0</v>
      </c>
      <c r="I5">
        <v>0</v>
      </c>
      <c r="K5" s="102">
        <f t="shared" ref="K5:K30" si="0">B5+C5-H5-I5</f>
        <v>0</v>
      </c>
      <c r="L5">
        <f t="shared" ref="L5:L30" si="1">B5+C5-H5</f>
        <v>0</v>
      </c>
      <c r="M5">
        <f t="shared" ref="M5:M30" si="2">L5-B5</f>
        <v>0</v>
      </c>
      <c r="N5">
        <f t="shared" ref="N5:N30" si="3">C5</f>
        <v>0</v>
      </c>
      <c r="O5">
        <v>0</v>
      </c>
      <c r="P5" s="29">
        <f t="shared" ref="P5:P30" si="4">O5*K5</f>
        <v>0</v>
      </c>
      <c r="R5">
        <v>0</v>
      </c>
      <c r="S5">
        <f t="shared" ref="S5:S30" si="5">O5*M5</f>
        <v>0</v>
      </c>
      <c r="T5">
        <f t="shared" ref="T5:T30" si="6">O5*N5</f>
        <v>0</v>
      </c>
    </row>
    <row r="6" spans="1:21">
      <c r="A6" s="20" t="s">
        <v>90</v>
      </c>
      <c r="B6">
        <v>0</v>
      </c>
      <c r="C6">
        <v>0</v>
      </c>
      <c r="H6">
        <v>0</v>
      </c>
      <c r="I6">
        <v>0</v>
      </c>
      <c r="K6" s="102">
        <f t="shared" si="0"/>
        <v>0</v>
      </c>
      <c r="L6">
        <f t="shared" si="1"/>
        <v>0</v>
      </c>
      <c r="M6">
        <f t="shared" si="2"/>
        <v>0</v>
      </c>
      <c r="N6">
        <f t="shared" si="3"/>
        <v>0</v>
      </c>
      <c r="O6">
        <v>0</v>
      </c>
      <c r="P6" s="29">
        <f t="shared" si="4"/>
        <v>0</v>
      </c>
      <c r="R6">
        <v>0</v>
      </c>
      <c r="S6">
        <f t="shared" si="5"/>
        <v>0</v>
      </c>
      <c r="T6">
        <f t="shared" si="6"/>
        <v>0</v>
      </c>
    </row>
    <row r="7" spans="1:21">
      <c r="A7" t="s">
        <v>91</v>
      </c>
      <c r="B7">
        <v>0</v>
      </c>
      <c r="C7">
        <v>0</v>
      </c>
      <c r="H7">
        <v>0</v>
      </c>
      <c r="I7">
        <v>0</v>
      </c>
      <c r="K7" s="102">
        <f t="shared" si="0"/>
        <v>0</v>
      </c>
      <c r="L7">
        <f t="shared" si="1"/>
        <v>0</v>
      </c>
      <c r="M7">
        <f t="shared" si="2"/>
        <v>0</v>
      </c>
      <c r="N7">
        <f t="shared" si="3"/>
        <v>0</v>
      </c>
      <c r="O7">
        <v>0</v>
      </c>
      <c r="P7" s="29">
        <f t="shared" si="4"/>
        <v>0</v>
      </c>
      <c r="R7">
        <v>0</v>
      </c>
      <c r="S7">
        <f t="shared" si="5"/>
        <v>0</v>
      </c>
      <c r="T7">
        <f t="shared" si="6"/>
        <v>0</v>
      </c>
    </row>
    <row r="8" spans="1:21">
      <c r="A8" t="s">
        <v>257</v>
      </c>
      <c r="B8">
        <v>0</v>
      </c>
      <c r="C8">
        <v>0</v>
      </c>
      <c r="H8">
        <v>0</v>
      </c>
      <c r="I8">
        <v>0</v>
      </c>
      <c r="K8" s="102">
        <f t="shared" si="0"/>
        <v>0</v>
      </c>
      <c r="L8">
        <f t="shared" si="1"/>
        <v>0</v>
      </c>
      <c r="M8">
        <f t="shared" si="2"/>
        <v>0</v>
      </c>
      <c r="N8">
        <f t="shared" si="3"/>
        <v>0</v>
      </c>
      <c r="O8">
        <v>0</v>
      </c>
      <c r="P8" s="29">
        <f t="shared" si="4"/>
        <v>0</v>
      </c>
      <c r="R8">
        <v>0</v>
      </c>
      <c r="S8">
        <f t="shared" si="5"/>
        <v>0</v>
      </c>
      <c r="T8">
        <f t="shared" si="6"/>
        <v>0</v>
      </c>
    </row>
    <row r="9" spans="1:21">
      <c r="A9" t="s">
        <v>92</v>
      </c>
      <c r="B9">
        <v>0</v>
      </c>
      <c r="C9">
        <v>0</v>
      </c>
      <c r="H9">
        <v>0</v>
      </c>
      <c r="I9">
        <v>0</v>
      </c>
      <c r="K9" s="102">
        <f t="shared" si="0"/>
        <v>0</v>
      </c>
      <c r="L9">
        <f t="shared" si="1"/>
        <v>0</v>
      </c>
      <c r="M9">
        <f t="shared" si="2"/>
        <v>0</v>
      </c>
      <c r="N9">
        <f t="shared" si="3"/>
        <v>0</v>
      </c>
      <c r="O9">
        <v>0</v>
      </c>
      <c r="P9" s="29">
        <f t="shared" si="4"/>
        <v>0</v>
      </c>
      <c r="R9">
        <v>0</v>
      </c>
      <c r="S9">
        <f t="shared" si="5"/>
        <v>0</v>
      </c>
      <c r="T9">
        <f t="shared" si="6"/>
        <v>0</v>
      </c>
    </row>
    <row r="10" spans="1:21">
      <c r="A10" t="s">
        <v>93</v>
      </c>
      <c r="B10">
        <v>0</v>
      </c>
      <c r="C10">
        <v>0</v>
      </c>
      <c r="H10">
        <v>0</v>
      </c>
      <c r="I10">
        <v>0</v>
      </c>
      <c r="K10" s="102">
        <f t="shared" si="0"/>
        <v>0</v>
      </c>
      <c r="L10">
        <f t="shared" si="1"/>
        <v>0</v>
      </c>
      <c r="M10">
        <f t="shared" si="2"/>
        <v>0</v>
      </c>
      <c r="N10">
        <f t="shared" si="3"/>
        <v>0</v>
      </c>
      <c r="O10">
        <v>0</v>
      </c>
      <c r="P10" s="29">
        <f t="shared" si="4"/>
        <v>0</v>
      </c>
      <c r="R10">
        <v>0</v>
      </c>
      <c r="S10">
        <f t="shared" si="5"/>
        <v>0</v>
      </c>
      <c r="T10">
        <f t="shared" si="6"/>
        <v>0</v>
      </c>
    </row>
    <row r="11" spans="1:21">
      <c r="A11" t="s">
        <v>94</v>
      </c>
      <c r="B11">
        <v>0</v>
      </c>
      <c r="C11">
        <v>0</v>
      </c>
      <c r="H11">
        <v>0</v>
      </c>
      <c r="I11">
        <v>0</v>
      </c>
      <c r="K11" s="102">
        <f t="shared" si="0"/>
        <v>0</v>
      </c>
      <c r="L11">
        <f t="shared" si="1"/>
        <v>0</v>
      </c>
      <c r="M11">
        <f t="shared" si="2"/>
        <v>0</v>
      </c>
      <c r="N11">
        <f t="shared" si="3"/>
        <v>0</v>
      </c>
      <c r="O11">
        <v>0</v>
      </c>
      <c r="P11" s="29">
        <f t="shared" si="4"/>
        <v>0</v>
      </c>
      <c r="R11">
        <v>0</v>
      </c>
      <c r="S11">
        <f t="shared" si="5"/>
        <v>0</v>
      </c>
      <c r="T11">
        <f t="shared" si="6"/>
        <v>0</v>
      </c>
    </row>
    <row r="12" spans="1:21">
      <c r="A12" t="s">
        <v>95</v>
      </c>
      <c r="B12">
        <v>6</v>
      </c>
      <c r="C12">
        <v>0</v>
      </c>
      <c r="H12">
        <v>0</v>
      </c>
      <c r="I12">
        <v>0</v>
      </c>
      <c r="K12" s="102">
        <f t="shared" si="0"/>
        <v>6</v>
      </c>
      <c r="L12">
        <f t="shared" si="1"/>
        <v>6</v>
      </c>
      <c r="M12">
        <f t="shared" si="2"/>
        <v>0</v>
      </c>
      <c r="N12">
        <f t="shared" si="3"/>
        <v>0</v>
      </c>
      <c r="O12">
        <v>0</v>
      </c>
      <c r="P12" s="29">
        <f t="shared" si="4"/>
        <v>0</v>
      </c>
      <c r="R12">
        <v>0</v>
      </c>
      <c r="S12">
        <f t="shared" si="5"/>
        <v>0</v>
      </c>
      <c r="T12">
        <f t="shared" si="6"/>
        <v>0</v>
      </c>
    </row>
    <row r="13" spans="1:21">
      <c r="A13" t="s">
        <v>96</v>
      </c>
      <c r="B13">
        <v>0</v>
      </c>
      <c r="C13">
        <v>0</v>
      </c>
      <c r="H13">
        <v>0</v>
      </c>
      <c r="I13">
        <v>0</v>
      </c>
      <c r="K13" s="102">
        <f t="shared" si="0"/>
        <v>0</v>
      </c>
      <c r="L13">
        <f t="shared" si="1"/>
        <v>0</v>
      </c>
      <c r="M13">
        <f t="shared" si="2"/>
        <v>0</v>
      </c>
      <c r="N13">
        <f t="shared" si="3"/>
        <v>0</v>
      </c>
      <c r="O13">
        <v>0</v>
      </c>
      <c r="P13" s="29">
        <f t="shared" si="4"/>
        <v>0</v>
      </c>
      <c r="R13">
        <v>0</v>
      </c>
      <c r="S13">
        <f t="shared" si="5"/>
        <v>0</v>
      </c>
      <c r="T13">
        <f t="shared" si="6"/>
        <v>0</v>
      </c>
    </row>
    <row r="14" spans="1:21">
      <c r="A14" t="s">
        <v>97</v>
      </c>
      <c r="B14">
        <v>0</v>
      </c>
      <c r="C14">
        <v>0</v>
      </c>
      <c r="H14">
        <v>0</v>
      </c>
      <c r="I14">
        <v>0</v>
      </c>
      <c r="K14" s="102">
        <f t="shared" si="0"/>
        <v>0</v>
      </c>
      <c r="L14">
        <f t="shared" si="1"/>
        <v>0</v>
      </c>
      <c r="M14">
        <f t="shared" si="2"/>
        <v>0</v>
      </c>
      <c r="N14">
        <f t="shared" si="3"/>
        <v>0</v>
      </c>
      <c r="O14">
        <v>0</v>
      </c>
      <c r="P14" s="29">
        <f t="shared" si="4"/>
        <v>0</v>
      </c>
      <c r="R14">
        <v>0</v>
      </c>
      <c r="S14">
        <f t="shared" si="5"/>
        <v>0</v>
      </c>
      <c r="T14">
        <f t="shared" si="6"/>
        <v>0</v>
      </c>
    </row>
    <row r="15" spans="1:21">
      <c r="A15" t="s">
        <v>98</v>
      </c>
      <c r="B15">
        <v>0</v>
      </c>
      <c r="C15">
        <v>0</v>
      </c>
      <c r="H15">
        <v>0</v>
      </c>
      <c r="I15">
        <v>0</v>
      </c>
      <c r="K15" s="102">
        <f t="shared" si="0"/>
        <v>0</v>
      </c>
      <c r="L15">
        <f t="shared" si="1"/>
        <v>0</v>
      </c>
      <c r="M15">
        <f t="shared" si="2"/>
        <v>0</v>
      </c>
      <c r="N15">
        <f t="shared" si="3"/>
        <v>0</v>
      </c>
      <c r="O15">
        <v>0</v>
      </c>
      <c r="P15" s="29">
        <f t="shared" si="4"/>
        <v>0</v>
      </c>
      <c r="R15">
        <v>0</v>
      </c>
      <c r="S15">
        <f t="shared" si="5"/>
        <v>0</v>
      </c>
      <c r="T15">
        <f t="shared" si="6"/>
        <v>0</v>
      </c>
    </row>
    <row r="16" spans="1:21">
      <c r="A16" t="s">
        <v>99</v>
      </c>
      <c r="B16">
        <v>0</v>
      </c>
      <c r="C16">
        <v>0</v>
      </c>
      <c r="H16">
        <v>0</v>
      </c>
      <c r="I16">
        <v>0</v>
      </c>
      <c r="K16" s="102">
        <f t="shared" si="0"/>
        <v>0</v>
      </c>
      <c r="L16">
        <f t="shared" si="1"/>
        <v>0</v>
      </c>
      <c r="M16">
        <f t="shared" si="2"/>
        <v>0</v>
      </c>
      <c r="N16">
        <f t="shared" si="3"/>
        <v>0</v>
      </c>
      <c r="O16">
        <v>0</v>
      </c>
      <c r="P16" s="29">
        <f t="shared" si="4"/>
        <v>0</v>
      </c>
      <c r="R16">
        <v>0</v>
      </c>
      <c r="S16">
        <f t="shared" si="5"/>
        <v>0</v>
      </c>
      <c r="T16">
        <f t="shared" si="6"/>
        <v>0</v>
      </c>
    </row>
    <row r="17" spans="1:20">
      <c r="A17" t="s">
        <v>100</v>
      </c>
      <c r="B17">
        <v>0</v>
      </c>
      <c r="C17">
        <v>0</v>
      </c>
      <c r="H17">
        <v>0</v>
      </c>
      <c r="I17">
        <v>0</v>
      </c>
      <c r="K17" s="102">
        <f t="shared" si="0"/>
        <v>0</v>
      </c>
      <c r="L17">
        <f t="shared" si="1"/>
        <v>0</v>
      </c>
      <c r="M17">
        <f t="shared" si="2"/>
        <v>0</v>
      </c>
      <c r="N17">
        <f t="shared" si="3"/>
        <v>0</v>
      </c>
      <c r="O17">
        <v>0</v>
      </c>
      <c r="P17" s="29">
        <f t="shared" si="4"/>
        <v>0</v>
      </c>
      <c r="R17">
        <v>0</v>
      </c>
      <c r="S17">
        <f t="shared" si="5"/>
        <v>0</v>
      </c>
      <c r="T17">
        <f t="shared" si="6"/>
        <v>0</v>
      </c>
    </row>
    <row r="18" spans="1:20">
      <c r="A18" t="s">
        <v>101</v>
      </c>
      <c r="B18">
        <v>0</v>
      </c>
      <c r="C18">
        <v>0</v>
      </c>
      <c r="H18">
        <v>0</v>
      </c>
      <c r="I18">
        <v>0</v>
      </c>
      <c r="K18" s="102">
        <f t="shared" si="0"/>
        <v>0</v>
      </c>
      <c r="L18">
        <f t="shared" si="1"/>
        <v>0</v>
      </c>
      <c r="M18">
        <f t="shared" si="2"/>
        <v>0</v>
      </c>
      <c r="N18">
        <f t="shared" si="3"/>
        <v>0</v>
      </c>
      <c r="O18">
        <v>0</v>
      </c>
      <c r="P18" s="29">
        <f t="shared" si="4"/>
        <v>0</v>
      </c>
      <c r="R18">
        <v>0</v>
      </c>
      <c r="S18">
        <f t="shared" si="5"/>
        <v>0</v>
      </c>
      <c r="T18">
        <f t="shared" si="6"/>
        <v>0</v>
      </c>
    </row>
    <row r="19" spans="1:20">
      <c r="A19" t="s">
        <v>102</v>
      </c>
      <c r="B19">
        <v>500</v>
      </c>
      <c r="C19">
        <v>0</v>
      </c>
      <c r="H19">
        <v>65</v>
      </c>
      <c r="I19">
        <v>20</v>
      </c>
      <c r="K19" s="102">
        <f t="shared" si="0"/>
        <v>415</v>
      </c>
      <c r="L19">
        <f t="shared" si="1"/>
        <v>435</v>
      </c>
      <c r="M19">
        <f t="shared" si="2"/>
        <v>-65</v>
      </c>
      <c r="N19">
        <f t="shared" si="3"/>
        <v>0</v>
      </c>
      <c r="O19" s="28">
        <v>8.3299999999999999E-2</v>
      </c>
      <c r="P19" s="29">
        <f t="shared" si="4"/>
        <v>34.569499999999998</v>
      </c>
      <c r="R19">
        <v>0</v>
      </c>
      <c r="S19">
        <f t="shared" si="5"/>
        <v>-5.4145000000000003</v>
      </c>
      <c r="T19">
        <f t="shared" si="6"/>
        <v>0</v>
      </c>
    </row>
    <row r="20" spans="1:20">
      <c r="A20" t="s">
        <v>103</v>
      </c>
      <c r="B20">
        <v>0</v>
      </c>
      <c r="C20">
        <v>0</v>
      </c>
      <c r="H20">
        <v>0</v>
      </c>
      <c r="I20">
        <v>0</v>
      </c>
      <c r="K20" s="102">
        <f t="shared" si="0"/>
        <v>0</v>
      </c>
      <c r="L20">
        <f t="shared" si="1"/>
        <v>0</v>
      </c>
      <c r="M20">
        <f t="shared" si="2"/>
        <v>0</v>
      </c>
      <c r="N20">
        <f t="shared" si="3"/>
        <v>0</v>
      </c>
      <c r="O20">
        <v>0</v>
      </c>
      <c r="P20" s="29">
        <f t="shared" si="4"/>
        <v>0</v>
      </c>
      <c r="R20">
        <v>0</v>
      </c>
      <c r="S20">
        <f t="shared" si="5"/>
        <v>0</v>
      </c>
      <c r="T20">
        <f t="shared" si="6"/>
        <v>0</v>
      </c>
    </row>
    <row r="21" spans="1:20">
      <c r="A21" t="s">
        <v>104</v>
      </c>
      <c r="B21">
        <v>0</v>
      </c>
      <c r="C21">
        <v>0</v>
      </c>
      <c r="H21">
        <v>0</v>
      </c>
      <c r="I21">
        <v>0</v>
      </c>
      <c r="K21" s="102">
        <f t="shared" si="0"/>
        <v>0</v>
      </c>
      <c r="L21">
        <f t="shared" si="1"/>
        <v>0</v>
      </c>
      <c r="M21">
        <f t="shared" si="2"/>
        <v>0</v>
      </c>
      <c r="N21">
        <f t="shared" si="3"/>
        <v>0</v>
      </c>
      <c r="O21">
        <v>0</v>
      </c>
      <c r="P21" s="29">
        <f t="shared" si="4"/>
        <v>0</v>
      </c>
      <c r="Q21">
        <v>0</v>
      </c>
      <c r="R21">
        <v>0</v>
      </c>
      <c r="S21">
        <f t="shared" si="5"/>
        <v>0</v>
      </c>
      <c r="T21">
        <f t="shared" si="6"/>
        <v>0</v>
      </c>
    </row>
    <row r="22" spans="1:20">
      <c r="A22" t="s">
        <v>105</v>
      </c>
      <c r="B22">
        <v>0</v>
      </c>
      <c r="C22">
        <v>103</v>
      </c>
      <c r="H22">
        <v>0</v>
      </c>
      <c r="I22">
        <v>0</v>
      </c>
      <c r="K22" s="102">
        <f t="shared" si="0"/>
        <v>103</v>
      </c>
      <c r="L22">
        <f t="shared" si="1"/>
        <v>103</v>
      </c>
      <c r="M22">
        <f t="shared" si="2"/>
        <v>103</v>
      </c>
      <c r="N22">
        <f t="shared" si="3"/>
        <v>103</v>
      </c>
      <c r="O22" s="28">
        <v>8.3300970873786406E-2</v>
      </c>
      <c r="P22" s="29">
        <f t="shared" si="4"/>
        <v>8.58</v>
      </c>
      <c r="R22">
        <v>0</v>
      </c>
      <c r="S22">
        <f t="shared" si="5"/>
        <v>8.58</v>
      </c>
      <c r="T22">
        <f t="shared" si="6"/>
        <v>8.58</v>
      </c>
    </row>
    <row r="23" spans="1:20">
      <c r="A23" t="s">
        <v>106</v>
      </c>
      <c r="B23">
        <v>0</v>
      </c>
      <c r="C23">
        <v>18</v>
      </c>
      <c r="H23">
        <v>16</v>
      </c>
      <c r="I23">
        <v>0</v>
      </c>
      <c r="K23" s="102">
        <f t="shared" si="0"/>
        <v>2</v>
      </c>
      <c r="L23">
        <f t="shared" si="1"/>
        <v>2</v>
      </c>
      <c r="M23">
        <f t="shared" si="2"/>
        <v>2</v>
      </c>
      <c r="N23">
        <f t="shared" si="3"/>
        <v>18</v>
      </c>
      <c r="O23">
        <v>0</v>
      </c>
      <c r="P23" s="29">
        <f t="shared" si="4"/>
        <v>0</v>
      </c>
      <c r="R23">
        <v>0</v>
      </c>
      <c r="S23">
        <f t="shared" si="5"/>
        <v>0</v>
      </c>
      <c r="T23">
        <f t="shared" si="6"/>
        <v>0</v>
      </c>
    </row>
    <row r="24" spans="1:20">
      <c r="A24" t="s">
        <v>107</v>
      </c>
      <c r="B24">
        <v>0</v>
      </c>
      <c r="C24">
        <v>0</v>
      </c>
      <c r="H24">
        <v>0</v>
      </c>
      <c r="I24">
        <v>0</v>
      </c>
      <c r="K24" s="102">
        <f t="shared" si="0"/>
        <v>0</v>
      </c>
      <c r="L24">
        <f t="shared" si="1"/>
        <v>0</v>
      </c>
      <c r="M24">
        <f t="shared" si="2"/>
        <v>0</v>
      </c>
      <c r="N24">
        <f t="shared" si="3"/>
        <v>0</v>
      </c>
      <c r="O24">
        <v>0</v>
      </c>
      <c r="P24" s="29">
        <f t="shared" si="4"/>
        <v>0</v>
      </c>
      <c r="R24">
        <v>0</v>
      </c>
      <c r="S24">
        <f t="shared" si="5"/>
        <v>0</v>
      </c>
      <c r="T24">
        <f t="shared" si="6"/>
        <v>0</v>
      </c>
    </row>
    <row r="25" spans="1:20">
      <c r="A25" t="s">
        <v>108</v>
      </c>
      <c r="B25">
        <v>0</v>
      </c>
      <c r="C25">
        <v>0</v>
      </c>
      <c r="H25">
        <v>0</v>
      </c>
      <c r="I25">
        <v>0</v>
      </c>
      <c r="K25" s="102">
        <f t="shared" si="0"/>
        <v>0</v>
      </c>
      <c r="L25">
        <f t="shared" si="1"/>
        <v>0</v>
      </c>
      <c r="M25">
        <f t="shared" si="2"/>
        <v>0</v>
      </c>
      <c r="N25">
        <f t="shared" si="3"/>
        <v>0</v>
      </c>
      <c r="O25">
        <v>0</v>
      </c>
      <c r="P25" s="29">
        <f t="shared" si="4"/>
        <v>0</v>
      </c>
      <c r="R25">
        <v>0</v>
      </c>
      <c r="S25">
        <f t="shared" si="5"/>
        <v>0</v>
      </c>
      <c r="T25">
        <f t="shared" si="6"/>
        <v>0</v>
      </c>
    </row>
    <row r="26" spans="1:20">
      <c r="A26" t="s">
        <v>109</v>
      </c>
      <c r="B26">
        <v>0</v>
      </c>
      <c r="C26">
        <v>0</v>
      </c>
      <c r="H26">
        <v>0</v>
      </c>
      <c r="I26">
        <v>0</v>
      </c>
      <c r="K26" s="102">
        <f t="shared" si="0"/>
        <v>0</v>
      </c>
      <c r="L26">
        <f t="shared" si="1"/>
        <v>0</v>
      </c>
      <c r="M26">
        <f t="shared" si="2"/>
        <v>0</v>
      </c>
      <c r="N26">
        <f t="shared" si="3"/>
        <v>0</v>
      </c>
      <c r="O26">
        <v>0</v>
      </c>
      <c r="P26" s="29">
        <f t="shared" si="4"/>
        <v>0</v>
      </c>
      <c r="R26">
        <v>0</v>
      </c>
      <c r="S26">
        <f t="shared" si="5"/>
        <v>0</v>
      </c>
      <c r="T26">
        <f t="shared" si="6"/>
        <v>0</v>
      </c>
    </row>
    <row r="27" spans="1:20">
      <c r="A27" t="s">
        <v>110</v>
      </c>
      <c r="B27">
        <v>0</v>
      </c>
      <c r="C27">
        <v>0</v>
      </c>
      <c r="H27">
        <v>0</v>
      </c>
      <c r="I27">
        <v>0</v>
      </c>
      <c r="K27" s="102">
        <f t="shared" si="0"/>
        <v>0</v>
      </c>
      <c r="L27">
        <f t="shared" si="1"/>
        <v>0</v>
      </c>
      <c r="M27">
        <f t="shared" si="2"/>
        <v>0</v>
      </c>
      <c r="N27">
        <f t="shared" si="3"/>
        <v>0</v>
      </c>
      <c r="O27">
        <v>0</v>
      </c>
      <c r="P27" s="29">
        <f t="shared" si="4"/>
        <v>0</v>
      </c>
      <c r="R27">
        <v>0</v>
      </c>
      <c r="S27">
        <f t="shared" si="5"/>
        <v>0</v>
      </c>
      <c r="T27">
        <f t="shared" si="6"/>
        <v>0</v>
      </c>
    </row>
    <row r="28" spans="1:20">
      <c r="A28" t="s">
        <v>111</v>
      </c>
      <c r="B28">
        <v>0</v>
      </c>
      <c r="C28">
        <v>0</v>
      </c>
      <c r="H28">
        <v>0</v>
      </c>
      <c r="I28">
        <v>0</v>
      </c>
      <c r="K28" s="102">
        <f t="shared" si="0"/>
        <v>0</v>
      </c>
      <c r="L28">
        <f t="shared" si="1"/>
        <v>0</v>
      </c>
      <c r="M28">
        <f t="shared" si="2"/>
        <v>0</v>
      </c>
      <c r="N28">
        <f t="shared" si="3"/>
        <v>0</v>
      </c>
      <c r="O28">
        <v>0</v>
      </c>
      <c r="P28" s="29">
        <f t="shared" si="4"/>
        <v>0</v>
      </c>
      <c r="R28">
        <v>0</v>
      </c>
      <c r="S28">
        <f t="shared" si="5"/>
        <v>0</v>
      </c>
      <c r="T28">
        <f t="shared" si="6"/>
        <v>0</v>
      </c>
    </row>
    <row r="29" spans="1:20">
      <c r="A29" t="s">
        <v>112</v>
      </c>
      <c r="B29">
        <v>0</v>
      </c>
      <c r="C29">
        <v>0</v>
      </c>
      <c r="H29">
        <v>0</v>
      </c>
      <c r="I29">
        <v>0</v>
      </c>
      <c r="K29" s="102">
        <f t="shared" si="0"/>
        <v>0</v>
      </c>
      <c r="L29">
        <f t="shared" si="1"/>
        <v>0</v>
      </c>
      <c r="M29">
        <f t="shared" si="2"/>
        <v>0</v>
      </c>
      <c r="N29">
        <f t="shared" si="3"/>
        <v>0</v>
      </c>
      <c r="O29">
        <v>0</v>
      </c>
      <c r="P29" s="29">
        <f t="shared" si="4"/>
        <v>0</v>
      </c>
      <c r="R29">
        <v>0</v>
      </c>
      <c r="S29">
        <f t="shared" si="5"/>
        <v>0</v>
      </c>
      <c r="T29">
        <f t="shared" si="6"/>
        <v>0</v>
      </c>
    </row>
    <row r="30" spans="1:20">
      <c r="A30" t="s">
        <v>113</v>
      </c>
      <c r="B30">
        <v>0</v>
      </c>
      <c r="C30">
        <v>0</v>
      </c>
      <c r="H30">
        <v>0</v>
      </c>
      <c r="I30">
        <v>0</v>
      </c>
      <c r="K30" s="102">
        <f t="shared" si="0"/>
        <v>0</v>
      </c>
      <c r="L30">
        <f t="shared" si="1"/>
        <v>0</v>
      </c>
      <c r="M30">
        <f t="shared" si="2"/>
        <v>0</v>
      </c>
      <c r="N30">
        <f t="shared" si="3"/>
        <v>0</v>
      </c>
      <c r="O30">
        <v>0</v>
      </c>
      <c r="P30" s="29">
        <f t="shared" si="4"/>
        <v>0</v>
      </c>
      <c r="R30">
        <v>0</v>
      </c>
      <c r="S30">
        <f t="shared" si="5"/>
        <v>0</v>
      </c>
      <c r="T30">
        <f t="shared" si="6"/>
        <v>0</v>
      </c>
    </row>
    <row r="31" spans="1:20" ht="15.5" customHeight="1">
      <c r="A31" s="24" t="s">
        <v>258</v>
      </c>
    </row>
    <row r="34" spans="1:9" ht="15.5" customHeight="1">
      <c r="A34" s="23" t="s">
        <v>116</v>
      </c>
      <c r="B34">
        <v>0</v>
      </c>
      <c r="C34">
        <v>0</v>
      </c>
      <c r="H34">
        <v>0</v>
      </c>
      <c r="I34">
        <v>0</v>
      </c>
    </row>
    <row r="35" spans="1:9">
      <c r="A35" t="s">
        <v>118</v>
      </c>
      <c r="B35">
        <v>0</v>
      </c>
      <c r="C35">
        <v>0</v>
      </c>
      <c r="H35">
        <v>0</v>
      </c>
      <c r="I35">
        <v>0</v>
      </c>
    </row>
    <row r="36" spans="1:9">
      <c r="A36" t="s">
        <v>119</v>
      </c>
      <c r="B36">
        <v>0</v>
      </c>
      <c r="C36">
        <v>0</v>
      </c>
      <c r="H36">
        <v>0</v>
      </c>
      <c r="I36">
        <v>0</v>
      </c>
    </row>
    <row r="37" spans="1:9">
      <c r="A37" t="s">
        <v>120</v>
      </c>
      <c r="B37">
        <v>0</v>
      </c>
      <c r="C37">
        <v>0</v>
      </c>
      <c r="H37">
        <v>0</v>
      </c>
      <c r="I37">
        <v>0</v>
      </c>
    </row>
    <row r="38" spans="1:9">
      <c r="A38" t="s">
        <v>121</v>
      </c>
      <c r="B38">
        <v>0</v>
      </c>
      <c r="C38">
        <v>0</v>
      </c>
      <c r="H38">
        <v>0</v>
      </c>
      <c r="I38">
        <v>0</v>
      </c>
    </row>
    <row r="39" spans="1:9" ht="15.5" customHeight="1">
      <c r="A39" s="24" t="s">
        <v>259</v>
      </c>
      <c r="B39">
        <v>0</v>
      </c>
      <c r="C39">
        <v>0</v>
      </c>
      <c r="H39">
        <v>0</v>
      </c>
      <c r="I39">
        <v>0</v>
      </c>
    </row>
    <row r="40" spans="1:9">
      <c r="B40">
        <v>0</v>
      </c>
      <c r="C40">
        <v>0</v>
      </c>
      <c r="H40">
        <v>0</v>
      </c>
      <c r="I40">
        <v>0</v>
      </c>
    </row>
    <row r="41" spans="1:9">
      <c r="B41">
        <v>0</v>
      </c>
      <c r="C41">
        <v>0</v>
      </c>
      <c r="H41">
        <v>0</v>
      </c>
      <c r="I41">
        <v>0</v>
      </c>
    </row>
    <row r="42" spans="1:9" ht="15.5" customHeight="1">
      <c r="A42" s="23" t="s">
        <v>122</v>
      </c>
      <c r="B42">
        <v>0</v>
      </c>
      <c r="C42">
        <v>0</v>
      </c>
      <c r="H42">
        <v>0</v>
      </c>
      <c r="I42">
        <v>0</v>
      </c>
    </row>
    <row r="43" spans="1:9">
      <c r="A43" t="s">
        <v>123</v>
      </c>
      <c r="B43">
        <v>0</v>
      </c>
      <c r="C43">
        <v>0</v>
      </c>
      <c r="H43">
        <v>0</v>
      </c>
      <c r="I43">
        <v>0</v>
      </c>
    </row>
    <row r="44" spans="1:9">
      <c r="A44" t="s">
        <v>260</v>
      </c>
      <c r="B44">
        <v>0</v>
      </c>
      <c r="C44">
        <v>0</v>
      </c>
      <c r="H44">
        <v>0</v>
      </c>
      <c r="I44">
        <v>0</v>
      </c>
    </row>
    <row r="45" spans="1:9">
      <c r="A45" t="s">
        <v>261</v>
      </c>
      <c r="B45">
        <v>0</v>
      </c>
      <c r="C45">
        <v>0</v>
      </c>
      <c r="H45">
        <v>0</v>
      </c>
      <c r="I45">
        <v>0</v>
      </c>
    </row>
    <row r="46" spans="1:9">
      <c r="A46" t="s">
        <v>262</v>
      </c>
      <c r="B46">
        <v>0</v>
      </c>
      <c r="C46">
        <v>0</v>
      </c>
      <c r="H46">
        <v>0</v>
      </c>
      <c r="I46">
        <v>0</v>
      </c>
    </row>
    <row r="47" spans="1:9">
      <c r="A47" s="25" t="s">
        <v>263</v>
      </c>
      <c r="B47">
        <v>0</v>
      </c>
      <c r="C47">
        <v>0</v>
      </c>
      <c r="H47">
        <v>0</v>
      </c>
      <c r="I47">
        <v>0</v>
      </c>
    </row>
    <row r="48" spans="1:9">
      <c r="A48" t="s">
        <v>264</v>
      </c>
    </row>
    <row r="49" spans="1:9">
      <c r="A49" s="16" t="s">
        <v>265</v>
      </c>
    </row>
    <row r="50" spans="1:9">
      <c r="A50" s="16" t="s">
        <v>266</v>
      </c>
    </row>
    <row r="51" spans="1:9">
      <c r="A51" s="16" t="s">
        <v>267</v>
      </c>
    </row>
    <row r="52" spans="1:9">
      <c r="A52" s="16" t="s">
        <v>268</v>
      </c>
    </row>
    <row r="53" spans="1:9">
      <c r="A53" s="26" t="s">
        <v>269</v>
      </c>
      <c r="B53">
        <v>0</v>
      </c>
      <c r="C53">
        <v>0</v>
      </c>
      <c r="H53">
        <v>18</v>
      </c>
      <c r="I53">
        <v>20</v>
      </c>
    </row>
    <row r="54" spans="1:9">
      <c r="A54" s="19" t="s">
        <v>270</v>
      </c>
    </row>
    <row r="55" spans="1:9">
      <c r="A55" s="16" t="s">
        <v>265</v>
      </c>
    </row>
    <row r="56" spans="1:9">
      <c r="A56" s="16" t="s">
        <v>266</v>
      </c>
    </row>
    <row r="57" spans="1:9">
      <c r="A57" s="16" t="s">
        <v>267</v>
      </c>
    </row>
    <row r="58" spans="1:9">
      <c r="A58" s="16" t="s">
        <v>268</v>
      </c>
    </row>
    <row r="59" spans="1:9">
      <c r="A59" s="26" t="s">
        <v>271</v>
      </c>
      <c r="B59">
        <v>0</v>
      </c>
      <c r="C59">
        <v>0</v>
      </c>
      <c r="H59">
        <v>0</v>
      </c>
      <c r="I59">
        <v>21</v>
      </c>
    </row>
    <row r="60" spans="1:9">
      <c r="A60" t="s">
        <v>140</v>
      </c>
      <c r="B60">
        <v>0</v>
      </c>
      <c r="C60">
        <v>0</v>
      </c>
      <c r="H60">
        <v>0</v>
      </c>
      <c r="I60">
        <v>0</v>
      </c>
    </row>
    <row r="61" spans="1:9">
      <c r="A61" t="s">
        <v>141</v>
      </c>
      <c r="B61">
        <v>0</v>
      </c>
      <c r="C61">
        <v>0</v>
      </c>
      <c r="H61">
        <v>0</v>
      </c>
      <c r="I61">
        <v>0</v>
      </c>
    </row>
    <row r="62" spans="1:9">
      <c r="A62" t="s">
        <v>142</v>
      </c>
      <c r="B62">
        <v>0</v>
      </c>
      <c r="C62">
        <v>0</v>
      </c>
      <c r="H62">
        <v>0</v>
      </c>
      <c r="I62">
        <v>0</v>
      </c>
    </row>
    <row r="63" spans="1:9">
      <c r="A63" s="27" t="s">
        <v>272</v>
      </c>
    </row>
    <row r="66" spans="1:20" ht="15.5" customHeight="1">
      <c r="A66" s="23" t="s">
        <v>143</v>
      </c>
    </row>
    <row r="67" spans="1:20">
      <c r="A67" s="20" t="s">
        <v>144</v>
      </c>
      <c r="L67">
        <f>B67+C67-H67</f>
        <v>0</v>
      </c>
      <c r="M67">
        <f>L67-B67</f>
        <v>0</v>
      </c>
      <c r="N67">
        <f>C67</f>
        <v>0</v>
      </c>
      <c r="O67">
        <v>0</v>
      </c>
      <c r="Q67">
        <f>R67*K67</f>
        <v>0</v>
      </c>
      <c r="R67">
        <v>0.89</v>
      </c>
      <c r="S67">
        <f>O67*M67</f>
        <v>0</v>
      </c>
      <c r="T67">
        <f>O67*N67</f>
        <v>0</v>
      </c>
    </row>
    <row r="68" spans="1:20">
      <c r="A68" t="s">
        <v>145</v>
      </c>
      <c r="L68">
        <f>B68+C68-H68</f>
        <v>0</v>
      </c>
      <c r="M68">
        <f>L68-B68</f>
        <v>0</v>
      </c>
      <c r="N68">
        <f>C68</f>
        <v>0</v>
      </c>
      <c r="O68">
        <v>0</v>
      </c>
      <c r="Q68">
        <f>R68*K68</f>
        <v>0</v>
      </c>
      <c r="R68">
        <v>0</v>
      </c>
      <c r="S68">
        <f>O68*M68</f>
        <v>0</v>
      </c>
      <c r="T68">
        <f>O68*N68</f>
        <v>0</v>
      </c>
    </row>
    <row r="69" spans="1:20">
      <c r="A69" t="s">
        <v>146</v>
      </c>
      <c r="B69">
        <v>0</v>
      </c>
      <c r="C69">
        <v>6</v>
      </c>
      <c r="H69">
        <v>6</v>
      </c>
      <c r="K69">
        <v>0</v>
      </c>
      <c r="L69">
        <f>B69+C69-H69</f>
        <v>0</v>
      </c>
      <c r="M69">
        <f>L69-B69</f>
        <v>0</v>
      </c>
      <c r="N69">
        <f>C69</f>
        <v>6</v>
      </c>
      <c r="O69">
        <v>0</v>
      </c>
      <c r="Q69">
        <f>R69*K69</f>
        <v>0</v>
      </c>
      <c r="R69">
        <v>0</v>
      </c>
      <c r="S69">
        <f>O69*M69</f>
        <v>0</v>
      </c>
      <c r="T69">
        <f>O69*N69</f>
        <v>0</v>
      </c>
    </row>
    <row r="70" spans="1:20">
      <c r="A70" t="s">
        <v>147</v>
      </c>
      <c r="B70">
        <v>0</v>
      </c>
      <c r="F70">
        <v>28</v>
      </c>
      <c r="G70">
        <v>18</v>
      </c>
      <c r="H70">
        <v>10</v>
      </c>
      <c r="K70">
        <v>0</v>
      </c>
      <c r="L70">
        <f>B70+C70-H70</f>
        <v>-10</v>
      </c>
      <c r="M70">
        <f>L70-B70</f>
        <v>-10</v>
      </c>
      <c r="N70">
        <f>C70</f>
        <v>0</v>
      </c>
      <c r="O70">
        <v>0</v>
      </c>
      <c r="Q70">
        <f>R70*K70</f>
        <v>0</v>
      </c>
      <c r="R70">
        <v>0</v>
      </c>
      <c r="S70">
        <f>O70*M70</f>
        <v>0</v>
      </c>
      <c r="T70">
        <f>O70*N70</f>
        <v>0</v>
      </c>
    </row>
    <row r="71" spans="1:20">
      <c r="A71" s="27" t="s">
        <v>273</v>
      </c>
    </row>
    <row r="72" spans="1:20">
      <c r="A72" s="28" t="s">
        <v>274</v>
      </c>
    </row>
    <row r="74" spans="1:20" ht="15.5" customHeight="1">
      <c r="A74" s="3" t="s">
        <v>148</v>
      </c>
    </row>
    <row r="75" spans="1:20">
      <c r="A75" t="s">
        <v>149</v>
      </c>
      <c r="B75">
        <v>0</v>
      </c>
      <c r="C75">
        <v>0</v>
      </c>
      <c r="H75">
        <v>0</v>
      </c>
      <c r="I75">
        <v>0</v>
      </c>
      <c r="S75">
        <f>O75*M75</f>
        <v>0</v>
      </c>
      <c r="T75">
        <f>O75*N75</f>
        <v>0</v>
      </c>
    </row>
    <row r="76" spans="1:20">
      <c r="A76" t="s">
        <v>150</v>
      </c>
      <c r="B76">
        <v>0</v>
      </c>
      <c r="C76">
        <v>0</v>
      </c>
      <c r="H76">
        <v>0</v>
      </c>
      <c r="I76">
        <v>0</v>
      </c>
      <c r="S76">
        <f>O76*M76</f>
        <v>0</v>
      </c>
      <c r="T76">
        <f>O76*N76</f>
        <v>0</v>
      </c>
    </row>
    <row r="77" spans="1:20">
      <c r="A77" t="s">
        <v>151</v>
      </c>
      <c r="S77">
        <f>SUM(S75:S76)</f>
        <v>0</v>
      </c>
      <c r="T77">
        <f>SUM(T75:T76)</f>
        <v>0</v>
      </c>
    </row>
    <row r="78" spans="1:20">
      <c r="A78" s="27" t="s">
        <v>175</v>
      </c>
    </row>
    <row r="81" spans="1:20" ht="15.5" customHeight="1">
      <c r="A81" s="3" t="s">
        <v>275</v>
      </c>
    </row>
    <row r="82" spans="1:20">
      <c r="A82" t="s">
        <v>276</v>
      </c>
      <c r="B82">
        <v>0</v>
      </c>
      <c r="C82">
        <v>0</v>
      </c>
      <c r="H82">
        <v>0</v>
      </c>
      <c r="I82">
        <v>0</v>
      </c>
      <c r="S82">
        <f>O82*M82</f>
        <v>0</v>
      </c>
      <c r="T82">
        <f>O82*N82</f>
        <v>0</v>
      </c>
    </row>
    <row r="83" spans="1:20">
      <c r="A83" t="s">
        <v>277</v>
      </c>
      <c r="B83">
        <v>0</v>
      </c>
      <c r="C83">
        <v>0</v>
      </c>
      <c r="H83">
        <v>0</v>
      </c>
      <c r="I83">
        <v>0</v>
      </c>
      <c r="S83">
        <f>O83*M83</f>
        <v>0</v>
      </c>
      <c r="T83">
        <f>O83*N83</f>
        <v>0</v>
      </c>
    </row>
    <row r="84" spans="1:20">
      <c r="A84" t="s">
        <v>278</v>
      </c>
      <c r="B84">
        <v>0</v>
      </c>
      <c r="C84">
        <v>0</v>
      </c>
      <c r="H84">
        <v>0</v>
      </c>
      <c r="I84">
        <v>0</v>
      </c>
      <c r="S84">
        <f>O84*M84</f>
        <v>0</v>
      </c>
      <c r="T84">
        <f>O84*N84</f>
        <v>0</v>
      </c>
    </row>
    <row r="85" spans="1:20" ht="15.5" customHeight="1">
      <c r="A85" s="22" t="s">
        <v>272</v>
      </c>
    </row>
    <row r="87" spans="1:20" ht="15.5" customHeight="1">
      <c r="A87" s="3" t="s">
        <v>279</v>
      </c>
    </row>
    <row r="88" spans="1:20">
      <c r="A88" t="s">
        <v>280</v>
      </c>
      <c r="B88">
        <v>0</v>
      </c>
      <c r="C88">
        <v>0</v>
      </c>
      <c r="H88">
        <v>0</v>
      </c>
      <c r="I88">
        <v>0</v>
      </c>
      <c r="S88">
        <f>O88*M88</f>
        <v>0</v>
      </c>
      <c r="T88">
        <f>O88*N88</f>
        <v>0</v>
      </c>
    </row>
    <row r="89" spans="1:20">
      <c r="A89" t="s">
        <v>281</v>
      </c>
      <c r="B89">
        <v>0</v>
      </c>
      <c r="C89">
        <v>0</v>
      </c>
      <c r="H89">
        <v>0</v>
      </c>
      <c r="I89">
        <v>0</v>
      </c>
      <c r="S89">
        <f>O89*M89</f>
        <v>0</v>
      </c>
      <c r="T89">
        <f>O89*N89</f>
        <v>0</v>
      </c>
    </row>
    <row r="90" spans="1:20" ht="15.5" customHeight="1">
      <c r="A90" s="22" t="s">
        <v>175</v>
      </c>
    </row>
    <row r="92" spans="1:20" ht="15.5" customHeight="1">
      <c r="A92" s="3" t="s">
        <v>154</v>
      </c>
    </row>
    <row r="93" spans="1:20">
      <c r="A93" t="s">
        <v>154</v>
      </c>
      <c r="B93">
        <v>0</v>
      </c>
      <c r="C93">
        <v>0</v>
      </c>
      <c r="H93">
        <v>0</v>
      </c>
      <c r="I93">
        <v>0</v>
      </c>
      <c r="S93">
        <f>O93*M93</f>
        <v>0</v>
      </c>
      <c r="T93">
        <f>O93*N93</f>
        <v>0</v>
      </c>
    </row>
    <row r="94" spans="1:20" ht="15.5" customHeight="1">
      <c r="A94" s="22" t="s">
        <v>175</v>
      </c>
    </row>
    <row r="95" spans="1:20" ht="15.5" customHeight="1">
      <c r="A95" s="4"/>
    </row>
    <row r="96" spans="1:20" ht="15.5" customHeight="1">
      <c r="A96" s="22" t="s">
        <v>282</v>
      </c>
    </row>
    <row r="99" spans="1:9" ht="15.5" customHeight="1">
      <c r="A99" s="3" t="s">
        <v>283</v>
      </c>
      <c r="B99">
        <v>0</v>
      </c>
      <c r="C99">
        <v>0</v>
      </c>
      <c r="H99">
        <v>0</v>
      </c>
      <c r="I99">
        <v>0</v>
      </c>
    </row>
    <row r="102" spans="1:9" ht="15.5" customHeight="1">
      <c r="A102" s="4" t="s">
        <v>284</v>
      </c>
    </row>
    <row r="103" spans="1:9" ht="15.5" customHeight="1">
      <c r="A103" s="3" t="s">
        <v>285</v>
      </c>
    </row>
    <row r="104" spans="1:9">
      <c r="A104" t="s">
        <v>286</v>
      </c>
    </row>
    <row r="105" spans="1:9">
      <c r="A105" t="s">
        <v>287</v>
      </c>
    </row>
    <row r="106" spans="1:9">
      <c r="A106" t="s">
        <v>288</v>
      </c>
    </row>
    <row r="107" spans="1:9">
      <c r="A107" t="s">
        <v>289</v>
      </c>
    </row>
    <row r="108" spans="1:9">
      <c r="A108" t="s">
        <v>290</v>
      </c>
    </row>
    <row r="109" spans="1:9">
      <c r="A109" t="s">
        <v>291</v>
      </c>
    </row>
    <row r="110" spans="1:9">
      <c r="A110" t="s">
        <v>292</v>
      </c>
    </row>
    <row r="111" spans="1:9">
      <c r="A111" t="s">
        <v>293</v>
      </c>
    </row>
    <row r="112" spans="1:9">
      <c r="A112" t="s">
        <v>294</v>
      </c>
    </row>
    <row r="113" spans="1:1">
      <c r="A113" t="s">
        <v>295</v>
      </c>
    </row>
    <row r="114" spans="1:1">
      <c r="A114" t="s">
        <v>296</v>
      </c>
    </row>
    <row r="115" spans="1:1">
      <c r="A115" t="s">
        <v>297</v>
      </c>
    </row>
    <row r="116" spans="1:1">
      <c r="A116" t="s">
        <v>298</v>
      </c>
    </row>
    <row r="117" spans="1:1">
      <c r="A117" t="s">
        <v>299</v>
      </c>
    </row>
    <row r="118" spans="1:1">
      <c r="A118" t="s">
        <v>300</v>
      </c>
    </row>
    <row r="119" spans="1:1">
      <c r="A119" t="s">
        <v>301</v>
      </c>
    </row>
    <row r="120" spans="1:1">
      <c r="A120" t="s">
        <v>302</v>
      </c>
    </row>
    <row r="121" spans="1:1">
      <c r="A121" t="s">
        <v>303</v>
      </c>
    </row>
    <row r="122" spans="1:1">
      <c r="A122" t="s">
        <v>304</v>
      </c>
    </row>
    <row r="123" spans="1:1">
      <c r="A123" t="s">
        <v>305</v>
      </c>
    </row>
    <row r="124" spans="1:1">
      <c r="A124" t="s">
        <v>306</v>
      </c>
    </row>
    <row r="125" spans="1:1">
      <c r="A125" t="s">
        <v>307</v>
      </c>
    </row>
    <row r="126" spans="1:1">
      <c r="A126" t="s">
        <v>308</v>
      </c>
    </row>
    <row r="127" spans="1:1">
      <c r="A127" t="s">
        <v>309</v>
      </c>
    </row>
    <row r="128" spans="1:1">
      <c r="A128" t="s">
        <v>310</v>
      </c>
    </row>
  </sheetData>
  <mergeCells count="2">
    <mergeCell ref="C3:F3"/>
    <mergeCell ref="G3:J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38"/>
  <sheetViews>
    <sheetView workbookViewId="0">
      <selection activeCell="B35" sqref="B35"/>
    </sheetView>
  </sheetViews>
  <sheetFormatPr defaultRowHeight="14.5"/>
  <sheetData>
    <row r="1" spans="1:30">
      <c r="A1" t="s">
        <v>166</v>
      </c>
      <c r="B1" t="s">
        <v>217</v>
      </c>
      <c r="C1" t="s">
        <v>311</v>
      </c>
      <c r="D1" t="s">
        <v>312</v>
      </c>
      <c r="E1" t="s">
        <v>313</v>
      </c>
      <c r="F1" t="s">
        <v>314</v>
      </c>
      <c r="G1" t="s">
        <v>315</v>
      </c>
      <c r="H1" t="s">
        <v>316</v>
      </c>
      <c r="I1" t="s">
        <v>317</v>
      </c>
      <c r="J1" t="s">
        <v>318</v>
      </c>
      <c r="K1" t="s">
        <v>319</v>
      </c>
      <c r="L1" t="s">
        <v>320</v>
      </c>
      <c r="M1" t="s">
        <v>321</v>
      </c>
      <c r="N1" t="s">
        <v>322</v>
      </c>
      <c r="O1" t="s">
        <v>323</v>
      </c>
      <c r="P1" t="s">
        <v>324</v>
      </c>
      <c r="Q1" t="s">
        <v>325</v>
      </c>
      <c r="R1" t="s">
        <v>326</v>
      </c>
      <c r="S1" t="s">
        <v>327</v>
      </c>
      <c r="T1" t="s">
        <v>328</v>
      </c>
      <c r="U1" t="s">
        <v>329</v>
      </c>
      <c r="V1" t="s">
        <v>330</v>
      </c>
      <c r="W1" t="s">
        <v>331</v>
      </c>
      <c r="X1" t="s">
        <v>332</v>
      </c>
      <c r="Y1" t="s">
        <v>333</v>
      </c>
      <c r="Z1" t="s">
        <v>334</v>
      </c>
      <c r="AA1" t="s">
        <v>335</v>
      </c>
      <c r="AB1" t="s">
        <v>336</v>
      </c>
      <c r="AC1" t="s">
        <v>337</v>
      </c>
      <c r="AD1" t="s">
        <v>338</v>
      </c>
    </row>
    <row r="2" spans="1:30">
      <c r="A2" t="s">
        <v>339</v>
      </c>
      <c r="B2" t="s">
        <v>340</v>
      </c>
      <c r="C2">
        <v>0</v>
      </c>
      <c r="D2">
        <v>0</v>
      </c>
      <c r="E2">
        <v>0</v>
      </c>
      <c r="F2">
        <v>0</v>
      </c>
      <c r="H2">
        <v>0</v>
      </c>
      <c r="I2">
        <v>0</v>
      </c>
      <c r="J2">
        <v>0</v>
      </c>
      <c r="K2">
        <v>0</v>
      </c>
      <c r="L2">
        <v>0</v>
      </c>
      <c r="M2">
        <v>0</v>
      </c>
      <c r="N2">
        <v>0</v>
      </c>
    </row>
    <row r="3" spans="1:30">
      <c r="A3" t="s">
        <v>341</v>
      </c>
      <c r="B3" t="s">
        <v>342</v>
      </c>
      <c r="C3">
        <v>3.7</v>
      </c>
      <c r="D3">
        <v>3</v>
      </c>
      <c r="E3">
        <v>14</v>
      </c>
      <c r="F3">
        <v>0.75</v>
      </c>
      <c r="H3">
        <v>0</v>
      </c>
      <c r="I3">
        <v>0</v>
      </c>
      <c r="J3">
        <v>0</v>
      </c>
      <c r="K3">
        <v>0</v>
      </c>
      <c r="L3">
        <v>0</v>
      </c>
      <c r="M3">
        <v>0</v>
      </c>
      <c r="N3">
        <v>0</v>
      </c>
    </row>
    <row r="4" spans="1:30">
      <c r="A4" t="s">
        <v>341</v>
      </c>
      <c r="B4" t="s">
        <v>343</v>
      </c>
      <c r="C4">
        <v>3.7</v>
      </c>
      <c r="D4">
        <v>3</v>
      </c>
      <c r="E4">
        <v>14</v>
      </c>
      <c r="F4">
        <v>0.75</v>
      </c>
      <c r="H4">
        <v>0</v>
      </c>
      <c r="I4">
        <v>0</v>
      </c>
      <c r="J4">
        <v>0</v>
      </c>
      <c r="K4">
        <v>0</v>
      </c>
      <c r="L4">
        <v>0</v>
      </c>
      <c r="M4">
        <v>0</v>
      </c>
      <c r="N4">
        <v>0</v>
      </c>
    </row>
    <row r="5" spans="1:30">
      <c r="A5" t="s">
        <v>344</v>
      </c>
      <c r="B5" t="s">
        <v>345</v>
      </c>
      <c r="C5">
        <v>1.76</v>
      </c>
      <c r="D5">
        <v>1</v>
      </c>
      <c r="E5">
        <v>15</v>
      </c>
      <c r="F5">
        <v>3</v>
      </c>
      <c r="H5">
        <v>0</v>
      </c>
      <c r="I5">
        <v>0</v>
      </c>
      <c r="J5">
        <v>0</v>
      </c>
      <c r="K5">
        <v>0</v>
      </c>
      <c r="L5">
        <v>0</v>
      </c>
      <c r="M5">
        <v>0</v>
      </c>
      <c r="N5">
        <v>0</v>
      </c>
    </row>
    <row r="6" spans="1:30">
      <c r="A6" t="s">
        <v>344</v>
      </c>
      <c r="B6" t="s">
        <v>346</v>
      </c>
      <c r="C6">
        <v>1.83</v>
      </c>
      <c r="D6">
        <v>1</v>
      </c>
      <c r="E6">
        <v>16</v>
      </c>
      <c r="F6">
        <v>8</v>
      </c>
      <c r="H6">
        <v>0</v>
      </c>
      <c r="I6">
        <v>0</v>
      </c>
      <c r="J6">
        <v>0</v>
      </c>
      <c r="K6">
        <v>0</v>
      </c>
      <c r="L6">
        <v>0</v>
      </c>
      <c r="M6">
        <v>0</v>
      </c>
      <c r="N6">
        <v>0</v>
      </c>
    </row>
    <row r="7" spans="1:30">
      <c r="A7" t="s">
        <v>344</v>
      </c>
      <c r="B7" t="s">
        <v>347</v>
      </c>
      <c r="C7">
        <v>1.78</v>
      </c>
      <c r="D7">
        <v>1</v>
      </c>
      <c r="E7">
        <v>15</v>
      </c>
      <c r="F7">
        <v>7.25</v>
      </c>
      <c r="H7">
        <v>0</v>
      </c>
      <c r="I7">
        <v>0</v>
      </c>
      <c r="J7">
        <v>0</v>
      </c>
      <c r="K7">
        <v>0</v>
      </c>
      <c r="L7">
        <v>0</v>
      </c>
      <c r="M7">
        <v>0</v>
      </c>
      <c r="N7">
        <v>0</v>
      </c>
    </row>
    <row r="8" spans="1:30">
      <c r="A8" t="s">
        <v>344</v>
      </c>
      <c r="B8" t="s">
        <v>348</v>
      </c>
      <c r="C8">
        <v>2.44</v>
      </c>
      <c r="D8">
        <v>2</v>
      </c>
      <c r="E8">
        <v>8</v>
      </c>
      <c r="F8">
        <v>10</v>
      </c>
      <c r="H8">
        <v>0</v>
      </c>
      <c r="I8">
        <v>0</v>
      </c>
      <c r="J8">
        <v>0</v>
      </c>
      <c r="K8">
        <v>0</v>
      </c>
      <c r="L8">
        <v>0</v>
      </c>
      <c r="M8">
        <v>0</v>
      </c>
      <c r="N8">
        <v>0</v>
      </c>
    </row>
    <row r="9" spans="1:30">
      <c r="A9" t="s">
        <v>344</v>
      </c>
      <c r="B9" t="s">
        <v>349</v>
      </c>
      <c r="C9">
        <v>7.82</v>
      </c>
      <c r="D9">
        <v>7</v>
      </c>
      <c r="E9">
        <v>16</v>
      </c>
      <c r="F9">
        <v>5.75</v>
      </c>
      <c r="H9">
        <v>0</v>
      </c>
      <c r="I9">
        <v>0</v>
      </c>
      <c r="J9">
        <v>0</v>
      </c>
      <c r="K9">
        <v>0</v>
      </c>
      <c r="L9">
        <v>0</v>
      </c>
      <c r="M9">
        <v>0</v>
      </c>
      <c r="N9">
        <v>0</v>
      </c>
    </row>
    <row r="10" spans="1:30">
      <c r="A10" t="s">
        <v>350</v>
      </c>
      <c r="B10" t="s">
        <v>351</v>
      </c>
      <c r="C10">
        <v>0.23</v>
      </c>
      <c r="D10">
        <v>0</v>
      </c>
      <c r="E10">
        <v>4</v>
      </c>
      <c r="F10">
        <v>8</v>
      </c>
      <c r="H10">
        <v>0</v>
      </c>
      <c r="I10">
        <v>0</v>
      </c>
      <c r="J10">
        <v>0</v>
      </c>
      <c r="K10">
        <v>0</v>
      </c>
      <c r="L10">
        <v>0</v>
      </c>
      <c r="M10">
        <v>0</v>
      </c>
      <c r="N10">
        <v>0</v>
      </c>
    </row>
    <row r="11" spans="1:30">
      <c r="A11" t="s">
        <v>350</v>
      </c>
      <c r="B11" t="s">
        <v>352</v>
      </c>
      <c r="C11">
        <v>0.1</v>
      </c>
      <c r="D11">
        <v>0</v>
      </c>
      <c r="E11">
        <v>2</v>
      </c>
      <c r="F11">
        <v>0</v>
      </c>
      <c r="H11">
        <v>0</v>
      </c>
      <c r="I11">
        <v>0</v>
      </c>
      <c r="J11">
        <v>0</v>
      </c>
      <c r="K11">
        <v>0</v>
      </c>
      <c r="L11">
        <v>0</v>
      </c>
      <c r="M11">
        <v>0</v>
      </c>
      <c r="N11">
        <v>0</v>
      </c>
    </row>
    <row r="12" spans="1:30">
      <c r="A12" t="s">
        <v>350</v>
      </c>
      <c r="B12" t="s">
        <v>353</v>
      </c>
      <c r="C12">
        <v>0.33</v>
      </c>
      <c r="D12">
        <v>0</v>
      </c>
      <c r="E12">
        <v>6</v>
      </c>
      <c r="F12">
        <v>8</v>
      </c>
      <c r="H12">
        <v>0</v>
      </c>
      <c r="I12">
        <v>0</v>
      </c>
      <c r="J12">
        <v>0</v>
      </c>
      <c r="K12">
        <v>0</v>
      </c>
      <c r="L12">
        <v>0</v>
      </c>
      <c r="M12">
        <v>0</v>
      </c>
      <c r="N12">
        <v>0</v>
      </c>
    </row>
    <row r="13" spans="1:30">
      <c r="A13" t="s">
        <v>354</v>
      </c>
      <c r="B13" t="s">
        <v>355</v>
      </c>
      <c r="C13">
        <v>0</v>
      </c>
      <c r="D13">
        <v>0</v>
      </c>
      <c r="E13">
        <v>0</v>
      </c>
      <c r="F13">
        <v>0</v>
      </c>
      <c r="H13">
        <v>0</v>
      </c>
      <c r="I13">
        <v>0</v>
      </c>
      <c r="J13">
        <v>0</v>
      </c>
      <c r="K13">
        <v>0</v>
      </c>
      <c r="L13">
        <v>0</v>
      </c>
      <c r="M13">
        <v>0</v>
      </c>
      <c r="N13">
        <v>0</v>
      </c>
    </row>
    <row r="14" spans="1:30">
      <c r="A14" t="s">
        <v>356</v>
      </c>
      <c r="B14" t="s">
        <v>357</v>
      </c>
      <c r="C14">
        <v>7.49</v>
      </c>
      <c r="D14">
        <v>7</v>
      </c>
      <c r="E14">
        <v>9</v>
      </c>
      <c r="F14">
        <v>9.75</v>
      </c>
      <c r="H14">
        <v>0</v>
      </c>
      <c r="I14">
        <v>0</v>
      </c>
      <c r="J14">
        <v>0</v>
      </c>
      <c r="K14">
        <v>0</v>
      </c>
      <c r="L14">
        <v>0</v>
      </c>
      <c r="M14">
        <v>0</v>
      </c>
      <c r="N14">
        <v>0</v>
      </c>
    </row>
    <row r="15" spans="1:30">
      <c r="A15" t="s">
        <v>358</v>
      </c>
      <c r="B15" t="s">
        <v>359</v>
      </c>
      <c r="C15">
        <v>0.38</v>
      </c>
      <c r="D15">
        <v>0</v>
      </c>
      <c r="E15">
        <v>7</v>
      </c>
      <c r="F15">
        <v>6</v>
      </c>
      <c r="H15">
        <v>0</v>
      </c>
      <c r="I15">
        <v>0</v>
      </c>
      <c r="J15">
        <v>0</v>
      </c>
      <c r="K15">
        <v>0</v>
      </c>
      <c r="L15">
        <v>0</v>
      </c>
      <c r="M15">
        <v>0</v>
      </c>
      <c r="N15">
        <v>0</v>
      </c>
    </row>
    <row r="16" spans="1:30">
      <c r="A16" t="s">
        <v>358</v>
      </c>
      <c r="B16" t="s">
        <v>360</v>
      </c>
      <c r="C16">
        <v>0.5</v>
      </c>
      <c r="D16">
        <v>0</v>
      </c>
      <c r="E16">
        <v>10</v>
      </c>
      <c r="F16">
        <v>0</v>
      </c>
      <c r="H16">
        <v>0</v>
      </c>
      <c r="I16">
        <v>0</v>
      </c>
      <c r="J16">
        <v>0</v>
      </c>
      <c r="K16">
        <v>0</v>
      </c>
      <c r="L16">
        <v>0</v>
      </c>
      <c r="M16">
        <v>0</v>
      </c>
      <c r="N16">
        <v>0</v>
      </c>
    </row>
    <row r="17" spans="1:14">
      <c r="A17" t="s">
        <v>358</v>
      </c>
      <c r="B17" t="s">
        <v>361</v>
      </c>
      <c r="C17">
        <v>2</v>
      </c>
      <c r="D17">
        <v>2</v>
      </c>
      <c r="E17">
        <v>0</v>
      </c>
      <c r="F17">
        <v>0</v>
      </c>
      <c r="H17">
        <v>0</v>
      </c>
      <c r="I17">
        <v>0</v>
      </c>
      <c r="J17">
        <v>0</v>
      </c>
      <c r="K17">
        <v>0</v>
      </c>
      <c r="L17">
        <v>0</v>
      </c>
      <c r="M17">
        <v>0</v>
      </c>
      <c r="N17">
        <v>0</v>
      </c>
    </row>
    <row r="18" spans="1:14">
      <c r="A18" t="s">
        <v>358</v>
      </c>
      <c r="B18" t="s">
        <v>362</v>
      </c>
      <c r="C18">
        <v>1.92</v>
      </c>
      <c r="D18">
        <v>1</v>
      </c>
      <c r="E18">
        <v>18</v>
      </c>
      <c r="F18">
        <v>4</v>
      </c>
      <c r="H18">
        <v>0</v>
      </c>
      <c r="I18">
        <v>0</v>
      </c>
      <c r="J18">
        <v>0</v>
      </c>
      <c r="K18">
        <v>0</v>
      </c>
      <c r="L18">
        <v>0</v>
      </c>
      <c r="M18">
        <v>0</v>
      </c>
      <c r="N18">
        <v>0</v>
      </c>
    </row>
    <row r="19" spans="1:14">
      <c r="A19" t="s">
        <v>358</v>
      </c>
      <c r="B19" t="s">
        <v>363</v>
      </c>
      <c r="C19">
        <v>4.79</v>
      </c>
      <c r="D19">
        <v>4</v>
      </c>
      <c r="E19">
        <v>15</v>
      </c>
      <c r="F19">
        <v>10</v>
      </c>
      <c r="H19">
        <v>0</v>
      </c>
      <c r="I19">
        <v>0</v>
      </c>
      <c r="J19">
        <v>0</v>
      </c>
      <c r="K19">
        <v>0</v>
      </c>
      <c r="L19">
        <v>0</v>
      </c>
      <c r="M19">
        <v>0</v>
      </c>
      <c r="N19">
        <v>0</v>
      </c>
    </row>
    <row r="20" spans="1:14">
      <c r="A20" t="s">
        <v>364</v>
      </c>
      <c r="B20" t="s">
        <v>365</v>
      </c>
      <c r="C20">
        <v>0.33</v>
      </c>
      <c r="D20">
        <v>0</v>
      </c>
      <c r="E20">
        <v>6</v>
      </c>
      <c r="F20">
        <v>8</v>
      </c>
      <c r="H20">
        <v>0</v>
      </c>
      <c r="I20">
        <v>0</v>
      </c>
      <c r="J20">
        <v>0</v>
      </c>
      <c r="K20">
        <v>0</v>
      </c>
      <c r="L20">
        <v>0</v>
      </c>
      <c r="M20">
        <v>0</v>
      </c>
      <c r="N20">
        <v>0</v>
      </c>
    </row>
    <row r="21" spans="1:14">
      <c r="A21" t="s">
        <v>364</v>
      </c>
      <c r="B21" t="s">
        <v>353</v>
      </c>
      <c r="C21">
        <v>0.33</v>
      </c>
      <c r="D21">
        <v>0</v>
      </c>
      <c r="E21">
        <v>6</v>
      </c>
      <c r="F21">
        <v>8</v>
      </c>
      <c r="H21">
        <v>0</v>
      </c>
      <c r="I21">
        <v>0</v>
      </c>
      <c r="J21">
        <v>0</v>
      </c>
      <c r="K21">
        <v>0</v>
      </c>
      <c r="L21">
        <v>0</v>
      </c>
      <c r="M21">
        <v>0</v>
      </c>
      <c r="N21">
        <v>0</v>
      </c>
    </row>
    <row r="22" spans="1:14">
      <c r="A22" t="s">
        <v>366</v>
      </c>
      <c r="B22" t="s">
        <v>367</v>
      </c>
      <c r="C22">
        <v>4.46</v>
      </c>
      <c r="D22">
        <v>4</v>
      </c>
      <c r="E22">
        <v>9</v>
      </c>
      <c r="F22">
        <v>2</v>
      </c>
      <c r="H22">
        <v>0</v>
      </c>
      <c r="I22">
        <v>0</v>
      </c>
      <c r="J22">
        <v>0</v>
      </c>
      <c r="K22">
        <v>0</v>
      </c>
      <c r="L22">
        <v>0</v>
      </c>
      <c r="M22">
        <v>0</v>
      </c>
      <c r="N22">
        <v>0</v>
      </c>
    </row>
    <row r="23" spans="1:14">
      <c r="A23" t="s">
        <v>368</v>
      </c>
      <c r="B23" t="s">
        <v>369</v>
      </c>
      <c r="C23">
        <v>0.05</v>
      </c>
      <c r="D23">
        <v>0</v>
      </c>
      <c r="E23">
        <v>1</v>
      </c>
      <c r="F23">
        <v>0</v>
      </c>
      <c r="H23">
        <v>0</v>
      </c>
      <c r="I23">
        <v>0</v>
      </c>
      <c r="J23">
        <v>0</v>
      </c>
      <c r="K23">
        <v>0</v>
      </c>
      <c r="L23">
        <v>0</v>
      </c>
      <c r="M23">
        <v>0</v>
      </c>
      <c r="N23">
        <v>0</v>
      </c>
    </row>
    <row r="24" spans="1:14">
      <c r="A24" t="s">
        <v>368</v>
      </c>
      <c r="B24" t="s">
        <v>370</v>
      </c>
      <c r="C24">
        <v>0.05</v>
      </c>
      <c r="D24">
        <v>0</v>
      </c>
      <c r="E24">
        <v>1</v>
      </c>
      <c r="F24">
        <v>0</v>
      </c>
      <c r="H24">
        <v>0</v>
      </c>
      <c r="I24">
        <v>0</v>
      </c>
      <c r="J24">
        <v>0</v>
      </c>
      <c r="K24">
        <v>0</v>
      </c>
      <c r="L24">
        <v>0</v>
      </c>
      <c r="M24">
        <v>0</v>
      </c>
      <c r="N24">
        <v>0</v>
      </c>
    </row>
    <row r="25" spans="1:14">
      <c r="A25" t="s">
        <v>371</v>
      </c>
      <c r="B25" t="s">
        <v>372</v>
      </c>
      <c r="C25">
        <v>0.13</v>
      </c>
      <c r="D25">
        <v>0</v>
      </c>
      <c r="E25">
        <v>2</v>
      </c>
      <c r="F25">
        <v>7</v>
      </c>
      <c r="H25">
        <v>0</v>
      </c>
      <c r="I25">
        <v>0</v>
      </c>
      <c r="J25">
        <v>0</v>
      </c>
      <c r="K25">
        <v>0</v>
      </c>
      <c r="L25">
        <v>0</v>
      </c>
      <c r="M25">
        <v>0</v>
      </c>
      <c r="N25">
        <v>0</v>
      </c>
    </row>
    <row r="26" spans="1:14">
      <c r="A26" t="s">
        <v>371</v>
      </c>
      <c r="B26" t="s">
        <v>373</v>
      </c>
      <c r="C26">
        <v>0.05</v>
      </c>
      <c r="D26">
        <v>0</v>
      </c>
      <c r="E26">
        <v>1</v>
      </c>
      <c r="F26">
        <v>0</v>
      </c>
      <c r="H26">
        <v>0</v>
      </c>
      <c r="I26">
        <v>0</v>
      </c>
      <c r="J26">
        <v>0</v>
      </c>
      <c r="K26">
        <v>0</v>
      </c>
      <c r="L26">
        <v>0</v>
      </c>
      <c r="M26">
        <v>0</v>
      </c>
      <c r="N26">
        <v>0</v>
      </c>
    </row>
    <row r="27" spans="1:14">
      <c r="A27" t="s">
        <v>371</v>
      </c>
      <c r="B27" t="s">
        <v>195</v>
      </c>
      <c r="C27">
        <v>0.28000000000000003</v>
      </c>
      <c r="D27">
        <v>0</v>
      </c>
      <c r="E27">
        <v>5</v>
      </c>
      <c r="F27">
        <v>8</v>
      </c>
      <c r="H27">
        <v>0</v>
      </c>
      <c r="I27">
        <v>0</v>
      </c>
      <c r="J27">
        <v>0</v>
      </c>
      <c r="K27">
        <v>0</v>
      </c>
      <c r="L27">
        <v>0</v>
      </c>
      <c r="M27">
        <v>0</v>
      </c>
      <c r="N27">
        <v>0</v>
      </c>
    </row>
    <row r="28" spans="1:14">
      <c r="A28" t="s">
        <v>371</v>
      </c>
      <c r="B28" t="s">
        <v>374</v>
      </c>
      <c r="C28">
        <v>0.23</v>
      </c>
      <c r="D28">
        <v>0</v>
      </c>
      <c r="E28">
        <v>4</v>
      </c>
      <c r="F28">
        <v>6</v>
      </c>
      <c r="H28">
        <v>0</v>
      </c>
      <c r="I28">
        <v>0</v>
      </c>
      <c r="J28">
        <v>0</v>
      </c>
      <c r="K28">
        <v>0</v>
      </c>
      <c r="L28">
        <v>0</v>
      </c>
      <c r="M28">
        <v>0</v>
      </c>
      <c r="N28">
        <v>0</v>
      </c>
    </row>
    <row r="29" spans="1:14">
      <c r="A29" t="s">
        <v>371</v>
      </c>
      <c r="B29" t="s">
        <v>375</v>
      </c>
      <c r="C29">
        <v>0.2</v>
      </c>
      <c r="D29">
        <v>0</v>
      </c>
      <c r="E29">
        <v>4</v>
      </c>
      <c r="F29">
        <v>0</v>
      </c>
      <c r="H29">
        <v>0</v>
      </c>
      <c r="I29">
        <v>0</v>
      </c>
      <c r="J29">
        <v>0</v>
      </c>
      <c r="K29">
        <v>0</v>
      </c>
      <c r="L29">
        <v>0</v>
      </c>
      <c r="M29">
        <v>0</v>
      </c>
      <c r="N29">
        <v>0</v>
      </c>
    </row>
    <row r="30" spans="1:14">
      <c r="A30" t="s">
        <v>371</v>
      </c>
      <c r="B30" t="s">
        <v>198</v>
      </c>
      <c r="C30">
        <v>0.23</v>
      </c>
      <c r="D30">
        <v>0</v>
      </c>
      <c r="E30">
        <v>4</v>
      </c>
      <c r="F30">
        <v>6</v>
      </c>
      <c r="H30">
        <v>0</v>
      </c>
      <c r="I30">
        <v>0</v>
      </c>
      <c r="J30">
        <v>0</v>
      </c>
      <c r="K30">
        <v>0</v>
      </c>
      <c r="L30">
        <v>0</v>
      </c>
      <c r="M30">
        <v>0</v>
      </c>
      <c r="N30">
        <v>0</v>
      </c>
    </row>
    <row r="31" spans="1:14">
      <c r="A31" t="s">
        <v>371</v>
      </c>
      <c r="B31" t="s">
        <v>199</v>
      </c>
      <c r="C31">
        <v>0.09</v>
      </c>
      <c r="D31">
        <v>0</v>
      </c>
      <c r="E31">
        <v>1</v>
      </c>
      <c r="F31">
        <v>9</v>
      </c>
      <c r="H31">
        <v>0</v>
      </c>
      <c r="I31">
        <v>0</v>
      </c>
      <c r="J31">
        <v>0</v>
      </c>
      <c r="K31">
        <v>0</v>
      </c>
      <c r="L31">
        <v>0</v>
      </c>
      <c r="M31">
        <v>0</v>
      </c>
      <c r="N31">
        <v>0</v>
      </c>
    </row>
    <row r="32" spans="1:14">
      <c r="A32" t="s">
        <v>371</v>
      </c>
      <c r="B32" t="s">
        <v>200</v>
      </c>
      <c r="C32">
        <v>0.61</v>
      </c>
      <c r="D32">
        <v>0</v>
      </c>
      <c r="E32">
        <v>1</v>
      </c>
      <c r="F32">
        <v>134</v>
      </c>
      <c r="H32">
        <v>0</v>
      </c>
      <c r="I32">
        <v>0</v>
      </c>
      <c r="J32">
        <v>0</v>
      </c>
      <c r="K32">
        <v>0</v>
      </c>
      <c r="L32">
        <v>0</v>
      </c>
      <c r="M32">
        <v>0</v>
      </c>
      <c r="N32">
        <v>0</v>
      </c>
    </row>
    <row r="33" spans="1:16">
      <c r="A33" t="s">
        <v>371</v>
      </c>
      <c r="B33" t="s">
        <v>376</v>
      </c>
      <c r="C33">
        <v>1.81</v>
      </c>
      <c r="D33">
        <v>1</v>
      </c>
      <c r="E33">
        <v>5</v>
      </c>
      <c r="F33">
        <v>134</v>
      </c>
      <c r="H33">
        <v>0</v>
      </c>
      <c r="I33">
        <v>0</v>
      </c>
      <c r="J33">
        <v>0</v>
      </c>
      <c r="K33">
        <v>0</v>
      </c>
      <c r="L33">
        <v>0</v>
      </c>
      <c r="M33">
        <v>0</v>
      </c>
      <c r="N33">
        <v>0</v>
      </c>
    </row>
    <row r="34" spans="1:16">
      <c r="A34" t="s">
        <v>377</v>
      </c>
      <c r="B34" t="s">
        <v>378</v>
      </c>
      <c r="C34">
        <v>1.1599999999999999</v>
      </c>
      <c r="D34">
        <v>1</v>
      </c>
      <c r="E34">
        <v>3</v>
      </c>
      <c r="F34">
        <v>1.5</v>
      </c>
      <c r="G34" t="s">
        <v>379</v>
      </c>
      <c r="H34">
        <v>2</v>
      </c>
      <c r="I34">
        <v>2</v>
      </c>
      <c r="J34">
        <v>2.25</v>
      </c>
      <c r="K34">
        <v>2.25</v>
      </c>
      <c r="L34">
        <v>0</v>
      </c>
      <c r="M34">
        <v>2</v>
      </c>
      <c r="N34">
        <v>2</v>
      </c>
      <c r="O34">
        <v>10</v>
      </c>
      <c r="P34">
        <v>0</v>
      </c>
    </row>
    <row r="35" spans="1:16">
      <c r="A35" t="s">
        <v>377</v>
      </c>
      <c r="B35" t="s">
        <v>380</v>
      </c>
      <c r="C35">
        <v>5.42</v>
      </c>
      <c r="D35">
        <v>5</v>
      </c>
      <c r="E35">
        <v>8</v>
      </c>
      <c r="F35">
        <v>4</v>
      </c>
      <c r="H35">
        <v>0</v>
      </c>
      <c r="I35">
        <v>0</v>
      </c>
      <c r="J35">
        <v>0</v>
      </c>
      <c r="K35">
        <v>0</v>
      </c>
      <c r="L35">
        <v>0</v>
      </c>
      <c r="M35">
        <v>0</v>
      </c>
      <c r="N35">
        <v>0</v>
      </c>
    </row>
    <row r="36" spans="1:16">
      <c r="A36" t="s">
        <v>377</v>
      </c>
      <c r="B36" t="s">
        <v>381</v>
      </c>
      <c r="C36">
        <v>0.67</v>
      </c>
      <c r="D36">
        <v>0</v>
      </c>
      <c r="E36">
        <v>13</v>
      </c>
      <c r="F36">
        <v>4</v>
      </c>
      <c r="H36">
        <v>0</v>
      </c>
      <c r="I36">
        <v>0</v>
      </c>
      <c r="J36">
        <v>0</v>
      </c>
      <c r="K36">
        <v>0</v>
      </c>
      <c r="L36">
        <v>0</v>
      </c>
      <c r="M36">
        <v>0</v>
      </c>
      <c r="N36">
        <v>0</v>
      </c>
    </row>
    <row r="37" spans="1:16">
      <c r="A37" t="s">
        <v>377</v>
      </c>
      <c r="B37" t="s">
        <v>382</v>
      </c>
      <c r="C37">
        <v>7.24</v>
      </c>
      <c r="D37">
        <v>7</v>
      </c>
      <c r="E37">
        <v>4</v>
      </c>
      <c r="F37">
        <v>9.5</v>
      </c>
      <c r="H37">
        <v>0</v>
      </c>
      <c r="I37">
        <v>0</v>
      </c>
      <c r="J37">
        <v>0</v>
      </c>
      <c r="K37">
        <v>0</v>
      </c>
      <c r="L37">
        <v>0</v>
      </c>
      <c r="M37">
        <v>0</v>
      </c>
      <c r="N37">
        <v>0</v>
      </c>
    </row>
    <row r="38" spans="1:16">
      <c r="A38" t="s">
        <v>383</v>
      </c>
      <c r="B38" t="s">
        <v>384</v>
      </c>
      <c r="C38">
        <v>5.33</v>
      </c>
      <c r="D38">
        <v>5</v>
      </c>
      <c r="E38">
        <v>6</v>
      </c>
      <c r="F38">
        <v>8</v>
      </c>
      <c r="H38">
        <v>0</v>
      </c>
      <c r="I38">
        <v>0</v>
      </c>
      <c r="J38">
        <v>0</v>
      </c>
      <c r="K38">
        <v>0</v>
      </c>
      <c r="L38">
        <v>0</v>
      </c>
      <c r="M38">
        <v>0</v>
      </c>
      <c r="N38">
        <v>0</v>
      </c>
    </row>
    <row r="39" spans="1:16">
      <c r="A39" t="s">
        <v>383</v>
      </c>
      <c r="B39" t="s">
        <v>385</v>
      </c>
      <c r="C39">
        <v>5.33</v>
      </c>
      <c r="D39">
        <v>5</v>
      </c>
      <c r="E39">
        <v>6</v>
      </c>
      <c r="F39">
        <v>8</v>
      </c>
      <c r="H39">
        <v>0</v>
      </c>
      <c r="I39">
        <v>0</v>
      </c>
      <c r="J39">
        <v>0</v>
      </c>
      <c r="K39">
        <v>0</v>
      </c>
      <c r="L39">
        <v>0</v>
      </c>
      <c r="M39">
        <v>0</v>
      </c>
      <c r="N39">
        <v>0</v>
      </c>
    </row>
    <row r="40" spans="1:16">
      <c r="A40" t="s">
        <v>386</v>
      </c>
      <c r="B40" t="s">
        <v>387</v>
      </c>
      <c r="C40">
        <v>0.2</v>
      </c>
      <c r="D40">
        <v>0</v>
      </c>
      <c r="E40">
        <v>4</v>
      </c>
      <c r="F40">
        <v>0</v>
      </c>
      <c r="H40">
        <v>0</v>
      </c>
      <c r="I40">
        <v>0</v>
      </c>
      <c r="J40">
        <v>0</v>
      </c>
      <c r="K40">
        <v>0</v>
      </c>
      <c r="L40">
        <v>0</v>
      </c>
      <c r="M40">
        <v>0</v>
      </c>
      <c r="N40">
        <v>0</v>
      </c>
    </row>
    <row r="41" spans="1:16">
      <c r="A41" t="s">
        <v>386</v>
      </c>
      <c r="B41" t="s">
        <v>388</v>
      </c>
      <c r="C41">
        <v>0.5</v>
      </c>
      <c r="D41">
        <v>0</v>
      </c>
      <c r="E41">
        <v>10</v>
      </c>
      <c r="F41">
        <v>0</v>
      </c>
      <c r="H41">
        <v>0</v>
      </c>
      <c r="I41">
        <v>0</v>
      </c>
      <c r="J41">
        <v>0</v>
      </c>
      <c r="K41">
        <v>0</v>
      </c>
      <c r="L41">
        <v>0</v>
      </c>
      <c r="M41">
        <v>0</v>
      </c>
      <c r="N41">
        <v>0</v>
      </c>
    </row>
    <row r="42" spans="1:16">
      <c r="A42" t="s">
        <v>386</v>
      </c>
      <c r="B42" t="s">
        <v>389</v>
      </c>
      <c r="C42">
        <v>0.33</v>
      </c>
      <c r="D42">
        <v>0</v>
      </c>
      <c r="E42">
        <v>6</v>
      </c>
      <c r="F42">
        <v>8</v>
      </c>
      <c r="H42">
        <v>0</v>
      </c>
      <c r="I42">
        <v>0</v>
      </c>
      <c r="J42">
        <v>0</v>
      </c>
      <c r="K42">
        <v>0</v>
      </c>
      <c r="L42">
        <v>0</v>
      </c>
      <c r="M42">
        <v>0</v>
      </c>
      <c r="N42">
        <v>0</v>
      </c>
    </row>
    <row r="43" spans="1:16">
      <c r="A43" t="s">
        <v>386</v>
      </c>
      <c r="B43" t="s">
        <v>390</v>
      </c>
      <c r="C43">
        <v>1.03</v>
      </c>
      <c r="D43">
        <v>1</v>
      </c>
      <c r="E43">
        <v>0</v>
      </c>
      <c r="F43">
        <v>8</v>
      </c>
      <c r="H43">
        <v>0</v>
      </c>
      <c r="I43">
        <v>0</v>
      </c>
      <c r="J43">
        <v>0</v>
      </c>
      <c r="K43">
        <v>0</v>
      </c>
      <c r="L43">
        <v>0</v>
      </c>
      <c r="M43">
        <v>0</v>
      </c>
      <c r="N43">
        <v>0</v>
      </c>
    </row>
    <row r="44" spans="1:16">
      <c r="A44" t="s">
        <v>391</v>
      </c>
      <c r="B44" t="s">
        <v>392</v>
      </c>
      <c r="C44">
        <v>0.13</v>
      </c>
      <c r="D44">
        <v>0</v>
      </c>
      <c r="E44">
        <v>2</v>
      </c>
      <c r="F44">
        <v>7</v>
      </c>
      <c r="H44">
        <v>0</v>
      </c>
      <c r="I44">
        <v>0</v>
      </c>
      <c r="J44">
        <v>0</v>
      </c>
      <c r="K44">
        <v>0</v>
      </c>
      <c r="L44">
        <v>0</v>
      </c>
      <c r="M44">
        <v>0</v>
      </c>
      <c r="N44">
        <v>0</v>
      </c>
    </row>
    <row r="45" spans="1:16">
      <c r="A45" t="s">
        <v>391</v>
      </c>
      <c r="B45" t="s">
        <v>210</v>
      </c>
      <c r="C45">
        <v>0.27</v>
      </c>
      <c r="D45">
        <v>0</v>
      </c>
      <c r="E45">
        <v>5</v>
      </c>
      <c r="F45">
        <v>4</v>
      </c>
      <c r="H45">
        <v>0</v>
      </c>
      <c r="I45">
        <v>0</v>
      </c>
      <c r="J45">
        <v>0</v>
      </c>
      <c r="K45">
        <v>0</v>
      </c>
      <c r="L45">
        <v>0</v>
      </c>
      <c r="M45">
        <v>0</v>
      </c>
      <c r="N45">
        <v>0</v>
      </c>
    </row>
    <row r="46" spans="1:16">
      <c r="A46" t="s">
        <v>391</v>
      </c>
      <c r="B46" t="s">
        <v>393</v>
      </c>
      <c r="C46">
        <v>0.1</v>
      </c>
      <c r="D46">
        <v>0</v>
      </c>
      <c r="E46">
        <v>2</v>
      </c>
      <c r="F46">
        <v>1</v>
      </c>
      <c r="H46">
        <v>0</v>
      </c>
      <c r="I46">
        <v>0</v>
      </c>
      <c r="J46">
        <v>0</v>
      </c>
      <c r="K46">
        <v>0</v>
      </c>
      <c r="L46">
        <v>0</v>
      </c>
      <c r="M46">
        <v>0</v>
      </c>
      <c r="N46">
        <v>0</v>
      </c>
    </row>
    <row r="47" spans="1:16">
      <c r="A47" t="s">
        <v>391</v>
      </c>
      <c r="B47" t="s">
        <v>212</v>
      </c>
      <c r="C47">
        <v>0.21</v>
      </c>
      <c r="D47">
        <v>0</v>
      </c>
      <c r="E47">
        <v>4</v>
      </c>
      <c r="F47">
        <v>3</v>
      </c>
      <c r="H47">
        <v>0</v>
      </c>
      <c r="I47">
        <v>0</v>
      </c>
      <c r="J47">
        <v>0</v>
      </c>
      <c r="K47">
        <v>0</v>
      </c>
      <c r="L47">
        <v>0</v>
      </c>
      <c r="M47">
        <v>0</v>
      </c>
      <c r="N47">
        <v>0</v>
      </c>
    </row>
    <row r="48" spans="1:16">
      <c r="A48" t="s">
        <v>391</v>
      </c>
      <c r="B48" t="s">
        <v>394</v>
      </c>
      <c r="C48">
        <v>0.71</v>
      </c>
      <c r="D48">
        <v>0</v>
      </c>
      <c r="E48">
        <v>14</v>
      </c>
      <c r="F48">
        <v>3</v>
      </c>
      <c r="H48">
        <v>0</v>
      </c>
      <c r="I48">
        <v>0</v>
      </c>
      <c r="J48">
        <v>0</v>
      </c>
      <c r="K48">
        <v>0</v>
      </c>
      <c r="L48">
        <v>0</v>
      </c>
      <c r="M48">
        <v>0</v>
      </c>
      <c r="N48">
        <v>0</v>
      </c>
    </row>
    <row r="49" spans="1:14">
      <c r="A49" t="s">
        <v>395</v>
      </c>
      <c r="B49" t="s">
        <v>396</v>
      </c>
      <c r="C49">
        <v>31.28</v>
      </c>
      <c r="D49">
        <v>31</v>
      </c>
      <c r="E49">
        <v>5</v>
      </c>
      <c r="F49">
        <v>6.75</v>
      </c>
      <c r="H49">
        <v>0</v>
      </c>
      <c r="I49">
        <v>0</v>
      </c>
      <c r="J49">
        <v>0</v>
      </c>
      <c r="K49">
        <v>0</v>
      </c>
      <c r="L49">
        <v>0</v>
      </c>
      <c r="M49">
        <v>0</v>
      </c>
      <c r="N49">
        <v>0</v>
      </c>
    </row>
    <row r="50" spans="1:14">
      <c r="A50" t="s">
        <v>397</v>
      </c>
      <c r="B50" t="s">
        <v>398</v>
      </c>
      <c r="C50">
        <v>0</v>
      </c>
      <c r="D50">
        <v>0</v>
      </c>
      <c r="E50">
        <v>0</v>
      </c>
      <c r="F50">
        <v>0</v>
      </c>
      <c r="H50">
        <v>0</v>
      </c>
      <c r="I50">
        <v>0</v>
      </c>
      <c r="J50">
        <v>0</v>
      </c>
      <c r="K50">
        <v>0</v>
      </c>
      <c r="L50">
        <v>0</v>
      </c>
      <c r="M50">
        <v>0</v>
      </c>
      <c r="N50">
        <v>0</v>
      </c>
    </row>
    <row r="51" spans="1:14">
      <c r="A51" t="s">
        <v>399</v>
      </c>
      <c r="B51" t="s">
        <v>400</v>
      </c>
      <c r="C51">
        <v>0.15</v>
      </c>
      <c r="D51">
        <v>0</v>
      </c>
      <c r="E51">
        <v>3</v>
      </c>
      <c r="F51">
        <v>0</v>
      </c>
      <c r="H51">
        <v>0</v>
      </c>
      <c r="I51">
        <v>0</v>
      </c>
      <c r="J51">
        <v>0</v>
      </c>
      <c r="K51">
        <v>0</v>
      </c>
      <c r="L51">
        <v>0</v>
      </c>
      <c r="M51">
        <v>0</v>
      </c>
      <c r="N51">
        <v>0</v>
      </c>
    </row>
    <row r="52" spans="1:14">
      <c r="A52" t="s">
        <v>399</v>
      </c>
      <c r="B52" t="s">
        <v>401</v>
      </c>
      <c r="C52">
        <v>0.2</v>
      </c>
      <c r="D52">
        <v>0</v>
      </c>
      <c r="E52">
        <v>4</v>
      </c>
      <c r="F52">
        <v>0</v>
      </c>
      <c r="H52">
        <v>0</v>
      </c>
      <c r="I52">
        <v>0</v>
      </c>
      <c r="J52">
        <v>0</v>
      </c>
      <c r="K52">
        <v>0</v>
      </c>
      <c r="L52">
        <v>0</v>
      </c>
      <c r="M52">
        <v>0</v>
      </c>
      <c r="N52">
        <v>0</v>
      </c>
    </row>
    <row r="53" spans="1:14">
      <c r="A53" t="s">
        <v>399</v>
      </c>
      <c r="B53" t="s">
        <v>402</v>
      </c>
      <c r="C53">
        <v>0.03</v>
      </c>
      <c r="D53">
        <v>0</v>
      </c>
      <c r="E53">
        <v>0</v>
      </c>
      <c r="F53">
        <v>6</v>
      </c>
      <c r="H53">
        <v>0</v>
      </c>
      <c r="I53">
        <v>0</v>
      </c>
      <c r="J53">
        <v>0</v>
      </c>
      <c r="K53">
        <v>0</v>
      </c>
      <c r="L53">
        <v>0</v>
      </c>
      <c r="M53">
        <v>0</v>
      </c>
      <c r="N53">
        <v>0</v>
      </c>
    </row>
    <row r="54" spans="1:14">
      <c r="A54" t="s">
        <v>399</v>
      </c>
      <c r="B54" t="s">
        <v>403</v>
      </c>
      <c r="C54">
        <v>0.33</v>
      </c>
      <c r="D54">
        <v>0</v>
      </c>
      <c r="E54">
        <v>6</v>
      </c>
      <c r="F54">
        <v>8</v>
      </c>
      <c r="H54">
        <v>0</v>
      </c>
      <c r="I54">
        <v>0</v>
      </c>
      <c r="J54">
        <v>0</v>
      </c>
      <c r="K54">
        <v>0</v>
      </c>
      <c r="L54">
        <v>0</v>
      </c>
      <c r="M54">
        <v>0</v>
      </c>
      <c r="N54">
        <v>0</v>
      </c>
    </row>
    <row r="55" spans="1:14">
      <c r="A55" t="s">
        <v>399</v>
      </c>
      <c r="B55" t="s">
        <v>404</v>
      </c>
      <c r="C55">
        <v>0.71</v>
      </c>
      <c r="D55">
        <v>0</v>
      </c>
      <c r="E55">
        <v>14</v>
      </c>
      <c r="F55">
        <v>2</v>
      </c>
      <c r="H55">
        <v>0</v>
      </c>
      <c r="I55">
        <v>0</v>
      </c>
      <c r="J55">
        <v>0</v>
      </c>
      <c r="K55">
        <v>0</v>
      </c>
      <c r="L55">
        <v>0</v>
      </c>
      <c r="M55">
        <v>0</v>
      </c>
      <c r="N55">
        <v>0</v>
      </c>
    </row>
    <row r="56" spans="1:14">
      <c r="A56" t="s">
        <v>405</v>
      </c>
      <c r="B56" t="s">
        <v>406</v>
      </c>
      <c r="C56">
        <v>8.58</v>
      </c>
      <c r="D56">
        <v>8</v>
      </c>
      <c r="E56">
        <v>11</v>
      </c>
      <c r="F56">
        <v>8</v>
      </c>
      <c r="H56">
        <v>0</v>
      </c>
      <c r="I56">
        <v>0</v>
      </c>
      <c r="J56">
        <v>0</v>
      </c>
      <c r="K56">
        <v>0</v>
      </c>
      <c r="L56">
        <v>0</v>
      </c>
      <c r="M56">
        <v>0</v>
      </c>
      <c r="N56">
        <v>0</v>
      </c>
    </row>
    <row r="57" spans="1:14">
      <c r="A57" t="s">
        <v>405</v>
      </c>
      <c r="B57" t="s">
        <v>407</v>
      </c>
      <c r="C57">
        <v>8.58</v>
      </c>
      <c r="D57">
        <v>8</v>
      </c>
      <c r="E57">
        <v>11</v>
      </c>
      <c r="F57">
        <v>8</v>
      </c>
      <c r="H57">
        <v>0</v>
      </c>
      <c r="I57">
        <v>0</v>
      </c>
      <c r="J57">
        <v>0</v>
      </c>
      <c r="K57">
        <v>0</v>
      </c>
      <c r="L57">
        <v>0</v>
      </c>
      <c r="M57">
        <v>0</v>
      </c>
      <c r="N57">
        <v>0</v>
      </c>
    </row>
    <row r="58" spans="1:14">
      <c r="A58" t="s">
        <v>408</v>
      </c>
      <c r="B58" t="s">
        <v>409</v>
      </c>
      <c r="C58">
        <v>0.33</v>
      </c>
      <c r="D58">
        <v>0</v>
      </c>
      <c r="E58">
        <v>6</v>
      </c>
      <c r="F58">
        <v>8</v>
      </c>
      <c r="H58">
        <v>0</v>
      </c>
      <c r="I58">
        <v>0</v>
      </c>
      <c r="J58">
        <v>0</v>
      </c>
      <c r="K58">
        <v>0</v>
      </c>
      <c r="L58">
        <v>0</v>
      </c>
      <c r="M58">
        <v>0</v>
      </c>
      <c r="N58">
        <v>0</v>
      </c>
    </row>
    <row r="59" spans="1:14">
      <c r="A59" t="s">
        <v>408</v>
      </c>
      <c r="B59" t="s">
        <v>410</v>
      </c>
      <c r="C59">
        <v>0.08</v>
      </c>
      <c r="D59">
        <v>0</v>
      </c>
      <c r="E59">
        <v>1</v>
      </c>
      <c r="F59">
        <v>8</v>
      </c>
      <c r="H59">
        <v>0</v>
      </c>
      <c r="I59">
        <v>0</v>
      </c>
      <c r="J59">
        <v>0</v>
      </c>
      <c r="K59">
        <v>0</v>
      </c>
      <c r="L59">
        <v>0</v>
      </c>
      <c r="M59">
        <v>0</v>
      </c>
      <c r="N59">
        <v>0</v>
      </c>
    </row>
    <row r="60" spans="1:14">
      <c r="A60" t="s">
        <v>408</v>
      </c>
      <c r="B60" t="s">
        <v>411</v>
      </c>
      <c r="C60">
        <v>0.08</v>
      </c>
      <c r="D60">
        <v>0</v>
      </c>
      <c r="E60">
        <v>1</v>
      </c>
      <c r="F60">
        <v>6</v>
      </c>
      <c r="H60">
        <v>0</v>
      </c>
      <c r="I60">
        <v>0</v>
      </c>
      <c r="J60">
        <v>0</v>
      </c>
      <c r="K60">
        <v>0</v>
      </c>
      <c r="L60">
        <v>0</v>
      </c>
      <c r="M60">
        <v>0</v>
      </c>
      <c r="N60">
        <v>0</v>
      </c>
    </row>
    <row r="61" spans="1:14">
      <c r="A61" t="s">
        <v>408</v>
      </c>
      <c r="B61" t="s">
        <v>412</v>
      </c>
      <c r="C61">
        <v>0.03</v>
      </c>
      <c r="D61">
        <v>0</v>
      </c>
      <c r="E61">
        <v>0</v>
      </c>
      <c r="F61">
        <v>6</v>
      </c>
      <c r="H61">
        <v>0</v>
      </c>
      <c r="I61">
        <v>0</v>
      </c>
      <c r="J61">
        <v>0</v>
      </c>
      <c r="K61">
        <v>0</v>
      </c>
      <c r="L61">
        <v>0</v>
      </c>
      <c r="M61">
        <v>0</v>
      </c>
      <c r="N61">
        <v>0</v>
      </c>
    </row>
    <row r="62" spans="1:14">
      <c r="A62" t="s">
        <v>408</v>
      </c>
      <c r="B62" t="s">
        <v>413</v>
      </c>
      <c r="C62">
        <v>0.05</v>
      </c>
      <c r="D62">
        <v>0</v>
      </c>
      <c r="E62">
        <v>1</v>
      </c>
      <c r="F62">
        <v>0</v>
      </c>
      <c r="H62">
        <v>0</v>
      </c>
      <c r="I62">
        <v>0</v>
      </c>
      <c r="J62">
        <v>0</v>
      </c>
      <c r="K62">
        <v>0</v>
      </c>
      <c r="L62">
        <v>0</v>
      </c>
      <c r="M62">
        <v>0</v>
      </c>
      <c r="N62">
        <v>0</v>
      </c>
    </row>
    <row r="63" spans="1:14">
      <c r="A63" t="s">
        <v>408</v>
      </c>
      <c r="B63" t="s">
        <v>414</v>
      </c>
      <c r="C63">
        <v>0.05</v>
      </c>
      <c r="D63">
        <v>0</v>
      </c>
      <c r="E63">
        <v>1</v>
      </c>
      <c r="F63">
        <v>0</v>
      </c>
      <c r="H63">
        <v>0</v>
      </c>
      <c r="I63">
        <v>0</v>
      </c>
      <c r="J63">
        <v>0</v>
      </c>
      <c r="K63">
        <v>0</v>
      </c>
      <c r="L63">
        <v>0</v>
      </c>
      <c r="M63">
        <v>0</v>
      </c>
      <c r="N63">
        <v>0</v>
      </c>
    </row>
    <row r="64" spans="1:14">
      <c r="A64" t="s">
        <v>408</v>
      </c>
      <c r="B64" t="s">
        <v>415</v>
      </c>
      <c r="C64">
        <v>0.08</v>
      </c>
      <c r="D64">
        <v>0</v>
      </c>
      <c r="E64">
        <v>1</v>
      </c>
      <c r="F64">
        <v>8</v>
      </c>
      <c r="H64">
        <v>0</v>
      </c>
      <c r="I64">
        <v>0</v>
      </c>
      <c r="J64">
        <v>0</v>
      </c>
      <c r="K64">
        <v>0</v>
      </c>
      <c r="L64">
        <v>0</v>
      </c>
      <c r="M64">
        <v>0</v>
      </c>
      <c r="N64">
        <v>0</v>
      </c>
    </row>
    <row r="65" spans="1:14">
      <c r="A65" t="s">
        <v>408</v>
      </c>
      <c r="B65" t="s">
        <v>416</v>
      </c>
      <c r="C65">
        <v>0.12</v>
      </c>
      <c r="D65">
        <v>0</v>
      </c>
      <c r="E65">
        <v>2</v>
      </c>
      <c r="F65">
        <v>5</v>
      </c>
      <c r="H65">
        <v>0</v>
      </c>
      <c r="I65">
        <v>0</v>
      </c>
      <c r="J65">
        <v>0</v>
      </c>
      <c r="K65">
        <v>0</v>
      </c>
      <c r="L65">
        <v>0</v>
      </c>
      <c r="M65">
        <v>0</v>
      </c>
      <c r="N65">
        <v>0</v>
      </c>
    </row>
    <row r="66" spans="1:14">
      <c r="A66" t="s">
        <v>408</v>
      </c>
      <c r="B66" t="s">
        <v>417</v>
      </c>
      <c r="C66">
        <v>0.1</v>
      </c>
      <c r="D66">
        <v>0</v>
      </c>
      <c r="E66">
        <v>2</v>
      </c>
      <c r="F66">
        <v>1</v>
      </c>
      <c r="H66">
        <v>0</v>
      </c>
      <c r="I66">
        <v>0</v>
      </c>
      <c r="J66">
        <v>0</v>
      </c>
      <c r="K66">
        <v>0</v>
      </c>
      <c r="L66">
        <v>0</v>
      </c>
      <c r="M66">
        <v>0</v>
      </c>
      <c r="N66">
        <v>0</v>
      </c>
    </row>
    <row r="67" spans="1:14">
      <c r="A67" t="s">
        <v>408</v>
      </c>
      <c r="B67" t="s">
        <v>418</v>
      </c>
      <c r="C67">
        <v>0.13</v>
      </c>
      <c r="D67">
        <v>0</v>
      </c>
      <c r="E67">
        <v>2</v>
      </c>
      <c r="F67">
        <v>8</v>
      </c>
      <c r="H67">
        <v>0</v>
      </c>
      <c r="I67">
        <v>0</v>
      </c>
      <c r="J67">
        <v>0</v>
      </c>
      <c r="K67">
        <v>0</v>
      </c>
      <c r="L67">
        <v>0</v>
      </c>
      <c r="M67">
        <v>0</v>
      </c>
      <c r="N67">
        <v>0</v>
      </c>
    </row>
    <row r="68" spans="1:14">
      <c r="A68" t="s">
        <v>408</v>
      </c>
      <c r="B68" t="s">
        <v>419</v>
      </c>
      <c r="C68">
        <v>0.05</v>
      </c>
      <c r="D68">
        <v>0</v>
      </c>
      <c r="E68">
        <v>1</v>
      </c>
      <c r="F68">
        <v>0</v>
      </c>
      <c r="H68">
        <v>0</v>
      </c>
      <c r="I68">
        <v>0</v>
      </c>
      <c r="J68">
        <v>0</v>
      </c>
      <c r="K68">
        <v>0</v>
      </c>
      <c r="L68">
        <v>0</v>
      </c>
      <c r="M68">
        <v>0</v>
      </c>
      <c r="N68">
        <v>0</v>
      </c>
    </row>
    <row r="69" spans="1:14">
      <c r="A69" t="s">
        <v>408</v>
      </c>
      <c r="B69" t="s">
        <v>420</v>
      </c>
      <c r="C69">
        <v>0.08</v>
      </c>
      <c r="D69">
        <v>0</v>
      </c>
      <c r="E69">
        <v>1</v>
      </c>
      <c r="F69">
        <v>8</v>
      </c>
      <c r="H69">
        <v>0</v>
      </c>
      <c r="I69">
        <v>0</v>
      </c>
      <c r="J69">
        <v>0</v>
      </c>
      <c r="K69">
        <v>0</v>
      </c>
      <c r="L69">
        <v>0</v>
      </c>
      <c r="M69">
        <v>0</v>
      </c>
      <c r="N69">
        <v>0</v>
      </c>
    </row>
    <row r="70" spans="1:14">
      <c r="A70" t="s">
        <v>408</v>
      </c>
      <c r="B70" t="s">
        <v>421</v>
      </c>
      <c r="C70">
        <v>0.05</v>
      </c>
      <c r="D70">
        <v>0</v>
      </c>
      <c r="E70">
        <v>1</v>
      </c>
      <c r="F70">
        <v>0</v>
      </c>
      <c r="H70">
        <v>0</v>
      </c>
      <c r="I70">
        <v>0</v>
      </c>
      <c r="J70">
        <v>0</v>
      </c>
      <c r="K70">
        <v>0</v>
      </c>
      <c r="L70">
        <v>0</v>
      </c>
      <c r="M70">
        <v>0</v>
      </c>
      <c r="N70">
        <v>0</v>
      </c>
    </row>
    <row r="71" spans="1:14">
      <c r="A71" t="s">
        <v>408</v>
      </c>
      <c r="B71" t="s">
        <v>422</v>
      </c>
      <c r="C71">
        <v>0.2</v>
      </c>
      <c r="D71">
        <v>0</v>
      </c>
      <c r="E71">
        <v>4</v>
      </c>
      <c r="F71">
        <v>0</v>
      </c>
      <c r="G71" t="s">
        <v>423</v>
      </c>
      <c r="H71">
        <v>0</v>
      </c>
      <c r="I71">
        <v>0</v>
      </c>
      <c r="J71">
        <v>0</v>
      </c>
      <c r="K71">
        <v>0</v>
      </c>
      <c r="L71">
        <v>0</v>
      </c>
      <c r="M71">
        <v>0</v>
      </c>
      <c r="N71">
        <v>0</v>
      </c>
    </row>
    <row r="72" spans="1:14">
      <c r="A72" t="s">
        <v>408</v>
      </c>
      <c r="B72" t="s">
        <v>424</v>
      </c>
      <c r="C72">
        <v>7.0000000000000007E-2</v>
      </c>
      <c r="D72">
        <v>0</v>
      </c>
      <c r="E72">
        <v>1</v>
      </c>
      <c r="F72">
        <v>4</v>
      </c>
      <c r="H72">
        <v>0</v>
      </c>
      <c r="I72">
        <v>0</v>
      </c>
      <c r="J72">
        <v>0</v>
      </c>
      <c r="K72">
        <v>0</v>
      </c>
      <c r="L72">
        <v>0</v>
      </c>
      <c r="M72">
        <v>0</v>
      </c>
      <c r="N72">
        <v>0</v>
      </c>
    </row>
    <row r="73" spans="1:14">
      <c r="A73" t="s">
        <v>408</v>
      </c>
      <c r="B73" t="s">
        <v>425</v>
      </c>
      <c r="C73">
        <v>1.49</v>
      </c>
      <c r="D73">
        <v>1</v>
      </c>
      <c r="E73">
        <v>9</v>
      </c>
      <c r="F73">
        <v>10</v>
      </c>
      <c r="H73">
        <v>0</v>
      </c>
      <c r="I73">
        <v>0</v>
      </c>
      <c r="J73">
        <v>0</v>
      </c>
      <c r="K73">
        <v>0</v>
      </c>
      <c r="L73">
        <v>0</v>
      </c>
      <c r="M73">
        <v>0</v>
      </c>
      <c r="N73">
        <v>0</v>
      </c>
    </row>
    <row r="74" spans="1:14">
      <c r="A74" t="s">
        <v>426</v>
      </c>
      <c r="B74" t="s">
        <v>427</v>
      </c>
      <c r="C74">
        <v>10.78</v>
      </c>
      <c r="D74">
        <v>10</v>
      </c>
      <c r="E74">
        <v>15</v>
      </c>
      <c r="F74">
        <v>8</v>
      </c>
      <c r="H74">
        <v>0</v>
      </c>
      <c r="I74">
        <v>0</v>
      </c>
      <c r="J74">
        <v>0</v>
      </c>
      <c r="K74">
        <v>0</v>
      </c>
      <c r="L74">
        <v>0</v>
      </c>
      <c r="M74">
        <v>0</v>
      </c>
      <c r="N74">
        <v>0</v>
      </c>
    </row>
    <row r="75" spans="1:14">
      <c r="A75" t="s">
        <v>428</v>
      </c>
      <c r="B75" t="s">
        <v>429</v>
      </c>
      <c r="C75">
        <v>20.45</v>
      </c>
      <c r="D75">
        <v>20</v>
      </c>
      <c r="E75">
        <v>9</v>
      </c>
      <c r="F75">
        <v>0</v>
      </c>
      <c r="H75">
        <v>0</v>
      </c>
      <c r="I75">
        <v>0</v>
      </c>
      <c r="J75">
        <v>0</v>
      </c>
      <c r="K75">
        <v>0</v>
      </c>
      <c r="L75">
        <v>0</v>
      </c>
      <c r="M75">
        <v>0</v>
      </c>
      <c r="N75">
        <v>0</v>
      </c>
    </row>
    <row r="76" spans="1:14">
      <c r="A76" t="s">
        <v>430</v>
      </c>
      <c r="B76" t="s">
        <v>431</v>
      </c>
      <c r="C76">
        <v>0.5</v>
      </c>
      <c r="D76">
        <v>0</v>
      </c>
      <c r="E76">
        <v>10</v>
      </c>
      <c r="F76">
        <v>0</v>
      </c>
      <c r="H76">
        <v>0</v>
      </c>
      <c r="I76">
        <v>0</v>
      </c>
      <c r="J76">
        <v>0</v>
      </c>
      <c r="K76">
        <v>0</v>
      </c>
      <c r="L76">
        <v>0</v>
      </c>
      <c r="M76">
        <v>0</v>
      </c>
      <c r="N76">
        <v>0</v>
      </c>
    </row>
    <row r="77" spans="1:14">
      <c r="A77" t="s">
        <v>430</v>
      </c>
      <c r="B77" t="s">
        <v>432</v>
      </c>
      <c r="C77">
        <v>0.17</v>
      </c>
      <c r="D77">
        <v>0</v>
      </c>
      <c r="E77">
        <v>3</v>
      </c>
      <c r="F77">
        <v>4.75</v>
      </c>
      <c r="H77">
        <v>0</v>
      </c>
      <c r="I77">
        <v>0</v>
      </c>
      <c r="J77">
        <v>0</v>
      </c>
      <c r="K77">
        <v>0</v>
      </c>
      <c r="L77">
        <v>0</v>
      </c>
      <c r="M77">
        <v>0</v>
      </c>
      <c r="N77">
        <v>0</v>
      </c>
    </row>
    <row r="78" spans="1:14">
      <c r="A78" t="s">
        <v>430</v>
      </c>
      <c r="B78" t="s">
        <v>433</v>
      </c>
      <c r="C78">
        <v>0.67</v>
      </c>
      <c r="D78">
        <v>0</v>
      </c>
      <c r="E78">
        <v>13</v>
      </c>
      <c r="F78">
        <v>4.75</v>
      </c>
      <c r="H78">
        <v>0</v>
      </c>
      <c r="I78">
        <v>0</v>
      </c>
      <c r="J78">
        <v>0</v>
      </c>
      <c r="K78">
        <v>0</v>
      </c>
      <c r="L78">
        <v>0</v>
      </c>
      <c r="M78">
        <v>0</v>
      </c>
      <c r="N78">
        <v>0</v>
      </c>
    </row>
    <row r="79" spans="1:14">
      <c r="A79" t="s">
        <v>434</v>
      </c>
      <c r="B79" t="s">
        <v>435</v>
      </c>
      <c r="C79">
        <v>13.49</v>
      </c>
      <c r="D79">
        <v>13</v>
      </c>
      <c r="E79">
        <v>9</v>
      </c>
      <c r="F79">
        <v>9</v>
      </c>
      <c r="H79">
        <v>0</v>
      </c>
      <c r="I79">
        <v>0</v>
      </c>
      <c r="J79">
        <v>0</v>
      </c>
      <c r="K79">
        <v>0</v>
      </c>
      <c r="L79">
        <v>0</v>
      </c>
      <c r="M79">
        <v>0</v>
      </c>
      <c r="N79">
        <v>0</v>
      </c>
    </row>
    <row r="80" spans="1:14">
      <c r="A80" t="s">
        <v>434</v>
      </c>
      <c r="B80" t="s">
        <v>436</v>
      </c>
      <c r="C80">
        <v>13.49</v>
      </c>
      <c r="D80">
        <v>13</v>
      </c>
      <c r="E80">
        <v>9</v>
      </c>
      <c r="F80">
        <v>9</v>
      </c>
      <c r="H80">
        <v>0</v>
      </c>
      <c r="I80">
        <v>0</v>
      </c>
      <c r="J80">
        <v>0</v>
      </c>
      <c r="K80">
        <v>0</v>
      </c>
      <c r="L80">
        <v>0</v>
      </c>
      <c r="M80">
        <v>0</v>
      </c>
      <c r="N80">
        <v>0</v>
      </c>
    </row>
    <row r="81" spans="1:14">
      <c r="A81" t="s">
        <v>437</v>
      </c>
      <c r="B81" t="s">
        <v>438</v>
      </c>
      <c r="C81">
        <v>14.16</v>
      </c>
      <c r="D81">
        <v>14</v>
      </c>
      <c r="E81">
        <v>3</v>
      </c>
      <c r="F81">
        <v>1.75</v>
      </c>
      <c r="H81">
        <v>0</v>
      </c>
      <c r="I81">
        <v>0</v>
      </c>
      <c r="J81">
        <v>0</v>
      </c>
      <c r="K81">
        <v>0</v>
      </c>
      <c r="L81">
        <v>0</v>
      </c>
      <c r="M81">
        <v>0</v>
      </c>
      <c r="N81">
        <v>0</v>
      </c>
    </row>
    <row r="82" spans="1:14">
      <c r="A82" t="s">
        <v>439</v>
      </c>
      <c r="B82" t="s">
        <v>440</v>
      </c>
      <c r="C82">
        <v>6.34</v>
      </c>
      <c r="D82">
        <v>6</v>
      </c>
      <c r="E82">
        <v>6</v>
      </c>
      <c r="F82">
        <v>9</v>
      </c>
      <c r="H82">
        <v>0</v>
      </c>
      <c r="I82">
        <v>0</v>
      </c>
      <c r="J82">
        <v>0</v>
      </c>
      <c r="K82">
        <v>0</v>
      </c>
      <c r="L82">
        <v>0</v>
      </c>
      <c r="M82">
        <v>0</v>
      </c>
      <c r="N82">
        <v>0</v>
      </c>
    </row>
    <row r="83" spans="1:14">
      <c r="A83" t="s">
        <v>379</v>
      </c>
      <c r="B83" t="s">
        <v>441</v>
      </c>
      <c r="C83">
        <v>0</v>
      </c>
      <c r="D83">
        <v>0</v>
      </c>
      <c r="E83">
        <v>0</v>
      </c>
      <c r="F83">
        <v>0</v>
      </c>
      <c r="G83" t="s">
        <v>379</v>
      </c>
      <c r="H83">
        <v>2</v>
      </c>
      <c r="I83">
        <v>5.5</v>
      </c>
      <c r="J83">
        <v>2.69</v>
      </c>
      <c r="K83">
        <v>2.69</v>
      </c>
      <c r="L83">
        <v>0</v>
      </c>
      <c r="M83">
        <v>2</v>
      </c>
      <c r="N83">
        <v>5.5</v>
      </c>
    </row>
    <row r="84" spans="1:14">
      <c r="A84" t="s">
        <v>379</v>
      </c>
      <c r="B84" t="s">
        <v>442</v>
      </c>
      <c r="C84">
        <v>0</v>
      </c>
      <c r="D84">
        <v>0</v>
      </c>
      <c r="E84">
        <v>0</v>
      </c>
      <c r="F84">
        <v>0</v>
      </c>
      <c r="H84">
        <v>2</v>
      </c>
      <c r="I84">
        <v>5.5</v>
      </c>
      <c r="J84">
        <v>2.69</v>
      </c>
      <c r="K84">
        <v>2.69</v>
      </c>
      <c r="L84">
        <v>0</v>
      </c>
      <c r="M84">
        <v>2</v>
      </c>
      <c r="N84">
        <v>5.5</v>
      </c>
    </row>
    <row r="85" spans="1:14">
      <c r="A85" t="s">
        <v>379</v>
      </c>
      <c r="B85" t="s">
        <v>443</v>
      </c>
      <c r="C85">
        <v>0</v>
      </c>
      <c r="D85">
        <v>0</v>
      </c>
      <c r="E85">
        <v>0</v>
      </c>
      <c r="F85">
        <v>0</v>
      </c>
      <c r="H85">
        <v>0</v>
      </c>
      <c r="I85">
        <v>3</v>
      </c>
      <c r="J85">
        <v>0.38</v>
      </c>
      <c r="K85">
        <v>0.38</v>
      </c>
      <c r="L85">
        <v>0</v>
      </c>
      <c r="M85">
        <v>0</v>
      </c>
      <c r="N85">
        <v>3</v>
      </c>
    </row>
    <row r="86" spans="1:14">
      <c r="A86" t="s">
        <v>379</v>
      </c>
      <c r="B86" t="s">
        <v>444</v>
      </c>
      <c r="C86">
        <v>0</v>
      </c>
      <c r="D86">
        <v>0</v>
      </c>
      <c r="E86">
        <v>0</v>
      </c>
      <c r="F86">
        <v>0</v>
      </c>
      <c r="H86">
        <v>2</v>
      </c>
      <c r="I86">
        <v>2.5</v>
      </c>
      <c r="J86">
        <v>2.31</v>
      </c>
      <c r="K86">
        <v>2.31</v>
      </c>
      <c r="L86">
        <v>0</v>
      </c>
      <c r="M86">
        <v>2</v>
      </c>
      <c r="N86">
        <v>2.5</v>
      </c>
    </row>
    <row r="87" spans="1:14">
      <c r="A87" t="s">
        <v>379</v>
      </c>
      <c r="B87" t="s">
        <v>445</v>
      </c>
      <c r="C87">
        <v>0</v>
      </c>
      <c r="D87">
        <v>0</v>
      </c>
      <c r="E87">
        <v>0</v>
      </c>
      <c r="F87">
        <v>0</v>
      </c>
      <c r="H87">
        <v>0</v>
      </c>
      <c r="I87">
        <v>0</v>
      </c>
      <c r="J87">
        <v>0</v>
      </c>
      <c r="K87">
        <v>0</v>
      </c>
      <c r="L87">
        <v>0</v>
      </c>
      <c r="M87">
        <v>0</v>
      </c>
      <c r="N87">
        <v>0</v>
      </c>
    </row>
    <row r="88" spans="1:14">
      <c r="A88" t="s">
        <v>379</v>
      </c>
      <c r="B88" t="s">
        <v>446</v>
      </c>
      <c r="C88">
        <v>0</v>
      </c>
      <c r="D88">
        <v>0</v>
      </c>
      <c r="E88">
        <v>0</v>
      </c>
      <c r="F88">
        <v>0</v>
      </c>
      <c r="H88">
        <v>0</v>
      </c>
      <c r="I88">
        <v>0</v>
      </c>
      <c r="J88">
        <v>0</v>
      </c>
      <c r="K88">
        <v>0</v>
      </c>
      <c r="L88">
        <v>0</v>
      </c>
      <c r="M88">
        <v>0</v>
      </c>
      <c r="N88">
        <v>0</v>
      </c>
    </row>
    <row r="89" spans="1:14">
      <c r="A89" t="s">
        <v>447</v>
      </c>
      <c r="B89" t="s">
        <v>448</v>
      </c>
      <c r="C89">
        <v>0</v>
      </c>
      <c r="D89">
        <v>0</v>
      </c>
      <c r="E89">
        <v>0</v>
      </c>
      <c r="F89">
        <v>0</v>
      </c>
      <c r="H89">
        <v>0</v>
      </c>
      <c r="I89">
        <v>0</v>
      </c>
      <c r="J89">
        <v>0</v>
      </c>
      <c r="K89">
        <v>0</v>
      </c>
      <c r="L89">
        <v>0</v>
      </c>
      <c r="M89">
        <v>0</v>
      </c>
      <c r="N89">
        <v>0</v>
      </c>
    </row>
    <row r="90" spans="1:14">
      <c r="A90" t="s">
        <v>447</v>
      </c>
      <c r="B90" t="s">
        <v>449</v>
      </c>
      <c r="C90">
        <v>0</v>
      </c>
      <c r="D90">
        <v>0</v>
      </c>
      <c r="E90">
        <v>0</v>
      </c>
      <c r="F90">
        <v>0</v>
      </c>
      <c r="H90">
        <v>0</v>
      </c>
      <c r="I90">
        <v>0</v>
      </c>
      <c r="J90">
        <v>0</v>
      </c>
      <c r="K90">
        <v>0</v>
      </c>
      <c r="L90">
        <v>0</v>
      </c>
      <c r="M90">
        <v>0</v>
      </c>
      <c r="N90">
        <v>0</v>
      </c>
    </row>
    <row r="91" spans="1:14">
      <c r="A91" t="s">
        <v>447</v>
      </c>
      <c r="B91" t="s">
        <v>450</v>
      </c>
      <c r="C91">
        <v>1.6</v>
      </c>
      <c r="D91">
        <v>1</v>
      </c>
      <c r="E91">
        <v>12</v>
      </c>
      <c r="F91">
        <v>1</v>
      </c>
      <c r="H91">
        <v>0</v>
      </c>
      <c r="I91">
        <v>0</v>
      </c>
      <c r="J91">
        <v>0</v>
      </c>
      <c r="K91">
        <v>0</v>
      </c>
      <c r="L91">
        <v>0</v>
      </c>
      <c r="M91">
        <v>0</v>
      </c>
      <c r="N91">
        <v>0</v>
      </c>
    </row>
    <row r="92" spans="1:14">
      <c r="A92" t="s">
        <v>451</v>
      </c>
      <c r="B92" t="s">
        <v>452</v>
      </c>
      <c r="C92">
        <v>0</v>
      </c>
      <c r="D92">
        <v>0</v>
      </c>
      <c r="E92">
        <v>0</v>
      </c>
      <c r="F92">
        <v>0</v>
      </c>
      <c r="H92">
        <v>0</v>
      </c>
      <c r="I92">
        <v>0</v>
      </c>
      <c r="J92">
        <v>0</v>
      </c>
      <c r="K92">
        <v>0</v>
      </c>
      <c r="L92">
        <v>0</v>
      </c>
      <c r="M92">
        <v>0</v>
      </c>
      <c r="N92">
        <v>0</v>
      </c>
    </row>
    <row r="93" spans="1:14">
      <c r="A93" t="s">
        <v>451</v>
      </c>
      <c r="B93" t="s">
        <v>453</v>
      </c>
      <c r="C93">
        <v>0.83</v>
      </c>
      <c r="D93">
        <v>0</v>
      </c>
      <c r="E93">
        <v>16</v>
      </c>
      <c r="F93">
        <v>8</v>
      </c>
      <c r="H93">
        <v>0</v>
      </c>
      <c r="I93">
        <v>0</v>
      </c>
      <c r="J93">
        <v>0</v>
      </c>
      <c r="K93">
        <v>0</v>
      </c>
      <c r="L93">
        <v>0</v>
      </c>
      <c r="M93">
        <v>0</v>
      </c>
      <c r="N93">
        <v>0</v>
      </c>
    </row>
    <row r="94" spans="1:14">
      <c r="A94" t="s">
        <v>451</v>
      </c>
      <c r="B94" t="s">
        <v>454</v>
      </c>
      <c r="C94">
        <v>0</v>
      </c>
      <c r="D94">
        <v>0</v>
      </c>
      <c r="E94">
        <v>0</v>
      </c>
      <c r="F94">
        <v>0</v>
      </c>
      <c r="H94">
        <v>0</v>
      </c>
      <c r="I94">
        <v>0</v>
      </c>
      <c r="J94">
        <v>0</v>
      </c>
      <c r="K94">
        <v>0</v>
      </c>
      <c r="L94">
        <v>0</v>
      </c>
      <c r="M94">
        <v>0</v>
      </c>
      <c r="N94">
        <v>0</v>
      </c>
    </row>
    <row r="95" spans="1:14">
      <c r="A95" t="s">
        <v>451</v>
      </c>
      <c r="B95" t="s">
        <v>455</v>
      </c>
      <c r="C95">
        <v>0.67</v>
      </c>
      <c r="D95">
        <v>0</v>
      </c>
      <c r="E95">
        <v>13</v>
      </c>
      <c r="F95">
        <v>4</v>
      </c>
      <c r="H95">
        <v>0</v>
      </c>
      <c r="I95">
        <v>0</v>
      </c>
      <c r="J95">
        <v>0</v>
      </c>
      <c r="K95">
        <v>0</v>
      </c>
      <c r="L95">
        <v>0</v>
      </c>
      <c r="M95">
        <v>0</v>
      </c>
      <c r="N95">
        <v>0</v>
      </c>
    </row>
    <row r="96" spans="1:14">
      <c r="A96" t="s">
        <v>451</v>
      </c>
      <c r="B96" t="s">
        <v>456</v>
      </c>
      <c r="C96">
        <v>0</v>
      </c>
      <c r="D96">
        <v>0</v>
      </c>
      <c r="E96">
        <v>0</v>
      </c>
      <c r="F96">
        <v>0</v>
      </c>
      <c r="H96">
        <v>0</v>
      </c>
      <c r="I96">
        <v>0</v>
      </c>
      <c r="J96">
        <v>0</v>
      </c>
      <c r="K96">
        <v>0</v>
      </c>
      <c r="L96">
        <v>0</v>
      </c>
      <c r="M96">
        <v>0</v>
      </c>
      <c r="N96">
        <v>0</v>
      </c>
    </row>
    <row r="97" spans="1:14">
      <c r="A97" t="s">
        <v>451</v>
      </c>
      <c r="B97" t="s">
        <v>457</v>
      </c>
      <c r="C97">
        <v>3.6</v>
      </c>
      <c r="D97">
        <v>3</v>
      </c>
      <c r="E97">
        <v>12</v>
      </c>
      <c r="F97">
        <v>0</v>
      </c>
      <c r="H97">
        <v>0</v>
      </c>
      <c r="I97">
        <v>0</v>
      </c>
      <c r="J97">
        <v>0</v>
      </c>
      <c r="K97">
        <v>0</v>
      </c>
      <c r="L97">
        <v>0</v>
      </c>
      <c r="M97">
        <v>0</v>
      </c>
      <c r="N97">
        <v>0</v>
      </c>
    </row>
    <row r="98" spans="1:14">
      <c r="A98" t="s">
        <v>451</v>
      </c>
      <c r="B98" t="s">
        <v>458</v>
      </c>
      <c r="C98">
        <v>0</v>
      </c>
      <c r="D98">
        <v>0</v>
      </c>
      <c r="E98">
        <v>0</v>
      </c>
      <c r="F98">
        <v>0</v>
      </c>
      <c r="H98">
        <v>0</v>
      </c>
      <c r="I98">
        <v>0</v>
      </c>
      <c r="J98">
        <v>0</v>
      </c>
      <c r="K98">
        <v>0</v>
      </c>
      <c r="L98">
        <v>0</v>
      </c>
      <c r="M98">
        <v>0</v>
      </c>
      <c r="N98">
        <v>0</v>
      </c>
    </row>
    <row r="99" spans="1:14">
      <c r="A99" t="s">
        <v>451</v>
      </c>
      <c r="B99" t="s">
        <v>459</v>
      </c>
      <c r="C99">
        <v>0</v>
      </c>
      <c r="D99">
        <v>0</v>
      </c>
      <c r="E99">
        <v>0</v>
      </c>
      <c r="F99">
        <v>0</v>
      </c>
      <c r="H99">
        <v>0</v>
      </c>
      <c r="I99">
        <v>0</v>
      </c>
      <c r="J99">
        <v>0</v>
      </c>
      <c r="K99">
        <v>0</v>
      </c>
      <c r="L99">
        <v>0</v>
      </c>
      <c r="M99">
        <v>0</v>
      </c>
      <c r="N99">
        <v>0</v>
      </c>
    </row>
    <row r="100" spans="1:14">
      <c r="A100" t="s">
        <v>451</v>
      </c>
      <c r="B100" t="s">
        <v>460</v>
      </c>
      <c r="C100">
        <v>0</v>
      </c>
      <c r="D100">
        <v>0</v>
      </c>
      <c r="E100">
        <v>0</v>
      </c>
      <c r="F100">
        <v>0</v>
      </c>
      <c r="H100">
        <v>0</v>
      </c>
      <c r="I100">
        <v>0</v>
      </c>
      <c r="J100">
        <v>0</v>
      </c>
      <c r="K100">
        <v>0</v>
      </c>
      <c r="L100">
        <v>0</v>
      </c>
      <c r="M100">
        <v>0</v>
      </c>
      <c r="N100">
        <v>0</v>
      </c>
    </row>
    <row r="101" spans="1:14">
      <c r="A101" t="s">
        <v>451</v>
      </c>
      <c r="B101" t="s">
        <v>461</v>
      </c>
      <c r="C101">
        <v>0</v>
      </c>
      <c r="D101">
        <v>0</v>
      </c>
      <c r="E101">
        <v>0</v>
      </c>
      <c r="F101">
        <v>0</v>
      </c>
      <c r="H101">
        <v>0</v>
      </c>
      <c r="I101">
        <v>0</v>
      </c>
      <c r="J101">
        <v>0</v>
      </c>
      <c r="K101">
        <v>0</v>
      </c>
      <c r="L101">
        <v>0</v>
      </c>
      <c r="M101">
        <v>0</v>
      </c>
      <c r="N101">
        <v>0</v>
      </c>
    </row>
    <row r="102" spans="1:14">
      <c r="A102" t="s">
        <v>451</v>
      </c>
      <c r="B102" t="s">
        <v>462</v>
      </c>
      <c r="C102">
        <v>0</v>
      </c>
      <c r="D102">
        <v>0</v>
      </c>
      <c r="E102">
        <v>0</v>
      </c>
      <c r="F102">
        <v>0</v>
      </c>
      <c r="H102">
        <v>0</v>
      </c>
      <c r="I102">
        <v>0</v>
      </c>
      <c r="J102">
        <v>0</v>
      </c>
      <c r="K102">
        <v>0</v>
      </c>
      <c r="L102">
        <v>0</v>
      </c>
      <c r="M102">
        <v>0</v>
      </c>
      <c r="N102">
        <v>0</v>
      </c>
    </row>
    <row r="103" spans="1:14">
      <c r="A103" t="s">
        <v>451</v>
      </c>
      <c r="B103" t="s">
        <v>463</v>
      </c>
      <c r="C103">
        <v>0</v>
      </c>
      <c r="D103">
        <v>0</v>
      </c>
      <c r="E103">
        <v>0</v>
      </c>
      <c r="F103">
        <v>0</v>
      </c>
      <c r="H103">
        <v>0</v>
      </c>
      <c r="I103">
        <v>0</v>
      </c>
      <c r="J103">
        <v>0</v>
      </c>
      <c r="K103">
        <v>0</v>
      </c>
      <c r="L103">
        <v>0</v>
      </c>
      <c r="M103">
        <v>0</v>
      </c>
      <c r="N103">
        <v>0</v>
      </c>
    </row>
    <row r="104" spans="1:14">
      <c r="A104" t="s">
        <v>451</v>
      </c>
      <c r="B104" t="s">
        <v>464</v>
      </c>
      <c r="C104">
        <v>0</v>
      </c>
      <c r="D104">
        <v>0</v>
      </c>
      <c r="E104">
        <v>0</v>
      </c>
      <c r="F104">
        <v>0</v>
      </c>
      <c r="H104">
        <v>0</v>
      </c>
      <c r="I104">
        <v>0</v>
      </c>
      <c r="J104">
        <v>0</v>
      </c>
      <c r="K104">
        <v>0</v>
      </c>
      <c r="L104">
        <v>0</v>
      </c>
      <c r="M104">
        <v>0</v>
      </c>
      <c r="N104">
        <v>0</v>
      </c>
    </row>
    <row r="105" spans="1:14">
      <c r="A105" t="s">
        <v>451</v>
      </c>
      <c r="B105" t="s">
        <v>465</v>
      </c>
      <c r="C105">
        <v>0</v>
      </c>
      <c r="D105">
        <v>0</v>
      </c>
      <c r="E105">
        <v>0</v>
      </c>
      <c r="F105">
        <v>0</v>
      </c>
      <c r="H105">
        <v>0</v>
      </c>
      <c r="I105">
        <v>0</v>
      </c>
      <c r="J105">
        <v>0</v>
      </c>
      <c r="K105">
        <v>0</v>
      </c>
      <c r="L105">
        <v>0</v>
      </c>
      <c r="M105">
        <v>0</v>
      </c>
      <c r="N105">
        <v>0</v>
      </c>
    </row>
    <row r="106" spans="1:14">
      <c r="A106" t="s">
        <v>451</v>
      </c>
      <c r="B106" t="s">
        <v>466</v>
      </c>
      <c r="C106">
        <v>0</v>
      </c>
      <c r="D106">
        <v>0</v>
      </c>
      <c r="E106">
        <v>0</v>
      </c>
      <c r="F106">
        <v>0</v>
      </c>
      <c r="H106">
        <v>0</v>
      </c>
      <c r="I106">
        <v>0</v>
      </c>
      <c r="J106">
        <v>0</v>
      </c>
      <c r="K106">
        <v>0</v>
      </c>
      <c r="L106">
        <v>0</v>
      </c>
      <c r="M106">
        <v>0</v>
      </c>
      <c r="N106">
        <v>0</v>
      </c>
    </row>
    <row r="107" spans="1:14">
      <c r="A107" t="s">
        <v>451</v>
      </c>
      <c r="B107" t="s">
        <v>467</v>
      </c>
      <c r="C107">
        <v>0</v>
      </c>
      <c r="D107">
        <v>0</v>
      </c>
      <c r="E107">
        <v>0</v>
      </c>
      <c r="F107">
        <v>0</v>
      </c>
      <c r="H107">
        <v>0</v>
      </c>
      <c r="I107">
        <v>0</v>
      </c>
      <c r="J107">
        <v>0</v>
      </c>
      <c r="K107">
        <v>0</v>
      </c>
      <c r="L107">
        <v>0</v>
      </c>
      <c r="M107">
        <v>0</v>
      </c>
      <c r="N107">
        <v>0</v>
      </c>
    </row>
    <row r="108" spans="1:14">
      <c r="A108" t="s">
        <v>451</v>
      </c>
      <c r="B108" t="s">
        <v>468</v>
      </c>
      <c r="C108">
        <v>0</v>
      </c>
      <c r="D108">
        <v>0</v>
      </c>
      <c r="E108">
        <v>0</v>
      </c>
      <c r="F108">
        <v>0</v>
      </c>
      <c r="H108">
        <v>0</v>
      </c>
      <c r="I108">
        <v>0</v>
      </c>
      <c r="J108">
        <v>0</v>
      </c>
      <c r="K108">
        <v>0</v>
      </c>
      <c r="L108">
        <v>0</v>
      </c>
      <c r="M108">
        <v>0</v>
      </c>
      <c r="N108">
        <v>0</v>
      </c>
    </row>
    <row r="109" spans="1:14">
      <c r="A109" t="s">
        <v>451</v>
      </c>
      <c r="B109" t="s">
        <v>445</v>
      </c>
      <c r="C109">
        <v>0</v>
      </c>
      <c r="D109">
        <v>0</v>
      </c>
      <c r="E109">
        <v>0</v>
      </c>
      <c r="F109">
        <v>0</v>
      </c>
      <c r="H109">
        <v>0</v>
      </c>
      <c r="I109">
        <v>0</v>
      </c>
      <c r="J109">
        <v>0</v>
      </c>
      <c r="K109">
        <v>0</v>
      </c>
      <c r="L109">
        <v>0</v>
      </c>
      <c r="M109">
        <v>0</v>
      </c>
      <c r="N109">
        <v>0</v>
      </c>
    </row>
    <row r="110" spans="1:14">
      <c r="A110" t="s">
        <v>451</v>
      </c>
      <c r="B110" t="s">
        <v>465</v>
      </c>
      <c r="C110">
        <v>0</v>
      </c>
      <c r="D110">
        <v>0</v>
      </c>
      <c r="E110">
        <v>0</v>
      </c>
      <c r="F110">
        <v>0</v>
      </c>
      <c r="H110">
        <v>0</v>
      </c>
      <c r="I110">
        <v>0</v>
      </c>
      <c r="J110">
        <v>0</v>
      </c>
      <c r="K110">
        <v>0</v>
      </c>
      <c r="L110">
        <v>0</v>
      </c>
      <c r="M110">
        <v>0</v>
      </c>
      <c r="N110">
        <v>0</v>
      </c>
    </row>
    <row r="111" spans="1:14">
      <c r="A111" t="s">
        <v>451</v>
      </c>
      <c r="B111" t="s">
        <v>469</v>
      </c>
      <c r="C111">
        <v>0</v>
      </c>
      <c r="D111">
        <v>0</v>
      </c>
      <c r="E111">
        <v>0</v>
      </c>
      <c r="F111">
        <v>0</v>
      </c>
      <c r="H111">
        <v>0</v>
      </c>
      <c r="I111">
        <v>0</v>
      </c>
      <c r="J111">
        <v>0</v>
      </c>
      <c r="K111">
        <v>0</v>
      </c>
      <c r="L111">
        <v>0</v>
      </c>
      <c r="M111">
        <v>0</v>
      </c>
      <c r="N111">
        <v>0</v>
      </c>
    </row>
    <row r="112" spans="1:14">
      <c r="A112" t="s">
        <v>451</v>
      </c>
      <c r="B112" t="s">
        <v>470</v>
      </c>
      <c r="C112">
        <v>0</v>
      </c>
      <c r="D112">
        <v>0</v>
      </c>
      <c r="E112">
        <v>0</v>
      </c>
      <c r="F112">
        <v>0</v>
      </c>
      <c r="H112">
        <v>0</v>
      </c>
      <c r="I112">
        <v>0</v>
      </c>
      <c r="J112">
        <v>0</v>
      </c>
      <c r="K112">
        <v>0</v>
      </c>
      <c r="L112">
        <v>0</v>
      </c>
      <c r="M112">
        <v>0</v>
      </c>
      <c r="N112">
        <v>0</v>
      </c>
    </row>
    <row r="113" spans="1:14">
      <c r="A113" t="s">
        <v>451</v>
      </c>
      <c r="B113" t="s">
        <v>471</v>
      </c>
      <c r="C113">
        <v>0</v>
      </c>
      <c r="D113">
        <v>0</v>
      </c>
      <c r="E113">
        <v>0</v>
      </c>
      <c r="F113">
        <v>0</v>
      </c>
      <c r="H113">
        <v>0</v>
      </c>
      <c r="I113">
        <v>0</v>
      </c>
      <c r="J113">
        <v>0</v>
      </c>
      <c r="K113">
        <v>0</v>
      </c>
      <c r="L113">
        <v>0</v>
      </c>
      <c r="M113">
        <v>0</v>
      </c>
      <c r="N113">
        <v>0</v>
      </c>
    </row>
    <row r="114" spans="1:14">
      <c r="A114" t="s">
        <v>451</v>
      </c>
      <c r="B114" t="s">
        <v>472</v>
      </c>
      <c r="C114">
        <v>0</v>
      </c>
      <c r="D114">
        <v>0</v>
      </c>
      <c r="E114">
        <v>0</v>
      </c>
      <c r="F114">
        <v>0</v>
      </c>
      <c r="H114">
        <v>0</v>
      </c>
      <c r="I114">
        <v>0</v>
      </c>
      <c r="J114">
        <v>0</v>
      </c>
      <c r="K114">
        <v>0</v>
      </c>
      <c r="L114">
        <v>0</v>
      </c>
      <c r="M114">
        <v>0</v>
      </c>
      <c r="N114">
        <v>0</v>
      </c>
    </row>
    <row r="115" spans="1:14">
      <c r="A115" t="s">
        <v>451</v>
      </c>
      <c r="B115" t="s">
        <v>473</v>
      </c>
      <c r="C115">
        <v>0</v>
      </c>
      <c r="D115">
        <v>0</v>
      </c>
      <c r="E115">
        <v>0</v>
      </c>
      <c r="F115">
        <v>0</v>
      </c>
      <c r="H115">
        <v>0</v>
      </c>
      <c r="I115">
        <v>0</v>
      </c>
      <c r="J115">
        <v>0</v>
      </c>
      <c r="K115">
        <v>0</v>
      </c>
      <c r="L115">
        <v>0</v>
      </c>
      <c r="M115">
        <v>0</v>
      </c>
      <c r="N115">
        <v>0</v>
      </c>
    </row>
    <row r="116" spans="1:14">
      <c r="A116" t="s">
        <v>451</v>
      </c>
      <c r="B116" t="s">
        <v>474</v>
      </c>
      <c r="C116">
        <v>0</v>
      </c>
      <c r="D116">
        <v>0</v>
      </c>
      <c r="E116">
        <v>0</v>
      </c>
      <c r="F116">
        <v>0</v>
      </c>
      <c r="H116">
        <v>0</v>
      </c>
      <c r="I116">
        <v>0</v>
      </c>
      <c r="J116">
        <v>0</v>
      </c>
      <c r="K116">
        <v>0</v>
      </c>
      <c r="L116">
        <v>0</v>
      </c>
      <c r="M116">
        <v>0</v>
      </c>
      <c r="N116">
        <v>0</v>
      </c>
    </row>
    <row r="117" spans="1:14">
      <c r="A117" t="s">
        <v>451</v>
      </c>
      <c r="B117" t="s">
        <v>445</v>
      </c>
      <c r="C117">
        <v>0</v>
      </c>
      <c r="D117">
        <v>0</v>
      </c>
      <c r="E117">
        <v>0</v>
      </c>
      <c r="F117">
        <v>0</v>
      </c>
      <c r="H117">
        <v>0</v>
      </c>
      <c r="I117">
        <v>0</v>
      </c>
      <c r="J117">
        <v>0</v>
      </c>
      <c r="K117">
        <v>0</v>
      </c>
      <c r="L117">
        <v>0</v>
      </c>
      <c r="M117">
        <v>0</v>
      </c>
      <c r="N117">
        <v>0</v>
      </c>
    </row>
    <row r="118" spans="1:14">
      <c r="A118" t="s">
        <v>451</v>
      </c>
      <c r="B118" t="s">
        <v>475</v>
      </c>
      <c r="C118">
        <v>0</v>
      </c>
      <c r="D118">
        <v>0</v>
      </c>
      <c r="E118">
        <v>0</v>
      </c>
      <c r="F118">
        <v>0</v>
      </c>
      <c r="H118">
        <v>0</v>
      </c>
      <c r="I118">
        <v>0</v>
      </c>
      <c r="J118">
        <v>0</v>
      </c>
      <c r="K118">
        <v>0</v>
      </c>
      <c r="L118">
        <v>0</v>
      </c>
      <c r="M118">
        <v>0</v>
      </c>
      <c r="N118">
        <v>0</v>
      </c>
    </row>
    <row r="119" spans="1:14">
      <c r="A119" t="s">
        <v>451</v>
      </c>
      <c r="B119" t="s">
        <v>476</v>
      </c>
      <c r="C119">
        <v>0</v>
      </c>
      <c r="D119">
        <v>0</v>
      </c>
      <c r="E119">
        <v>0</v>
      </c>
      <c r="F119">
        <v>0</v>
      </c>
      <c r="H119">
        <v>0</v>
      </c>
      <c r="I119">
        <v>0</v>
      </c>
      <c r="J119">
        <v>0</v>
      </c>
      <c r="K119">
        <v>0</v>
      </c>
      <c r="L119">
        <v>0</v>
      </c>
      <c r="M119">
        <v>0</v>
      </c>
      <c r="N119">
        <v>0</v>
      </c>
    </row>
    <row r="120" spans="1:14">
      <c r="A120" t="s">
        <v>451</v>
      </c>
      <c r="B120" t="s">
        <v>477</v>
      </c>
      <c r="C120">
        <v>0</v>
      </c>
      <c r="D120">
        <v>0</v>
      </c>
      <c r="E120">
        <v>0</v>
      </c>
      <c r="F120">
        <v>0</v>
      </c>
      <c r="H120">
        <v>0</v>
      </c>
      <c r="I120">
        <v>0</v>
      </c>
      <c r="J120">
        <v>0</v>
      </c>
      <c r="K120">
        <v>0</v>
      </c>
      <c r="L120">
        <v>0</v>
      </c>
      <c r="M120">
        <v>0</v>
      </c>
      <c r="N120">
        <v>0</v>
      </c>
    </row>
    <row r="121" spans="1:14">
      <c r="A121" t="s">
        <v>451</v>
      </c>
      <c r="B121" t="s">
        <v>478</v>
      </c>
      <c r="C121">
        <v>0</v>
      </c>
      <c r="D121">
        <v>0</v>
      </c>
      <c r="E121">
        <v>0</v>
      </c>
      <c r="F121">
        <v>0</v>
      </c>
      <c r="H121">
        <v>0</v>
      </c>
      <c r="I121">
        <v>0</v>
      </c>
      <c r="J121">
        <v>0</v>
      </c>
      <c r="K121">
        <v>0</v>
      </c>
      <c r="L121">
        <v>0</v>
      </c>
      <c r="M121">
        <v>0</v>
      </c>
      <c r="N121">
        <v>0</v>
      </c>
    </row>
    <row r="122" spans="1:14">
      <c r="A122" t="s">
        <v>451</v>
      </c>
      <c r="B122" t="s">
        <v>479</v>
      </c>
      <c r="C122">
        <v>0</v>
      </c>
      <c r="D122">
        <v>0</v>
      </c>
      <c r="E122">
        <v>0</v>
      </c>
      <c r="F122">
        <v>0</v>
      </c>
      <c r="H122">
        <v>0</v>
      </c>
      <c r="I122">
        <v>0</v>
      </c>
      <c r="J122">
        <v>0</v>
      </c>
      <c r="K122">
        <v>0</v>
      </c>
      <c r="L122">
        <v>0</v>
      </c>
      <c r="M122">
        <v>0</v>
      </c>
      <c r="N122">
        <v>0</v>
      </c>
    </row>
    <row r="123" spans="1:14">
      <c r="A123" t="s">
        <v>451</v>
      </c>
      <c r="B123" t="s">
        <v>480</v>
      </c>
      <c r="C123">
        <v>0</v>
      </c>
      <c r="D123">
        <v>0</v>
      </c>
      <c r="E123">
        <v>0</v>
      </c>
      <c r="F123">
        <v>0</v>
      </c>
      <c r="H123">
        <v>0</v>
      </c>
      <c r="I123">
        <v>0</v>
      </c>
      <c r="J123">
        <v>0</v>
      </c>
      <c r="K123">
        <v>0</v>
      </c>
      <c r="L123">
        <v>0</v>
      </c>
      <c r="M123">
        <v>0</v>
      </c>
      <c r="N123">
        <v>0</v>
      </c>
    </row>
    <row r="124" spans="1:14">
      <c r="A124" t="s">
        <v>451</v>
      </c>
      <c r="B124" t="s">
        <v>481</v>
      </c>
      <c r="C124">
        <v>0</v>
      </c>
      <c r="D124">
        <v>0</v>
      </c>
      <c r="E124">
        <v>0</v>
      </c>
      <c r="F124">
        <v>0</v>
      </c>
      <c r="H124">
        <v>0</v>
      </c>
      <c r="I124">
        <v>0</v>
      </c>
      <c r="J124">
        <v>0</v>
      </c>
      <c r="K124">
        <v>0</v>
      </c>
      <c r="L124">
        <v>0</v>
      </c>
      <c r="M124">
        <v>0</v>
      </c>
      <c r="N124">
        <v>0</v>
      </c>
    </row>
    <row r="125" spans="1:14">
      <c r="A125" t="s">
        <v>451</v>
      </c>
      <c r="B125" t="s">
        <v>482</v>
      </c>
      <c r="C125">
        <v>0</v>
      </c>
      <c r="D125">
        <v>0</v>
      </c>
      <c r="E125">
        <v>0</v>
      </c>
      <c r="F125">
        <v>0</v>
      </c>
      <c r="H125">
        <v>0</v>
      </c>
      <c r="I125">
        <v>0</v>
      </c>
      <c r="J125">
        <v>0</v>
      </c>
      <c r="K125">
        <v>0</v>
      </c>
      <c r="L125">
        <v>0</v>
      </c>
      <c r="M125">
        <v>0</v>
      </c>
      <c r="N125">
        <v>0</v>
      </c>
    </row>
    <row r="126" spans="1:14">
      <c r="A126" t="s">
        <v>451</v>
      </c>
      <c r="B126" t="s">
        <v>483</v>
      </c>
      <c r="C126">
        <v>0</v>
      </c>
      <c r="D126">
        <v>0</v>
      </c>
      <c r="E126">
        <v>0</v>
      </c>
      <c r="F126">
        <v>0</v>
      </c>
      <c r="H126">
        <v>0</v>
      </c>
      <c r="I126">
        <v>0</v>
      </c>
      <c r="J126">
        <v>0</v>
      </c>
      <c r="K126">
        <v>0</v>
      </c>
      <c r="L126">
        <v>0</v>
      </c>
      <c r="M126">
        <v>0</v>
      </c>
      <c r="N126">
        <v>0</v>
      </c>
    </row>
    <row r="127" spans="1:14">
      <c r="A127" t="s">
        <v>451</v>
      </c>
      <c r="B127" t="s">
        <v>484</v>
      </c>
      <c r="C127">
        <v>0</v>
      </c>
      <c r="D127">
        <v>0</v>
      </c>
      <c r="E127">
        <v>0</v>
      </c>
      <c r="F127">
        <v>0</v>
      </c>
      <c r="H127">
        <v>0</v>
      </c>
      <c r="I127">
        <v>0</v>
      </c>
      <c r="J127">
        <v>0</v>
      </c>
      <c r="K127">
        <v>0</v>
      </c>
      <c r="L127">
        <v>0</v>
      </c>
      <c r="M127">
        <v>0</v>
      </c>
      <c r="N127">
        <v>0</v>
      </c>
    </row>
    <row r="128" spans="1:14">
      <c r="A128" t="s">
        <v>451</v>
      </c>
      <c r="B128" t="s">
        <v>445</v>
      </c>
      <c r="C128">
        <v>0</v>
      </c>
      <c r="D128">
        <v>0</v>
      </c>
      <c r="E128">
        <v>0</v>
      </c>
      <c r="F128">
        <v>0</v>
      </c>
      <c r="H128">
        <v>0</v>
      </c>
      <c r="I128">
        <v>0</v>
      </c>
      <c r="J128">
        <v>0</v>
      </c>
      <c r="K128">
        <v>0</v>
      </c>
      <c r="L128">
        <v>0</v>
      </c>
      <c r="M128">
        <v>0</v>
      </c>
      <c r="N128">
        <v>0</v>
      </c>
    </row>
    <row r="129" spans="1:14">
      <c r="A129" t="s">
        <v>451</v>
      </c>
      <c r="B129" t="s">
        <v>446</v>
      </c>
      <c r="C129">
        <v>0</v>
      </c>
      <c r="D129">
        <v>0</v>
      </c>
      <c r="E129">
        <v>0</v>
      </c>
      <c r="F129">
        <v>0</v>
      </c>
      <c r="H129">
        <v>0</v>
      </c>
      <c r="I129">
        <v>0</v>
      </c>
      <c r="J129">
        <v>0</v>
      </c>
      <c r="K129">
        <v>0</v>
      </c>
      <c r="L129">
        <v>0</v>
      </c>
      <c r="M129">
        <v>0</v>
      </c>
      <c r="N129">
        <v>0</v>
      </c>
    </row>
    <row r="130" spans="1:14">
      <c r="A130" t="s">
        <v>451</v>
      </c>
      <c r="B130" t="s">
        <v>485</v>
      </c>
      <c r="C130">
        <v>0</v>
      </c>
      <c r="D130">
        <v>0</v>
      </c>
      <c r="E130">
        <v>0</v>
      </c>
      <c r="F130">
        <v>0</v>
      </c>
      <c r="H130">
        <v>0</v>
      </c>
      <c r="I130">
        <v>0</v>
      </c>
      <c r="J130">
        <v>0</v>
      </c>
      <c r="K130">
        <v>0</v>
      </c>
      <c r="L130">
        <v>0</v>
      </c>
      <c r="M130">
        <v>0</v>
      </c>
      <c r="N130">
        <v>0</v>
      </c>
    </row>
    <row r="131" spans="1:14">
      <c r="A131" t="s">
        <v>451</v>
      </c>
      <c r="B131" t="s">
        <v>486</v>
      </c>
      <c r="C131">
        <v>0</v>
      </c>
      <c r="D131">
        <v>0</v>
      </c>
      <c r="E131">
        <v>0</v>
      </c>
      <c r="F131">
        <v>0</v>
      </c>
      <c r="H131">
        <v>0</v>
      </c>
      <c r="I131">
        <v>0</v>
      </c>
      <c r="J131">
        <v>0</v>
      </c>
      <c r="K131">
        <v>0</v>
      </c>
      <c r="L131">
        <v>0</v>
      </c>
      <c r="M131">
        <v>0</v>
      </c>
      <c r="N131">
        <v>0</v>
      </c>
    </row>
    <row r="132" spans="1:14">
      <c r="A132" t="s">
        <v>451</v>
      </c>
      <c r="B132" t="s">
        <v>487</v>
      </c>
      <c r="C132">
        <v>0</v>
      </c>
      <c r="D132">
        <v>0</v>
      </c>
      <c r="E132">
        <v>0</v>
      </c>
      <c r="F132">
        <v>0</v>
      </c>
      <c r="H132">
        <v>0</v>
      </c>
      <c r="I132">
        <v>0</v>
      </c>
      <c r="J132">
        <v>0</v>
      </c>
      <c r="K132">
        <v>0</v>
      </c>
      <c r="L132">
        <v>0</v>
      </c>
      <c r="M132">
        <v>0</v>
      </c>
      <c r="N132">
        <v>0</v>
      </c>
    </row>
    <row r="133" spans="1:14">
      <c r="A133" t="s">
        <v>451</v>
      </c>
      <c r="B133" t="s">
        <v>488</v>
      </c>
      <c r="C133">
        <v>0</v>
      </c>
      <c r="D133">
        <v>0</v>
      </c>
      <c r="E133">
        <v>0</v>
      </c>
      <c r="F133">
        <v>0</v>
      </c>
      <c r="H133">
        <v>0</v>
      </c>
      <c r="I133">
        <v>0</v>
      </c>
      <c r="J133">
        <v>0</v>
      </c>
      <c r="K133">
        <v>0</v>
      </c>
      <c r="L133">
        <v>0</v>
      </c>
      <c r="M133">
        <v>0</v>
      </c>
      <c r="N133">
        <v>0</v>
      </c>
    </row>
    <row r="134" spans="1:14">
      <c r="A134" t="s">
        <v>451</v>
      </c>
      <c r="B134" t="s">
        <v>489</v>
      </c>
      <c r="C134">
        <v>0</v>
      </c>
      <c r="D134">
        <v>0</v>
      </c>
      <c r="E134">
        <v>0</v>
      </c>
      <c r="F134">
        <v>0</v>
      </c>
      <c r="H134">
        <v>0</v>
      </c>
      <c r="I134">
        <v>0</v>
      </c>
      <c r="J134">
        <v>0</v>
      </c>
      <c r="K134">
        <v>0</v>
      </c>
      <c r="L134">
        <v>0</v>
      </c>
      <c r="M134">
        <v>0</v>
      </c>
      <c r="N134">
        <v>0</v>
      </c>
    </row>
    <row r="135" spans="1:14">
      <c r="A135" t="s">
        <v>451</v>
      </c>
      <c r="B135" t="s">
        <v>490</v>
      </c>
      <c r="C135">
        <v>0</v>
      </c>
      <c r="D135">
        <v>0</v>
      </c>
      <c r="E135">
        <v>0</v>
      </c>
      <c r="F135">
        <v>0</v>
      </c>
      <c r="H135">
        <v>0</v>
      </c>
      <c r="I135">
        <v>0</v>
      </c>
      <c r="J135">
        <v>0</v>
      </c>
      <c r="K135">
        <v>0</v>
      </c>
      <c r="L135">
        <v>0</v>
      </c>
      <c r="M135">
        <v>0</v>
      </c>
      <c r="N135">
        <v>0</v>
      </c>
    </row>
    <row r="136" spans="1:14">
      <c r="A136" t="s">
        <v>451</v>
      </c>
      <c r="B136" t="s">
        <v>445</v>
      </c>
      <c r="C136">
        <v>0</v>
      </c>
      <c r="D136">
        <v>0</v>
      </c>
      <c r="E136">
        <v>0</v>
      </c>
      <c r="F136">
        <v>0</v>
      </c>
      <c r="H136">
        <v>0</v>
      </c>
      <c r="I136">
        <v>0</v>
      </c>
      <c r="J136">
        <v>0</v>
      </c>
      <c r="K136">
        <v>0</v>
      </c>
      <c r="L136">
        <v>0</v>
      </c>
      <c r="M136">
        <v>0</v>
      </c>
      <c r="N136">
        <v>0</v>
      </c>
    </row>
    <row r="137" spans="1:14">
      <c r="A137" t="s">
        <v>451</v>
      </c>
      <c r="B137" t="s">
        <v>446</v>
      </c>
      <c r="C137">
        <v>0</v>
      </c>
      <c r="D137">
        <v>0</v>
      </c>
      <c r="E137">
        <v>0</v>
      </c>
      <c r="F137">
        <v>0</v>
      </c>
      <c r="H137">
        <v>0</v>
      </c>
      <c r="I137">
        <v>0</v>
      </c>
      <c r="J137">
        <v>0</v>
      </c>
      <c r="K137">
        <v>0</v>
      </c>
      <c r="L137">
        <v>0</v>
      </c>
      <c r="M137">
        <v>0</v>
      </c>
      <c r="N137">
        <v>0</v>
      </c>
    </row>
    <row r="138" spans="1:14">
      <c r="A138" t="s">
        <v>451</v>
      </c>
      <c r="B138" t="s">
        <v>491</v>
      </c>
      <c r="C138">
        <v>0</v>
      </c>
      <c r="D138">
        <v>0</v>
      </c>
      <c r="E138">
        <v>0</v>
      </c>
      <c r="F138">
        <v>0</v>
      </c>
      <c r="H138">
        <v>0</v>
      </c>
      <c r="I138">
        <v>0</v>
      </c>
      <c r="J138">
        <v>0</v>
      </c>
      <c r="K138">
        <v>0</v>
      </c>
      <c r="L138">
        <v>0</v>
      </c>
      <c r="M138">
        <v>0</v>
      </c>
      <c r="N138">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0"/>
  <sheetViews>
    <sheetView workbookViewId="0"/>
  </sheetViews>
  <sheetFormatPr defaultRowHeight="14.5"/>
  <sheetData>
    <row r="1" spans="1:9">
      <c r="A1" t="s">
        <v>166</v>
      </c>
      <c r="B1" t="s">
        <v>217</v>
      </c>
      <c r="C1" t="s">
        <v>321</v>
      </c>
      <c r="D1" t="s">
        <v>322</v>
      </c>
      <c r="E1" t="s">
        <v>451</v>
      </c>
      <c r="F1" t="s">
        <v>492</v>
      </c>
      <c r="G1" t="s">
        <v>236</v>
      </c>
      <c r="H1" t="s">
        <v>493</v>
      </c>
      <c r="I1" t="s">
        <v>243</v>
      </c>
    </row>
    <row r="2" spans="1:9">
      <c r="A2" t="s">
        <v>63</v>
      </c>
      <c r="B2" t="s">
        <v>175</v>
      </c>
      <c r="C2">
        <v>0</v>
      </c>
      <c r="D2">
        <v>0</v>
      </c>
    </row>
    <row r="3" spans="1:9">
      <c r="A3" t="s">
        <v>494</v>
      </c>
      <c r="B3" t="s">
        <v>495</v>
      </c>
      <c r="C3">
        <v>0</v>
      </c>
      <c r="D3">
        <v>0</v>
      </c>
      <c r="F3" t="s">
        <v>496</v>
      </c>
    </row>
    <row r="4" spans="1:9">
      <c r="A4" t="s">
        <v>494</v>
      </c>
      <c r="B4" t="s">
        <v>497</v>
      </c>
      <c r="C4">
        <v>0</v>
      </c>
      <c r="D4">
        <v>0</v>
      </c>
    </row>
    <row r="5" spans="1:9">
      <c r="A5" t="s">
        <v>494</v>
      </c>
      <c r="B5" t="s">
        <v>498</v>
      </c>
      <c r="C5">
        <v>0</v>
      </c>
      <c r="D5">
        <v>0</v>
      </c>
    </row>
    <row r="6" spans="1:9">
      <c r="A6" t="s">
        <v>494</v>
      </c>
      <c r="B6" t="s">
        <v>499</v>
      </c>
      <c r="C6">
        <v>0</v>
      </c>
      <c r="D6">
        <v>0</v>
      </c>
    </row>
    <row r="7" spans="1:9">
      <c r="A7" t="s">
        <v>494</v>
      </c>
      <c r="B7" t="s">
        <v>500</v>
      </c>
      <c r="C7">
        <v>0</v>
      </c>
      <c r="D7">
        <v>0</v>
      </c>
      <c r="E7" t="s">
        <v>95</v>
      </c>
      <c r="F7" t="s">
        <v>501</v>
      </c>
    </row>
    <row r="8" spans="1:9">
      <c r="A8" t="s">
        <v>494</v>
      </c>
      <c r="B8" t="s">
        <v>502</v>
      </c>
      <c r="C8">
        <v>0</v>
      </c>
      <c r="D8">
        <v>0</v>
      </c>
      <c r="E8" t="s">
        <v>95</v>
      </c>
    </row>
    <row r="9" spans="1:9">
      <c r="A9" t="s">
        <v>494</v>
      </c>
      <c r="B9" t="s">
        <v>503</v>
      </c>
      <c r="C9">
        <v>0</v>
      </c>
      <c r="D9">
        <v>0</v>
      </c>
      <c r="E9" t="s">
        <v>102</v>
      </c>
      <c r="F9" t="s">
        <v>504</v>
      </c>
    </row>
    <row r="10" spans="1:9">
      <c r="A10" t="s">
        <v>494</v>
      </c>
      <c r="B10" t="s">
        <v>459</v>
      </c>
      <c r="C10">
        <v>0</v>
      </c>
      <c r="D10">
        <v>0</v>
      </c>
      <c r="E10" t="s">
        <v>102</v>
      </c>
    </row>
    <row r="11" spans="1:9">
      <c r="A11" t="s">
        <v>494</v>
      </c>
      <c r="B11" t="s">
        <v>505</v>
      </c>
      <c r="C11">
        <v>0</v>
      </c>
      <c r="D11">
        <v>0</v>
      </c>
      <c r="E11" t="s">
        <v>102</v>
      </c>
      <c r="H11" t="s">
        <v>506</v>
      </c>
    </row>
    <row r="12" spans="1:9">
      <c r="A12" t="s">
        <v>494</v>
      </c>
      <c r="B12" t="s">
        <v>461</v>
      </c>
      <c r="C12">
        <v>0</v>
      </c>
      <c r="D12">
        <v>0</v>
      </c>
      <c r="E12" t="s">
        <v>102</v>
      </c>
      <c r="I12" t="s">
        <v>507</v>
      </c>
    </row>
    <row r="13" spans="1:9">
      <c r="A13" t="s">
        <v>494</v>
      </c>
      <c r="B13" t="s">
        <v>508</v>
      </c>
      <c r="C13">
        <v>0</v>
      </c>
      <c r="D13">
        <v>0</v>
      </c>
      <c r="E13" t="s">
        <v>102</v>
      </c>
    </row>
    <row r="14" spans="1:9">
      <c r="A14" t="s">
        <v>494</v>
      </c>
      <c r="B14" t="s">
        <v>509</v>
      </c>
      <c r="C14">
        <v>0</v>
      </c>
      <c r="D14">
        <v>0</v>
      </c>
      <c r="E14" t="s">
        <v>105</v>
      </c>
      <c r="G14" t="s">
        <v>510</v>
      </c>
    </row>
    <row r="15" spans="1:9">
      <c r="A15" t="s">
        <v>494</v>
      </c>
      <c r="B15" t="s">
        <v>511</v>
      </c>
      <c r="C15">
        <v>0</v>
      </c>
      <c r="D15">
        <v>0</v>
      </c>
      <c r="E15" t="s">
        <v>105</v>
      </c>
    </row>
    <row r="16" spans="1:9">
      <c r="A16" t="s">
        <v>494</v>
      </c>
      <c r="B16" t="s">
        <v>512</v>
      </c>
      <c r="C16">
        <v>0</v>
      </c>
      <c r="D16">
        <v>0</v>
      </c>
      <c r="E16" t="s">
        <v>105</v>
      </c>
    </row>
    <row r="17" spans="1:9">
      <c r="A17" t="s">
        <v>494</v>
      </c>
      <c r="B17" t="s">
        <v>513</v>
      </c>
      <c r="C17">
        <v>0</v>
      </c>
      <c r="D17">
        <v>0</v>
      </c>
      <c r="E17" t="s">
        <v>106</v>
      </c>
      <c r="G17" t="s">
        <v>514</v>
      </c>
    </row>
    <row r="18" spans="1:9">
      <c r="A18" t="s">
        <v>494</v>
      </c>
      <c r="B18" t="s">
        <v>515</v>
      </c>
      <c r="C18">
        <v>0</v>
      </c>
      <c r="D18">
        <v>0</v>
      </c>
      <c r="E18" t="s">
        <v>106</v>
      </c>
    </row>
    <row r="19" spans="1:9">
      <c r="A19" t="s">
        <v>494</v>
      </c>
      <c r="B19" t="s">
        <v>468</v>
      </c>
      <c r="C19">
        <v>0</v>
      </c>
      <c r="D19">
        <v>0</v>
      </c>
      <c r="E19" t="s">
        <v>106</v>
      </c>
      <c r="I19" t="s">
        <v>516</v>
      </c>
    </row>
    <row r="20" spans="1:9">
      <c r="A20" t="s">
        <v>494</v>
      </c>
      <c r="B20" t="s">
        <v>517</v>
      </c>
      <c r="C20">
        <v>0</v>
      </c>
      <c r="D20">
        <v>0</v>
      </c>
      <c r="E20" t="s">
        <v>106</v>
      </c>
    </row>
    <row r="21" spans="1:9">
      <c r="A21" t="s">
        <v>494</v>
      </c>
      <c r="B21" t="s">
        <v>512</v>
      </c>
      <c r="C21">
        <v>0</v>
      </c>
      <c r="D21">
        <v>0</v>
      </c>
      <c r="E21" t="s">
        <v>106</v>
      </c>
    </row>
    <row r="22" spans="1:9">
      <c r="A22" t="s">
        <v>494</v>
      </c>
      <c r="B22" t="s">
        <v>518</v>
      </c>
      <c r="C22">
        <v>0</v>
      </c>
      <c r="D22">
        <v>0</v>
      </c>
      <c r="E22" t="s">
        <v>118</v>
      </c>
    </row>
    <row r="23" spans="1:9">
      <c r="A23" t="s">
        <v>494</v>
      </c>
      <c r="B23" t="s">
        <v>519</v>
      </c>
      <c r="C23">
        <v>0</v>
      </c>
      <c r="D23">
        <v>0</v>
      </c>
      <c r="E23" t="s">
        <v>118</v>
      </c>
    </row>
    <row r="24" spans="1:9">
      <c r="A24" t="s">
        <v>494</v>
      </c>
      <c r="B24" t="s">
        <v>520</v>
      </c>
      <c r="C24">
        <v>0</v>
      </c>
      <c r="D24">
        <v>0</v>
      </c>
      <c r="E24" t="s">
        <v>118</v>
      </c>
    </row>
    <row r="25" spans="1:9">
      <c r="A25" t="s">
        <v>494</v>
      </c>
      <c r="B25" t="s">
        <v>521</v>
      </c>
      <c r="C25">
        <v>0</v>
      </c>
      <c r="D25">
        <v>0</v>
      </c>
      <c r="E25" t="s">
        <v>522</v>
      </c>
      <c r="H25" t="s">
        <v>506</v>
      </c>
    </row>
    <row r="26" spans="1:9">
      <c r="A26" t="s">
        <v>494</v>
      </c>
      <c r="B26" t="s">
        <v>523</v>
      </c>
      <c r="C26">
        <v>0</v>
      </c>
      <c r="D26">
        <v>0</v>
      </c>
      <c r="E26" t="s">
        <v>522</v>
      </c>
    </row>
    <row r="27" spans="1:9">
      <c r="A27" t="s">
        <v>494</v>
      </c>
      <c r="B27" t="s">
        <v>474</v>
      </c>
      <c r="C27">
        <v>0</v>
      </c>
      <c r="D27">
        <v>0</v>
      </c>
      <c r="E27" t="s">
        <v>522</v>
      </c>
      <c r="I27" t="s">
        <v>514</v>
      </c>
    </row>
    <row r="28" spans="1:9">
      <c r="A28" t="s">
        <v>494</v>
      </c>
      <c r="B28" t="s">
        <v>517</v>
      </c>
      <c r="C28">
        <v>0</v>
      </c>
      <c r="D28">
        <v>0</v>
      </c>
      <c r="E28" t="s">
        <v>522</v>
      </c>
    </row>
    <row r="29" spans="1:9">
      <c r="A29" t="s">
        <v>494</v>
      </c>
      <c r="B29" t="s">
        <v>524</v>
      </c>
      <c r="C29">
        <v>0</v>
      </c>
      <c r="D29">
        <v>0</v>
      </c>
      <c r="E29" t="s">
        <v>522</v>
      </c>
    </row>
    <row r="30" spans="1:9">
      <c r="A30" t="s">
        <v>494</v>
      </c>
      <c r="B30" t="s">
        <v>525</v>
      </c>
      <c r="C30">
        <v>0</v>
      </c>
      <c r="D30">
        <v>0</v>
      </c>
      <c r="E30" t="s">
        <v>270</v>
      </c>
      <c r="H30" t="s">
        <v>526</v>
      </c>
    </row>
    <row r="31" spans="1:9">
      <c r="A31" t="s">
        <v>494</v>
      </c>
      <c r="B31" t="s">
        <v>527</v>
      </c>
      <c r="C31">
        <v>0</v>
      </c>
      <c r="D31">
        <v>0</v>
      </c>
      <c r="E31" t="s">
        <v>270</v>
      </c>
    </row>
    <row r="32" spans="1:9">
      <c r="A32" t="s">
        <v>494</v>
      </c>
      <c r="B32" t="s">
        <v>478</v>
      </c>
      <c r="C32">
        <v>0</v>
      </c>
      <c r="D32">
        <v>0</v>
      </c>
      <c r="E32" t="s">
        <v>270</v>
      </c>
    </row>
    <row r="33" spans="1:9">
      <c r="A33" t="s">
        <v>494</v>
      </c>
      <c r="B33" t="s">
        <v>528</v>
      </c>
      <c r="C33">
        <v>0</v>
      </c>
      <c r="D33">
        <v>0</v>
      </c>
      <c r="E33" t="s">
        <v>143</v>
      </c>
    </row>
    <row r="34" spans="1:9">
      <c r="A34" t="s">
        <v>494</v>
      </c>
      <c r="B34" t="s">
        <v>529</v>
      </c>
      <c r="C34">
        <v>0</v>
      </c>
      <c r="D34">
        <v>0</v>
      </c>
      <c r="E34" t="s">
        <v>143</v>
      </c>
    </row>
    <row r="35" spans="1:9">
      <c r="A35" t="s">
        <v>494</v>
      </c>
      <c r="B35" t="s">
        <v>530</v>
      </c>
      <c r="C35">
        <v>0</v>
      </c>
      <c r="D35">
        <v>0</v>
      </c>
      <c r="E35" t="s">
        <v>143</v>
      </c>
    </row>
    <row r="36" spans="1:9">
      <c r="A36" t="s">
        <v>494</v>
      </c>
      <c r="B36" t="s">
        <v>531</v>
      </c>
      <c r="C36">
        <v>0</v>
      </c>
      <c r="D36">
        <v>0</v>
      </c>
      <c r="E36" t="s">
        <v>143</v>
      </c>
    </row>
    <row r="37" spans="1:9">
      <c r="A37" t="s">
        <v>494</v>
      </c>
      <c r="B37" t="s">
        <v>532</v>
      </c>
      <c r="C37">
        <v>0</v>
      </c>
      <c r="D37">
        <v>0</v>
      </c>
      <c r="E37" t="s">
        <v>143</v>
      </c>
    </row>
    <row r="38" spans="1:9">
      <c r="A38" t="s">
        <v>494</v>
      </c>
      <c r="B38" t="s">
        <v>484</v>
      </c>
      <c r="C38">
        <v>0</v>
      </c>
      <c r="D38">
        <v>0</v>
      </c>
      <c r="E38" t="s">
        <v>143</v>
      </c>
      <c r="I38" t="s">
        <v>533</v>
      </c>
    </row>
    <row r="39" spans="1:9">
      <c r="A39" t="s">
        <v>494</v>
      </c>
      <c r="B39" t="s">
        <v>517</v>
      </c>
      <c r="C39">
        <v>0</v>
      </c>
      <c r="D39">
        <v>0</v>
      </c>
      <c r="E39" t="s">
        <v>143</v>
      </c>
    </row>
    <row r="40" spans="1:9">
      <c r="A40" t="s">
        <v>494</v>
      </c>
      <c r="B40" t="s">
        <v>534</v>
      </c>
      <c r="C40">
        <v>0</v>
      </c>
      <c r="D40">
        <v>0</v>
      </c>
      <c r="E40" t="s">
        <v>143</v>
      </c>
    </row>
    <row r="41" spans="1:9">
      <c r="A41" t="s">
        <v>494</v>
      </c>
      <c r="B41" t="s">
        <v>535</v>
      </c>
      <c r="C41">
        <v>0</v>
      </c>
      <c r="D41">
        <v>0</v>
      </c>
      <c r="E41" t="s">
        <v>148</v>
      </c>
    </row>
    <row r="42" spans="1:9">
      <c r="A42" t="s">
        <v>494</v>
      </c>
      <c r="B42" t="s">
        <v>536</v>
      </c>
      <c r="C42">
        <v>0</v>
      </c>
      <c r="D42">
        <v>0</v>
      </c>
      <c r="E42" t="s">
        <v>148</v>
      </c>
    </row>
    <row r="43" spans="1:9">
      <c r="A43" t="s">
        <v>494</v>
      </c>
      <c r="B43" t="s">
        <v>537</v>
      </c>
      <c r="C43">
        <v>0</v>
      </c>
      <c r="D43">
        <v>0</v>
      </c>
      <c r="E43" t="s">
        <v>148</v>
      </c>
    </row>
    <row r="44" spans="1:9">
      <c r="A44" t="s">
        <v>494</v>
      </c>
      <c r="B44" t="s">
        <v>538</v>
      </c>
      <c r="C44">
        <v>0</v>
      </c>
      <c r="D44">
        <v>0</v>
      </c>
      <c r="E44" t="s">
        <v>148</v>
      </c>
    </row>
    <row r="45" spans="1:9">
      <c r="A45" t="s">
        <v>494</v>
      </c>
      <c r="B45" t="s">
        <v>539</v>
      </c>
      <c r="C45">
        <v>0</v>
      </c>
      <c r="D45">
        <v>0</v>
      </c>
      <c r="E45" t="s">
        <v>148</v>
      </c>
    </row>
    <row r="46" spans="1:9">
      <c r="A46" t="s">
        <v>494</v>
      </c>
      <c r="B46" t="s">
        <v>490</v>
      </c>
      <c r="C46">
        <v>0</v>
      </c>
      <c r="D46">
        <v>0</v>
      </c>
      <c r="E46" t="s">
        <v>148</v>
      </c>
      <c r="I46" t="s">
        <v>496</v>
      </c>
    </row>
    <row r="47" spans="1:9">
      <c r="A47" t="s">
        <v>494</v>
      </c>
      <c r="B47" t="s">
        <v>517</v>
      </c>
      <c r="C47">
        <v>0</v>
      </c>
      <c r="D47">
        <v>0</v>
      </c>
      <c r="E47" t="s">
        <v>148</v>
      </c>
    </row>
    <row r="48" spans="1:9">
      <c r="A48" t="s">
        <v>494</v>
      </c>
      <c r="B48" t="s">
        <v>534</v>
      </c>
      <c r="C48">
        <v>0</v>
      </c>
      <c r="D48">
        <v>0</v>
      </c>
      <c r="E48" t="s">
        <v>148</v>
      </c>
    </row>
    <row r="49" spans="1:5">
      <c r="A49" t="s">
        <v>494</v>
      </c>
      <c r="B49" t="s">
        <v>540</v>
      </c>
      <c r="C49">
        <v>0</v>
      </c>
      <c r="D49">
        <v>0</v>
      </c>
      <c r="E49" t="s">
        <v>148</v>
      </c>
    </row>
    <row r="50" spans="1:5">
      <c r="A50" t="s">
        <v>494</v>
      </c>
      <c r="B50" t="s">
        <v>175</v>
      </c>
      <c r="C50">
        <v>0</v>
      </c>
      <c r="D50">
        <v>0</v>
      </c>
      <c r="E50" t="s">
        <v>148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5"/>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8"/>
  <sheetViews>
    <sheetView workbookViewId="0"/>
  </sheetViews>
  <sheetFormatPr defaultRowHeight="14.5"/>
  <sheetData>
    <row r="1" spans="1:31">
      <c r="A1" t="s">
        <v>166</v>
      </c>
      <c r="B1" t="s">
        <v>217</v>
      </c>
      <c r="C1" t="s">
        <v>541</v>
      </c>
      <c r="D1" t="s">
        <v>542</v>
      </c>
      <c r="E1" t="s">
        <v>543</v>
      </c>
      <c r="F1" t="s">
        <v>544</v>
      </c>
      <c r="G1" t="s">
        <v>545</v>
      </c>
      <c r="H1" t="s">
        <v>546</v>
      </c>
      <c r="I1" t="s">
        <v>547</v>
      </c>
      <c r="J1" t="s">
        <v>548</v>
      </c>
      <c r="K1" t="s">
        <v>549</v>
      </c>
      <c r="L1" t="s">
        <v>550</v>
      </c>
      <c r="M1" t="s">
        <v>551</v>
      </c>
      <c r="N1" t="s">
        <v>552</v>
      </c>
      <c r="O1" t="s">
        <v>553</v>
      </c>
      <c r="P1" t="s">
        <v>554</v>
      </c>
      <c r="Q1" t="s">
        <v>555</v>
      </c>
      <c r="R1" t="s">
        <v>556</v>
      </c>
      <c r="S1" t="s">
        <v>557</v>
      </c>
      <c r="T1" t="s">
        <v>558</v>
      </c>
      <c r="U1" t="s">
        <v>559</v>
      </c>
      <c r="V1" t="s">
        <v>560</v>
      </c>
      <c r="W1" t="s">
        <v>561</v>
      </c>
      <c r="X1" t="s">
        <v>316</v>
      </c>
      <c r="Y1" t="s">
        <v>317</v>
      </c>
      <c r="Z1" t="s">
        <v>318</v>
      </c>
      <c r="AA1" t="s">
        <v>319</v>
      </c>
      <c r="AB1" t="s">
        <v>320</v>
      </c>
      <c r="AC1" t="s">
        <v>562</v>
      </c>
      <c r="AD1" t="s">
        <v>563</v>
      </c>
      <c r="AE1" t="s">
        <v>564</v>
      </c>
    </row>
    <row r="2" spans="1:31">
      <c r="A2" t="s">
        <v>437</v>
      </c>
      <c r="B2" t="s">
        <v>565</v>
      </c>
      <c r="C2">
        <v>0</v>
      </c>
      <c r="D2">
        <v>0</v>
      </c>
      <c r="E2">
        <v>0</v>
      </c>
      <c r="F2">
        <v>0</v>
      </c>
      <c r="G2">
        <v>0</v>
      </c>
      <c r="H2">
        <v>0</v>
      </c>
      <c r="I2">
        <v>0</v>
      </c>
      <c r="J2">
        <v>0</v>
      </c>
      <c r="K2">
        <v>0</v>
      </c>
      <c r="L2">
        <v>0</v>
      </c>
      <c r="M2">
        <v>0</v>
      </c>
      <c r="N2">
        <v>0</v>
      </c>
      <c r="O2">
        <v>0</v>
      </c>
      <c r="P2">
        <v>0</v>
      </c>
      <c r="Q2">
        <v>0</v>
      </c>
      <c r="R2">
        <v>0</v>
      </c>
      <c r="S2">
        <v>0</v>
      </c>
      <c r="T2">
        <v>0</v>
      </c>
      <c r="U2">
        <v>0</v>
      </c>
      <c r="V2">
        <v>0</v>
      </c>
      <c r="W2">
        <v>0</v>
      </c>
      <c r="AE2">
        <v>0</v>
      </c>
    </row>
    <row r="3" spans="1:31">
      <c r="A3" t="s">
        <v>379</v>
      </c>
      <c r="B3" t="s">
        <v>441</v>
      </c>
      <c r="C3">
        <v>0</v>
      </c>
      <c r="D3">
        <v>0</v>
      </c>
      <c r="E3">
        <v>0</v>
      </c>
      <c r="F3">
        <v>0</v>
      </c>
      <c r="G3">
        <v>0</v>
      </c>
      <c r="H3">
        <v>0</v>
      </c>
      <c r="I3">
        <v>0</v>
      </c>
      <c r="J3">
        <v>0</v>
      </c>
      <c r="K3">
        <v>0</v>
      </c>
      <c r="L3">
        <v>0</v>
      </c>
      <c r="M3">
        <v>0</v>
      </c>
      <c r="N3">
        <v>0</v>
      </c>
      <c r="O3">
        <v>0</v>
      </c>
      <c r="P3">
        <v>0</v>
      </c>
      <c r="Q3">
        <v>0</v>
      </c>
      <c r="R3">
        <v>0</v>
      </c>
      <c r="S3">
        <v>0</v>
      </c>
      <c r="T3">
        <v>0</v>
      </c>
      <c r="U3">
        <v>0</v>
      </c>
      <c r="V3">
        <v>0</v>
      </c>
      <c r="W3">
        <v>0</v>
      </c>
      <c r="X3">
        <v>2</v>
      </c>
      <c r="Y3">
        <v>5.5</v>
      </c>
      <c r="Z3">
        <v>2.69</v>
      </c>
      <c r="AA3">
        <v>2.69</v>
      </c>
      <c r="AB3">
        <v>0</v>
      </c>
      <c r="AC3">
        <v>2</v>
      </c>
      <c r="AD3">
        <v>5.5</v>
      </c>
      <c r="AE3">
        <v>0</v>
      </c>
    </row>
    <row r="4" spans="1:31">
      <c r="A4" t="s">
        <v>379</v>
      </c>
      <c r="B4" t="s">
        <v>442</v>
      </c>
      <c r="C4">
        <v>0</v>
      </c>
      <c r="D4">
        <v>0</v>
      </c>
      <c r="E4">
        <v>0</v>
      </c>
      <c r="F4">
        <v>0</v>
      </c>
      <c r="G4">
        <v>0</v>
      </c>
      <c r="H4">
        <v>0</v>
      </c>
      <c r="I4">
        <v>0</v>
      </c>
      <c r="J4">
        <v>0</v>
      </c>
      <c r="K4">
        <v>0</v>
      </c>
      <c r="L4">
        <v>0</v>
      </c>
      <c r="M4">
        <v>0</v>
      </c>
      <c r="N4">
        <v>0</v>
      </c>
      <c r="O4">
        <v>0</v>
      </c>
      <c r="P4">
        <v>0</v>
      </c>
      <c r="Q4">
        <v>0</v>
      </c>
      <c r="R4">
        <v>0</v>
      </c>
      <c r="S4">
        <v>0</v>
      </c>
      <c r="T4">
        <v>0</v>
      </c>
      <c r="U4">
        <v>0</v>
      </c>
      <c r="V4">
        <v>0</v>
      </c>
      <c r="W4">
        <v>0</v>
      </c>
      <c r="X4">
        <v>2</v>
      </c>
      <c r="Y4">
        <v>5.5</v>
      </c>
      <c r="Z4">
        <v>2.69</v>
      </c>
      <c r="AA4">
        <v>2.69</v>
      </c>
      <c r="AB4">
        <v>0</v>
      </c>
      <c r="AC4">
        <v>2</v>
      </c>
      <c r="AD4">
        <v>5.5</v>
      </c>
      <c r="AE4">
        <v>0</v>
      </c>
    </row>
    <row r="5" spans="1:31">
      <c r="A5" t="s">
        <v>379</v>
      </c>
      <c r="B5" t="s">
        <v>443</v>
      </c>
      <c r="C5">
        <v>0</v>
      </c>
      <c r="D5">
        <v>0</v>
      </c>
      <c r="E5">
        <v>0</v>
      </c>
      <c r="F5">
        <v>0</v>
      </c>
      <c r="G5">
        <v>0</v>
      </c>
      <c r="H5">
        <v>0</v>
      </c>
      <c r="I5">
        <v>0</v>
      </c>
      <c r="J5">
        <v>0</v>
      </c>
      <c r="K5">
        <v>0</v>
      </c>
      <c r="L5">
        <v>0</v>
      </c>
      <c r="M5">
        <v>0</v>
      </c>
      <c r="N5">
        <v>0</v>
      </c>
      <c r="O5">
        <v>0</v>
      </c>
      <c r="P5">
        <v>0</v>
      </c>
      <c r="Q5">
        <v>0</v>
      </c>
      <c r="R5">
        <v>0</v>
      </c>
      <c r="S5">
        <v>0</v>
      </c>
      <c r="T5">
        <v>0</v>
      </c>
      <c r="U5">
        <v>0</v>
      </c>
      <c r="V5">
        <v>0</v>
      </c>
      <c r="W5">
        <v>0</v>
      </c>
      <c r="X5">
        <v>0</v>
      </c>
      <c r="Y5">
        <v>3</v>
      </c>
      <c r="Z5">
        <v>0.38</v>
      </c>
      <c r="AA5">
        <v>0.38</v>
      </c>
      <c r="AB5">
        <v>0</v>
      </c>
      <c r="AC5">
        <v>0</v>
      </c>
      <c r="AD5">
        <v>3</v>
      </c>
      <c r="AE5">
        <v>0</v>
      </c>
    </row>
    <row r="6" spans="1:31">
      <c r="A6" t="s">
        <v>379</v>
      </c>
      <c r="B6" t="s">
        <v>444</v>
      </c>
      <c r="C6">
        <v>0</v>
      </c>
      <c r="D6">
        <v>0</v>
      </c>
      <c r="E6">
        <v>0</v>
      </c>
      <c r="F6">
        <v>0</v>
      </c>
      <c r="G6">
        <v>0</v>
      </c>
      <c r="H6">
        <v>0</v>
      </c>
      <c r="I6">
        <v>0</v>
      </c>
      <c r="J6">
        <v>0</v>
      </c>
      <c r="K6">
        <v>0</v>
      </c>
      <c r="L6">
        <v>0</v>
      </c>
      <c r="M6">
        <v>0</v>
      </c>
      <c r="N6">
        <v>0</v>
      </c>
      <c r="O6">
        <v>0</v>
      </c>
      <c r="P6">
        <v>0</v>
      </c>
      <c r="Q6">
        <v>2</v>
      </c>
      <c r="R6">
        <v>2.5</v>
      </c>
      <c r="S6">
        <v>2.31</v>
      </c>
      <c r="T6">
        <v>0</v>
      </c>
      <c r="U6">
        <v>0</v>
      </c>
      <c r="V6">
        <v>0</v>
      </c>
      <c r="W6">
        <v>0</v>
      </c>
      <c r="X6">
        <v>2</v>
      </c>
      <c r="Y6">
        <v>2.5</v>
      </c>
      <c r="Z6">
        <v>2.31</v>
      </c>
      <c r="AA6">
        <v>2.31</v>
      </c>
      <c r="AB6">
        <v>0</v>
      </c>
      <c r="AC6">
        <v>2</v>
      </c>
      <c r="AD6">
        <v>2.5</v>
      </c>
      <c r="AE6">
        <v>0</v>
      </c>
    </row>
    <row r="7" spans="1:31">
      <c r="A7" t="s">
        <v>379</v>
      </c>
      <c r="B7" t="s">
        <v>445</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379</v>
      </c>
      <c r="B8" t="s">
        <v>446</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7"/>
  <sheetViews>
    <sheetView workbookViewId="0"/>
  </sheetViews>
  <sheetFormatPr defaultRowHeight="14.5"/>
  <sheetData>
    <row r="1" spans="1:17">
      <c r="A1" t="s">
        <v>566</v>
      </c>
      <c r="B1" t="s">
        <v>567</v>
      </c>
      <c r="C1" t="s">
        <v>558</v>
      </c>
      <c r="D1" t="s">
        <v>559</v>
      </c>
      <c r="E1" t="s">
        <v>560</v>
      </c>
      <c r="F1" t="s">
        <v>546</v>
      </c>
      <c r="G1" t="s">
        <v>547</v>
      </c>
      <c r="H1" t="s">
        <v>564</v>
      </c>
      <c r="I1" t="s">
        <v>555</v>
      </c>
      <c r="J1" t="s">
        <v>556</v>
      </c>
      <c r="K1" t="s">
        <v>557</v>
      </c>
      <c r="L1" t="s">
        <v>568</v>
      </c>
      <c r="M1" t="s">
        <v>569</v>
      </c>
      <c r="N1" t="s">
        <v>570</v>
      </c>
      <c r="O1" t="s">
        <v>571</v>
      </c>
      <c r="P1" t="s">
        <v>572</v>
      </c>
      <c r="Q1" t="s">
        <v>573</v>
      </c>
    </row>
    <row r="2" spans="1:17">
      <c r="A2" t="s">
        <v>437</v>
      </c>
      <c r="B2">
        <v>0</v>
      </c>
      <c r="C2">
        <v>0</v>
      </c>
      <c r="D2">
        <v>0</v>
      </c>
      <c r="E2">
        <v>0</v>
      </c>
      <c r="F2">
        <v>0</v>
      </c>
      <c r="G2">
        <v>0</v>
      </c>
      <c r="H2">
        <v>0</v>
      </c>
      <c r="I2">
        <v>0</v>
      </c>
      <c r="J2">
        <v>0</v>
      </c>
      <c r="K2">
        <v>0</v>
      </c>
      <c r="L2">
        <v>0</v>
      </c>
      <c r="M2">
        <v>0</v>
      </c>
    </row>
    <row r="3" spans="1:17">
      <c r="A3" t="s">
        <v>379</v>
      </c>
      <c r="B3">
        <v>0</v>
      </c>
      <c r="C3">
        <v>0</v>
      </c>
      <c r="D3">
        <v>0</v>
      </c>
      <c r="E3">
        <v>0</v>
      </c>
      <c r="F3">
        <v>0</v>
      </c>
      <c r="G3">
        <v>0</v>
      </c>
      <c r="H3">
        <v>0</v>
      </c>
      <c r="I3">
        <v>2</v>
      </c>
      <c r="J3">
        <v>2.5</v>
      </c>
      <c r="K3">
        <v>2.31</v>
      </c>
      <c r="L3">
        <v>0</v>
      </c>
      <c r="M3">
        <v>-2.31</v>
      </c>
      <c r="O3">
        <v>0.5</v>
      </c>
      <c r="Q3">
        <v>0</v>
      </c>
    </row>
    <row r="4" spans="1:17">
      <c r="A4" t="s">
        <v>574</v>
      </c>
      <c r="B4">
        <v>0</v>
      </c>
      <c r="C4">
        <v>0</v>
      </c>
      <c r="D4">
        <v>0</v>
      </c>
      <c r="E4">
        <v>0</v>
      </c>
      <c r="F4">
        <v>0</v>
      </c>
      <c r="G4">
        <v>0</v>
      </c>
      <c r="H4">
        <v>0</v>
      </c>
      <c r="I4">
        <v>0</v>
      </c>
      <c r="J4">
        <v>0</v>
      </c>
      <c r="K4">
        <v>0</v>
      </c>
      <c r="L4">
        <v>0</v>
      </c>
      <c r="M4">
        <v>0</v>
      </c>
    </row>
    <row r="5" spans="1:17">
      <c r="A5" t="s">
        <v>80</v>
      </c>
      <c r="B5">
        <v>0</v>
      </c>
      <c r="C5">
        <v>0</v>
      </c>
      <c r="D5">
        <v>0</v>
      </c>
      <c r="E5">
        <v>0</v>
      </c>
      <c r="F5">
        <v>0</v>
      </c>
      <c r="G5">
        <v>0</v>
      </c>
      <c r="H5">
        <v>0</v>
      </c>
      <c r="I5">
        <v>0</v>
      </c>
      <c r="J5">
        <v>0</v>
      </c>
      <c r="K5">
        <v>0</v>
      </c>
      <c r="L5">
        <v>0</v>
      </c>
      <c r="M5">
        <v>0</v>
      </c>
    </row>
    <row r="6" spans="1:17">
      <c r="A6" t="s">
        <v>67</v>
      </c>
      <c r="B6">
        <v>0</v>
      </c>
      <c r="C6">
        <v>0</v>
      </c>
      <c r="D6">
        <v>0</v>
      </c>
      <c r="E6">
        <v>0</v>
      </c>
      <c r="F6">
        <v>0</v>
      </c>
      <c r="G6">
        <v>0</v>
      </c>
      <c r="H6">
        <v>0</v>
      </c>
      <c r="I6">
        <v>0</v>
      </c>
      <c r="J6">
        <v>0</v>
      </c>
      <c r="K6">
        <v>0</v>
      </c>
      <c r="L6">
        <v>0</v>
      </c>
      <c r="M6">
        <v>0</v>
      </c>
    </row>
    <row r="7" spans="1:17">
      <c r="A7" t="s">
        <v>575</v>
      </c>
      <c r="B7">
        <v>0</v>
      </c>
      <c r="C7">
        <v>0</v>
      </c>
      <c r="D7">
        <v>0</v>
      </c>
      <c r="E7">
        <v>0</v>
      </c>
      <c r="F7">
        <v>0</v>
      </c>
      <c r="G7">
        <v>0</v>
      </c>
      <c r="H7">
        <v>0</v>
      </c>
      <c r="I7">
        <v>0</v>
      </c>
      <c r="J7">
        <v>0</v>
      </c>
      <c r="K7">
        <v>0</v>
      </c>
      <c r="L7">
        <v>0</v>
      </c>
      <c r="M7">
        <v>0</v>
      </c>
    </row>
    <row r="8" spans="1:17">
      <c r="A8" t="s">
        <v>576</v>
      </c>
      <c r="B8">
        <v>0</v>
      </c>
      <c r="C8">
        <v>0</v>
      </c>
      <c r="D8">
        <v>0</v>
      </c>
      <c r="E8">
        <v>0</v>
      </c>
      <c r="F8">
        <v>0</v>
      </c>
      <c r="G8">
        <v>0</v>
      </c>
      <c r="H8">
        <v>0</v>
      </c>
      <c r="I8">
        <v>0</v>
      </c>
      <c r="J8">
        <v>0</v>
      </c>
      <c r="K8">
        <v>0</v>
      </c>
      <c r="L8">
        <v>0</v>
      </c>
      <c r="M8">
        <v>0</v>
      </c>
    </row>
    <row r="9" spans="1:17">
      <c r="A9" t="s">
        <v>70</v>
      </c>
      <c r="B9">
        <v>0</v>
      </c>
      <c r="C9">
        <v>0</v>
      </c>
      <c r="D9">
        <v>0</v>
      </c>
      <c r="E9">
        <v>0</v>
      </c>
      <c r="F9">
        <v>0</v>
      </c>
      <c r="G9">
        <v>0</v>
      </c>
      <c r="H9">
        <v>0</v>
      </c>
      <c r="I9">
        <v>0</v>
      </c>
      <c r="J9">
        <v>0</v>
      </c>
      <c r="K9">
        <v>0</v>
      </c>
      <c r="L9">
        <v>0</v>
      </c>
      <c r="M9">
        <v>0</v>
      </c>
    </row>
    <row r="10" spans="1:17">
      <c r="A10" t="s">
        <v>68</v>
      </c>
      <c r="B10">
        <v>0</v>
      </c>
      <c r="C10">
        <v>0</v>
      </c>
      <c r="D10">
        <v>0</v>
      </c>
      <c r="E10">
        <v>0</v>
      </c>
      <c r="F10">
        <v>0</v>
      </c>
      <c r="G10">
        <v>0</v>
      </c>
      <c r="H10">
        <v>0</v>
      </c>
      <c r="I10">
        <v>0</v>
      </c>
      <c r="J10">
        <v>0</v>
      </c>
      <c r="K10">
        <v>0</v>
      </c>
      <c r="L10">
        <v>0</v>
      </c>
      <c r="M10">
        <v>0</v>
      </c>
    </row>
    <row r="11" spans="1:17">
      <c r="A11" t="s">
        <v>77</v>
      </c>
      <c r="B11">
        <v>0</v>
      </c>
      <c r="C11">
        <v>0</v>
      </c>
      <c r="D11">
        <v>0</v>
      </c>
      <c r="E11">
        <v>0</v>
      </c>
      <c r="F11">
        <v>0</v>
      </c>
      <c r="G11">
        <v>0</v>
      </c>
      <c r="H11">
        <v>0</v>
      </c>
      <c r="I11">
        <v>0</v>
      </c>
      <c r="J11">
        <v>0</v>
      </c>
      <c r="K11">
        <v>0</v>
      </c>
      <c r="L11">
        <v>0</v>
      </c>
      <c r="M11">
        <v>0</v>
      </c>
    </row>
    <row r="12" spans="1:17">
      <c r="A12" t="s">
        <v>71</v>
      </c>
      <c r="B12">
        <v>0</v>
      </c>
      <c r="C12">
        <v>0</v>
      </c>
      <c r="D12">
        <v>0</v>
      </c>
      <c r="E12">
        <v>0</v>
      </c>
      <c r="F12">
        <v>0</v>
      </c>
      <c r="G12">
        <v>0</v>
      </c>
      <c r="H12">
        <v>0</v>
      </c>
      <c r="I12">
        <v>0</v>
      </c>
      <c r="J12">
        <v>0</v>
      </c>
      <c r="K12">
        <v>0</v>
      </c>
      <c r="L12">
        <v>0</v>
      </c>
      <c r="M12">
        <v>0</v>
      </c>
    </row>
    <row r="13" spans="1:17">
      <c r="A13" t="s">
        <v>64</v>
      </c>
      <c r="B13">
        <v>0</v>
      </c>
      <c r="C13">
        <v>0</v>
      </c>
      <c r="D13">
        <v>0</v>
      </c>
      <c r="E13">
        <v>0</v>
      </c>
      <c r="F13">
        <v>0</v>
      </c>
      <c r="G13">
        <v>0</v>
      </c>
      <c r="H13">
        <v>0</v>
      </c>
      <c r="I13">
        <v>0</v>
      </c>
      <c r="J13">
        <v>0</v>
      </c>
      <c r="K13">
        <v>0</v>
      </c>
      <c r="L13">
        <v>0</v>
      </c>
      <c r="M13">
        <v>0</v>
      </c>
    </row>
    <row r="14" spans="1:17">
      <c r="A14" t="s">
        <v>65</v>
      </c>
      <c r="B14">
        <v>0</v>
      </c>
      <c r="C14">
        <v>0</v>
      </c>
      <c r="D14">
        <v>0</v>
      </c>
      <c r="E14">
        <v>0</v>
      </c>
      <c r="F14">
        <v>0</v>
      </c>
      <c r="G14">
        <v>0</v>
      </c>
      <c r="H14">
        <v>0</v>
      </c>
      <c r="I14">
        <v>0</v>
      </c>
      <c r="J14">
        <v>0</v>
      </c>
      <c r="K14">
        <v>0</v>
      </c>
      <c r="L14">
        <v>0</v>
      </c>
      <c r="M14">
        <v>0</v>
      </c>
    </row>
    <row r="15" spans="1:17">
      <c r="A15" t="s">
        <v>577</v>
      </c>
      <c r="B15">
        <v>0</v>
      </c>
      <c r="C15">
        <v>0</v>
      </c>
      <c r="D15">
        <v>0</v>
      </c>
      <c r="E15">
        <v>0</v>
      </c>
      <c r="F15">
        <v>0</v>
      </c>
      <c r="G15">
        <v>0</v>
      </c>
      <c r="H15">
        <v>0</v>
      </c>
      <c r="I15">
        <v>0</v>
      </c>
      <c r="J15">
        <v>0</v>
      </c>
      <c r="K15">
        <v>0</v>
      </c>
      <c r="L15">
        <v>0</v>
      </c>
      <c r="M15">
        <v>0</v>
      </c>
    </row>
    <row r="16" spans="1:17">
      <c r="A16" t="s">
        <v>578</v>
      </c>
      <c r="B16">
        <v>0</v>
      </c>
      <c r="C16">
        <v>0</v>
      </c>
      <c r="D16">
        <v>0</v>
      </c>
      <c r="E16">
        <v>0</v>
      </c>
      <c r="F16">
        <v>0</v>
      </c>
      <c r="G16">
        <v>0</v>
      </c>
      <c r="H16">
        <v>0</v>
      </c>
      <c r="I16">
        <v>0</v>
      </c>
      <c r="J16">
        <v>0</v>
      </c>
      <c r="K16">
        <v>0</v>
      </c>
      <c r="L16">
        <v>0</v>
      </c>
      <c r="M16">
        <v>0</v>
      </c>
    </row>
    <row r="17" spans="1:13">
      <c r="A17" t="s">
        <v>66</v>
      </c>
      <c r="B17">
        <v>0</v>
      </c>
      <c r="C17">
        <v>0</v>
      </c>
      <c r="D17">
        <v>0</v>
      </c>
      <c r="E17">
        <v>0</v>
      </c>
      <c r="F17">
        <v>0</v>
      </c>
      <c r="G17">
        <v>0</v>
      </c>
      <c r="H17">
        <v>0</v>
      </c>
      <c r="I17">
        <v>0</v>
      </c>
      <c r="J17">
        <v>0</v>
      </c>
      <c r="K17">
        <v>0</v>
      </c>
      <c r="L17">
        <v>0</v>
      </c>
      <c r="M17">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
  <sheetViews>
    <sheetView workbookViewId="0"/>
  </sheetViews>
  <sheetFormatPr defaultRowHeight="14.5"/>
  <sheetData>
    <row r="1" spans="1:30">
      <c r="A1" t="s">
        <v>166</v>
      </c>
      <c r="B1" t="s">
        <v>217</v>
      </c>
      <c r="C1" t="s">
        <v>311</v>
      </c>
      <c r="D1" t="s">
        <v>312</v>
      </c>
      <c r="E1" t="s">
        <v>313</v>
      </c>
      <c r="F1" t="s">
        <v>314</v>
      </c>
      <c r="G1" t="s">
        <v>315</v>
      </c>
      <c r="H1" t="s">
        <v>316</v>
      </c>
      <c r="I1" t="s">
        <v>317</v>
      </c>
      <c r="J1" t="s">
        <v>318</v>
      </c>
      <c r="K1" t="s">
        <v>319</v>
      </c>
      <c r="L1" t="s">
        <v>320</v>
      </c>
      <c r="M1" t="s">
        <v>579</v>
      </c>
      <c r="N1" t="s">
        <v>580</v>
      </c>
      <c r="O1" t="s">
        <v>323</v>
      </c>
      <c r="P1" t="s">
        <v>324</v>
      </c>
      <c r="Q1" t="s">
        <v>325</v>
      </c>
      <c r="R1" t="s">
        <v>326</v>
      </c>
      <c r="S1" t="s">
        <v>327</v>
      </c>
      <c r="T1" t="s">
        <v>328</v>
      </c>
      <c r="U1" t="s">
        <v>329</v>
      </c>
      <c r="V1" t="s">
        <v>330</v>
      </c>
      <c r="W1" t="s">
        <v>581</v>
      </c>
      <c r="X1" t="s">
        <v>582</v>
      </c>
      <c r="Y1" t="s">
        <v>583</v>
      </c>
      <c r="Z1" t="s">
        <v>584</v>
      </c>
      <c r="AA1" t="s">
        <v>585</v>
      </c>
      <c r="AB1" t="s">
        <v>570</v>
      </c>
      <c r="AC1" t="s">
        <v>571</v>
      </c>
      <c r="AD1" t="s">
        <v>586</v>
      </c>
    </row>
    <row r="2" spans="1:30">
      <c r="A2" t="s">
        <v>377</v>
      </c>
      <c r="B2" t="s">
        <v>378</v>
      </c>
      <c r="C2">
        <v>1.1599999999999999</v>
      </c>
      <c r="D2">
        <v>1</v>
      </c>
      <c r="E2">
        <v>3</v>
      </c>
      <c r="F2">
        <v>1.5</v>
      </c>
      <c r="G2" t="s">
        <v>379</v>
      </c>
      <c r="H2">
        <v>2</v>
      </c>
      <c r="I2">
        <v>2</v>
      </c>
      <c r="J2">
        <v>2.25</v>
      </c>
      <c r="K2">
        <v>2.25</v>
      </c>
      <c r="L2">
        <v>0</v>
      </c>
      <c r="M2">
        <v>2</v>
      </c>
      <c r="N2">
        <v>2</v>
      </c>
      <c r="O2">
        <v>10</v>
      </c>
      <c r="P2">
        <v>0</v>
      </c>
      <c r="W2">
        <v>0.5</v>
      </c>
      <c r="AA2">
        <v>2.25</v>
      </c>
      <c r="AC2">
        <v>0.5</v>
      </c>
      <c r="AD2" t="s">
        <v>379</v>
      </c>
    </row>
    <row r="3" spans="1:30">
      <c r="A3" t="s">
        <v>377</v>
      </c>
      <c r="B3" t="s">
        <v>380</v>
      </c>
      <c r="C3">
        <v>5.42</v>
      </c>
      <c r="D3">
        <v>5</v>
      </c>
      <c r="E3">
        <v>8</v>
      </c>
      <c r="F3">
        <v>4</v>
      </c>
      <c r="H3">
        <v>0</v>
      </c>
      <c r="I3">
        <v>0</v>
      </c>
      <c r="J3">
        <v>0</v>
      </c>
      <c r="K3">
        <v>0</v>
      </c>
      <c r="L3">
        <v>0</v>
      </c>
      <c r="M3">
        <v>0</v>
      </c>
      <c r="N3">
        <v>0</v>
      </c>
      <c r="W3" t="s">
        <v>587</v>
      </c>
      <c r="AA3">
        <v>0</v>
      </c>
      <c r="AC3" t="s">
        <v>587</v>
      </c>
    </row>
    <row r="4" spans="1:30">
      <c r="A4" t="s">
        <v>377</v>
      </c>
      <c r="B4" t="s">
        <v>381</v>
      </c>
      <c r="C4">
        <v>0.67</v>
      </c>
      <c r="D4">
        <v>0</v>
      </c>
      <c r="E4">
        <v>13</v>
      </c>
      <c r="F4">
        <v>4</v>
      </c>
      <c r="H4">
        <v>0</v>
      </c>
      <c r="I4">
        <v>0</v>
      </c>
      <c r="J4">
        <v>0</v>
      </c>
      <c r="K4">
        <v>0</v>
      </c>
      <c r="L4">
        <v>0</v>
      </c>
      <c r="M4">
        <v>0</v>
      </c>
      <c r="N4">
        <v>0</v>
      </c>
      <c r="W4" t="s">
        <v>587</v>
      </c>
      <c r="AA4">
        <v>0</v>
      </c>
      <c r="AC4" t="s">
        <v>587</v>
      </c>
    </row>
    <row r="5" spans="1:30">
      <c r="A5" t="s">
        <v>377</v>
      </c>
      <c r="B5" t="s">
        <v>382</v>
      </c>
      <c r="C5">
        <v>7.24</v>
      </c>
      <c r="D5">
        <v>7</v>
      </c>
      <c r="E5">
        <v>4</v>
      </c>
      <c r="F5">
        <v>9.5</v>
      </c>
      <c r="H5">
        <v>0</v>
      </c>
      <c r="I5">
        <v>0</v>
      </c>
      <c r="J5">
        <v>0</v>
      </c>
      <c r="K5">
        <v>0</v>
      </c>
      <c r="L5">
        <v>0</v>
      </c>
      <c r="M5">
        <v>0</v>
      </c>
      <c r="N5">
        <v>0</v>
      </c>
      <c r="W5" t="s">
        <v>587</v>
      </c>
      <c r="AA5">
        <v>0</v>
      </c>
      <c r="AC5" t="s">
        <v>587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Receipts</vt:lpstr>
      <vt:lpstr>Expenses</vt:lpstr>
      <vt:lpstr>Stock</vt:lpstr>
      <vt:lpstr>raw data</vt:lpstr>
      <vt:lpstr>Stock_raw</vt:lpstr>
      <vt:lpstr>Issues of the Mills</vt:lpstr>
      <vt:lpstr>Prices</vt:lpstr>
      <vt:lpstr>Labour Rents</vt:lpstr>
      <vt:lpstr>not needed</vt:lpstr>
      <vt:lpstr>Issues of the Grange raw</vt:lpstr>
      <vt:lpstr>Issues of the Grange</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Kowalski, Kuba</cp:lastModifiedBy>
  <dcterms:created xsi:type="dcterms:W3CDTF">2024-09-06T15:22:17Z</dcterms:created>
  <dcterms:modified xsi:type="dcterms:W3CDTF">2026-02-04T20:37:20Z</dcterms:modified>
</cp:coreProperties>
</file>
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BISHOPSWALTHAM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58</v>
      </c>
      <c r="D4" s="13" t="n"/>
      <c r="E4" s="13" t="n"/>
    </row>
    <row r="5">
      <c r="A5" s="15" t="inlineStr">
        <is>
          <t>Rents of assize total</t>
        </is>
      </c>
      <c r="B5" s="76" t="n">
        <v>84.20999999999999</v>
      </c>
    </row>
    <row r="6">
      <c r="A6" s="15" t="inlineStr">
        <is>
          <t>Quittances total</t>
        </is>
      </c>
      <c r="B6" s="76" t="n"/>
    </row>
    <row r="7">
      <c r="A7" s="15" t="inlineStr">
        <is>
          <t>Defaults of rent total</t>
        </is>
      </c>
      <c r="B7" s="76" t="n">
        <v>1.72</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2.41</v>
      </c>
    </row>
    <row r="12">
      <c r="A12" s="76" t="inlineStr">
        <is>
          <t>Total of rents remaining clear total</t>
        </is>
      </c>
      <c r="B12" s="76" t="n">
        <v>81.8</v>
      </c>
    </row>
    <row r="13">
      <c r="A13" s="76" t="inlineStr">
        <is>
          <t>Farms total</t>
        </is>
      </c>
      <c r="B13" s="76" t="n"/>
    </row>
    <row r="14">
      <c r="A14" s="15" t="inlineStr">
        <is>
          <t>Annual recognizances total</t>
        </is>
      </c>
      <c r="B14" s="76" t="n">
        <v>0.57</v>
      </c>
    </row>
    <row r="15">
      <c r="A15" s="15" t="inlineStr">
        <is>
          <t>Issues of the Manor total</t>
        </is>
      </c>
      <c r="B15" s="76" t="n">
        <v>20.55</v>
      </c>
    </row>
    <row r="16">
      <c r="A16" s="76" t="inlineStr">
        <is>
          <t>Issues of the tenements in the lord's hands total</t>
        </is>
      </c>
      <c r="B16" s="76" t="n"/>
    </row>
    <row r="17">
      <c r="A17" s="76" t="inlineStr">
        <is>
          <t>Sale of labour services total</t>
        </is>
      </c>
      <c r="B17" s="76" t="n"/>
    </row>
    <row r="18">
      <c r="A18" s="15" t="inlineStr">
        <is>
          <t>Sale of corn total</t>
        </is>
      </c>
      <c r="B18" s="76" t="n">
        <v>25.46</v>
      </c>
    </row>
    <row r="19">
      <c r="A19" s="15" t="inlineStr">
        <is>
          <t>Entry and marriage fines total</t>
        </is>
      </c>
      <c r="B19" s="76" t="n">
        <v>28.3</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'Receipts'!F155</f>
        <v/>
      </c>
      <c r="C25" s="10">
        <f>B23-B25</f>
        <v/>
      </c>
    </row>
    <row r="26">
      <c r="A26" s="83" t="inlineStr">
        <is>
          <t>Total recorded in the accounts incl. arrears</t>
        </is>
      </c>
      <c r="B26">
        <f>'Receipts'!F156</f>
        <v/>
      </c>
      <c r="D26" s="13" t="n"/>
      <c r="E26" s="13" t="n"/>
    </row>
    <row r="27">
      <c r="A27" s="15" t="n"/>
    </row>
    <row r="28">
      <c r="A28" s="15" t="n"/>
    </row>
    <row r="29">
      <c r="A29" s="16" t="inlineStr">
        <is>
          <t>EXPENSES</t>
        </is>
      </c>
    </row>
    <row r="30">
      <c r="A30" s="15" t="inlineStr">
        <is>
          <t>Cost of ploughs total</t>
        </is>
      </c>
      <c r="B30" t="n">
        <v>2.94</v>
      </c>
    </row>
    <row r="31">
      <c r="A31" s="15" t="inlineStr">
        <is>
          <t>Purchase of corn total</t>
        </is>
      </c>
    </row>
    <row r="32">
      <c r="A32" s="15" t="inlineStr">
        <is>
          <t>Cost of carts and wagons total</t>
        </is>
      </c>
      <c r="B32" t="n">
        <v>3.23</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1.78</v>
      </c>
    </row>
    <row r="38">
      <c r="A38" s="15" t="inlineStr">
        <is>
          <t>Barley expenses</t>
        </is>
      </c>
    </row>
    <row r="39">
      <c r="A39" s="15" t="inlineStr">
        <is>
          <t>Expenses of the harvest total</t>
        </is>
      </c>
      <c r="B39" t="n">
        <v>3.61</v>
      </c>
    </row>
    <row r="40">
      <c r="A40" s="15" t="inlineStr">
        <is>
          <t>Necessary expenses</t>
        </is>
      </c>
    </row>
    <row r="41">
      <c r="A41" s="15" t="inlineStr">
        <is>
          <t>Wages of the bailiff</t>
        </is>
      </c>
      <c r="B41" s="84" t="n"/>
    </row>
    <row r="42">
      <c r="A42" s="15" t="inlineStr">
        <is>
          <t>Steward's expenses total</t>
        </is>
      </c>
      <c r="B42" s="84" t="n">
        <v>1.07</v>
      </c>
    </row>
    <row r="43">
      <c r="A43" s="85" t="inlineStr">
        <is>
          <t>Annual fees</t>
        </is>
      </c>
      <c r="B43" s="86" t="n"/>
      <c r="C43" s="87" t="n"/>
      <c r="D43" s="88" t="n"/>
    </row>
    <row r="44">
      <c r="A44" s="82" t="inlineStr">
        <is>
          <t>Total of all expenses per account</t>
        </is>
      </c>
      <c r="B44" s="84">
        <f>'Expenses'!F114</f>
        <v/>
      </c>
    </row>
    <row r="45">
      <c r="A45" s="82" t="inlineStr">
        <is>
          <t>Total of all expenses (calculated here)</t>
        </is>
      </c>
      <c r="B45" s="84">
        <f>'Expenses'!F115</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207.35</v>
      </c>
    </row>
    <row r="51">
      <c r="A51" s="15" t="n"/>
    </row>
    <row r="52">
      <c r="A52" s="18" t="inlineStr">
        <is>
          <t>Allowances</t>
        </is>
      </c>
      <c r="B52" s="84" t="n"/>
    </row>
    <row r="53">
      <c r="A53" s="18" t="inlineStr">
        <is>
          <t>Cash deliveries</t>
        </is>
      </c>
      <c r="B53" s="84" t="n">
        <v>95.41</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62</v>
      </c>
      <c r="C62" t="n">
        <v>4</v>
      </c>
      <c r="D62" t="n">
        <v>31.05</v>
      </c>
      <c r="E62" t="n">
        <v>31.05</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53</v>
      </c>
      <c r="C66" t="n">
        <v>5</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49.918</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23</v>
      </c>
      <c r="C94" s="76">
        <f>'Stock'!L12</f>
        <v/>
      </c>
      <c r="D94" s="76">
        <f>C94-B94</f>
        <v/>
      </c>
      <c r="F94" s="84">
        <f>'Stock'!L12*'Stock'!O12</f>
        <v/>
      </c>
      <c r="G94" s="84">
        <f>D94*'Stock'!O12</f>
        <v/>
      </c>
    </row>
    <row r="95">
      <c r="A95" s="15" t="inlineStr">
        <is>
          <t>Bulls</t>
        </is>
      </c>
      <c r="B95" s="76" t="n">
        <v>2</v>
      </c>
      <c r="C95" s="76">
        <f>'Stock'!L13</f>
        <v/>
      </c>
      <c r="D95" s="76">
        <f>C95-B95</f>
        <v/>
      </c>
      <c r="F95" s="84">
        <f>'Stock'!L13*'Stock'!O13</f>
        <v/>
      </c>
      <c r="G95" s="84">
        <f>D95*'Stock'!O13</f>
        <v/>
      </c>
    </row>
    <row r="96">
      <c r="A96" s="15" t="inlineStr">
        <is>
          <t>Cows</t>
        </is>
      </c>
      <c r="B96" s="76" t="n">
        <v>20</v>
      </c>
      <c r="C96" s="76">
        <f>'Stock'!L14</f>
        <v/>
      </c>
      <c r="D96" s="76">
        <f>C96-B96</f>
        <v/>
      </c>
      <c r="F96" s="84">
        <f>'Stock'!L14*'Stock'!O14</f>
        <v/>
      </c>
      <c r="G96" s="84">
        <f>D96*'Stock'!O14</f>
        <v/>
      </c>
    </row>
    <row r="97">
      <c r="A97" s="15" t="inlineStr">
        <is>
          <t>Steers</t>
        </is>
      </c>
      <c r="B97" s="76" t="n">
        <v>9</v>
      </c>
      <c r="C97" s="76">
        <f>'Stock'!L15</f>
        <v/>
      </c>
      <c r="D97" s="76">
        <f>C97-B97</f>
        <v/>
      </c>
      <c r="F97" s="84">
        <f>'Stock'!L15*'Stock'!O15</f>
        <v/>
      </c>
      <c r="G97" s="84">
        <f>D97*'Stock'!O15</f>
        <v/>
      </c>
    </row>
    <row r="98">
      <c r="A98" s="15" t="inlineStr">
        <is>
          <t>Bullocks</t>
        </is>
      </c>
      <c r="B98" s="76" t="n">
        <v>10</v>
      </c>
      <c r="C98" s="76">
        <f>'Stock'!L16</f>
        <v/>
      </c>
      <c r="D98" s="76">
        <f>C98-B98</f>
        <v/>
      </c>
      <c r="F98" s="84">
        <f>'Stock'!L16*'Stock'!O16</f>
        <v/>
      </c>
      <c r="G98" s="84">
        <f>D98*'Stock'!O16</f>
        <v/>
      </c>
    </row>
    <row r="99">
      <c r="A99" s="15" t="inlineStr">
        <is>
          <t>Yearlings</t>
        </is>
      </c>
      <c r="B99" s="76" t="n">
        <v>8</v>
      </c>
      <c r="C99" s="76">
        <f>'Stock'!L17</f>
        <v/>
      </c>
      <c r="D99" s="76">
        <f>C99-B99</f>
        <v/>
      </c>
      <c r="F99" s="84">
        <f>'Stock'!L17*'Stock'!O17</f>
        <v/>
      </c>
      <c r="G99" s="84">
        <f>D99*'Stock'!O17</f>
        <v/>
      </c>
    </row>
    <row r="100">
      <c r="A100" s="15" t="inlineStr">
        <is>
          <t>Calves</t>
        </is>
      </c>
      <c r="B100" s="76" t="n">
        <v>8</v>
      </c>
      <c r="C100" s="76">
        <f>'Stock'!L18</f>
        <v/>
      </c>
      <c r="D100" s="76">
        <f>C100-B100</f>
        <v/>
      </c>
      <c r="F100" s="84">
        <f>'Stock'!L18*'Stock'!O18</f>
        <v/>
      </c>
      <c r="G100" s="84">
        <f>D100*'Stock'!O18</f>
        <v/>
      </c>
    </row>
    <row r="101">
      <c r="A101" s="15" t="inlineStr">
        <is>
          <t>Wethers</t>
        </is>
      </c>
      <c r="B101" s="76" t="n">
        <v>334</v>
      </c>
      <c r="C101" s="76">
        <f>'Stock'!L19</f>
        <v/>
      </c>
      <c r="D101" s="76">
        <f>C101-B101</f>
        <v/>
      </c>
      <c r="F101" s="84">
        <f>'Stock'!L19*'Stock'!O19</f>
        <v/>
      </c>
      <c r="G101" s="84">
        <f>D101*'Stock'!O19</f>
        <v/>
      </c>
    </row>
    <row r="102">
      <c r="A102" s="15" t="inlineStr">
        <is>
          <t>Rams</t>
        </is>
      </c>
      <c r="B102" s="76" t="n">
        <v>6</v>
      </c>
      <c r="C102" s="76">
        <f>'Stock'!L20</f>
        <v/>
      </c>
      <c r="D102" s="76">
        <f>C102-B102</f>
        <v/>
      </c>
      <c r="F102" s="84">
        <f>'Stock'!L20*'Stock'!O20</f>
        <v/>
      </c>
      <c r="G102" s="84">
        <f>D102*'Stock'!O20</f>
        <v/>
      </c>
    </row>
    <row r="103">
      <c r="A103" s="15" t="inlineStr">
        <is>
          <t>Ewes</t>
        </is>
      </c>
      <c r="B103" s="76" t="n">
        <v>256</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2</v>
      </c>
      <c r="C107" s="76">
        <f>'Stock'!L25</f>
        <v/>
      </c>
      <c r="D107" s="76">
        <f>C107-B107</f>
        <v/>
      </c>
      <c r="F107" s="84">
        <f>'Stock'!L25*'Stock'!O25</f>
        <v/>
      </c>
      <c r="G107" s="84">
        <f>D107*'Stock'!O25</f>
        <v/>
      </c>
    </row>
    <row r="108">
      <c r="A108" s="15" t="inlineStr">
        <is>
          <t>Pigs</t>
        </is>
      </c>
      <c r="B108" s="76" t="n">
        <v>24</v>
      </c>
      <c r="C108" s="76">
        <f>'Stock'!L26</f>
        <v/>
      </c>
      <c r="D108" s="76">
        <f>C108-B108</f>
        <v/>
      </c>
      <c r="F108" s="84">
        <f>'Stock'!L26*'Stock'!O26</f>
        <v/>
      </c>
      <c r="G108" s="84">
        <f>D108*'Stock'!O26</f>
        <v/>
      </c>
    </row>
    <row r="109">
      <c r="A109" s="15" t="inlineStr">
        <is>
          <t>Hoggets</t>
        </is>
      </c>
      <c r="B109" s="76" t="n">
        <v>26</v>
      </c>
      <c r="C109" s="76">
        <f>'Stock'!L27</f>
        <v/>
      </c>
      <c r="D109" s="76">
        <f>C109-B109</f>
        <v/>
      </c>
      <c r="F109" s="84">
        <f>'Stock'!L27*'Stock'!O27</f>
        <v/>
      </c>
      <c r="G109" s="84">
        <f>D109*'Stock'!O27</f>
        <v/>
      </c>
    </row>
    <row r="110">
      <c r="A110" s="15" t="inlineStr">
        <is>
          <t>Piglets</t>
        </is>
      </c>
      <c r="B110" s="76" t="n">
        <v>26</v>
      </c>
      <c r="C110" s="76">
        <f>'Stock'!L28</f>
        <v/>
      </c>
      <c r="D110" s="76">
        <f>C110-B110</f>
        <v/>
      </c>
      <c r="F110" s="84">
        <f>'Stock'!L28*'Stock'!O28</f>
        <v/>
      </c>
      <c r="G110" s="84">
        <f>D110*'Stock'!O28</f>
        <v/>
      </c>
    </row>
    <row r="111">
      <c r="A111" s="15" t="inlineStr">
        <is>
          <t>Swans</t>
        </is>
      </c>
      <c r="B111" s="76" t="n">
        <v>5</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BISHOPSWALTHAM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57</v>
      </c>
      <c r="C3" s="128" t="n">
        <v>19</v>
      </c>
      <c r="D3" s="128" t="n">
        <v>11</v>
      </c>
      <c r="E3" s="128" t="n"/>
      <c r="F3" s="128" t="n">
        <v>58</v>
      </c>
      <c r="G3" s="128" t="n"/>
      <c r="H3" s="128" t="inlineStr">
        <is>
          <t>The same answers for £57 19 shilling 11pence of arrears from his last account of the preceeding year.</t>
        </is>
      </c>
      <c r="I3" s="128" t="n"/>
    </row>
    <row r="4">
      <c r="A4" s="137" t="inlineStr">
        <is>
          <t>Arrears</t>
        </is>
      </c>
      <c r="B4" s="128" t="n">
        <v>57</v>
      </c>
      <c r="C4" s="128" t="n">
        <v>19</v>
      </c>
      <c r="D4" s="128" t="n">
        <v>11</v>
      </c>
      <c r="E4" s="128" t="n"/>
      <c r="F4" s="128" t="n">
        <v>58</v>
      </c>
      <c r="G4" s="128" t="n"/>
      <c r="H4" s="128" t="inlineStr">
        <is>
          <t>Total, £57 19 shilling 11pence.</t>
        </is>
      </c>
      <c r="I4" s="128" t="n"/>
    </row>
    <row r="5">
      <c r="A5" s="138" t="inlineStr">
        <is>
          <t>Arrears total</t>
        </is>
      </c>
      <c r="B5" s="139" t="n"/>
      <c r="C5" s="139" t="n"/>
      <c r="D5" s="139" t="n"/>
      <c r="E5" s="139" t="n"/>
      <c r="F5" s="139" t="n">
        <v>58</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14</v>
      </c>
      <c r="C7" s="128" t="n">
        <v>12</v>
      </c>
      <c r="D7" s="128" t="n">
        <v>6.5</v>
      </c>
      <c r="E7" s="128" t="n"/>
      <c r="F7" s="128" t="n">
        <v>14.63</v>
      </c>
      <c r="G7" s="128" t="n"/>
      <c r="H7" s="128" t="inlineStr">
        <is>
          <t>And for £14 12 shilling 6.5pence for all rents of assize at Christmas.</t>
        </is>
      </c>
      <c r="I7" s="128" t="n"/>
    </row>
    <row r="8">
      <c r="A8" s="137" t="inlineStr">
        <is>
          <t>Rents of assize</t>
        </is>
      </c>
      <c r="B8" s="128" t="n">
        <v>25</v>
      </c>
      <c r="C8" s="128" t="n">
        <v>18</v>
      </c>
      <c r="D8" s="128" t="n">
        <v>8</v>
      </c>
      <c r="E8" s="128" t="n"/>
      <c r="F8" s="128" t="n">
        <v>25.93</v>
      </c>
      <c r="G8" s="128" t="n"/>
      <c r="H8" s="128" t="inlineStr">
        <is>
          <t>£25 18 shilling 8pence at Easter (23 March).</t>
        </is>
      </c>
      <c r="I8" s="128" t="n"/>
    </row>
    <row r="9">
      <c r="A9" s="137" t="inlineStr">
        <is>
          <t>Rents of assize</t>
        </is>
      </c>
      <c r="B9" s="128" t="n">
        <v>14</v>
      </c>
      <c r="C9" s="128" t="n">
        <v>12</v>
      </c>
      <c r="D9" s="128" t="n">
        <v>6.25</v>
      </c>
      <c r="E9" s="128" t="n"/>
      <c r="F9" s="128" t="n">
        <v>14.63</v>
      </c>
      <c r="G9" s="128" t="n"/>
      <c r="H9" s="128" t="inlineStr">
        <is>
          <t>£14 12 shilling 6.25pence at the Nativity of St John the Baptist (24 June).</t>
        </is>
      </c>
      <c r="I9" s="128" t="n"/>
    </row>
    <row r="10">
      <c r="A10" s="137" t="inlineStr">
        <is>
          <t>Rents of assize</t>
        </is>
      </c>
      <c r="B10" s="128" t="n">
        <v>29</v>
      </c>
      <c r="C10" s="128" t="n">
        <v>0</v>
      </c>
      <c r="D10" s="128" t="n">
        <v>4.75</v>
      </c>
      <c r="E10" s="128" t="n"/>
      <c r="F10" s="128" t="n">
        <v>29.02</v>
      </c>
      <c r="G10" s="128" t="n"/>
      <c r="H10" s="128" t="inlineStr">
        <is>
          <t>£29 4.75pence at Michaelmas (29 September).</t>
        </is>
      </c>
      <c r="I10" s="128" t="n"/>
    </row>
    <row r="11">
      <c r="A11" s="137" t="inlineStr">
        <is>
          <t>Rents of assize</t>
        </is>
      </c>
      <c r="B11" s="128" t="n">
        <v>84</v>
      </c>
      <c r="C11" s="128" t="n">
        <v>4</v>
      </c>
      <c r="D11" s="128" t="n">
        <v>1.5</v>
      </c>
      <c r="E11" s="128" t="n"/>
      <c r="F11" s="128" t="n">
        <v>84.20999999999999</v>
      </c>
      <c r="G11" s="128" t="n"/>
      <c r="H11" s="128" t="inlineStr">
        <is>
          <t>Total, £84 4 shilling 1.5pence.</t>
        </is>
      </c>
      <c r="I11" s="128" t="n"/>
    </row>
    <row r="12">
      <c r="A12" s="138" t="inlineStr">
        <is>
          <t>Rents of assize total</t>
        </is>
      </c>
      <c r="B12" s="139" t="n"/>
      <c r="C12" s="139" t="n"/>
      <c r="D12" s="139" t="n"/>
      <c r="E12" s="139" t="n"/>
      <c r="F12" s="139" t="n">
        <v>84.20999999999999</v>
      </c>
      <c r="G12" s="139" t="n">
        <v>0</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1</v>
      </c>
      <c r="C14" s="128" t="n">
        <v>2</v>
      </c>
      <c r="D14" s="128" t="n">
        <v>8</v>
      </c>
      <c r="E14" s="128" t="n"/>
      <c r="F14" s="128" t="n">
        <v>1.13</v>
      </c>
      <c r="G14" s="128" t="n"/>
      <c r="H14" s="128" t="inlineStr">
        <is>
          <t>In default of the land drawn into demesne, £1 2 shilling 8pence for the year, for that land which is between the barton and garden.</t>
        </is>
      </c>
      <c r="I14" s="128" t="n"/>
    </row>
    <row r="15">
      <c r="A15" s="137" t="inlineStr">
        <is>
          <t>Defaults of rent</t>
        </is>
      </c>
      <c r="B15" s="128" t="n">
        <v>0</v>
      </c>
      <c r="C15" s="128" t="n">
        <v>0</v>
      </c>
      <c r="D15" s="128" t="n">
        <v>8</v>
      </c>
      <c r="E15" s="128" t="n"/>
      <c r="F15" s="128" t="n">
        <v>0.03</v>
      </c>
      <c r="G15" s="128" t="n"/>
      <c r="H15" s="128" t="inlineStr">
        <is>
          <t>the land of Osbert de Langele, 8pence for the year.</t>
        </is>
      </c>
      <c r="I15" s="128" t="n"/>
    </row>
    <row r="16">
      <c r="A16" s="137" t="inlineStr">
        <is>
          <t>Defaults of rent</t>
        </is>
      </c>
      <c r="B16" s="128" t="n">
        <v>0</v>
      </c>
      <c r="C16" s="128" t="n">
        <v>0</v>
      </c>
      <c r="D16" s="128" t="n">
        <v>6</v>
      </c>
      <c r="E16" s="128" t="n"/>
      <c r="F16" s="128" t="n">
        <v>0.03</v>
      </c>
      <c r="G16" s="128" t="n"/>
      <c r="H16" s="128" t="inlineStr">
        <is>
          <t>the land of Richard Bacon, 6pence for the year.</t>
        </is>
      </c>
      <c r="I16" s="128" t="n"/>
    </row>
    <row r="17">
      <c r="A17" s="137" t="inlineStr">
        <is>
          <t>Defaults of rent</t>
        </is>
      </c>
      <c r="B17" s="128" t="n">
        <v>0</v>
      </c>
      <c r="C17" s="128" t="n">
        <v>0</v>
      </c>
      <c r="D17" s="128" t="n">
        <v>6</v>
      </c>
      <c r="E17" s="128" t="n"/>
      <c r="F17" s="128" t="n">
        <v>0.03</v>
      </c>
      <c r="G17" s="128" t="n"/>
      <c r="H17" s="128" t="inlineStr">
        <is>
          <t>the land of Hugh son of Azonis, 6pence for the year.</t>
        </is>
      </c>
      <c r="I17" s="128" t="n"/>
    </row>
    <row r="18">
      <c r="A18" s="137" t="inlineStr">
        <is>
          <t>Defaults of rent</t>
        </is>
      </c>
      <c r="B18" s="128" t="n">
        <v>0</v>
      </c>
      <c r="C18" s="128" t="n">
        <v>0</v>
      </c>
      <c r="D18" s="128" t="n">
        <v>3</v>
      </c>
      <c r="E18" s="128" t="n"/>
      <c r="F18" s="128" t="n">
        <v>0.01</v>
      </c>
      <c r="G18" s="128" t="n"/>
      <c r="H18" s="128" t="inlineStr">
        <is>
          <t>the land of Richard Swanemere, 3pence for the year.</t>
        </is>
      </c>
      <c r="I18" s="128" t="n"/>
    </row>
    <row r="19">
      <c r="A19" s="137" t="inlineStr">
        <is>
          <t>Defaults of rent</t>
        </is>
      </c>
      <c r="B19" s="128" t="n">
        <v>0</v>
      </c>
      <c r="C19" s="128" t="n">
        <v>6</v>
      </c>
      <c r="D19" s="128" t="n">
        <v>5</v>
      </c>
      <c r="E19" s="128" t="n"/>
      <c r="F19" s="128" t="n">
        <v>0.32</v>
      </c>
      <c r="G19" s="128" t="n"/>
      <c r="H19" s="128" t="inlineStr">
        <is>
          <t>the land of the mill drawn into the park, 6 shilling 5pence for the year.</t>
        </is>
      </c>
      <c r="I19" s="128" t="n"/>
    </row>
    <row r="20">
      <c r="A20" s="137" t="inlineStr">
        <is>
          <t>Defaults of rent</t>
        </is>
      </c>
      <c r="B20" s="128" t="n">
        <v>0</v>
      </c>
      <c r="C20" s="128" t="n">
        <v>1</v>
      </c>
      <c r="D20" s="128" t="n">
        <v>6</v>
      </c>
      <c r="E20" s="128" t="n"/>
      <c r="F20" s="128" t="n">
        <v>0.08</v>
      </c>
      <c r="G20" s="128" t="n"/>
      <c r="H20" s="128" t="inlineStr">
        <is>
          <t>the land of Peter Clericus, 1 shilling 6pence for the year.</t>
        </is>
      </c>
      <c r="I20" s="128" t="n"/>
    </row>
    <row r="21">
      <c r="A21" s="137" t="inlineStr">
        <is>
          <t>Defaults of rent</t>
        </is>
      </c>
      <c r="B21" s="128" t="n">
        <v>0</v>
      </c>
      <c r="C21" s="128" t="n">
        <v>0</v>
      </c>
      <c r="D21" s="128" t="n">
        <v>6</v>
      </c>
      <c r="E21" s="128" t="n"/>
      <c r="F21" s="128" t="n">
        <v>0.03</v>
      </c>
      <c r="G21" s="128" t="n"/>
      <c r="H21" s="128" t="inlineStr">
        <is>
          <t>the land of William, son of Nicholas Elys, drawn into demesne in order to have a road to the mill beside the gate of the curia, 6pence for the year.</t>
        </is>
      </c>
      <c r="I21" s="128" t="n"/>
    </row>
    <row r="22">
      <c r="A22" s="137" t="inlineStr">
        <is>
          <t>Defaults of rent</t>
        </is>
      </c>
      <c r="B22" s="128" t="n">
        <v>0</v>
      </c>
      <c r="C22" s="128" t="n">
        <v>0</v>
      </c>
      <c r="D22" s="128" t="n">
        <v>2</v>
      </c>
      <c r="E22" s="128" t="n"/>
      <c r="F22" s="128" t="n">
        <v>0.01</v>
      </c>
      <c r="G22" s="128" t="n"/>
      <c r="H22" s="128" t="inlineStr">
        <is>
          <t>the land of Richard Doudyng' for 1.5 day-works of land let to him for this the seventy-third year 2pence, because it is found that there is no such Richard in this manor but that it is in the hundred of Bishops Hull in the manor of Taunton that the said Richard is charged for the said rent.</t>
        </is>
      </c>
      <c r="I22" s="128" t="n"/>
    </row>
    <row r="23">
      <c r="A23" s="137" t="inlineStr">
        <is>
          <t>Defaults of rent</t>
        </is>
      </c>
      <c r="B23" s="128" t="n">
        <v>0</v>
      </c>
      <c r="C23" s="128" t="n">
        <v>0</v>
      </c>
      <c r="D23" s="128" t="n">
        <v>0</v>
      </c>
      <c r="E23" s="128" t="n"/>
      <c r="F23" s="128" t="n">
        <v>0</v>
      </c>
      <c r="G23" s="128" t="n"/>
      <c r="H23" s="128" t="inlineStr">
        <is>
          <t>nothing for 1 toft recently of Hugh Frensshe in the lord's hands because it is raised from the issue.</t>
        </is>
      </c>
      <c r="I23" s="128" t="n"/>
    </row>
    <row r="24">
      <c r="A24" s="137" t="inlineStr">
        <is>
          <t>Defaults of rent</t>
        </is>
      </c>
      <c r="B24" s="128" t="n">
        <v>0</v>
      </c>
      <c r="C24" s="128" t="n">
        <v>1</v>
      </c>
      <c r="D24" s="128" t="n">
        <v>0</v>
      </c>
      <c r="E24" s="128" t="n"/>
      <c r="F24" s="128" t="n">
        <v>0.05</v>
      </c>
      <c r="G24" s="128" t="n"/>
      <c r="H24" s="128" t="inlineStr">
        <is>
          <t>the land' of Henry Colswayn' for the tenement recently of Nicholas Gynes in Bishops Waltham, let to him in the nineteenth year of the consecration of the lord William de Wykeham (1385-6), 1 shilling, because Arnold Gynes, son and heir of the aforesaid John, held the aforesaid tenement freely by charter of William de Edyngdon', lord bishop, for himself and the legitimate heirs of his body.</t>
        </is>
      </c>
      <c r="I24" s="128" t="n"/>
    </row>
    <row r="25">
      <c r="A25" s="137" t="inlineStr">
        <is>
          <t>Defaults of rent</t>
        </is>
      </c>
      <c r="B25" s="128" t="n">
        <v>1</v>
      </c>
      <c r="C25" s="128" t="n">
        <v>14</v>
      </c>
      <c r="D25" s="128" t="n">
        <v>2</v>
      </c>
      <c r="E25" s="128" t="n"/>
      <c r="F25" s="128" t="n">
        <v>1.71</v>
      </c>
      <c r="G25" s="128" t="n"/>
      <c r="H25" s="128" t="inlineStr">
        <is>
          <t>Total, £1 14 shilling 2pence.</t>
        </is>
      </c>
      <c r="I25" s="128" t="n"/>
    </row>
    <row r="26">
      <c r="A26" s="138" t="inlineStr">
        <is>
          <t>Defaults of rent total</t>
        </is>
      </c>
      <c r="B26" s="139" t="n"/>
      <c r="C26" s="139" t="n"/>
      <c r="D26" s="139" t="n"/>
      <c r="E26" s="139" t="n"/>
      <c r="F26" s="139" t="n">
        <v>1.72</v>
      </c>
      <c r="G26" s="139" t="n">
        <v>0.01</v>
      </c>
      <c r="H26" s="139" t="inlineStr">
        <is>
          <t>Total</t>
        </is>
      </c>
      <c r="I26" s="139" t="n"/>
    </row>
    <row r="27">
      <c r="A27" s="137" t="n"/>
      <c r="B27" s="128" t="n"/>
      <c r="C27" s="128" t="n"/>
      <c r="D27" s="128" t="n"/>
      <c r="E27" s="128" t="n"/>
      <c r="F27" s="128" t="n"/>
      <c r="G27" s="128" t="n"/>
      <c r="H27" s="128" t="n"/>
      <c r="I27" s="128" t="n"/>
    </row>
    <row r="28">
      <c r="A28" s="136" t="inlineStr">
        <is>
          <t>Total of quittances and defaults of rent</t>
        </is>
      </c>
      <c r="B28" s="128" t="n">
        <v>2</v>
      </c>
      <c r="C28" s="128" t="n">
        <v>8</v>
      </c>
      <c r="D28" s="128" t="n">
        <v>2</v>
      </c>
      <c r="E28" s="128" t="n"/>
      <c r="F28" s="128" t="n">
        <v>2.41</v>
      </c>
      <c r="G28" s="128" t="n"/>
      <c r="H28" s="128" t="inlineStr">
        <is>
          <t>Total of quittances and defaults of rent, £2 8 shilling 2pence.</t>
        </is>
      </c>
      <c r="I28" s="128" t="n"/>
    </row>
    <row r="29">
      <c r="A29" s="138" t="inlineStr">
        <is>
          <t>Total of quittances and defaults of rent total</t>
        </is>
      </c>
      <c r="B29" s="139" t="n"/>
      <c r="C29" s="139" t="n"/>
      <c r="D29" s="139" t="n"/>
      <c r="E29" s="139" t="n"/>
      <c r="F29" s="139" t="n">
        <v>2.41</v>
      </c>
      <c r="G29" s="139" t="n">
        <v>0</v>
      </c>
      <c r="H29" s="139" t="inlineStr">
        <is>
          <t>Total</t>
        </is>
      </c>
      <c r="I29" s="139" t="n"/>
    </row>
    <row r="30">
      <c r="A30" s="137" t="n"/>
      <c r="B30" s="128" t="n"/>
      <c r="C30" s="128" t="n"/>
      <c r="D30" s="128" t="n"/>
      <c r="E30" s="128" t="n"/>
      <c r="F30" s="128" t="n"/>
      <c r="G30" s="128" t="n"/>
      <c r="H30" s="128" t="n"/>
      <c r="I30" s="128" t="n"/>
    </row>
    <row r="31">
      <c r="A31" s="136" t="inlineStr">
        <is>
          <t>Total of rents remaining clear</t>
        </is>
      </c>
      <c r="B31" s="128" t="n">
        <v>81</v>
      </c>
      <c r="C31" s="128" t="n">
        <v>15</v>
      </c>
      <c r="D31" s="128" t="n">
        <v>11.5</v>
      </c>
      <c r="E31" s="128" t="n"/>
      <c r="F31" s="128" t="n">
        <v>81.8</v>
      </c>
      <c r="G31" s="128" t="n"/>
      <c r="H31" s="128" t="inlineStr">
        <is>
          <t>Total of rents remaining clear, £81 15 shilling 11.5pence.</t>
        </is>
      </c>
      <c r="I31" s="128" t="n"/>
    </row>
    <row r="32">
      <c r="A32" s="138" t="inlineStr">
        <is>
          <t>Total of rents remaining clear total</t>
        </is>
      </c>
      <c r="B32" s="139" t="n"/>
      <c r="C32" s="139" t="n"/>
      <c r="D32" s="139" t="n"/>
      <c r="E32" s="139" t="n"/>
      <c r="F32" s="139" t="n">
        <v>81.8</v>
      </c>
      <c r="G32" s="139" t="n">
        <v>0</v>
      </c>
      <c r="H32" s="139" t="inlineStr">
        <is>
          <t>Total</t>
        </is>
      </c>
      <c r="I32" s="139" t="n"/>
    </row>
    <row r="33">
      <c r="A33" s="137" t="n"/>
      <c r="B33" s="128" t="n"/>
      <c r="C33" s="128" t="n"/>
      <c r="D33" s="128" t="n"/>
      <c r="E33" s="128" t="n"/>
      <c r="F33" s="128" t="n"/>
      <c r="G33" s="128" t="n"/>
      <c r="H33" s="128" t="n"/>
      <c r="I33" s="128" t="n"/>
    </row>
    <row r="34">
      <c r="A34" s="136" t="inlineStr">
        <is>
          <t>Cumin</t>
        </is>
      </c>
      <c r="B34" s="128" t="n">
        <v>0</v>
      </c>
      <c r="C34" s="128" t="n">
        <v>0</v>
      </c>
      <c r="D34" s="128" t="n">
        <v>0</v>
      </c>
      <c r="E34" s="128" t="n"/>
      <c r="F34" s="128" t="n">
        <v>0</v>
      </c>
      <c r="G34" s="128" t="n"/>
      <c r="H34" s="128" t="inlineStr">
        <is>
          <t>And for 1 lb of cumin for the rent of Thomas Godard' for 1 messuage formerly of Thomas Doppyng' which belonged to Thomas Tannere.</t>
        </is>
      </c>
      <c r="I34" s="128" t="n"/>
    </row>
    <row r="35">
      <c r="A35" s="137" t="inlineStr">
        <is>
          <t>Cumin</t>
        </is>
      </c>
      <c r="B35" s="128" t="n">
        <v>0</v>
      </c>
      <c r="C35" s="128" t="n">
        <v>0</v>
      </c>
      <c r="D35" s="128" t="n">
        <v>0</v>
      </c>
      <c r="E35" s="128" t="n"/>
      <c r="F35" s="128" t="n">
        <v>0</v>
      </c>
      <c r="G35" s="128" t="n"/>
      <c r="H35" s="128" t="inlineStr">
        <is>
          <t>1 lb of cumin for the rent of Walter Montfort for the tenement recently of William Waleys.</t>
        </is>
      </c>
      <c r="I35" s="128" t="n"/>
    </row>
    <row r="36">
      <c r="A36" s="137" t="inlineStr">
        <is>
          <t>Cumin</t>
        </is>
      </c>
      <c r="B36" s="128" t="n">
        <v>0</v>
      </c>
      <c r="C36" s="128" t="n">
        <v>0</v>
      </c>
      <c r="D36" s="128" t="n">
        <v>0</v>
      </c>
      <c r="E36" s="128" t="n"/>
      <c r="F36" s="128" t="n">
        <v>0</v>
      </c>
      <c r="G36" s="128" t="n"/>
      <c r="H36" s="128" t="inlineStr">
        <is>
          <t>1 lb of cumin for the rents of Thomas Doppyng', John Herbegod' and John Gynes for the tenements recently of Nicholas Boor, Nicholas Shirbourne and William Herbegod'.</t>
        </is>
      </c>
      <c r="I36" s="128" t="n"/>
    </row>
    <row r="37">
      <c r="A37" s="137" t="inlineStr">
        <is>
          <t>Cumin</t>
        </is>
      </c>
      <c r="B37" s="128" t="n">
        <v>0</v>
      </c>
      <c r="C37" s="128" t="n">
        <v>0</v>
      </c>
      <c r="D37" s="128" t="n">
        <v>0</v>
      </c>
      <c r="E37" s="128" t="n"/>
      <c r="F37" s="128" t="n">
        <v>0</v>
      </c>
      <c r="G37" s="128" t="n"/>
      <c r="H37" s="128" t="inlineStr">
        <is>
          <t>1 lb of cumin for the rent of Amice Thecchere for the tenement recently of Richard Thetcher'.</t>
        </is>
      </c>
      <c r="I37" s="128" t="n"/>
    </row>
    <row r="38">
      <c r="A38" s="137" t="inlineStr">
        <is>
          <t>Cumin</t>
        </is>
      </c>
      <c r="B38" s="128" t="n">
        <v>0</v>
      </c>
      <c r="C38" s="128" t="n">
        <v>0</v>
      </c>
      <c r="D38" s="128" t="n">
        <v>0</v>
      </c>
      <c r="E38" s="128" t="n"/>
      <c r="F38" s="128" t="n">
        <v>0</v>
      </c>
      <c r="G38" s="128" t="n"/>
      <c r="H38" s="128" t="inlineStr">
        <is>
          <t>1 lb of cumin for the rent of Isabel Clerk' for the tenement recently of John Moysent.</t>
        </is>
      </c>
      <c r="I38" s="128" t="n"/>
    </row>
    <row r="39">
      <c r="A39" s="137" t="inlineStr">
        <is>
          <t>Cumin</t>
        </is>
      </c>
      <c r="B39" s="128" t="n">
        <v>0</v>
      </c>
      <c r="C39" s="128" t="n">
        <v>0</v>
      </c>
      <c r="D39" s="128" t="n">
        <v>0</v>
      </c>
      <c r="E39" s="128" t="n"/>
      <c r="F39" s="128" t="n">
        <v>0</v>
      </c>
      <c r="G39" s="128" t="n"/>
      <c r="H39" s="128" t="inlineStr">
        <is>
          <t>1 lb of cumin for the rent of John Shorvere for the tenement recently of William Gode.</t>
        </is>
      </c>
      <c r="I39" s="128" t="n"/>
    </row>
    <row r="40">
      <c r="A40" s="137" t="inlineStr">
        <is>
          <t>Cumin</t>
        </is>
      </c>
      <c r="B40" s="128" t="n">
        <v>0</v>
      </c>
      <c r="C40" s="128" t="n">
        <v>0</v>
      </c>
      <c r="D40" s="128" t="n">
        <v>0</v>
      </c>
      <c r="E40" s="128" t="n"/>
      <c r="F40" s="128" t="n">
        <v>0</v>
      </c>
      <c r="G40" s="128" t="n"/>
      <c r="H40" s="128" t="inlineStr">
        <is>
          <t>Total, 6 lb.</t>
        </is>
      </c>
      <c r="I40" s="128" t="n"/>
    </row>
    <row r="41">
      <c r="A41" s="137" t="inlineStr">
        <is>
          <t>Cumin</t>
        </is>
      </c>
      <c r="B41" s="128" t="n">
        <v>0</v>
      </c>
      <c r="C41" s="128" t="n">
        <v>0</v>
      </c>
      <c r="D41" s="128" t="n">
        <v>0</v>
      </c>
      <c r="E41" s="128" t="n"/>
      <c r="F41" s="128" t="n">
        <v>0</v>
      </c>
      <c r="G41" s="128" t="n"/>
      <c r="H41" s="128" t="inlineStr">
        <is>
          <t>Delivered to the receiver of Wolvesey at the audit.</t>
        </is>
      </c>
      <c r="I41" s="128" t="n"/>
    </row>
    <row r="42">
      <c r="A42" s="138" t="inlineStr">
        <is>
          <t>Cumin total</t>
        </is>
      </c>
      <c r="B42" s="139" t="n"/>
      <c r="C42" s="139" t="n"/>
      <c r="D42" s="139" t="n"/>
      <c r="E42" s="139" t="n"/>
      <c r="F42" s="139" t="n">
        <v>0</v>
      </c>
      <c r="G42" s="139" t="n">
        <v>0</v>
      </c>
      <c r="H42" s="139" t="inlineStr">
        <is>
          <t>Total</t>
        </is>
      </c>
      <c r="I42" s="139" t="n"/>
    </row>
    <row r="43">
      <c r="A43" s="137" t="n"/>
      <c r="B43" s="128" t="n"/>
      <c r="C43" s="128" t="n"/>
      <c r="D43" s="128" t="n"/>
      <c r="E43" s="128" t="n"/>
      <c r="F43" s="128" t="n"/>
      <c r="G43" s="128" t="n"/>
      <c r="H43" s="128" t="n"/>
      <c r="I43" s="128" t="n"/>
    </row>
    <row r="44">
      <c r="A44" s="136" t="inlineStr">
        <is>
          <t>Pepper</t>
        </is>
      </c>
      <c r="B44" s="128" t="n">
        <v>0</v>
      </c>
      <c r="C44" s="128" t="n">
        <v>0</v>
      </c>
      <c r="D44" s="128" t="n">
        <v>0</v>
      </c>
      <c r="E44" s="128" t="n"/>
      <c r="F44" s="128" t="n">
        <v>0</v>
      </c>
      <c r="G44" s="128" t="n"/>
      <c r="H44" s="128" t="inlineStr">
        <is>
          <t>And for .5 lb of pepper for the rent of land formerly of Thomas Everard', for that land which his great-grandfather bought from Henry Philip'.</t>
        </is>
      </c>
      <c r="I44" s="128" t="n"/>
    </row>
    <row r="45">
      <c r="A45" s="137" t="inlineStr">
        <is>
          <t>Pepper</t>
        </is>
      </c>
      <c r="B45" s="128" t="n">
        <v>0</v>
      </c>
      <c r="C45" s="128" t="n">
        <v>0</v>
      </c>
      <c r="D45" s="128" t="n">
        <v>0</v>
      </c>
      <c r="E45" s="128" t="n"/>
      <c r="F45" s="128" t="n">
        <v>0</v>
      </c>
      <c r="G45" s="128" t="n"/>
      <c r="H45" s="128" t="inlineStr">
        <is>
          <t>Total, .5 lb.</t>
        </is>
      </c>
      <c r="I45" s="128" t="n"/>
    </row>
    <row r="46">
      <c r="A46" s="137" t="inlineStr">
        <is>
          <t>Pepper</t>
        </is>
      </c>
      <c r="B46" s="128" t="n">
        <v>0</v>
      </c>
      <c r="C46" s="128" t="n">
        <v>0</v>
      </c>
      <c r="D46" s="128" t="n">
        <v>0</v>
      </c>
      <c r="E46" s="128" t="n"/>
      <c r="F46" s="128" t="n">
        <v>0</v>
      </c>
      <c r="G46" s="128" t="n"/>
      <c r="H46" s="128" t="inlineStr">
        <is>
          <t>Delivered as before.</t>
        </is>
      </c>
      <c r="I46" s="128" t="n"/>
    </row>
    <row r="47">
      <c r="A47" s="138" t="inlineStr">
        <is>
          <t>Pepper total</t>
        </is>
      </c>
      <c r="B47" s="139" t="n"/>
      <c r="C47" s="139" t="n"/>
      <c r="D47" s="139" t="n"/>
      <c r="E47" s="139" t="n"/>
      <c r="F47" s="139" t="n">
        <v>0</v>
      </c>
      <c r="G47" s="139" t="n">
        <v>0</v>
      </c>
      <c r="H47" s="139" t="inlineStr">
        <is>
          <t>Total</t>
        </is>
      </c>
      <c r="I47" s="139" t="n"/>
    </row>
    <row r="48">
      <c r="A48" s="137" t="n"/>
      <c r="B48" s="128" t="n"/>
      <c r="C48" s="128" t="n"/>
      <c r="D48" s="128" t="n"/>
      <c r="E48" s="128" t="n"/>
      <c r="F48" s="128" t="n"/>
      <c r="G48" s="128" t="n"/>
      <c r="H48" s="128" t="n"/>
      <c r="I48" s="128" t="n"/>
    </row>
    <row r="49">
      <c r="A49" s="136" t="inlineStr">
        <is>
          <t>Annual recognizance</t>
        </is>
      </c>
      <c r="B49" s="128" t="n">
        <v>0</v>
      </c>
      <c r="C49" s="128" t="n">
        <v>0</v>
      </c>
      <c r="D49" s="128" t="n">
        <v>1</v>
      </c>
      <c r="E49" s="128" t="n"/>
      <c r="F49" s="128" t="n">
        <v>0</v>
      </c>
      <c r="G49" s="128" t="n"/>
      <c r="H49" s="128" t="inlineStr">
        <is>
          <t>And for 1pence from Robert Gode, the lord's villein, so that he may dwell outside the lord's liberty as long as it pleases the lord and remain the lord's villein as before.</t>
        </is>
      </c>
      <c r="I49" s="128" t="n"/>
    </row>
    <row r="50">
      <c r="A50" s="137" t="inlineStr">
        <is>
          <t>Annual recognizance</t>
        </is>
      </c>
      <c r="B50" s="128" t="n">
        <v>0</v>
      </c>
      <c r="C50" s="128" t="n">
        <v>1</v>
      </c>
      <c r="D50" s="128" t="n">
        <v>6</v>
      </c>
      <c r="E50" s="128" t="n"/>
      <c r="F50" s="128" t="n">
        <v>0.08</v>
      </c>
      <c r="G50" s="128" t="n"/>
      <c r="H50" s="128" t="inlineStr">
        <is>
          <t>6pence from Thomas Palet, the lord's villein, so that he may dwell outside the lord's liberty of Bishops Waltham, and not more because the said Thomas lives within the lord's demesne at East Meon and has taken the lord's villein land there, and therefore the recognizance of 1 shilling 6pence ceases, on condition that the aforesaid Thomas pays the aforesaid 6pence for annual recognizance and remains the lord's villein of Bishops Waltham as before.</t>
        </is>
      </c>
      <c r="I50" s="128" t="n"/>
    </row>
    <row r="51">
      <c r="A51" s="137" t="inlineStr">
        <is>
          <t>Annual recognizance</t>
        </is>
      </c>
      <c r="B51" s="128" t="n">
        <v>0</v>
      </c>
      <c r="C51" s="128" t="n">
        <v>1</v>
      </c>
      <c r="D51" s="128" t="n">
        <v>0</v>
      </c>
      <c r="E51" s="128" t="n"/>
      <c r="F51" s="128" t="n">
        <v>0.05</v>
      </c>
      <c r="G51" s="128" t="n"/>
      <c r="H51" s="128" t="inlineStr">
        <is>
          <t>1 shilling for the annual recognizance of Thomas, son of Mark Longe, the lord's villein, so that he may dwell outside the lord's liberty as long as it pleases the lord and come to the 2 law-days for the year and remain the lord's villein as before.</t>
        </is>
      </c>
      <c r="I51" s="128" t="n"/>
    </row>
    <row r="52">
      <c r="A52" s="137" t="inlineStr">
        <is>
          <t>Annual recognizance</t>
        </is>
      </c>
      <c r="B52" s="128" t="n">
        <v>0</v>
      </c>
      <c r="C52" s="128" t="n">
        <v>0</v>
      </c>
      <c r="D52" s="128" t="n">
        <v>6</v>
      </c>
      <c r="E52" s="128" t="n"/>
      <c r="F52" s="128" t="n">
        <v>0.03</v>
      </c>
      <c r="G52" s="128" t="n"/>
      <c r="H52" s="128" t="inlineStr">
        <is>
          <t>6pence from John, son of Richard Emory, the lord's villein, so that he may hold the lord's villein land at Cheriton and remain the lord's villein as before.</t>
        </is>
      </c>
      <c r="I52" s="128" t="n"/>
    </row>
    <row r="53">
      <c r="A53" s="137" t="inlineStr">
        <is>
          <t>Annual recognizance</t>
        </is>
      </c>
      <c r="B53" s="128" t="n">
        <v>0</v>
      </c>
      <c r="C53" s="128" t="n">
        <v>2</v>
      </c>
      <c r="D53" s="128" t="n">
        <v>0</v>
      </c>
      <c r="E53" s="128" t="n"/>
      <c r="F53" s="128" t="n">
        <v>0.1</v>
      </c>
      <c r="G53" s="128" t="n"/>
      <c r="H53" s="128" t="inlineStr">
        <is>
          <t>2 shilling for the annual recognizance of Richard atte Wynde, the lord's villein, so that he may dwell outside the lord's liberty as long as it pleases the lord and come to the 2 law-days for the year and remain the lord's villein as before.</t>
        </is>
      </c>
      <c r="I53" s="128" t="n"/>
    </row>
    <row r="54">
      <c r="A54" s="137" t="inlineStr">
        <is>
          <t>Annual recognizance</t>
        </is>
      </c>
      <c r="B54" s="128" t="n">
        <v>0</v>
      </c>
      <c r="C54" s="128" t="n">
        <v>0</v>
      </c>
      <c r="D54" s="128" t="n">
        <v>6</v>
      </c>
      <c r="E54" s="128" t="n"/>
      <c r="F54" s="128" t="n">
        <v>0.03</v>
      </c>
      <c r="G54" s="128" t="n"/>
      <c r="H54" s="128" t="inlineStr">
        <is>
          <t>6pence for the annual recognizance of Edward Strodde, the lord's villein, so that he may dwell outside the lord's liberty as long as it pleases the lord and come to the 2 law-days for the year and remain the lord's villein as before, and not more because he is in the lord's service at Wolvesey.</t>
        </is>
      </c>
      <c r="I54" s="128" t="n"/>
    </row>
    <row r="55">
      <c r="A55" s="137" t="inlineStr">
        <is>
          <t>Annual recognizance</t>
        </is>
      </c>
      <c r="B55" s="128" t="n">
        <v>0</v>
      </c>
      <c r="C55" s="128" t="n">
        <v>0</v>
      </c>
      <c r="D55" s="128" t="n">
        <v>6</v>
      </c>
      <c r="E55" s="128" t="n"/>
      <c r="F55" s="128" t="n">
        <v>0.03</v>
      </c>
      <c r="G55" s="128" t="n"/>
      <c r="H55" s="128" t="inlineStr">
        <is>
          <t>6pence for the annual recognizance of Robert Palmere, the lord's villein, so that he may dwell within the lord's demesne at Bishopstoke and hold villein land there and come to the tourn of Hockday for the year and remain the lord's villein of Bishops Waltham as before.</t>
        </is>
      </c>
      <c r="I55" s="128" t="n"/>
    </row>
    <row r="56">
      <c r="A56" s="137" t="inlineStr">
        <is>
          <t>Annual recognizance</t>
        </is>
      </c>
      <c r="B56" s="128" t="n">
        <v>0</v>
      </c>
      <c r="C56" s="128" t="n">
        <v>1</v>
      </c>
      <c r="D56" s="128" t="n">
        <v>0</v>
      </c>
      <c r="E56" s="128" t="n"/>
      <c r="F56" s="128" t="n">
        <v>0.05</v>
      </c>
      <c r="G56" s="128" t="n"/>
      <c r="H56" s="128" t="inlineStr">
        <is>
          <t>1 shilling for the annual recognizance of John, son of John Stubbe, the lord's villein, so that he may dwell outside the lord's liberty as long as it pleases the lord and come to the tourn of Hockday for the year and remain the lord's villein as before.</t>
        </is>
      </c>
      <c r="I56" s="128" t="n"/>
    </row>
    <row r="57">
      <c r="A57" s="137" t="inlineStr">
        <is>
          <t>Annual recognizance</t>
        </is>
      </c>
      <c r="B57" s="128" t="n">
        <v>0</v>
      </c>
      <c r="C57" s="128" t="n">
        <v>1</v>
      </c>
      <c r="D57" s="128" t="n">
        <v>0</v>
      </c>
      <c r="E57" s="128" t="n"/>
      <c r="F57" s="128" t="n">
        <v>0.05</v>
      </c>
      <c r="G57" s="128" t="n"/>
      <c r="H57" s="128" t="inlineStr">
        <is>
          <t>1 shilling for the annual recognizance of William, son of Robert Frogge, the lord's villein, so that he may dwell outside the lord's liberty as long as it pleases the lord and come to the tourn of Hockday for the year and remain the lord's villein as before.</t>
        </is>
      </c>
      <c r="I57" s="128" t="n"/>
    </row>
    <row r="58">
      <c r="A58" s="137" t="inlineStr">
        <is>
          <t>Annual recognizance</t>
        </is>
      </c>
      <c r="B58" s="128" t="n">
        <v>0</v>
      </c>
      <c r="C58" s="128" t="n">
        <v>1</v>
      </c>
      <c r="D58" s="128" t="n">
        <v>6</v>
      </c>
      <c r="E58" s="128" t="n"/>
      <c r="F58" s="128" t="n">
        <v>0.08</v>
      </c>
      <c r="G58" s="128" t="n"/>
      <c r="H58" s="128" t="inlineStr">
        <is>
          <t>1 shilling 6pence for the annual recognizance of John, son of William Sutbyngton', the lord's villein, so that he may dwell outside the lord's liberty as long as it pleases the lord and come to the tourn of Hockday for the year and remain the lord's villein as before.</t>
        </is>
      </c>
      <c r="I58" s="128" t="n"/>
    </row>
    <row r="59">
      <c r="A59" s="137" t="inlineStr">
        <is>
          <t>Annual recognizance</t>
        </is>
      </c>
      <c r="B59" s="128" t="n">
        <v>0</v>
      </c>
      <c r="C59" s="128" t="n">
        <v>0</v>
      </c>
      <c r="D59" s="128" t="n">
        <v>4</v>
      </c>
      <c r="E59" s="128" t="n"/>
      <c r="F59" s="128" t="n">
        <v>0.02</v>
      </c>
      <c r="G59" s="128" t="n"/>
      <c r="H59" s="128" t="inlineStr">
        <is>
          <t>4pence for the annual recognizance of Thomas Lyps, the lord's villein, so that he may dwell outside the lord's liberty as long as it pleases the lord and come to the tourn of Hockday for the year and remain the lord's villein as before.</t>
        </is>
      </c>
      <c r="I59" s="128" t="n"/>
    </row>
    <row r="60">
      <c r="A60" s="137" t="inlineStr">
        <is>
          <t>Annual recognizance</t>
        </is>
      </c>
      <c r="B60" s="128" t="n">
        <v>0</v>
      </c>
      <c r="C60" s="128" t="n">
        <v>1</v>
      </c>
      <c r="D60" s="128" t="n">
        <v>0</v>
      </c>
      <c r="E60" s="128" t="n"/>
      <c r="F60" s="128" t="n">
        <v>0.05</v>
      </c>
      <c r="G60" s="128" t="n"/>
      <c r="H60" s="128" t="inlineStr">
        <is>
          <t>1 shilling for the annual recognizance of Robert, son of John Deth', the lord's villein, so that he may dwell outside the lord's liberty as long as it pleases the lord and come to the tourn of Hockday and remain the lord's villein as before.</t>
        </is>
      </c>
      <c r="I60" s="128" t="n"/>
    </row>
    <row r="61">
      <c r="A61" s="137" t="inlineStr">
        <is>
          <t>Annual recognizance</t>
        </is>
      </c>
      <c r="B61" s="128" t="n">
        <v>0</v>
      </c>
      <c r="C61" s="128" t="n">
        <v>9</v>
      </c>
      <c r="D61" s="128" t="n">
        <v>11</v>
      </c>
      <c r="E61" s="128" t="n"/>
      <c r="F61" s="128" t="n">
        <v>0.5</v>
      </c>
      <c r="G61" s="128" t="n"/>
      <c r="H61" s="128" t="inlineStr">
        <is>
          <t>Total, 9 shilling 11pence.</t>
        </is>
      </c>
      <c r="I61" s="128" t="n"/>
    </row>
    <row r="62">
      <c r="A62" s="138" t="inlineStr">
        <is>
          <t>Annual recognizance total</t>
        </is>
      </c>
      <c r="B62" s="139" t="n"/>
      <c r="C62" s="139" t="n"/>
      <c r="D62" s="139" t="n"/>
      <c r="E62" s="139" t="n"/>
      <c r="F62" s="139" t="n">
        <v>0.57</v>
      </c>
      <c r="G62" s="139" t="n">
        <v>0.07000000000000001</v>
      </c>
      <c r="H62" s="139" t="inlineStr">
        <is>
          <t>Total</t>
        </is>
      </c>
      <c r="I62" s="139" t="n"/>
    </row>
    <row r="63">
      <c r="A63" s="137" t="n"/>
      <c r="B63" s="128" t="n"/>
      <c r="C63" s="128" t="n"/>
      <c r="D63" s="128" t="n"/>
      <c r="E63" s="128" t="n"/>
      <c r="F63" s="128" t="n"/>
      <c r="G63" s="128" t="n"/>
      <c r="H63" s="128" t="n"/>
      <c r="I63" s="128" t="n"/>
    </row>
    <row r="64">
      <c r="A64" s="136" t="inlineStr">
        <is>
          <t>Issues of the manor</t>
        </is>
      </c>
      <c r="B64" s="128" t="n">
        <v>3</v>
      </c>
      <c r="C64" s="128" t="n">
        <v>0</v>
      </c>
      <c r="D64" s="128" t="n">
        <v>2.5</v>
      </c>
      <c r="E64" s="128" t="n"/>
      <c r="F64" s="128" t="n">
        <v>3.01</v>
      </c>
      <c r="G64" s="128" t="n"/>
      <c r="H64" s="128" t="inlineStr">
        <is>
          <t>And for £3 2.5pence from the pannage of the pigs of the customary tenants at Martinmas.</t>
        </is>
      </c>
      <c r="I64" s="128" t="n"/>
    </row>
    <row r="65">
      <c r="A65" s="137" t="inlineStr">
        <is>
          <t>Issues of the manor</t>
        </is>
      </c>
      <c r="B65" s="128" t="n">
        <v>0</v>
      </c>
      <c r="C65" s="128" t="n">
        <v>0</v>
      </c>
      <c r="D65" s="128" t="n">
        <v>0</v>
      </c>
      <c r="E65" s="128" t="n"/>
      <c r="F65" s="128" t="n">
        <v>0</v>
      </c>
      <c r="G65" s="128" t="n"/>
      <c r="H65" s="128" t="inlineStr">
        <is>
          <t>nothing from the pannage of foreign pigs agisted in the park this year because there was no mast.</t>
        </is>
      </c>
      <c r="I65" s="128" t="n"/>
    </row>
    <row r="66">
      <c r="A66" s="137" t="inlineStr">
        <is>
          <t>Issues of the manor</t>
        </is>
      </c>
      <c r="B66" s="128" t="n">
        <v>0</v>
      </c>
      <c r="C66" s="128" t="n">
        <v>1</v>
      </c>
      <c r="D66" s="128" t="n">
        <v>0</v>
      </c>
      <c r="E66" s="128" t="n"/>
      <c r="F66" s="128" t="n">
        <v>0.05</v>
      </c>
      <c r="G66" s="128" t="n"/>
      <c r="H66" s="128" t="inlineStr">
        <is>
          <t>1 shilling from winter pasturage in Ballesmede sold this year, and not more because meanwhile it was grazed by the lord's cattle.</t>
        </is>
      </c>
      <c r="I66" s="128" t="n"/>
    </row>
    <row r="67">
      <c r="A67" s="137" t="inlineStr">
        <is>
          <t>Issues of the manor</t>
        </is>
      </c>
      <c r="B67" s="128" t="n">
        <v>1</v>
      </c>
      <c r="C67" s="128" t="n">
        <v>0</v>
      </c>
      <c r="D67" s="128" t="n">
        <v>0</v>
      </c>
      <c r="E67" s="128" t="n"/>
      <c r="F67" s="128" t="n">
        <v>1</v>
      </c>
      <c r="G67" s="128" t="n"/>
      <c r="H67" s="128" t="inlineStr">
        <is>
          <t>£1 l 1 shilling 1pence from the agistment of cattle in the park this year, and not more because there were no cattle in the park in the winter.</t>
        </is>
      </c>
      <c r="I67" s="128" t="n"/>
    </row>
    <row r="68">
      <c r="A68" s="137" t="inlineStr">
        <is>
          <t>Issues of the manor</t>
        </is>
      </c>
      <c r="B68" s="128" t="n">
        <v>0</v>
      </c>
      <c r="C68" s="128" t="n">
        <v>0</v>
      </c>
      <c r="D68" s="128" t="n">
        <v>0</v>
      </c>
      <c r="E68" s="128" t="n"/>
      <c r="F68" s="128" t="n">
        <v>0</v>
      </c>
      <c r="G68" s="128" t="n"/>
      <c r="H68" s="128" t="inlineStr">
        <is>
          <t>nothing from the sale of pasturage in Suthemed', Froggemullemed' and Caldecotemede this year because of the lord's cattle.</t>
        </is>
      </c>
      <c r="I68" s="128" t="n"/>
    </row>
    <row r="69">
      <c r="A69" s="137" t="inlineStr">
        <is>
          <t>Issues of the manor</t>
        </is>
      </c>
      <c r="B69" s="128" t="n">
        <v>0</v>
      </c>
      <c r="C69" s="128" t="n">
        <v>9</v>
      </c>
      <c r="D69" s="128" t="n">
        <v>0</v>
      </c>
      <c r="E69" s="128" t="n"/>
      <c r="F69" s="128" t="n">
        <v>0.45</v>
      </c>
      <c r="G69" s="128" t="n"/>
      <c r="H69" s="128" t="inlineStr">
        <is>
          <t>9 shilling from the whole hundred for the mowing of the meadow of Krykkelesmed'.</t>
        </is>
      </c>
      <c r="I69" s="128" t="n"/>
    </row>
    <row r="70">
      <c r="A70" s="137" t="inlineStr">
        <is>
          <t>Issues of the manor</t>
        </is>
      </c>
      <c r="B70" s="128" t="n">
        <v>0</v>
      </c>
      <c r="C70" s="128" t="n">
        <v>0</v>
      </c>
      <c r="D70" s="128" t="n">
        <v>8</v>
      </c>
      <c r="E70" s="128" t="n"/>
      <c r="F70" s="128" t="n">
        <v>0.03</v>
      </c>
      <c r="G70" s="128" t="n"/>
      <c r="H70" s="128" t="inlineStr">
        <is>
          <t>8pence from the pasturage in Merewey sold this year.</t>
        </is>
      </c>
      <c r="I70" s="128" t="n"/>
    </row>
    <row r="71">
      <c r="A71" s="137" t="inlineStr">
        <is>
          <t>Issues of the manor</t>
        </is>
      </c>
      <c r="B71" s="128" t="n">
        <v>0</v>
      </c>
      <c r="C71" s="128" t="n">
        <v>0</v>
      </c>
      <c r="D71" s="128" t="n">
        <v>0</v>
      </c>
      <c r="E71" s="128" t="n"/>
      <c r="F71" s="128" t="n">
        <v>0</v>
      </c>
      <c r="G71" s="128" t="n"/>
      <c r="H71" s="128" t="inlineStr">
        <is>
          <t>nothing from the sale of the pasturage between the barton and garden this year.</t>
        </is>
      </c>
      <c r="I71" s="128" t="n"/>
    </row>
    <row r="72">
      <c r="A72" s="137" t="inlineStr">
        <is>
          <t>Issues of the manor</t>
        </is>
      </c>
      <c r="B72" s="128" t="n">
        <v>0</v>
      </c>
      <c r="C72" s="128" t="n">
        <v>0</v>
      </c>
      <c r="D72" s="128" t="n">
        <v>0</v>
      </c>
      <c r="E72" s="128" t="n"/>
      <c r="F72" s="128" t="n">
        <v>0</v>
      </c>
      <c r="G72" s="128" t="n"/>
      <c r="H72" s="128" t="inlineStr">
        <is>
          <t>nothing from the sale of pasturage in Reddehull' this year.</t>
        </is>
      </c>
      <c r="I72" s="128" t="n"/>
    </row>
    <row r="73">
      <c r="A73" s="137" t="inlineStr">
        <is>
          <t>Issues of the manor</t>
        </is>
      </c>
      <c r="B73" s="128" t="n">
        <v>0</v>
      </c>
      <c r="C73" s="128" t="n">
        <v>0</v>
      </c>
      <c r="D73" s="128" t="n">
        <v>0</v>
      </c>
      <c r="E73" s="128" t="n"/>
      <c r="F73" s="128" t="n">
        <v>0</v>
      </c>
      <c r="G73" s="128" t="n"/>
      <c r="H73" s="128" t="inlineStr">
        <is>
          <t>nothing from the pasturage at la Langehegge this year because of the lord's sheep.</t>
        </is>
      </c>
      <c r="I73" s="128" t="n"/>
    </row>
    <row r="74">
      <c r="A74" s="137" t="inlineStr">
        <is>
          <t>Issues of the manor</t>
        </is>
      </c>
      <c r="B74" s="128" t="n">
        <v>0</v>
      </c>
      <c r="C74" s="128" t="n">
        <v>0</v>
      </c>
      <c r="D74" s="128" t="n">
        <v>0</v>
      </c>
      <c r="E74" s="128" t="n"/>
      <c r="F74" s="128" t="n">
        <v>0</v>
      </c>
      <c r="G74" s="128" t="n"/>
      <c r="H74" s="128" t="inlineStr">
        <is>
          <t>nothing from the pasturage between the barton and sheepcote of la Worth' this year because of the lord's sheep.</t>
        </is>
      </c>
      <c r="I74" s="128" t="n"/>
    </row>
    <row r="75">
      <c r="A75" s="137" t="inlineStr">
        <is>
          <t>Issues of the manor</t>
        </is>
      </c>
      <c r="B75" s="128" t="n">
        <v>0</v>
      </c>
      <c r="C75" s="128" t="n">
        <v>0</v>
      </c>
      <c r="D75" s="128" t="n">
        <v>0</v>
      </c>
      <c r="E75" s="128" t="n"/>
      <c r="F75" s="128" t="n">
        <v>0</v>
      </c>
      <c r="G75" s="128" t="n"/>
      <c r="H75" s="128" t="inlineStr">
        <is>
          <t>nothing from the sale of pasturage in Chyttyngge because of the lord's cattle.</t>
        </is>
      </c>
      <c r="I75" s="128" t="n"/>
    </row>
    <row r="76">
      <c r="A76" s="137" t="inlineStr">
        <is>
          <t>Issues of the manor</t>
        </is>
      </c>
      <c r="B76" s="128" t="n">
        <v>0</v>
      </c>
      <c r="C76" s="128" t="n">
        <v>0</v>
      </c>
      <c r="D76" s="128" t="n">
        <v>0</v>
      </c>
      <c r="E76" s="128" t="n"/>
      <c r="F76" s="128" t="n">
        <v>0</v>
      </c>
      <c r="G76" s="128" t="n"/>
      <c r="H76" s="128" t="inlineStr">
        <is>
          <t>nothing from the sale of pasturage in Almesholte this year because of the lord's cattle.</t>
        </is>
      </c>
      <c r="I76" s="128" t="n"/>
    </row>
    <row r="77">
      <c r="A77" s="137" t="inlineStr">
        <is>
          <t>Issues of the manor</t>
        </is>
      </c>
      <c r="B77" s="128" t="n">
        <v>0</v>
      </c>
      <c r="C77" s="128" t="n">
        <v>0</v>
      </c>
      <c r="D77" s="128" t="n">
        <v>0</v>
      </c>
      <c r="E77" s="128" t="n"/>
      <c r="F77" s="128" t="n">
        <v>0</v>
      </c>
      <c r="G77" s="128" t="n"/>
      <c r="H77" s="128" t="inlineStr">
        <is>
          <t>nothing from the sale of underwood in Cleverlewode this year.</t>
        </is>
      </c>
      <c r="I77" s="128" t="n"/>
    </row>
    <row r="78">
      <c r="A78" s="137" t="inlineStr">
        <is>
          <t>Issues of the manor</t>
        </is>
      </c>
      <c r="B78" s="128" t="n">
        <v>0</v>
      </c>
      <c r="C78" s="128" t="n">
        <v>15</v>
      </c>
      <c r="D78" s="128" t="n">
        <v>0</v>
      </c>
      <c r="E78" s="128" t="n"/>
      <c r="F78" s="128" t="n">
        <v>0.75</v>
      </c>
      <c r="G78" s="128" t="n"/>
      <c r="H78" s="128" t="inlineStr">
        <is>
          <t>15 shilling from 3 acres of underwood sold in Haselholte this year, at 5 shilling an acre.</t>
        </is>
      </c>
      <c r="I78" s="128" t="n"/>
    </row>
    <row r="79">
      <c r="A79" s="137" t="inlineStr">
        <is>
          <t>Issues of the manor</t>
        </is>
      </c>
      <c r="B79" s="128" t="n">
        <v>0</v>
      </c>
      <c r="C79" s="128" t="n">
        <v>3</v>
      </c>
      <c r="D79" s="128" t="n">
        <v>6</v>
      </c>
      <c r="E79" s="128" t="n"/>
      <c r="F79" s="128" t="n">
        <v>0.17</v>
      </c>
      <c r="G79" s="128" t="n"/>
      <c r="H79" s="128" t="inlineStr">
        <is>
          <t>3 shilling 6pence froin old pollards (roffr') sold in Haselholte this year.</t>
        </is>
      </c>
      <c r="I79" s="128" t="n"/>
    </row>
    <row r="80">
      <c r="A80" s="137" t="inlineStr">
        <is>
          <t>Issues of the manor</t>
        </is>
      </c>
      <c r="B80" s="128" t="n">
        <v>0</v>
      </c>
      <c r="C80" s="128" t="n">
        <v>0</v>
      </c>
      <c r="D80" s="128" t="n">
        <v>0</v>
      </c>
      <c r="E80" s="128" t="n"/>
      <c r="F80" s="128" t="n">
        <v>0</v>
      </c>
      <c r="G80" s="128" t="n"/>
      <c r="H80" s="128" t="inlineStr">
        <is>
          <t>nothing from the loppings of oaks sold in Horderwode this year.</t>
        </is>
      </c>
      <c r="I80" s="128" t="n"/>
    </row>
    <row r="81">
      <c r="A81" s="137" t="inlineStr">
        <is>
          <t>Issues of the manor</t>
        </is>
      </c>
      <c r="B81" s="128" t="n">
        <v>0</v>
      </c>
      <c r="C81" s="128" t="n">
        <v>0</v>
      </c>
      <c r="D81" s="128" t="n">
        <v>0</v>
      </c>
      <c r="E81" s="128" t="n"/>
      <c r="F81" s="128" t="n">
        <v>0</v>
      </c>
      <c r="G81" s="128" t="n"/>
      <c r="H81" s="128" t="inlineStr">
        <is>
          <t>nothing from the loppings of oaks sold in Cleverlewod' this year.</t>
        </is>
      </c>
      <c r="I81" s="128" t="n"/>
    </row>
    <row r="82">
      <c r="A82" s="137" t="inlineStr">
        <is>
          <t>Issues of the manor</t>
        </is>
      </c>
      <c r="B82" s="128" t="n">
        <v>0</v>
      </c>
      <c r="C82" s="128" t="n">
        <v>15</v>
      </c>
      <c r="D82" s="128" t="n">
        <v>4</v>
      </c>
      <c r="E82" s="128" t="n"/>
      <c r="F82" s="128" t="n">
        <v>0.77</v>
      </c>
      <c r="G82" s="128" t="n"/>
      <c r="H82" s="128" t="inlineStr">
        <is>
          <t>15 shilling from the ploughing of 30 acres at the winter sowing and 15 acres at the Lenten sowing, shared out and sold this year to the men of the hundred of Droxford having 15 ploughs, at 4pence an acre, on top of the reprise of the said ploughs.</t>
        </is>
      </c>
      <c r="I82" s="128" t="n"/>
    </row>
    <row r="83">
      <c r="A83" s="137" t="inlineStr">
        <is>
          <t>Issues of the manor</t>
        </is>
      </c>
      <c r="B83" s="128" t="n">
        <v>0</v>
      </c>
      <c r="C83" s="128" t="n">
        <v>5</v>
      </c>
      <c r="D83" s="128" t="n">
        <v>8</v>
      </c>
      <c r="E83" s="128" t="n"/>
      <c r="F83" s="128" t="n">
        <v>0.28</v>
      </c>
      <c r="G83" s="128" t="n"/>
      <c r="H83" s="128" t="inlineStr">
        <is>
          <t>5 shilling 8pence from the hides sold of 1 horse, 2 cows, 1 bullock and 4 yearlings in murrain.</t>
        </is>
      </c>
      <c r="I83" s="128" t="n"/>
    </row>
    <row r="84">
      <c r="A84" s="137" t="inlineStr">
        <is>
          <t>Issues of the manor</t>
        </is>
      </c>
      <c r="B84" s="128" t="n">
        <v>0</v>
      </c>
      <c r="C84" s="128" t="n">
        <v>2</v>
      </c>
      <c r="D84" s="128" t="n">
        <v>11</v>
      </c>
      <c r="E84" s="128" t="n"/>
      <c r="F84" s="128" t="n">
        <v>0.15</v>
      </c>
      <c r="G84" s="128" t="n"/>
      <c r="H84" s="128" t="inlineStr">
        <is>
          <t>2 shilling 11pence from the skins sold of 5 wethers, 2 rams and 8 ewes in murrain before shearing, at 3pence a skin of wethers, 2pence of rams and ewes.</t>
        </is>
      </c>
      <c r="I84" s="128" t="n"/>
    </row>
    <row r="85">
      <c r="A85" s="137" t="inlineStr">
        <is>
          <t>Issues of the manor</t>
        </is>
      </c>
      <c r="B85" s="128" t="n">
        <v>0</v>
      </c>
      <c r="C85" s="128" t="n">
        <v>0</v>
      </c>
      <c r="D85" s="128" t="n">
        <v>11</v>
      </c>
      <c r="E85" s="128" t="n"/>
      <c r="F85" s="128" t="n">
        <v>0.05</v>
      </c>
      <c r="G85" s="128" t="n"/>
      <c r="H85" s="128" t="inlineStr">
        <is>
          <t>11pence from the skins sold of 81 wethers and 3 ewes in murrain after shearing.</t>
        </is>
      </c>
      <c r="I85" s="128" t="n"/>
    </row>
    <row r="86">
      <c r="A86" s="137" t="inlineStr">
        <is>
          <t>Issues of the manor</t>
        </is>
      </c>
      <c r="B86" s="128" t="n">
        <v>0</v>
      </c>
      <c r="C86" s="128" t="n">
        <v>3</v>
      </c>
      <c r="D86" s="128" t="n">
        <v>1.5</v>
      </c>
      <c r="E86" s="128" t="n"/>
      <c r="F86" s="128" t="n">
        <v>0.16</v>
      </c>
      <c r="G86" s="128" t="n"/>
      <c r="H86" s="128" t="inlineStr">
        <is>
          <t>3 shilling 1.5pence from the skins sold of 55 lambs in murrain before shearing.</t>
        </is>
      </c>
      <c r="I86" s="128" t="n"/>
    </row>
    <row r="87">
      <c r="A87" s="137" t="inlineStr">
        <is>
          <t>Issues of the manor</t>
        </is>
      </c>
      <c r="B87" s="128" t="n">
        <v>0</v>
      </c>
      <c r="C87" s="128" t="n">
        <v>0</v>
      </c>
      <c r="D87" s="128" t="n">
        <v>0</v>
      </c>
      <c r="E87" s="128" t="n"/>
      <c r="F87" s="128" t="n">
        <v>0</v>
      </c>
      <c r="G87" s="128" t="n"/>
      <c r="H87" s="128" t="inlineStr">
        <is>
          <t>nothing from wool locks this year.</t>
        </is>
      </c>
      <c r="I87" s="128" t="n"/>
    </row>
    <row r="88">
      <c r="A88" s="137" t="inlineStr">
        <is>
          <t>Issues of the manor</t>
        </is>
      </c>
      <c r="B88" s="128" t="n">
        <v>0</v>
      </c>
      <c r="C88" s="128" t="n">
        <v>0</v>
      </c>
      <c r="D88" s="128" t="n">
        <v>0</v>
      </c>
      <c r="E88" s="128" t="n"/>
      <c r="F88" s="128" t="n">
        <v>0</v>
      </c>
      <c r="G88" s="128" t="n"/>
      <c r="H88" s="128" t="inlineStr">
        <is>
          <t>nothing from the sale of rabbits this year.</t>
        </is>
      </c>
      <c r="I88" s="128" t="n"/>
    </row>
    <row r="89">
      <c r="A89" s="137" t="inlineStr">
        <is>
          <t>Issues of the manor</t>
        </is>
      </c>
      <c r="B89" s="128" t="n">
        <v>0</v>
      </c>
      <c r="C89" s="128" t="n">
        <v>7</v>
      </c>
      <c r="D89" s="128" t="n">
        <v>4</v>
      </c>
      <c r="E89" s="128" t="n"/>
      <c r="F89" s="128" t="n">
        <v>0.37</v>
      </c>
      <c r="G89" s="128" t="n"/>
      <c r="H89" s="128" t="inlineStr">
        <is>
          <t>7 shilling 4pence from 22 geese sold, at 4pence each.</t>
        </is>
      </c>
      <c r="I89" s="128" t="n"/>
    </row>
    <row r="90">
      <c r="A90" s="137" t="inlineStr">
        <is>
          <t>Issues of the manor</t>
        </is>
      </c>
      <c r="B90" s="128" t="n">
        <v>0</v>
      </c>
      <c r="C90" s="128" t="n">
        <v>8</v>
      </c>
      <c r="D90" s="128" t="n">
        <v>4</v>
      </c>
      <c r="E90" s="128" t="n"/>
      <c r="F90" s="128" t="n">
        <v>0.42</v>
      </c>
      <c r="G90" s="128" t="n"/>
      <c r="H90" s="128" t="inlineStr">
        <is>
          <t>8 shilling from 24 capons sold, 5 of them to the lord's household, at 4pence each.</t>
        </is>
      </c>
      <c r="I90" s="128" t="n"/>
    </row>
    <row r="91">
      <c r="A91" s="137" t="inlineStr">
        <is>
          <t>Issues of the manor</t>
        </is>
      </c>
      <c r="B91" s="128" t="n">
        <v>1</v>
      </c>
      <c r="C91" s="128" t="n">
        <v>3</v>
      </c>
      <c r="D91" s="128" t="n">
        <v>10</v>
      </c>
      <c r="E91" s="128" t="n"/>
      <c r="F91" s="128" t="n">
        <v>1.19</v>
      </c>
      <c r="G91" s="128" t="n"/>
      <c r="H91" s="128" t="inlineStr">
        <is>
          <t>£1 3 shilling 10pence from 145 hens sold, 40 of them to the lord's household, at 2pence each.</t>
        </is>
      </c>
      <c r="I91" s="128" t="n"/>
    </row>
    <row r="92">
      <c r="A92" s="137" t="inlineStr">
        <is>
          <t>Issues of the manor</t>
        </is>
      </c>
      <c r="B92" s="128" t="n">
        <v>0</v>
      </c>
      <c r="C92" s="128" t="n">
        <v>0</v>
      </c>
      <c r="D92" s="128" t="n">
        <v>10</v>
      </c>
      <c r="E92" s="128" t="n"/>
      <c r="F92" s="128" t="n">
        <v>0.04</v>
      </c>
      <c r="G92" s="128" t="n"/>
      <c r="H92" s="128" t="inlineStr">
        <is>
          <t>10pence from 200 eggs sold.</t>
        </is>
      </c>
      <c r="I92" s="128" t="n"/>
    </row>
    <row r="93">
      <c r="A93" s="137" t="inlineStr">
        <is>
          <t>Issues of the manor</t>
        </is>
      </c>
      <c r="B93" s="128" t="n">
        <v>3</v>
      </c>
      <c r="C93" s="128" t="n">
        <v>5</v>
      </c>
      <c r="D93" s="128" t="n">
        <v>8</v>
      </c>
      <c r="E93" s="128" t="n"/>
      <c r="F93" s="128" t="n">
        <v>3.28</v>
      </c>
      <c r="G93" s="128" t="n"/>
      <c r="H93" s="128" t="inlineStr">
        <is>
          <t>£3 5 shilling 8pence from the milking of 20 cows by the stoup this year, and thus a cow answers for 3 shilling 4pence with 2 cheeses given to the customary tenants valued at 1 shilling.</t>
        </is>
      </c>
      <c r="I93" s="128" t="n"/>
    </row>
    <row r="94">
      <c r="A94" s="137" t="inlineStr">
        <is>
          <t>Issues of the manor</t>
        </is>
      </c>
      <c r="B94" s="128" t="n">
        <v>7</v>
      </c>
      <c r="C94" s="128" t="n">
        <v>16</v>
      </c>
      <c r="D94" s="128" t="n">
        <v>0</v>
      </c>
      <c r="E94" s="128" t="n"/>
      <c r="F94" s="128" t="n">
        <v>7.8</v>
      </c>
      <c r="G94" s="128" t="n"/>
      <c r="H94" s="128" t="inlineStr">
        <is>
          <t>£7 16 shilling from 67 quarters 4 bushels of salt sold, 38 quarters of it to the poor tenants of Bursledon, at 1 shilling a qr, and 18 quarters to the lord's household and 11 quarters 4 bushels in the market, at 4 shilling a qr.</t>
        </is>
      </c>
      <c r="I94" s="128" t="n"/>
    </row>
    <row r="95">
      <c r="A95" s="137" t="inlineStr">
        <is>
          <t>Issues of the manor</t>
        </is>
      </c>
      <c r="B95" s="128" t="n">
        <v>0</v>
      </c>
      <c r="C95" s="128" t="n">
        <v>6</v>
      </c>
      <c r="D95" s="128" t="n">
        <v>8</v>
      </c>
      <c r="E95" s="128" t="n"/>
      <c r="F95" s="128" t="n">
        <v>0.33</v>
      </c>
      <c r="G95" s="128" t="n"/>
      <c r="H95" s="128" t="inlineStr">
        <is>
          <t>6 shilling 8pence from the herbage of the meadow of Bitterne sold this year.</t>
        </is>
      </c>
      <c r="I95" s="128" t="n"/>
    </row>
    <row r="96">
      <c r="A96" s="137" t="inlineStr">
        <is>
          <t>Issues of the manor</t>
        </is>
      </c>
      <c r="B96" s="128" t="n">
        <v>0</v>
      </c>
      <c r="C96" s="128" t="n">
        <v>0</v>
      </c>
      <c r="D96" s="128" t="n">
        <v>0</v>
      </c>
      <c r="E96" s="128" t="n"/>
      <c r="F96" s="128" t="n">
        <v>0</v>
      </c>
      <c r="G96" s="128" t="n"/>
      <c r="H96" s="128" t="inlineStr">
        <is>
          <t>nothing from lime sold this year.</t>
        </is>
      </c>
      <c r="I96" s="128" t="n"/>
    </row>
    <row r="97">
      <c r="A97" s="137" t="inlineStr">
        <is>
          <t>Issues of the manor</t>
        </is>
      </c>
      <c r="B97" s="128" t="n">
        <v>0</v>
      </c>
      <c r="C97" s="128" t="n">
        <v>0</v>
      </c>
      <c r="D97" s="128" t="n">
        <v>0</v>
      </c>
      <c r="E97" s="128" t="n"/>
      <c r="F97" s="128" t="n">
        <v>0</v>
      </c>
      <c r="G97" s="128" t="n"/>
      <c r="H97" s="128" t="inlineStr">
        <is>
          <t>nothing from laths sold this year.</t>
        </is>
      </c>
      <c r="I97" s="128" t="n"/>
    </row>
    <row r="98">
      <c r="A98" s="137" t="inlineStr">
        <is>
          <t>Issues of the manor</t>
        </is>
      </c>
      <c r="B98" s="128" t="n">
        <v>0</v>
      </c>
      <c r="C98" s="128" t="n">
        <v>1</v>
      </c>
      <c r="D98" s="128" t="n">
        <v>0</v>
      </c>
      <c r="E98" s="128" t="n"/>
      <c r="F98" s="128" t="n">
        <v>0.05</v>
      </c>
      <c r="G98" s="128" t="n"/>
      <c r="H98" s="128" t="inlineStr">
        <is>
          <t>1 shilling from the issue of the land and tenement recently of the smith in the lord's hands, on top of the fixed rent, demised this year.</t>
        </is>
      </c>
      <c r="I98" s="128" t="n"/>
    </row>
    <row r="99">
      <c r="A99" s="137" t="inlineStr">
        <is>
          <t>Issues of the manor</t>
        </is>
      </c>
      <c r="B99" s="128" t="n">
        <v>0</v>
      </c>
      <c r="C99" s="128" t="n">
        <v>3</v>
      </c>
      <c r="D99" s="128" t="n">
        <v>4</v>
      </c>
      <c r="E99" s="128" t="n"/>
      <c r="F99" s="128" t="n">
        <v>0.17</v>
      </c>
      <c r="G99" s="128" t="n"/>
      <c r="H99" s="128" t="inlineStr">
        <is>
          <t>3 shilling 4pence from the loppings of 20 saplings in Parkhursewode sold this year.</t>
        </is>
      </c>
      <c r="I99" s="128" t="n"/>
    </row>
    <row r="100">
      <c r="A100" s="137" t="inlineStr">
        <is>
          <t>Issues of the manor</t>
        </is>
      </c>
      <c r="B100" s="128" t="n">
        <v>0</v>
      </c>
      <c r="C100" s="128" t="n">
        <v>0</v>
      </c>
      <c r="D100" s="128" t="n">
        <v>0</v>
      </c>
      <c r="E100" s="128" t="n"/>
      <c r="F100" s="128" t="n">
        <v>0</v>
      </c>
      <c r="G100" s="128" t="n"/>
      <c r="H100" s="128" t="inlineStr">
        <is>
          <t>nothing from the sale of bark there this year.</t>
        </is>
      </c>
      <c r="I100" s="128" t="n"/>
    </row>
    <row r="101">
      <c r="A101" s="137" t="inlineStr">
        <is>
          <t>Issues of the manor</t>
        </is>
      </c>
      <c r="B101" s="128" t="n">
        <v>0</v>
      </c>
      <c r="C101" s="128" t="n">
        <v>0</v>
      </c>
      <c r="D101" s="128" t="n">
        <v>0</v>
      </c>
      <c r="E101" s="128" t="n"/>
      <c r="F101" s="128" t="n">
        <v>0</v>
      </c>
      <c r="G101" s="128" t="n"/>
      <c r="H101" s="128" t="inlineStr">
        <is>
          <t>nothing from the hire of stalls in the market this year.</t>
        </is>
      </c>
      <c r="I101" s="128" t="n"/>
    </row>
    <row r="102">
      <c r="A102" s="137" t="inlineStr">
        <is>
          <t>Issues of the manor</t>
        </is>
      </c>
      <c r="B102" s="128" t="n">
        <v>0</v>
      </c>
      <c r="C102" s="128" t="n">
        <v>0</v>
      </c>
      <c r="D102" s="128" t="n">
        <v>0</v>
      </c>
      <c r="E102" s="128" t="n"/>
      <c r="F102" s="128" t="n">
        <v>0</v>
      </c>
      <c r="G102" s="128" t="n"/>
      <c r="H102" s="128" t="inlineStr">
        <is>
          <t>nothing from the sale of bark in the park this year.</t>
        </is>
      </c>
      <c r="I102" s="128" t="n"/>
    </row>
    <row r="103">
      <c r="A103" s="137" t="inlineStr">
        <is>
          <t>Issues of the manor</t>
        </is>
      </c>
      <c r="B103" s="128" t="n">
        <v>0</v>
      </c>
      <c r="C103" s="128" t="n">
        <v>0</v>
      </c>
      <c r="D103" s="128" t="n">
        <v>6</v>
      </c>
      <c r="E103" s="128" t="n"/>
      <c r="F103" s="128" t="n">
        <v>0.03</v>
      </c>
      <c r="G103" s="128" t="n"/>
      <c r="H103" s="128" t="inlineStr">
        <is>
          <t>6pence from 1 plot of land of the lord's waste, 20 feet long and 12 feet wide, beside the mill outside the gate of the curia, leased this year.</t>
        </is>
      </c>
      <c r="I103" s="128" t="n"/>
    </row>
    <row r="104">
      <c r="A104" s="137" t="inlineStr">
        <is>
          <t>Issues of the manor</t>
        </is>
      </c>
      <c r="B104" s="128" t="n">
        <v>21</v>
      </c>
      <c r="C104" s="128" t="n">
        <v>3</v>
      </c>
      <c r="D104" s="128" t="n">
        <v>4</v>
      </c>
      <c r="E104" s="128" t="n"/>
      <c r="F104" s="128" t="n">
        <v>21.17</v>
      </c>
      <c r="G104" s="128" t="n"/>
      <c r="H104" s="128" t="inlineStr">
        <is>
          <t>Total, £21 3 shilling 4pence.</t>
        </is>
      </c>
      <c r="I104" s="128" t="n"/>
    </row>
    <row r="105">
      <c r="A105" s="138" t="inlineStr">
        <is>
          <t>Issues of the manor total</t>
        </is>
      </c>
      <c r="B105" s="139" t="n"/>
      <c r="C105" s="139" t="n"/>
      <c r="D105" s="139" t="n"/>
      <c r="E105" s="139" t="n"/>
      <c r="F105" s="139" t="n">
        <v>20.55</v>
      </c>
      <c r="G105" s="139" t="n">
        <v>-0.62</v>
      </c>
      <c r="H105" s="139" t="inlineStr">
        <is>
          <t>Total</t>
        </is>
      </c>
      <c r="I105" s="139" t="n"/>
    </row>
    <row r="106">
      <c r="A106" s="137" t="n"/>
      <c r="B106" s="128" t="n"/>
      <c r="C106" s="128" t="n"/>
      <c r="D106" s="128" t="n"/>
      <c r="E106" s="128" t="n"/>
      <c r="F106" s="128" t="n"/>
      <c r="G106" s="128" t="n"/>
      <c r="H106" s="128" t="n"/>
      <c r="I106" s="128" t="n"/>
    </row>
    <row r="107">
      <c r="A107" s="136" t="inlineStr">
        <is>
          <t>Sale of corn</t>
        </is>
      </c>
      <c r="B107" s="128" t="n">
        <v>23</v>
      </c>
      <c r="C107" s="128" t="n">
        <v>12</v>
      </c>
      <c r="D107" s="128" t="n">
        <v>0</v>
      </c>
      <c r="E107" s="128" t="n"/>
      <c r="F107" s="128" t="n">
        <v>23.6</v>
      </c>
      <c r="G107" s="128" t="n"/>
      <c r="H107" s="128" t="inlineStr">
        <is>
          <t>And for £23 12 shilling from 47 quarters 4 bushels of wheat sold, of which 1 qr 4 bushels sold to the lord's household, at 8 shilling a qr, and 46 quarters per mutuum, at 10 shilling a qr.</t>
        </is>
      </c>
      <c r="I107" s="128" t="n"/>
    </row>
    <row r="108">
      <c r="A108" s="137" t="inlineStr">
        <is>
          <t>Sale of corn</t>
        </is>
      </c>
      <c r="B108" s="128" t="n">
        <v>1</v>
      </c>
      <c r="C108" s="128" t="n">
        <v>17</v>
      </c>
      <c r="D108" s="128" t="n">
        <v>1.5</v>
      </c>
      <c r="E108" s="128" t="n"/>
      <c r="F108" s="128" t="n">
        <v>1.86</v>
      </c>
      <c r="G108" s="128" t="n"/>
      <c r="H108" s="128" t="inlineStr">
        <is>
          <t>£1 17 shilling 1.5pence from 12 quarters 3 bushels of oats sold, at 3 shilling a qr.</t>
        </is>
      </c>
      <c r="I108" s="128" t="n"/>
    </row>
    <row r="109">
      <c r="A109" s="137" t="inlineStr">
        <is>
          <t>Sale of corn</t>
        </is>
      </c>
      <c r="B109" s="128" t="n">
        <v>25</v>
      </c>
      <c r="C109" s="128" t="n">
        <v>9</v>
      </c>
      <c r="D109" s="128" t="n">
        <v>1.5</v>
      </c>
      <c r="E109" s="128" t="n"/>
      <c r="F109" s="128" t="n">
        <v>25.46</v>
      </c>
      <c r="G109" s="128" t="n"/>
      <c r="H109" s="128" t="inlineStr">
        <is>
          <t>Total, £25 9 shilling 1.5pence.</t>
        </is>
      </c>
      <c r="I109" s="128" t="n"/>
    </row>
    <row r="110">
      <c r="A110" s="138" t="inlineStr">
        <is>
          <t>Sale of corn total</t>
        </is>
      </c>
      <c r="B110" s="139" t="n"/>
      <c r="C110" s="139" t="n"/>
      <c r="D110" s="139" t="n"/>
      <c r="E110" s="139" t="n"/>
      <c r="F110" s="139" t="n">
        <v>25.46</v>
      </c>
      <c r="G110" s="139" t="n">
        <v>0</v>
      </c>
      <c r="H110" s="139" t="inlineStr">
        <is>
          <t>Total</t>
        </is>
      </c>
      <c r="I110" s="139" t="n"/>
    </row>
    <row r="111">
      <c r="A111" s="137" t="n"/>
      <c r="B111" s="128" t="n"/>
      <c r="C111" s="128" t="n"/>
      <c r="D111" s="128" t="n"/>
      <c r="E111" s="128" t="n"/>
      <c r="F111" s="128" t="n"/>
      <c r="G111" s="128" t="n"/>
      <c r="H111" s="128" t="n"/>
      <c r="I111" s="128" t="n"/>
    </row>
    <row r="112">
      <c r="A112" s="136" t="inlineStr">
        <is>
          <t>Sale of stock</t>
        </is>
      </c>
      <c r="B112" s="128" t="n">
        <v>0</v>
      </c>
      <c r="C112" s="128" t="n">
        <v>10</v>
      </c>
      <c r="D112" s="128" t="n">
        <v>0</v>
      </c>
      <c r="E112" s="128" t="n"/>
      <c r="F112" s="128" t="n">
        <v>0.5</v>
      </c>
      <c r="G112" s="128" t="n"/>
      <c r="H112" s="128" t="inlineStr">
        <is>
          <t>And for 10 shilling from 1 horse from a heriot sold as made clear elsewhere.</t>
        </is>
      </c>
      <c r="I112" s="128" t="n"/>
    </row>
    <row r="113">
      <c r="A113" s="137" t="inlineStr">
        <is>
          <t>Sale of stock</t>
        </is>
      </c>
      <c r="B113" s="128" t="n">
        <v>1</v>
      </c>
      <c r="C113" s="128" t="n">
        <v>4</v>
      </c>
      <c r="D113" s="128" t="n">
        <v>0</v>
      </c>
      <c r="E113" s="128" t="n"/>
      <c r="F113" s="128" t="n">
        <v>1.2</v>
      </c>
      <c r="G113" s="128" t="n"/>
      <c r="H113" s="128" t="inlineStr">
        <is>
          <t>£1 4 shilling from 2 kebb oxen sold.</t>
        </is>
      </c>
      <c r="I113" s="128" t="n"/>
    </row>
    <row r="114">
      <c r="A114" s="137" t="inlineStr">
        <is>
          <t>Sale of stock</t>
        </is>
      </c>
      <c r="B114" s="128" t="n">
        <v>0</v>
      </c>
      <c r="C114" s="128" t="n">
        <v>6</v>
      </c>
      <c r="D114" s="128" t="n">
        <v>8</v>
      </c>
      <c r="E114" s="128" t="n"/>
      <c r="F114" s="128" t="n">
        <v>0.33</v>
      </c>
      <c r="G114" s="128" t="n"/>
      <c r="H114" s="128" t="inlineStr">
        <is>
          <t>6 shilling 8pence from 1 female bullock from the heriot of Richard Bromden' sold.</t>
        </is>
      </c>
      <c r="I114" s="128" t="n"/>
    </row>
    <row r="115">
      <c r="A115" s="137" t="inlineStr">
        <is>
          <t>Sale of stock</t>
        </is>
      </c>
      <c r="B115" s="128" t="n">
        <v>0</v>
      </c>
      <c r="C115" s="128" t="n">
        <v>16</v>
      </c>
      <c r="D115" s="128" t="n">
        <v>0</v>
      </c>
      <c r="E115" s="128" t="n"/>
      <c r="F115" s="128" t="n">
        <v>0.8</v>
      </c>
      <c r="G115" s="128" t="n"/>
      <c r="H115" s="128" t="inlineStr">
        <is>
          <t>16 shilling from 8 calves sold, at 2 shilling each.</t>
        </is>
      </c>
      <c r="I115" s="128" t="n"/>
    </row>
    <row r="116">
      <c r="A116" s="137" t="inlineStr">
        <is>
          <t>Sale of stock</t>
        </is>
      </c>
      <c r="B116" s="128" t="n">
        <v>1</v>
      </c>
      <c r="C116" s="128" t="n">
        <v>5</v>
      </c>
      <c r="D116" s="128" t="n">
        <v>6</v>
      </c>
      <c r="E116" s="128" t="n"/>
      <c r="F116" s="128" t="n">
        <v>1.27</v>
      </c>
      <c r="G116" s="128" t="n"/>
      <c r="H116" s="128" t="inlineStr">
        <is>
          <t>£1 5 shilling 6pence from 17 wethers sold before shearing, 12 of them to the lord's household, at 1 shilling 6pence each.</t>
        </is>
      </c>
      <c r="I116" s="128" t="n"/>
    </row>
    <row r="117">
      <c r="A117" s="137" t="inlineStr">
        <is>
          <t>Sale of stock</t>
        </is>
      </c>
      <c r="B117" s="128" t="n">
        <v>0</v>
      </c>
      <c r="C117" s="128" t="n">
        <v>18</v>
      </c>
      <c r="D117" s="128" t="n">
        <v>6</v>
      </c>
      <c r="E117" s="128" t="n"/>
      <c r="F117" s="128" t="n">
        <v>0.93</v>
      </c>
      <c r="G117" s="128" t="n"/>
      <c r="H117" s="128" t="inlineStr">
        <is>
          <t>18 shilling from 12 kebb ewes sold to the lord's household before shearing, at 1 shilling 6pence each.</t>
        </is>
      </c>
      <c r="I117" s="128" t="n"/>
    </row>
    <row r="118">
      <c r="A118" s="137" t="inlineStr">
        <is>
          <t>Sale of stock</t>
        </is>
      </c>
      <c r="B118" s="128" t="n">
        <v>0</v>
      </c>
      <c r="C118" s="128" t="n">
        <v>16</v>
      </c>
      <c r="D118" s="128" t="n">
        <v>4</v>
      </c>
      <c r="E118" s="128" t="n"/>
      <c r="F118" s="128" t="n">
        <v>0.82</v>
      </c>
      <c r="G118" s="128" t="n"/>
      <c r="H118" s="128" t="inlineStr">
        <is>
          <t>16 shilling 4pence from 14 ewes sold to the same household after shearing, at 1 shilling 2pence each.</t>
        </is>
      </c>
      <c r="I118" s="128" t="n"/>
    </row>
    <row r="119">
      <c r="A119" s="137" t="inlineStr">
        <is>
          <t>Sale of stock</t>
        </is>
      </c>
      <c r="B119" s="128" t="n">
        <v>6</v>
      </c>
      <c r="C119" s="128" t="n">
        <v>10</v>
      </c>
      <c r="D119" s="128" t="n">
        <v>0</v>
      </c>
      <c r="E119" s="128" t="n"/>
      <c r="F119" s="128" t="n">
        <v>6.5</v>
      </c>
      <c r="G119" s="128" t="n"/>
      <c r="H119" s="128" t="inlineStr">
        <is>
          <t>£6 10 shilling from 130 lambs sold to the reeve of Droxford, at 1 shilling each.</t>
        </is>
      </c>
      <c r="I119" s="128" t="n"/>
    </row>
    <row r="120">
      <c r="A120" s="137" t="inlineStr">
        <is>
          <t>Sale of stock</t>
        </is>
      </c>
      <c r="B120" s="128" t="n">
        <v>1</v>
      </c>
      <c r="C120" s="128" t="n">
        <v>14</v>
      </c>
      <c r="D120" s="128" t="n">
        <v>0</v>
      </c>
      <c r="E120" s="128" t="n"/>
      <c r="F120" s="128" t="n">
        <v>1.7</v>
      </c>
      <c r="G120" s="128" t="n"/>
      <c r="H120" s="128" t="inlineStr">
        <is>
          <t>£1 14 shilling from 12 pigs sold to the lord's household, at 2 shilling each.</t>
        </is>
      </c>
      <c r="I120" s="128" t="n"/>
    </row>
    <row r="121">
      <c r="A121" s="137" t="inlineStr">
        <is>
          <t>Sale of stock</t>
        </is>
      </c>
      <c r="B121" s="128" t="n">
        <v>13</v>
      </c>
      <c r="C121" s="128" t="n">
        <v>10</v>
      </c>
      <c r="D121" s="128" t="n">
        <v>6</v>
      </c>
      <c r="E121" s="128" t="n"/>
      <c r="F121" s="128" t="n">
        <v>13.53</v>
      </c>
      <c r="G121" s="128" t="n"/>
      <c r="H121" s="128" t="inlineStr">
        <is>
          <t>Total, £13 10 shilling 6pence.</t>
        </is>
      </c>
      <c r="I121" s="128" t="n"/>
    </row>
    <row r="122">
      <c r="A122" s="138" t="inlineStr">
        <is>
          <t>Sale of stock total</t>
        </is>
      </c>
      <c r="B122" s="139" t="n"/>
      <c r="C122" s="139" t="n"/>
      <c r="D122" s="139" t="n"/>
      <c r="E122" s="139" t="n"/>
      <c r="F122" s="139" t="n">
        <v>14.05</v>
      </c>
      <c r="G122" s="139" t="n">
        <v>0.52</v>
      </c>
      <c r="H122" s="139" t="inlineStr">
        <is>
          <t>Total</t>
        </is>
      </c>
      <c r="I122" s="139" t="n"/>
    </row>
    <row r="123">
      <c r="A123" s="137" t="n"/>
      <c r="B123" s="128" t="n"/>
      <c r="C123" s="128" t="n"/>
      <c r="D123" s="128" t="n"/>
      <c r="E123" s="128" t="n"/>
      <c r="F123" s="128" t="n"/>
      <c r="G123" s="128" t="n"/>
      <c r="H123" s="128" t="n"/>
      <c r="I123" s="128" t="n"/>
    </row>
    <row r="124">
      <c r="A124" s="136" t="inlineStr">
        <is>
          <t>Entry and marriage fines</t>
        </is>
      </c>
      <c r="B124" s="128" t="n">
        <v>1</v>
      </c>
      <c r="C124" s="128" t="n">
        <v>18</v>
      </c>
      <c r="D124" s="128" t="n">
        <v>0</v>
      </c>
      <c r="E124" s="128" t="n"/>
      <c r="F124" s="128" t="n">
        <v>1.9</v>
      </c>
      <c r="G124" s="128" t="n"/>
      <c r="H124" s="128" t="inlineStr">
        <is>
          <t>And for £1 18 shilling from all the tithings for tithingpenny at the tourn of Martinmas.</t>
        </is>
      </c>
      <c r="I124" s="128" t="n"/>
    </row>
    <row r="125">
      <c r="A125" s="137" t="inlineStr">
        <is>
          <t>Entry and marriage fines</t>
        </is>
      </c>
      <c r="B125" s="128" t="n">
        <v>1</v>
      </c>
      <c r="C125" s="128" t="n">
        <v>18</v>
      </c>
      <c r="D125" s="128" t="n">
        <v>0</v>
      </c>
      <c r="E125" s="128" t="n"/>
      <c r="F125" s="128" t="n">
        <v>1.9</v>
      </c>
      <c r="G125" s="128" t="n"/>
      <c r="H125" s="128" t="inlineStr">
        <is>
          <t>£1 18 shilling from the same tithings at the tourn of Hockday.</t>
        </is>
      </c>
      <c r="I125" s="128" t="n"/>
    </row>
    <row r="126">
      <c r="A126" s="137" t="inlineStr">
        <is>
          <t>Entry and marriage fines</t>
        </is>
      </c>
      <c r="B126" s="128" t="n">
        <v>0</v>
      </c>
      <c r="C126" s="128" t="n">
        <v>12</v>
      </c>
      <c r="D126" s="128" t="n">
        <v>0</v>
      </c>
      <c r="E126" s="128" t="n"/>
      <c r="F126" s="128" t="n">
        <v>0.6</v>
      </c>
      <c r="G126" s="128" t="n"/>
      <c r="H126" s="128" t="inlineStr">
        <is>
          <t>12 shilling from Joan, who was wife of John Alayn', to have 1 corner cottage in Bishops Waltham in the tithing of Hight', 3 small crofts containing 1.5 acres by estimation, and 1 acre in the common field, which belonged to the aforesaid John her husband and which came into the lord's hands as his escheat from a want of kin of the aforesaid John.</t>
        </is>
      </c>
      <c r="I126" s="128" t="n"/>
    </row>
    <row r="127">
      <c r="A127" s="137" t="inlineStr">
        <is>
          <t>Entry and marriage fines</t>
        </is>
      </c>
      <c r="B127" s="128" t="n">
        <v>6</v>
      </c>
      <c r="C127" s="128" t="n">
        <v>0</v>
      </c>
      <c r="D127" s="128" t="n">
        <v>0</v>
      </c>
      <c r="E127" s="128" t="n"/>
      <c r="F127" s="128" t="n">
        <v>6</v>
      </c>
      <c r="G127" s="128" t="n"/>
      <c r="H127" s="128" t="inlineStr">
        <is>
          <t>£6 from William Sake to have Agnes, who was wife of William Mortem', with her land, that is, 1 messuage and 1 virgate of villein land formerly of William Boos,' 1 messuage and 1 virgate of land formerly of Richard Boos, 1 toft and .5 virgate of land formerly of Danell', 1 messuage and ferling of purpresture called Symenell', 1 acre of land formerly of Belfilie3, 5 acres of purpresture in Rammeshull' and 3 acres of purpresture in la Marie.</t>
        </is>
      </c>
      <c r="I127" s="128" t="n"/>
    </row>
    <row r="128">
      <c r="A128" s="137" t="inlineStr">
        <is>
          <t>Entry and marriage fines</t>
        </is>
      </c>
      <c r="B128" s="128" t="n">
        <v>0</v>
      </c>
      <c r="C128" s="128" t="n">
        <v>2</v>
      </c>
      <c r="D128" s="128" t="n">
        <v>0</v>
      </c>
      <c r="E128" s="128" t="n"/>
      <c r="F128" s="128" t="n">
        <v>0.1</v>
      </c>
      <c r="G128" s="128" t="n"/>
      <c r="H128" s="128" t="inlineStr">
        <is>
          <t>2 shilling from Isabel, who was wife of Richard Abbot, to retain 1 toft and 1 ferling of villein land, 1 cottage' with a curtilage and 1.5 acres of purpresture in Bishops Waltham in the tithing of Hight' which belonged to her aforesaid husband.</t>
        </is>
      </c>
      <c r="I128" s="128" t="n"/>
    </row>
    <row r="129">
      <c r="A129" s="137" t="inlineStr">
        <is>
          <t>Entry and marriage fines</t>
        </is>
      </c>
      <c r="B129" s="128" t="n">
        <v>0</v>
      </c>
      <c r="C129" s="128" t="n">
        <v>6</v>
      </c>
      <c r="D129" s="128" t="n">
        <v>8</v>
      </c>
      <c r="E129" s="128" t="n"/>
      <c r="F129" s="128" t="n">
        <v>0.33</v>
      </c>
      <c r="G129" s="128" t="n"/>
      <c r="H129" s="128" t="inlineStr">
        <is>
          <t>6 shilling 8pence from Margery, who was wife of John Laurans, to retain 1 cottage in the market of Bishops Waltham and 1 toft and I acre of purpresture in Bishops Waltham in the tithing of North which belonged to the aforesaid John her husband.</t>
        </is>
      </c>
      <c r="I129" s="128" t="n"/>
    </row>
    <row r="130">
      <c r="A130" s="137" t="inlineStr">
        <is>
          <t>Entry and marriage fines</t>
        </is>
      </c>
      <c r="B130" s="128" t="n">
        <v>0</v>
      </c>
      <c r="C130" s="128" t="n">
        <v>2</v>
      </c>
      <c r="D130" s="128" t="n">
        <v>0</v>
      </c>
      <c r="E130" s="128" t="n"/>
      <c r="F130" s="128" t="n">
        <v>0.1</v>
      </c>
      <c r="G130" s="128" t="n"/>
      <c r="H130" s="128" t="inlineStr">
        <is>
          <t>2 shilling from John, son of Thomas Spore, to have 1 cottage with a curtilage in the tithing of Mincingfield which belonged to the aforesaid Thomas his father.</t>
        </is>
      </c>
      <c r="I130" s="128" t="n"/>
    </row>
    <row r="131">
      <c r="A131" s="137" t="inlineStr">
        <is>
          <t>Entry and marriage fines</t>
        </is>
      </c>
      <c r="B131" s="128" t="n">
        <v>10</v>
      </c>
      <c r="C131" s="128" t="n">
        <v>0</v>
      </c>
      <c r="D131" s="128" t="n">
        <v>0</v>
      </c>
      <c r="E131" s="128" t="n"/>
      <c r="F131" s="128" t="n">
        <v>10</v>
      </c>
      <c r="G131" s="128" t="n"/>
      <c r="H131" s="128" t="inlineStr">
        <is>
          <t>£10 from Thomas Bannyng for transgression done to the lord, for felling many oaks' and other trees growing on the lord's villein land.</t>
        </is>
      </c>
      <c r="I131" s="128" t="n"/>
    </row>
    <row r="132">
      <c r="A132" s="137" t="inlineStr">
        <is>
          <t>Entry and marriage fines</t>
        </is>
      </c>
      <c r="B132" s="128" t="n">
        <v>0</v>
      </c>
      <c r="C132" s="128" t="n">
        <v>1</v>
      </c>
      <c r="D132" s="128" t="n">
        <v>0</v>
      </c>
      <c r="E132" s="128" t="n"/>
      <c r="F132" s="128" t="n">
        <v>0.05</v>
      </c>
      <c r="G132" s="128" t="n"/>
      <c r="H132" s="128" t="inlineStr">
        <is>
          <t>1 shilling from Alice, daughter of John Neweman, to have 1 cottage with a curtilage and 1.5 acres of purpresture in the tithing of Wintershill which belonged to the aforesaid John her father and for which Matilda, who was wife of the aforesaid John, refused to fine in full court.</t>
        </is>
      </c>
      <c r="I132" s="128" t="n"/>
    </row>
    <row r="133">
      <c r="A133" s="137" t="inlineStr">
        <is>
          <t>Entry and marriage fines</t>
        </is>
      </c>
      <c r="B133" s="128" t="n">
        <v>0</v>
      </c>
      <c r="C133" s="128" t="n">
        <v>1</v>
      </c>
      <c r="D133" s="128" t="n">
        <v>6</v>
      </c>
      <c r="E133" s="128" t="n"/>
      <c r="F133" s="128" t="n">
        <v>0.08</v>
      </c>
      <c r="G133" s="128" t="n"/>
      <c r="H133" s="128" t="inlineStr">
        <is>
          <t>1 shilling 6pence from John Croft to have Alice, daughter of John Nywman, with her land, that is, 1 cottage with a curtilage and 1.5 acres of purpresture in the tithing of Wintershill.</t>
        </is>
      </c>
      <c r="I133" s="128" t="n"/>
    </row>
    <row r="134">
      <c r="A134" s="137" t="inlineStr">
        <is>
          <t>Entry and marriage fines</t>
        </is>
      </c>
      <c r="B134" s="128" t="n">
        <v>0</v>
      </c>
      <c r="C134" s="128" t="n">
        <v>3</v>
      </c>
      <c r="D134" s="128" t="n">
        <v>4</v>
      </c>
      <c r="E134" s="128" t="n"/>
      <c r="F134" s="128" t="n">
        <v>0.17</v>
      </c>
      <c r="G134" s="128" t="n"/>
      <c r="H134" s="128" t="inlineStr">
        <is>
          <t>3 shilling 4pence from Robert Lype to have 1 cottage with a curtilage in the tithing of Bursledon which belonged to Joan White, his grandmother, by pledge of John Austyn who is granted custody until the full age of the aforesaid Robert.</t>
        </is>
      </c>
      <c r="I134" s="128" t="n"/>
    </row>
    <row r="135">
      <c r="A135" s="137" t="inlineStr">
        <is>
          <t>Entry and marriage fines</t>
        </is>
      </c>
      <c r="B135" s="128" t="n">
        <v>0</v>
      </c>
      <c r="C135" s="128" t="n">
        <v>3</v>
      </c>
      <c r="D135" s="128" t="n">
        <v>4</v>
      </c>
      <c r="E135" s="128" t="n"/>
      <c r="F135" s="128" t="n">
        <v>0.17</v>
      </c>
      <c r="G135" s="128" t="n"/>
      <c r="H135" s="128" t="inlineStr">
        <is>
          <t>And for 3 shilling 4pence from John Combe to have 1 toft with a curtilage and .5 virgate of land containing 20 acres in the tithing of Upham by surrender of John Deth', on condition that he builds well and suitably on the said toft within three years.</t>
        </is>
      </c>
      <c r="I135" s="128" t="n"/>
    </row>
    <row r="136">
      <c r="A136" s="137" t="inlineStr">
        <is>
          <t>Entry and marriage fines</t>
        </is>
      </c>
      <c r="B136" s="128" t="n">
        <v>0</v>
      </c>
      <c r="C136" s="128" t="n">
        <v>5</v>
      </c>
      <c r="D136" s="128" t="n">
        <v>0</v>
      </c>
      <c r="E136" s="128" t="n"/>
      <c r="F136" s="128" t="n">
        <v>0.25</v>
      </c>
      <c r="G136" s="128" t="n"/>
      <c r="H136" s="128" t="inlineStr">
        <is>
          <t>5 shilling from William Goudrich' for marrying Agnes his daughter outside.</t>
        </is>
      </c>
      <c r="I136" s="128" t="n"/>
    </row>
    <row r="137">
      <c r="A137" s="137" t="inlineStr">
        <is>
          <t>Entry and marriage fines</t>
        </is>
      </c>
      <c r="B137" s="128" t="n">
        <v>0</v>
      </c>
      <c r="C137" s="128" t="n">
        <v>2</v>
      </c>
      <c r="D137" s="128" t="n">
        <v>0</v>
      </c>
      <c r="E137" s="128" t="n"/>
      <c r="F137" s="128" t="n">
        <v>0.1</v>
      </c>
      <c r="G137" s="128" t="n"/>
      <c r="H137" s="128" t="inlineStr">
        <is>
          <t>2 shilling from Thomas Goudfelawe to have 1 messuage with a curtilage, 1 parcel of meadow, half a fulling mill and half of la Rekke which formerly belonged to Richard atte Mulle in the tithing of Curdridge, and 2 acres of purpresture in the tithing of Ashton which belonged to the aforesaid Richard, and which came into the lord's hands as his escheat because noone of the kin of the aforesaid Richard took steps to fine for the same although a proclamation was made according to the custom of the manor.</t>
        </is>
      </c>
      <c r="I137" s="128" t="n"/>
    </row>
    <row r="138">
      <c r="A138" s="137" t="inlineStr">
        <is>
          <t>Entry and marriage fines</t>
        </is>
      </c>
      <c r="B138" s="128" t="n">
        <v>0</v>
      </c>
      <c r="C138" s="128" t="n">
        <v>2</v>
      </c>
      <c r="D138" s="128" t="n">
        <v>0</v>
      </c>
      <c r="E138" s="128" t="n"/>
      <c r="F138" s="128" t="n">
        <v>0.1</v>
      </c>
      <c r="G138" s="128" t="n"/>
      <c r="H138" s="128" t="inlineStr">
        <is>
          <t>2 shilling from John Goudfelawe to have 1 cottage with a curtilage, half a fulling mill, half of la Rekke and 1 parcel of meadow in the tithing of Curdridge and 2 acres of purpresture in the tithing of Ashton, which formerly belonged to Richard atte Mulle and William atte Mulle, of which the cottage with the curtilage was built by Richard atte Mulle on account of the waste and destruction done in the same.</t>
        </is>
      </c>
      <c r="I138" s="128" t="n"/>
    </row>
    <row r="139">
      <c r="A139" s="137" t="inlineStr">
        <is>
          <t>Entry and marriage fines</t>
        </is>
      </c>
      <c r="B139" s="128" t="n">
        <v>0</v>
      </c>
      <c r="C139" s="128" t="n">
        <v>2</v>
      </c>
      <c r="D139" s="128" t="n">
        <v>0</v>
      </c>
      <c r="E139" s="128" t="n"/>
      <c r="F139" s="128" t="n">
        <v>0.1</v>
      </c>
      <c r="G139" s="128" t="n"/>
      <c r="H139" s="128" t="inlineStr">
        <is>
          <t>2 shilling from John Spore to have 4 acres of purpresture in the tithing of Upham called Rykyllond' which recently belonged to John atte Beche his kinsman.</t>
        </is>
      </c>
      <c r="I139" s="128" t="n"/>
    </row>
    <row r="140">
      <c r="A140" s="137" t="inlineStr">
        <is>
          <t>Entry and marriage fines</t>
        </is>
      </c>
      <c r="B140" s="128" t="n">
        <v>0</v>
      </c>
      <c r="C140" s="128" t="n">
        <v>10</v>
      </c>
      <c r="D140" s="128" t="n">
        <v>0</v>
      </c>
      <c r="E140" s="128" t="n"/>
      <c r="F140" s="128" t="n">
        <v>0.5</v>
      </c>
      <c r="G140" s="128" t="n"/>
      <c r="H140" s="128" t="inlineStr">
        <is>
          <t>10 shilling from John Cranbourne to have 1 messuage with a curtilage, containing 3 roods, and 1 cottage called Canones annexed to the aforesaid messuage in Bishops Waltham in the tithing of Hight', which formerly belonged to Thomas Vaucort' and which Mary, who was wife of the aforesaid Thomas, afterwards held and surrendered into the lord's hands and which lay in the lord's hands for 3 tourns and more and which thus came into the lord's hands as his escheat and noone of the kin of the aforesaid Thomas took steps to fine for the same although a proclamation was made according to the custom of the manor.</t>
        </is>
      </c>
      <c r="I140" s="128" t="n"/>
    </row>
    <row r="141">
      <c r="A141" s="137" t="inlineStr">
        <is>
          <t>Entry and marriage fines</t>
        </is>
      </c>
      <c r="B141" s="128" t="n">
        <v>1</v>
      </c>
      <c r="C141" s="128" t="n">
        <v>0</v>
      </c>
      <c r="D141" s="128" t="n">
        <v>0</v>
      </c>
      <c r="E141" s="128" t="n"/>
      <c r="F141" s="128" t="n">
        <v>1</v>
      </c>
      <c r="G141" s="128" t="n"/>
      <c r="H141" s="128" t="inlineStr">
        <is>
          <t>£1 from Isabel, who was wife of John atte Mere, to retain 1 toft with a curtilage and 6.5 acres 1 rood of purpresture in Bishops Waltham in the tithing of Hight’,  1 messuage and .5 virgate of villein land formerly of Robert atte Mere,y2 gate of villein land called atte Cure formerly of John Benson', 1 toil and 2.5 acres of wpresture in Denham, and 1 toft and 1 ferling of villein land formerly of John Belief' in the tithing of Upham, which belonged to the aforesaid John her husband.</t>
        </is>
      </c>
      <c r="I141" s="128" t="n"/>
    </row>
    <row r="142">
      <c r="A142" s="137" t="inlineStr">
        <is>
          <t>Entry and marriage fines</t>
        </is>
      </c>
      <c r="B142" s="128" t="n">
        <v>2</v>
      </c>
      <c r="C142" s="128" t="n">
        <v>0</v>
      </c>
      <c r="D142" s="128" t="n">
        <v>0</v>
      </c>
      <c r="E142" s="128" t="n"/>
      <c r="F142" s="128" t="n">
        <v>2</v>
      </c>
      <c r="G142" s="128" t="n"/>
      <c r="H142" s="128" t="inlineStr">
        <is>
          <t>£2 son of Richard Frend , to have 1 messuage and 1 ferling of villein 13 shilling 4d from William, son of Richard Frend, to have 1 messuage and 1 ferling of villein land in Hoe, 1 messuage and a third part of 1 virgate of villein land and 3 acres part of 1 acre of purpresture in the tithing of Curdridge, which belonged to theand a third  aforesaid Richard his father.</t>
        </is>
      </c>
      <c r="I142" s="128" t="n"/>
    </row>
    <row r="143">
      <c r="A143" s="137" t="inlineStr">
        <is>
          <t>Entry and marriage fines</t>
        </is>
      </c>
      <c r="B143" s="128" t="n">
        <v>0</v>
      </c>
      <c r="C143" s="128" t="n">
        <v>6</v>
      </c>
      <c r="D143" s="128" t="n">
        <v>8</v>
      </c>
      <c r="E143" s="128" t="n"/>
      <c r="F143" s="128" t="n">
        <v>0.33</v>
      </c>
      <c r="G143" s="128" t="n"/>
      <c r="H143" s="128" t="inlineStr">
        <is>
          <t>6 shilling 8pence from John Beket to have 1 croft of villein land containing 9 acres in Comhull' in the tithing of Bishops Waltham by surrender of William Sequens.</t>
        </is>
      </c>
      <c r="I143" s="128" t="n"/>
    </row>
    <row r="144">
      <c r="A144" s="137" t="inlineStr">
        <is>
          <t>Entry and marriage fines</t>
        </is>
      </c>
      <c r="B144" s="128" t="n">
        <v>0</v>
      </c>
      <c r="C144" s="128" t="n">
        <v>7</v>
      </c>
      <c r="D144" s="128" t="n">
        <v>0</v>
      </c>
      <c r="E144" s="128" t="n"/>
      <c r="F144" s="128" t="n">
        <v>0.35</v>
      </c>
      <c r="G144" s="128" t="n"/>
      <c r="H144" s="128" t="inlineStr">
        <is>
          <t>7 shilling from John, son of Laurence Bempthe, to have 1 cottage in Bishops Waltham in the tithing of Hight' which belonged to the aforesaid Laurence his father.</t>
        </is>
      </c>
      <c r="I144" s="128" t="n"/>
    </row>
    <row r="145">
      <c r="A145" s="137" t="inlineStr">
        <is>
          <t>Entry and marriage fines</t>
        </is>
      </c>
      <c r="B145" s="128" t="n">
        <v>0</v>
      </c>
      <c r="C145" s="128" t="n">
        <v>13</v>
      </c>
      <c r="D145" s="128" t="n">
        <v>4</v>
      </c>
      <c r="E145" s="128" t="n"/>
      <c r="F145" s="128" t="n">
        <v>0.67</v>
      </c>
      <c r="G145" s="128" t="n"/>
      <c r="H145" s="128" t="inlineStr">
        <is>
          <t>13 shilling 4pence from Joan, who was wife of John Cleverle, to retain 2 messuages and 2 virgates of land and 1 ferling of villein land in the tithing of Woodcott, and 1 toft and 8 acres of purpresture in the tithing of Wintershill, which belonged to the aforesaid John her husband.</t>
        </is>
      </c>
      <c r="I145" s="128" t="n"/>
    </row>
    <row r="146">
      <c r="A146" s="137" t="inlineStr">
        <is>
          <t>Entry and marriage fines</t>
        </is>
      </c>
      <c r="B146" s="128" t="n">
        <v>1</v>
      </c>
      <c r="C146" s="128" t="n">
        <v>10</v>
      </c>
      <c r="D146" s="128" t="n">
        <v>0</v>
      </c>
      <c r="E146" s="128" t="n"/>
      <c r="F146" s="128" t="n">
        <v>1.5</v>
      </c>
      <c r="G146" s="128" t="n"/>
      <c r="H146" s="128" t="inlineStr">
        <is>
          <t>£1 10 shilling from William Stake to have 1 messuage and .5 virgate of villein land, and 1 toft and 2 ferlings of villein land formerly of Bones, 1 toft and 1 ferling of villein land formerly of Emorye3, and 4 acres of purpresture in Okwode in the tithing of Woodcott, by surrender of Henry Mortem'.</t>
        </is>
      </c>
      <c r="I146" s="128" t="n"/>
    </row>
    <row r="147">
      <c r="A147" s="137" t="inlineStr">
        <is>
          <t>Entry and marriage fines</t>
        </is>
      </c>
      <c r="B147" s="128" t="n">
        <v>28</v>
      </c>
      <c r="C147" s="128" t="n">
        <v>19</v>
      </c>
      <c r="D147" s="128" t="n">
        <v>2</v>
      </c>
      <c r="E147" s="128" t="n"/>
      <c r="F147" s="128" t="n">
        <v>28.96</v>
      </c>
      <c r="G147" s="128" t="n"/>
      <c r="H147" s="128" t="inlineStr">
        <is>
          <t>Total, £28 19 shilling 2pence.</t>
        </is>
      </c>
      <c r="I147" s="128" t="n"/>
    </row>
    <row r="148">
      <c r="A148" s="138" t="inlineStr">
        <is>
          <t>Entry and marriage fines total</t>
        </is>
      </c>
      <c r="B148" s="139" t="n"/>
      <c r="C148" s="139" t="n"/>
      <c r="D148" s="139" t="n"/>
      <c r="E148" s="139" t="n"/>
      <c r="F148" s="139" t="n">
        <v>28.3</v>
      </c>
      <c r="G148" s="139" t="n">
        <v>-0.66</v>
      </c>
      <c r="H148" s="139" t="inlineStr">
        <is>
          <t>Total</t>
        </is>
      </c>
      <c r="I148" s="139" t="n"/>
    </row>
    <row r="149">
      <c r="A149" s="137" t="n"/>
      <c r="B149" s="128" t="n"/>
      <c r="C149" s="128" t="n"/>
      <c r="D149" s="128" t="n"/>
      <c r="E149" s="128" t="n"/>
      <c r="F149" s="128" t="n"/>
      <c r="G149" s="128" t="n"/>
      <c r="H149" s="128" t="n"/>
      <c r="I149" s="128" t="n"/>
    </row>
    <row r="150">
      <c r="A150" s="136" t="inlineStr">
        <is>
          <t>Perquisites</t>
        </is>
      </c>
      <c r="B150" s="128" t="n">
        <v>1</v>
      </c>
      <c r="C150" s="128" t="n">
        <v>18</v>
      </c>
      <c r="D150" s="128" t="n">
        <v>5</v>
      </c>
      <c r="E150" s="128" t="n"/>
      <c r="F150" s="128" t="n">
        <v>1.92</v>
      </c>
      <c r="G150" s="128" t="n"/>
      <c r="H150" s="128" t="inlineStr">
        <is>
          <t>And for £1 18 shilling 5pence from the perquisites of the tourn of Martinmas (11 November).</t>
        </is>
      </c>
      <c r="I150" s="128" t="n"/>
    </row>
    <row r="151">
      <c r="A151" s="137" t="inlineStr">
        <is>
          <t>Perquisites</t>
        </is>
      </c>
      <c r="B151" s="128" t="n">
        <v>1</v>
      </c>
      <c r="C151" s="128" t="n">
        <v>6</v>
      </c>
      <c r="D151" s="128" t="n">
        <v>6</v>
      </c>
      <c r="E151" s="128" t="n"/>
      <c r="F151" s="128" t="n">
        <v>1.32</v>
      </c>
      <c r="G151" s="128" t="n"/>
      <c r="H151" s="128" t="inlineStr">
        <is>
          <t>£1 6 shilling 6pence from the perquisites of the courts held between the two toums.</t>
        </is>
      </c>
      <c r="I151" s="128" t="n"/>
    </row>
    <row r="152">
      <c r="A152" s="137" t="inlineStr">
        <is>
          <t>Perquisites</t>
        </is>
      </c>
      <c r="B152" s="128" t="n">
        <v>1</v>
      </c>
      <c r="C152" s="128" t="n">
        <v>6</v>
      </c>
      <c r="D152" s="128" t="n">
        <v>1</v>
      </c>
      <c r="E152" s="128" t="n"/>
      <c r="F152" s="128" t="n">
        <v>1.3</v>
      </c>
      <c r="G152" s="128" t="n"/>
      <c r="H152" s="128" t="inlineStr">
        <is>
          <t>£1 6 shilling 1pence from the perquisites of the tourn of Hockday (1 April).</t>
        </is>
      </c>
      <c r="I152" s="128" t="n"/>
    </row>
    <row r="153">
      <c r="A153" s="137" t="inlineStr">
        <is>
          <t>Perquisites</t>
        </is>
      </c>
      <c r="B153" s="128" t="n">
        <v>1</v>
      </c>
      <c r="C153" s="128" t="n">
        <v>1</v>
      </c>
      <c r="D153" s="128" t="n">
        <v>10</v>
      </c>
      <c r="E153" s="128" t="n"/>
      <c r="F153" s="128" t="n">
        <v>1.09</v>
      </c>
      <c r="G153" s="128" t="n"/>
      <c r="H153" s="128" t="inlineStr">
        <is>
          <t>£1 1 shilling 10pence from the perquisites of the courts held after the said tourn.</t>
        </is>
      </c>
      <c r="I153" s="128" t="n"/>
    </row>
    <row r="154">
      <c r="A154" s="138" t="inlineStr">
        <is>
          <t>Perquisites total</t>
        </is>
      </c>
      <c r="B154" s="139" t="n">
        <v>5</v>
      </c>
      <c r="C154" s="139" t="n">
        <v>12</v>
      </c>
      <c r="D154" s="139" t="n">
        <v>10</v>
      </c>
      <c r="E154" s="139" t="n"/>
      <c r="F154" s="139" t="n">
        <v>5.64</v>
      </c>
      <c r="G154" s="139" t="n">
        <v>4.55</v>
      </c>
      <c r="H154" s="139" t="inlineStr">
        <is>
          <t>Total, £5 12 shilling 10pence.</t>
        </is>
      </c>
      <c r="I154" s="139" t="n"/>
    </row>
    <row r="155">
      <c r="A155" s="38" t="inlineStr">
        <is>
          <t>Total of all receipts recorded in accounts (calculated here)</t>
        </is>
      </c>
      <c r="F155">
        <f>SUMIF(A1:A154,"* total",F1:F154)-SUMIF(A1:A154,"Arrears total",F1:F154)</f>
        <v/>
      </c>
    </row>
    <row r="156">
      <c r="A156" s="38" t="inlineStr">
        <is>
          <t>Total of all receipts (calculated here) incl arrears</t>
        </is>
      </c>
      <c r="F156">
        <f>F155+SUMIF(A1:A154,"Arrears total",F1:F154)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7"/>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BISHOPSWALTHAM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13</v>
      </c>
      <c r="D4" s="128" t="n">
        <v>4</v>
      </c>
      <c r="E4" s="128" t="n"/>
      <c r="F4" s="128" t="n">
        <v>0.67</v>
      </c>
      <c r="G4" s="128" t="n"/>
      <c r="H4" s="128" t="inlineStr">
        <is>
          <t>In iron and steel bought for the ironwork of 2 ploughs for the year 13 shilling 4pence.</t>
        </is>
      </c>
    </row>
    <row r="5">
      <c r="A5" s="137" t="inlineStr">
        <is>
          <t>Cost of ploughs</t>
        </is>
      </c>
      <c r="B5" s="128" t="n">
        <v>0</v>
      </c>
      <c r="C5" s="128" t="n">
        <v>10</v>
      </c>
      <c r="D5" s="128" t="n">
        <v>0</v>
      </c>
      <c r="E5" s="128" t="n"/>
      <c r="F5" s="128" t="n">
        <v>0.5</v>
      </c>
      <c r="G5" s="128" t="n"/>
      <c r="H5" s="128" t="inlineStr">
        <is>
          <t>stipend of the smith forging the said ironwork for the year 10 shilling.</t>
        </is>
      </c>
    </row>
    <row r="6">
      <c r="A6" s="137" t="inlineStr">
        <is>
          <t>Cost of ploughs</t>
        </is>
      </c>
      <c r="B6" s="128" t="n">
        <v>0</v>
      </c>
      <c r="C6" s="128" t="n">
        <v>1</v>
      </c>
      <c r="D6" s="128" t="n">
        <v>0</v>
      </c>
      <c r="E6" s="128" t="n"/>
      <c r="F6" s="128" t="n">
        <v>0.05</v>
      </c>
      <c r="G6" s="128" t="n"/>
      <c r="H6" s="128" t="inlineStr">
        <is>
          <t>2 new ploughs made from the lord's timber 1 shilling.</t>
        </is>
      </c>
    </row>
    <row r="7">
      <c r="A7" s="137" t="inlineStr">
        <is>
          <t>Cost of ploughs</t>
        </is>
      </c>
      <c r="B7" s="128" t="n">
        <v>0</v>
      </c>
      <c r="C7" s="128" t="n">
        <v>0</v>
      </c>
      <c r="D7" s="128" t="n">
        <v>6</v>
      </c>
      <c r="E7" s="128" t="n"/>
      <c r="F7" s="128" t="n">
        <v>0.03</v>
      </c>
      <c r="G7" s="128" t="n"/>
      <c r="H7" s="128" t="inlineStr">
        <is>
          <t>fitting the same with iron tyres 6pence.</t>
        </is>
      </c>
    </row>
    <row r="8">
      <c r="A8" s="137" t="inlineStr">
        <is>
          <t>Cost of ploughs</t>
        </is>
      </c>
      <c r="B8" s="128" t="n">
        <v>0</v>
      </c>
      <c r="C8" s="128" t="n">
        <v>1</v>
      </c>
      <c r="D8" s="128" t="n">
        <v>0</v>
      </c>
      <c r="E8" s="128" t="n"/>
      <c r="F8" s="128" t="n">
        <v>0.05</v>
      </c>
      <c r="G8" s="128" t="n"/>
      <c r="H8" s="128" t="inlineStr">
        <is>
          <t>2 new plough feet with nails bought for the same 1 shilling.</t>
        </is>
      </c>
    </row>
    <row r="9">
      <c r="A9" s="137" t="inlineStr">
        <is>
          <t>Cost of ploughs</t>
        </is>
      </c>
      <c r="B9" s="128" t="n">
        <v>0</v>
      </c>
      <c r="C9" s="128" t="n">
        <v>1</v>
      </c>
      <c r="D9" s="128" t="n">
        <v>0</v>
      </c>
      <c r="E9" s="128" t="n"/>
      <c r="F9" s="128" t="n">
        <v>0.05</v>
      </c>
      <c r="G9" s="128" t="n"/>
      <c r="H9" s="128" t="inlineStr">
        <is>
          <t>2 new harrows made 1 shilling.</t>
        </is>
      </c>
    </row>
    <row r="10">
      <c r="A10" s="137" t="inlineStr">
        <is>
          <t>Cost of ploughs</t>
        </is>
      </c>
      <c r="B10" s="128" t="n">
        <v>0</v>
      </c>
      <c r="C10" s="128" t="n">
        <v>1</v>
      </c>
      <c r="D10" s="128" t="n">
        <v>0</v>
      </c>
      <c r="E10" s="128" t="n"/>
      <c r="F10" s="128" t="n">
        <v>0.05</v>
      </c>
      <c r="G10" s="128" t="n"/>
      <c r="H10" s="128" t="inlineStr">
        <is>
          <t>fitting the lord's ploughs with share-beams and mould-boards for the year 1 shilling.</t>
        </is>
      </c>
    </row>
    <row r="11">
      <c r="A11" s="137" t="inlineStr">
        <is>
          <t>Cost of ploughs</t>
        </is>
      </c>
      <c r="B11" s="128" t="n">
        <v>0</v>
      </c>
      <c r="C11" s="128" t="n">
        <v>0</v>
      </c>
      <c r="D11" s="128" t="n">
        <v>10</v>
      </c>
      <c r="E11" s="128" t="n"/>
      <c r="F11" s="128" t="n">
        <v>0.04</v>
      </c>
      <c r="G11" s="128" t="n"/>
      <c r="H11" s="128" t="inlineStr">
        <is>
          <t>1 pair of wheels bought for the ploughs 10pence.</t>
        </is>
      </c>
    </row>
    <row r="12">
      <c r="A12" s="137" t="inlineStr">
        <is>
          <t>Cost of ploughs</t>
        </is>
      </c>
      <c r="B12" s="128" t="n">
        <v>0</v>
      </c>
      <c r="C12" s="128" t="n">
        <v>0</v>
      </c>
      <c r="D12" s="128" t="n">
        <v>4</v>
      </c>
      <c r="E12" s="128" t="n"/>
      <c r="F12" s="128" t="n">
        <v>0.02</v>
      </c>
      <c r="G12" s="128" t="n"/>
      <c r="H12" s="128" t="inlineStr">
        <is>
          <t>mending old harrows 4pence.</t>
        </is>
      </c>
    </row>
    <row r="13">
      <c r="A13" s="137" t="inlineStr">
        <is>
          <t>Cost of ploughs</t>
        </is>
      </c>
      <c r="B13" s="128" t="n">
        <v>0</v>
      </c>
      <c r="C13" s="128" t="n">
        <v>2</v>
      </c>
      <c r="D13" s="128" t="n">
        <v>0</v>
      </c>
      <c r="E13" s="128" t="n"/>
      <c r="F13" s="128" t="n">
        <v>0.1</v>
      </c>
      <c r="G13" s="128" t="n"/>
      <c r="H13" s="128" t="inlineStr">
        <is>
          <t>steeling and sharpening the iron teeth oi3 e harrows 2 shilling.</t>
        </is>
      </c>
    </row>
    <row r="14">
      <c r="A14" s="137" t="inlineStr">
        <is>
          <t>Cost of ploughs</t>
        </is>
      </c>
      <c r="B14" s="128" t="n">
        <v>0</v>
      </c>
      <c r="C14" s="128" t="n">
        <v>0</v>
      </c>
      <c r="D14" s="128" t="n">
        <v>5</v>
      </c>
      <c r="E14" s="128" t="n"/>
      <c r="F14" s="128" t="n">
        <v>0.02</v>
      </c>
      <c r="G14" s="128" t="n"/>
      <c r="H14" s="128" t="inlineStr">
        <is>
          <t>100 nails bought to fasten the said teeth 5pence.</t>
        </is>
      </c>
    </row>
    <row r="15">
      <c r="A15" s="137" t="inlineStr">
        <is>
          <t>Cost of ploughs</t>
        </is>
      </c>
      <c r="B15" s="128" t="n">
        <v>0</v>
      </c>
      <c r="C15" s="128" t="n">
        <v>5</v>
      </c>
      <c r="D15" s="128" t="n">
        <v>6</v>
      </c>
      <c r="E15" s="128" t="n"/>
      <c r="F15" s="128" t="n">
        <v>0.28</v>
      </c>
      <c r="G15" s="128" t="n"/>
      <c r="H15" s="128" t="inlineStr">
        <is>
          <t>making 5 yokes 5d shoeing 22 oxen for the winter sowing and fastening them again for the Lenten sowing 5 shilling 6pence.</t>
        </is>
      </c>
    </row>
    <row r="16">
      <c r="A16" s="137" t="inlineStr">
        <is>
          <t>Cost of ploughs</t>
        </is>
      </c>
      <c r="B16" s="128" t="n">
        <v>0</v>
      </c>
      <c r="C16" s="128" t="n">
        <v>1</v>
      </c>
      <c r="D16" s="128" t="n">
        <v>11</v>
      </c>
      <c r="E16" s="128" t="n"/>
      <c r="F16" s="128" t="n">
        <v>0.1</v>
      </c>
      <c r="G16" s="128" t="n"/>
      <c r="H16" s="128" t="inlineStr">
        <is>
          <t>1 boon-work of 23 ploughmen of the in-hundred who ploughed 46 acres': they lie at the winter sowing 1 shilling 11pence.</t>
        </is>
      </c>
    </row>
    <row r="17">
      <c r="A17" s="137" t="inlineStr">
        <is>
          <t>Cost of ploughs</t>
        </is>
      </c>
      <c r="B17" s="128" t="n">
        <v>0</v>
      </c>
      <c r="C17" s="128" t="n">
        <v>1</v>
      </c>
      <c r="D17" s="128" t="n">
        <v>11</v>
      </c>
      <c r="E17" s="128" t="n"/>
      <c r="F17" s="128" t="n">
        <v>0.1</v>
      </c>
      <c r="G17" s="128" t="n"/>
      <c r="H17" s="128" t="inlineStr">
        <is>
          <t>1 other boon-work of 23 ploughmen who ploughed 24 acres] as they lie at the Lenten sowing 1 shilling 11pence.</t>
        </is>
      </c>
    </row>
    <row r="18">
      <c r="A18" s="137" t="inlineStr">
        <is>
          <t>Cost of ploughs</t>
        </is>
      </c>
      <c r="B18" s="128" t="n">
        <v>0</v>
      </c>
      <c r="C18" s="128" t="n">
        <v>1</v>
      </c>
      <c r="D18" s="128" t="n">
        <v>6</v>
      </c>
      <c r="E18" s="128" t="n"/>
      <c r="F18" s="128" t="n">
        <v>0.08</v>
      </c>
      <c r="G18" s="128" t="n"/>
      <c r="H18" s="128" t="inlineStr">
        <is>
          <t>1 ploughshare bought 1 shilling 6pence.</t>
        </is>
      </c>
    </row>
    <row r="19">
      <c r="A19" s="137" t="inlineStr">
        <is>
          <t>Cost of ploughs</t>
        </is>
      </c>
      <c r="B19" s="128" t="n">
        <v>0</v>
      </c>
      <c r="C19" s="128" t="n">
        <v>16</v>
      </c>
      <c r="D19" s="128" t="n">
        <v>0</v>
      </c>
      <c r="E19" s="128" t="n"/>
      <c r="F19" s="128" t="n">
        <v>0.8</v>
      </c>
      <c r="G19" s="128" t="n"/>
      <c r="H19" s="128" t="inlineStr">
        <is>
          <t>stipend of 2 ploughmen and 2 drovers for the year 16 shilling, or 4 shilling each.</t>
        </is>
      </c>
    </row>
    <row r="20">
      <c r="A20" s="137" t="inlineStr">
        <is>
          <t>Cost of ploughs</t>
        </is>
      </c>
      <c r="B20" s="128" t="n">
        <v>2</v>
      </c>
      <c r="C20" s="128" t="n">
        <v>18</v>
      </c>
      <c r="D20" s="128" t="n">
        <v>8</v>
      </c>
      <c r="E20" s="128" t="n"/>
      <c r="F20" s="128" t="n">
        <v>2.93</v>
      </c>
      <c r="G20" s="128" t="n"/>
      <c r="H20" s="128" t="inlineStr">
        <is>
          <t>Total, £2 18 shilling 8pence.</t>
        </is>
      </c>
    </row>
    <row r="21">
      <c r="A21" s="138" t="inlineStr">
        <is>
          <t>Cost of ploughs total</t>
        </is>
      </c>
      <c r="B21" s="139" t="n"/>
      <c r="C21" s="139" t="n"/>
      <c r="D21" s="139" t="n"/>
      <c r="E21" s="139" t="n"/>
      <c r="F21" s="139" t="n">
        <v>2.94</v>
      </c>
      <c r="G21" s="139" t="n">
        <v>0.01</v>
      </c>
      <c r="H21" s="139" t="inlineStr">
        <is>
          <t>Total</t>
        </is>
      </c>
    </row>
    <row r="22">
      <c r="A22" s="137" t="n"/>
      <c r="B22" s="128" t="n"/>
      <c r="C22" s="128" t="n"/>
      <c r="D22" s="128" t="n"/>
      <c r="E22" s="128" t="n"/>
      <c r="F22" s="128" t="n"/>
      <c r="G22" s="128" t="n"/>
      <c r="H22" s="128" t="n"/>
    </row>
    <row r="23">
      <c r="A23" s="136" t="inlineStr">
        <is>
          <t>Cost of carts</t>
        </is>
      </c>
      <c r="B23" s="128" t="n">
        <v>0</v>
      </c>
      <c r="C23" s="128" t="n">
        <v>2</v>
      </c>
      <c r="D23" s="128" t="n">
        <v>11</v>
      </c>
      <c r="E23" s="128" t="n"/>
      <c r="F23" s="128" t="n">
        <v>0.15</v>
      </c>
      <c r="G23" s="128" t="n"/>
      <c r="H23" s="128" t="inlineStr">
        <is>
          <t>In clouts with nails bought for the carts 2 shilling 11pence.</t>
        </is>
      </c>
    </row>
    <row r="24">
      <c r="A24" s="137" t="inlineStr">
        <is>
          <t>Cost of carts</t>
        </is>
      </c>
      <c r="B24" s="128" t="n">
        <v>0</v>
      </c>
      <c r="C24" s="128" t="n">
        <v>0</v>
      </c>
      <c r="D24" s="128" t="n">
        <v>8</v>
      </c>
      <c r="E24" s="128" t="n"/>
      <c r="F24" s="128" t="n">
        <v>0.03</v>
      </c>
      <c r="G24" s="128" t="n"/>
      <c r="H24" s="128" t="inlineStr">
        <is>
          <t>fitting the carts with axles 8pence.</t>
        </is>
      </c>
    </row>
    <row r="25">
      <c r="A25" s="137" t="inlineStr">
        <is>
          <t>Cost of carts</t>
        </is>
      </c>
      <c r="B25" s="128" t="n">
        <v>0</v>
      </c>
      <c r="C25" s="128" t="n">
        <v>0</v>
      </c>
      <c r="D25" s="128" t="n">
        <v>6</v>
      </c>
      <c r="E25" s="128" t="n"/>
      <c r="F25" s="128" t="n">
        <v>0.03</v>
      </c>
      <c r="G25" s="128" t="n"/>
      <c r="H25" s="128" t="inlineStr">
        <is>
          <t>greasing the same 6pence.</t>
        </is>
      </c>
    </row>
    <row r="26">
      <c r="A26" s="137" t="inlineStr">
        <is>
          <t>Cost of carts</t>
        </is>
      </c>
      <c r="B26" s="128" t="n">
        <v>0</v>
      </c>
      <c r="C26" s="128" t="n">
        <v>1</v>
      </c>
      <c r="D26" s="128" t="n">
        <v>8</v>
      </c>
      <c r="E26" s="128" t="n"/>
      <c r="F26" s="128" t="n">
        <v>0.08</v>
      </c>
      <c r="G26" s="128" t="n"/>
      <c r="H26" s="128" t="inlineStr">
        <is>
          <t>2 new collars bought 1 shilling 8pence.</t>
        </is>
      </c>
    </row>
    <row r="27">
      <c r="A27" s="137" t="inlineStr">
        <is>
          <t>Cost of carts</t>
        </is>
      </c>
      <c r="B27" s="128" t="n">
        <v>0</v>
      </c>
      <c r="C27" s="128" t="n">
        <v>1</v>
      </c>
      <c r="D27" s="128" t="n">
        <v>4</v>
      </c>
      <c r="E27" s="128" t="n"/>
      <c r="F27" s="128" t="n">
        <v>0.07000000000000001</v>
      </c>
      <c r="G27" s="128" t="n"/>
      <c r="H27" s="128" t="inlineStr">
        <is>
          <t>2 pairs of traces bought 1 shilling 4pence.</t>
        </is>
      </c>
    </row>
    <row r="28">
      <c r="A28" s="137" t="inlineStr">
        <is>
          <t>Cost of carts</t>
        </is>
      </c>
      <c r="B28" s="128" t="n">
        <v>0</v>
      </c>
      <c r="C28" s="128" t="n">
        <v>0</v>
      </c>
      <c r="D28" s="128" t="n">
        <v>6</v>
      </c>
      <c r="E28" s="128" t="n"/>
      <c r="F28" s="128" t="n">
        <v>0.03</v>
      </c>
      <c r="G28" s="128" t="n"/>
      <c r="H28" s="128" t="inlineStr">
        <is>
          <t>6 halters bought 6pence.</t>
        </is>
      </c>
    </row>
    <row r="29">
      <c r="A29" s="137" t="inlineStr">
        <is>
          <t>Cost of carts</t>
        </is>
      </c>
      <c r="B29" s="128" t="n">
        <v>0</v>
      </c>
      <c r="C29" s="128" t="n">
        <v>1</v>
      </c>
      <c r="D29" s="128" t="n">
        <v>6</v>
      </c>
      <c r="E29" s="128" t="n"/>
      <c r="F29" s="128" t="n">
        <v>0.08</v>
      </c>
      <c r="G29" s="128" t="n"/>
      <c r="H29" s="128" t="inlineStr">
        <is>
          <t>white leather bought 1 shilling 6pence.</t>
        </is>
      </c>
    </row>
    <row r="30">
      <c r="A30" s="137" t="inlineStr">
        <is>
          <t>Cost of carts</t>
        </is>
      </c>
      <c r="B30" s="128" t="n">
        <v>0</v>
      </c>
      <c r="C30" s="128" t="n">
        <v>12</v>
      </c>
      <c r="D30" s="128" t="n">
        <v>0</v>
      </c>
      <c r="E30" s="128" t="n"/>
      <c r="F30" s="128" t="n">
        <v>0.6</v>
      </c>
      <c r="G30" s="128" t="n"/>
      <c r="H30" s="128" t="inlineStr">
        <is>
          <t>shoeing 6 horses for the year 12 shilling.</t>
        </is>
      </c>
    </row>
    <row r="31">
      <c r="A31" s="137" t="inlineStr">
        <is>
          <t>Cost of carts</t>
        </is>
      </c>
      <c r="B31" s="128" t="n">
        <v>0</v>
      </c>
      <c r="C31" s="128" t="n">
        <v>2</v>
      </c>
      <c r="D31" s="128" t="n">
        <v>0</v>
      </c>
      <c r="E31" s="128" t="n"/>
      <c r="F31" s="128" t="n">
        <v>0.1</v>
      </c>
      <c r="G31" s="128" t="n"/>
      <c r="H31" s="128" t="inlineStr">
        <is>
          <t>1 cart-rope bought 2 shilling.</t>
        </is>
      </c>
    </row>
    <row r="32">
      <c r="A32" s="137" t="inlineStr">
        <is>
          <t>Cost of carts</t>
        </is>
      </c>
      <c r="B32" s="128" t="n">
        <v>0</v>
      </c>
      <c r="C32" s="128" t="n">
        <v>6</v>
      </c>
      <c r="D32" s="128" t="n">
        <v>8</v>
      </c>
      <c r="E32" s="128" t="n"/>
      <c r="F32" s="128" t="n">
        <v>0.33</v>
      </c>
      <c r="G32" s="128" t="n"/>
      <c r="H32" s="128" t="inlineStr">
        <is>
          <t>1 pair of cart-wheels (briddej) bought 6 shilling 8pence.</t>
        </is>
      </c>
    </row>
    <row r="33">
      <c r="A33" s="137" t="inlineStr">
        <is>
          <t>Cost of carts</t>
        </is>
      </c>
      <c r="B33" s="128" t="n">
        <v>1</v>
      </c>
      <c r="C33" s="128" t="n">
        <v>6</v>
      </c>
      <c r="D33" s="128" t="n">
        <v>8</v>
      </c>
      <c r="E33" s="128" t="n"/>
      <c r="F33" s="128" t="n">
        <v>1.33</v>
      </c>
      <c r="G33" s="128" t="n"/>
      <c r="H33" s="128" t="inlineStr">
        <is>
          <t>fitting the same with iron tyres with large and small nails £1 6 shilling 8pence.</t>
        </is>
      </c>
    </row>
    <row r="34">
      <c r="A34" s="137" t="inlineStr">
        <is>
          <t>Cost of carts</t>
        </is>
      </c>
      <c r="B34" s="128" t="n">
        <v>0</v>
      </c>
      <c r="C34" s="128" t="n">
        <v>8</v>
      </c>
      <c r="D34" s="128" t="n">
        <v>0</v>
      </c>
      <c r="E34" s="128" t="n"/>
      <c r="F34" s="128" t="n">
        <v>0.4</v>
      </c>
      <c r="G34" s="128" t="n"/>
      <c r="H34" s="128" t="inlineStr">
        <is>
          <t>stipend of 2 carters for the year 8 shilling.</t>
        </is>
      </c>
    </row>
    <row r="35">
      <c r="A35" s="137" t="inlineStr">
        <is>
          <t>Cost of carts</t>
        </is>
      </c>
      <c r="B35" s="128" t="n">
        <v>3</v>
      </c>
      <c r="C35" s="128" t="n">
        <v>3</v>
      </c>
      <c r="D35" s="128" t="n">
        <v>6</v>
      </c>
      <c r="E35" s="128" t="n"/>
      <c r="F35" s="128" t="n">
        <v>3.17</v>
      </c>
      <c r="G35" s="128" t="n"/>
      <c r="H35" s="128" t="inlineStr">
        <is>
          <t>Total, £3 3 shilling 6pence.</t>
        </is>
      </c>
    </row>
    <row r="36">
      <c r="A36" s="138" t="inlineStr">
        <is>
          <t>Cost of carts total</t>
        </is>
      </c>
      <c r="B36" s="139" t="n"/>
      <c r="C36" s="139" t="n"/>
      <c r="D36" s="139" t="n"/>
      <c r="E36" s="139" t="n"/>
      <c r="F36" s="139" t="n">
        <v>3.23</v>
      </c>
      <c r="G36" s="139" t="n">
        <v>0.06</v>
      </c>
      <c r="H36" s="139" t="inlineStr">
        <is>
          <t>Total</t>
        </is>
      </c>
    </row>
    <row r="37">
      <c r="A37" s="137" t="n"/>
      <c r="B37" s="128" t="n"/>
      <c r="C37" s="128" t="n"/>
      <c r="D37" s="128" t="n"/>
      <c r="E37" s="128" t="n"/>
      <c r="F37" s="128" t="n"/>
      <c r="G37" s="128" t="n"/>
      <c r="H37" s="128" t="n"/>
    </row>
    <row r="38">
      <c r="A38" s="136" t="inlineStr">
        <is>
          <t>Cost of the dairy</t>
        </is>
      </c>
      <c r="B38" s="128" t="n">
        <v>0</v>
      </c>
      <c r="C38" s="128" t="n">
        <v>0</v>
      </c>
      <c r="D38" s="128" t="n">
        <v>6</v>
      </c>
      <c r="E38" s="128" t="n"/>
      <c r="F38" s="128" t="n">
        <v>0.03</v>
      </c>
      <c r="G38" s="128" t="n"/>
      <c r="H38" s="128" t="inlineStr">
        <is>
          <t>In clay pots and pans bought for the dairy 6pence.</t>
        </is>
      </c>
    </row>
    <row r="39">
      <c r="A39" s="137" t="inlineStr">
        <is>
          <t>Cost of the dairy</t>
        </is>
      </c>
      <c r="B39" s="128" t="n">
        <v>0</v>
      </c>
      <c r="C39" s="128" t="n">
        <v>0</v>
      </c>
      <c r="D39" s="128" t="n">
        <v>7</v>
      </c>
      <c r="E39" s="128" t="n"/>
      <c r="F39" s="128" t="n">
        <v>0.03</v>
      </c>
      <c r="G39" s="128" t="n"/>
      <c r="H39" s="128" t="inlineStr">
        <is>
          <t>linen and woollen cloth bought for the dairy 7pence.</t>
        </is>
      </c>
    </row>
    <row r="40">
      <c r="A40" s="137" t="inlineStr">
        <is>
          <t>Cost of the dairy</t>
        </is>
      </c>
      <c r="B40" s="128" t="n">
        <v>0</v>
      </c>
      <c r="C40" s="128" t="n">
        <v>0</v>
      </c>
      <c r="D40" s="128" t="n">
        <v>6</v>
      </c>
      <c r="E40" s="128" t="n"/>
      <c r="F40" s="128" t="n">
        <v>0.03</v>
      </c>
      <c r="G40" s="128" t="n"/>
      <c r="H40" s="128" t="inlineStr">
        <is>
          <t>rennet bought 6pence.</t>
        </is>
      </c>
    </row>
    <row r="41">
      <c r="A41" s="137" t="inlineStr">
        <is>
          <t>Cost of the dairy</t>
        </is>
      </c>
      <c r="B41" s="128" t="n">
        <v>0</v>
      </c>
      <c r="C41" s="128" t="n">
        <v>3</v>
      </c>
      <c r="D41" s="128" t="n">
        <v>0</v>
      </c>
      <c r="E41" s="128" t="n"/>
      <c r="F41" s="128" t="n">
        <v>0.15</v>
      </c>
      <c r="G41" s="128" t="n"/>
      <c r="H41" s="128" t="inlineStr">
        <is>
          <t>6 bushels of salt bought, both for the pottage of the manorial servants and for the dairy, 3 shilling.</t>
        </is>
      </c>
    </row>
    <row r="42">
      <c r="A42" s="137" t="inlineStr">
        <is>
          <t>Cost of the dairy</t>
        </is>
      </c>
      <c r="B42" s="128" t="n">
        <v>0</v>
      </c>
      <c r="C42" s="128" t="n">
        <v>0</v>
      </c>
      <c r="D42" s="128" t="n">
        <v>2</v>
      </c>
      <c r="E42" s="128" t="n"/>
      <c r="F42" s="128" t="n">
        <v>0.01</v>
      </c>
      <c r="G42" s="128" t="n"/>
      <c r="H42" s="128" t="inlineStr">
        <is>
          <t>1 cheese mould bought 2pence.</t>
        </is>
      </c>
    </row>
    <row r="43">
      <c r="A43" s="137" t="inlineStr">
        <is>
          <t>Cost of the dairy</t>
        </is>
      </c>
      <c r="B43" s="128" t="n">
        <v>0</v>
      </c>
      <c r="C43" s="128" t="n">
        <v>4</v>
      </c>
      <c r="D43" s="128" t="n">
        <v>0</v>
      </c>
      <c r="E43" s="128" t="n"/>
      <c r="F43" s="128" t="n">
        <v>0.2</v>
      </c>
      <c r="G43" s="128" t="n"/>
      <c r="H43" s="128" t="inlineStr">
        <is>
          <t>stipend of 1 cowherd for the year 4 shilling.</t>
        </is>
      </c>
    </row>
    <row r="44">
      <c r="A44" s="137" t="inlineStr">
        <is>
          <t>Cost of the dairy</t>
        </is>
      </c>
      <c r="B44" s="128" t="n">
        <v>0</v>
      </c>
      <c r="C44" s="128" t="n">
        <v>2</v>
      </c>
      <c r="D44" s="128" t="n">
        <v>0</v>
      </c>
      <c r="E44" s="128" t="n"/>
      <c r="F44" s="128" t="n">
        <v>0.1</v>
      </c>
      <c r="G44" s="128" t="n"/>
      <c r="H44" s="128" t="inlineStr">
        <is>
          <t>stipend of 1 dairymaid for the year 2 shilling.</t>
        </is>
      </c>
    </row>
    <row r="45">
      <c r="A45" s="137" t="inlineStr">
        <is>
          <t>Cost of the dairy</t>
        </is>
      </c>
      <c r="B45" s="128" t="n">
        <v>0</v>
      </c>
      <c r="C45" s="128" t="n">
        <v>10</v>
      </c>
      <c r="D45" s="128" t="n">
        <v>9</v>
      </c>
      <c r="E45" s="128" t="n"/>
      <c r="F45" s="128" t="n">
        <v>0.54</v>
      </c>
      <c r="G45" s="128" t="n"/>
      <c r="H45" s="128" t="inlineStr">
        <is>
          <t>Total, 10 shilling 9pence Cost of the sheepcote.</t>
        </is>
      </c>
    </row>
    <row r="46">
      <c r="A46" s="137" t="inlineStr">
        <is>
          <t>Cost of the dairy</t>
        </is>
      </c>
      <c r="B46" s="128" t="n">
        <v>0</v>
      </c>
      <c r="C46" s="128" t="n">
        <v>10</v>
      </c>
      <c r="D46" s="128" t="n">
        <v>0</v>
      </c>
      <c r="E46" s="128" t="n"/>
      <c r="F46" s="128" t="n">
        <v>0.5</v>
      </c>
      <c r="G46" s="128" t="n"/>
      <c r="H46" s="128" t="inlineStr">
        <is>
          <t>In tar and grease bought for greasing the lord's sheep 10 shilling.</t>
        </is>
      </c>
    </row>
    <row r="47">
      <c r="A47" s="137" t="inlineStr">
        <is>
          <t>Cost of the dairy</t>
        </is>
      </c>
      <c r="B47" s="128" t="n">
        <v>0</v>
      </c>
      <c r="C47" s="128" t="n">
        <v>1</v>
      </c>
      <c r="D47" s="128" t="n">
        <v>9</v>
      </c>
      <c r="E47" s="128" t="n"/>
      <c r="F47" s="128" t="n">
        <v>0.09</v>
      </c>
      <c r="G47" s="128" t="n"/>
      <c r="H47" s="128" t="inlineStr">
        <is>
          <t>42 hurdles made 1 shilling 9pence.</t>
        </is>
      </c>
    </row>
    <row r="48">
      <c r="A48" s="137" t="inlineStr">
        <is>
          <t>Cost of the dairy</t>
        </is>
      </c>
      <c r="B48" s="128" t="n">
        <v>0</v>
      </c>
      <c r="C48" s="128" t="n">
        <v>1</v>
      </c>
      <c r="D48" s="128" t="n">
        <v>10</v>
      </c>
      <c r="E48" s="128" t="n"/>
      <c r="F48" s="128" t="n">
        <v>0.09</v>
      </c>
      <c r="G48" s="128" t="n"/>
      <c r="H48" s="128" t="inlineStr">
        <is>
          <t>collecting stubble for wattling the lord's fold 1 shilling 10pence.</t>
        </is>
      </c>
    </row>
    <row r="49">
      <c r="A49" s="137" t="inlineStr">
        <is>
          <t>Cost of the dairy</t>
        </is>
      </c>
      <c r="B49" s="128" t="n">
        <v>0</v>
      </c>
      <c r="C49" s="128" t="n">
        <v>0</v>
      </c>
      <c r="D49" s="128" t="n">
        <v>10</v>
      </c>
      <c r="E49" s="128" t="n"/>
      <c r="F49" s="128" t="n">
        <v>0.04</v>
      </c>
      <c r="G49" s="128" t="n"/>
      <c r="H49" s="128" t="inlineStr">
        <is>
          <t>5 cloves of red ochre bought 10pence.</t>
        </is>
      </c>
    </row>
    <row r="50">
      <c r="A50" s="137" t="inlineStr">
        <is>
          <t>Cost of the dairy</t>
        </is>
      </c>
      <c r="B50" s="128" t="n">
        <v>0</v>
      </c>
      <c r="C50" s="128" t="n">
        <v>0</v>
      </c>
      <c r="D50" s="128" t="n">
        <v>10</v>
      </c>
      <c r="E50" s="128" t="n"/>
      <c r="F50" s="128" t="n">
        <v>0.04</v>
      </c>
      <c r="G50" s="128" t="n"/>
      <c r="H50" s="128" t="inlineStr">
        <is>
          <t>mending cratches and fodder-racks 10pence.</t>
        </is>
      </c>
    </row>
    <row r="51">
      <c r="A51" s="137" t="inlineStr">
        <is>
          <t>Cost of the dairy</t>
        </is>
      </c>
      <c r="B51" s="128" t="n">
        <v>0</v>
      </c>
      <c r="C51" s="128" t="n">
        <v>0</v>
      </c>
      <c r="D51" s="128" t="n">
        <v>1</v>
      </c>
      <c r="E51" s="128" t="n"/>
      <c r="F51" s="128" t="n">
        <v>0</v>
      </c>
      <c r="G51" s="128" t="n"/>
      <c r="H51" s="128" t="inlineStr">
        <is>
          <t>pack-thread and indigo (ynde) bought to stitch and mark sarpliers 1pence.</t>
        </is>
      </c>
    </row>
    <row r="52">
      <c r="A52" s="137" t="inlineStr">
        <is>
          <t>Cost of the dairy</t>
        </is>
      </c>
      <c r="B52" s="128" t="n">
        <v>0</v>
      </c>
      <c r="C52" s="128" t="n">
        <v>5</v>
      </c>
      <c r="D52" s="128" t="n">
        <v>1</v>
      </c>
      <c r="E52" s="128" t="n"/>
      <c r="F52" s="128" t="n">
        <v>0.25</v>
      </c>
      <c r="G52" s="128" t="n"/>
      <c r="H52" s="128" t="inlineStr">
        <is>
          <t>washing and shearing 270 wethers, 4 rams, 236 ewes and 100 hoggs this year 5 shilling 1pence, at 1pence for each 10..</t>
        </is>
      </c>
    </row>
    <row r="53">
      <c r="A53" s="137" t="inlineStr">
        <is>
          <t>Cost of the dairy</t>
        </is>
      </c>
      <c r="B53" s="128" t="n">
        <v>0</v>
      </c>
      <c r="C53" s="128" t="n">
        <v>8</v>
      </c>
      <c r="D53" s="128" t="n">
        <v>0</v>
      </c>
      <c r="E53" s="128" t="n"/>
      <c r="F53" s="128" t="n">
        <v>0.4</v>
      </c>
      <c r="G53" s="128" t="n"/>
      <c r="H53" s="128" t="inlineStr">
        <is>
          <t>stipend of 2 shepherds for the year 8 shilling.</t>
        </is>
      </c>
    </row>
    <row r="54">
      <c r="A54" s="137" t="inlineStr">
        <is>
          <t>Cost of the dairy</t>
        </is>
      </c>
      <c r="B54" s="128" t="n">
        <v>0</v>
      </c>
      <c r="C54" s="128" t="n">
        <v>1</v>
      </c>
      <c r="D54" s="128" t="n">
        <v>8</v>
      </c>
      <c r="E54" s="128" t="n"/>
      <c r="F54" s="128" t="n">
        <v>0.08</v>
      </c>
      <c r="G54" s="128" t="n"/>
      <c r="H54" s="128" t="inlineStr">
        <is>
          <t>stipend of 1 thatcher roofing the sheepcote for 5 days 1 shilling 8pence, taking 4pence a day.</t>
        </is>
      </c>
    </row>
    <row r="55">
      <c r="A55" s="137" t="inlineStr">
        <is>
          <t>Cost of the dairy</t>
        </is>
      </c>
      <c r="B55" s="128" t="n">
        <v>0</v>
      </c>
      <c r="C55" s="128" t="n">
        <v>1</v>
      </c>
      <c r="D55" s="128" t="n">
        <v>3</v>
      </c>
      <c r="E55" s="128" t="n"/>
      <c r="F55" s="128" t="n">
        <v>0.06</v>
      </c>
      <c r="G55" s="128" t="n"/>
      <c r="H55" s="128" t="inlineStr">
        <is>
          <t>stipend of 1 of his mates for the same time 1 shilling 3pence, taking 3pence a day.</t>
        </is>
      </c>
    </row>
    <row r="56">
      <c r="A56" s="137" t="inlineStr">
        <is>
          <t>Cost of the dairy</t>
        </is>
      </c>
      <c r="B56" s="128" t="n">
        <v>1</v>
      </c>
      <c r="C56" s="128" t="n">
        <v>11</v>
      </c>
      <c r="D56" s="128" t="n">
        <v>4</v>
      </c>
      <c r="E56" s="128" t="n"/>
      <c r="F56" s="128" t="n">
        <v>1.57</v>
      </c>
      <c r="G56" s="128" t="n"/>
      <c r="H56" s="128" t="inlineStr">
        <is>
          <t>Total, £1 11 shilling 4pence.</t>
        </is>
      </c>
    </row>
    <row r="57">
      <c r="A57" s="138" t="inlineStr">
        <is>
          <t>Cost of the dairy total</t>
        </is>
      </c>
      <c r="B57" s="139" t="n"/>
      <c r="C57" s="139" t="n"/>
      <c r="D57" s="139" t="n"/>
      <c r="E57" s="139" t="n"/>
      <c r="F57" s="139" t="n">
        <v>2.1</v>
      </c>
      <c r="G57" s="139" t="n">
        <v>0.53</v>
      </c>
      <c r="H57" s="139" t="inlineStr">
        <is>
          <t>Total</t>
        </is>
      </c>
    </row>
    <row r="58">
      <c r="A58" s="137" t="n"/>
      <c r="B58" s="128" t="n"/>
      <c r="C58" s="128" t="n"/>
      <c r="D58" s="128" t="n"/>
      <c r="E58" s="128" t="n"/>
      <c r="F58" s="128" t="n"/>
      <c r="G58" s="128" t="n"/>
      <c r="H58" s="128" t="n"/>
    </row>
    <row r="59">
      <c r="A59" s="136" t="inlineStr">
        <is>
          <t>Cost of the mill</t>
        </is>
      </c>
      <c r="B59" s="128" t="n">
        <v>0</v>
      </c>
      <c r="C59" s="128" t="n">
        <v>3</v>
      </c>
      <c r="D59" s="128" t="n">
        <v>5</v>
      </c>
      <c r="E59" s="128" t="n"/>
      <c r="F59" s="128" t="n">
        <v>0.17</v>
      </c>
      <c r="G59" s="128" t="n"/>
      <c r="H59" s="128" t="inlineStr">
        <is>
          <t>In stipend of Thomas Park' and John Hatter' for 3 days, both of them taking 5pence a day, and John Morys for 3 days, taking 4pence a day, roofers, roofing the east mill where it was needed 3 shilling 6pence.</t>
        </is>
      </c>
    </row>
    <row r="60">
      <c r="A60" s="137" t="inlineStr">
        <is>
          <t>Cost of the mill</t>
        </is>
      </c>
      <c r="B60" s="128" t="n">
        <v>0</v>
      </c>
      <c r="C60" s="128" t="n">
        <v>3</v>
      </c>
      <c r="D60" s="128" t="n">
        <v>6</v>
      </c>
      <c r="E60" s="128" t="n"/>
      <c r="F60" s="128" t="n">
        <v>0.17</v>
      </c>
      <c r="G60" s="128" t="n"/>
      <c r="H60" s="128" t="inlineStr">
        <is>
          <t>Total, 3 shilling 6pence.</t>
        </is>
      </c>
    </row>
    <row r="61">
      <c r="A61" s="138" t="inlineStr">
        <is>
          <t>Cost of the mill total</t>
        </is>
      </c>
      <c r="B61" s="139" t="n"/>
      <c r="C61" s="139" t="n"/>
      <c r="D61" s="139" t="n"/>
      <c r="E61" s="139" t="n"/>
      <c r="F61" s="139" t="n">
        <v>0.17</v>
      </c>
      <c r="G61" s="139" t="n">
        <v>0</v>
      </c>
      <c r="H61" s="139" t="inlineStr">
        <is>
          <t>Total</t>
        </is>
      </c>
    </row>
    <row r="62">
      <c r="A62" s="137" t="n"/>
      <c r="B62" s="128" t="n"/>
      <c r="C62" s="128" t="n"/>
      <c r="D62" s="128" t="n"/>
      <c r="E62" s="128" t="n"/>
      <c r="F62" s="128" t="n"/>
      <c r="G62" s="128" t="n"/>
      <c r="H62" s="128" t="n"/>
    </row>
    <row r="63">
      <c r="A63" s="136" t="inlineStr">
        <is>
          <t>Cost of the park</t>
        </is>
      </c>
      <c r="B63" s="128" t="n">
        <v>3</v>
      </c>
      <c r="C63" s="128" t="n">
        <v>0</v>
      </c>
      <c r="D63" s="128" t="n">
        <v>10</v>
      </c>
      <c r="E63" s="128" t="n"/>
      <c r="F63" s="128" t="n">
        <v>3.04</v>
      </c>
      <c r="G63" s="128" t="n"/>
      <c r="H63" s="128" t="inlineStr">
        <is>
          <t>In wages of John Crambourne, park-keeper, £3 10pence for the year, taking 2pence a day.</t>
        </is>
      </c>
    </row>
    <row r="64">
      <c r="A64" s="137" t="inlineStr">
        <is>
          <t>Cost of the park</t>
        </is>
      </c>
      <c r="B64" s="128" t="n">
        <v>0</v>
      </c>
      <c r="C64" s="128" t="n">
        <v>3</v>
      </c>
      <c r="D64" s="128" t="n">
        <v>3</v>
      </c>
      <c r="E64" s="128" t="n"/>
      <c r="F64" s="128" t="n">
        <v>0.16</v>
      </c>
      <c r="G64" s="128" t="n"/>
      <c r="H64" s="128" t="inlineStr">
        <is>
          <t>stipend of Richard Lange and John Papeworthe making anew 12 perches of new palisade around the lord's park 3 shilling, taking 3pence a perch.</t>
        </is>
      </c>
    </row>
    <row r="65">
      <c r="A65" s="137" t="inlineStr">
        <is>
          <t>Cost of the park</t>
        </is>
      </c>
      <c r="B65" s="128" t="n">
        <v>0</v>
      </c>
      <c r="C65" s="128" t="n">
        <v>6</v>
      </c>
      <c r="D65" s="128" t="n">
        <v>8</v>
      </c>
      <c r="E65" s="128" t="n"/>
      <c r="F65" s="128" t="n">
        <v>0.33</v>
      </c>
      <c r="G65" s="128" t="n"/>
      <c r="H65" s="128" t="inlineStr">
        <is>
          <t>stipend of 1 man rebuilding and looking after the old palisade in places by fixed agreement made with the same for the year 6 shilling 8pence.</t>
        </is>
      </c>
    </row>
    <row r="66">
      <c r="A66" s="137" t="inlineStr">
        <is>
          <t>Cost of the park</t>
        </is>
      </c>
      <c r="B66" s="128" t="n">
        <v>0</v>
      </c>
      <c r="C66" s="128" t="n">
        <v>6</v>
      </c>
      <c r="D66" s="128" t="n">
        <v>8</v>
      </c>
      <c r="E66" s="128" t="n"/>
      <c r="F66" s="128" t="n">
        <v>0.33</v>
      </c>
      <c r="G66" s="128" t="n"/>
      <c r="H66" s="128" t="inlineStr">
        <is>
          <t>stipend of John Emery for 8 days and John Lykstede for 8 days, carpenters, strengthening and mending the lodge in the park 6 shilling 8pence, both of them taking 5pence a day.</t>
        </is>
      </c>
    </row>
    <row r="67">
      <c r="A67" s="137" t="inlineStr">
        <is>
          <t>Cost of the park</t>
        </is>
      </c>
      <c r="B67" s="128" t="n">
        <v>0</v>
      </c>
      <c r="C67" s="128" t="n">
        <v>0</v>
      </c>
      <c r="D67" s="128" t="n">
        <v>7</v>
      </c>
      <c r="E67" s="128" t="n"/>
      <c r="F67" s="128" t="n">
        <v>0.03</v>
      </c>
      <c r="G67" s="128" t="n"/>
      <c r="H67" s="128" t="inlineStr">
        <is>
          <t>500 lath-nails bought for the same 7pence.</t>
        </is>
      </c>
    </row>
    <row r="68">
      <c r="A68" s="137" t="inlineStr">
        <is>
          <t>Cost of the park</t>
        </is>
      </c>
      <c r="B68" s="128" t="n">
        <v>0</v>
      </c>
      <c r="C68" s="128" t="n">
        <v>2</v>
      </c>
      <c r="D68" s="128" t="n">
        <v>1</v>
      </c>
      <c r="E68" s="128" t="n"/>
      <c r="F68" s="128" t="n">
        <v>0.1</v>
      </c>
      <c r="G68" s="128" t="n"/>
      <c r="H68" s="128" t="inlineStr">
        <is>
          <t>500 eaves-board nails bought for the same 2 shilling 1pence.</t>
        </is>
      </c>
    </row>
    <row r="69">
      <c r="A69" s="137" t="inlineStr">
        <is>
          <t>Cost of the park</t>
        </is>
      </c>
      <c r="B69" s="128" t="n">
        <v>0</v>
      </c>
      <c r="C69" s="128" t="n">
        <v>8</v>
      </c>
      <c r="D69" s="128" t="n">
        <v>9</v>
      </c>
      <c r="E69" s="128" t="n"/>
      <c r="F69" s="128" t="n">
        <v>0.44</v>
      </c>
      <c r="G69" s="128" t="n"/>
      <c r="H69" s="128" t="inlineStr">
        <is>
          <t>stipend of Thomas Park' for 7 days, John Gosey for 7 days and John Hatter' for 7 days, roofers, roofing the lodge 8 shilling 9pence, each of them taking 5pence a day.</t>
        </is>
      </c>
    </row>
    <row r="70">
      <c r="A70" s="137" t="inlineStr">
        <is>
          <t>Cost of the park</t>
        </is>
      </c>
      <c r="B70" s="128" t="n">
        <v>0</v>
      </c>
      <c r="C70" s="128" t="n">
        <v>4</v>
      </c>
      <c r="D70" s="128" t="n">
        <v>8</v>
      </c>
      <c r="E70" s="128" t="n"/>
      <c r="F70" s="128" t="n">
        <v>0.23</v>
      </c>
      <c r="G70" s="128" t="n"/>
      <c r="H70" s="128" t="inlineStr">
        <is>
          <t>stipend of 2 mates of Thomas Park' who were there for 7 days serving the aforesaid roofers 4 shilling 8pence, both of them taking 4pence a day.</t>
        </is>
      </c>
    </row>
    <row r="71">
      <c r="A71" s="137" t="inlineStr">
        <is>
          <t>Cost of the park</t>
        </is>
      </c>
      <c r="B71" s="128" t="n">
        <v>0</v>
      </c>
      <c r="C71" s="128" t="n">
        <v>1</v>
      </c>
      <c r="D71" s="128" t="n">
        <v>0</v>
      </c>
      <c r="E71" s="128" t="n"/>
      <c r="F71" s="128" t="n">
        <v>0.05</v>
      </c>
      <c r="G71" s="128" t="n"/>
      <c r="H71" s="128" t="inlineStr">
        <is>
          <t>stipend of 4 labourers removing the old timber and dismantling the old walls of the same for 1 day 1 shilling.</t>
        </is>
      </c>
    </row>
    <row r="72">
      <c r="A72" s="137" t="inlineStr">
        <is>
          <t>Cost of the park</t>
        </is>
      </c>
      <c r="B72" s="128" t="n">
        <v>0</v>
      </c>
      <c r="C72" s="128" t="n">
        <v>4</v>
      </c>
      <c r="D72" s="128" t="n">
        <v>0</v>
      </c>
      <c r="E72" s="128" t="n"/>
      <c r="F72" s="128" t="n">
        <v>0.2</v>
      </c>
      <c r="G72" s="128" t="n"/>
      <c r="H72" s="128" t="inlineStr">
        <is>
          <t>wattling, daubing and pinning the walls of the same by piece-work 4 shilling.</t>
        </is>
      </c>
    </row>
    <row r="73">
      <c r="A73" s="137" t="inlineStr">
        <is>
          <t>Cost of the park</t>
        </is>
      </c>
      <c r="B73" s="128" t="n">
        <v>0</v>
      </c>
      <c r="C73" s="128" t="n">
        <v>0</v>
      </c>
      <c r="D73" s="128" t="n">
        <v>5</v>
      </c>
      <c r="E73" s="128" t="n"/>
      <c r="F73" s="128" t="n">
        <v>0.02</v>
      </c>
      <c r="G73" s="128" t="n"/>
      <c r="H73" s="128" t="inlineStr">
        <is>
          <t>15 hip-tiles bought for the same 5pence.</t>
        </is>
      </c>
    </row>
    <row r="74">
      <c r="A74" s="137" t="inlineStr">
        <is>
          <t>Cost of the park</t>
        </is>
      </c>
      <c r="B74" s="128" t="n">
        <v>0</v>
      </c>
      <c r="C74" s="128" t="n">
        <v>0</v>
      </c>
      <c r="D74" s="128" t="n">
        <v>10</v>
      </c>
      <c r="E74" s="128" t="n"/>
      <c r="F74" s="128" t="n">
        <v>0.04</v>
      </c>
      <c r="G74" s="128" t="n"/>
      <c r="H74" s="128" t="inlineStr">
        <is>
          <t>100 board-nails bought for the same to fasten the beams and studs 10pence.</t>
        </is>
      </c>
    </row>
    <row r="75">
      <c r="A75" s="137" t="inlineStr">
        <is>
          <t>Cost of the park</t>
        </is>
      </c>
      <c r="B75" s="128" t="n">
        <v>0</v>
      </c>
      <c r="C75" s="128" t="n">
        <v>1</v>
      </c>
      <c r="D75" s="128" t="n">
        <v>6</v>
      </c>
      <c r="E75" s="128" t="n"/>
      <c r="F75" s="128" t="n">
        <v>0.08</v>
      </c>
      <c r="G75" s="128" t="n"/>
      <c r="H75" s="128" t="inlineStr">
        <is>
          <t>300 board-nails bought for the same 1 shilling 6pence.</t>
        </is>
      </c>
    </row>
    <row r="76">
      <c r="A76" s="137" t="inlineStr">
        <is>
          <t>Cost of the park</t>
        </is>
      </c>
      <c r="B76" s="128" t="n">
        <v>0</v>
      </c>
      <c r="C76" s="128" t="n">
        <v>2</v>
      </c>
      <c r="D76" s="128" t="n">
        <v>0</v>
      </c>
      <c r="E76" s="128" t="n"/>
      <c r="F76" s="128" t="n">
        <v>0.1</v>
      </c>
      <c r="G76" s="128" t="n"/>
      <c r="H76" s="128" t="inlineStr">
        <is>
          <t>6 hooks and 6 hinges bought for the same 2 shilling.</t>
        </is>
      </c>
    </row>
    <row r="77">
      <c r="A77" s="137" t="inlineStr">
        <is>
          <t>Cost of the park</t>
        </is>
      </c>
      <c r="B77" s="128" t="n">
        <v>0</v>
      </c>
      <c r="C77" s="128" t="n">
        <v>1</v>
      </c>
      <c r="D77" s="128" t="n">
        <v>0</v>
      </c>
      <c r="E77" s="128" t="n"/>
      <c r="F77" s="128" t="n">
        <v>0.05</v>
      </c>
      <c r="G77" s="128" t="n"/>
      <c r="H77" s="128" t="inlineStr">
        <is>
          <t>2 locks with keys bought for the same 1 shilling.</t>
        </is>
      </c>
    </row>
    <row r="78">
      <c r="A78" s="137" t="inlineStr">
        <is>
          <t>Cost of the park</t>
        </is>
      </c>
      <c r="B78" s="128" t="n">
        <v>0</v>
      </c>
      <c r="C78" s="128" t="n">
        <v>0</v>
      </c>
      <c r="D78" s="128" t="n">
        <v>8</v>
      </c>
      <c r="E78" s="128" t="n"/>
      <c r="F78" s="128" t="n">
        <v>0.03</v>
      </c>
      <c r="G78" s="128" t="n"/>
      <c r="H78" s="128" t="inlineStr">
        <is>
          <t>eaves-boards bought for the same 8pence.</t>
        </is>
      </c>
    </row>
    <row r="79">
      <c r="A79" s="137" t="inlineStr">
        <is>
          <t>Cost of the park</t>
        </is>
      </c>
      <c r="B79" s="128" t="n">
        <v>5</v>
      </c>
      <c r="C79" s="128" t="n">
        <v>5</v>
      </c>
      <c r="D79" s="128" t="n">
        <v>1</v>
      </c>
      <c r="E79" s="128" t="n"/>
      <c r="F79" s="128" t="n">
        <v>5.25</v>
      </c>
      <c r="G79" s="128" t="n"/>
      <c r="H79" s="128" t="inlineStr">
        <is>
          <t>Total, £5 5 shilling 1pence.</t>
        </is>
      </c>
    </row>
    <row r="80">
      <c r="A80" s="138" t="inlineStr">
        <is>
          <t>Cost of the park total</t>
        </is>
      </c>
      <c r="B80" s="139" t="n"/>
      <c r="C80" s="139" t="n"/>
      <c r="D80" s="139" t="n"/>
      <c r="E80" s="139" t="n"/>
      <c r="F80" s="139" t="n">
        <v>5.23</v>
      </c>
      <c r="G80" s="139" t="n">
        <v>-0.02</v>
      </c>
      <c r="H80" s="139" t="inlineStr">
        <is>
          <t>Total</t>
        </is>
      </c>
    </row>
    <row r="81">
      <c r="A81" s="137" t="n"/>
      <c r="B81" s="128" t="n"/>
      <c r="C81" s="128" t="n"/>
      <c r="D81" s="128" t="n"/>
      <c r="E81" s="128" t="n"/>
      <c r="F81" s="128" t="n"/>
      <c r="G81" s="128" t="n"/>
      <c r="H81" s="128" t="n"/>
    </row>
    <row r="82">
      <c r="A82" s="136" t="inlineStr">
        <is>
          <t>Threshing and winnowing</t>
        </is>
      </c>
      <c r="B82" s="128" t="n">
        <v>0</v>
      </c>
      <c r="C82" s="128" t="n">
        <v>17</v>
      </c>
      <c r="D82" s="128" t="n">
        <v>3</v>
      </c>
      <c r="E82" s="128" t="n"/>
      <c r="F82" s="128" t="n">
        <v>0.86</v>
      </c>
      <c r="G82" s="128" t="n"/>
      <c r="H82" s="128" t="inlineStr">
        <is>
          <t>In threshing 64 quarters of wheat, 1 qr 4 bushels of curall and 3 quarters 4 bushels of peas by piece¬work 17 shilling 3pence, at 3pence a qr.</t>
        </is>
      </c>
    </row>
    <row r="83">
      <c r="A83" s="137" t="inlineStr">
        <is>
          <t>Threshing and winnowing</t>
        </is>
      </c>
      <c r="B83" s="128" t="n">
        <v>0</v>
      </c>
      <c r="C83" s="128" t="n">
        <v>9</v>
      </c>
      <c r="D83" s="128" t="n">
        <v>1</v>
      </c>
      <c r="E83" s="128" t="n"/>
      <c r="F83" s="128" t="n">
        <v>0.45</v>
      </c>
      <c r="G83" s="128" t="n"/>
      <c r="H83" s="128" t="inlineStr">
        <is>
          <t>threshing 54 quarters 5 bushels of barley by piece-work 9 shilling 1pence, at 2pence a qr.</t>
        </is>
      </c>
    </row>
    <row r="84">
      <c r="A84" s="137" t="inlineStr">
        <is>
          <t>Threshing and winnowing</t>
        </is>
      </c>
      <c r="B84" s="128" t="n">
        <v>0</v>
      </c>
      <c r="C84" s="128" t="n">
        <v>5</v>
      </c>
      <c r="D84" s="128" t="n">
        <v>9.25</v>
      </c>
      <c r="E84" s="128" t="n"/>
      <c r="F84" s="128" t="n">
        <v>0.29</v>
      </c>
      <c r="G84" s="128" t="n"/>
      <c r="H84" s="128" t="inlineStr">
        <is>
          <t>threshing 46 quarters 4 bushels of oats by piece-work 5 shilling 9.25pence, at 1.5pence a qr.</t>
        </is>
      </c>
    </row>
    <row r="85">
      <c r="A85" s="137" t="inlineStr">
        <is>
          <t>Threshing and winnowing</t>
        </is>
      </c>
      <c r="B85" s="128" t="n">
        <v>0</v>
      </c>
      <c r="C85" s="128" t="n">
        <v>3</v>
      </c>
      <c r="D85" s="128" t="n">
        <v>6.5</v>
      </c>
      <c r="E85" s="128" t="n"/>
      <c r="F85" s="128" t="n">
        <v>0.18</v>
      </c>
      <c r="G85" s="128" t="n"/>
      <c r="H85" s="128" t="inlineStr">
        <is>
          <t>winnowing a moiety of all the corn, that is, 85 quarters .5 bushels, by piece-work 3 shilling 6.5pence, at .5pence a qr.</t>
        </is>
      </c>
    </row>
    <row r="86">
      <c r="A86" s="137" t="inlineStr">
        <is>
          <t>Threshing and winnowing</t>
        </is>
      </c>
      <c r="B86" s="128" t="n">
        <v>1</v>
      </c>
      <c r="C86" s="128" t="n">
        <v>15</v>
      </c>
      <c r="D86" s="128" t="n">
        <v>7.25</v>
      </c>
      <c r="E86" s="128" t="n"/>
      <c r="F86" s="128" t="n">
        <v>1.78</v>
      </c>
      <c r="G86" s="128" t="n"/>
      <c r="H86" s="128" t="inlineStr">
        <is>
          <t>Total, £1 15 shilling 7.25pence.</t>
        </is>
      </c>
    </row>
    <row r="87">
      <c r="A87" s="138" t="inlineStr">
        <is>
          <t>Threshing and winnowing total</t>
        </is>
      </c>
      <c r="B87" s="139" t="n"/>
      <c r="C87" s="139" t="n"/>
      <c r="D87" s="139" t="n"/>
      <c r="E87" s="139" t="n"/>
      <c r="F87" s="139" t="n">
        <v>1.78</v>
      </c>
      <c r="G87" s="139" t="n">
        <v>0</v>
      </c>
      <c r="H87" s="139" t="inlineStr">
        <is>
          <t>Total</t>
        </is>
      </c>
    </row>
    <row r="88">
      <c r="A88" s="137" t="n"/>
      <c r="B88" s="128" t="n"/>
      <c r="C88" s="128" t="n"/>
      <c r="D88" s="128" t="n"/>
      <c r="E88" s="128" t="n"/>
      <c r="F88" s="128" t="n"/>
      <c r="G88" s="128" t="n"/>
      <c r="H88" s="128" t="n"/>
    </row>
    <row r="89">
      <c r="A89" s="136" t="inlineStr">
        <is>
          <t>Cost of the harvest</t>
        </is>
      </c>
      <c r="B89" s="128" t="n">
        <v>3</v>
      </c>
      <c r="C89" s="128" t="n">
        <v>2</v>
      </c>
      <c r="D89" s="128" t="n">
        <v>2</v>
      </c>
      <c r="E89" s="128" t="n"/>
      <c r="F89" s="128" t="n">
        <v>3.11</v>
      </c>
      <c r="G89" s="128" t="n"/>
      <c r="H89" s="128" t="inlineStr">
        <is>
          <t>In reaping, binding and carrying 74.5 acres of various kinds of corn by piece-work £3 2 shilling 2pence, and thus each acre was reaped for 9pence this year because of the prolonged harvest.</t>
        </is>
      </c>
    </row>
    <row r="90">
      <c r="A90" s="137" t="inlineStr">
        <is>
          <t>Cost of the harvest</t>
        </is>
      </c>
      <c r="B90" s="128" t="n">
        <v>0</v>
      </c>
      <c r="C90" s="128" t="n">
        <v>0</v>
      </c>
      <c r="D90" s="128" t="n">
        <v>0</v>
      </c>
      <c r="E90" s="128" t="n"/>
      <c r="F90" s="128" t="n">
        <v>0</v>
      </c>
      <c r="G90" s="128" t="n"/>
      <c r="H90" s="128" t="inlineStr">
        <is>
          <t>Moreover, 1 boon-work of 210 men called `baggebeddryp" reaped 53 acres of wheat, for which they received nothing, and thus every 4 reaped, bound and carried 1 acre of wheat, plus 1.5 acres in all.</t>
        </is>
      </c>
    </row>
    <row r="91">
      <c r="A91" s="137" t="inlineStr">
        <is>
          <t>Cost of the harvest</t>
        </is>
      </c>
      <c r="B91" s="128" t="n">
        <v>0</v>
      </c>
      <c r="C91" s="128" t="n">
        <v>3</v>
      </c>
      <c r="D91" s="128" t="n">
        <v>4</v>
      </c>
      <c r="E91" s="128" t="n"/>
      <c r="F91" s="128" t="n">
        <v>0.17</v>
      </c>
      <c r="G91" s="128" t="n"/>
      <c r="H91" s="128" t="inlineStr">
        <is>
          <t>stipend of 1 stacker 3 shilling 4pence.</t>
        </is>
      </c>
    </row>
    <row r="92">
      <c r="A92" s="137" t="inlineStr">
        <is>
          <t>Cost of the harvest</t>
        </is>
      </c>
      <c r="B92" s="128" t="n">
        <v>0</v>
      </c>
      <c r="C92" s="128" t="n">
        <v>6</v>
      </c>
      <c r="D92" s="128" t="n">
        <v>8</v>
      </c>
      <c r="E92" s="128" t="n"/>
      <c r="F92" s="128" t="n">
        <v>0.33</v>
      </c>
      <c r="G92" s="128" t="n"/>
      <c r="H92" s="128" t="inlineStr">
        <is>
          <t>stipend of 1 reap-reeve 6 shilling 8pence.</t>
        </is>
      </c>
    </row>
    <row r="93">
      <c r="A93" s="137" t="inlineStr">
        <is>
          <t>Cost of the harvest</t>
        </is>
      </c>
      <c r="B93" s="128" t="n">
        <v>3</v>
      </c>
      <c r="C93" s="128" t="n">
        <v>12</v>
      </c>
      <c r="D93" s="128" t="n">
        <v>2</v>
      </c>
      <c r="E93" s="128" t="n"/>
      <c r="F93" s="128" t="n">
        <v>3.61</v>
      </c>
      <c r="G93" s="128" t="n"/>
      <c r="H93" s="128" t="inlineStr">
        <is>
          <t>Total, £3 12 shilling 2pence.</t>
        </is>
      </c>
    </row>
    <row r="94">
      <c r="A94" s="138" t="inlineStr">
        <is>
          <t>Cost of the harvest total</t>
        </is>
      </c>
      <c r="B94" s="139" t="n"/>
      <c r="C94" s="139" t="n"/>
      <c r="D94" s="139" t="n"/>
      <c r="E94" s="139" t="n"/>
      <c r="F94" s="139" t="n">
        <v>3.61</v>
      </c>
      <c r="G94" s="139" t="n">
        <v>0</v>
      </c>
      <c r="H94" s="139" t="inlineStr">
        <is>
          <t>Total</t>
        </is>
      </c>
    </row>
    <row r="95">
      <c r="A95" s="137" t="n"/>
      <c r="B95" s="128" t="n"/>
      <c r="C95" s="128" t="n"/>
      <c r="D95" s="128" t="n"/>
      <c r="E95" s="128" t="n"/>
      <c r="F95" s="128" t="n"/>
      <c r="G95" s="128" t="n"/>
      <c r="H95" s="128" t="n"/>
    </row>
    <row r="96">
      <c r="A96" s="136" t="inlineStr">
        <is>
          <t>Expenses of the steward</t>
        </is>
      </c>
      <c r="B96" s="128" t="n">
        <v>1</v>
      </c>
      <c r="C96" s="128" t="n">
        <v>1</v>
      </c>
      <c r="D96" s="128" t="n">
        <v>5</v>
      </c>
      <c r="E96" s="128" t="n"/>
      <c r="F96" s="128" t="n">
        <v>1.07</v>
      </c>
      <c r="G96" s="128" t="n"/>
      <c r="H96" s="128" t="inlineStr">
        <is>
          <t>In expenses of Richard Wyot, steward, holding the tourns of Martinmas and Hockday, by 2 bills, £1 1 shilling 5pence.</t>
        </is>
      </c>
    </row>
    <row r="97">
      <c r="A97" s="137" t="inlineStr">
        <is>
          <t>Expenses of the steward</t>
        </is>
      </c>
      <c r="B97" s="128" t="n">
        <v>1</v>
      </c>
      <c r="C97" s="128" t="n">
        <v>1</v>
      </c>
      <c r="D97" s="128" t="n">
        <v>5</v>
      </c>
      <c r="E97" s="128" t="n"/>
      <c r="F97" s="128" t="n">
        <v>1.07</v>
      </c>
      <c r="G97" s="128" t="n"/>
      <c r="H97" s="128" t="inlineStr">
        <is>
          <t>Total, £1 1 shilling 5pence.</t>
        </is>
      </c>
    </row>
    <row r="98">
      <c r="A98" s="138" t="inlineStr">
        <is>
          <t>Expenses of the steward total</t>
        </is>
      </c>
      <c r="B98" s="139" t="n"/>
      <c r="C98" s="139" t="n"/>
      <c r="D98" s="139" t="n"/>
      <c r="E98" s="139" t="n"/>
      <c r="F98" s="139" t="n">
        <v>1.07</v>
      </c>
      <c r="G98" s="139" t="n">
        <v>0</v>
      </c>
      <c r="H98" s="139" t="inlineStr">
        <is>
          <t>Total</t>
        </is>
      </c>
    </row>
    <row r="99">
      <c r="A99" s="137" t="n"/>
      <c r="B99" s="128" t="n"/>
      <c r="C99" s="128" t="n"/>
      <c r="D99" s="128" t="n"/>
      <c r="E99" s="128" t="n"/>
      <c r="F99" s="128" t="n"/>
      <c r="G99" s="128" t="n"/>
      <c r="H99" s="128" t="n"/>
    </row>
    <row r="100">
      <c r="A100" s="137" t="inlineStr">
        <is>
          <t>Total of all expenses</t>
        </is>
      </c>
      <c r="B100" s="128" t="n">
        <v>87</v>
      </c>
      <c r="C100" s="128" t="n">
        <v>19</v>
      </c>
      <c r="D100" s="128" t="n">
        <v>7.75</v>
      </c>
      <c r="E100" s="128" t="n"/>
      <c r="F100" s="128" t="n">
        <v>87.98</v>
      </c>
      <c r="G100" s="128" t="n"/>
      <c r="H100" s="128" t="inlineStr">
        <is>
          <t>Total of all expenses, £87 19 shilling 7.75pence.</t>
        </is>
      </c>
    </row>
    <row r="101">
      <c r="A101" s="137" t="inlineStr">
        <is>
          <t>Total of all expenses</t>
        </is>
      </c>
      <c r="B101" s="128" t="n"/>
      <c r="C101" s="128" t="n"/>
      <c r="D101" s="128" t="n"/>
      <c r="E101" s="128" t="n"/>
      <c r="F101" s="128" t="n">
        <v>0</v>
      </c>
      <c r="G101" s="128" t="n">
        <v>-87.98</v>
      </c>
      <c r="H101" s="128" t="inlineStr">
        <is>
          <t>Total</t>
        </is>
      </c>
    </row>
    <row r="102">
      <c r="A102" s="137" t="n"/>
      <c r="B102" s="128" t="n"/>
      <c r="C102" s="128" t="n"/>
      <c r="D102" s="128" t="n"/>
      <c r="E102" s="128" t="n"/>
      <c r="F102" s="128" t="n"/>
      <c r="G102" s="128" t="n"/>
      <c r="H102" s="128" t="n"/>
    </row>
    <row r="103">
      <c r="A103" s="136" t="inlineStr">
        <is>
          <t>And he owes</t>
        </is>
      </c>
      <c r="B103" s="128" t="n">
        <v>207</v>
      </c>
      <c r="C103" s="128" t="n">
        <v>7</v>
      </c>
      <c r="D103" s="128" t="n">
        <v>0.75</v>
      </c>
      <c r="E103" s="128" t="n"/>
      <c r="F103" s="128" t="n">
        <v>207.35</v>
      </c>
      <c r="G103" s="128" t="n"/>
      <c r="H103" s="128" t="inlineStr">
        <is>
          <t>And he owes, £207 7 shilling 0.75pence.</t>
        </is>
      </c>
    </row>
    <row r="104">
      <c r="A104" s="137" t="inlineStr">
        <is>
          <t>And he owes</t>
        </is>
      </c>
      <c r="B104" s="128" t="n"/>
      <c r="C104" s="128" t="n"/>
      <c r="D104" s="128" t="n"/>
      <c r="E104" s="128" t="n"/>
      <c r="F104" s="128" t="n">
        <v>207.35</v>
      </c>
      <c r="G104" s="128" t="n"/>
      <c r="H104" s="128" t="inlineStr">
        <is>
          <t>Total</t>
        </is>
      </c>
    </row>
    <row r="105">
      <c r="A105" s="138" t="inlineStr">
        <is>
          <t>And he owes total</t>
        </is>
      </c>
      <c r="B105" s="139" t="n">
        <v>31</v>
      </c>
      <c r="C105" s="139" t="n">
        <v>11</v>
      </c>
      <c r="D105" s="139" t="n">
        <v>9</v>
      </c>
      <c r="E105" s="139" t="n"/>
      <c r="F105" s="139" t="n">
        <v>31.59</v>
      </c>
      <c r="G105" s="139" t="n">
        <v>-175.76</v>
      </c>
      <c r="H105" s="139" t="inlineStr">
        <is>
          <t>And he owes, £31 11 shilling 9pence, for which he is charged in the following account.</t>
        </is>
      </c>
    </row>
    <row r="106">
      <c r="A106" s="137" t="n"/>
      <c r="B106" s="128" t="n"/>
      <c r="C106" s="128" t="n"/>
      <c r="D106" s="128" t="n"/>
      <c r="E106" s="128" t="n"/>
      <c r="F106" s="128" t="n"/>
      <c r="G106" s="128" t="n"/>
      <c r="H106" s="128" t="n"/>
    </row>
    <row r="107">
      <c r="A107" s="136" t="inlineStr">
        <is>
          <t>Cash deliveries</t>
        </is>
      </c>
      <c r="B107" s="128" t="n">
        <v>95</v>
      </c>
      <c r="C107" s="128" t="n">
        <v>8</v>
      </c>
      <c r="D107" s="128" t="n">
        <v>2</v>
      </c>
      <c r="E107" s="128" t="n"/>
      <c r="F107" s="128" t="n">
        <v>95.41</v>
      </c>
      <c r="G107" s="128" t="n"/>
      <c r="H107" s="128" t="inlineStr">
        <is>
          <t>Delivered to John Arnold', receiver of Wolvesey, by 2 tallies, £95 8 shilling 2pence.</t>
        </is>
      </c>
    </row>
    <row r="108">
      <c r="A108" s="137" t="inlineStr">
        <is>
          <t>Cash deliveries</t>
        </is>
      </c>
      <c r="B108" s="128" t="n">
        <v>95</v>
      </c>
      <c r="C108" s="128" t="n">
        <v>8</v>
      </c>
      <c r="D108" s="128" t="n">
        <v>2</v>
      </c>
      <c r="E108" s="128" t="n"/>
      <c r="F108" s="128" t="n">
        <v>95.41</v>
      </c>
      <c r="G108" s="128" t="n"/>
      <c r="H108" s="128" t="inlineStr">
        <is>
          <t>Total, £95 8 shilling 2pence.</t>
        </is>
      </c>
    </row>
    <row r="109">
      <c r="A109" s="138" t="inlineStr">
        <is>
          <t>Cash deliveries total</t>
        </is>
      </c>
      <c r="B109" s="139" t="n"/>
      <c r="C109" s="139" t="n"/>
      <c r="D109" s="139" t="n"/>
      <c r="E109" s="139" t="n"/>
      <c r="F109" s="139" t="n">
        <v>95.41</v>
      </c>
      <c r="G109" s="139" t="n">
        <v>0</v>
      </c>
      <c r="H109" s="139" t="inlineStr">
        <is>
          <t>Total</t>
        </is>
      </c>
    </row>
    <row r="110">
      <c r="A110" s="137" t="n"/>
      <c r="B110" s="128" t="n"/>
      <c r="C110" s="128" t="n"/>
      <c r="D110" s="128" t="n"/>
      <c r="E110" s="128" t="n"/>
      <c r="F110" s="128" t="n"/>
      <c r="G110" s="128" t="n"/>
      <c r="H110" s="128" t="n"/>
    </row>
    <row r="111">
      <c r="A111" s="136" t="inlineStr">
        <is>
          <t>Total of all allowances and cash deliveries</t>
        </is>
      </c>
      <c r="B111" s="128" t="n">
        <v>175</v>
      </c>
      <c r="C111" s="128" t="n">
        <v>15</v>
      </c>
      <c r="D111" s="128" t="n">
        <v>3.75</v>
      </c>
      <c r="E111" s="128" t="n"/>
      <c r="F111" s="128" t="n">
        <v>175.77</v>
      </c>
      <c r="G111" s="128" t="n"/>
      <c r="H111" s="128" t="inlineStr">
        <is>
          <t>Total of all allowances and cash deliveries, £175 15 shilling 3.75pence.</t>
        </is>
      </c>
    </row>
    <row r="112">
      <c r="A112" s="138" t="inlineStr">
        <is>
          <t>Total of all allowances and cash deliveries total</t>
        </is>
      </c>
      <c r="B112" s="139" t="n"/>
      <c r="C112" s="139" t="n"/>
      <c r="D112" s="139" t="n"/>
      <c r="E112" s="139" t="n"/>
      <c r="F112" s="139" t="n">
        <v>0</v>
      </c>
      <c r="G112" s="139" t="n">
        <v>-175.77</v>
      </c>
      <c r="H112" s="139" t="inlineStr">
        <is>
          <t>Total</t>
        </is>
      </c>
    </row>
    <row r="114">
      <c r="A114" s="38" t="inlineStr">
        <is>
          <t>Total of all expenses per account</t>
        </is>
      </c>
      <c r="B114" t="n">
        <v>87</v>
      </c>
      <c r="C114" t="n">
        <v>19</v>
      </c>
      <c r="D114" t="n">
        <v>7.75</v>
      </c>
      <c r="F114">
        <f>F100</f>
        <v/>
      </c>
    </row>
    <row r="115">
      <c r="A115" s="38" t="inlineStr">
        <is>
          <t>Total of all expenses (calculated here)</t>
        </is>
      </c>
      <c r="F115">
        <f>SUMIF(A1:A99,"* total",F1:F99)</f>
        <v/>
      </c>
    </row>
    <row r="116">
      <c r="A116" s="38" t="inlineStr">
        <is>
          <t>Total fixed investment</t>
        </is>
      </c>
    </row>
    <row r="117">
      <c r="A117"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BISHOPSWALTHAM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23</v>
      </c>
      <c r="C12" t="n">
        <v>0</v>
      </c>
      <c r="H12" t="n">
        <v>1</v>
      </c>
      <c r="I12" t="n">
        <v>0</v>
      </c>
      <c r="K12">
        <f>B12+C12-H12-I12</f>
        <v/>
      </c>
      <c r="L12">
        <f>B12+C12-H12</f>
        <v/>
      </c>
      <c r="M12">
        <f>L12-B12</f>
        <v/>
      </c>
      <c r="N12">
        <f>C12</f>
        <v/>
      </c>
      <c r="O12" t="n">
        <v>1.2</v>
      </c>
      <c r="P12" s="72">
        <f>O12*K12</f>
        <v/>
      </c>
      <c r="R12" t="n">
        <v>1.2</v>
      </c>
      <c r="S12">
        <f>O12*M12</f>
        <v/>
      </c>
      <c r="T12">
        <f>O12*N12</f>
        <v/>
      </c>
    </row>
    <row r="13">
      <c r="A13" t="inlineStr">
        <is>
          <t>Bulls</t>
        </is>
      </c>
      <c r="B13" t="n">
        <v>2</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20</v>
      </c>
      <c r="C14" t="n">
        <v>0</v>
      </c>
      <c r="H14" t="n">
        <v>0</v>
      </c>
      <c r="I14" t="n">
        <v>2</v>
      </c>
      <c r="K14">
        <f>B14+C14-H14-I14</f>
        <v/>
      </c>
      <c r="L14">
        <f>B14+C14-H14</f>
        <v/>
      </c>
      <c r="M14">
        <f>L14-B14</f>
        <v/>
      </c>
      <c r="N14">
        <f>C14</f>
        <v/>
      </c>
      <c r="O14" t="n">
        <v>0</v>
      </c>
      <c r="P14" s="72">
        <f>O14*K14</f>
        <v/>
      </c>
      <c r="R14" t="n">
        <v>0</v>
      </c>
      <c r="S14">
        <f>O14*M14</f>
        <v/>
      </c>
      <c r="T14">
        <f>O14*N14</f>
        <v/>
      </c>
    </row>
    <row r="15">
      <c r="A15" t="inlineStr">
        <is>
          <t>Steers</t>
        </is>
      </c>
      <c r="B15" t="n">
        <v>9</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10</v>
      </c>
      <c r="C16" t="n">
        <v>0</v>
      </c>
      <c r="H16" t="n">
        <v>1</v>
      </c>
      <c r="I16" t="n">
        <v>1</v>
      </c>
      <c r="K16">
        <f>B16+C16-H16-I16</f>
        <v/>
      </c>
      <c r="L16">
        <f>B16+C16-H16</f>
        <v/>
      </c>
      <c r="M16">
        <f>L16-B16</f>
        <v/>
      </c>
      <c r="N16">
        <f>C16</f>
        <v/>
      </c>
      <c r="O16" t="n">
        <v>0</v>
      </c>
      <c r="P16" s="72">
        <f>O16*K16</f>
        <v/>
      </c>
      <c r="R16" t="n">
        <v>0</v>
      </c>
      <c r="S16">
        <f>O16*M16</f>
        <v/>
      </c>
      <c r="T16">
        <f>O16*N16</f>
        <v/>
      </c>
    </row>
    <row r="17">
      <c r="A17" t="inlineStr">
        <is>
          <t>Yearlings</t>
        </is>
      </c>
      <c r="B17" t="n">
        <v>8</v>
      </c>
      <c r="C17" t="n">
        <v>0</v>
      </c>
      <c r="H17" t="n">
        <v>0</v>
      </c>
      <c r="I17" t="n">
        <v>4</v>
      </c>
      <c r="K17">
        <f>B17+C17-H17-I17</f>
        <v/>
      </c>
      <c r="L17">
        <f>B17+C17-H17</f>
        <v/>
      </c>
      <c r="M17">
        <f>L17-B17</f>
        <v/>
      </c>
      <c r="N17">
        <f>C17</f>
        <v/>
      </c>
      <c r="O17" t="n">
        <v>0</v>
      </c>
      <c r="P17" s="72">
        <f>O17*K17</f>
        <v/>
      </c>
      <c r="R17" t="n">
        <v>0</v>
      </c>
      <c r="S17">
        <f>O17*M17</f>
        <v/>
      </c>
      <c r="T17">
        <f>O17*N17</f>
        <v/>
      </c>
    </row>
    <row r="18">
      <c r="A18" t="inlineStr">
        <is>
          <t>Calves</t>
        </is>
      </c>
      <c r="B18" t="n">
        <v>8</v>
      </c>
      <c r="C18" t="n">
        <v>20</v>
      </c>
      <c r="H18" t="n">
        <v>10</v>
      </c>
      <c r="I18" t="n">
        <v>0</v>
      </c>
      <c r="K18">
        <f>B18+C18-H18-I18</f>
        <v/>
      </c>
      <c r="L18">
        <f>B18+C18-H18</f>
        <v/>
      </c>
      <c r="M18">
        <f>L18-B18</f>
        <v/>
      </c>
      <c r="N18">
        <f>C18</f>
        <v/>
      </c>
      <c r="O18" t="n">
        <v>0.08</v>
      </c>
      <c r="P18" s="72">
        <f>O18*K18</f>
        <v/>
      </c>
      <c r="R18" t="n">
        <v>0.8</v>
      </c>
      <c r="S18">
        <f>O18*M18</f>
        <v/>
      </c>
      <c r="T18">
        <f>O18*N18</f>
        <v/>
      </c>
    </row>
    <row r="19">
      <c r="A19" t="inlineStr">
        <is>
          <t>Wethers</t>
        </is>
      </c>
      <c r="B19" t="n">
        <v>334</v>
      </c>
      <c r="C19" t="n">
        <v>0</v>
      </c>
      <c r="H19" t="n">
        <v>59</v>
      </c>
      <c r="I19" t="n">
        <v>5</v>
      </c>
      <c r="K19">
        <f>B19+C19-H19-I19</f>
        <v/>
      </c>
      <c r="L19">
        <f>B19+C19-H19</f>
        <v/>
      </c>
      <c r="M19">
        <f>L19-B19</f>
        <v/>
      </c>
      <c r="N19">
        <f>C19</f>
        <v/>
      </c>
      <c r="O19" t="n">
        <v>0.02152542372881356</v>
      </c>
      <c r="P19" s="72">
        <f>O19*K19</f>
        <v/>
      </c>
      <c r="R19" t="n">
        <v>1.27</v>
      </c>
      <c r="S19">
        <f>O19*M19</f>
        <v/>
      </c>
      <c r="T19">
        <f>O19*N19</f>
        <v/>
      </c>
    </row>
    <row r="20">
      <c r="A20" t="inlineStr">
        <is>
          <t>Rams</t>
        </is>
      </c>
      <c r="B20" t="n">
        <v>6</v>
      </c>
      <c r="C20" t="n">
        <v>0</v>
      </c>
      <c r="H20" t="n">
        <v>0</v>
      </c>
      <c r="I20" t="n">
        <v>2</v>
      </c>
      <c r="K20">
        <f>B20+C20-H20-I20</f>
        <v/>
      </c>
      <c r="L20">
        <f>B20+C20-H20</f>
        <v/>
      </c>
      <c r="M20">
        <f>L20-B20</f>
        <v/>
      </c>
      <c r="N20">
        <f>C20</f>
        <v/>
      </c>
      <c r="O20" t="n">
        <v>0</v>
      </c>
      <c r="P20" s="72">
        <f>O20*K20</f>
        <v/>
      </c>
      <c r="R20" t="n">
        <v>0</v>
      </c>
      <c r="S20">
        <f>O20*M20</f>
        <v/>
      </c>
      <c r="T20">
        <f>O20*N20</f>
        <v/>
      </c>
    </row>
    <row r="21">
      <c r="A21" t="inlineStr">
        <is>
          <t>Ewes</t>
        </is>
      </c>
      <c r="B21" t="n">
        <v>256</v>
      </c>
      <c r="C21" t="n">
        <v>0</v>
      </c>
      <c r="H21" t="n">
        <v>12</v>
      </c>
      <c r="I21" t="n">
        <v>8</v>
      </c>
      <c r="K21">
        <f>B21+C21-H21-I21</f>
        <v/>
      </c>
      <c r="L21">
        <f>B21+C21-H21</f>
        <v/>
      </c>
      <c r="M21">
        <f>L21-B21</f>
        <v/>
      </c>
      <c r="N21">
        <f>C21</f>
        <v/>
      </c>
      <c r="O21" t="n">
        <v>0.1458333333333333</v>
      </c>
      <c r="P21" s="72">
        <f>O21*K21</f>
        <v/>
      </c>
      <c r="Q21" t="n">
        <v>0</v>
      </c>
      <c r="R21" t="n">
        <v>1.75</v>
      </c>
      <c r="S21">
        <f>O21*M21</f>
        <v/>
      </c>
      <c r="T21">
        <f>O21*N21</f>
        <v/>
      </c>
    </row>
    <row r="22">
      <c r="A22" t="inlineStr">
        <is>
          <t>Hoggs</t>
        </is>
      </c>
      <c r="B22" t="n">
        <v>0</v>
      </c>
      <c r="C22" t="n">
        <v>100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216</v>
      </c>
      <c r="H23" t="n">
        <v>140</v>
      </c>
      <c r="I23" t="n">
        <v>61</v>
      </c>
      <c r="K23">
        <f>B23+C23-H23-I23</f>
        <v/>
      </c>
      <c r="L23">
        <f>B23+C23-H23</f>
        <v/>
      </c>
      <c r="M23">
        <f>L23-B23</f>
        <v/>
      </c>
      <c r="N23">
        <f>C23</f>
        <v/>
      </c>
      <c r="O23" t="n">
        <v>0.04642857142857143</v>
      </c>
      <c r="P23" s="72">
        <f>O23*K23</f>
        <v/>
      </c>
      <c r="R23" t="n">
        <v>6.5</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2</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24</v>
      </c>
      <c r="C26" t="n">
        <v>0</v>
      </c>
      <c r="H26" t="n">
        <v>12</v>
      </c>
      <c r="I26" t="n">
        <v>2</v>
      </c>
      <c r="K26">
        <f>B26+C26-H26-I26</f>
        <v/>
      </c>
      <c r="L26">
        <f>B26+C26-H26</f>
        <v/>
      </c>
      <c r="M26">
        <f>L26-B26</f>
        <v/>
      </c>
      <c r="N26">
        <f>C26</f>
        <v/>
      </c>
      <c r="O26" t="n">
        <v>0.1416666666666667</v>
      </c>
      <c r="P26" s="72">
        <f>O26*K26</f>
        <v/>
      </c>
      <c r="R26" t="n">
        <v>1.7</v>
      </c>
      <c r="S26">
        <f>O26*M26</f>
        <v/>
      </c>
      <c r="T26">
        <f>O26*N26</f>
        <v/>
      </c>
    </row>
    <row r="27">
      <c r="A27" t="inlineStr">
        <is>
          <t>Hoggets</t>
        </is>
      </c>
      <c r="B27" t="n">
        <v>26</v>
      </c>
      <c r="C27" t="n">
        <v>0</v>
      </c>
      <c r="H27" t="n">
        <v>0</v>
      </c>
      <c r="I27" t="n">
        <v>14</v>
      </c>
      <c r="K27">
        <f>B27+C27-H27-I27</f>
        <v/>
      </c>
      <c r="L27">
        <f>B27+C27-H27</f>
        <v/>
      </c>
      <c r="M27">
        <f>L27-B27</f>
        <v/>
      </c>
      <c r="N27">
        <f>C27</f>
        <v/>
      </c>
      <c r="O27" t="n">
        <v>0</v>
      </c>
      <c r="P27" s="72">
        <f>O27*K27</f>
        <v/>
      </c>
      <c r="R27" t="n">
        <v>0</v>
      </c>
      <c r="S27">
        <f>O27*M27</f>
        <v/>
      </c>
      <c r="T27">
        <f>O27*N27</f>
        <v/>
      </c>
    </row>
    <row r="28">
      <c r="A28" t="inlineStr">
        <is>
          <t>Piglets</t>
        </is>
      </c>
      <c r="B28" t="n">
        <v>26</v>
      </c>
      <c r="C28" t="n">
        <v>30</v>
      </c>
      <c r="H28" t="n">
        <v>0</v>
      </c>
      <c r="I28" t="n">
        <v>1</v>
      </c>
      <c r="K28">
        <f>B28+C28-H28-I28</f>
        <v/>
      </c>
      <c r="L28">
        <f>B28+C28-H28</f>
        <v/>
      </c>
      <c r="M28">
        <f>L28-B28</f>
        <v/>
      </c>
      <c r="N28">
        <f>C28</f>
        <v/>
      </c>
      <c r="O28" t="n">
        <v>0</v>
      </c>
      <c r="P28" s="72">
        <f>O28*K28</f>
        <v/>
      </c>
      <c r="R28" t="n">
        <v>0</v>
      </c>
      <c r="S28">
        <f>O28*M28</f>
        <v/>
      </c>
      <c r="T28">
        <f>O28*N28</f>
        <v/>
      </c>
    </row>
    <row r="29">
      <c r="A29" t="inlineStr">
        <is>
          <t>Swans</t>
        </is>
      </c>
      <c r="B29" t="n">
        <v>5</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10</v>
      </c>
      <c r="I46" t="n">
        <v>0</v>
      </c>
    </row>
    <row r="47">
      <c r="A47" s="68" t="inlineStr">
        <is>
          <t>pigs</t>
        </is>
      </c>
      <c r="B47" t="n">
        <v>24</v>
      </c>
      <c r="C47" t="n">
        <v>0</v>
      </c>
      <c r="H47" t="n">
        <v>12</v>
      </c>
      <c r="I47" t="n">
        <v>2</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2</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7</v>
      </c>
    </row>
    <row r="60">
      <c r="A60" t="inlineStr">
        <is>
          <t>Lambskins</t>
        </is>
      </c>
      <c r="B60" t="n">
        <v>0</v>
      </c>
      <c r="C60" t="n">
        <v>0</v>
      </c>
      <c r="H60" t="n">
        <v>55</v>
      </c>
      <c r="I60" t="n">
        <v>61</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1.19</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L59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bishops waltham</t>
        </is>
      </c>
      <c r="B2" t="inlineStr">
        <is>
          <t>the account of roger spore, reeve there, from michaelmas of the fifth year of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£57 19 shilling 11pence of arrears from his last account of the preceeding year.</t>
        </is>
      </c>
      <c r="C3" t="n">
        <v>58</v>
      </c>
      <c r="D3" t="n">
        <v>57</v>
      </c>
      <c r="E3" t="n">
        <v>19</v>
      </c>
      <c r="F3" t="n">
        <v>11</v>
      </c>
      <c r="H3" t="n">
        <v>0</v>
      </c>
      <c r="I3" t="n">
        <v>0</v>
      </c>
      <c r="J3" t="n">
        <v>0</v>
      </c>
      <c r="K3" t="n">
        <v>0</v>
      </c>
      <c r="L3" t="n">
        <v>0</v>
      </c>
      <c r="M3" t="n">
        <v>0</v>
      </c>
      <c r="N3" t="n">
        <v>0</v>
      </c>
    </row>
    <row r="4">
      <c r="A4" t="inlineStr">
        <is>
          <t>arrears</t>
        </is>
      </c>
      <c r="B4" t="inlineStr">
        <is>
          <t>total, £57 19 shilling 11pence.</t>
        </is>
      </c>
      <c r="C4" t="n">
        <v>58</v>
      </c>
      <c r="D4" t="n">
        <v>57</v>
      </c>
      <c r="E4" t="n">
        <v>19</v>
      </c>
      <c r="F4" t="n">
        <v>11</v>
      </c>
      <c r="H4" t="n">
        <v>0</v>
      </c>
      <c r="I4" t="n">
        <v>0</v>
      </c>
      <c r="J4" t="n">
        <v>0</v>
      </c>
      <c r="K4" t="n">
        <v>0</v>
      </c>
      <c r="L4" t="n">
        <v>0</v>
      </c>
      <c r="M4" t="n">
        <v>0</v>
      </c>
      <c r="N4" t="n">
        <v>0</v>
      </c>
    </row>
    <row r="5">
      <c r="A5" t="inlineStr">
        <is>
          <t>rents of assize</t>
        </is>
      </c>
      <c r="B5" t="inlineStr">
        <is>
          <t>and for £14 12 shilling 6.5pence for all rents of assize at christmas.</t>
        </is>
      </c>
      <c r="C5" t="n">
        <v>14.63</v>
      </c>
      <c r="D5" t="n">
        <v>14</v>
      </c>
      <c r="E5" t="n">
        <v>12</v>
      </c>
      <c r="F5" t="n">
        <v>6.5</v>
      </c>
      <c r="H5" t="n">
        <v>0</v>
      </c>
      <c r="I5" t="n">
        <v>0</v>
      </c>
      <c r="J5" t="n">
        <v>0</v>
      </c>
      <c r="K5" t="n">
        <v>0</v>
      </c>
      <c r="L5" t="n">
        <v>0</v>
      </c>
      <c r="M5" t="n">
        <v>0</v>
      </c>
      <c r="N5" t="n">
        <v>0</v>
      </c>
    </row>
    <row r="6">
      <c r="A6" t="inlineStr">
        <is>
          <t>rents of assize</t>
        </is>
      </c>
      <c r="B6" t="inlineStr">
        <is>
          <t>£25 18 shilling 8pence at easter (23 march).</t>
        </is>
      </c>
      <c r="C6" t="n">
        <v>25.93</v>
      </c>
      <c r="D6" t="n">
        <v>25</v>
      </c>
      <c r="E6" t="n">
        <v>18</v>
      </c>
      <c r="F6" t="n">
        <v>8</v>
      </c>
      <c r="H6" t="n">
        <v>0</v>
      </c>
      <c r="I6" t="n">
        <v>0</v>
      </c>
      <c r="J6" t="n">
        <v>0</v>
      </c>
      <c r="K6" t="n">
        <v>0</v>
      </c>
      <c r="L6" t="n">
        <v>0</v>
      </c>
      <c r="M6" t="n">
        <v>0</v>
      </c>
      <c r="N6" t="n">
        <v>0</v>
      </c>
    </row>
    <row r="7">
      <c r="A7" t="inlineStr">
        <is>
          <t>rents of assize</t>
        </is>
      </c>
      <c r="B7" t="inlineStr">
        <is>
          <t>£14 12 shilling 6.25pence at the nativity of st john the baptist (24 june).</t>
        </is>
      </c>
      <c r="C7" t="n">
        <v>14.63</v>
      </c>
      <c r="D7" t="n">
        <v>14</v>
      </c>
      <c r="E7" t="n">
        <v>12</v>
      </c>
      <c r="F7" t="n">
        <v>6.25</v>
      </c>
      <c r="H7" t="n">
        <v>0</v>
      </c>
      <c r="I7" t="n">
        <v>0</v>
      </c>
      <c r="J7" t="n">
        <v>0</v>
      </c>
      <c r="K7" t="n">
        <v>0</v>
      </c>
      <c r="L7" t="n">
        <v>0</v>
      </c>
      <c r="M7" t="n">
        <v>0</v>
      </c>
      <c r="N7" t="n">
        <v>0</v>
      </c>
    </row>
    <row r="8">
      <c r="A8" t="inlineStr">
        <is>
          <t>rents of assize</t>
        </is>
      </c>
      <c r="B8" t="inlineStr">
        <is>
          <t>£29 4.75pence at michaelmas (29 september).</t>
        </is>
      </c>
      <c r="C8" t="n">
        <v>29.02</v>
      </c>
      <c r="D8" t="n">
        <v>29</v>
      </c>
      <c r="E8" t="n">
        <v>0</v>
      </c>
      <c r="F8" t="n">
        <v>4.75</v>
      </c>
      <c r="H8" t="n">
        <v>0</v>
      </c>
      <c r="I8" t="n">
        <v>0</v>
      </c>
      <c r="J8" t="n">
        <v>0</v>
      </c>
      <c r="K8" t="n">
        <v>0</v>
      </c>
      <c r="L8" t="n">
        <v>0</v>
      </c>
      <c r="M8" t="n">
        <v>0</v>
      </c>
      <c r="N8" t="n">
        <v>0</v>
      </c>
    </row>
    <row r="9">
      <c r="A9" t="inlineStr">
        <is>
          <t>rents of assize</t>
        </is>
      </c>
      <c r="B9" t="inlineStr">
        <is>
          <t>total, £84 4 shilling 1.5pence.</t>
        </is>
      </c>
      <c r="C9" t="n">
        <v>84.20999999999999</v>
      </c>
      <c r="D9" t="n">
        <v>84</v>
      </c>
      <c r="E9" t="n">
        <v>4</v>
      </c>
      <c r="F9" t="n">
        <v>1.5</v>
      </c>
      <c r="H9" t="n">
        <v>0</v>
      </c>
      <c r="I9" t="n">
        <v>0</v>
      </c>
      <c r="J9" t="n">
        <v>0</v>
      </c>
      <c r="K9" t="n">
        <v>0</v>
      </c>
      <c r="L9" t="n">
        <v>0</v>
      </c>
      <c r="M9" t="n">
        <v>0</v>
      </c>
      <c r="N9" t="n">
        <v>0</v>
      </c>
    </row>
    <row r="10">
      <c r="A10" t="inlineStr">
        <is>
          <t>quittances of rent</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1 beadle for the year 5 shilling.</t>
        </is>
      </c>
      <c r="C11" t="n">
        <v>0.25</v>
      </c>
      <c r="D11" t="n">
        <v>0</v>
      </c>
      <c r="E11" t="n">
        <v>5</v>
      </c>
      <c r="F11" t="n">
        <v>0</v>
      </c>
      <c r="H11" t="n">
        <v>0</v>
      </c>
      <c r="I11" t="n">
        <v>0</v>
      </c>
      <c r="J11" t="n">
        <v>0</v>
      </c>
      <c r="K11" t="n">
        <v>0</v>
      </c>
      <c r="L11" t="n">
        <v>0</v>
      </c>
      <c r="M11" t="n">
        <v>0</v>
      </c>
      <c r="N11" t="n">
        <v>0</v>
      </c>
    </row>
    <row r="12">
      <c r="A12" t="inlineStr">
        <is>
          <t>quittances of rent</t>
        </is>
      </c>
      <c r="B12" t="inlineStr">
        <is>
          <t>nothing of the 2 shilling for 1 smith for the year because there is none there from the customary tenants this year.</t>
        </is>
      </c>
      <c r="C12" t="n">
        <v>0.1</v>
      </c>
      <c r="D12" t="n">
        <v>0</v>
      </c>
      <c r="E12" t="n">
        <v>2</v>
      </c>
      <c r="F12" t="n">
        <v>0</v>
      </c>
      <c r="H12" t="n">
        <v>0</v>
      </c>
      <c r="I12" t="n">
        <v>0</v>
      </c>
      <c r="J12" t="n">
        <v>0</v>
      </c>
      <c r="K12" t="n">
        <v>0</v>
      </c>
      <c r="L12" t="n">
        <v>0</v>
      </c>
      <c r="M12" t="n">
        <v>0</v>
      </c>
      <c r="N12" t="n">
        <v>0</v>
      </c>
    </row>
    <row r="13">
      <c r="A13" t="inlineStr">
        <is>
          <t>quittances of rent</t>
        </is>
      </c>
      <c r="B13" t="inlineStr">
        <is>
          <t>1 hayward for the year 2 shilling.</t>
        </is>
      </c>
      <c r="C13" t="n">
        <v>0.1</v>
      </c>
      <c r="D13" t="n">
        <v>0</v>
      </c>
      <c r="E13" t="n">
        <v>2</v>
      </c>
      <c r="F13" t="n">
        <v>0</v>
      </c>
      <c r="H13" t="n">
        <v>0</v>
      </c>
      <c r="I13" t="n">
        <v>0</v>
      </c>
      <c r="J13" t="n">
        <v>0</v>
      </c>
      <c r="K13" t="n">
        <v>0</v>
      </c>
      <c r="L13" t="n">
        <v>0</v>
      </c>
      <c r="M13" t="n">
        <v>0</v>
      </c>
      <c r="N13" t="n">
        <v>0</v>
      </c>
    </row>
    <row r="14">
      <c r="A14" t="inlineStr">
        <is>
          <t>quittances of rent</t>
        </is>
      </c>
      <c r="B14" t="inlineStr">
        <is>
          <t>nothing here of the 2 shilling for 1 granger for the year because there is none there this year.</t>
        </is>
      </c>
      <c r="C14" t="n">
        <v>0.1</v>
      </c>
      <c r="D14" t="n">
        <v>0</v>
      </c>
      <c r="E14" t="n">
        <v>2</v>
      </c>
      <c r="F14" t="n">
        <v>0</v>
      </c>
      <c r="H14" t="n">
        <v>0</v>
      </c>
      <c r="I14" t="n">
        <v>0</v>
      </c>
      <c r="J14" t="n">
        <v>0</v>
      </c>
      <c r="K14" t="n">
        <v>0</v>
      </c>
      <c r="L14" t="n">
        <v>0</v>
      </c>
      <c r="M14" t="n">
        <v>0</v>
      </c>
      <c r="N14" t="n">
        <v>0</v>
      </c>
    </row>
    <row r="15">
      <c r="A15" t="inlineStr">
        <is>
          <t>quittances of rent</t>
        </is>
      </c>
      <c r="B15" t="inlineStr">
        <is>
          <t>1 shepherd, 1 ploughman and the other workers who were accustomed to work in the curia of bishops waltham, nothing this year, because their labour services are commuted as made clear below under the heading, sale of labour services, and the lord will have workers of this kind for his liveries and stipends whilst it pleases him.</t>
        </is>
      </c>
      <c r="C15" t="n">
        <v>0</v>
      </c>
      <c r="D15" t="n">
        <v>0</v>
      </c>
      <c r="E15" t="n">
        <v>0</v>
      </c>
      <c r="F15" t="n">
        <v>0</v>
      </c>
      <c r="H15" t="n">
        <v>0</v>
      </c>
      <c r="I15" t="n">
        <v>0</v>
      </c>
      <c r="J15" t="n">
        <v>0</v>
      </c>
      <c r="K15" t="n">
        <v>0</v>
      </c>
      <c r="L15" t="n">
        <v>0</v>
      </c>
      <c r="M15" t="n">
        <v>0</v>
      </c>
      <c r="N15" t="n">
        <v>0</v>
      </c>
    </row>
    <row r="16">
      <c r="A16" t="inlineStr">
        <is>
          <t>quittances of rent</t>
        </is>
      </c>
      <c r="B16" t="inlineStr">
        <is>
          <t>1 swineherd from the customary tenants for the year 2 shilling.</t>
        </is>
      </c>
      <c r="C16" t="n">
        <v>0.1</v>
      </c>
      <c r="D16" t="n">
        <v>0</v>
      </c>
      <c r="E16" t="n">
        <v>2</v>
      </c>
      <c r="F16" t="n">
        <v>0</v>
      </c>
      <c r="H16" t="n">
        <v>0</v>
      </c>
      <c r="I16" t="n">
        <v>0</v>
      </c>
      <c r="J16" t="n">
        <v>0</v>
      </c>
      <c r="K16" t="n">
        <v>0</v>
      </c>
      <c r="L16" t="n">
        <v>0</v>
      </c>
      <c r="M16" t="n">
        <v>0</v>
      </c>
      <c r="N16" t="n">
        <v>0</v>
      </c>
    </row>
    <row r="17">
      <c r="A17" t="inlineStr">
        <is>
          <t>quittances of rent</t>
        </is>
      </c>
      <c r="B17" t="inlineStr">
        <is>
          <t>total, 14 shilling.</t>
        </is>
      </c>
      <c r="C17" t="n">
        <v>0.7</v>
      </c>
      <c r="D17" t="n">
        <v>0</v>
      </c>
      <c r="E17" t="n">
        <v>14</v>
      </c>
      <c r="F17" t="n">
        <v>0</v>
      </c>
      <c r="H17" t="n">
        <v>0</v>
      </c>
      <c r="I17" t="n">
        <v>0</v>
      </c>
      <c r="J17" t="n">
        <v>0</v>
      </c>
      <c r="K17" t="n">
        <v>0</v>
      </c>
      <c r="L17" t="n">
        <v>0</v>
      </c>
      <c r="M17" t="n">
        <v>0</v>
      </c>
      <c r="N17" t="n">
        <v>0</v>
      </c>
    </row>
    <row r="18">
      <c r="A18" t="inlineStr">
        <is>
          <t>defaults of rent</t>
        </is>
      </c>
      <c r="B18" t="inlineStr">
        <is>
          <t>in default of the land drawn into demesne, £1 2 shilling 8pence for the year, for that land which is between the barton and garden.</t>
        </is>
      </c>
      <c r="C18" t="n">
        <v>1.13</v>
      </c>
      <c r="D18" t="n">
        <v>1</v>
      </c>
      <c r="E18" t="n">
        <v>2</v>
      </c>
      <c r="F18" t="n">
        <v>8</v>
      </c>
      <c r="H18" t="n">
        <v>0</v>
      </c>
      <c r="I18" t="n">
        <v>0</v>
      </c>
      <c r="J18" t="n">
        <v>0</v>
      </c>
      <c r="K18" t="n">
        <v>0</v>
      </c>
      <c r="L18" t="n">
        <v>0</v>
      </c>
      <c r="M18" t="n">
        <v>0</v>
      </c>
      <c r="N18" t="n">
        <v>0</v>
      </c>
    </row>
    <row r="19">
      <c r="A19" t="inlineStr">
        <is>
          <t>defaults of rent</t>
        </is>
      </c>
      <c r="B19" t="inlineStr">
        <is>
          <t>the land of osbert de langele, 8pence for the year.</t>
        </is>
      </c>
      <c r="C19" t="n">
        <v>0.03</v>
      </c>
      <c r="D19" t="n">
        <v>0</v>
      </c>
      <c r="E19" t="n">
        <v>0</v>
      </c>
      <c r="F19" t="n">
        <v>8</v>
      </c>
      <c r="H19" t="n">
        <v>0</v>
      </c>
      <c r="I19" t="n">
        <v>0</v>
      </c>
      <c r="J19" t="n">
        <v>0</v>
      </c>
      <c r="K19" t="n">
        <v>0</v>
      </c>
      <c r="L19" t="n">
        <v>0</v>
      </c>
      <c r="M19" t="n">
        <v>0</v>
      </c>
      <c r="N19" t="n">
        <v>0</v>
      </c>
    </row>
    <row r="20">
      <c r="A20" t="inlineStr">
        <is>
          <t>defaults of rent</t>
        </is>
      </c>
      <c r="B20" t="inlineStr">
        <is>
          <t>the land of richard bacon, 6pence for the year.</t>
        </is>
      </c>
      <c r="C20" t="n">
        <v>0.03</v>
      </c>
      <c r="D20" t="n">
        <v>0</v>
      </c>
      <c r="E20" t="n">
        <v>0</v>
      </c>
      <c r="F20" t="n">
        <v>6</v>
      </c>
      <c r="H20" t="n">
        <v>0</v>
      </c>
      <c r="I20" t="n">
        <v>0</v>
      </c>
      <c r="J20" t="n">
        <v>0</v>
      </c>
      <c r="K20" t="n">
        <v>0</v>
      </c>
      <c r="L20" t="n">
        <v>0</v>
      </c>
      <c r="M20" t="n">
        <v>0</v>
      </c>
      <c r="N20" t="n">
        <v>0</v>
      </c>
    </row>
    <row r="21">
      <c r="A21" t="inlineStr">
        <is>
          <t>defaults of rent</t>
        </is>
      </c>
      <c r="B21" t="inlineStr">
        <is>
          <t>the land of hugh son of azonis, 6pence for the year.</t>
        </is>
      </c>
      <c r="C21" t="n">
        <v>0.03</v>
      </c>
      <c r="D21" t="n">
        <v>0</v>
      </c>
      <c r="E21" t="n">
        <v>0</v>
      </c>
      <c r="F21" t="n">
        <v>6</v>
      </c>
      <c r="H21" t="n">
        <v>0</v>
      </c>
      <c r="I21" t="n">
        <v>0</v>
      </c>
      <c r="J21" t="n">
        <v>0</v>
      </c>
      <c r="K21" t="n">
        <v>0</v>
      </c>
      <c r="L21" t="n">
        <v>0</v>
      </c>
      <c r="M21" t="n">
        <v>0</v>
      </c>
      <c r="N21" t="n">
        <v>0</v>
      </c>
    </row>
    <row r="22">
      <c r="A22" t="inlineStr">
        <is>
          <t>defaults of rent</t>
        </is>
      </c>
      <c r="B22" t="inlineStr">
        <is>
          <t>the land of richard swanemere, 3pence for the year.</t>
        </is>
      </c>
      <c r="C22" t="n">
        <v>0.01</v>
      </c>
      <c r="D22" t="n">
        <v>0</v>
      </c>
      <c r="E22" t="n">
        <v>0</v>
      </c>
      <c r="F22" t="n">
        <v>3</v>
      </c>
      <c r="H22" t="n">
        <v>0</v>
      </c>
      <c r="I22" t="n">
        <v>0</v>
      </c>
      <c r="J22" t="n">
        <v>0</v>
      </c>
      <c r="K22" t="n">
        <v>0</v>
      </c>
      <c r="L22" t="n">
        <v>0</v>
      </c>
      <c r="M22" t="n">
        <v>0</v>
      </c>
      <c r="N22" t="n">
        <v>0</v>
      </c>
    </row>
    <row r="23">
      <c r="A23" t="inlineStr">
        <is>
          <t>defaults of rent</t>
        </is>
      </c>
      <c r="B23" t="inlineStr">
        <is>
          <t>the land of the mill drawn into the park, 6 shilling 5pence for the year.</t>
        </is>
      </c>
      <c r="C23" t="n">
        <v>0.32</v>
      </c>
      <c r="D23" t="n">
        <v>0</v>
      </c>
      <c r="E23" t="n">
        <v>6</v>
      </c>
      <c r="F23" t="n">
        <v>5</v>
      </c>
      <c r="H23" t="n">
        <v>0</v>
      </c>
      <c r="I23" t="n">
        <v>0</v>
      </c>
      <c r="J23" t="n">
        <v>0</v>
      </c>
      <c r="K23" t="n">
        <v>0</v>
      </c>
      <c r="L23" t="n">
        <v>0</v>
      </c>
      <c r="M23" t="n">
        <v>0</v>
      </c>
      <c r="N23" t="n">
        <v>0</v>
      </c>
    </row>
    <row r="24">
      <c r="A24" t="inlineStr">
        <is>
          <t>defaults of rent</t>
        </is>
      </c>
      <c r="B24" t="inlineStr">
        <is>
          <t>the land of peter clericus, 1 shilling 6pence for the year.</t>
        </is>
      </c>
      <c r="C24" t="n">
        <v>0.08</v>
      </c>
      <c r="D24" t="n">
        <v>0</v>
      </c>
      <c r="E24" t="n">
        <v>1</v>
      </c>
      <c r="F24" t="n">
        <v>6</v>
      </c>
      <c r="H24" t="n">
        <v>0</v>
      </c>
      <c r="I24" t="n">
        <v>0</v>
      </c>
      <c r="J24" t="n">
        <v>0</v>
      </c>
      <c r="K24" t="n">
        <v>0</v>
      </c>
      <c r="L24" t="n">
        <v>0</v>
      </c>
      <c r="M24" t="n">
        <v>0</v>
      </c>
      <c r="N24" t="n">
        <v>0</v>
      </c>
    </row>
    <row r="25">
      <c r="A25" t="inlineStr">
        <is>
          <t>defaults of rent</t>
        </is>
      </c>
      <c r="B25" t="inlineStr">
        <is>
          <t>the land of william, son of nicholas elys, drawn into demesne in order to have a road to the mill beside the gate of the curia, 6pence for the year.</t>
        </is>
      </c>
      <c r="C25" t="n">
        <v>0.03</v>
      </c>
      <c r="D25" t="n">
        <v>0</v>
      </c>
      <c r="E25" t="n">
        <v>0</v>
      </c>
      <c r="F25" t="n">
        <v>6</v>
      </c>
      <c r="H25" t="n">
        <v>0</v>
      </c>
      <c r="I25" t="n">
        <v>0</v>
      </c>
      <c r="J25" t="n">
        <v>0</v>
      </c>
      <c r="K25" t="n">
        <v>0</v>
      </c>
      <c r="L25" t="n">
        <v>0</v>
      </c>
      <c r="M25" t="n">
        <v>0</v>
      </c>
      <c r="N25" t="n">
        <v>0</v>
      </c>
    </row>
    <row r="26">
      <c r="A26" t="inlineStr">
        <is>
          <t>defaults of rent</t>
        </is>
      </c>
      <c r="B26" t="inlineStr">
        <is>
          <t>the land of richard doudyng' for 1.5 day-works of land let to him for this the seventy-third year 2pence, because it is found that there is no such richard in this manor but that it is in the hundred of bishops hull in the manor of taunton that the said richard is charged for the said rent.</t>
        </is>
      </c>
      <c r="C26" t="n">
        <v>0.01</v>
      </c>
      <c r="D26" t="n">
        <v>0</v>
      </c>
      <c r="E26" t="n">
        <v>0</v>
      </c>
      <c r="F26" t="n">
        <v>2</v>
      </c>
      <c r="H26" t="n">
        <v>0</v>
      </c>
      <c r="I26" t="n">
        <v>0</v>
      </c>
      <c r="J26" t="n">
        <v>0</v>
      </c>
      <c r="K26" t="n">
        <v>0</v>
      </c>
      <c r="L26" t="n">
        <v>0</v>
      </c>
      <c r="M26" t="n">
        <v>0</v>
      </c>
      <c r="N26" t="n">
        <v>0</v>
      </c>
    </row>
    <row r="27">
      <c r="A27" t="inlineStr">
        <is>
          <t>defaults of rent</t>
        </is>
      </c>
      <c r="B27" t="inlineStr">
        <is>
          <t>nothing for 1 toft recently of hugh frensshe in the lord's hands because it is raised from the issue.</t>
        </is>
      </c>
      <c r="C27" t="n">
        <v>0</v>
      </c>
      <c r="D27" t="n">
        <v>0</v>
      </c>
      <c r="E27" t="n">
        <v>0</v>
      </c>
      <c r="F27" t="n">
        <v>0</v>
      </c>
      <c r="H27" t="n">
        <v>0</v>
      </c>
      <c r="I27" t="n">
        <v>0</v>
      </c>
      <c r="J27" t="n">
        <v>0</v>
      </c>
      <c r="K27" t="n">
        <v>0</v>
      </c>
      <c r="L27" t="n">
        <v>0</v>
      </c>
      <c r="M27" t="n">
        <v>0</v>
      </c>
      <c r="N27" t="n">
        <v>0</v>
      </c>
    </row>
    <row r="28">
      <c r="A28" t="inlineStr">
        <is>
          <t>defaults of rent</t>
        </is>
      </c>
      <c r="B28" t="inlineStr">
        <is>
          <t>the land' of henry colswayn' for the tenement recently of nicholas gynes in bishops waltham, let to him in the nineteenth year of the consecration of the lord william de wykeham (1385-6), 1 shilling, because arnold gynes, son and heir of the aforesaid john, held the aforesaid tenement freely by charter of william de edyngdon', lord bishop, for himself and the legitimate heirs of his body.</t>
        </is>
      </c>
      <c r="C28" t="n">
        <v>0.05</v>
      </c>
      <c r="D28" t="n">
        <v>0</v>
      </c>
      <c r="E28" t="n">
        <v>1</v>
      </c>
      <c r="F28" t="n">
        <v>0</v>
      </c>
      <c r="H28" t="n">
        <v>0</v>
      </c>
      <c r="I28" t="n">
        <v>0</v>
      </c>
      <c r="J28" t="n">
        <v>0</v>
      </c>
      <c r="K28" t="n">
        <v>0</v>
      </c>
      <c r="L28" t="n">
        <v>0</v>
      </c>
      <c r="M28" t="n">
        <v>0</v>
      </c>
      <c r="N28" t="n">
        <v>0</v>
      </c>
    </row>
    <row r="29">
      <c r="A29" t="inlineStr">
        <is>
          <t>defaults of rent</t>
        </is>
      </c>
      <c r="B29" t="inlineStr">
        <is>
          <t>total, £1 14 shilling 2pence.</t>
        </is>
      </c>
      <c r="C29" t="n">
        <v>1.71</v>
      </c>
      <c r="D29" t="n">
        <v>1</v>
      </c>
      <c r="E29" t="n">
        <v>14</v>
      </c>
      <c r="F29" t="n">
        <v>2</v>
      </c>
      <c r="H29" t="n">
        <v>0</v>
      </c>
      <c r="I29" t="n">
        <v>0</v>
      </c>
      <c r="J29" t="n">
        <v>0</v>
      </c>
      <c r="K29" t="n">
        <v>0</v>
      </c>
      <c r="L29" t="n">
        <v>0</v>
      </c>
      <c r="M29" t="n">
        <v>0</v>
      </c>
      <c r="N29" t="n">
        <v>0</v>
      </c>
    </row>
    <row r="30">
      <c r="A30" t="inlineStr">
        <is>
          <t>total of quittances and defaults of rent</t>
        </is>
      </c>
      <c r="B30" t="inlineStr">
        <is>
          <t>total of quittances and defaults of rent, £2 8 shilling 2pence.</t>
        </is>
      </c>
      <c r="C30" t="n">
        <v>2.41</v>
      </c>
      <c r="D30" t="n">
        <v>2</v>
      </c>
      <c r="E30" t="n">
        <v>8</v>
      </c>
      <c r="F30" t="n">
        <v>2</v>
      </c>
      <c r="H30" t="n">
        <v>0</v>
      </c>
      <c r="I30" t="n">
        <v>0</v>
      </c>
      <c r="J30" t="n">
        <v>0</v>
      </c>
      <c r="K30" t="n">
        <v>0</v>
      </c>
      <c r="L30" t="n">
        <v>0</v>
      </c>
      <c r="M30" t="n">
        <v>0</v>
      </c>
      <c r="N30" t="n">
        <v>0</v>
      </c>
    </row>
    <row r="31">
      <c r="A31" t="inlineStr">
        <is>
          <t>total of rents remaining clear</t>
        </is>
      </c>
      <c r="B31" t="inlineStr">
        <is>
          <t>total of rents remaining clear, £81 15 shilling 11.5pence.</t>
        </is>
      </c>
      <c r="C31" t="n">
        <v>81.8</v>
      </c>
      <c r="D31" t="n">
        <v>81</v>
      </c>
      <c r="E31" t="n">
        <v>15</v>
      </c>
      <c r="F31" t="n">
        <v>11.5</v>
      </c>
      <c r="H31" t="n">
        <v>0</v>
      </c>
      <c r="I31" t="n">
        <v>0</v>
      </c>
      <c r="J31" t="n">
        <v>0</v>
      </c>
      <c r="K31" t="n">
        <v>0</v>
      </c>
      <c r="L31" t="n">
        <v>0</v>
      </c>
      <c r="M31" t="n">
        <v>0</v>
      </c>
      <c r="N31" t="n">
        <v>0</v>
      </c>
    </row>
    <row r="32">
      <c r="A32" t="inlineStr">
        <is>
          <t>farm of the mills</t>
        </is>
      </c>
      <c r="B32" t="inlineStr">
        <is>
          <t>and for £13 6 shilling 8pence for the farm of the water-mill of bishops waltham, demised at farm this year.</t>
        </is>
      </c>
      <c r="C32" t="n">
        <v>13.33</v>
      </c>
      <c r="D32" t="n">
        <v>13</v>
      </c>
      <c r="E32" t="n">
        <v>6</v>
      </c>
      <c r="F32" t="n">
        <v>8</v>
      </c>
      <c r="H32" t="n">
        <v>0</v>
      </c>
      <c r="I32" t="n">
        <v>0</v>
      </c>
      <c r="J32" t="n">
        <v>0</v>
      </c>
      <c r="K32" t="n">
        <v>0</v>
      </c>
      <c r="L32" t="n">
        <v>0</v>
      </c>
      <c r="M32" t="n">
        <v>0</v>
      </c>
      <c r="N32" t="n">
        <v>0</v>
      </c>
    </row>
    <row r="33">
      <c r="A33" t="inlineStr">
        <is>
          <t>farm of the mills</t>
        </is>
      </c>
      <c r="B33" t="inlineStr">
        <is>
          <t>nothing this year of the 12 shilling for the mill of caldecote, recently at farm, because the said mill was completely pulled down and the vacant plot of the same is in the lord's hands because john wodelok' who held the said mill abandoned it and refused to hold it any longer.</t>
        </is>
      </c>
      <c r="C33" t="n">
        <v>0.6</v>
      </c>
      <c r="D33" t="n">
        <v>0</v>
      </c>
      <c r="E33" t="n">
        <v>12</v>
      </c>
      <c r="F33" t="n">
        <v>0</v>
      </c>
      <c r="H33" t="n">
        <v>0</v>
      </c>
      <c r="I33" t="n">
        <v>0</v>
      </c>
      <c r="J33" t="n">
        <v>0</v>
      </c>
      <c r="K33" t="n">
        <v>0</v>
      </c>
      <c r="L33" t="n">
        <v>0</v>
      </c>
      <c r="M33" t="n">
        <v>0</v>
      </c>
      <c r="N33" t="n">
        <v>0</v>
      </c>
    </row>
    <row r="34">
      <c r="A34" t="inlineStr">
        <is>
          <t>farm of the mills</t>
        </is>
      </c>
      <c r="B34" t="inlineStr">
        <is>
          <t>nothing this year of the 10 shilling for the mill of mattokeforde, recently at farm, because the said mill was completely pulled down and the vacant plot of the same is in the lord's hands and nothing can be found to distrain in the same.</t>
        </is>
      </c>
      <c r="C34" t="n">
        <v>0.5</v>
      </c>
      <c r="D34" t="n">
        <v>0</v>
      </c>
      <c r="E34" t="n">
        <v>10</v>
      </c>
      <c r="F34" t="n">
        <v>0</v>
      </c>
      <c r="H34" t="n">
        <v>0</v>
      </c>
      <c r="I34" t="n">
        <v>0</v>
      </c>
      <c r="J34" t="n">
        <v>0</v>
      </c>
      <c r="K34" t="n">
        <v>0</v>
      </c>
      <c r="L34" t="n">
        <v>0</v>
      </c>
      <c r="M34" t="n">
        <v>0</v>
      </c>
      <c r="N34" t="n">
        <v>0</v>
      </c>
    </row>
    <row r="35">
      <c r="A35" t="inlineStr">
        <is>
          <t>farm of the mills</t>
        </is>
      </c>
      <c r="B35" t="inlineStr">
        <is>
          <t>8 shilling for the farm of the mill of frggemulle for the year.</t>
        </is>
      </c>
      <c r="C35" t="n">
        <v>0.4</v>
      </c>
      <c r="D35" t="n">
        <v>0</v>
      </c>
      <c r="E35" t="n">
        <v>8</v>
      </c>
      <c r="F35" t="n">
        <v>0</v>
      </c>
      <c r="H35" t="n">
        <v>0</v>
      </c>
      <c r="I35" t="n">
        <v>0</v>
      </c>
      <c r="J35" t="n">
        <v>0</v>
      </c>
      <c r="K35" t="n">
        <v>0</v>
      </c>
      <c r="L35" t="n">
        <v>0</v>
      </c>
      <c r="M35" t="n">
        <v>0</v>
      </c>
      <c r="N35" t="n">
        <v>0</v>
      </c>
    </row>
    <row r="36">
      <c r="A36" t="inlineStr">
        <is>
          <t>farm of the mills</t>
        </is>
      </c>
      <c r="B36" t="inlineStr">
        <is>
          <t>£1 6 shilling 8pence for the farm of the fulling mill demised this year.</t>
        </is>
      </c>
      <c r="C36" t="n">
        <v>1.33</v>
      </c>
      <c r="D36" t="n">
        <v>1</v>
      </c>
      <c r="E36" t="n">
        <v>6</v>
      </c>
      <c r="F36" t="n">
        <v>8</v>
      </c>
      <c r="H36" t="n">
        <v>0</v>
      </c>
      <c r="I36" t="n">
        <v>0</v>
      </c>
      <c r="J36" t="n">
        <v>0</v>
      </c>
      <c r="K36" t="n">
        <v>0</v>
      </c>
      <c r="L36" t="n">
        <v>0</v>
      </c>
      <c r="M36" t="n">
        <v>0</v>
      </c>
      <c r="N36" t="n">
        <v>0</v>
      </c>
    </row>
    <row r="37">
      <c r="A37" t="inlineStr">
        <is>
          <t>farm of the mills</t>
        </is>
      </c>
      <c r="B37" t="inlineStr">
        <is>
          <t>total, £15 1 shilling 4pence.</t>
        </is>
      </c>
      <c r="C37" t="n">
        <v>15.07</v>
      </c>
      <c r="D37" t="n">
        <v>15</v>
      </c>
      <c r="E37" t="n">
        <v>1</v>
      </c>
      <c r="F37" t="n">
        <v>4</v>
      </c>
      <c r="H37" t="n">
        <v>0</v>
      </c>
      <c r="I37" t="n">
        <v>0</v>
      </c>
      <c r="J37" t="n">
        <v>0</v>
      </c>
      <c r="K37" t="n">
        <v>0</v>
      </c>
      <c r="L37" t="n">
        <v>0</v>
      </c>
      <c r="M37" t="n">
        <v>0</v>
      </c>
      <c r="N37" t="n">
        <v>0</v>
      </c>
    </row>
    <row r="38">
      <c r="A38" t="inlineStr">
        <is>
          <t>cumin</t>
        </is>
      </c>
      <c r="B38" t="inlineStr">
        <is>
          <t>and for 1 lb of cumin for the rent of thomas godard' for 1 messuage formerly of thomas doppyng' which belonged to thomas tannere.</t>
        </is>
      </c>
      <c r="C38" t="n">
        <v>0</v>
      </c>
      <c r="D38" t="n">
        <v>0</v>
      </c>
      <c r="E38" t="n">
        <v>0</v>
      </c>
      <c r="F38" t="n">
        <v>0</v>
      </c>
      <c r="H38" t="n">
        <v>0</v>
      </c>
      <c r="I38" t="n">
        <v>0</v>
      </c>
      <c r="J38" t="n">
        <v>0</v>
      </c>
      <c r="K38" t="n">
        <v>0</v>
      </c>
      <c r="L38" t="n">
        <v>0</v>
      </c>
      <c r="M38" t="n">
        <v>0</v>
      </c>
      <c r="N38" t="n">
        <v>0</v>
      </c>
    </row>
    <row r="39">
      <c r="A39" t="inlineStr">
        <is>
          <t>cumin</t>
        </is>
      </c>
      <c r="B39" t="inlineStr">
        <is>
          <t>1 lb of cumin for the rent of walter montfort for the tenement recently of william waleys.</t>
        </is>
      </c>
      <c r="C39" t="n">
        <v>0</v>
      </c>
      <c r="D39" t="n">
        <v>0</v>
      </c>
      <c r="E39" t="n">
        <v>0</v>
      </c>
      <c r="F39" t="n">
        <v>0</v>
      </c>
      <c r="H39" t="n">
        <v>0</v>
      </c>
      <c r="I39" t="n">
        <v>0</v>
      </c>
      <c r="J39" t="n">
        <v>0</v>
      </c>
      <c r="K39" t="n">
        <v>0</v>
      </c>
      <c r="L39" t="n">
        <v>0</v>
      </c>
      <c r="M39" t="n">
        <v>0</v>
      </c>
      <c r="N39" t="n">
        <v>0</v>
      </c>
    </row>
    <row r="40">
      <c r="A40" t="inlineStr">
        <is>
          <t>cumin</t>
        </is>
      </c>
      <c r="B40" t="inlineStr">
        <is>
          <t>1 lb of cumin for the rents of thomas doppyng', john herbegod' and john gynes for the tenements recently of nicholas boor, nicholas shirbourne and william herbegod'.</t>
        </is>
      </c>
      <c r="C40" t="n">
        <v>0</v>
      </c>
      <c r="D40" t="n">
        <v>0</v>
      </c>
      <c r="E40" t="n">
        <v>0</v>
      </c>
      <c r="F40" t="n">
        <v>0</v>
      </c>
      <c r="H40" t="n">
        <v>0</v>
      </c>
      <c r="I40" t="n">
        <v>0</v>
      </c>
      <c r="J40" t="n">
        <v>0</v>
      </c>
      <c r="K40" t="n">
        <v>0</v>
      </c>
      <c r="L40" t="n">
        <v>0</v>
      </c>
      <c r="M40" t="n">
        <v>0</v>
      </c>
      <c r="N40" t="n">
        <v>0</v>
      </c>
    </row>
    <row r="41">
      <c r="A41" t="inlineStr">
        <is>
          <t>cumin</t>
        </is>
      </c>
      <c r="B41" t="inlineStr">
        <is>
          <t>1 lb of cumin for the rent of amice thecchere for the tenement recently of richard thetcher'.</t>
        </is>
      </c>
      <c r="C41" t="n">
        <v>0</v>
      </c>
      <c r="D41" t="n">
        <v>0</v>
      </c>
      <c r="E41" t="n">
        <v>0</v>
      </c>
      <c r="F41" t="n">
        <v>0</v>
      </c>
      <c r="H41" t="n">
        <v>0</v>
      </c>
      <c r="I41" t="n">
        <v>0</v>
      </c>
      <c r="J41" t="n">
        <v>0</v>
      </c>
      <c r="K41" t="n">
        <v>0</v>
      </c>
      <c r="L41" t="n">
        <v>0</v>
      </c>
      <c r="M41" t="n">
        <v>0</v>
      </c>
      <c r="N41" t="n">
        <v>0</v>
      </c>
    </row>
    <row r="42">
      <c r="A42" t="inlineStr">
        <is>
          <t>cumin</t>
        </is>
      </c>
      <c r="B42" t="inlineStr">
        <is>
          <t>1 lb of cumin for the rent of isabel clerk' for the tenement recently of john moysent.</t>
        </is>
      </c>
      <c r="C42" t="n">
        <v>0</v>
      </c>
      <c r="D42" t="n">
        <v>0</v>
      </c>
      <c r="E42" t="n">
        <v>0</v>
      </c>
      <c r="F42" t="n">
        <v>0</v>
      </c>
      <c r="H42" t="n">
        <v>0</v>
      </c>
      <c r="I42" t="n">
        <v>0</v>
      </c>
      <c r="J42" t="n">
        <v>0</v>
      </c>
      <c r="K42" t="n">
        <v>0</v>
      </c>
      <c r="L42" t="n">
        <v>0</v>
      </c>
      <c r="M42" t="n">
        <v>0</v>
      </c>
      <c r="N42" t="n">
        <v>0</v>
      </c>
    </row>
    <row r="43">
      <c r="A43" t="inlineStr">
        <is>
          <t>cumin</t>
        </is>
      </c>
      <c r="B43" t="inlineStr">
        <is>
          <t>1 lb of cumin for the rent of john shorvere for the tenement recently of william gode.</t>
        </is>
      </c>
      <c r="C43" t="n">
        <v>0</v>
      </c>
      <c r="D43" t="n">
        <v>0</v>
      </c>
      <c r="E43" t="n">
        <v>0</v>
      </c>
      <c r="F43" t="n">
        <v>0</v>
      </c>
      <c r="H43" t="n">
        <v>0</v>
      </c>
      <c r="I43" t="n">
        <v>0</v>
      </c>
      <c r="J43" t="n">
        <v>0</v>
      </c>
      <c r="K43" t="n">
        <v>0</v>
      </c>
      <c r="L43" t="n">
        <v>0</v>
      </c>
      <c r="M43" t="n">
        <v>0</v>
      </c>
      <c r="N43" t="n">
        <v>0</v>
      </c>
    </row>
    <row r="44">
      <c r="A44" t="inlineStr">
        <is>
          <t>cumin</t>
        </is>
      </c>
      <c r="B44" t="inlineStr">
        <is>
          <t>total, 6 lb.</t>
        </is>
      </c>
      <c r="C44" t="n">
        <v>0</v>
      </c>
      <c r="D44" t="n">
        <v>0</v>
      </c>
      <c r="E44" t="n">
        <v>0</v>
      </c>
      <c r="F44" t="n">
        <v>0</v>
      </c>
      <c r="H44" t="n">
        <v>0</v>
      </c>
      <c r="I44" t="n">
        <v>0</v>
      </c>
      <c r="J44" t="n">
        <v>0</v>
      </c>
      <c r="K44" t="n">
        <v>0</v>
      </c>
      <c r="L44" t="n">
        <v>0</v>
      </c>
      <c r="M44" t="n">
        <v>0</v>
      </c>
      <c r="N44" t="n">
        <v>0</v>
      </c>
    </row>
    <row r="45">
      <c r="A45" t="inlineStr">
        <is>
          <t>cumin</t>
        </is>
      </c>
      <c r="B45" t="inlineStr">
        <is>
          <t>delivered to the receiver of wolvesey at the audit.</t>
        </is>
      </c>
      <c r="C45" t="n">
        <v>0</v>
      </c>
      <c r="D45" t="n">
        <v>0</v>
      </c>
      <c r="E45" t="n">
        <v>0</v>
      </c>
      <c r="F45" t="n">
        <v>0</v>
      </c>
      <c r="H45" t="n">
        <v>0</v>
      </c>
      <c r="I45" t="n">
        <v>0</v>
      </c>
      <c r="J45" t="n">
        <v>0</v>
      </c>
      <c r="K45" t="n">
        <v>0</v>
      </c>
      <c r="L45" t="n">
        <v>0</v>
      </c>
      <c r="M45" t="n">
        <v>0</v>
      </c>
      <c r="N45" t="n">
        <v>0</v>
      </c>
    </row>
    <row r="46">
      <c r="A46" t="inlineStr">
        <is>
          <t>pepper</t>
        </is>
      </c>
      <c r="B46" t="inlineStr">
        <is>
          <t>and for .5 lb of pepper for the rent of land formerly of thomas everard', for that land which his great-grandfather bought from henry philip'.</t>
        </is>
      </c>
      <c r="C46" t="n">
        <v>0</v>
      </c>
      <c r="D46" t="n">
        <v>0</v>
      </c>
      <c r="E46" t="n">
        <v>0</v>
      </c>
      <c r="F46" t="n">
        <v>0</v>
      </c>
      <c r="H46" t="n">
        <v>0</v>
      </c>
      <c r="I46" t="n">
        <v>0</v>
      </c>
      <c r="J46" t="n">
        <v>0</v>
      </c>
      <c r="K46" t="n">
        <v>0</v>
      </c>
      <c r="L46" t="n">
        <v>0</v>
      </c>
      <c r="M46" t="n">
        <v>0</v>
      </c>
      <c r="N46" t="n">
        <v>0</v>
      </c>
    </row>
    <row r="47">
      <c r="A47" t="inlineStr">
        <is>
          <t>pepper</t>
        </is>
      </c>
      <c r="B47" t="inlineStr">
        <is>
          <t>total, .5 lb.</t>
        </is>
      </c>
      <c r="C47" t="n">
        <v>0</v>
      </c>
      <c r="D47" t="n">
        <v>0</v>
      </c>
      <c r="E47" t="n">
        <v>0</v>
      </c>
      <c r="F47" t="n">
        <v>0</v>
      </c>
      <c r="H47" t="n">
        <v>0</v>
      </c>
      <c r="I47" t="n">
        <v>0</v>
      </c>
      <c r="J47" t="n">
        <v>0</v>
      </c>
      <c r="K47" t="n">
        <v>0</v>
      </c>
      <c r="L47" t="n">
        <v>0</v>
      </c>
      <c r="M47" t="n">
        <v>0</v>
      </c>
      <c r="N47" t="n">
        <v>0</v>
      </c>
    </row>
    <row r="48">
      <c r="A48" t="inlineStr">
        <is>
          <t>pepper</t>
        </is>
      </c>
      <c r="B48" t="inlineStr">
        <is>
          <t>delivered as before.</t>
        </is>
      </c>
      <c r="C48" t="n">
        <v>0</v>
      </c>
      <c r="D48" t="n">
        <v>0</v>
      </c>
      <c r="E48" t="n">
        <v>0</v>
      </c>
      <c r="F48" t="n">
        <v>0</v>
      </c>
      <c r="H48" t="n">
        <v>0</v>
      </c>
      <c r="I48" t="n">
        <v>0</v>
      </c>
      <c r="J48" t="n">
        <v>0</v>
      </c>
      <c r="K48" t="n">
        <v>0</v>
      </c>
      <c r="L48" t="n">
        <v>0</v>
      </c>
      <c r="M48" t="n">
        <v>0</v>
      </c>
      <c r="N48" t="n">
        <v>0</v>
      </c>
    </row>
    <row r="49">
      <c r="A49" t="inlineStr">
        <is>
          <t>annual recognizance</t>
        </is>
      </c>
      <c r="B49" t="inlineStr">
        <is>
          <t>and for 1pence from robert gode, the lord's villein, so that he may dwell outside the lord's liberty as long as it pleases the lord and remain the lord's villein as before.</t>
        </is>
      </c>
      <c r="C49" t="n">
        <v>0</v>
      </c>
      <c r="D49" t="n">
        <v>0</v>
      </c>
      <c r="E49" t="n">
        <v>0</v>
      </c>
      <c r="F49" t="n">
        <v>1</v>
      </c>
      <c r="H49" t="n">
        <v>0</v>
      </c>
      <c r="I49" t="n">
        <v>0</v>
      </c>
      <c r="J49" t="n">
        <v>0</v>
      </c>
      <c r="K49" t="n">
        <v>0</v>
      </c>
      <c r="L49" t="n">
        <v>0</v>
      </c>
      <c r="M49" t="n">
        <v>0</v>
      </c>
      <c r="N49" t="n">
        <v>0</v>
      </c>
    </row>
    <row r="50">
      <c r="A50" t="inlineStr">
        <is>
          <t>annual recognizance</t>
        </is>
      </c>
      <c r="B50" t="inlineStr">
        <is>
          <t>6pence from thomas palet, the lord's villein, so that he may dwell outside the lord's liberty of bishops waltham, and not more because the said thomas lives within the lord's demesne at east meon and has taken the lord's villein land there, and therefore the recognizance of 1 shilling 6pence ceases, on condition that the aforesaid thomas pays the aforesaid 6pence for annual recognizance and remains the lord's villein of bishops waltham as before.</t>
        </is>
      </c>
      <c r="C50" t="n">
        <v>0.08</v>
      </c>
      <c r="D50" t="n">
        <v>0</v>
      </c>
      <c r="E50" t="n">
        <v>1</v>
      </c>
      <c r="F50" t="n">
        <v>6</v>
      </c>
      <c r="H50" t="n">
        <v>0</v>
      </c>
      <c r="I50" t="n">
        <v>0</v>
      </c>
      <c r="J50" t="n">
        <v>0</v>
      </c>
      <c r="K50" t="n">
        <v>0</v>
      </c>
      <c r="L50" t="n">
        <v>0</v>
      </c>
      <c r="M50" t="n">
        <v>0</v>
      </c>
      <c r="N50" t="n">
        <v>0</v>
      </c>
    </row>
    <row r="51">
      <c r="A51" t="inlineStr">
        <is>
          <t>annual recognizance</t>
        </is>
      </c>
      <c r="B51" t="inlineStr">
        <is>
          <t>1 shilling for the annual recognizance of thomas, son of mark longe, the lord's villein, so that he may dwell outside the lord's liberty as long as it pleases the lord and come to the 2 law-days for the year and remain the lord's villein as before.</t>
        </is>
      </c>
      <c r="C51" t="n">
        <v>0.05</v>
      </c>
      <c r="D51" t="n">
        <v>0</v>
      </c>
      <c r="E51" t="n">
        <v>1</v>
      </c>
      <c r="F51" t="n">
        <v>0</v>
      </c>
      <c r="H51" t="n">
        <v>0</v>
      </c>
      <c r="I51" t="n">
        <v>0</v>
      </c>
      <c r="J51" t="n">
        <v>0</v>
      </c>
      <c r="K51" t="n">
        <v>0</v>
      </c>
      <c r="L51" t="n">
        <v>0</v>
      </c>
      <c r="M51" t="n">
        <v>0</v>
      </c>
      <c r="N51" t="n">
        <v>0</v>
      </c>
    </row>
    <row r="52">
      <c r="A52" t="inlineStr">
        <is>
          <t>annual recognizance</t>
        </is>
      </c>
      <c r="B52" t="inlineStr">
        <is>
          <t>6pence from john, son of richard emory, the lord's villein, so that he may hold the lord's villein land at cheriton and remain the lord's villein as before.</t>
        </is>
      </c>
      <c r="C52" t="n">
        <v>0.03</v>
      </c>
      <c r="D52" t="n">
        <v>0</v>
      </c>
      <c r="E52" t="n">
        <v>0</v>
      </c>
      <c r="F52" t="n">
        <v>6</v>
      </c>
      <c r="H52" t="n">
        <v>0</v>
      </c>
      <c r="I52" t="n">
        <v>0</v>
      </c>
      <c r="J52" t="n">
        <v>0</v>
      </c>
      <c r="K52" t="n">
        <v>0</v>
      </c>
      <c r="L52" t="n">
        <v>0</v>
      </c>
      <c r="M52" t="n">
        <v>0</v>
      </c>
      <c r="N52" t="n">
        <v>0</v>
      </c>
    </row>
    <row r="53">
      <c r="A53" t="inlineStr">
        <is>
          <t>annual recognizance</t>
        </is>
      </c>
      <c r="B53" t="inlineStr">
        <is>
          <t>2 shilling for the annual recognizance of richard atte wynde, the lord's villein, so that he may dwell outside the lord's liberty as long as it pleases the lord and come to the 2 law-days for the year and remain the lord's villein as before.</t>
        </is>
      </c>
      <c r="C53" t="n">
        <v>0.1</v>
      </c>
      <c r="D53" t="n">
        <v>0</v>
      </c>
      <c r="E53" t="n">
        <v>2</v>
      </c>
      <c r="F53" t="n">
        <v>0</v>
      </c>
      <c r="H53" t="n">
        <v>0</v>
      </c>
      <c r="I53" t="n">
        <v>0</v>
      </c>
      <c r="J53" t="n">
        <v>0</v>
      </c>
      <c r="K53" t="n">
        <v>0</v>
      </c>
      <c r="L53" t="n">
        <v>0</v>
      </c>
      <c r="M53" t="n">
        <v>0</v>
      </c>
      <c r="N53" t="n">
        <v>0</v>
      </c>
    </row>
    <row r="54">
      <c r="A54" t="inlineStr">
        <is>
          <t>annual recognizance</t>
        </is>
      </c>
      <c r="B54" t="inlineStr">
        <is>
          <t>6pence for the annual recognizance of edward strodde, the lord's villein, so that he may dwell outside the lord's liberty as long as it pleases the lord and come to the 2 law-days for the year and remain the lord's villein as before, and not more because he is in the lord's service at wolvesey.</t>
        </is>
      </c>
      <c r="C54" t="n">
        <v>0.03</v>
      </c>
      <c r="D54" t="n">
        <v>0</v>
      </c>
      <c r="E54" t="n">
        <v>0</v>
      </c>
      <c r="F54" t="n">
        <v>6</v>
      </c>
      <c r="H54" t="n">
        <v>0</v>
      </c>
      <c r="I54" t="n">
        <v>0</v>
      </c>
      <c r="J54" t="n">
        <v>0</v>
      </c>
      <c r="K54" t="n">
        <v>0</v>
      </c>
      <c r="L54" t="n">
        <v>0</v>
      </c>
      <c r="M54" t="n">
        <v>0</v>
      </c>
      <c r="N54" t="n">
        <v>0</v>
      </c>
    </row>
    <row r="55">
      <c r="A55" t="inlineStr">
        <is>
          <t>annual recognizance</t>
        </is>
      </c>
      <c r="B55" t="inlineStr">
        <is>
          <t>6pence for the annual recognizance of robert palmere, the lord's villein, so that he may dwell within the lord's demesne at bishopstoke and hold villein land there and come to the tourn of hockday for the year and remain the lord's villein of bishops waltham as before.</t>
        </is>
      </c>
      <c r="C55" t="n">
        <v>0.03</v>
      </c>
      <c r="D55" t="n">
        <v>0</v>
      </c>
      <c r="E55" t="n">
        <v>0</v>
      </c>
      <c r="F55" t="n">
        <v>6</v>
      </c>
      <c r="H55" t="n">
        <v>0</v>
      </c>
      <c r="I55" t="n">
        <v>0</v>
      </c>
      <c r="J55" t="n">
        <v>0</v>
      </c>
      <c r="K55" t="n">
        <v>0</v>
      </c>
      <c r="L55" t="n">
        <v>0</v>
      </c>
      <c r="M55" t="n">
        <v>0</v>
      </c>
      <c r="N55" t="n">
        <v>0</v>
      </c>
    </row>
    <row r="56">
      <c r="A56" t="inlineStr">
        <is>
          <t>annual recognizance</t>
        </is>
      </c>
      <c r="B56" t="inlineStr">
        <is>
          <t>1 shilling for the annual recognizance of john, son of john stubbe, the lord's villein, so that he may dwell outside the lord's liberty as long as it pleases the lord and come to the tourn of hockday for the year and remain the lord's villein as before.</t>
        </is>
      </c>
      <c r="C56" t="n">
        <v>0.05</v>
      </c>
      <c r="D56" t="n">
        <v>0</v>
      </c>
      <c r="E56" t="n">
        <v>1</v>
      </c>
      <c r="F56" t="n">
        <v>0</v>
      </c>
      <c r="H56" t="n">
        <v>0</v>
      </c>
      <c r="I56" t="n">
        <v>0</v>
      </c>
      <c r="J56" t="n">
        <v>0</v>
      </c>
      <c r="K56" t="n">
        <v>0</v>
      </c>
      <c r="L56" t="n">
        <v>0</v>
      </c>
      <c r="M56" t="n">
        <v>0</v>
      </c>
      <c r="N56" t="n">
        <v>0</v>
      </c>
    </row>
    <row r="57">
      <c r="A57" t="inlineStr">
        <is>
          <t>annual recognizance</t>
        </is>
      </c>
      <c r="B57" t="inlineStr">
        <is>
          <t>1 shilling for the annual recognizance of william, son of robert frogge, the lord's villein, so that he may dwell outside the lord's liberty as long as it pleases the lord and come to the tourn of hockday for the year and remain the lord's villein as before.</t>
        </is>
      </c>
      <c r="C57" t="n">
        <v>0.05</v>
      </c>
      <c r="D57" t="n">
        <v>0</v>
      </c>
      <c r="E57" t="n">
        <v>1</v>
      </c>
      <c r="F57" t="n">
        <v>0</v>
      </c>
      <c r="H57" t="n">
        <v>0</v>
      </c>
      <c r="I57" t="n">
        <v>0</v>
      </c>
      <c r="J57" t="n">
        <v>0</v>
      </c>
      <c r="K57" t="n">
        <v>0</v>
      </c>
      <c r="L57" t="n">
        <v>0</v>
      </c>
      <c r="M57" t="n">
        <v>0</v>
      </c>
      <c r="N57" t="n">
        <v>0</v>
      </c>
    </row>
    <row r="58">
      <c r="A58" t="inlineStr">
        <is>
          <t>annual recognizance</t>
        </is>
      </c>
      <c r="B58" t="inlineStr">
        <is>
          <t>1 shilling 6pence for the annual recognizance of john, son of william sutbyngton', the lord's villein, so that he may dwell outside the lord's liberty as long as it pleases the lord and come to the tourn of hockday for the year and remain the lord's villein as before.</t>
        </is>
      </c>
      <c r="C58" t="n">
        <v>0.08</v>
      </c>
      <c r="D58" t="n">
        <v>0</v>
      </c>
      <c r="E58" t="n">
        <v>1</v>
      </c>
      <c r="F58" t="n">
        <v>6</v>
      </c>
      <c r="H58" t="n">
        <v>0</v>
      </c>
      <c r="I58" t="n">
        <v>0</v>
      </c>
      <c r="J58" t="n">
        <v>0</v>
      </c>
      <c r="K58" t="n">
        <v>0</v>
      </c>
      <c r="L58" t="n">
        <v>0</v>
      </c>
      <c r="M58" t="n">
        <v>0</v>
      </c>
      <c r="N58" t="n">
        <v>0</v>
      </c>
    </row>
    <row r="59">
      <c r="A59" t="inlineStr">
        <is>
          <t>annual recognizance</t>
        </is>
      </c>
      <c r="B59" t="inlineStr">
        <is>
          <t>4pence for the annual recognizance of thomas lyps, the lord's villein, so that he may dwell outside the lord's liberty as long as it pleases the lord and come to the tourn of hockday for the year and remain the lord's villein as before.</t>
        </is>
      </c>
      <c r="C59" t="n">
        <v>0.02</v>
      </c>
      <c r="D59" t="n">
        <v>0</v>
      </c>
      <c r="E59" t="n">
        <v>0</v>
      </c>
      <c r="F59" t="n">
        <v>4</v>
      </c>
      <c r="H59" t="n">
        <v>0</v>
      </c>
      <c r="I59" t="n">
        <v>0</v>
      </c>
      <c r="J59" t="n">
        <v>0</v>
      </c>
      <c r="K59" t="n">
        <v>0</v>
      </c>
      <c r="L59" t="n">
        <v>0</v>
      </c>
      <c r="M59" t="n">
        <v>0</v>
      </c>
      <c r="N59" t="n">
        <v>0</v>
      </c>
    </row>
    <row r="60">
      <c r="A60" t="inlineStr">
        <is>
          <t>annual recognizance</t>
        </is>
      </c>
      <c r="B60" t="inlineStr">
        <is>
          <t>1 shilling for the annual recognizance of robert, son of john deth', the lord's villein, so that he may dwell outside the lord's liberty as long as it pleases the lord and come to the tourn of hockday and remain the lord's villein as before.</t>
        </is>
      </c>
      <c r="C60" t="n">
        <v>0.05</v>
      </c>
      <c r="D60" t="n">
        <v>0</v>
      </c>
      <c r="E60" t="n">
        <v>1</v>
      </c>
      <c r="F60" t="n">
        <v>0</v>
      </c>
      <c r="H60" t="n">
        <v>0</v>
      </c>
      <c r="I60" t="n">
        <v>0</v>
      </c>
      <c r="J60" t="n">
        <v>0</v>
      </c>
      <c r="K60" t="n">
        <v>0</v>
      </c>
      <c r="L60" t="n">
        <v>0</v>
      </c>
      <c r="M60" t="n">
        <v>0</v>
      </c>
      <c r="N60" t="n">
        <v>0</v>
      </c>
    </row>
    <row r="61">
      <c r="A61" t="inlineStr">
        <is>
          <t>annual recognizance</t>
        </is>
      </c>
      <c r="B61" t="inlineStr">
        <is>
          <t>total, 9 shilling 11pence.</t>
        </is>
      </c>
      <c r="C61" t="n">
        <v>0.5</v>
      </c>
      <c r="D61" t="n">
        <v>0</v>
      </c>
      <c r="E61" t="n">
        <v>9</v>
      </c>
      <c r="F61" t="n">
        <v>11</v>
      </c>
      <c r="H61" t="n">
        <v>0</v>
      </c>
      <c r="I61" t="n">
        <v>0</v>
      </c>
      <c r="J61" t="n">
        <v>0</v>
      </c>
      <c r="K61" t="n">
        <v>0</v>
      </c>
      <c r="L61" t="n">
        <v>0</v>
      </c>
      <c r="M61" t="n">
        <v>0</v>
      </c>
      <c r="N61" t="n">
        <v>0</v>
      </c>
    </row>
    <row r="62">
      <c r="A62" t="inlineStr">
        <is>
          <t>issues of the manor</t>
        </is>
      </c>
      <c r="B62" t="inlineStr">
        <is>
          <t>and for £3 2.5pence from the pannage of the pigs of the customary tenants at martinmas.</t>
        </is>
      </c>
      <c r="C62" t="n">
        <v>3.01</v>
      </c>
      <c r="D62" t="n">
        <v>3</v>
      </c>
      <c r="E62" t="n">
        <v>0</v>
      </c>
      <c r="F62" t="n">
        <v>2.5</v>
      </c>
      <c r="H62" t="n">
        <v>0</v>
      </c>
      <c r="I62" t="n">
        <v>0</v>
      </c>
      <c r="J62" t="n">
        <v>0</v>
      </c>
      <c r="K62" t="n">
        <v>0</v>
      </c>
      <c r="L62" t="n">
        <v>0</v>
      </c>
      <c r="M62" t="n">
        <v>0</v>
      </c>
      <c r="N62" t="n">
        <v>0</v>
      </c>
    </row>
    <row r="63">
      <c r="A63" t="inlineStr">
        <is>
          <t>issues of the manor</t>
        </is>
      </c>
      <c r="B63" t="inlineStr">
        <is>
          <t>nothing from the pannage of foreign pigs agisted in the park this year because there was no mast.</t>
        </is>
      </c>
      <c r="C63" t="n">
        <v>0</v>
      </c>
      <c r="D63" t="n">
        <v>0</v>
      </c>
      <c r="E63" t="n">
        <v>0</v>
      </c>
      <c r="F63" t="n">
        <v>0</v>
      </c>
      <c r="H63" t="n">
        <v>0</v>
      </c>
      <c r="I63" t="n">
        <v>0</v>
      </c>
      <c r="J63" t="n">
        <v>0</v>
      </c>
      <c r="K63" t="n">
        <v>0</v>
      </c>
      <c r="L63" t="n">
        <v>0</v>
      </c>
      <c r="M63" t="n">
        <v>0</v>
      </c>
      <c r="N63" t="n">
        <v>0</v>
      </c>
    </row>
    <row r="64">
      <c r="A64" t="inlineStr">
        <is>
          <t>issues of the manor</t>
        </is>
      </c>
      <c r="B64" t="inlineStr">
        <is>
          <t>1 shilling from winter pasturage in ballesmede sold this year, and not more because meanwhile it was grazed by the lord's cattle.</t>
        </is>
      </c>
      <c r="C64" t="n">
        <v>0.05</v>
      </c>
      <c r="D64" t="n">
        <v>0</v>
      </c>
      <c r="E64" t="n">
        <v>1</v>
      </c>
      <c r="F64" t="n">
        <v>0</v>
      </c>
      <c r="H64" t="n">
        <v>0</v>
      </c>
      <c r="I64" t="n">
        <v>0</v>
      </c>
      <c r="J64" t="n">
        <v>0</v>
      </c>
      <c r="K64" t="n">
        <v>0</v>
      </c>
      <c r="L64" t="n">
        <v>0</v>
      </c>
      <c r="M64" t="n">
        <v>0</v>
      </c>
      <c r="N64" t="n">
        <v>0</v>
      </c>
    </row>
    <row r="65">
      <c r="A65" t="inlineStr">
        <is>
          <t>issues of the manor</t>
        </is>
      </c>
      <c r="B65" t="inlineStr">
        <is>
          <t>£1 l 1 shilling 1pence from the agistment of cattle in the park this year, and not more because there were no cattle in the park in the winter.</t>
        </is>
      </c>
      <c r="C65" t="n">
        <v>1</v>
      </c>
      <c r="D65" t="n">
        <v>1</v>
      </c>
      <c r="E65" t="n">
        <v>0</v>
      </c>
      <c r="F65" t="n">
        <v>0</v>
      </c>
      <c r="H65" t="n">
        <v>0</v>
      </c>
      <c r="I65" t="n">
        <v>0</v>
      </c>
      <c r="J65" t="n">
        <v>0</v>
      </c>
      <c r="K65" t="n">
        <v>0</v>
      </c>
      <c r="L65" t="n">
        <v>0</v>
      </c>
      <c r="M65" t="n">
        <v>0</v>
      </c>
      <c r="N65" t="n">
        <v>0</v>
      </c>
    </row>
    <row r="66">
      <c r="A66" t="inlineStr">
        <is>
          <t>issues of the manor</t>
        </is>
      </c>
      <c r="B66" t="inlineStr">
        <is>
          <t>nothing from the sale of pasturage in suthemed', froggemullemed' and caldecotemede this year because of the lord's cattle.</t>
        </is>
      </c>
      <c r="C66" t="n">
        <v>0</v>
      </c>
      <c r="D66" t="n">
        <v>0</v>
      </c>
      <c r="E66" t="n">
        <v>0</v>
      </c>
      <c r="F66" t="n">
        <v>0</v>
      </c>
      <c r="H66" t="n">
        <v>0</v>
      </c>
      <c r="I66" t="n">
        <v>0</v>
      </c>
      <c r="J66" t="n">
        <v>0</v>
      </c>
      <c r="K66" t="n">
        <v>0</v>
      </c>
      <c r="L66" t="n">
        <v>0</v>
      </c>
      <c r="M66" t="n">
        <v>0</v>
      </c>
      <c r="N66" t="n">
        <v>0</v>
      </c>
    </row>
    <row r="67">
      <c r="A67" t="inlineStr">
        <is>
          <t>issues of the manor</t>
        </is>
      </c>
      <c r="B67" t="inlineStr">
        <is>
          <t>9 shilling from the whole hundred for the mowing of the meadow of krykkelesmed'.</t>
        </is>
      </c>
      <c r="C67" t="n">
        <v>0.45</v>
      </c>
      <c r="D67" t="n">
        <v>0</v>
      </c>
      <c r="E67" t="n">
        <v>9</v>
      </c>
      <c r="F67" t="n">
        <v>0</v>
      </c>
      <c r="H67" t="n">
        <v>0</v>
      </c>
      <c r="I67" t="n">
        <v>0</v>
      </c>
      <c r="J67" t="n">
        <v>0</v>
      </c>
      <c r="K67" t="n">
        <v>0</v>
      </c>
      <c r="L67" t="n">
        <v>0</v>
      </c>
      <c r="M67" t="n">
        <v>0</v>
      </c>
      <c r="N67" t="n">
        <v>0</v>
      </c>
    </row>
    <row r="68">
      <c r="A68" t="inlineStr">
        <is>
          <t>issues of the manor</t>
        </is>
      </c>
      <c r="B68" t="inlineStr">
        <is>
          <t>8pence from the pasturage in merewey sold this year.</t>
        </is>
      </c>
      <c r="C68" t="n">
        <v>0.03</v>
      </c>
      <c r="D68" t="n">
        <v>0</v>
      </c>
      <c r="E68" t="n">
        <v>0</v>
      </c>
      <c r="F68" t="n">
        <v>8</v>
      </c>
      <c r="H68" t="n">
        <v>0</v>
      </c>
      <c r="I68" t="n">
        <v>0</v>
      </c>
      <c r="J68" t="n">
        <v>0</v>
      </c>
      <c r="K68" t="n">
        <v>0</v>
      </c>
      <c r="L68" t="n">
        <v>0</v>
      </c>
      <c r="M68" t="n">
        <v>0</v>
      </c>
      <c r="N68" t="n">
        <v>0</v>
      </c>
    </row>
    <row r="69">
      <c r="A69" t="inlineStr">
        <is>
          <t>issues of the manor</t>
        </is>
      </c>
      <c r="B69" t="inlineStr">
        <is>
          <t>nothing from the sale of the pasturage between the barton and garden this year.</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sale of pasturage in reddehull' this year.</t>
        </is>
      </c>
      <c r="C70" t="n">
        <v>0</v>
      </c>
      <c r="D70" t="n">
        <v>0</v>
      </c>
      <c r="E70" t="n">
        <v>0</v>
      </c>
      <c r="F70" t="n">
        <v>0</v>
      </c>
      <c r="H70" t="n">
        <v>0</v>
      </c>
      <c r="I70" t="n">
        <v>0</v>
      </c>
      <c r="J70" t="n">
        <v>0</v>
      </c>
      <c r="K70" t="n">
        <v>0</v>
      </c>
      <c r="L70" t="n">
        <v>0</v>
      </c>
      <c r="M70" t="n">
        <v>0</v>
      </c>
      <c r="N70" t="n">
        <v>0</v>
      </c>
    </row>
    <row r="71">
      <c r="A71" t="inlineStr">
        <is>
          <t>issues of the manor</t>
        </is>
      </c>
      <c r="B71" t="inlineStr">
        <is>
          <t>nothing from the pasturage at la langehegge this year because of the lord's sheep.</t>
        </is>
      </c>
      <c r="C71" t="n">
        <v>0</v>
      </c>
      <c r="D71" t="n">
        <v>0</v>
      </c>
      <c r="E71" t="n">
        <v>0</v>
      </c>
      <c r="F71" t="n">
        <v>0</v>
      </c>
      <c r="H71" t="n">
        <v>0</v>
      </c>
      <c r="I71" t="n">
        <v>0</v>
      </c>
      <c r="J71" t="n">
        <v>0</v>
      </c>
      <c r="K71" t="n">
        <v>0</v>
      </c>
      <c r="L71" t="n">
        <v>0</v>
      </c>
      <c r="M71" t="n">
        <v>0</v>
      </c>
      <c r="N71" t="n">
        <v>0</v>
      </c>
    </row>
    <row r="72">
      <c r="A72" t="inlineStr">
        <is>
          <t>issues of the manor</t>
        </is>
      </c>
      <c r="B72" t="inlineStr">
        <is>
          <t>nothing from the pasturage between the barton and sheepcote of la worth' this year because of the lord's sheep.</t>
        </is>
      </c>
      <c r="C72" t="n">
        <v>0</v>
      </c>
      <c r="D72" t="n">
        <v>0</v>
      </c>
      <c r="E72" t="n">
        <v>0</v>
      </c>
      <c r="F72" t="n">
        <v>0</v>
      </c>
      <c r="H72" t="n">
        <v>0</v>
      </c>
      <c r="I72" t="n">
        <v>0</v>
      </c>
      <c r="J72" t="n">
        <v>0</v>
      </c>
      <c r="K72" t="n">
        <v>0</v>
      </c>
      <c r="L72" t="n">
        <v>0</v>
      </c>
      <c r="M72" t="n">
        <v>0</v>
      </c>
      <c r="N72" t="n">
        <v>0</v>
      </c>
    </row>
    <row r="73">
      <c r="A73" t="inlineStr">
        <is>
          <t>issues of the manor</t>
        </is>
      </c>
      <c r="B73" t="inlineStr">
        <is>
          <t>nothing from the sale of pasturage in chyttyngge because of the lord's cattle.</t>
        </is>
      </c>
      <c r="C73" t="n">
        <v>0</v>
      </c>
      <c r="D73" t="n">
        <v>0</v>
      </c>
      <c r="E73" t="n">
        <v>0</v>
      </c>
      <c r="F73" t="n">
        <v>0</v>
      </c>
      <c r="H73" t="n">
        <v>0</v>
      </c>
      <c r="I73" t="n">
        <v>0</v>
      </c>
      <c r="J73" t="n">
        <v>0</v>
      </c>
      <c r="K73" t="n">
        <v>0</v>
      </c>
      <c r="L73" t="n">
        <v>0</v>
      </c>
      <c r="M73" t="n">
        <v>0</v>
      </c>
      <c r="N73" t="n">
        <v>0</v>
      </c>
    </row>
    <row r="74">
      <c r="A74" t="inlineStr">
        <is>
          <t>issues of the manor</t>
        </is>
      </c>
      <c r="B74" t="inlineStr">
        <is>
          <t>nothing from the sale of pasturage in almesholte this year because of the lord's cattle.</t>
        </is>
      </c>
      <c r="C74" t="n">
        <v>0</v>
      </c>
      <c r="D74" t="n">
        <v>0</v>
      </c>
      <c r="E74" t="n">
        <v>0</v>
      </c>
      <c r="F74" t="n">
        <v>0</v>
      </c>
      <c r="H74" t="n">
        <v>0</v>
      </c>
      <c r="I74" t="n">
        <v>0</v>
      </c>
      <c r="J74" t="n">
        <v>0</v>
      </c>
      <c r="K74" t="n">
        <v>0</v>
      </c>
      <c r="L74" t="n">
        <v>0</v>
      </c>
      <c r="M74" t="n">
        <v>0</v>
      </c>
      <c r="N74" t="n">
        <v>0</v>
      </c>
    </row>
    <row r="75">
      <c r="A75" t="inlineStr">
        <is>
          <t>issues of the manor</t>
        </is>
      </c>
      <c r="B75" t="inlineStr">
        <is>
          <t>nothing from the sale of underwood in cleverlewode this year.</t>
        </is>
      </c>
      <c r="C75" t="n">
        <v>0</v>
      </c>
      <c r="D75" t="n">
        <v>0</v>
      </c>
      <c r="E75" t="n">
        <v>0</v>
      </c>
      <c r="F75" t="n">
        <v>0</v>
      </c>
      <c r="H75" t="n">
        <v>0</v>
      </c>
      <c r="I75" t="n">
        <v>0</v>
      </c>
      <c r="J75" t="n">
        <v>0</v>
      </c>
      <c r="K75" t="n">
        <v>0</v>
      </c>
      <c r="L75" t="n">
        <v>0</v>
      </c>
      <c r="M75" t="n">
        <v>0</v>
      </c>
      <c r="N75" t="n">
        <v>0</v>
      </c>
    </row>
    <row r="76">
      <c r="A76" t="inlineStr">
        <is>
          <t>issues of the manor</t>
        </is>
      </c>
      <c r="B76" t="inlineStr">
        <is>
          <t>15 shilling from 3 acres of underwood sold in haselholte this year, at 5 shilling an acre.</t>
        </is>
      </c>
      <c r="C76" t="n">
        <v>0.75</v>
      </c>
      <c r="D76" t="n">
        <v>0</v>
      </c>
      <c r="E76" t="n">
        <v>15</v>
      </c>
      <c r="F76" t="n">
        <v>0</v>
      </c>
      <c r="H76" t="n">
        <v>0</v>
      </c>
      <c r="I76" t="n">
        <v>0</v>
      </c>
      <c r="J76" t="n">
        <v>0</v>
      </c>
      <c r="K76" t="n">
        <v>0</v>
      </c>
      <c r="L76" t="n">
        <v>0</v>
      </c>
      <c r="M76" t="n">
        <v>0</v>
      </c>
      <c r="N76" t="n">
        <v>0</v>
      </c>
    </row>
    <row r="77">
      <c r="A77" t="inlineStr">
        <is>
          <t>issues of the manor</t>
        </is>
      </c>
      <c r="B77" t="inlineStr">
        <is>
          <t>3 shilling 6pence froin old pollards (roffr') sold in haselholte this year.</t>
        </is>
      </c>
      <c r="C77" t="n">
        <v>0.17</v>
      </c>
      <c r="D77" t="n">
        <v>0</v>
      </c>
      <c r="E77" t="n">
        <v>3</v>
      </c>
      <c r="F77" t="n">
        <v>6</v>
      </c>
      <c r="H77" t="n">
        <v>0</v>
      </c>
      <c r="I77" t="n">
        <v>0</v>
      </c>
      <c r="J77" t="n">
        <v>0</v>
      </c>
      <c r="K77" t="n">
        <v>0</v>
      </c>
      <c r="L77" t="n">
        <v>0</v>
      </c>
      <c r="M77" t="n">
        <v>0</v>
      </c>
      <c r="N77" t="n">
        <v>0</v>
      </c>
    </row>
    <row r="78">
      <c r="A78" t="inlineStr">
        <is>
          <t>issues of the manor</t>
        </is>
      </c>
      <c r="B78" t="inlineStr">
        <is>
          <t>nothing from the loppings of oaks sold in horderwode this year.</t>
        </is>
      </c>
      <c r="C78" t="n">
        <v>0</v>
      </c>
      <c r="D78" t="n">
        <v>0</v>
      </c>
      <c r="E78" t="n">
        <v>0</v>
      </c>
      <c r="F78" t="n">
        <v>0</v>
      </c>
      <c r="H78" t="n">
        <v>0</v>
      </c>
      <c r="I78" t="n">
        <v>0</v>
      </c>
      <c r="J78" t="n">
        <v>0</v>
      </c>
      <c r="K78" t="n">
        <v>0</v>
      </c>
      <c r="L78" t="n">
        <v>0</v>
      </c>
      <c r="M78" t="n">
        <v>0</v>
      </c>
      <c r="N78" t="n">
        <v>0</v>
      </c>
    </row>
    <row r="79">
      <c r="A79" t="inlineStr">
        <is>
          <t>issues of the manor</t>
        </is>
      </c>
      <c r="B79" t="inlineStr">
        <is>
          <t>nothing from the loppings of oaks sold in cleverlewod' this year.</t>
        </is>
      </c>
      <c r="C79" t="n">
        <v>0</v>
      </c>
      <c r="D79" t="n">
        <v>0</v>
      </c>
      <c r="E79" t="n">
        <v>0</v>
      </c>
      <c r="F79" t="n">
        <v>0</v>
      </c>
      <c r="H79" t="n">
        <v>0</v>
      </c>
      <c r="I79" t="n">
        <v>0</v>
      </c>
      <c r="J79" t="n">
        <v>0</v>
      </c>
      <c r="K79" t="n">
        <v>0</v>
      </c>
      <c r="L79" t="n">
        <v>0</v>
      </c>
      <c r="M79" t="n">
        <v>0</v>
      </c>
      <c r="N79" t="n">
        <v>0</v>
      </c>
    </row>
    <row r="80">
      <c r="A80" t="inlineStr">
        <is>
          <t>issues of the manor</t>
        </is>
      </c>
      <c r="B80" t="inlineStr">
        <is>
          <t>15 shilling from the ploughing of 30 acres at the winter sowing and 15 acres at the lenten sowing, shared out and sold this year to the men of the hundred of droxford having 15 ploughs, at 4pence an acre, on top of the reprise of the said ploughs.</t>
        </is>
      </c>
      <c r="C80" t="n">
        <v>0.77</v>
      </c>
      <c r="D80" t="n">
        <v>0</v>
      </c>
      <c r="E80" t="n">
        <v>15</v>
      </c>
      <c r="F80" t="n">
        <v>4</v>
      </c>
      <c r="H80" t="n">
        <v>0</v>
      </c>
      <c r="I80" t="n">
        <v>0</v>
      </c>
      <c r="J80" t="n">
        <v>0</v>
      </c>
      <c r="K80" t="n">
        <v>0</v>
      </c>
      <c r="L80" t="n">
        <v>0</v>
      </c>
      <c r="M80" t="n">
        <v>0</v>
      </c>
      <c r="N80" t="n">
        <v>0</v>
      </c>
    </row>
    <row r="81">
      <c r="A81" t="inlineStr">
        <is>
          <t>issues of the manor</t>
        </is>
      </c>
      <c r="B81" t="inlineStr">
        <is>
          <t>5 shilling 8pence from the hides sold of 1 horse, 2 cows, 1 bullock and 4 yearlings in murrain.</t>
        </is>
      </c>
      <c r="C81" t="n">
        <v>0.28</v>
      </c>
      <c r="D81" t="n">
        <v>0</v>
      </c>
      <c r="E81" t="n">
        <v>5</v>
      </c>
      <c r="F81" t="n">
        <v>8</v>
      </c>
      <c r="H81" t="n">
        <v>0</v>
      </c>
      <c r="I81" t="n">
        <v>0</v>
      </c>
      <c r="J81" t="n">
        <v>0</v>
      </c>
      <c r="K81" t="n">
        <v>0</v>
      </c>
      <c r="L81" t="n">
        <v>0</v>
      </c>
      <c r="M81" t="n">
        <v>0</v>
      </c>
      <c r="N81" t="n">
        <v>0</v>
      </c>
    </row>
    <row r="82">
      <c r="A82" t="inlineStr">
        <is>
          <t>issues of the manor</t>
        </is>
      </c>
      <c r="B82" t="inlineStr">
        <is>
          <t>2 shilling 11pence from the skins sold of 5 wethers, 2 rams and 8 ewes in murrain before shearing, at 3pence a skin of wethers, 2pence of rams and ewes.</t>
        </is>
      </c>
      <c r="C82" t="n">
        <v>0.15</v>
      </c>
      <c r="D82" t="n">
        <v>0</v>
      </c>
      <c r="E82" t="n">
        <v>2</v>
      </c>
      <c r="F82" t="n">
        <v>11</v>
      </c>
      <c r="H82" t="n">
        <v>0</v>
      </c>
      <c r="I82" t="n">
        <v>0</v>
      </c>
      <c r="J82" t="n">
        <v>0</v>
      </c>
      <c r="K82" t="n">
        <v>0</v>
      </c>
      <c r="L82" t="n">
        <v>0</v>
      </c>
      <c r="M82" t="n">
        <v>0</v>
      </c>
      <c r="N82" t="n">
        <v>0</v>
      </c>
    </row>
    <row r="83">
      <c r="A83" t="inlineStr">
        <is>
          <t>issues of the manor</t>
        </is>
      </c>
      <c r="B83" t="inlineStr">
        <is>
          <t>11pence from the skins sold of 81 wethers and 3 ewes in murrain after shearing.</t>
        </is>
      </c>
      <c r="C83" t="n">
        <v>0.05</v>
      </c>
      <c r="D83" t="n">
        <v>0</v>
      </c>
      <c r="E83" t="n">
        <v>0</v>
      </c>
      <c r="F83" t="n">
        <v>11</v>
      </c>
      <c r="H83" t="n">
        <v>0</v>
      </c>
      <c r="I83" t="n">
        <v>0</v>
      </c>
      <c r="J83" t="n">
        <v>0</v>
      </c>
      <c r="K83" t="n">
        <v>0</v>
      </c>
      <c r="L83" t="n">
        <v>0</v>
      </c>
      <c r="M83" t="n">
        <v>0</v>
      </c>
      <c r="N83" t="n">
        <v>0</v>
      </c>
    </row>
    <row r="84">
      <c r="A84" t="inlineStr">
        <is>
          <t>issues of the manor</t>
        </is>
      </c>
      <c r="B84" t="inlineStr">
        <is>
          <t>3 shilling 1.5pence from the skins sold of 55 lambs in murrain before shearing.</t>
        </is>
      </c>
      <c r="C84" t="n">
        <v>0.16</v>
      </c>
      <c r="D84" t="n">
        <v>0</v>
      </c>
      <c r="E84" t="n">
        <v>3</v>
      </c>
      <c r="F84" t="n">
        <v>1.5</v>
      </c>
      <c r="H84" t="n">
        <v>0</v>
      </c>
      <c r="I84" t="n">
        <v>0</v>
      </c>
      <c r="J84" t="n">
        <v>0</v>
      </c>
      <c r="K84" t="n">
        <v>0</v>
      </c>
      <c r="L84" t="n">
        <v>0</v>
      </c>
      <c r="M84" t="n">
        <v>0</v>
      </c>
      <c r="N84" t="n">
        <v>0</v>
      </c>
    </row>
    <row r="85">
      <c r="A85" t="inlineStr">
        <is>
          <t>issues of the manor</t>
        </is>
      </c>
      <c r="B85" t="inlineStr">
        <is>
          <t>nothing from wool locks this year.</t>
        </is>
      </c>
      <c r="C85" t="n">
        <v>0</v>
      </c>
      <c r="D85" t="n">
        <v>0</v>
      </c>
      <c r="E85" t="n">
        <v>0</v>
      </c>
      <c r="F85" t="n">
        <v>0</v>
      </c>
      <c r="H85" t="n">
        <v>0</v>
      </c>
      <c r="I85" t="n">
        <v>0</v>
      </c>
      <c r="J85" t="n">
        <v>0</v>
      </c>
      <c r="K85" t="n">
        <v>0</v>
      </c>
      <c r="L85" t="n">
        <v>0</v>
      </c>
      <c r="M85" t="n">
        <v>0</v>
      </c>
      <c r="N85" t="n">
        <v>0</v>
      </c>
    </row>
    <row r="86">
      <c r="A86" t="inlineStr">
        <is>
          <t>issues of the manor</t>
        </is>
      </c>
      <c r="B86" t="inlineStr">
        <is>
          <t>nothing from the sale of rabbits this year.</t>
        </is>
      </c>
      <c r="C86" t="n">
        <v>0</v>
      </c>
      <c r="D86" t="n">
        <v>0</v>
      </c>
      <c r="E86" t="n">
        <v>0</v>
      </c>
      <c r="F86" t="n">
        <v>0</v>
      </c>
      <c r="H86" t="n">
        <v>0</v>
      </c>
      <c r="I86" t="n">
        <v>0</v>
      </c>
      <c r="J86" t="n">
        <v>0</v>
      </c>
      <c r="K86" t="n">
        <v>0</v>
      </c>
      <c r="L86" t="n">
        <v>0</v>
      </c>
      <c r="M86" t="n">
        <v>0</v>
      </c>
      <c r="N86" t="n">
        <v>0</v>
      </c>
    </row>
    <row r="87">
      <c r="A87" t="inlineStr">
        <is>
          <t>issues of the manor</t>
        </is>
      </c>
      <c r="B87" t="inlineStr">
        <is>
          <t>7 shilling 4pence from 22 geese sold, at 4pence each.</t>
        </is>
      </c>
      <c r="C87" t="n">
        <v>0.37</v>
      </c>
      <c r="D87" t="n">
        <v>0</v>
      </c>
      <c r="E87" t="n">
        <v>7</v>
      </c>
      <c r="F87" t="n">
        <v>4</v>
      </c>
      <c r="H87" t="n">
        <v>0</v>
      </c>
      <c r="I87" t="n">
        <v>0</v>
      </c>
      <c r="J87" t="n">
        <v>0</v>
      </c>
      <c r="K87" t="n">
        <v>0</v>
      </c>
      <c r="L87" t="n">
        <v>0</v>
      </c>
      <c r="M87" t="n">
        <v>0</v>
      </c>
      <c r="N87" t="n">
        <v>0</v>
      </c>
    </row>
    <row r="88">
      <c r="A88" t="inlineStr">
        <is>
          <t>issues of the manor</t>
        </is>
      </c>
      <c r="B88" t="inlineStr">
        <is>
          <t>8 shilling from 24 capons sold, 5 of them to the lord's household, at 4pence each.</t>
        </is>
      </c>
      <c r="C88" t="n">
        <v>0.42</v>
      </c>
      <c r="D88" t="n">
        <v>0</v>
      </c>
      <c r="E88" t="n">
        <v>8</v>
      </c>
      <c r="F88" t="n">
        <v>4</v>
      </c>
      <c r="H88" t="n">
        <v>0</v>
      </c>
      <c r="I88" t="n">
        <v>0</v>
      </c>
      <c r="J88" t="n">
        <v>0</v>
      </c>
      <c r="K88" t="n">
        <v>0</v>
      </c>
      <c r="L88" t="n">
        <v>0</v>
      </c>
      <c r="M88" t="n">
        <v>0</v>
      </c>
      <c r="N88" t="n">
        <v>0</v>
      </c>
    </row>
    <row r="89">
      <c r="A89" t="inlineStr">
        <is>
          <t>issues of the manor</t>
        </is>
      </c>
      <c r="B89" t="inlineStr">
        <is>
          <t>£1 3 shilling 10pence from 145 hens sold, 40 of them to the lord's household, at 2pence each.</t>
        </is>
      </c>
      <c r="C89" t="n">
        <v>1.19</v>
      </c>
      <c r="D89" t="n">
        <v>1</v>
      </c>
      <c r="E89" t="n">
        <v>3</v>
      </c>
      <c r="F89" t="n">
        <v>10</v>
      </c>
      <c r="H89" t="n">
        <v>0</v>
      </c>
      <c r="I89" t="n">
        <v>0</v>
      </c>
      <c r="J89" t="n">
        <v>0</v>
      </c>
      <c r="K89" t="n">
        <v>0</v>
      </c>
      <c r="L89" t="n">
        <v>0</v>
      </c>
      <c r="M89" t="n">
        <v>0</v>
      </c>
      <c r="N89" t="n">
        <v>0</v>
      </c>
    </row>
    <row r="90">
      <c r="A90" t="inlineStr">
        <is>
          <t>issues of the manor</t>
        </is>
      </c>
      <c r="B90" t="inlineStr">
        <is>
          <t>10pence from 200 eggs sold.</t>
        </is>
      </c>
      <c r="C90" t="n">
        <v>0.04</v>
      </c>
      <c r="D90" t="n">
        <v>0</v>
      </c>
      <c r="E90" t="n">
        <v>0</v>
      </c>
      <c r="F90" t="n">
        <v>10</v>
      </c>
      <c r="H90" t="n">
        <v>0</v>
      </c>
      <c r="I90" t="n">
        <v>0</v>
      </c>
      <c r="J90" t="n">
        <v>0</v>
      </c>
      <c r="K90" t="n">
        <v>0</v>
      </c>
      <c r="L90" t="n">
        <v>0</v>
      </c>
      <c r="M90" t="n">
        <v>0</v>
      </c>
      <c r="N90" t="n">
        <v>0</v>
      </c>
    </row>
    <row r="91">
      <c r="A91" t="inlineStr">
        <is>
          <t>issues of the manor</t>
        </is>
      </c>
      <c r="B91" t="inlineStr">
        <is>
          <t>£3 5 shilling 8pence from the milking of 20 cows by the stoup this year, and thus a cow answers for 3 shilling 4pence with 2 cheeses given to the customary tenants valued at 1 shilling.</t>
        </is>
      </c>
      <c r="C91" t="n">
        <v>3.28</v>
      </c>
      <c r="D91" t="n">
        <v>3</v>
      </c>
      <c r="E91" t="n">
        <v>5</v>
      </c>
      <c r="F91" t="n">
        <v>8</v>
      </c>
      <c r="H91" t="n">
        <v>0</v>
      </c>
      <c r="I91" t="n">
        <v>0</v>
      </c>
      <c r="J91" t="n">
        <v>0</v>
      </c>
      <c r="K91" t="n">
        <v>0</v>
      </c>
      <c r="L91" t="n">
        <v>0</v>
      </c>
      <c r="M91" t="n">
        <v>0</v>
      </c>
      <c r="N91" t="n">
        <v>0</v>
      </c>
    </row>
    <row r="92">
      <c r="A92" t="inlineStr">
        <is>
          <t>issues of the manor</t>
        </is>
      </c>
      <c r="B92" t="inlineStr">
        <is>
          <t>£7 16 shilling from 67 quarters 4 bushels of salt sold, 38 quarters of it to the poor tenants of bursledon, at 1 shilling a quarters, and 18 quarters to the lord's household and 11 quarters 4 bushels in the market, at 4 shilling a quarters.</t>
        </is>
      </c>
      <c r="C92" t="n">
        <v>7.8</v>
      </c>
      <c r="D92" t="n">
        <v>7</v>
      </c>
      <c r="E92" t="n">
        <v>16</v>
      </c>
      <c r="F92" t="n">
        <v>0</v>
      </c>
      <c r="H92" t="n">
        <v>67</v>
      </c>
      <c r="I92" t="n">
        <v>4</v>
      </c>
      <c r="J92" t="n">
        <v>67.5</v>
      </c>
      <c r="K92" t="n">
        <v>67.5</v>
      </c>
      <c r="L92" t="n">
        <v>0</v>
      </c>
      <c r="M92" t="n">
        <v>67</v>
      </c>
      <c r="N92" t="n">
        <v>4</v>
      </c>
      <c r="O92" t="n">
        <v>38</v>
      </c>
      <c r="P92" t="n">
        <v>0</v>
      </c>
      <c r="Q92" t="n">
        <v>18</v>
      </c>
      <c r="R92" t="n">
        <v>0</v>
      </c>
      <c r="S92" t="n">
        <v>11</v>
      </c>
      <c r="T92" t="n">
        <v>4</v>
      </c>
      <c r="W92" t="n">
        <v>1</v>
      </c>
      <c r="X92" t="n">
        <v>0</v>
      </c>
      <c r="Y92" t="n">
        <v>4</v>
      </c>
      <c r="Z92" t="n">
        <v>0</v>
      </c>
    </row>
    <row r="93">
      <c r="A93" t="inlineStr">
        <is>
          <t>issues of the manor</t>
        </is>
      </c>
      <c r="B93" t="inlineStr">
        <is>
          <t>6 shilling 8pence from the herbage of the meadow of bitterne sold this year.</t>
        </is>
      </c>
      <c r="C93" t="n">
        <v>0.33</v>
      </c>
      <c r="D93" t="n">
        <v>0</v>
      </c>
      <c r="E93" t="n">
        <v>6</v>
      </c>
      <c r="F93" t="n">
        <v>8</v>
      </c>
      <c r="H93" t="n">
        <v>0</v>
      </c>
      <c r="I93" t="n">
        <v>0</v>
      </c>
      <c r="J93" t="n">
        <v>0</v>
      </c>
      <c r="K93" t="n">
        <v>0</v>
      </c>
      <c r="L93" t="n">
        <v>0</v>
      </c>
      <c r="M93" t="n">
        <v>0</v>
      </c>
      <c r="N93" t="n">
        <v>0</v>
      </c>
    </row>
    <row r="94">
      <c r="A94" t="inlineStr">
        <is>
          <t>issues of the manor</t>
        </is>
      </c>
      <c r="B94" t="inlineStr">
        <is>
          <t>nothing from lime sold this year.</t>
        </is>
      </c>
      <c r="C94" t="n">
        <v>0</v>
      </c>
      <c r="D94" t="n">
        <v>0</v>
      </c>
      <c r="E94" t="n">
        <v>0</v>
      </c>
      <c r="F94" t="n">
        <v>0</v>
      </c>
      <c r="H94" t="n">
        <v>0</v>
      </c>
      <c r="I94" t="n">
        <v>0</v>
      </c>
      <c r="J94" t="n">
        <v>0</v>
      </c>
      <c r="K94" t="n">
        <v>0</v>
      </c>
      <c r="L94" t="n">
        <v>0</v>
      </c>
      <c r="M94" t="n">
        <v>0</v>
      </c>
      <c r="N94" t="n">
        <v>0</v>
      </c>
    </row>
    <row r="95">
      <c r="A95" t="inlineStr">
        <is>
          <t>issues of the manor</t>
        </is>
      </c>
      <c r="B95" t="inlineStr">
        <is>
          <t>nothing from laths sold this year.</t>
        </is>
      </c>
      <c r="C95" t="n">
        <v>0</v>
      </c>
      <c r="D95" t="n">
        <v>0</v>
      </c>
      <c r="E95" t="n">
        <v>0</v>
      </c>
      <c r="F95" t="n">
        <v>0</v>
      </c>
      <c r="H95" t="n">
        <v>0</v>
      </c>
      <c r="I95" t="n">
        <v>0</v>
      </c>
      <c r="J95" t="n">
        <v>0</v>
      </c>
      <c r="K95" t="n">
        <v>0</v>
      </c>
      <c r="L95" t="n">
        <v>0</v>
      </c>
      <c r="M95" t="n">
        <v>0</v>
      </c>
      <c r="N95" t="n">
        <v>0</v>
      </c>
    </row>
    <row r="96">
      <c r="A96" t="inlineStr">
        <is>
          <t>issues of the manor</t>
        </is>
      </c>
      <c r="B96" t="inlineStr">
        <is>
          <t>1 shilling from the issue of the land and tenement recently of the smith in the lord's hands, on top of the fixed rent, demised this year.</t>
        </is>
      </c>
      <c r="C96" t="n">
        <v>0.05</v>
      </c>
      <c r="D96" t="n">
        <v>0</v>
      </c>
      <c r="E96" t="n">
        <v>1</v>
      </c>
      <c r="F96" t="n">
        <v>0</v>
      </c>
      <c r="H96" t="n">
        <v>0</v>
      </c>
      <c r="I96" t="n">
        <v>0</v>
      </c>
      <c r="J96" t="n">
        <v>0</v>
      </c>
      <c r="K96" t="n">
        <v>0</v>
      </c>
      <c r="L96" t="n">
        <v>0</v>
      </c>
      <c r="M96" t="n">
        <v>0</v>
      </c>
      <c r="N96" t="n">
        <v>0</v>
      </c>
    </row>
    <row r="97">
      <c r="A97" t="inlineStr">
        <is>
          <t>issues of the manor</t>
        </is>
      </c>
      <c r="B97" t="inlineStr">
        <is>
          <t>3 shilling 4pence from the loppings of 20 saplings in parkhursewode sold this year.</t>
        </is>
      </c>
      <c r="C97" t="n">
        <v>0.17</v>
      </c>
      <c r="D97" t="n">
        <v>0</v>
      </c>
      <c r="E97" t="n">
        <v>3</v>
      </c>
      <c r="F97" t="n">
        <v>4</v>
      </c>
      <c r="H97" t="n">
        <v>0</v>
      </c>
      <c r="I97" t="n">
        <v>0</v>
      </c>
      <c r="J97" t="n">
        <v>0</v>
      </c>
      <c r="K97" t="n">
        <v>0</v>
      </c>
      <c r="L97" t="n">
        <v>0</v>
      </c>
      <c r="M97" t="n">
        <v>0</v>
      </c>
      <c r="N97" t="n">
        <v>0</v>
      </c>
    </row>
    <row r="98">
      <c r="A98" t="inlineStr">
        <is>
          <t>issues of the manor</t>
        </is>
      </c>
      <c r="B98" t="inlineStr">
        <is>
          <t>nothing from the sale of bark there this year.</t>
        </is>
      </c>
      <c r="C98" t="n">
        <v>0</v>
      </c>
      <c r="D98" t="n">
        <v>0</v>
      </c>
      <c r="E98" t="n">
        <v>0</v>
      </c>
      <c r="F98" t="n">
        <v>0</v>
      </c>
      <c r="H98" t="n">
        <v>0</v>
      </c>
      <c r="I98" t="n">
        <v>0</v>
      </c>
      <c r="J98" t="n">
        <v>0</v>
      </c>
      <c r="K98" t="n">
        <v>0</v>
      </c>
      <c r="L98" t="n">
        <v>0</v>
      </c>
      <c r="M98" t="n">
        <v>0</v>
      </c>
      <c r="N98" t="n">
        <v>0</v>
      </c>
    </row>
    <row r="99">
      <c r="A99" t="inlineStr">
        <is>
          <t>issues of the manor</t>
        </is>
      </c>
      <c r="B99" t="inlineStr">
        <is>
          <t>nothing from the hire of stalls in the market this year.</t>
        </is>
      </c>
      <c r="C99" t="n">
        <v>0</v>
      </c>
      <c r="D99" t="n">
        <v>0</v>
      </c>
      <c r="E99" t="n">
        <v>0</v>
      </c>
      <c r="F99" t="n">
        <v>0</v>
      </c>
      <c r="H99" t="n">
        <v>0</v>
      </c>
      <c r="I99" t="n">
        <v>0</v>
      </c>
      <c r="J99" t="n">
        <v>0</v>
      </c>
      <c r="K99" t="n">
        <v>0</v>
      </c>
      <c r="L99" t="n">
        <v>0</v>
      </c>
      <c r="M99" t="n">
        <v>0</v>
      </c>
      <c r="N99" t="n">
        <v>0</v>
      </c>
    </row>
    <row r="100">
      <c r="A100" t="inlineStr">
        <is>
          <t>issues of the manor</t>
        </is>
      </c>
      <c r="B100" t="inlineStr">
        <is>
          <t>nothing from the sale of bark in the park this year.</t>
        </is>
      </c>
      <c r="C100" t="n">
        <v>0</v>
      </c>
      <c r="D100" t="n">
        <v>0</v>
      </c>
      <c r="E100" t="n">
        <v>0</v>
      </c>
      <c r="F100" t="n">
        <v>0</v>
      </c>
      <c r="H100" t="n">
        <v>0</v>
      </c>
      <c r="I100" t="n">
        <v>0</v>
      </c>
      <c r="J100" t="n">
        <v>0</v>
      </c>
      <c r="K100" t="n">
        <v>0</v>
      </c>
      <c r="L100" t="n">
        <v>0</v>
      </c>
      <c r="M100" t="n">
        <v>0</v>
      </c>
      <c r="N100" t="n">
        <v>0</v>
      </c>
    </row>
    <row r="101">
      <c r="A101" t="inlineStr">
        <is>
          <t>issues of the manor</t>
        </is>
      </c>
      <c r="B101" t="inlineStr">
        <is>
          <t>6pence from 1 plot of land of the lord's waste, 20 feet long and 12 feet wide, beside the mill outside the gate of the curia, leased this year.</t>
        </is>
      </c>
      <c r="C101" t="n">
        <v>0.03</v>
      </c>
      <c r="D101" t="n">
        <v>0</v>
      </c>
      <c r="E101" t="n">
        <v>0</v>
      </c>
      <c r="F101" t="n">
        <v>6</v>
      </c>
      <c r="H101" t="n">
        <v>0</v>
      </c>
      <c r="I101" t="n">
        <v>0</v>
      </c>
      <c r="J101" t="n">
        <v>0</v>
      </c>
      <c r="K101" t="n">
        <v>0</v>
      </c>
      <c r="L101" t="n">
        <v>0</v>
      </c>
      <c r="M101" t="n">
        <v>0</v>
      </c>
      <c r="N101" t="n">
        <v>0</v>
      </c>
    </row>
    <row r="102">
      <c r="A102" t="inlineStr">
        <is>
          <t>issues of the manor</t>
        </is>
      </c>
      <c r="B102" t="inlineStr">
        <is>
          <t>total, £21 3 shilling 4pence.</t>
        </is>
      </c>
      <c r="C102" t="n">
        <v>21.17</v>
      </c>
      <c r="D102" t="n">
        <v>21</v>
      </c>
      <c r="E102" t="n">
        <v>3</v>
      </c>
      <c r="F102" t="n">
        <v>4</v>
      </c>
      <c r="H102" t="n">
        <v>0</v>
      </c>
      <c r="I102" t="n">
        <v>0</v>
      </c>
      <c r="J102" t="n">
        <v>0</v>
      </c>
      <c r="K102" t="n">
        <v>0</v>
      </c>
      <c r="L102" t="n">
        <v>0</v>
      </c>
      <c r="M102" t="n">
        <v>0</v>
      </c>
      <c r="N102" t="n">
        <v>0</v>
      </c>
    </row>
    <row r="103">
      <c r="A103" t="inlineStr">
        <is>
          <t>sale of labour services</t>
        </is>
      </c>
      <c r="B103" t="inlineStr">
        <is>
          <t>and for 2 shilling 8pence from thomas chepman for the release of the labour services of the lam of thomas pyg' which belonged to fi3ate.</t>
        </is>
      </c>
      <c r="C103" t="n">
        <v>0.13</v>
      </c>
      <c r="D103" t="n">
        <v>0</v>
      </c>
      <c r="E103" t="n">
        <v>2</v>
      </c>
      <c r="F103" t="n">
        <v>8</v>
      </c>
      <c r="H103" t="n">
        <v>0</v>
      </c>
      <c r="I103" t="n">
        <v>0</v>
      </c>
      <c r="J103" t="n">
        <v>0</v>
      </c>
      <c r="K103" t="n">
        <v>0</v>
      </c>
      <c r="L103" t="n">
        <v>0</v>
      </c>
      <c r="M103" t="n">
        <v>0</v>
      </c>
      <c r="N103" t="n">
        <v>0</v>
      </c>
    </row>
    <row r="104">
      <c r="A104" t="inlineStr">
        <is>
          <t>sale of labour services</t>
        </is>
      </c>
      <c r="B104" t="inlineStr">
        <is>
          <t>1 shilling 8pence from john spor' for release of the labour services of the land of bane.</t>
        </is>
      </c>
      <c r="C104" t="n">
        <v>0.08</v>
      </c>
      <c r="D104" t="n">
        <v>0</v>
      </c>
      <c r="E104" t="n">
        <v>1</v>
      </c>
      <c r="F104" t="n">
        <v>8</v>
      </c>
      <c r="H104" t="n">
        <v>0</v>
      </c>
      <c r="I104" t="n">
        <v>0</v>
      </c>
      <c r="J104" t="n">
        <v>0</v>
      </c>
      <c r="K104" t="n">
        <v>0</v>
      </c>
      <c r="L104" t="n">
        <v>0</v>
      </c>
      <c r="M104" t="n">
        <v>0</v>
      </c>
      <c r="N104" t="n">
        <v>0</v>
      </c>
    </row>
    <row r="105">
      <c r="A105" t="inlineStr">
        <is>
          <t>sale of labour services</t>
        </is>
      </c>
      <c r="B105" t="inlineStr">
        <is>
          <t>3 shilling 4pence from john atte mere for release of the labour services of peter atte oure.</t>
        </is>
      </c>
      <c r="C105" t="n">
        <v>0.17</v>
      </c>
      <c r="D105" t="n">
        <v>0</v>
      </c>
      <c r="E105" t="n">
        <v>3</v>
      </c>
      <c r="F105" t="n">
        <v>4</v>
      </c>
      <c r="H105" t="n">
        <v>0</v>
      </c>
      <c r="I105" t="n">
        <v>0</v>
      </c>
      <c r="J105" t="n">
        <v>0</v>
      </c>
      <c r="K105" t="n">
        <v>0</v>
      </c>
      <c r="L105" t="n">
        <v>0</v>
      </c>
      <c r="M105" t="n">
        <v>0</v>
      </c>
      <c r="N105" t="n">
        <v>0</v>
      </c>
    </row>
    <row r="106">
      <c r="A106" t="inlineStr">
        <is>
          <t>sale of labour services</t>
        </is>
      </c>
      <c r="B106" t="inlineStr">
        <is>
          <t>2 shilling from william mortymer for release of the labour services of the land of symenell'.</t>
        </is>
      </c>
      <c r="C106" t="n">
        <v>0.1</v>
      </c>
      <c r="D106" t="n">
        <v>0</v>
      </c>
      <c r="E106" t="n">
        <v>2</v>
      </c>
      <c r="F106" t="n">
        <v>0</v>
      </c>
      <c r="H106" t="n">
        <v>0</v>
      </c>
      <c r="I106" t="n">
        <v>0</v>
      </c>
      <c r="J106" t="n">
        <v>0</v>
      </c>
      <c r="K106" t="n">
        <v>0</v>
      </c>
      <c r="L106" t="n">
        <v>0</v>
      </c>
      <c r="M106" t="n">
        <v>0</v>
      </c>
      <c r="N106" t="n">
        <v>0</v>
      </c>
    </row>
    <row r="107">
      <c r="A107" t="inlineStr">
        <is>
          <t>sale of labour services</t>
        </is>
      </c>
      <c r="B107" t="inlineStr">
        <is>
          <t>1 shilling from roger yelle for release of the labour services of the land of goderhale.</t>
        </is>
      </c>
      <c r="C107" t="n">
        <v>0.05</v>
      </c>
      <c r="D107" t="n">
        <v>0</v>
      </c>
      <c r="E107" t="n">
        <v>1</v>
      </c>
      <c r="F107" t="n">
        <v>0</v>
      </c>
      <c r="H107" t="n">
        <v>0</v>
      </c>
      <c r="I107" t="n">
        <v>0</v>
      </c>
      <c r="J107" t="n">
        <v>0</v>
      </c>
      <c r="K107" t="n">
        <v>0</v>
      </c>
      <c r="L107" t="n">
        <v>0</v>
      </c>
      <c r="M107" t="n">
        <v>0</v>
      </c>
      <c r="N107" t="n">
        <v>0</v>
      </c>
    </row>
    <row r="108">
      <c r="A108" t="inlineStr">
        <is>
          <t>sale of labour services</t>
        </is>
      </c>
      <c r="B108" t="inlineStr">
        <is>
          <t>3 shilling from john clerk' and william colswayn' for release of the labour services of the land formerly of agnes parker of upham which belonged to adam le prest.</t>
        </is>
      </c>
      <c r="C108" t="n">
        <v>0.15</v>
      </c>
      <c r="D108" t="n">
        <v>0</v>
      </c>
      <c r="E108" t="n">
        <v>3</v>
      </c>
      <c r="F108" t="n">
        <v>0</v>
      </c>
      <c r="H108" t="n">
        <v>0</v>
      </c>
      <c r="I108" t="n">
        <v>0</v>
      </c>
      <c r="J108" t="n">
        <v>0</v>
      </c>
      <c r="K108" t="n">
        <v>0</v>
      </c>
      <c r="L108" t="n">
        <v>0</v>
      </c>
      <c r="M108" t="n">
        <v>0</v>
      </c>
      <c r="N108" t="n">
        <v>0</v>
      </c>
    </row>
    <row r="109">
      <c r="A109" t="inlineStr">
        <is>
          <t>sale of labour services</t>
        </is>
      </c>
      <c r="B109" t="inlineStr">
        <is>
          <t>1 shilling from christine bane for release of the labour services of the land recently of peter wodecok' which belonged to sauceres.</t>
        </is>
      </c>
      <c r="C109" t="n">
        <v>0.05</v>
      </c>
      <c r="D109" t="n">
        <v>0</v>
      </c>
      <c r="E109" t="n">
        <v>1</v>
      </c>
      <c r="F109" t="n">
        <v>0</v>
      </c>
      <c r="H109" t="n">
        <v>0</v>
      </c>
      <c r="I109" t="n">
        <v>0</v>
      </c>
      <c r="J109" t="n">
        <v>0</v>
      </c>
      <c r="K109" t="n">
        <v>0</v>
      </c>
      <c r="L109" t="n">
        <v>0</v>
      </c>
      <c r="M109" t="n">
        <v>0</v>
      </c>
      <c r="N109" t="n">
        <v>0</v>
      </c>
    </row>
    <row r="110">
      <c r="A110" t="inlineStr">
        <is>
          <t>sale of labour services</t>
        </is>
      </c>
      <c r="B110" t="inlineStr">
        <is>
          <t>14 shilling from thomas lavender for release of the labour services of the tenement recently of christine atte hasele, nicholas mulleward' for the tenement recently of hugh andrew, william sequens, butcher, for the tenement recently of john gilys the elder, agnes atte beche for the tenement of henry porchestr', thomas lavender for the tenement recently of thomas pyg', olive horn for the tenement recently of richard tapener, william shipiere for the tenement recently of william boor, william fryk' for the tenement recently of william taunton', john malbusshe for the tenement recently of robert atte wynde, john hatter' for the tenement recently of william asser, john malbusshe for the tenement recently of john de anne, john colswayn' for the tenement recently of john skeg', laurence bemthe for the tenement recently of alice mulleward, and thomas tannere for the tenement recently of henry marchall', at 1 shilling each for the year.</t>
        </is>
      </c>
      <c r="C110" t="n">
        <v>0.7</v>
      </c>
      <c r="D110" t="n">
        <v>0</v>
      </c>
      <c r="E110" t="n">
        <v>14</v>
      </c>
      <c r="F110" t="n">
        <v>0</v>
      </c>
      <c r="H110" t="n">
        <v>0</v>
      </c>
      <c r="I110" t="n">
        <v>0</v>
      </c>
      <c r="J110" t="n">
        <v>0</v>
      </c>
      <c r="K110" t="n">
        <v>0</v>
      </c>
      <c r="L110" t="n">
        <v>0</v>
      </c>
      <c r="M110" t="n">
        <v>0</v>
      </c>
      <c r="N110" t="n">
        <v>0</v>
      </c>
    </row>
    <row r="111">
      <c r="A111" t="inlineStr">
        <is>
          <t>sale of labour services</t>
        </is>
      </c>
      <c r="B111" t="inlineStr">
        <is>
          <t>1 shilling 6pence from john atte mere for release of the labour services of the land recently of richard goode.</t>
        </is>
      </c>
      <c r="C111" t="n">
        <v>0.08</v>
      </c>
      <c r="D111" t="n">
        <v>0</v>
      </c>
      <c r="E111" t="n">
        <v>1</v>
      </c>
      <c r="F111" t="n">
        <v>6</v>
      </c>
      <c r="H111" t="n">
        <v>0</v>
      </c>
      <c r="I111" t="n">
        <v>0</v>
      </c>
      <c r="J111" t="n">
        <v>0</v>
      </c>
      <c r="K111" t="n">
        <v>0</v>
      </c>
      <c r="L111" t="n">
        <v>0</v>
      </c>
      <c r="M111" t="n">
        <v>0</v>
      </c>
      <c r="N111" t="n">
        <v>0</v>
      </c>
    </row>
    <row r="112">
      <c r="A112" t="inlineStr">
        <is>
          <t>sale of labour services</t>
        </is>
      </c>
      <c r="B112" t="inlineStr">
        <is>
          <t>4 shilling from william parker and gregory pyg' for release of the labour services of the land formerly of william hodayn.</t>
        </is>
      </c>
      <c r="C112" t="n">
        <v>0.2</v>
      </c>
      <c r="D112" t="n">
        <v>0</v>
      </c>
      <c r="E112" t="n">
        <v>4</v>
      </c>
      <c r="F112" t="n">
        <v>0</v>
      </c>
      <c r="H112" t="n">
        <v>0</v>
      </c>
      <c r="I112" t="n">
        <v>0</v>
      </c>
      <c r="J112" t="n">
        <v>0</v>
      </c>
      <c r="K112" t="n">
        <v>0</v>
      </c>
      <c r="L112" t="n">
        <v>0</v>
      </c>
      <c r="M112" t="n">
        <v>0</v>
      </c>
      <c r="N112" t="n">
        <v>0</v>
      </c>
    </row>
    <row r="113">
      <c r="A113" t="inlineStr">
        <is>
          <t>sale of labour services</t>
        </is>
      </c>
      <c r="B113" t="inlineStr">
        <is>
          <t>2 shilling from john warmond' for release of the labour services of his land.</t>
        </is>
      </c>
      <c r="C113" t="n">
        <v>0.1</v>
      </c>
      <c r="D113" t="n">
        <v>0</v>
      </c>
      <c r="E113" t="n">
        <v>2</v>
      </c>
      <c r="F113" t="n">
        <v>0</v>
      </c>
      <c r="H113" t="n">
        <v>0</v>
      </c>
      <c r="I113" t="n">
        <v>0</v>
      </c>
      <c r="J113" t="n">
        <v>0</v>
      </c>
      <c r="K113" t="n">
        <v>0</v>
      </c>
      <c r="L113" t="n">
        <v>0</v>
      </c>
      <c r="M113" t="n">
        <v>0</v>
      </c>
      <c r="N113" t="n">
        <v>0</v>
      </c>
    </row>
    <row r="114">
      <c r="A114" t="inlineStr">
        <is>
          <t>sale of labour services</t>
        </is>
      </c>
      <c r="B114" t="inlineStr">
        <is>
          <t>1 shilling 3pence from william davy for release of the labour services of the land recently of john atte welle.</t>
        </is>
      </c>
      <c r="C114" t="n">
        <v>0.06</v>
      </c>
      <c r="D114" t="n">
        <v>0</v>
      </c>
      <c r="E114" t="n">
        <v>1</v>
      </c>
      <c r="F114" t="n">
        <v>3</v>
      </c>
      <c r="H114" t="n">
        <v>0</v>
      </c>
      <c r="I114" t="n">
        <v>0</v>
      </c>
      <c r="J114" t="n">
        <v>0</v>
      </c>
      <c r="K114" t="n">
        <v>0</v>
      </c>
      <c r="L114" t="n">
        <v>0</v>
      </c>
      <c r="M114" t="n">
        <v>0</v>
      </c>
      <c r="N114" t="n">
        <v>0</v>
      </c>
    </row>
    <row r="115">
      <c r="A115" t="inlineStr">
        <is>
          <t>sale of labour services</t>
        </is>
      </c>
      <c r="B115" t="inlineStr">
        <is>
          <t>2 shilling from richard godewyne for release of the labour services of the land of wrench.</t>
        </is>
      </c>
      <c r="C115" t="n">
        <v>0.1</v>
      </c>
      <c r="D115" t="n">
        <v>0</v>
      </c>
      <c r="E115" t="n">
        <v>2</v>
      </c>
      <c r="F115" t="n">
        <v>0</v>
      </c>
      <c r="H115" t="n">
        <v>0</v>
      </c>
      <c r="I115" t="n">
        <v>0</v>
      </c>
      <c r="J115" t="n">
        <v>0</v>
      </c>
      <c r="K115" t="n">
        <v>0</v>
      </c>
      <c r="L115" t="n">
        <v>0</v>
      </c>
      <c r="M115" t="n">
        <v>0</v>
      </c>
      <c r="N115" t="n">
        <v>0</v>
      </c>
    </row>
    <row r="116">
      <c r="A116" t="inlineStr">
        <is>
          <t>sale of labour services</t>
        </is>
      </c>
      <c r="B116" t="inlineStr">
        <is>
          <t>3 shilling from richard depenhale for release of the labour services of the land of bulche.</t>
        </is>
      </c>
      <c r="C116" t="n">
        <v>0.15</v>
      </c>
      <c r="D116" t="n">
        <v>0</v>
      </c>
      <c r="E116" t="n">
        <v>3</v>
      </c>
      <c r="F116" t="n">
        <v>0</v>
      </c>
      <c r="H116" t="n">
        <v>0</v>
      </c>
      <c r="I116" t="n">
        <v>0</v>
      </c>
      <c r="J116" t="n">
        <v>0</v>
      </c>
      <c r="K116" t="n">
        <v>0</v>
      </c>
      <c r="L116" t="n">
        <v>0</v>
      </c>
      <c r="M116" t="n">
        <v>0</v>
      </c>
      <c r="N116" t="n">
        <v>0</v>
      </c>
    </row>
    <row r="117">
      <c r="A117" t="inlineStr">
        <is>
          <t>sale of labour services</t>
        </is>
      </c>
      <c r="B117" t="inlineStr">
        <is>
          <t>2 shilling from mary vaucort' for release of the labour services of the land of porchestrescroft.</t>
        </is>
      </c>
      <c r="C117" t="n">
        <v>0.1</v>
      </c>
      <c r="D117" t="n">
        <v>0</v>
      </c>
      <c r="E117" t="n">
        <v>2</v>
      </c>
      <c r="F117" t="n">
        <v>0</v>
      </c>
      <c r="H117" t="n">
        <v>0</v>
      </c>
      <c r="I117" t="n">
        <v>0</v>
      </c>
      <c r="J117" t="n">
        <v>0</v>
      </c>
      <c r="K117" t="n">
        <v>0</v>
      </c>
      <c r="L117" t="n">
        <v>0</v>
      </c>
      <c r="M117" t="n">
        <v>0</v>
      </c>
      <c r="N117" t="n">
        <v>0</v>
      </c>
    </row>
    <row r="118">
      <c r="A118" t="inlineStr">
        <is>
          <t>sale of labour services</t>
        </is>
      </c>
      <c r="B118" t="inlineStr">
        <is>
          <t>£8 from 12 carters for release of their labour services, at 13 shilling 4pence each for the year.</t>
        </is>
      </c>
      <c r="C118" t="n">
        <v>8</v>
      </c>
      <c r="D118" t="n">
        <v>8</v>
      </c>
      <c r="E118" t="n">
        <v>0</v>
      </c>
      <c r="F118" t="n">
        <v>0</v>
      </c>
      <c r="H118" t="n">
        <v>0</v>
      </c>
      <c r="I118" t="n">
        <v>0</v>
      </c>
      <c r="J118" t="n">
        <v>0</v>
      </c>
      <c r="K118" t="n">
        <v>0</v>
      </c>
      <c r="L118" t="n">
        <v>0</v>
      </c>
      <c r="M118" t="n">
        <v>0</v>
      </c>
      <c r="N118" t="n">
        <v>0</v>
      </c>
    </row>
    <row r="119">
      <c r="A119" t="inlineStr">
        <is>
          <t>sale of labour services</t>
        </is>
      </c>
      <c r="B119" t="inlineStr">
        <is>
          <t>£4 16 shilling 9.5pence from the whole hundred for release of their labour services, because so many more were accustomed to work and 3 shilling 2.5pence are subtracted for the land of totenhale which william wodelok' held and the land of frythe which thomas everard' formerly held and which were made free in the time of john de pontissara, lord bishop of winchester.</t>
        </is>
      </c>
      <c r="C119" t="n">
        <v>4.84</v>
      </c>
      <c r="D119" t="n">
        <v>4</v>
      </c>
      <c r="E119" t="n">
        <v>16</v>
      </c>
      <c r="F119" t="n">
        <v>9.5</v>
      </c>
      <c r="H119" t="n">
        <v>0</v>
      </c>
      <c r="I119" t="n">
        <v>0</v>
      </c>
      <c r="J119" t="n">
        <v>0</v>
      </c>
      <c r="K119" t="n">
        <v>0</v>
      </c>
      <c r="L119" t="n">
        <v>0</v>
      </c>
      <c r="M119" t="n">
        <v>0</v>
      </c>
      <c r="N119" t="n">
        <v>0</v>
      </c>
    </row>
    <row r="120">
      <c r="A120" t="inlineStr">
        <is>
          <t>sale of labour services</t>
        </is>
      </c>
      <c r="B120" t="inlineStr">
        <is>
          <t>3 shilling from william goudrych for release of the labour services of the land of le ram.</t>
        </is>
      </c>
      <c r="C120" t="n">
        <v>0.15</v>
      </c>
      <c r="D120" t="n">
        <v>0</v>
      </c>
      <c r="E120" t="n">
        <v>3</v>
      </c>
      <c r="F120" t="n">
        <v>0</v>
      </c>
      <c r="H120" t="n">
        <v>0</v>
      </c>
      <c r="I120" t="n">
        <v>0</v>
      </c>
      <c r="J120" t="n">
        <v>0</v>
      </c>
      <c r="K120" t="n">
        <v>0</v>
      </c>
      <c r="L120" t="n">
        <v>0</v>
      </c>
      <c r="M120" t="n">
        <v>0</v>
      </c>
      <c r="N120" t="n">
        <v>0</v>
      </c>
    </row>
    <row r="121">
      <c r="A121" t="inlineStr">
        <is>
          <t>sale of labour services</t>
        </is>
      </c>
      <c r="B121" t="inlineStr">
        <is>
          <t>2 shilling 8pence from roger yelle for release of the labour services of the land which belonged to john yelle.</t>
        </is>
      </c>
      <c r="C121" t="n">
        <v>0.13</v>
      </c>
      <c r="D121" t="n">
        <v>0</v>
      </c>
      <c r="E121" t="n">
        <v>2</v>
      </c>
      <c r="F121" t="n">
        <v>8</v>
      </c>
      <c r="H121" t="n">
        <v>0</v>
      </c>
      <c r="I121" t="n">
        <v>0</v>
      </c>
      <c r="J121" t="n">
        <v>0</v>
      </c>
      <c r="K121" t="n">
        <v>0</v>
      </c>
      <c r="L121" t="n">
        <v>0</v>
      </c>
      <c r="M121" t="n">
        <v>0</v>
      </c>
      <c r="N121" t="n">
        <v>0</v>
      </c>
    </row>
    <row r="122">
      <c r="A122" t="inlineStr">
        <is>
          <t>sale of labour services</t>
        </is>
      </c>
      <c r="B122" t="inlineStr">
        <is>
          <t>3 shilling 4pence from roger yelle and richard strode for release of the labour services of the land recently of henry yelle and william yelle.</t>
        </is>
      </c>
      <c r="C122" t="n">
        <v>0.17</v>
      </c>
      <c r="D122" t="n">
        <v>0</v>
      </c>
      <c r="E122" t="n">
        <v>3</v>
      </c>
      <c r="F122" t="n">
        <v>4</v>
      </c>
      <c r="H122" t="n">
        <v>0</v>
      </c>
      <c r="I122" t="n">
        <v>0</v>
      </c>
      <c r="J122" t="n">
        <v>0</v>
      </c>
      <c r="K122" t="n">
        <v>0</v>
      </c>
      <c r="L122" t="n">
        <v>0</v>
      </c>
      <c r="M122" t="n">
        <v>0</v>
      </c>
      <c r="N122" t="n">
        <v>0</v>
      </c>
    </row>
    <row r="123">
      <c r="A123" t="inlineStr">
        <is>
          <t>sale of labour services</t>
        </is>
      </c>
      <c r="B123" t="inlineStr">
        <is>
          <t>18 shilling from the whole tithing of bursledon for release of the labour services of 5 carters at harvest-time.</t>
        </is>
      </c>
      <c r="C123" t="n">
        <v>0.9</v>
      </c>
      <c r="D123" t="n">
        <v>0</v>
      </c>
      <c r="E123" t="n">
        <v>18</v>
      </c>
      <c r="F123" t="n">
        <v>0</v>
      </c>
      <c r="H123" t="n">
        <v>0</v>
      </c>
      <c r="I123" t="n">
        <v>0</v>
      </c>
      <c r="J123" t="n">
        <v>0</v>
      </c>
      <c r="K123" t="n">
        <v>0</v>
      </c>
      <c r="L123" t="n">
        <v>0</v>
      </c>
      <c r="M123" t="n">
        <v>0</v>
      </c>
      <c r="N123" t="n">
        <v>0</v>
      </c>
    </row>
    <row r="124">
      <c r="A124" t="inlineStr">
        <is>
          <t>sale of labour services</t>
        </is>
      </c>
      <c r="B124" t="inlineStr">
        <is>
          <t>2 shilling from the same for release from carrying the hay of bitterne.</t>
        </is>
      </c>
      <c r="C124" t="n">
        <v>0.1</v>
      </c>
      <c r="D124" t="n">
        <v>0</v>
      </c>
      <c r="E124" t="n">
        <v>2</v>
      </c>
      <c r="F124" t="n">
        <v>0</v>
      </c>
      <c r="H124" t="n">
        <v>0</v>
      </c>
      <c r="I124" t="n">
        <v>0</v>
      </c>
      <c r="J124" t="n">
        <v>0</v>
      </c>
      <c r="K124" t="n">
        <v>0</v>
      </c>
      <c r="L124" t="n">
        <v>0</v>
      </c>
      <c r="M124" t="n">
        <v>0</v>
      </c>
      <c r="N124" t="n">
        <v>0</v>
      </c>
    </row>
    <row r="125">
      <c r="A125" t="inlineStr">
        <is>
          <t>sale of labour services</t>
        </is>
      </c>
      <c r="B125" t="inlineStr">
        <is>
          <t>1 shilling from john umfray for release of the labour services of the land recently of john hergaud'.</t>
        </is>
      </c>
      <c r="C125" t="n">
        <v>0.05</v>
      </c>
      <c r="D125" t="n">
        <v>0</v>
      </c>
      <c r="E125" t="n">
        <v>1</v>
      </c>
      <c r="F125" t="n">
        <v>0</v>
      </c>
      <c r="H125" t="n">
        <v>0</v>
      </c>
      <c r="I125" t="n">
        <v>0</v>
      </c>
      <c r="J125" t="n">
        <v>0</v>
      </c>
      <c r="K125" t="n">
        <v>0</v>
      </c>
      <c r="L125" t="n">
        <v>0</v>
      </c>
      <c r="M125" t="n">
        <v>0</v>
      </c>
      <c r="N125" t="n">
        <v>0</v>
      </c>
    </row>
    <row r="126">
      <c r="A126" t="inlineStr">
        <is>
          <t>sale of labour services</t>
        </is>
      </c>
      <c r="B126" t="inlineStr">
        <is>
          <t>6 shilling from richard godwyne for release of the labour services of the land of john stryplyng'.</t>
        </is>
      </c>
      <c r="C126" t="n">
        <v>0.3</v>
      </c>
      <c r="D126" t="n">
        <v>0</v>
      </c>
      <c r="E126" t="n">
        <v>6</v>
      </c>
      <c r="F126" t="n">
        <v>0</v>
      </c>
      <c r="H126" t="n">
        <v>0</v>
      </c>
      <c r="I126" t="n">
        <v>0</v>
      </c>
      <c r="J126" t="n">
        <v>0</v>
      </c>
      <c r="K126" t="n">
        <v>0</v>
      </c>
      <c r="L126" t="n">
        <v>0</v>
      </c>
      <c r="M126" t="n">
        <v>0</v>
      </c>
      <c r="N126" t="n">
        <v>0</v>
      </c>
    </row>
    <row r="127">
      <c r="A127" t="inlineStr">
        <is>
          <t>sale of labour services</t>
        </is>
      </c>
      <c r="B127" t="inlineStr">
        <is>
          <t>3 shilling from john atte mere for release of the labour services of 1 ferling of land recently of john boor'.</t>
        </is>
      </c>
      <c r="C127" t="n">
        <v>0.15</v>
      </c>
      <c r="D127" t="n">
        <v>0</v>
      </c>
      <c r="E127" t="n">
        <v>3</v>
      </c>
      <c r="F127" t="n">
        <v>0</v>
      </c>
      <c r="H127" t="n">
        <v>0</v>
      </c>
      <c r="I127" t="n">
        <v>0</v>
      </c>
      <c r="J127" t="n">
        <v>0</v>
      </c>
      <c r="K127" t="n">
        <v>0</v>
      </c>
      <c r="L127" t="n">
        <v>0</v>
      </c>
      <c r="M127" t="n">
        <v>0</v>
      </c>
      <c r="N127" t="n">
        <v>0</v>
      </c>
    </row>
    <row r="128">
      <c r="A128" t="inlineStr">
        <is>
          <t>sale of labour services</t>
        </is>
      </c>
      <c r="B128" t="inlineStr">
        <is>
          <t>1 shilling from mary vaucort for release of the labour services of the land recently of thomas bakere.</t>
        </is>
      </c>
      <c r="C128" t="n">
        <v>0.05</v>
      </c>
      <c r="D128" t="n">
        <v>0</v>
      </c>
      <c r="E128" t="n">
        <v>1</v>
      </c>
      <c r="F128" t="n">
        <v>0</v>
      </c>
      <c r="H128" t="n">
        <v>0</v>
      </c>
      <c r="I128" t="n">
        <v>0</v>
      </c>
      <c r="J128" t="n">
        <v>0</v>
      </c>
      <c r="K128" t="n">
        <v>0</v>
      </c>
      <c r="L128" t="n">
        <v>0</v>
      </c>
      <c r="M128" t="n">
        <v>0</v>
      </c>
      <c r="N128" t="n">
        <v>0</v>
      </c>
    </row>
    <row r="129">
      <c r="A129" t="inlineStr">
        <is>
          <t>sale of labour services</t>
        </is>
      </c>
      <c r="B129" t="inlineStr">
        <is>
          <t>1 shilling from the same for release of the labour services of the land of wygayn'.</t>
        </is>
      </c>
      <c r="C129" t="n">
        <v>0.05</v>
      </c>
      <c r="D129" t="n">
        <v>0</v>
      </c>
      <c r="E129" t="n">
        <v>1</v>
      </c>
      <c r="F129" t="n">
        <v>0</v>
      </c>
      <c r="H129" t="n">
        <v>0</v>
      </c>
      <c r="I129" t="n">
        <v>0</v>
      </c>
      <c r="J129" t="n">
        <v>0</v>
      </c>
      <c r="K129" t="n">
        <v>0</v>
      </c>
      <c r="L129" t="n">
        <v>0</v>
      </c>
      <c r="M129" t="n">
        <v>0</v>
      </c>
      <c r="N129" t="n">
        <v>0</v>
      </c>
    </row>
    <row r="130">
      <c r="A130" t="inlineStr">
        <is>
          <t>sale of labour services</t>
        </is>
      </c>
      <c r="B130" t="inlineStr">
        <is>
          <t>1 shilling from richard wodecok' for release of the labour services of the land recently of john brygge.</t>
        </is>
      </c>
      <c r="C130" t="n">
        <v>0.05</v>
      </c>
      <c r="D130" t="n">
        <v>0</v>
      </c>
      <c r="E130" t="n">
        <v>1</v>
      </c>
      <c r="F130" t="n">
        <v>0</v>
      </c>
      <c r="H130" t="n">
        <v>0</v>
      </c>
      <c r="I130" t="n">
        <v>0</v>
      </c>
      <c r="J130" t="n">
        <v>0</v>
      </c>
      <c r="K130" t="n">
        <v>0</v>
      </c>
      <c r="L130" t="n">
        <v>0</v>
      </c>
      <c r="M130" t="n">
        <v>0</v>
      </c>
      <c r="N130" t="n">
        <v>0</v>
      </c>
    </row>
    <row r="131">
      <c r="A131" t="inlineStr">
        <is>
          <t>sale of labour services</t>
        </is>
      </c>
      <c r="B131" t="inlineStr">
        <is>
          <t>1 shilling from john aleyn' for release of the labour services of the land recently of william alayn'.</t>
        </is>
      </c>
      <c r="C131" t="n">
        <v>0.05</v>
      </c>
      <c r="D131" t="n">
        <v>0</v>
      </c>
      <c r="E131" t="n">
        <v>1</v>
      </c>
      <c r="F131" t="n">
        <v>0</v>
      </c>
      <c r="H131" t="n">
        <v>0</v>
      </c>
      <c r="I131" t="n">
        <v>0</v>
      </c>
      <c r="J131" t="n">
        <v>0</v>
      </c>
      <c r="K131" t="n">
        <v>0</v>
      </c>
      <c r="L131" t="n">
        <v>0</v>
      </c>
      <c r="M131" t="n">
        <v>0</v>
      </c>
      <c r="N131" t="n">
        <v>0</v>
      </c>
    </row>
    <row r="132">
      <c r="A132" t="inlineStr">
        <is>
          <t>sale of labour services</t>
        </is>
      </c>
      <c r="B132" t="inlineStr">
        <is>
          <t>8pence from john warmond' for release of the labour services of the land recently of wyndewey which belonged to william gode.</t>
        </is>
      </c>
      <c r="C132" t="n">
        <v>0.03</v>
      </c>
      <c r="D132" t="n">
        <v>0</v>
      </c>
      <c r="E132" t="n">
        <v>0</v>
      </c>
      <c r="F132" t="n">
        <v>8</v>
      </c>
      <c r="H132" t="n">
        <v>0</v>
      </c>
      <c r="I132" t="n">
        <v>0</v>
      </c>
      <c r="J132" t="n">
        <v>0</v>
      </c>
      <c r="K132" t="n">
        <v>0</v>
      </c>
      <c r="L132" t="n">
        <v>0</v>
      </c>
      <c r="M132" t="n">
        <v>0</v>
      </c>
      <c r="N132" t="n">
        <v>0</v>
      </c>
    </row>
    <row r="133">
      <c r="A133" t="inlineStr">
        <is>
          <t>sale of labour services</t>
        </is>
      </c>
      <c r="B133" t="inlineStr">
        <is>
          <t>£16 13 shilling 4pence from the whole hundred for release of their manual and carting labour services, apart from those that the lord will havereleasefrom the whole hundred, of reeves, beadles, haywards, woodwards, shepherds, swineherds, ploughmen, carters and all the other officials which he was accustomed to h-ve from the said homage, and apart from those that the lord will have annually from the same homage, of 1 boon-work at harvest-time called “baggebedryp" for reaping, collecting and gathering in the lord's corn, and he will have from the same homage the ploughing boon-works of landright and “beynerthe”, and ”forhors” for carrying his harness, just as he was accustomed to have, as long as it pleases the lord.</t>
        </is>
      </c>
      <c r="C133" t="n">
        <v>16.67</v>
      </c>
      <c r="D133" t="n">
        <v>16</v>
      </c>
      <c r="E133" t="n">
        <v>13</v>
      </c>
      <c r="F133" t="n">
        <v>4</v>
      </c>
      <c r="H133" t="n">
        <v>0</v>
      </c>
      <c r="I133" t="n">
        <v>0</v>
      </c>
      <c r="J133" t="n">
        <v>0</v>
      </c>
      <c r="K133" t="n">
        <v>0</v>
      </c>
      <c r="L133" t="n">
        <v>0</v>
      </c>
      <c r="M133" t="n">
        <v>0</v>
      </c>
      <c r="N133" t="n">
        <v>0</v>
      </c>
    </row>
    <row r="134">
      <c r="A134" t="inlineStr">
        <is>
          <t>sale of labour services</t>
        </is>
      </c>
      <c r="B134" t="inlineStr">
        <is>
          <t>£1 from the whole homage of droxford for release of a certain carriage of corn which they were accustomed to do at the manor of bishops waltham this year.</t>
        </is>
      </c>
      <c r="C134" t="n">
        <v>1</v>
      </c>
      <c r="D134" t="n">
        <v>1</v>
      </c>
      <c r="E134" t="n">
        <v>0</v>
      </c>
      <c r="F134" t="n">
        <v>0</v>
      </c>
      <c r="H134" t="n">
        <v>0</v>
      </c>
      <c r="I134" t="n">
        <v>0</v>
      </c>
      <c r="J134" t="n">
        <v>0</v>
      </c>
      <c r="K134" t="n">
        <v>0</v>
      </c>
      <c r="L134" t="n">
        <v>0</v>
      </c>
      <c r="M134" t="n">
        <v>0</v>
      </c>
      <c r="N134" t="n">
        <v>0</v>
      </c>
    </row>
    <row r="135">
      <c r="A135" t="inlineStr">
        <is>
          <t>sale of labour services</t>
        </is>
      </c>
      <c r="B135" t="inlineStr">
        <is>
          <t>£1 6 shilling 8pence from the men who were accustomed to hold the ploughs and keep the lord's sheep, as the lord has shepherds and ploughmen for his liveries and stipends whilst it pleases him.</t>
        </is>
      </c>
      <c r="C135" t="n">
        <v>1.33</v>
      </c>
      <c r="D135" t="n">
        <v>1</v>
      </c>
      <c r="E135" t="n">
        <v>6</v>
      </c>
      <c r="F135" t="n">
        <v>8</v>
      </c>
      <c r="H135" t="n">
        <v>0</v>
      </c>
      <c r="I135" t="n">
        <v>0</v>
      </c>
      <c r="J135" t="n">
        <v>0</v>
      </c>
      <c r="K135" t="n">
        <v>0</v>
      </c>
      <c r="L135" t="n">
        <v>0</v>
      </c>
      <c r="M135" t="n">
        <v>0</v>
      </c>
      <c r="N135" t="n">
        <v>0</v>
      </c>
    </row>
    <row r="136">
      <c r="A136" t="inlineStr">
        <is>
          <t>sale of labour services</t>
        </is>
      </c>
      <c r="B136" t="inlineStr">
        <is>
          <t>18 shilling from the ploughing of 54 acres according to the custom called landright, shared out and sold to the customary tenants this year.</t>
        </is>
      </c>
      <c r="C136" t="n">
        <v>0.9</v>
      </c>
      <c r="D136" t="n">
        <v>0</v>
      </c>
      <c r="E136" t="n">
        <v>18</v>
      </c>
      <c r="F136" t="n">
        <v>0</v>
      </c>
      <c r="H136" t="n">
        <v>0</v>
      </c>
      <c r="I136" t="n">
        <v>0</v>
      </c>
      <c r="J136" t="n">
        <v>0</v>
      </c>
      <c r="K136" t="n">
        <v>0</v>
      </c>
      <c r="L136" t="n">
        <v>0</v>
      </c>
      <c r="M136" t="n">
        <v>0</v>
      </c>
      <c r="N136" t="n">
        <v>0</v>
      </c>
    </row>
    <row r="137">
      <c r="A137" t="inlineStr">
        <is>
          <t>sale of labour services</t>
        </is>
      </c>
      <c r="B137" t="inlineStr">
        <is>
          <t>3 shilling 6pence from guy popehulle for release of the labour services of 1 messuage and 1 virgate of villein land which formerly belonged to richard treygos, commuted for cash for this the fifty-seventh year.</t>
        </is>
      </c>
      <c r="C137" t="n">
        <v>0.17</v>
      </c>
      <c r="D137" t="n">
        <v>0</v>
      </c>
      <c r="E137" t="n">
        <v>3</v>
      </c>
      <c r="F137" t="n">
        <v>6</v>
      </c>
      <c r="H137" t="n">
        <v>0</v>
      </c>
      <c r="I137" t="n">
        <v>0</v>
      </c>
      <c r="J137" t="n">
        <v>0</v>
      </c>
      <c r="K137" t="n">
        <v>0</v>
      </c>
      <c r="L137" t="n">
        <v>0</v>
      </c>
      <c r="M137" t="n">
        <v>0</v>
      </c>
      <c r="N137" t="n">
        <v>0</v>
      </c>
    </row>
    <row r="138">
      <c r="A138" t="inlineStr">
        <is>
          <t>sale of labour services</t>
        </is>
      </c>
      <c r="B138" t="inlineStr">
        <is>
          <t>3 shilling 4pence from thomas tauk' for release of the labour services of 1 ferling of land formerly of coppe and 1 ferling of land formerly of frogge which belonged to thomas everard'.</t>
        </is>
      </c>
      <c r="C138" t="n">
        <v>0.17</v>
      </c>
      <c r="D138" t="n">
        <v>0</v>
      </c>
      <c r="E138" t="n">
        <v>3</v>
      </c>
      <c r="F138" t="n">
        <v>4</v>
      </c>
      <c r="H138" t="n">
        <v>0</v>
      </c>
      <c r="I138" t="n">
        <v>0</v>
      </c>
      <c r="J138" t="n">
        <v>0</v>
      </c>
      <c r="K138" t="n">
        <v>0</v>
      </c>
      <c r="L138" t="n">
        <v>0</v>
      </c>
      <c r="M138" t="n">
        <v>0</v>
      </c>
      <c r="N138" t="n">
        <v>0</v>
      </c>
    </row>
    <row r="139">
      <c r="A139" t="inlineStr">
        <is>
          <t>sale of labour services</t>
        </is>
      </c>
      <c r="B139" t="inlineStr">
        <is>
          <t>10pence from john fontell' for release of the labour services of 1 toft formerly of hugh frenshe in bishops waltham.</t>
        </is>
      </c>
      <c r="C139" t="n">
        <v>0.04</v>
      </c>
      <c r="D139" t="n">
        <v>0</v>
      </c>
      <c r="E139" t="n">
        <v>0</v>
      </c>
      <c r="F139" t="n">
        <v>10</v>
      </c>
      <c r="H139" t="n">
        <v>0</v>
      </c>
      <c r="I139" t="n">
        <v>0</v>
      </c>
      <c r="J139" t="n">
        <v>0</v>
      </c>
      <c r="K139" t="n">
        <v>0</v>
      </c>
      <c r="L139" t="n">
        <v>0</v>
      </c>
      <c r="M139" t="n">
        <v>0</v>
      </c>
      <c r="N139" t="n">
        <v>0</v>
      </c>
    </row>
    <row r="140">
      <c r="A140" t="inlineStr">
        <is>
          <t>sale of labour services</t>
        </is>
      </c>
      <c r="B140" t="inlineStr">
        <is>
          <t>total, £37 10 shilling 6.5pence.</t>
        </is>
      </c>
      <c r="C140" t="n">
        <v>37.53</v>
      </c>
      <c r="D140" t="n">
        <v>37</v>
      </c>
      <c r="E140" t="n">
        <v>10</v>
      </c>
      <c r="F140" t="n">
        <v>6.5</v>
      </c>
      <c r="H140" t="n">
        <v>0</v>
      </c>
      <c r="I140" t="n">
        <v>0</v>
      </c>
      <c r="J140" t="n">
        <v>0</v>
      </c>
      <c r="K140" t="n">
        <v>0</v>
      </c>
      <c r="L140" t="n">
        <v>0</v>
      </c>
      <c r="M140" t="n">
        <v>0</v>
      </c>
      <c r="N140" t="n">
        <v>0</v>
      </c>
    </row>
    <row r="141">
      <c r="A141" t="inlineStr">
        <is>
          <t>defaults of labour services</t>
        </is>
      </c>
      <c r="B141" t="inlineStr">
        <is>
          <t>nothing for defaults of labour service this year.</t>
        </is>
      </c>
      <c r="C141" t="n">
        <v>0</v>
      </c>
      <c r="D141" t="n">
        <v>0</v>
      </c>
      <c r="E141" t="n">
        <v>0</v>
      </c>
      <c r="F141" t="n">
        <v>0</v>
      </c>
      <c r="H141" t="n">
        <v>0</v>
      </c>
      <c r="I141" t="n">
        <v>0</v>
      </c>
      <c r="J141" t="n">
        <v>0</v>
      </c>
      <c r="K141" t="n">
        <v>0</v>
      </c>
      <c r="L141" t="n">
        <v>0</v>
      </c>
      <c r="M141" t="n">
        <v>0</v>
      </c>
      <c r="N141" t="n">
        <v>0</v>
      </c>
    </row>
    <row r="142">
      <c r="A142" t="inlineStr">
        <is>
          <t>sale of corn</t>
        </is>
      </c>
      <c r="B142" t="inlineStr">
        <is>
          <t>and for £23 12 shilling from 47 quarters 4 bushels of wheat sold, of which 1 quarters 4 bushels sold to the lord's household, at 8 shilling a quarters, and 46 quarters per mutuum, at 10 shilling a quarters.</t>
        </is>
      </c>
      <c r="C142" t="n">
        <v>23.6</v>
      </c>
      <c r="D142" t="n">
        <v>23</v>
      </c>
      <c r="E142" t="n">
        <v>12</v>
      </c>
      <c r="F142" t="n">
        <v>0</v>
      </c>
      <c r="G142" t="inlineStr">
        <is>
          <t>wheat</t>
        </is>
      </c>
      <c r="H142" t="n">
        <v>47</v>
      </c>
      <c r="I142" t="n">
        <v>4</v>
      </c>
      <c r="J142" t="n">
        <v>47.5</v>
      </c>
      <c r="K142" t="n">
        <v>47.5</v>
      </c>
      <c r="L142" t="n">
        <v>0</v>
      </c>
      <c r="M142" t="n">
        <v>47</v>
      </c>
      <c r="N142" t="n">
        <v>4</v>
      </c>
      <c r="O142" t="n">
        <v>1</v>
      </c>
      <c r="P142" t="n">
        <v>4</v>
      </c>
      <c r="Q142" t="n">
        <v>46</v>
      </c>
      <c r="R142" t="n">
        <v>0</v>
      </c>
      <c r="W142" t="n">
        <v>8</v>
      </c>
      <c r="X142" t="n">
        <v>0</v>
      </c>
      <c r="Y142" t="n">
        <v>10</v>
      </c>
      <c r="Z142" t="n">
        <v>0</v>
      </c>
    </row>
    <row r="143">
      <c r="A143" t="inlineStr">
        <is>
          <t>sale of corn</t>
        </is>
      </c>
      <c r="B143" t="inlineStr">
        <is>
          <t>£1 17 shilling 1.5pence from 12 quarters 3 bushels of oats sold, at 3 shilling a quarters.</t>
        </is>
      </c>
      <c r="C143" t="n">
        <v>1.86</v>
      </c>
      <c r="D143" t="n">
        <v>1</v>
      </c>
      <c r="E143" t="n">
        <v>17</v>
      </c>
      <c r="F143" t="n">
        <v>1.5</v>
      </c>
      <c r="G143" t="inlineStr">
        <is>
          <t>oats</t>
        </is>
      </c>
      <c r="H143" t="n">
        <v>12</v>
      </c>
      <c r="I143" t="n">
        <v>3</v>
      </c>
      <c r="J143" t="n">
        <v>12.38</v>
      </c>
      <c r="K143" t="n">
        <v>12.38</v>
      </c>
      <c r="L143" t="n">
        <v>0</v>
      </c>
      <c r="M143" t="n">
        <v>12</v>
      </c>
      <c r="N143" t="n">
        <v>3</v>
      </c>
      <c r="W143" t="n">
        <v>3</v>
      </c>
      <c r="X143" t="n">
        <v>0</v>
      </c>
    </row>
    <row r="144">
      <c r="A144" t="inlineStr">
        <is>
          <t>sale of corn</t>
        </is>
      </c>
      <c r="B144" t="inlineStr">
        <is>
          <t>total, £25 9 shilling 1.5pence.</t>
        </is>
      </c>
      <c r="C144" t="n">
        <v>25.46</v>
      </c>
      <c r="D144" t="n">
        <v>25</v>
      </c>
      <c r="E144" t="n">
        <v>9</v>
      </c>
      <c r="F144" t="n">
        <v>1.5</v>
      </c>
      <c r="H144" t="n">
        <v>0</v>
      </c>
      <c r="I144" t="n">
        <v>0</v>
      </c>
      <c r="J144" t="n">
        <v>0</v>
      </c>
      <c r="K144" t="n">
        <v>0</v>
      </c>
      <c r="L144" t="n">
        <v>0</v>
      </c>
      <c r="M144" t="n">
        <v>0</v>
      </c>
      <c r="N144" t="n">
        <v>0</v>
      </c>
    </row>
    <row r="145">
      <c r="A145" t="inlineStr">
        <is>
          <t>sale of stock</t>
        </is>
      </c>
      <c r="B145" t="inlineStr">
        <is>
          <t>and for 10 shilling from 1 horse from a heriot sold as made clear elsewhere.</t>
        </is>
      </c>
      <c r="C145" t="n">
        <v>0.5</v>
      </c>
      <c r="D145" t="n">
        <v>0</v>
      </c>
      <c r="E145" t="n">
        <v>10</v>
      </c>
      <c r="F145" t="n">
        <v>0</v>
      </c>
      <c r="H145" t="n">
        <v>0</v>
      </c>
      <c r="I145" t="n">
        <v>0</v>
      </c>
      <c r="J145" t="n">
        <v>0</v>
      </c>
      <c r="K145" t="n">
        <v>0</v>
      </c>
      <c r="L145" t="n">
        <v>0</v>
      </c>
      <c r="M145" t="n">
        <v>0</v>
      </c>
      <c r="N145" t="n">
        <v>0</v>
      </c>
    </row>
    <row r="146">
      <c r="A146" t="inlineStr">
        <is>
          <t>sale of stock</t>
        </is>
      </c>
      <c r="B146" t="inlineStr">
        <is>
          <t>£1 4 shilling from 2 kebb oxen sold.</t>
        </is>
      </c>
      <c r="C146" t="n">
        <v>1.2</v>
      </c>
      <c r="D146" t="n">
        <v>1</v>
      </c>
      <c r="E146" t="n">
        <v>4</v>
      </c>
      <c r="F146" t="n">
        <v>0</v>
      </c>
      <c r="H146" t="n">
        <v>0</v>
      </c>
      <c r="I146" t="n">
        <v>0</v>
      </c>
      <c r="J146" t="n">
        <v>0</v>
      </c>
      <c r="K146" t="n">
        <v>0</v>
      </c>
      <c r="L146" t="n">
        <v>0</v>
      </c>
      <c r="M146" t="n">
        <v>0</v>
      </c>
      <c r="N146" t="n">
        <v>0</v>
      </c>
    </row>
    <row r="147">
      <c r="A147" t="inlineStr">
        <is>
          <t>sale of stock</t>
        </is>
      </c>
      <c r="B147" t="inlineStr">
        <is>
          <t>6 shilling 8pence from 1 female bullock from the heriot of richard bromden' sold.</t>
        </is>
      </c>
      <c r="C147" t="n">
        <v>0.33</v>
      </c>
      <c r="D147" t="n">
        <v>0</v>
      </c>
      <c r="E147" t="n">
        <v>6</v>
      </c>
      <c r="F147" t="n">
        <v>8</v>
      </c>
      <c r="H147" t="n">
        <v>0</v>
      </c>
      <c r="I147" t="n">
        <v>0</v>
      </c>
      <c r="J147" t="n">
        <v>0</v>
      </c>
      <c r="K147" t="n">
        <v>0</v>
      </c>
      <c r="L147" t="n">
        <v>0</v>
      </c>
      <c r="M147" t="n">
        <v>0</v>
      </c>
      <c r="N147" t="n">
        <v>0</v>
      </c>
    </row>
    <row r="148">
      <c r="A148" t="inlineStr">
        <is>
          <t>sale of stock</t>
        </is>
      </c>
      <c r="B148" t="inlineStr">
        <is>
          <t>16 shilling from 8 calves sold, at 2 shilling each.</t>
        </is>
      </c>
      <c r="C148" t="n">
        <v>0.8</v>
      </c>
      <c r="D148" t="n">
        <v>0</v>
      </c>
      <c r="E148" t="n">
        <v>16</v>
      </c>
      <c r="F148" t="n">
        <v>0</v>
      </c>
      <c r="H148" t="n">
        <v>0</v>
      </c>
      <c r="I148" t="n">
        <v>0</v>
      </c>
      <c r="J148" t="n">
        <v>0</v>
      </c>
      <c r="K148" t="n">
        <v>0</v>
      </c>
      <c r="L148" t="n">
        <v>0</v>
      </c>
      <c r="M148" t="n">
        <v>0</v>
      </c>
      <c r="N148" t="n">
        <v>0</v>
      </c>
    </row>
    <row r="149">
      <c r="A149" t="inlineStr">
        <is>
          <t>sale of stock</t>
        </is>
      </c>
      <c r="B149" t="inlineStr">
        <is>
          <t>£1 5 shilling 6pence from 17 wethers sold before shearing, 12 of them to the lord's household, at 1 shilling 6pence each.</t>
        </is>
      </c>
      <c r="C149" t="n">
        <v>1.27</v>
      </c>
      <c r="D149" t="n">
        <v>1</v>
      </c>
      <c r="E149" t="n">
        <v>5</v>
      </c>
      <c r="F149" t="n">
        <v>6</v>
      </c>
      <c r="H149" t="n">
        <v>0</v>
      </c>
      <c r="I149" t="n">
        <v>0</v>
      </c>
      <c r="J149" t="n">
        <v>0</v>
      </c>
      <c r="K149" t="n">
        <v>0</v>
      </c>
      <c r="L149" t="n">
        <v>0</v>
      </c>
      <c r="M149" t="n">
        <v>0</v>
      </c>
      <c r="N149" t="n">
        <v>0</v>
      </c>
    </row>
    <row r="150">
      <c r="A150" t="inlineStr">
        <is>
          <t>sale of stock</t>
        </is>
      </c>
      <c r="B150" t="inlineStr">
        <is>
          <t>18 shilling from 12 kebb ewes sold to the lord's household before shearing, at 1 shilling 6pence each.</t>
        </is>
      </c>
      <c r="C150" t="n">
        <v>0.93</v>
      </c>
      <c r="D150" t="n">
        <v>0</v>
      </c>
      <c r="E150" t="n">
        <v>18</v>
      </c>
      <c r="F150" t="n">
        <v>6</v>
      </c>
      <c r="H150" t="n">
        <v>0</v>
      </c>
      <c r="I150" t="n">
        <v>0</v>
      </c>
      <c r="J150" t="n">
        <v>0</v>
      </c>
      <c r="K150" t="n">
        <v>0</v>
      </c>
      <c r="L150" t="n">
        <v>0</v>
      </c>
      <c r="M150" t="n">
        <v>0</v>
      </c>
      <c r="N150" t="n">
        <v>0</v>
      </c>
    </row>
    <row r="151">
      <c r="A151" t="inlineStr">
        <is>
          <t>sale of stock</t>
        </is>
      </c>
      <c r="B151" t="inlineStr">
        <is>
          <t>16 shilling 4pence from 14 ewes sold to the same household after shearing, at 1 shilling 2pence each.</t>
        </is>
      </c>
      <c r="C151" t="n">
        <v>0.82</v>
      </c>
      <c r="D151" t="n">
        <v>0</v>
      </c>
      <c r="E151" t="n">
        <v>16</v>
      </c>
      <c r="F151" t="n">
        <v>4</v>
      </c>
      <c r="H151" t="n">
        <v>0</v>
      </c>
      <c r="I151" t="n">
        <v>0</v>
      </c>
      <c r="J151" t="n">
        <v>0</v>
      </c>
      <c r="K151" t="n">
        <v>0</v>
      </c>
      <c r="L151" t="n">
        <v>0</v>
      </c>
      <c r="M151" t="n">
        <v>0</v>
      </c>
      <c r="N151" t="n">
        <v>0</v>
      </c>
    </row>
    <row r="152">
      <c r="A152" t="inlineStr">
        <is>
          <t>sale of stock</t>
        </is>
      </c>
      <c r="B152" t="inlineStr">
        <is>
          <t>£6 10 shilling from 130 lambs sold to the reeve of droxford, at 1 shilling each.</t>
        </is>
      </c>
      <c r="C152" t="n">
        <v>6.5</v>
      </c>
      <c r="D152" t="n">
        <v>6</v>
      </c>
      <c r="E152" t="n">
        <v>10</v>
      </c>
      <c r="F152" t="n">
        <v>0</v>
      </c>
      <c r="H152" t="n">
        <v>0</v>
      </c>
      <c r="I152" t="n">
        <v>0</v>
      </c>
      <c r="J152" t="n">
        <v>0</v>
      </c>
      <c r="K152" t="n">
        <v>0</v>
      </c>
      <c r="L152" t="n">
        <v>0</v>
      </c>
      <c r="M152" t="n">
        <v>0</v>
      </c>
      <c r="N152" t="n">
        <v>0</v>
      </c>
    </row>
    <row r="153">
      <c r="A153" t="inlineStr">
        <is>
          <t>sale of stock</t>
        </is>
      </c>
      <c r="B153" t="inlineStr">
        <is>
          <t>£1 14 shilling from 12 pigs sold to the lord's household, at 2 shilling each.</t>
        </is>
      </c>
      <c r="C153" t="n">
        <v>1.7</v>
      </c>
      <c r="D153" t="n">
        <v>1</v>
      </c>
      <c r="E153" t="n">
        <v>14</v>
      </c>
      <c r="F153" t="n">
        <v>0</v>
      </c>
      <c r="H153" t="n">
        <v>0</v>
      </c>
      <c r="I153" t="n">
        <v>0</v>
      </c>
      <c r="J153" t="n">
        <v>0</v>
      </c>
      <c r="K153" t="n">
        <v>0</v>
      </c>
      <c r="L153" t="n">
        <v>0</v>
      </c>
      <c r="M153" t="n">
        <v>0</v>
      </c>
      <c r="N153" t="n">
        <v>0</v>
      </c>
    </row>
    <row r="154">
      <c r="A154" t="inlineStr">
        <is>
          <t>sale of stock</t>
        </is>
      </c>
      <c r="B154" t="inlineStr">
        <is>
          <t>total, £13 10 shilling 6pence.</t>
        </is>
      </c>
      <c r="C154" t="n">
        <v>13.53</v>
      </c>
      <c r="D154" t="n">
        <v>13</v>
      </c>
      <c r="E154" t="n">
        <v>10</v>
      </c>
      <c r="F154" t="n">
        <v>6</v>
      </c>
      <c r="H154" t="n">
        <v>0</v>
      </c>
      <c r="I154" t="n">
        <v>0</v>
      </c>
      <c r="J154" t="n">
        <v>0</v>
      </c>
      <c r="K154" t="n">
        <v>0</v>
      </c>
      <c r="L154" t="n">
        <v>0</v>
      </c>
      <c r="M154" t="n">
        <v>0</v>
      </c>
      <c r="N154" t="n">
        <v>0</v>
      </c>
    </row>
    <row r="155">
      <c r="A155" t="inlineStr">
        <is>
          <t>entry and marriage fines</t>
        </is>
      </c>
      <c r="B155" t="inlineStr">
        <is>
          <t>and for £1 18 shilling from all the tithings for tithingpenny at the tourn of martinmas.</t>
        </is>
      </c>
      <c r="C155" t="n">
        <v>1.9</v>
      </c>
      <c r="D155" t="n">
        <v>1</v>
      </c>
      <c r="E155" t="n">
        <v>18</v>
      </c>
      <c r="F155" t="n">
        <v>0</v>
      </c>
      <c r="H155" t="n">
        <v>0</v>
      </c>
      <c r="I155" t="n">
        <v>0</v>
      </c>
      <c r="J155" t="n">
        <v>0</v>
      </c>
      <c r="K155" t="n">
        <v>0</v>
      </c>
      <c r="L155" t="n">
        <v>0</v>
      </c>
      <c r="M155" t="n">
        <v>0</v>
      </c>
      <c r="N155" t="n">
        <v>0</v>
      </c>
    </row>
    <row r="156">
      <c r="A156" t="inlineStr">
        <is>
          <t>entry and marriage fines</t>
        </is>
      </c>
      <c r="B156" t="inlineStr">
        <is>
          <t>£1 18 shilling from the same tithings at the tourn of hockday.</t>
        </is>
      </c>
      <c r="C156" t="n">
        <v>1.9</v>
      </c>
      <c r="D156" t="n">
        <v>1</v>
      </c>
      <c r="E156" t="n">
        <v>18</v>
      </c>
      <c r="F156" t="n">
        <v>0</v>
      </c>
      <c r="H156" t="n">
        <v>0</v>
      </c>
      <c r="I156" t="n">
        <v>0</v>
      </c>
      <c r="J156" t="n">
        <v>0</v>
      </c>
      <c r="K156" t="n">
        <v>0</v>
      </c>
      <c r="L156" t="n">
        <v>0</v>
      </c>
      <c r="M156" t="n">
        <v>0</v>
      </c>
      <c r="N156" t="n">
        <v>0</v>
      </c>
    </row>
    <row r="157">
      <c r="A157" t="inlineStr">
        <is>
          <t>entry and marriage fines</t>
        </is>
      </c>
      <c r="B157" t="inlineStr">
        <is>
          <t>12 shilling from joan, who was wife of john alayn', to have 1 corner cottage in bishops waltham in the tithing of hight', 3 small crofts containing 1.5 acres by estimation, and 1 acre in the common field, which belonged to the aforesaid john her husband and which came into the lord's hands as his escheat from a want of kin of the aforesaid john.</t>
        </is>
      </c>
      <c r="C157" t="n">
        <v>0.6</v>
      </c>
      <c r="D157" t="n">
        <v>0</v>
      </c>
      <c r="E157" t="n">
        <v>12</v>
      </c>
      <c r="F157" t="n">
        <v>0</v>
      </c>
      <c r="H157" t="n">
        <v>0</v>
      </c>
      <c r="I157" t="n">
        <v>0</v>
      </c>
      <c r="J157" t="n">
        <v>0</v>
      </c>
      <c r="K157" t="n">
        <v>0</v>
      </c>
      <c r="L157" t="n">
        <v>0</v>
      </c>
      <c r="M157" t="n">
        <v>0</v>
      </c>
      <c r="N157" t="n">
        <v>0</v>
      </c>
    </row>
    <row r="158">
      <c r="A158" t="inlineStr">
        <is>
          <t>entry and marriage fines</t>
        </is>
      </c>
      <c r="B158" t="inlineStr">
        <is>
          <t>£6 from william sake to have agnes, who was wife of william mortem', with her land, that is, 1 messuage and 1 virgate of villein land formerly of william boos,' 1 messuage and 1 virgate of land formerly of richard boos, 1 toft and .5 virgate of land formerly of danell', 1 messuage and ferling of purpresture called symenell', 1 acre of land formerly of belfilie3, 5 acres of purpresture in rammeshull' and 3 acres of purpresture in la marie.</t>
        </is>
      </c>
      <c r="C158" t="n">
        <v>6</v>
      </c>
      <c r="D158" t="n">
        <v>6</v>
      </c>
      <c r="E158" t="n">
        <v>0</v>
      </c>
      <c r="F158" t="n">
        <v>0</v>
      </c>
      <c r="H158" t="n">
        <v>0</v>
      </c>
      <c r="I158" t="n">
        <v>0</v>
      </c>
      <c r="J158" t="n">
        <v>0</v>
      </c>
      <c r="K158" t="n">
        <v>0</v>
      </c>
      <c r="L158" t="n">
        <v>0</v>
      </c>
      <c r="M158" t="n">
        <v>0</v>
      </c>
      <c r="N158" t="n">
        <v>0</v>
      </c>
    </row>
    <row r="159">
      <c r="A159" t="inlineStr">
        <is>
          <t>entry and marriage fines</t>
        </is>
      </c>
      <c r="B159" t="inlineStr">
        <is>
          <t>2 shilling from isabel, who was wife of richard abbot, to retain 1 toft and 1 ferling of villein land, 1 cottage' with a curtilage and 1.5 acres of purpresture in bishops waltham in the tithing of hight' which belonged to her aforesaid husband.</t>
        </is>
      </c>
      <c r="C159" t="n">
        <v>0.1</v>
      </c>
      <c r="D159" t="n">
        <v>0</v>
      </c>
      <c r="E159" t="n">
        <v>2</v>
      </c>
      <c r="F159" t="n">
        <v>0</v>
      </c>
      <c r="H159" t="n">
        <v>0</v>
      </c>
      <c r="I159" t="n">
        <v>0</v>
      </c>
      <c r="J159" t="n">
        <v>0</v>
      </c>
      <c r="K159" t="n">
        <v>0</v>
      </c>
      <c r="L159" t="n">
        <v>0</v>
      </c>
      <c r="M159" t="n">
        <v>0</v>
      </c>
      <c r="N159" t="n">
        <v>0</v>
      </c>
    </row>
    <row r="160">
      <c r="A160" t="inlineStr">
        <is>
          <t>entry and marriage fines</t>
        </is>
      </c>
      <c r="B160" t="inlineStr">
        <is>
          <t>6 shilling 8pence from margery, who was wife of john laurans, to retain 1 cottage in the market of bishops waltham and 1 toft and i acre of purpresture in bishops waltham in the tithing of north which belonged to the aforesaid john her husband.</t>
        </is>
      </c>
      <c r="C160" t="n">
        <v>0.33</v>
      </c>
      <c r="D160" t="n">
        <v>0</v>
      </c>
      <c r="E160" t="n">
        <v>6</v>
      </c>
      <c r="F160" t="n">
        <v>8</v>
      </c>
      <c r="H160" t="n">
        <v>0</v>
      </c>
      <c r="I160" t="n">
        <v>0</v>
      </c>
      <c r="J160" t="n">
        <v>0</v>
      </c>
      <c r="K160" t="n">
        <v>0</v>
      </c>
      <c r="L160" t="n">
        <v>0</v>
      </c>
      <c r="M160" t="n">
        <v>0</v>
      </c>
      <c r="N160" t="n">
        <v>0</v>
      </c>
    </row>
    <row r="161">
      <c r="A161" t="inlineStr">
        <is>
          <t>entry and marriage fines</t>
        </is>
      </c>
      <c r="B161" t="inlineStr">
        <is>
          <t>2 shilling from john, son of thomas spore, to have 1 cottage with a curtilage in the tithing of mincingfield which belonged to the aforesaid thomas his father.</t>
        </is>
      </c>
      <c r="C161" t="n">
        <v>0.1</v>
      </c>
      <c r="D161" t="n">
        <v>0</v>
      </c>
      <c r="E161" t="n">
        <v>2</v>
      </c>
      <c r="F161" t="n">
        <v>0</v>
      </c>
      <c r="H161" t="n">
        <v>0</v>
      </c>
      <c r="I161" t="n">
        <v>0</v>
      </c>
      <c r="J161" t="n">
        <v>0</v>
      </c>
      <c r="K161" t="n">
        <v>0</v>
      </c>
      <c r="L161" t="n">
        <v>0</v>
      </c>
      <c r="M161" t="n">
        <v>0</v>
      </c>
      <c r="N161" t="n">
        <v>0</v>
      </c>
    </row>
    <row r="162">
      <c r="A162" t="inlineStr">
        <is>
          <t>entry and marriage fines</t>
        </is>
      </c>
      <c r="B162" t="inlineStr">
        <is>
          <t>£10 from thomas bannyng for transgression done to the lord, for felling many oaks' and other trees growing on the lord's villein land.</t>
        </is>
      </c>
      <c r="C162" t="n">
        <v>10</v>
      </c>
      <c r="D162" t="n">
        <v>10</v>
      </c>
      <c r="E162" t="n">
        <v>0</v>
      </c>
      <c r="F162" t="n">
        <v>0</v>
      </c>
      <c r="H162" t="n">
        <v>0</v>
      </c>
      <c r="I162" t="n">
        <v>0</v>
      </c>
      <c r="J162" t="n">
        <v>0</v>
      </c>
      <c r="K162" t="n">
        <v>0</v>
      </c>
      <c r="L162" t="n">
        <v>0</v>
      </c>
      <c r="M162" t="n">
        <v>0</v>
      </c>
      <c r="N162" t="n">
        <v>0</v>
      </c>
    </row>
    <row r="163">
      <c r="A163" t="inlineStr">
        <is>
          <t>entry and marriage fines</t>
        </is>
      </c>
      <c r="B163" t="inlineStr">
        <is>
          <t>1 shilling from alice, daughter of john neweman, to have 1 cottage with a curtilage and 1.5 acres of purpresture in the tithing of wintershill which belonged to the aforesaid john her father and for which matilda, who was wife of the aforesaid john, refused to fine in full court.</t>
        </is>
      </c>
      <c r="C163" t="n">
        <v>0.05</v>
      </c>
      <c r="D163" t="n">
        <v>0</v>
      </c>
      <c r="E163" t="n">
        <v>1</v>
      </c>
      <c r="F163" t="n">
        <v>0</v>
      </c>
      <c r="H163" t="n">
        <v>0</v>
      </c>
      <c r="I163" t="n">
        <v>0</v>
      </c>
      <c r="J163" t="n">
        <v>0</v>
      </c>
      <c r="K163" t="n">
        <v>0</v>
      </c>
      <c r="L163" t="n">
        <v>0</v>
      </c>
      <c r="M163" t="n">
        <v>0</v>
      </c>
      <c r="N163" t="n">
        <v>0</v>
      </c>
    </row>
    <row r="164">
      <c r="A164" t="inlineStr">
        <is>
          <t>entry and marriage fines</t>
        </is>
      </c>
      <c r="B164" t="inlineStr">
        <is>
          <t>1 shilling 6pence from john croft to have alice, daughter of john nywman, with her land, that is, 1 cottage with a curtilage and 1.5 acres of purpresture in the tithing of wintershill.</t>
        </is>
      </c>
      <c r="C164" t="n">
        <v>0.08</v>
      </c>
      <c r="D164" t="n">
        <v>0</v>
      </c>
      <c r="E164" t="n">
        <v>1</v>
      </c>
      <c r="F164" t="n">
        <v>6</v>
      </c>
      <c r="H164" t="n">
        <v>0</v>
      </c>
      <c r="I164" t="n">
        <v>0</v>
      </c>
      <c r="J164" t="n">
        <v>0</v>
      </c>
      <c r="K164" t="n">
        <v>0</v>
      </c>
      <c r="L164" t="n">
        <v>0</v>
      </c>
      <c r="M164" t="n">
        <v>0</v>
      </c>
      <c r="N164" t="n">
        <v>0</v>
      </c>
    </row>
    <row r="165">
      <c r="A165" t="inlineStr">
        <is>
          <t>entry and marriage fines</t>
        </is>
      </c>
      <c r="B165" t="inlineStr">
        <is>
          <t>3 shilling 4pence from robert lype to have 1 cottage with a curtilage in the tithing of bursledon which belonged to joan white, his grandmother, by pledge of john austyn who is granted custody until the full age of the aforesaid robert.</t>
        </is>
      </c>
      <c r="C165" t="n">
        <v>0.17</v>
      </c>
      <c r="D165" t="n">
        <v>0</v>
      </c>
      <c r="E165" t="n">
        <v>3</v>
      </c>
      <c r="F165" t="n">
        <v>4</v>
      </c>
      <c r="H165" t="n">
        <v>0</v>
      </c>
      <c r="I165" t="n">
        <v>0</v>
      </c>
      <c r="J165" t="n">
        <v>0</v>
      </c>
      <c r="K165" t="n">
        <v>0</v>
      </c>
      <c r="L165" t="n">
        <v>0</v>
      </c>
      <c r="M165" t="n">
        <v>0</v>
      </c>
      <c r="N165" t="n">
        <v>0</v>
      </c>
    </row>
    <row r="166">
      <c r="A166" t="inlineStr">
        <is>
          <t>entry and marriage fines</t>
        </is>
      </c>
      <c r="B166" t="inlineStr">
        <is>
          <t>and for 3 shilling 4pence from john combe to have 1 toft with a curtilage and .5 virgate of land containing 20 acres in the tithing of upham by surrender of john deth', on condition that he builds well and suitably on the said toft within three years.</t>
        </is>
      </c>
      <c r="C166" t="n">
        <v>0.17</v>
      </c>
      <c r="D166" t="n">
        <v>0</v>
      </c>
      <c r="E166" t="n">
        <v>3</v>
      </c>
      <c r="F166" t="n">
        <v>4</v>
      </c>
      <c r="H166" t="n">
        <v>0</v>
      </c>
      <c r="I166" t="n">
        <v>0</v>
      </c>
      <c r="J166" t="n">
        <v>0</v>
      </c>
      <c r="K166" t="n">
        <v>0</v>
      </c>
      <c r="L166" t="n">
        <v>0</v>
      </c>
      <c r="M166" t="n">
        <v>0</v>
      </c>
      <c r="N166" t="n">
        <v>0</v>
      </c>
    </row>
    <row r="167">
      <c r="A167" t="inlineStr">
        <is>
          <t>entry and marriage fines</t>
        </is>
      </c>
      <c r="B167" t="inlineStr">
        <is>
          <t>5 shilling from william goudrich' for marrying agnes his daughter outside.</t>
        </is>
      </c>
      <c r="C167" t="n">
        <v>0.25</v>
      </c>
      <c r="D167" t="n">
        <v>0</v>
      </c>
      <c r="E167" t="n">
        <v>5</v>
      </c>
      <c r="F167" t="n">
        <v>0</v>
      </c>
      <c r="H167" t="n">
        <v>0</v>
      </c>
      <c r="I167" t="n">
        <v>0</v>
      </c>
      <c r="J167" t="n">
        <v>0</v>
      </c>
      <c r="K167" t="n">
        <v>0</v>
      </c>
      <c r="L167" t="n">
        <v>0</v>
      </c>
      <c r="M167" t="n">
        <v>0</v>
      </c>
      <c r="N167" t="n">
        <v>0</v>
      </c>
    </row>
    <row r="168">
      <c r="A168" t="inlineStr">
        <is>
          <t>entry and marriage fines</t>
        </is>
      </c>
      <c r="B168" t="inlineStr">
        <is>
          <t>2 shilling from thomas goudfelawe to have 1 messuage with a curtilage, 1 parcel of meadow, half a fulling mill and half of la rekke which formerly belonged to richard atte mulle in the tithing of curdridge, and 2 acres of purpresture in the tithing of ashton which belonged to the aforesaid richard, and which came into the lord's hands as his escheat because noone of the kin of the aforesaid richard took steps to fine for the same although a proclamation was made according to the custom of the manor.</t>
        </is>
      </c>
      <c r="C168" t="n">
        <v>0.1</v>
      </c>
      <c r="D168" t="n">
        <v>0</v>
      </c>
      <c r="E168" t="n">
        <v>2</v>
      </c>
      <c r="F168" t="n">
        <v>0</v>
      </c>
      <c r="H168" t="n">
        <v>0</v>
      </c>
      <c r="I168" t="n">
        <v>0</v>
      </c>
      <c r="J168" t="n">
        <v>0</v>
      </c>
      <c r="K168" t="n">
        <v>0</v>
      </c>
      <c r="L168" t="n">
        <v>0</v>
      </c>
      <c r="M168" t="n">
        <v>0</v>
      </c>
      <c r="N168" t="n">
        <v>0</v>
      </c>
    </row>
    <row r="169">
      <c r="A169" t="inlineStr">
        <is>
          <t>entry and marriage fines</t>
        </is>
      </c>
      <c r="B169" t="inlineStr">
        <is>
          <t>2 shilling from john goudfelawe to have 1 cottage with a curtilage, half a fulling mill, half of la rekke and 1 parcel of meadow in the tithing of curdridge and 2 acres of purpresture in the tithing of ashton, which formerly belonged to richard atte mulle and william atte mulle, of which the cottage with the curtilage was built by richard atte mulle on account of the waste and destruction done in the same.</t>
        </is>
      </c>
      <c r="C169" t="n">
        <v>0.1</v>
      </c>
      <c r="D169" t="n">
        <v>0</v>
      </c>
      <c r="E169" t="n">
        <v>2</v>
      </c>
      <c r="F169" t="n">
        <v>0</v>
      </c>
      <c r="H169" t="n">
        <v>0</v>
      </c>
      <c r="I169" t="n">
        <v>0</v>
      </c>
      <c r="J169" t="n">
        <v>0</v>
      </c>
      <c r="K169" t="n">
        <v>0</v>
      </c>
      <c r="L169" t="n">
        <v>0</v>
      </c>
      <c r="M169" t="n">
        <v>0</v>
      </c>
      <c r="N169" t="n">
        <v>0</v>
      </c>
    </row>
    <row r="170">
      <c r="A170" t="inlineStr">
        <is>
          <t>entry and marriage fines</t>
        </is>
      </c>
      <c r="B170" t="inlineStr">
        <is>
          <t>2 shilling from john spore to have 4 acres of purpresture in the tithing of upham called rykyllond' which recently belonged to john atte beche his kinsman.</t>
        </is>
      </c>
      <c r="C170" t="n">
        <v>0.1</v>
      </c>
      <c r="D170" t="n">
        <v>0</v>
      </c>
      <c r="E170" t="n">
        <v>2</v>
      </c>
      <c r="F170" t="n">
        <v>0</v>
      </c>
      <c r="H170" t="n">
        <v>0</v>
      </c>
      <c r="I170" t="n">
        <v>0</v>
      </c>
      <c r="J170" t="n">
        <v>0</v>
      </c>
      <c r="K170" t="n">
        <v>0</v>
      </c>
      <c r="L170" t="n">
        <v>0</v>
      </c>
      <c r="M170" t="n">
        <v>0</v>
      </c>
      <c r="N170" t="n">
        <v>0</v>
      </c>
    </row>
    <row r="171">
      <c r="A171" t="inlineStr">
        <is>
          <t>entry and marriage fines</t>
        </is>
      </c>
      <c r="B171" t="inlineStr">
        <is>
          <t>10 shilling from john cranbourne to have 1 messuage with a curtilage, containing 3 roods, and 1 cottage called canones annexed to the aforesaid messuage in bishops waltham in the tithing of hight', which formerly belonged to thomas vaucort' and which mary, who was wife of the aforesaid thomas, afterwards held and surrendered into the lord's hands and which lay in the lord's hands for 3 tourns and more and which thus came into the lord's hands as his escheat and noone of the kin of the aforesaid thomas took steps to fine for the same although a proclamation was made according to the custom of the manor.</t>
        </is>
      </c>
      <c r="C171" t="n">
        <v>0.5</v>
      </c>
      <c r="D171" t="n">
        <v>0</v>
      </c>
      <c r="E171" t="n">
        <v>10</v>
      </c>
      <c r="F171" t="n">
        <v>0</v>
      </c>
      <c r="H171" t="n">
        <v>0</v>
      </c>
      <c r="I171" t="n">
        <v>0</v>
      </c>
      <c r="J171" t="n">
        <v>0</v>
      </c>
      <c r="K171" t="n">
        <v>0</v>
      </c>
      <c r="L171" t="n">
        <v>0</v>
      </c>
      <c r="M171" t="n">
        <v>0</v>
      </c>
      <c r="N171" t="n">
        <v>0</v>
      </c>
    </row>
    <row r="172">
      <c r="A172" t="inlineStr">
        <is>
          <t>entry and marriage fines</t>
        </is>
      </c>
      <c r="B172" t="inlineStr">
        <is>
          <t>£1 from isabel, who was wife of john atte mere, to retain 1 toft with a curtilage and 6.5 acres 1 rood of purpresture in bishops waltham in the tithing of hight’,  1 messuage and .5 virgate of villein land formerly of robert atte mere,y2 gate of villein land called atte cure formerly of john benson', 1 toil and 2.5 acres of wpresture in denham, and 1 toft and 1 ferling of villein land formerly of john belief' in the tithing of upham, which belonged to the aforesaid john her husband.</t>
        </is>
      </c>
      <c r="C172" t="n">
        <v>1</v>
      </c>
      <c r="D172" t="n">
        <v>1</v>
      </c>
      <c r="E172" t="n">
        <v>0</v>
      </c>
      <c r="F172" t="n">
        <v>0</v>
      </c>
      <c r="H172" t="n">
        <v>0</v>
      </c>
      <c r="I172" t="n">
        <v>0</v>
      </c>
      <c r="J172" t="n">
        <v>0</v>
      </c>
      <c r="K172" t="n">
        <v>0</v>
      </c>
      <c r="L172" t="n">
        <v>0</v>
      </c>
      <c r="M172" t="n">
        <v>0</v>
      </c>
      <c r="N172" t="n">
        <v>0</v>
      </c>
    </row>
    <row r="173">
      <c r="A173" t="inlineStr">
        <is>
          <t>entry and marriage fines</t>
        </is>
      </c>
      <c r="B173" t="inlineStr">
        <is>
          <t>£2 son of richard frend , to have 1 messuage and 1 ferling of villein 13 shilling 4d from william, son of richard frend, to have 1 messuage and 1 ferling of villein land in hoe, 1 messuage and a third part of 1 virgate of villein land and 3 acres part of 1 acre of purpresture in the tithing of curdridge, which belonged to theand a third  aforesaid richard his father.</t>
        </is>
      </c>
      <c r="C173" t="n">
        <v>2</v>
      </c>
      <c r="D173" t="n">
        <v>2</v>
      </c>
      <c r="E173" t="n">
        <v>0</v>
      </c>
      <c r="F173" t="n">
        <v>0</v>
      </c>
      <c r="H173" t="n">
        <v>0</v>
      </c>
      <c r="I173" t="n">
        <v>0</v>
      </c>
      <c r="J173" t="n">
        <v>0</v>
      </c>
      <c r="K173" t="n">
        <v>0</v>
      </c>
      <c r="L173" t="n">
        <v>0</v>
      </c>
      <c r="M173" t="n">
        <v>0</v>
      </c>
      <c r="N173" t="n">
        <v>0</v>
      </c>
    </row>
    <row r="174">
      <c r="A174" t="inlineStr">
        <is>
          <t>entry and marriage fines</t>
        </is>
      </c>
      <c r="B174" t="inlineStr">
        <is>
          <t>6 shilling 8pence from john beket to have 1 croft of villein land containing 9 acres in comhull' in the tithing of bishops waltham by surrender of william sequens.</t>
        </is>
      </c>
      <c r="C174" t="n">
        <v>0.33</v>
      </c>
      <c r="D174" t="n">
        <v>0</v>
      </c>
      <c r="E174" t="n">
        <v>6</v>
      </c>
      <c r="F174" t="n">
        <v>8</v>
      </c>
      <c r="H174" t="n">
        <v>0</v>
      </c>
      <c r="I174" t="n">
        <v>0</v>
      </c>
      <c r="J174" t="n">
        <v>0</v>
      </c>
      <c r="K174" t="n">
        <v>0</v>
      </c>
      <c r="L174" t="n">
        <v>0</v>
      </c>
      <c r="M174" t="n">
        <v>0</v>
      </c>
      <c r="N174" t="n">
        <v>0</v>
      </c>
    </row>
    <row r="175">
      <c r="A175" t="inlineStr">
        <is>
          <t>entry and marriage fines</t>
        </is>
      </c>
      <c r="B175" t="inlineStr">
        <is>
          <t>7 shilling from john, son of laurence bempthe, to have 1 cottage in bishops waltham in the tithing of hight' which belonged to the aforesaid laurence his father.</t>
        </is>
      </c>
      <c r="C175" t="n">
        <v>0.35</v>
      </c>
      <c r="D175" t="n">
        <v>0</v>
      </c>
      <c r="E175" t="n">
        <v>7</v>
      </c>
      <c r="F175" t="n">
        <v>0</v>
      </c>
      <c r="H175" t="n">
        <v>0</v>
      </c>
      <c r="I175" t="n">
        <v>0</v>
      </c>
      <c r="J175" t="n">
        <v>0</v>
      </c>
      <c r="K175" t="n">
        <v>0</v>
      </c>
      <c r="L175" t="n">
        <v>0</v>
      </c>
      <c r="M175" t="n">
        <v>0</v>
      </c>
      <c r="N175" t="n">
        <v>0</v>
      </c>
    </row>
    <row r="176">
      <c r="A176" t="inlineStr">
        <is>
          <t>entry and marriage fines</t>
        </is>
      </c>
      <c r="B176" t="inlineStr">
        <is>
          <t>13 shilling 4pence from joan, who was wife of john cleverle, to retain 2 messuages and 2 virgates of land and 1 ferling of villein land in the tithing of woodcott, and 1 toft and 8 acres of purpresture in the tithing of wintershill, which belonged to the aforesaid john her husband.</t>
        </is>
      </c>
      <c r="C176" t="n">
        <v>0.67</v>
      </c>
      <c r="D176" t="n">
        <v>0</v>
      </c>
      <c r="E176" t="n">
        <v>13</v>
      </c>
      <c r="F176" t="n">
        <v>4</v>
      </c>
      <c r="H176" t="n">
        <v>0</v>
      </c>
      <c r="I176" t="n">
        <v>0</v>
      </c>
      <c r="J176" t="n">
        <v>0</v>
      </c>
      <c r="K176" t="n">
        <v>0</v>
      </c>
      <c r="L176" t="n">
        <v>0</v>
      </c>
      <c r="M176" t="n">
        <v>0</v>
      </c>
      <c r="N176" t="n">
        <v>0</v>
      </c>
    </row>
    <row r="177">
      <c r="A177" t="inlineStr">
        <is>
          <t>entry and marriage fines</t>
        </is>
      </c>
      <c r="B177" t="inlineStr">
        <is>
          <t>£1 10 shilling from william stake to have 1 messuage and .5 virgate of villein land, and 1 toft and 2 ferlings of villein land formerly of bones, 1 toft and 1 ferling of villein land formerly of emorye3, and 4 acres of purpresture in okwode in the tithing of woodcott, by surrender of henry mortem'.</t>
        </is>
      </c>
      <c r="C177" t="n">
        <v>1.5</v>
      </c>
      <c r="D177" t="n">
        <v>1</v>
      </c>
      <c r="E177" t="n">
        <v>10</v>
      </c>
      <c r="F177" t="n">
        <v>0</v>
      </c>
      <c r="G177" t="inlineStr">
        <is>
          <t>rye</t>
        </is>
      </c>
      <c r="H177" t="n">
        <v>0</v>
      </c>
      <c r="I177" t="n">
        <v>0</v>
      </c>
      <c r="J177" t="n">
        <v>0</v>
      </c>
      <c r="K177" t="n">
        <v>0</v>
      </c>
      <c r="L177" t="n">
        <v>0</v>
      </c>
      <c r="M177" t="n">
        <v>0</v>
      </c>
      <c r="N177" t="n">
        <v>0</v>
      </c>
    </row>
    <row r="178">
      <c r="A178" t="inlineStr">
        <is>
          <t>entry and marriage fines</t>
        </is>
      </c>
      <c r="B178" t="inlineStr">
        <is>
          <t>total, £28 19 shilling 2pence.</t>
        </is>
      </c>
      <c r="C178" t="n">
        <v>28.96</v>
      </c>
      <c r="D178" t="n">
        <v>28</v>
      </c>
      <c r="E178" t="n">
        <v>19</v>
      </c>
      <c r="F178" t="n">
        <v>2</v>
      </c>
      <c r="H178" t="n">
        <v>0</v>
      </c>
      <c r="I178" t="n">
        <v>0</v>
      </c>
      <c r="J178" t="n">
        <v>0</v>
      </c>
      <c r="K178" t="n">
        <v>0</v>
      </c>
      <c r="L178" t="n">
        <v>0</v>
      </c>
      <c r="M178" t="n">
        <v>0</v>
      </c>
      <c r="N178" t="n">
        <v>0</v>
      </c>
    </row>
    <row r="179">
      <c r="A179" t="inlineStr">
        <is>
          <t>heriots in cash</t>
        </is>
      </c>
      <c r="B179" t="inlineStr">
        <is>
          <t>and for 1 shilling from the heriot of john aleyn'.</t>
        </is>
      </c>
      <c r="C179" t="n">
        <v>0.05</v>
      </c>
      <c r="D179" t="n">
        <v>0</v>
      </c>
      <c r="E179" t="n">
        <v>1</v>
      </c>
      <c r="F179" t="n">
        <v>0</v>
      </c>
      <c r="H179" t="n">
        <v>0</v>
      </c>
      <c r="I179" t="n">
        <v>0</v>
      </c>
      <c r="J179" t="n">
        <v>0</v>
      </c>
      <c r="K179" t="n">
        <v>0</v>
      </c>
      <c r="L179" t="n">
        <v>0</v>
      </c>
      <c r="M179" t="n">
        <v>0</v>
      </c>
      <c r="N179" t="n">
        <v>0</v>
      </c>
    </row>
    <row r="180">
      <c r="A180" t="inlineStr">
        <is>
          <t>heriots in cash</t>
        </is>
      </c>
      <c r="B180" t="inlineStr">
        <is>
          <t>1 shilling from the heriot of john deth' in cash.</t>
        </is>
      </c>
      <c r="C180" t="n">
        <v>0.05</v>
      </c>
      <c r="D180" t="n">
        <v>0</v>
      </c>
      <c r="E180" t="n">
        <v>1</v>
      </c>
      <c r="F180" t="n">
        <v>0</v>
      </c>
      <c r="H180" t="n">
        <v>0</v>
      </c>
      <c r="I180" t="n">
        <v>0</v>
      </c>
      <c r="J180" t="n">
        <v>0</v>
      </c>
      <c r="K180" t="n">
        <v>0</v>
      </c>
      <c r="L180" t="n">
        <v>0</v>
      </c>
      <c r="M180" t="n">
        <v>0</v>
      </c>
      <c r="N180" t="n">
        <v>0</v>
      </c>
    </row>
    <row r="181">
      <c r="A181" t="inlineStr">
        <is>
          <t>heriots in cash</t>
        </is>
      </c>
      <c r="B181" t="inlineStr">
        <is>
          <t>nothing here of the 1 shilling from the heriot of john cleverle because it is in last year's account.</t>
        </is>
      </c>
      <c r="C181" t="n">
        <v>0.05</v>
      </c>
      <c r="D181" t="n">
        <v>0</v>
      </c>
      <c r="E181" t="n">
        <v>1</v>
      </c>
      <c r="F181" t="n">
        <v>0</v>
      </c>
      <c r="H181" t="n">
        <v>0</v>
      </c>
      <c r="I181" t="n">
        <v>0</v>
      </c>
      <c r="J181" t="n">
        <v>0</v>
      </c>
      <c r="K181" t="n">
        <v>0</v>
      </c>
      <c r="L181" t="n">
        <v>0</v>
      </c>
      <c r="M181" t="n">
        <v>0</v>
      </c>
      <c r="N181" t="n">
        <v>0</v>
      </c>
    </row>
    <row r="182">
      <c r="A182" t="inlineStr">
        <is>
          <t>heriots in cash</t>
        </is>
      </c>
      <c r="B182" t="inlineStr">
        <is>
          <t>nothing of the 1 shilling from the heriot of john atte mer' for the same.</t>
        </is>
      </c>
      <c r="C182" t="n">
        <v>0.05</v>
      </c>
      <c r="D182" t="n">
        <v>0</v>
      </c>
      <c r="E182" t="n">
        <v>1</v>
      </c>
      <c r="F182" t="n">
        <v>0</v>
      </c>
      <c r="H182" t="n">
        <v>0</v>
      </c>
      <c r="I182" t="n">
        <v>0</v>
      </c>
      <c r="J182" t="n">
        <v>0</v>
      </c>
      <c r="K182" t="n">
        <v>0</v>
      </c>
      <c r="L182" t="n">
        <v>0</v>
      </c>
      <c r="M182" t="n">
        <v>0</v>
      </c>
      <c r="N182" t="n">
        <v>0</v>
      </c>
    </row>
    <row r="183">
      <c r="A183" t="inlineStr">
        <is>
          <t>heriots in cash</t>
        </is>
      </c>
      <c r="B183" t="inlineStr">
        <is>
          <t>1 shilling from the heriot of joan, who was wife of richard donnere.</t>
        </is>
      </c>
      <c r="C183" t="n">
        <v>0.05</v>
      </c>
      <c r="D183" t="n">
        <v>0</v>
      </c>
      <c r="E183" t="n">
        <v>1</v>
      </c>
      <c r="F183" t="n">
        <v>0</v>
      </c>
      <c r="H183" t="n">
        <v>0</v>
      </c>
      <c r="I183" t="n">
        <v>0</v>
      </c>
      <c r="J183" t="n">
        <v>0</v>
      </c>
      <c r="K183" t="n">
        <v>0</v>
      </c>
      <c r="L183" t="n">
        <v>0</v>
      </c>
      <c r="M183" t="n">
        <v>0</v>
      </c>
      <c r="N183" t="n">
        <v>0</v>
      </c>
    </row>
    <row r="184">
      <c r="A184" t="inlineStr">
        <is>
          <t>heriots in cash</t>
        </is>
      </c>
      <c r="B184" t="inlineStr">
        <is>
          <t>1 shilling from the heriot of laurence bempthe in cash.</t>
        </is>
      </c>
      <c r="C184" t="n">
        <v>0.05</v>
      </c>
      <c r="D184" t="n">
        <v>0</v>
      </c>
      <c r="E184" t="n">
        <v>1</v>
      </c>
      <c r="F184" t="n">
        <v>0</v>
      </c>
      <c r="H184" t="n">
        <v>0</v>
      </c>
      <c r="I184" t="n">
        <v>0</v>
      </c>
      <c r="J184" t="n">
        <v>0</v>
      </c>
      <c r="K184" t="n">
        <v>0</v>
      </c>
      <c r="L184" t="n">
        <v>0</v>
      </c>
      <c r="M184" t="n">
        <v>0</v>
      </c>
      <c r="N184" t="n">
        <v>0</v>
      </c>
    </row>
    <row r="185">
      <c r="A185" t="inlineStr">
        <is>
          <t>heriots in cash</t>
        </is>
      </c>
      <c r="B185" t="inlineStr">
        <is>
          <t>total, 4 shilling.</t>
        </is>
      </c>
      <c r="C185" t="n">
        <v>0.2</v>
      </c>
      <c r="D185" t="n">
        <v>0</v>
      </c>
      <c r="E185" t="n">
        <v>4</v>
      </c>
      <c r="F185" t="n">
        <v>0</v>
      </c>
      <c r="H185" t="n">
        <v>0</v>
      </c>
      <c r="I185" t="n">
        <v>0</v>
      </c>
      <c r="J185" t="n">
        <v>0</v>
      </c>
      <c r="K185" t="n">
        <v>0</v>
      </c>
      <c r="L185" t="n">
        <v>0</v>
      </c>
      <c r="M185" t="n">
        <v>0</v>
      </c>
      <c r="N185" t="n">
        <v>0</v>
      </c>
    </row>
    <row r="186">
      <c r="A186" t="inlineStr">
        <is>
          <t>perquisites</t>
        </is>
      </c>
      <c r="B186" t="inlineStr">
        <is>
          <t>and for £1 18 shilling 5pence from the perquisites of the tourn of martinmas (11 november).</t>
        </is>
      </c>
      <c r="C186" t="n">
        <v>1.92</v>
      </c>
      <c r="D186" t="n">
        <v>1</v>
      </c>
      <c r="E186" t="n">
        <v>18</v>
      </c>
      <c r="F186" t="n">
        <v>5</v>
      </c>
      <c r="H186" t="n">
        <v>0</v>
      </c>
      <c r="I186" t="n">
        <v>0</v>
      </c>
      <c r="J186" t="n">
        <v>0</v>
      </c>
      <c r="K186" t="n">
        <v>0</v>
      </c>
      <c r="L186" t="n">
        <v>0</v>
      </c>
      <c r="M186" t="n">
        <v>0</v>
      </c>
      <c r="N186" t="n">
        <v>0</v>
      </c>
    </row>
    <row r="187">
      <c r="A187" t="inlineStr">
        <is>
          <t>perquisites</t>
        </is>
      </c>
      <c r="B187" t="inlineStr">
        <is>
          <t>£1 6 shilling 6pence from the perquisites of the courts held between the two toums.</t>
        </is>
      </c>
      <c r="C187" t="n">
        <v>1.32</v>
      </c>
      <c r="D187" t="n">
        <v>1</v>
      </c>
      <c r="E187" t="n">
        <v>6</v>
      </c>
      <c r="F187" t="n">
        <v>6</v>
      </c>
      <c r="H187" t="n">
        <v>0</v>
      </c>
      <c r="I187" t="n">
        <v>0</v>
      </c>
      <c r="J187" t="n">
        <v>0</v>
      </c>
      <c r="K187" t="n">
        <v>0</v>
      </c>
      <c r="L187" t="n">
        <v>0</v>
      </c>
      <c r="M187" t="n">
        <v>0</v>
      </c>
      <c r="N187" t="n">
        <v>0</v>
      </c>
    </row>
    <row r="188">
      <c r="A188" t="inlineStr">
        <is>
          <t>perquisites</t>
        </is>
      </c>
      <c r="B188" t="inlineStr">
        <is>
          <t>£1 6 shilling 1pence from the perquisites of the tourn of hockday (1 april).</t>
        </is>
      </c>
      <c r="C188" t="n">
        <v>1.3</v>
      </c>
      <c r="D188" t="n">
        <v>1</v>
      </c>
      <c r="E188" t="n">
        <v>6</v>
      </c>
      <c r="F188" t="n">
        <v>1</v>
      </c>
      <c r="H188" t="n">
        <v>0</v>
      </c>
      <c r="I188" t="n">
        <v>0</v>
      </c>
      <c r="J188" t="n">
        <v>0</v>
      </c>
      <c r="K188" t="n">
        <v>0</v>
      </c>
      <c r="L188" t="n">
        <v>0</v>
      </c>
      <c r="M188" t="n">
        <v>0</v>
      </c>
      <c r="N188" t="n">
        <v>0</v>
      </c>
    </row>
    <row r="189">
      <c r="A189" t="inlineStr">
        <is>
          <t>perquisites</t>
        </is>
      </c>
      <c r="B189" t="inlineStr">
        <is>
          <t>£1 1 shilling 10pence from the perquisites of the courts held after the said tourn.</t>
        </is>
      </c>
      <c r="C189" t="n">
        <v>1.09</v>
      </c>
      <c r="D189" t="n">
        <v>1</v>
      </c>
      <c r="E189" t="n">
        <v>1</v>
      </c>
      <c r="F189" t="n">
        <v>10</v>
      </c>
      <c r="H189" t="n">
        <v>0</v>
      </c>
      <c r="I189" t="n">
        <v>0</v>
      </c>
      <c r="J189" t="n">
        <v>0</v>
      </c>
      <c r="K189" t="n">
        <v>0</v>
      </c>
      <c r="L189" t="n">
        <v>0</v>
      </c>
      <c r="M189" t="n">
        <v>0</v>
      </c>
      <c r="N189" t="n">
        <v>0</v>
      </c>
    </row>
    <row r="190">
      <c r="A190" t="inlineStr">
        <is>
          <t>perquisites</t>
        </is>
      </c>
      <c r="B190" t="inlineStr">
        <is>
          <t>total, £5 12 shilling 10pence.</t>
        </is>
      </c>
      <c r="C190" t="n">
        <v>5.64</v>
      </c>
      <c r="D190" t="n">
        <v>5</v>
      </c>
      <c r="E190" t="n">
        <v>12</v>
      </c>
      <c r="F190" t="n">
        <v>10</v>
      </c>
      <c r="H190" t="n">
        <v>0</v>
      </c>
      <c r="I190" t="n">
        <v>0</v>
      </c>
      <c r="J190" t="n">
        <v>0</v>
      </c>
      <c r="K190" t="n">
        <v>0</v>
      </c>
      <c r="L190" t="n">
        <v>0</v>
      </c>
      <c r="M190" t="n">
        <v>0</v>
      </c>
      <c r="N190" t="n">
        <v>0</v>
      </c>
    </row>
    <row r="191">
      <c r="A191" t="inlineStr">
        <is>
          <t>chattels of waifs</t>
        </is>
      </c>
      <c r="B191" t="inlineStr">
        <is>
          <t>and for 5 shilling 4pence from the chattels of waifs this year.</t>
        </is>
      </c>
      <c r="C191" t="n">
        <v>0.27</v>
      </c>
      <c r="D191" t="n">
        <v>0</v>
      </c>
      <c r="E191" t="n">
        <v>5</v>
      </c>
      <c r="F191" t="n">
        <v>4</v>
      </c>
      <c r="H191" t="n">
        <v>0</v>
      </c>
      <c r="I191" t="n">
        <v>0</v>
      </c>
      <c r="J191" t="n">
        <v>0</v>
      </c>
      <c r="K191" t="n">
        <v>0</v>
      </c>
      <c r="L191" t="n">
        <v>0</v>
      </c>
      <c r="M191" t="n">
        <v>0</v>
      </c>
      <c r="N191" t="n">
        <v>0</v>
      </c>
    </row>
    <row r="192">
      <c r="A192" t="inlineStr">
        <is>
          <t>chattels of waifs</t>
        </is>
      </c>
      <c r="B192" t="inlineStr">
        <is>
          <t>total, 5 shilling 4pence.</t>
        </is>
      </c>
      <c r="C192" t="n">
        <v>0.27</v>
      </c>
      <c r="D192" t="n">
        <v>0</v>
      </c>
      <c r="E192" t="n">
        <v>5</v>
      </c>
      <c r="F192" t="n">
        <v>4</v>
      </c>
      <c r="H192" t="n">
        <v>0</v>
      </c>
      <c r="I192" t="n">
        <v>0</v>
      </c>
      <c r="J192" t="n">
        <v>0</v>
      </c>
      <c r="K192" t="n">
        <v>0</v>
      </c>
      <c r="L192" t="n">
        <v>0</v>
      </c>
      <c r="M192" t="n">
        <v>0</v>
      </c>
      <c r="N192" t="n">
        <v>0</v>
      </c>
    </row>
    <row r="193">
      <c r="A193" t="inlineStr">
        <is>
          <t>sales at the audit</t>
        </is>
      </c>
      <c r="B193" t="inlineStr">
        <is>
          <t>and for £7 4 shilling 9pence from various sales at the audit as made clear elsewhere.</t>
        </is>
      </c>
      <c r="C193" t="n">
        <v>7.24</v>
      </c>
      <c r="D193" t="n">
        <v>7</v>
      </c>
      <c r="E193" t="n">
        <v>4</v>
      </c>
      <c r="F193" t="n">
        <v>9</v>
      </c>
      <c r="H193" t="n">
        <v>0</v>
      </c>
      <c r="I193" t="n">
        <v>0</v>
      </c>
      <c r="J193" t="n">
        <v>0</v>
      </c>
      <c r="K193" t="n">
        <v>0</v>
      </c>
      <c r="L193" t="n">
        <v>0</v>
      </c>
      <c r="M193" t="n">
        <v>0</v>
      </c>
      <c r="N193" t="n">
        <v>0</v>
      </c>
    </row>
    <row r="194">
      <c r="A194" t="inlineStr">
        <is>
          <t>sales at the audit</t>
        </is>
      </c>
      <c r="B194" t="inlineStr">
        <is>
          <t>total, £7 4 shilling 9pence.</t>
        </is>
      </c>
      <c r="C194" t="n">
        <v>7.24</v>
      </c>
      <c r="D194" t="n">
        <v>7</v>
      </c>
      <c r="E194" t="n">
        <v>4</v>
      </c>
      <c r="F194" t="n">
        <v>9</v>
      </c>
      <c r="H194" t="n">
        <v>0</v>
      </c>
      <c r="I194" t="n">
        <v>0</v>
      </c>
      <c r="J194" t="n">
        <v>0</v>
      </c>
      <c r="K194" t="n">
        <v>0</v>
      </c>
      <c r="L194" t="n">
        <v>0</v>
      </c>
      <c r="M194" t="n">
        <v>0</v>
      </c>
      <c r="N194" t="n">
        <v>0</v>
      </c>
    </row>
    <row r="195">
      <c r="A195" t="inlineStr">
        <is>
          <t>total of all receipts with arrears</t>
        </is>
      </c>
      <c r="B195" t="inlineStr">
        <is>
          <t>total of all receipts with arrears, £295 6 shilling 8.5pence1.</t>
        </is>
      </c>
      <c r="C195" t="n">
        <v>295.34</v>
      </c>
      <c r="D195" t="n">
        <v>295</v>
      </c>
      <c r="E195" t="n">
        <v>6</v>
      </c>
      <c r="F195" t="n">
        <v>8.5</v>
      </c>
      <c r="H195" t="n">
        <v>0</v>
      </c>
      <c r="I195" t="n">
        <v>0</v>
      </c>
      <c r="J195" t="n">
        <v>0</v>
      </c>
      <c r="K195" t="n">
        <v>0</v>
      </c>
      <c r="L195" t="n">
        <v>0</v>
      </c>
      <c r="M195" t="n">
        <v>0</v>
      </c>
      <c r="N195" t="n">
        <v>0</v>
      </c>
    </row>
    <row r="196">
      <c r="A196" t="inlineStr">
        <is>
          <t>cost of ploughs</t>
        </is>
      </c>
      <c r="B196" t="inlineStr">
        <is>
          <t>in iron and steel bought for the ironwork of 2 ploughs for the year 13 shilling 4pence.</t>
        </is>
      </c>
      <c r="C196" t="n">
        <v>0.67</v>
      </c>
      <c r="D196" t="n">
        <v>0</v>
      </c>
      <c r="E196" t="n">
        <v>13</v>
      </c>
      <c r="F196" t="n">
        <v>4</v>
      </c>
      <c r="H196" t="n">
        <v>0</v>
      </c>
      <c r="I196" t="n">
        <v>0</v>
      </c>
      <c r="J196" t="n">
        <v>0</v>
      </c>
      <c r="K196" t="n">
        <v>0</v>
      </c>
      <c r="L196" t="n">
        <v>0</v>
      </c>
      <c r="M196" t="n">
        <v>0</v>
      </c>
      <c r="N196" t="n">
        <v>0</v>
      </c>
    </row>
    <row r="197">
      <c r="A197" t="inlineStr">
        <is>
          <t>cost of ploughs</t>
        </is>
      </c>
      <c r="B197" t="inlineStr">
        <is>
          <t>stipend of the smith forging the said ironwork for the year 10 shilling.</t>
        </is>
      </c>
      <c r="C197" t="n">
        <v>0.5</v>
      </c>
      <c r="D197" t="n">
        <v>0</v>
      </c>
      <c r="E197" t="n">
        <v>10</v>
      </c>
      <c r="F197" t="n">
        <v>0</v>
      </c>
      <c r="H197" t="n">
        <v>0</v>
      </c>
      <c r="I197" t="n">
        <v>0</v>
      </c>
      <c r="J197" t="n">
        <v>0</v>
      </c>
      <c r="K197" t="n">
        <v>0</v>
      </c>
      <c r="L197" t="n">
        <v>0</v>
      </c>
      <c r="M197" t="n">
        <v>0</v>
      </c>
      <c r="N197" t="n">
        <v>0</v>
      </c>
    </row>
    <row r="198">
      <c r="A198" t="inlineStr">
        <is>
          <t>cost of ploughs</t>
        </is>
      </c>
      <c r="B198" t="inlineStr">
        <is>
          <t>2 new ploughs made from the lord's timber 1 shilling.</t>
        </is>
      </c>
      <c r="C198" t="n">
        <v>0.05</v>
      </c>
      <c r="D198" t="n">
        <v>0</v>
      </c>
      <c r="E198" t="n">
        <v>1</v>
      </c>
      <c r="F198" t="n">
        <v>0</v>
      </c>
      <c r="H198" t="n">
        <v>0</v>
      </c>
      <c r="I198" t="n">
        <v>0</v>
      </c>
      <c r="J198" t="n">
        <v>0</v>
      </c>
      <c r="K198" t="n">
        <v>0</v>
      </c>
      <c r="L198" t="n">
        <v>0</v>
      </c>
      <c r="M198" t="n">
        <v>0</v>
      </c>
      <c r="N198" t="n">
        <v>0</v>
      </c>
    </row>
    <row r="199">
      <c r="A199" t="inlineStr">
        <is>
          <t>cost of ploughs</t>
        </is>
      </c>
      <c r="B199" t="inlineStr">
        <is>
          <t>fitting the same with iron tyres 6pence.</t>
        </is>
      </c>
      <c r="C199" t="n">
        <v>0.03</v>
      </c>
      <c r="D199" t="n">
        <v>0</v>
      </c>
      <c r="E199" t="n">
        <v>0</v>
      </c>
      <c r="F199" t="n">
        <v>6</v>
      </c>
      <c r="H199" t="n">
        <v>0</v>
      </c>
      <c r="I199" t="n">
        <v>0</v>
      </c>
      <c r="J199" t="n">
        <v>0</v>
      </c>
      <c r="K199" t="n">
        <v>0</v>
      </c>
      <c r="L199" t="n">
        <v>0</v>
      </c>
      <c r="M199" t="n">
        <v>0</v>
      </c>
      <c r="N199" t="n">
        <v>0</v>
      </c>
    </row>
    <row r="200">
      <c r="A200" t="inlineStr">
        <is>
          <t>cost of ploughs</t>
        </is>
      </c>
      <c r="B200" t="inlineStr">
        <is>
          <t>2 new plough feet with nails bought for the same 1 shilling.</t>
        </is>
      </c>
      <c r="C200" t="n">
        <v>0.05</v>
      </c>
      <c r="D200" t="n">
        <v>0</v>
      </c>
      <c r="E200" t="n">
        <v>1</v>
      </c>
      <c r="F200" t="n">
        <v>0</v>
      </c>
      <c r="H200" t="n">
        <v>0</v>
      </c>
      <c r="I200" t="n">
        <v>0</v>
      </c>
      <c r="J200" t="n">
        <v>0</v>
      </c>
      <c r="K200" t="n">
        <v>0</v>
      </c>
      <c r="L200" t="n">
        <v>0</v>
      </c>
      <c r="M200" t="n">
        <v>0</v>
      </c>
      <c r="N200" t="n">
        <v>0</v>
      </c>
    </row>
    <row r="201">
      <c r="A201" t="inlineStr">
        <is>
          <t>cost of ploughs</t>
        </is>
      </c>
      <c r="B201" t="inlineStr">
        <is>
          <t>2 new harrows made 1 shilling.</t>
        </is>
      </c>
      <c r="C201" t="n">
        <v>0.05</v>
      </c>
      <c r="D201" t="n">
        <v>0</v>
      </c>
      <c r="E201" t="n">
        <v>1</v>
      </c>
      <c r="F201" t="n">
        <v>0</v>
      </c>
      <c r="H201" t="n">
        <v>0</v>
      </c>
      <c r="I201" t="n">
        <v>0</v>
      </c>
      <c r="J201" t="n">
        <v>0</v>
      </c>
      <c r="K201" t="n">
        <v>0</v>
      </c>
      <c r="L201" t="n">
        <v>0</v>
      </c>
      <c r="M201" t="n">
        <v>0</v>
      </c>
      <c r="N201" t="n">
        <v>0</v>
      </c>
    </row>
    <row r="202">
      <c r="A202" t="inlineStr">
        <is>
          <t>cost of ploughs</t>
        </is>
      </c>
      <c r="B202" t="inlineStr">
        <is>
          <t>fitting the lord's ploughs with share-beams and mould-boards for the year 1 shilling.</t>
        </is>
      </c>
      <c r="C202" t="n">
        <v>0.05</v>
      </c>
      <c r="D202" t="n">
        <v>0</v>
      </c>
      <c r="E202" t="n">
        <v>1</v>
      </c>
      <c r="F202" t="n">
        <v>0</v>
      </c>
      <c r="H202" t="n">
        <v>0</v>
      </c>
      <c r="I202" t="n">
        <v>0</v>
      </c>
      <c r="J202" t="n">
        <v>0</v>
      </c>
      <c r="K202" t="n">
        <v>0</v>
      </c>
      <c r="L202" t="n">
        <v>0</v>
      </c>
      <c r="M202" t="n">
        <v>0</v>
      </c>
      <c r="N202" t="n">
        <v>0</v>
      </c>
    </row>
    <row r="203">
      <c r="A203" t="inlineStr">
        <is>
          <t>cost of ploughs</t>
        </is>
      </c>
      <c r="B203" t="inlineStr">
        <is>
          <t>1 pair of wheels bought for the ploughs 10pence.</t>
        </is>
      </c>
      <c r="C203" t="n">
        <v>0.04</v>
      </c>
      <c r="D203" t="n">
        <v>0</v>
      </c>
      <c r="E203" t="n">
        <v>0</v>
      </c>
      <c r="F203" t="n">
        <v>10</v>
      </c>
      <c r="H203" t="n">
        <v>0</v>
      </c>
      <c r="I203" t="n">
        <v>0</v>
      </c>
      <c r="J203" t="n">
        <v>0</v>
      </c>
      <c r="K203" t="n">
        <v>0</v>
      </c>
      <c r="L203" t="n">
        <v>0</v>
      </c>
      <c r="M203" t="n">
        <v>0</v>
      </c>
      <c r="N203" t="n">
        <v>0</v>
      </c>
    </row>
    <row r="204">
      <c r="A204" t="inlineStr">
        <is>
          <t>cost of ploughs</t>
        </is>
      </c>
      <c r="B204" t="inlineStr">
        <is>
          <t>mending old harrows 4pence.</t>
        </is>
      </c>
      <c r="C204" t="n">
        <v>0.02</v>
      </c>
      <c r="D204" t="n">
        <v>0</v>
      </c>
      <c r="E204" t="n">
        <v>0</v>
      </c>
      <c r="F204" t="n">
        <v>4</v>
      </c>
      <c r="H204" t="n">
        <v>0</v>
      </c>
      <c r="I204" t="n">
        <v>0</v>
      </c>
      <c r="J204" t="n">
        <v>0</v>
      </c>
      <c r="K204" t="n">
        <v>0</v>
      </c>
      <c r="L204" t="n">
        <v>0</v>
      </c>
      <c r="M204" t="n">
        <v>0</v>
      </c>
      <c r="N204" t="n">
        <v>0</v>
      </c>
    </row>
    <row r="205">
      <c r="A205" t="inlineStr">
        <is>
          <t>cost of ploughs</t>
        </is>
      </c>
      <c r="B205" t="inlineStr">
        <is>
          <t>steeling and sharpening the iron teeth oi3 e harrows 2 shilling.</t>
        </is>
      </c>
      <c r="C205" t="n">
        <v>0.1</v>
      </c>
      <c r="D205" t="n">
        <v>0</v>
      </c>
      <c r="E205" t="n">
        <v>2</v>
      </c>
      <c r="F205" t="n">
        <v>0</v>
      </c>
      <c r="H205" t="n">
        <v>0</v>
      </c>
      <c r="I205" t="n">
        <v>0</v>
      </c>
      <c r="J205" t="n">
        <v>0</v>
      </c>
      <c r="K205" t="n">
        <v>0</v>
      </c>
      <c r="L205" t="n">
        <v>0</v>
      </c>
      <c r="M205" t="n">
        <v>0</v>
      </c>
      <c r="N205" t="n">
        <v>0</v>
      </c>
    </row>
    <row r="206">
      <c r="A206" t="inlineStr">
        <is>
          <t>cost of ploughs</t>
        </is>
      </c>
      <c r="B206" t="inlineStr">
        <is>
          <t>100 nails bought to fasten the said teeth 5pence.</t>
        </is>
      </c>
      <c r="C206" t="n">
        <v>0.02</v>
      </c>
      <c r="D206" t="n">
        <v>0</v>
      </c>
      <c r="E206" t="n">
        <v>0</v>
      </c>
      <c r="F206" t="n">
        <v>5</v>
      </c>
      <c r="H206" t="n">
        <v>0</v>
      </c>
      <c r="I206" t="n">
        <v>0</v>
      </c>
      <c r="J206" t="n">
        <v>0</v>
      </c>
      <c r="K206" t="n">
        <v>0</v>
      </c>
      <c r="L206" t="n">
        <v>0</v>
      </c>
      <c r="M206" t="n">
        <v>0</v>
      </c>
      <c r="N206" t="n">
        <v>0</v>
      </c>
    </row>
    <row r="207">
      <c r="A207" t="inlineStr">
        <is>
          <t>cost of ploughs</t>
        </is>
      </c>
      <c r="B207" t="inlineStr">
        <is>
          <t>making 5 yokes 5d shoeing 22 oxen for the winter sowing and fastening them again for the lenten sowing 5 shilling 6pence.</t>
        </is>
      </c>
      <c r="C207" t="n">
        <v>0.28</v>
      </c>
      <c r="D207" t="n">
        <v>0</v>
      </c>
      <c r="E207" t="n">
        <v>5</v>
      </c>
      <c r="F207" t="n">
        <v>6</v>
      </c>
      <c r="H207" t="n">
        <v>0</v>
      </c>
      <c r="I207" t="n">
        <v>0</v>
      </c>
      <c r="J207" t="n">
        <v>0</v>
      </c>
      <c r="K207" t="n">
        <v>0</v>
      </c>
      <c r="L207" t="n">
        <v>0</v>
      </c>
      <c r="M207" t="n">
        <v>0</v>
      </c>
      <c r="N207" t="n">
        <v>0</v>
      </c>
    </row>
    <row r="208">
      <c r="A208" t="inlineStr">
        <is>
          <t>cost of ploughs</t>
        </is>
      </c>
      <c r="B208" t="inlineStr">
        <is>
          <t>1 boon-work of 23 ploughmen of the in-hundred who ploughed 46 acres': they lie at the winter sowing 1 shilling 11pence.</t>
        </is>
      </c>
      <c r="C208" t="n">
        <v>0.1</v>
      </c>
      <c r="D208" t="n">
        <v>0</v>
      </c>
      <c r="E208" t="n">
        <v>1</v>
      </c>
      <c r="F208" t="n">
        <v>11</v>
      </c>
      <c r="H208" t="n">
        <v>0</v>
      </c>
      <c r="I208" t="n">
        <v>0</v>
      </c>
      <c r="J208" t="n">
        <v>0</v>
      </c>
      <c r="K208" t="n">
        <v>0</v>
      </c>
      <c r="L208" t="n">
        <v>0</v>
      </c>
      <c r="M208" t="n">
        <v>0</v>
      </c>
      <c r="N208" t="n">
        <v>0</v>
      </c>
    </row>
    <row r="209">
      <c r="A209" t="inlineStr">
        <is>
          <t>cost of ploughs</t>
        </is>
      </c>
      <c r="B209" t="inlineStr">
        <is>
          <t>1 other boon-work of 23 ploughmen who ploughed 24 acres] as they lie at the lenten sowing 1 shilling 11pence.</t>
        </is>
      </c>
      <c r="C209" t="n">
        <v>0.1</v>
      </c>
      <c r="D209" t="n">
        <v>0</v>
      </c>
      <c r="E209" t="n">
        <v>1</v>
      </c>
      <c r="F209" t="n">
        <v>11</v>
      </c>
      <c r="H209" t="n">
        <v>0</v>
      </c>
      <c r="I209" t="n">
        <v>0</v>
      </c>
      <c r="J209" t="n">
        <v>0</v>
      </c>
      <c r="K209" t="n">
        <v>0</v>
      </c>
      <c r="L209" t="n">
        <v>0</v>
      </c>
      <c r="M209" t="n">
        <v>0</v>
      </c>
      <c r="N209" t="n">
        <v>0</v>
      </c>
    </row>
    <row r="210">
      <c r="A210" t="inlineStr">
        <is>
          <t>cost of ploughs</t>
        </is>
      </c>
      <c r="B210" t="inlineStr">
        <is>
          <t>1 ploughshare bought 1 shilling 6pence.</t>
        </is>
      </c>
      <c r="C210" t="n">
        <v>0.08</v>
      </c>
      <c r="D210" t="n">
        <v>0</v>
      </c>
      <c r="E210" t="n">
        <v>1</v>
      </c>
      <c r="F210" t="n">
        <v>6</v>
      </c>
      <c r="H210" t="n">
        <v>0</v>
      </c>
      <c r="I210" t="n">
        <v>0</v>
      </c>
      <c r="J210" t="n">
        <v>0</v>
      </c>
      <c r="K210" t="n">
        <v>0</v>
      </c>
      <c r="L210" t="n">
        <v>0</v>
      </c>
      <c r="M210" t="n">
        <v>0</v>
      </c>
      <c r="N210" t="n">
        <v>0</v>
      </c>
    </row>
    <row r="211">
      <c r="A211" t="inlineStr">
        <is>
          <t>cost of ploughs</t>
        </is>
      </c>
      <c r="B211" t="inlineStr">
        <is>
          <t>stipend of 2 ploughmen and 2 drovers for the year 16 shilling, or 4 shilling each.</t>
        </is>
      </c>
      <c r="C211" t="n">
        <v>0.8</v>
      </c>
      <c r="D211" t="n">
        <v>0</v>
      </c>
      <c r="E211" t="n">
        <v>16</v>
      </c>
      <c r="F211" t="n">
        <v>0</v>
      </c>
      <c r="H211" t="n">
        <v>0</v>
      </c>
      <c r="I211" t="n">
        <v>0</v>
      </c>
      <c r="J211" t="n">
        <v>0</v>
      </c>
      <c r="K211" t="n">
        <v>0</v>
      </c>
      <c r="L211" t="n">
        <v>0</v>
      </c>
      <c r="M211" t="n">
        <v>0</v>
      </c>
      <c r="N211" t="n">
        <v>0</v>
      </c>
    </row>
    <row r="212">
      <c r="A212" t="inlineStr">
        <is>
          <t>cost of ploughs</t>
        </is>
      </c>
      <c r="B212" t="inlineStr">
        <is>
          <t>total, £2 18 shilling 8pence.</t>
        </is>
      </c>
      <c r="C212" t="n">
        <v>2.93</v>
      </c>
      <c r="D212" t="n">
        <v>2</v>
      </c>
      <c r="E212" t="n">
        <v>18</v>
      </c>
      <c r="F212" t="n">
        <v>8</v>
      </c>
      <c r="H212" t="n">
        <v>0</v>
      </c>
      <c r="I212" t="n">
        <v>0</v>
      </c>
      <c r="J212" t="n">
        <v>0</v>
      </c>
      <c r="K212" t="n">
        <v>0</v>
      </c>
      <c r="L212" t="n">
        <v>0</v>
      </c>
      <c r="M212" t="n">
        <v>0</v>
      </c>
      <c r="N212" t="n">
        <v>0</v>
      </c>
    </row>
    <row r="213">
      <c r="A213" t="inlineStr">
        <is>
          <t>cost of carts</t>
        </is>
      </c>
      <c r="B213" t="inlineStr">
        <is>
          <t>in clouts with nails bought for the carts 2 shilling 11pence.</t>
        </is>
      </c>
      <c r="C213" t="n">
        <v>0.15</v>
      </c>
      <c r="D213" t="n">
        <v>0</v>
      </c>
      <c r="E213" t="n">
        <v>2</v>
      </c>
      <c r="F213" t="n">
        <v>11</v>
      </c>
      <c r="H213" t="n">
        <v>0</v>
      </c>
      <c r="I213" t="n">
        <v>0</v>
      </c>
      <c r="J213" t="n">
        <v>0</v>
      </c>
      <c r="K213" t="n">
        <v>0</v>
      </c>
      <c r="L213" t="n">
        <v>0</v>
      </c>
      <c r="M213" t="n">
        <v>0</v>
      </c>
      <c r="N213" t="n">
        <v>0</v>
      </c>
    </row>
    <row r="214">
      <c r="A214" t="inlineStr">
        <is>
          <t>cost of carts</t>
        </is>
      </c>
      <c r="B214" t="inlineStr">
        <is>
          <t>fitting the carts with axles 8pence.</t>
        </is>
      </c>
      <c r="C214" t="n">
        <v>0.03</v>
      </c>
      <c r="D214" t="n">
        <v>0</v>
      </c>
      <c r="E214" t="n">
        <v>0</v>
      </c>
      <c r="F214" t="n">
        <v>8</v>
      </c>
      <c r="H214" t="n">
        <v>0</v>
      </c>
      <c r="I214" t="n">
        <v>0</v>
      </c>
      <c r="J214" t="n">
        <v>0</v>
      </c>
      <c r="K214" t="n">
        <v>0</v>
      </c>
      <c r="L214" t="n">
        <v>0</v>
      </c>
      <c r="M214" t="n">
        <v>0</v>
      </c>
      <c r="N214" t="n">
        <v>0</v>
      </c>
    </row>
    <row r="215">
      <c r="A215" t="inlineStr">
        <is>
          <t>cost of carts</t>
        </is>
      </c>
      <c r="B215" t="inlineStr">
        <is>
          <t>greasing the same 6pence.</t>
        </is>
      </c>
      <c r="C215" t="n">
        <v>0.03</v>
      </c>
      <c r="D215" t="n">
        <v>0</v>
      </c>
      <c r="E215" t="n">
        <v>0</v>
      </c>
      <c r="F215" t="n">
        <v>6</v>
      </c>
      <c r="H215" t="n">
        <v>0</v>
      </c>
      <c r="I215" t="n">
        <v>0</v>
      </c>
      <c r="J215" t="n">
        <v>0</v>
      </c>
      <c r="K215" t="n">
        <v>0</v>
      </c>
      <c r="L215" t="n">
        <v>0</v>
      </c>
      <c r="M215" t="n">
        <v>0</v>
      </c>
      <c r="N215" t="n">
        <v>0</v>
      </c>
    </row>
    <row r="216">
      <c r="A216" t="inlineStr">
        <is>
          <t>cost of carts</t>
        </is>
      </c>
      <c r="B216" t="inlineStr">
        <is>
          <t>2 new collars bought 1 shilling 8pence.</t>
        </is>
      </c>
      <c r="C216" t="n">
        <v>0.08</v>
      </c>
      <c r="D216" t="n">
        <v>0</v>
      </c>
      <c r="E216" t="n">
        <v>1</v>
      </c>
      <c r="F216" t="n">
        <v>8</v>
      </c>
      <c r="H216" t="n">
        <v>0</v>
      </c>
      <c r="I216" t="n">
        <v>0</v>
      </c>
      <c r="J216" t="n">
        <v>0</v>
      </c>
      <c r="K216" t="n">
        <v>0</v>
      </c>
      <c r="L216" t="n">
        <v>0</v>
      </c>
      <c r="M216" t="n">
        <v>0</v>
      </c>
      <c r="N216" t="n">
        <v>0</v>
      </c>
    </row>
    <row r="217">
      <c r="A217" t="inlineStr">
        <is>
          <t>cost of carts</t>
        </is>
      </c>
      <c r="B217" t="inlineStr">
        <is>
          <t>2 pairs of traces bought 1 shilling 4pence.</t>
        </is>
      </c>
      <c r="C217" t="n">
        <v>0.07000000000000001</v>
      </c>
      <c r="D217" t="n">
        <v>0</v>
      </c>
      <c r="E217" t="n">
        <v>1</v>
      </c>
      <c r="F217" t="n">
        <v>4</v>
      </c>
      <c r="H217" t="n">
        <v>0</v>
      </c>
      <c r="I217" t="n">
        <v>0</v>
      </c>
      <c r="J217" t="n">
        <v>0</v>
      </c>
      <c r="K217" t="n">
        <v>0</v>
      </c>
      <c r="L217" t="n">
        <v>0</v>
      </c>
      <c r="M217" t="n">
        <v>0</v>
      </c>
      <c r="N217" t="n">
        <v>0</v>
      </c>
    </row>
    <row r="218">
      <c r="A218" t="inlineStr">
        <is>
          <t>cost of carts</t>
        </is>
      </c>
      <c r="B218" t="inlineStr">
        <is>
          <t>6 halters bought 6pence.</t>
        </is>
      </c>
      <c r="C218" t="n">
        <v>0.03</v>
      </c>
      <c r="D218" t="n">
        <v>0</v>
      </c>
      <c r="E218" t="n">
        <v>0</v>
      </c>
      <c r="F218" t="n">
        <v>6</v>
      </c>
      <c r="H218" t="n">
        <v>0</v>
      </c>
      <c r="I218" t="n">
        <v>0</v>
      </c>
      <c r="J218" t="n">
        <v>0</v>
      </c>
      <c r="K218" t="n">
        <v>0</v>
      </c>
      <c r="L218" t="n">
        <v>0</v>
      </c>
      <c r="M218" t="n">
        <v>0</v>
      </c>
      <c r="N218" t="n">
        <v>0</v>
      </c>
    </row>
    <row r="219">
      <c r="A219" t="inlineStr">
        <is>
          <t>cost of carts</t>
        </is>
      </c>
      <c r="B219" t="inlineStr">
        <is>
          <t>white leather bought 1 shilling 6pence.</t>
        </is>
      </c>
      <c r="C219" t="n">
        <v>0.08</v>
      </c>
      <c r="D219" t="n">
        <v>0</v>
      </c>
      <c r="E219" t="n">
        <v>1</v>
      </c>
      <c r="F219" t="n">
        <v>6</v>
      </c>
      <c r="H219" t="n">
        <v>0</v>
      </c>
      <c r="I219" t="n">
        <v>0</v>
      </c>
      <c r="J219" t="n">
        <v>0</v>
      </c>
      <c r="K219" t="n">
        <v>0</v>
      </c>
      <c r="L219" t="n">
        <v>0</v>
      </c>
      <c r="M219" t="n">
        <v>0</v>
      </c>
      <c r="N219" t="n">
        <v>0</v>
      </c>
    </row>
    <row r="220">
      <c r="A220" t="inlineStr">
        <is>
          <t>cost of carts</t>
        </is>
      </c>
      <c r="B220" t="inlineStr">
        <is>
          <t>shoeing 6 horses for the year 12 shilling.</t>
        </is>
      </c>
      <c r="C220" t="n">
        <v>0.6</v>
      </c>
      <c r="D220" t="n">
        <v>0</v>
      </c>
      <c r="E220" t="n">
        <v>12</v>
      </c>
      <c r="F220" t="n">
        <v>0</v>
      </c>
      <c r="H220" t="n">
        <v>0</v>
      </c>
      <c r="I220" t="n">
        <v>0</v>
      </c>
      <c r="J220" t="n">
        <v>0</v>
      </c>
      <c r="K220" t="n">
        <v>0</v>
      </c>
      <c r="L220" t="n">
        <v>0</v>
      </c>
      <c r="M220" t="n">
        <v>0</v>
      </c>
      <c r="N220" t="n">
        <v>0</v>
      </c>
    </row>
    <row r="221">
      <c r="A221" t="inlineStr">
        <is>
          <t>cost of carts</t>
        </is>
      </c>
      <c r="B221" t="inlineStr">
        <is>
          <t>1 cart-rope bought 2 shilling.</t>
        </is>
      </c>
      <c r="C221" t="n">
        <v>0.1</v>
      </c>
      <c r="D221" t="n">
        <v>0</v>
      </c>
      <c r="E221" t="n">
        <v>2</v>
      </c>
      <c r="F221" t="n">
        <v>0</v>
      </c>
      <c r="H221" t="n">
        <v>0</v>
      </c>
      <c r="I221" t="n">
        <v>0</v>
      </c>
      <c r="J221" t="n">
        <v>0</v>
      </c>
      <c r="K221" t="n">
        <v>0</v>
      </c>
      <c r="L221" t="n">
        <v>0</v>
      </c>
      <c r="M221" t="n">
        <v>0</v>
      </c>
      <c r="N221" t="n">
        <v>0</v>
      </c>
    </row>
    <row r="222">
      <c r="A222" t="inlineStr">
        <is>
          <t>cost of carts</t>
        </is>
      </c>
      <c r="B222" t="inlineStr">
        <is>
          <t>1 pair of cart-wheels (briddej) bought 6 shilling 8pence.</t>
        </is>
      </c>
      <c r="C222" t="n">
        <v>0.33</v>
      </c>
      <c r="D222" t="n">
        <v>0</v>
      </c>
      <c r="E222" t="n">
        <v>6</v>
      </c>
      <c r="F222" t="n">
        <v>8</v>
      </c>
      <c r="H222" t="n">
        <v>0</v>
      </c>
      <c r="I222" t="n">
        <v>0</v>
      </c>
      <c r="J222" t="n">
        <v>0</v>
      </c>
      <c r="K222" t="n">
        <v>0</v>
      </c>
      <c r="L222" t="n">
        <v>0</v>
      </c>
      <c r="M222" t="n">
        <v>0</v>
      </c>
      <c r="N222" t="n">
        <v>0</v>
      </c>
    </row>
    <row r="223">
      <c r="A223" t="inlineStr">
        <is>
          <t>cost of carts</t>
        </is>
      </c>
      <c r="B223" t="inlineStr">
        <is>
          <t>fitting the same with iron tyres with large and small nails £1 6 shilling 8pence.</t>
        </is>
      </c>
      <c r="C223" t="n">
        <v>1.33</v>
      </c>
      <c r="D223" t="n">
        <v>1</v>
      </c>
      <c r="E223" t="n">
        <v>6</v>
      </c>
      <c r="F223" t="n">
        <v>8</v>
      </c>
      <c r="H223" t="n">
        <v>0</v>
      </c>
      <c r="I223" t="n">
        <v>0</v>
      </c>
      <c r="J223" t="n">
        <v>0</v>
      </c>
      <c r="K223" t="n">
        <v>0</v>
      </c>
      <c r="L223" t="n">
        <v>0</v>
      </c>
      <c r="M223" t="n">
        <v>0</v>
      </c>
      <c r="N223" t="n">
        <v>0</v>
      </c>
    </row>
    <row r="224">
      <c r="A224" t="inlineStr">
        <is>
          <t>cost of carts</t>
        </is>
      </c>
      <c r="B224" t="inlineStr">
        <is>
          <t>stipend of 2 carters for the year 8 shilling.</t>
        </is>
      </c>
      <c r="C224" t="n">
        <v>0.4</v>
      </c>
      <c r="D224" t="n">
        <v>0</v>
      </c>
      <c r="E224" t="n">
        <v>8</v>
      </c>
      <c r="F224" t="n">
        <v>0</v>
      </c>
      <c r="H224" t="n">
        <v>0</v>
      </c>
      <c r="I224" t="n">
        <v>0</v>
      </c>
      <c r="J224" t="n">
        <v>0</v>
      </c>
      <c r="K224" t="n">
        <v>0</v>
      </c>
      <c r="L224" t="n">
        <v>0</v>
      </c>
      <c r="M224" t="n">
        <v>0</v>
      </c>
      <c r="N224" t="n">
        <v>0</v>
      </c>
    </row>
    <row r="225">
      <c r="A225" t="inlineStr">
        <is>
          <t>cost of carts</t>
        </is>
      </c>
      <c r="B225" t="inlineStr">
        <is>
          <t>total, £3 3 shilling 6pence.</t>
        </is>
      </c>
      <c r="C225" t="n">
        <v>3.17</v>
      </c>
      <c r="D225" t="n">
        <v>3</v>
      </c>
      <c r="E225" t="n">
        <v>3</v>
      </c>
      <c r="F225" t="n">
        <v>6</v>
      </c>
      <c r="H225" t="n">
        <v>0</v>
      </c>
      <c r="I225" t="n">
        <v>0</v>
      </c>
      <c r="J225" t="n">
        <v>0</v>
      </c>
      <c r="K225" t="n">
        <v>0</v>
      </c>
      <c r="L225" t="n">
        <v>0</v>
      </c>
      <c r="M225" t="n">
        <v>0</v>
      </c>
      <c r="N225" t="n">
        <v>0</v>
      </c>
    </row>
    <row r="226">
      <c r="A226" t="inlineStr">
        <is>
          <t>purchase of corn and stock</t>
        </is>
      </c>
      <c r="B226" t="inlineStr">
        <is>
          <t>in 8 quarters of barley bought £2 8 shilling, at 6 shilling a quarters.</t>
        </is>
      </c>
      <c r="C226" t="n">
        <v>2.4</v>
      </c>
      <c r="D226" t="n">
        <v>2</v>
      </c>
      <c r="E226" t="n">
        <v>8</v>
      </c>
      <c r="F226" t="n">
        <v>0</v>
      </c>
      <c r="G226" t="inlineStr">
        <is>
          <t>barley</t>
        </is>
      </c>
      <c r="H226" t="n">
        <v>8</v>
      </c>
      <c r="I226" t="n">
        <v>0</v>
      </c>
      <c r="J226" t="n">
        <v>8</v>
      </c>
      <c r="K226" t="n">
        <v>8</v>
      </c>
      <c r="L226" t="n">
        <v>0</v>
      </c>
      <c r="M226" t="n">
        <v>8</v>
      </c>
      <c r="N226" t="n">
        <v>0</v>
      </c>
      <c r="W226" t="n">
        <v>6</v>
      </c>
      <c r="X226" t="n">
        <v>0</v>
      </c>
    </row>
    <row r="227">
      <c r="A227" t="inlineStr">
        <is>
          <t>purchase of corn and stock</t>
        </is>
      </c>
      <c r="B227" t="inlineStr">
        <is>
          <t>1 quarters of vetches bought 4 shilling, at 6pence a bushels.</t>
        </is>
      </c>
      <c r="C227" t="n">
        <v>0.23</v>
      </c>
      <c r="D227" t="n">
        <v>0</v>
      </c>
      <c r="E227" t="n">
        <v>4</v>
      </c>
      <c r="F227" t="n">
        <v>6</v>
      </c>
      <c r="G227" t="inlineStr">
        <is>
          <t>vetches</t>
        </is>
      </c>
      <c r="H227" t="n">
        <v>1</v>
      </c>
      <c r="I227" t="n">
        <v>0</v>
      </c>
      <c r="J227" t="n">
        <v>1</v>
      </c>
      <c r="K227" t="n">
        <v>1</v>
      </c>
      <c r="L227" t="n">
        <v>0</v>
      </c>
      <c r="M227" t="n">
        <v>1</v>
      </c>
      <c r="N227" t="n">
        <v>0</v>
      </c>
      <c r="AE227" t="n">
        <v>0</v>
      </c>
      <c r="AF227" t="n">
        <v>6</v>
      </c>
    </row>
    <row r="228">
      <c r="A228" t="inlineStr">
        <is>
          <t>purchase of corn and stock</t>
        </is>
      </c>
      <c r="B228" t="inlineStr">
        <is>
          <t>100 hoggs bought before shearing from the reeve of droxford £6 13 shilling 4pence, at 1 shilling 4pence each.</t>
        </is>
      </c>
      <c r="C228" t="n">
        <v>6.67</v>
      </c>
      <c r="D228" t="n">
        <v>6</v>
      </c>
      <c r="E228" t="n">
        <v>13</v>
      </c>
      <c r="F228" t="n">
        <v>4</v>
      </c>
      <c r="H228" t="n">
        <v>0</v>
      </c>
      <c r="I228" t="n">
        <v>0</v>
      </c>
      <c r="J228" t="n">
        <v>0</v>
      </c>
      <c r="K228" t="n">
        <v>0</v>
      </c>
      <c r="L228" t="n">
        <v>0</v>
      </c>
      <c r="M228" t="n">
        <v>0</v>
      </c>
      <c r="N228" t="n">
        <v>0</v>
      </c>
    </row>
    <row r="229">
      <c r="A229" t="inlineStr">
        <is>
          <t>purchase of corn and stock</t>
        </is>
      </c>
      <c r="B229" t="inlineStr">
        <is>
          <t>total, £9 5 shilling 4pence.</t>
        </is>
      </c>
      <c r="C229" t="n">
        <v>9.27</v>
      </c>
      <c r="D229" t="n">
        <v>9</v>
      </c>
      <c r="E229" t="n">
        <v>5</v>
      </c>
      <c r="F229" t="n">
        <v>4</v>
      </c>
      <c r="H229" t="n">
        <v>0</v>
      </c>
      <c r="I229" t="n">
        <v>0</v>
      </c>
      <c r="J229" t="n">
        <v>0</v>
      </c>
      <c r="K229" t="n">
        <v>0</v>
      </c>
      <c r="L229" t="n">
        <v>0</v>
      </c>
      <c r="M229" t="n">
        <v>0</v>
      </c>
      <c r="N229" t="n">
        <v>0</v>
      </c>
    </row>
    <row r="230">
      <c r="A230" t="inlineStr">
        <is>
          <t>cost of the dairy</t>
        </is>
      </c>
      <c r="B230" t="inlineStr">
        <is>
          <t>in clay pots and pans bought for the dairy 6pence.</t>
        </is>
      </c>
      <c r="C230" t="n">
        <v>0.03</v>
      </c>
      <c r="D230" t="n">
        <v>0</v>
      </c>
      <c r="E230" t="n">
        <v>0</v>
      </c>
      <c r="F230" t="n">
        <v>6</v>
      </c>
      <c r="H230" t="n">
        <v>0</v>
      </c>
      <c r="I230" t="n">
        <v>0</v>
      </c>
      <c r="J230" t="n">
        <v>0</v>
      </c>
      <c r="K230" t="n">
        <v>0</v>
      </c>
      <c r="L230" t="n">
        <v>0</v>
      </c>
      <c r="M230" t="n">
        <v>0</v>
      </c>
      <c r="N230" t="n">
        <v>0</v>
      </c>
    </row>
    <row r="231">
      <c r="A231" t="inlineStr">
        <is>
          <t>cost of the dairy</t>
        </is>
      </c>
      <c r="B231" t="inlineStr">
        <is>
          <t>linen and woollen cloth bought for the dairy 7pence.</t>
        </is>
      </c>
      <c r="C231" t="n">
        <v>0.03</v>
      </c>
      <c r="D231" t="n">
        <v>0</v>
      </c>
      <c r="E231" t="n">
        <v>0</v>
      </c>
      <c r="F231" t="n">
        <v>7</v>
      </c>
      <c r="H231" t="n">
        <v>0</v>
      </c>
      <c r="I231" t="n">
        <v>0</v>
      </c>
      <c r="J231" t="n">
        <v>0</v>
      </c>
      <c r="K231" t="n">
        <v>0</v>
      </c>
      <c r="L231" t="n">
        <v>0</v>
      </c>
      <c r="M231" t="n">
        <v>0</v>
      </c>
      <c r="N231" t="n">
        <v>0</v>
      </c>
    </row>
    <row r="232">
      <c r="A232" t="inlineStr">
        <is>
          <t>cost of the dairy</t>
        </is>
      </c>
      <c r="B232" t="inlineStr">
        <is>
          <t>rennet bought 6pence.</t>
        </is>
      </c>
      <c r="C232" t="n">
        <v>0.03</v>
      </c>
      <c r="D232" t="n">
        <v>0</v>
      </c>
      <c r="E232" t="n">
        <v>0</v>
      </c>
      <c r="F232" t="n">
        <v>6</v>
      </c>
      <c r="H232" t="n">
        <v>0</v>
      </c>
      <c r="I232" t="n">
        <v>0</v>
      </c>
      <c r="J232" t="n">
        <v>0</v>
      </c>
      <c r="K232" t="n">
        <v>0</v>
      </c>
      <c r="L232" t="n">
        <v>0</v>
      </c>
      <c r="M232" t="n">
        <v>0</v>
      </c>
      <c r="N232" t="n">
        <v>0</v>
      </c>
    </row>
    <row r="233">
      <c r="A233" t="inlineStr">
        <is>
          <t>cost of the dairy</t>
        </is>
      </c>
      <c r="B233" t="inlineStr">
        <is>
          <t>6 bushels of salt bought, both for the pottage of the manorial servants and for the dairy, 3 shilling.</t>
        </is>
      </c>
      <c r="C233" t="n">
        <v>0.15</v>
      </c>
      <c r="D233" t="n">
        <v>0</v>
      </c>
      <c r="E233" t="n">
        <v>3</v>
      </c>
      <c r="F233" t="n">
        <v>0</v>
      </c>
      <c r="H233" t="n">
        <v>0</v>
      </c>
      <c r="I233" t="n">
        <v>6</v>
      </c>
      <c r="J233" t="n">
        <v>0.75</v>
      </c>
      <c r="K233" t="n">
        <v>0.75</v>
      </c>
      <c r="L233" t="n">
        <v>0</v>
      </c>
      <c r="M233" t="n">
        <v>0</v>
      </c>
      <c r="N233" t="n">
        <v>6</v>
      </c>
    </row>
    <row r="234">
      <c r="A234" t="inlineStr">
        <is>
          <t>cost of the dairy</t>
        </is>
      </c>
      <c r="B234" t="inlineStr">
        <is>
          <t>1 cheese mould bought 2pence.</t>
        </is>
      </c>
      <c r="C234" t="n">
        <v>0.01</v>
      </c>
      <c r="D234" t="n">
        <v>0</v>
      </c>
      <c r="E234" t="n">
        <v>0</v>
      </c>
      <c r="F234" t="n">
        <v>2</v>
      </c>
      <c r="H234" t="n">
        <v>0</v>
      </c>
      <c r="I234" t="n">
        <v>0</v>
      </c>
      <c r="J234" t="n">
        <v>0</v>
      </c>
      <c r="K234" t="n">
        <v>0</v>
      </c>
      <c r="L234" t="n">
        <v>0</v>
      </c>
      <c r="M234" t="n">
        <v>0</v>
      </c>
      <c r="N234" t="n">
        <v>0</v>
      </c>
    </row>
    <row r="235">
      <c r="A235" t="inlineStr">
        <is>
          <t>cost of the dairy</t>
        </is>
      </c>
      <c r="B235" t="inlineStr">
        <is>
          <t>stipend of 1 cowherd for the year 4 shilling.</t>
        </is>
      </c>
      <c r="C235" t="n">
        <v>0.2</v>
      </c>
      <c r="D235" t="n">
        <v>0</v>
      </c>
      <c r="E235" t="n">
        <v>4</v>
      </c>
      <c r="F235" t="n">
        <v>0</v>
      </c>
      <c r="H235" t="n">
        <v>0</v>
      </c>
      <c r="I235" t="n">
        <v>0</v>
      </c>
      <c r="J235" t="n">
        <v>0</v>
      </c>
      <c r="K235" t="n">
        <v>0</v>
      </c>
      <c r="L235" t="n">
        <v>0</v>
      </c>
      <c r="M235" t="n">
        <v>0</v>
      </c>
      <c r="N235" t="n">
        <v>0</v>
      </c>
    </row>
    <row r="236">
      <c r="A236" t="inlineStr">
        <is>
          <t>cost of the dairy</t>
        </is>
      </c>
      <c r="B236" t="inlineStr">
        <is>
          <t>stipend of 1 dairymaid for the year 2 shilling.</t>
        </is>
      </c>
      <c r="C236" t="n">
        <v>0.1</v>
      </c>
      <c r="D236" t="n">
        <v>0</v>
      </c>
      <c r="E236" t="n">
        <v>2</v>
      </c>
      <c r="F236" t="n">
        <v>0</v>
      </c>
      <c r="H236" t="n">
        <v>0</v>
      </c>
      <c r="I236" t="n">
        <v>0</v>
      </c>
      <c r="J236" t="n">
        <v>0</v>
      </c>
      <c r="K236" t="n">
        <v>0</v>
      </c>
      <c r="L236" t="n">
        <v>0</v>
      </c>
      <c r="M236" t="n">
        <v>0</v>
      </c>
      <c r="N236" t="n">
        <v>0</v>
      </c>
    </row>
    <row r="237">
      <c r="A237" t="inlineStr">
        <is>
          <t>cost of the dairy</t>
        </is>
      </c>
      <c r="B237" t="inlineStr">
        <is>
          <t>total, 10 shilling 9pence cost of the sheepcote.</t>
        </is>
      </c>
      <c r="C237" t="n">
        <v>0.54</v>
      </c>
      <c r="D237" t="n">
        <v>0</v>
      </c>
      <c r="E237" t="n">
        <v>10</v>
      </c>
      <c r="F237" t="n">
        <v>9</v>
      </c>
      <c r="H237" t="n">
        <v>0</v>
      </c>
      <c r="I237" t="n">
        <v>0</v>
      </c>
      <c r="J237" t="n">
        <v>0</v>
      </c>
      <c r="K237" t="n">
        <v>0</v>
      </c>
      <c r="L237" t="n">
        <v>0</v>
      </c>
      <c r="M237" t="n">
        <v>0</v>
      </c>
      <c r="N237" t="n">
        <v>0</v>
      </c>
    </row>
    <row r="238">
      <c r="A238" t="inlineStr">
        <is>
          <t>cost of the dairy</t>
        </is>
      </c>
      <c r="B238" t="inlineStr">
        <is>
          <t>in tar and grease bought for greasing the lord's sheep 10 shilling.</t>
        </is>
      </c>
      <c r="C238" t="n">
        <v>0.5</v>
      </c>
      <c r="D238" t="n">
        <v>0</v>
      </c>
      <c r="E238" t="n">
        <v>10</v>
      </c>
      <c r="F238" t="n">
        <v>0</v>
      </c>
      <c r="H238" t="n">
        <v>0</v>
      </c>
      <c r="I238" t="n">
        <v>0</v>
      </c>
      <c r="J238" t="n">
        <v>0</v>
      </c>
      <c r="K238" t="n">
        <v>0</v>
      </c>
      <c r="L238" t="n">
        <v>0</v>
      </c>
      <c r="M238" t="n">
        <v>0</v>
      </c>
      <c r="N238" t="n">
        <v>0</v>
      </c>
    </row>
    <row r="239">
      <c r="A239" t="inlineStr">
        <is>
          <t>cost of the dairy</t>
        </is>
      </c>
      <c r="B239" t="inlineStr">
        <is>
          <t>42 hurdles made 1 shilling 9pence.</t>
        </is>
      </c>
      <c r="C239" t="n">
        <v>0.09</v>
      </c>
      <c r="D239" t="n">
        <v>0</v>
      </c>
      <c r="E239" t="n">
        <v>1</v>
      </c>
      <c r="F239" t="n">
        <v>9</v>
      </c>
      <c r="H239" t="n">
        <v>0</v>
      </c>
      <c r="I239" t="n">
        <v>0</v>
      </c>
      <c r="J239" t="n">
        <v>0</v>
      </c>
      <c r="K239" t="n">
        <v>0</v>
      </c>
      <c r="L239" t="n">
        <v>0</v>
      </c>
      <c r="M239" t="n">
        <v>0</v>
      </c>
      <c r="N239" t="n">
        <v>0</v>
      </c>
    </row>
    <row r="240">
      <c r="A240" t="inlineStr">
        <is>
          <t>cost of the dairy</t>
        </is>
      </c>
      <c r="B240" t="inlineStr">
        <is>
          <t>collecting stubble for wattling the lord's fold 1 shilling 10pence.</t>
        </is>
      </c>
      <c r="C240" t="n">
        <v>0.09</v>
      </c>
      <c r="D240" t="n">
        <v>0</v>
      </c>
      <c r="E240" t="n">
        <v>1</v>
      </c>
      <c r="F240" t="n">
        <v>10</v>
      </c>
      <c r="H240" t="n">
        <v>0</v>
      </c>
      <c r="I240" t="n">
        <v>0</v>
      </c>
      <c r="J240" t="n">
        <v>0</v>
      </c>
      <c r="K240" t="n">
        <v>0</v>
      </c>
      <c r="L240" t="n">
        <v>0</v>
      </c>
      <c r="M240" t="n">
        <v>0</v>
      </c>
      <c r="N240" t="n">
        <v>0</v>
      </c>
    </row>
    <row r="241">
      <c r="A241" t="inlineStr">
        <is>
          <t>cost of the dairy</t>
        </is>
      </c>
      <c r="B241" t="inlineStr">
        <is>
          <t>5 cloves of red ochre bought 10pence.</t>
        </is>
      </c>
      <c r="C241" t="n">
        <v>0.04</v>
      </c>
      <c r="D241" t="n">
        <v>0</v>
      </c>
      <c r="E241" t="n">
        <v>0</v>
      </c>
      <c r="F241" t="n">
        <v>10</v>
      </c>
      <c r="H241" t="n">
        <v>0</v>
      </c>
      <c r="I241" t="n">
        <v>0</v>
      </c>
      <c r="J241" t="n">
        <v>0</v>
      </c>
      <c r="K241" t="n">
        <v>0</v>
      </c>
      <c r="L241" t="n">
        <v>0</v>
      </c>
      <c r="M241" t="n">
        <v>0</v>
      </c>
      <c r="N241" t="n">
        <v>0</v>
      </c>
    </row>
    <row r="242">
      <c r="A242" t="inlineStr">
        <is>
          <t>cost of the dairy</t>
        </is>
      </c>
      <c r="B242" t="inlineStr">
        <is>
          <t>mending cratches and fodder-racks 10pence.</t>
        </is>
      </c>
      <c r="C242" t="n">
        <v>0.04</v>
      </c>
      <c r="D242" t="n">
        <v>0</v>
      </c>
      <c r="E242" t="n">
        <v>0</v>
      </c>
      <c r="F242" t="n">
        <v>10</v>
      </c>
      <c r="H242" t="n">
        <v>0</v>
      </c>
      <c r="I242" t="n">
        <v>0</v>
      </c>
      <c r="J242" t="n">
        <v>0</v>
      </c>
      <c r="K242" t="n">
        <v>0</v>
      </c>
      <c r="L242" t="n">
        <v>0</v>
      </c>
      <c r="M242" t="n">
        <v>0</v>
      </c>
      <c r="N242" t="n">
        <v>0</v>
      </c>
    </row>
    <row r="243">
      <c r="A243" t="inlineStr">
        <is>
          <t>cost of the dairy</t>
        </is>
      </c>
      <c r="B243" t="inlineStr">
        <is>
          <t>pack-thread and indigo (ynde) bought to stitch and mark sarpliers 1pence.</t>
        </is>
      </c>
      <c r="C243" t="n">
        <v>0</v>
      </c>
      <c r="D243" t="n">
        <v>0</v>
      </c>
      <c r="E243" t="n">
        <v>0</v>
      </c>
      <c r="F243" t="n">
        <v>1</v>
      </c>
      <c r="H243" t="n">
        <v>0</v>
      </c>
      <c r="I243" t="n">
        <v>0</v>
      </c>
      <c r="J243" t="n">
        <v>0</v>
      </c>
      <c r="K243" t="n">
        <v>0</v>
      </c>
      <c r="L243" t="n">
        <v>0</v>
      </c>
      <c r="M243" t="n">
        <v>0</v>
      </c>
      <c r="N243" t="n">
        <v>0</v>
      </c>
    </row>
    <row r="244">
      <c r="A244" t="inlineStr">
        <is>
          <t>cost of the dairy</t>
        </is>
      </c>
      <c r="B244" t="inlineStr">
        <is>
          <t>washing and shearing 270 wethers, 4 rams, 236 ewes and 100 hoggs this year 5 shilling 1pence, at 1pence for each 10..</t>
        </is>
      </c>
      <c r="C244" t="n">
        <v>0.25</v>
      </c>
      <c r="D244" t="n">
        <v>0</v>
      </c>
      <c r="E244" t="n">
        <v>5</v>
      </c>
      <c r="F244" t="n">
        <v>1</v>
      </c>
      <c r="H244" t="n">
        <v>0</v>
      </c>
      <c r="I244" t="n">
        <v>0</v>
      </c>
      <c r="J244" t="n">
        <v>0</v>
      </c>
      <c r="K244" t="n">
        <v>0</v>
      </c>
      <c r="L244" t="n">
        <v>0</v>
      </c>
      <c r="M244" t="n">
        <v>0</v>
      </c>
      <c r="N244" t="n">
        <v>0</v>
      </c>
    </row>
    <row r="245">
      <c r="A245" t="inlineStr">
        <is>
          <t>cost of the dairy</t>
        </is>
      </c>
      <c r="B245" t="inlineStr">
        <is>
          <t>stipend of 2 shepherds for the year 8 shilling.</t>
        </is>
      </c>
      <c r="C245" t="n">
        <v>0.4</v>
      </c>
      <c r="D245" t="n">
        <v>0</v>
      </c>
      <c r="E245" t="n">
        <v>8</v>
      </c>
      <c r="F245" t="n">
        <v>0</v>
      </c>
      <c r="H245" t="n">
        <v>0</v>
      </c>
      <c r="I245" t="n">
        <v>0</v>
      </c>
      <c r="J245" t="n">
        <v>0</v>
      </c>
      <c r="K245" t="n">
        <v>0</v>
      </c>
      <c r="L245" t="n">
        <v>0</v>
      </c>
      <c r="M245" t="n">
        <v>0</v>
      </c>
      <c r="N245" t="n">
        <v>0</v>
      </c>
    </row>
    <row r="246">
      <c r="A246" t="inlineStr">
        <is>
          <t>cost of the dairy</t>
        </is>
      </c>
      <c r="B246" t="inlineStr">
        <is>
          <t>stipend of 1 thatcher roofing the sheepcote for 5 days 1 shilling 8pence, taking 4pence a day.</t>
        </is>
      </c>
      <c r="C246" t="n">
        <v>0.08</v>
      </c>
      <c r="D246" t="n">
        <v>0</v>
      </c>
      <c r="E246" t="n">
        <v>1</v>
      </c>
      <c r="F246" t="n">
        <v>8</v>
      </c>
      <c r="H246" t="n">
        <v>0</v>
      </c>
      <c r="I246" t="n">
        <v>0</v>
      </c>
      <c r="J246" t="n">
        <v>0</v>
      </c>
      <c r="K246" t="n">
        <v>0</v>
      </c>
      <c r="L246" t="n">
        <v>0</v>
      </c>
      <c r="M246" t="n">
        <v>0</v>
      </c>
      <c r="N246" t="n">
        <v>0</v>
      </c>
    </row>
    <row r="247">
      <c r="A247" t="inlineStr">
        <is>
          <t>cost of the dairy</t>
        </is>
      </c>
      <c r="B247" t="inlineStr">
        <is>
          <t>stipend of 1 of his mates for the same time 1 shilling 3pence, taking 3pence a day.</t>
        </is>
      </c>
      <c r="C247" t="n">
        <v>0.06</v>
      </c>
      <c r="D247" t="n">
        <v>0</v>
      </c>
      <c r="E247" t="n">
        <v>1</v>
      </c>
      <c r="F247" t="n">
        <v>3</v>
      </c>
      <c r="H247" t="n">
        <v>0</v>
      </c>
      <c r="I247" t="n">
        <v>0</v>
      </c>
      <c r="J247" t="n">
        <v>0</v>
      </c>
      <c r="K247" t="n">
        <v>0</v>
      </c>
      <c r="L247" t="n">
        <v>0</v>
      </c>
      <c r="M247" t="n">
        <v>0</v>
      </c>
      <c r="N247" t="n">
        <v>0</v>
      </c>
    </row>
    <row r="248">
      <c r="A248" t="inlineStr">
        <is>
          <t>cost of the dairy</t>
        </is>
      </c>
      <c r="B248" t="inlineStr">
        <is>
          <t>total, £1 11 shilling 4pence.</t>
        </is>
      </c>
      <c r="C248" t="n">
        <v>1.57</v>
      </c>
      <c r="D248" t="n">
        <v>1</v>
      </c>
      <c r="E248" t="n">
        <v>11</v>
      </c>
      <c r="F248" t="n">
        <v>4</v>
      </c>
      <c r="H248" t="n">
        <v>0</v>
      </c>
      <c r="I248" t="n">
        <v>0</v>
      </c>
      <c r="J248" t="n">
        <v>0</v>
      </c>
      <c r="K248" t="n">
        <v>0</v>
      </c>
      <c r="L248" t="n">
        <v>0</v>
      </c>
      <c r="M248" t="n">
        <v>0</v>
      </c>
      <c r="N248" t="n">
        <v>0</v>
      </c>
    </row>
    <row r="249">
      <c r="A249" t="inlineStr">
        <is>
          <t>cost of buildings with necessaries</t>
        </is>
      </c>
      <c r="B249" t="inlineStr">
        <is>
          <t>in stipend of john emory and richard emory, carpenters, making anew one large fodder-rack under the pentice beside the hay barn for 6 days 5 shilling, both of them taking 5pence a day.</t>
        </is>
      </c>
      <c r="C249" t="n">
        <v>0.27</v>
      </c>
      <c r="D249" t="n">
        <v>0</v>
      </c>
      <c r="E249" t="n">
        <v>5</v>
      </c>
      <c r="F249" t="n">
        <v>5</v>
      </c>
      <c r="H249" t="n">
        <v>0</v>
      </c>
      <c r="I249" t="n">
        <v>0</v>
      </c>
      <c r="J249" t="n">
        <v>0</v>
      </c>
      <c r="K249" t="n">
        <v>0</v>
      </c>
      <c r="L249" t="n">
        <v>0</v>
      </c>
      <c r="M249" t="n">
        <v>0</v>
      </c>
      <c r="N249" t="n">
        <v>0</v>
      </c>
    </row>
    <row r="250">
      <c r="A250" t="inlineStr">
        <is>
          <t>cost of buildings with necessaries</t>
        </is>
      </c>
      <c r="B250" t="inlineStr">
        <is>
          <t>stipend of john fontell' underpinning the ground-sills of the corn barn for 2 days 10pence.</t>
        </is>
      </c>
      <c r="C250" t="n">
        <v>0.04</v>
      </c>
      <c r="D250" t="n">
        <v>0</v>
      </c>
      <c r="E250" t="n">
        <v>0</v>
      </c>
      <c r="F250" t="n">
        <v>10</v>
      </c>
      <c r="H250" t="n">
        <v>0</v>
      </c>
      <c r="I250" t="n">
        <v>0</v>
      </c>
      <c r="J250" t="n">
        <v>0</v>
      </c>
      <c r="K250" t="n">
        <v>0</v>
      </c>
      <c r="L250" t="n">
        <v>0</v>
      </c>
      <c r="M250" t="n">
        <v>0</v>
      </c>
      <c r="N250" t="n">
        <v>0</v>
      </c>
    </row>
    <row r="251">
      <c r="A251" t="inlineStr">
        <is>
          <t>cost of buildings with necessaries</t>
        </is>
      </c>
      <c r="B251" t="inlineStr">
        <is>
          <t>1 sack bought 1 shilling.</t>
        </is>
      </c>
      <c r="C251" t="n">
        <v>0.05</v>
      </c>
      <c r="D251" t="n">
        <v>0</v>
      </c>
      <c r="E251" t="n">
        <v>1</v>
      </c>
      <c r="F251" t="n">
        <v>0</v>
      </c>
      <c r="H251" t="n">
        <v>0</v>
      </c>
      <c r="I251" t="n">
        <v>0</v>
      </c>
      <c r="J251" t="n">
        <v>0</v>
      </c>
      <c r="K251" t="n">
        <v>0</v>
      </c>
      <c r="L251" t="n">
        <v>0</v>
      </c>
      <c r="M251" t="n">
        <v>0</v>
      </c>
      <c r="N251" t="n">
        <v>0</v>
      </c>
    </row>
    <row r="252">
      <c r="A252" t="inlineStr">
        <is>
          <t>cost of buildings with necessaries</t>
        </is>
      </c>
      <c r="B252" t="inlineStr">
        <is>
          <t>stipend of john emory for 14 days, thomas lange for 19 days, john lekstede for 18 days, richard lange for 19 days and william quabber' for 19 days, carpenters, putting 2 posts in anew and making 1 new gate in the park at the mill-dam and making anew 1 bridge in the park leading to la worthe and felling timber and sawing boards for the same £1 9 shilling 8pence, each of them taking 4pence a day.</t>
        </is>
      </c>
      <c r="C252" t="n">
        <v>1.48</v>
      </c>
      <c r="D252" t="n">
        <v>1</v>
      </c>
      <c r="E252" t="n">
        <v>9</v>
      </c>
      <c r="F252" t="n">
        <v>8</v>
      </c>
      <c r="H252" t="n">
        <v>0</v>
      </c>
      <c r="I252" t="n">
        <v>0</v>
      </c>
      <c r="J252" t="n">
        <v>0</v>
      </c>
      <c r="K252" t="n">
        <v>0</v>
      </c>
      <c r="L252" t="n">
        <v>0</v>
      </c>
      <c r="M252" t="n">
        <v>0</v>
      </c>
      <c r="N252" t="n">
        <v>0</v>
      </c>
    </row>
    <row r="253">
      <c r="A253" t="inlineStr">
        <is>
          <t>cost of buildings with necessaries</t>
        </is>
      </c>
      <c r="B253" t="inlineStr">
        <is>
          <t>stipend of thomas north making 1 ditch of 21 perches beside the said bridge 2 shilling 7.5pence, giving 1.5pence a perch.</t>
        </is>
      </c>
      <c r="C253" t="n">
        <v>0.13</v>
      </c>
      <c r="D253" t="n">
        <v>0</v>
      </c>
      <c r="E253" t="n">
        <v>2</v>
      </c>
      <c r="F253" t="n">
        <v>7.5</v>
      </c>
      <c r="H253" t="n">
        <v>0</v>
      </c>
      <c r="I253" t="n">
        <v>0</v>
      </c>
      <c r="J253" t="n">
        <v>0</v>
      </c>
      <c r="K253" t="n">
        <v>0</v>
      </c>
      <c r="L253" t="n">
        <v>0</v>
      </c>
      <c r="M253" t="n">
        <v>0</v>
      </c>
      <c r="N253" t="n">
        <v>0</v>
      </c>
    </row>
    <row r="254">
      <c r="A254" t="inlineStr">
        <is>
          <t>cost of buildings with necessaries</t>
        </is>
      </c>
      <c r="B254" t="inlineStr">
        <is>
          <t>stipend of thomas park' for 8 days, john burdon' for 8 days, john gosey for for 8 days, john hatter for 6 days, john morys for 8 days and days, roofers, roofing all the buildings of the outer curia before richard hughe for 6 days, roofers, roofing all the buildings of the outer curia before christmas 14 shilling 8pence, each of them taking 4pence a day.</t>
        </is>
      </c>
      <c r="C254" t="n">
        <v>0.73</v>
      </c>
      <c r="D254" t="n">
        <v>0</v>
      </c>
      <c r="E254" t="n">
        <v>14</v>
      </c>
      <c r="F254" t="n">
        <v>8</v>
      </c>
      <c r="H254" t="n">
        <v>0</v>
      </c>
      <c r="I254" t="n">
        <v>0</v>
      </c>
      <c r="J254" t="n">
        <v>0</v>
      </c>
      <c r="K254" t="n">
        <v>0</v>
      </c>
      <c r="L254" t="n">
        <v>0</v>
      </c>
      <c r="M254" t="n">
        <v>0</v>
      </c>
      <c r="N254" t="n">
        <v>0</v>
      </c>
    </row>
    <row r="255">
      <c r="A255" t="inlineStr">
        <is>
          <t>cost of buildings with necessaries</t>
        </is>
      </c>
      <c r="B255" t="inlineStr">
        <is>
          <t>1 lock with a key bought for the door of the cart-horses' stable 6pence.</t>
        </is>
      </c>
      <c r="C255" t="n">
        <v>0.03</v>
      </c>
      <c r="D255" t="n">
        <v>0</v>
      </c>
      <c r="E255" t="n">
        <v>0</v>
      </c>
      <c r="F255" t="n">
        <v>6</v>
      </c>
      <c r="H255" t="n">
        <v>0</v>
      </c>
      <c r="I255" t="n">
        <v>0</v>
      </c>
      <c r="J255" t="n">
        <v>0</v>
      </c>
      <c r="K255" t="n">
        <v>0</v>
      </c>
      <c r="L255" t="n">
        <v>0</v>
      </c>
      <c r="M255" t="n">
        <v>0</v>
      </c>
      <c r="N255" t="n">
        <v>0</v>
      </c>
    </row>
    <row r="256">
      <c r="A256" t="inlineStr">
        <is>
          <t>cost of buildings with necessaries</t>
        </is>
      </c>
      <c r="B256" t="inlineStr">
        <is>
          <t>2,000 plain tiles bought 9 shilling 4pence, at 4 shilling 8pence a 1,000..</t>
        </is>
      </c>
      <c r="C256" t="n">
        <v>0.47</v>
      </c>
      <c r="D256" t="n">
        <v>0</v>
      </c>
      <c r="E256" t="n">
        <v>9</v>
      </c>
      <c r="F256" t="n">
        <v>4</v>
      </c>
      <c r="H256" t="n">
        <v>0</v>
      </c>
      <c r="I256" t="n">
        <v>0</v>
      </c>
      <c r="J256" t="n">
        <v>0</v>
      </c>
      <c r="K256" t="n">
        <v>0</v>
      </c>
      <c r="L256" t="n">
        <v>0</v>
      </c>
      <c r="M256" t="n">
        <v>0</v>
      </c>
      <c r="N256" t="n">
        <v>0</v>
      </c>
    </row>
    <row r="257">
      <c r="A257" t="inlineStr">
        <is>
          <t>cost of buildings with necessaries</t>
        </is>
      </c>
      <c r="B257" t="inlineStr">
        <is>
          <t>40 hollow tiles bought 1 shilling 4pence.</t>
        </is>
      </c>
      <c r="C257" t="n">
        <v>0.07000000000000001</v>
      </c>
      <c r="D257" t="n">
        <v>0</v>
      </c>
      <c r="E257" t="n">
        <v>1</v>
      </c>
      <c r="F257" t="n">
        <v>4</v>
      </c>
      <c r="H257" t="n">
        <v>0</v>
      </c>
      <c r="I257" t="n">
        <v>0</v>
      </c>
      <c r="J257" t="n">
        <v>0</v>
      </c>
      <c r="K257" t="n">
        <v>0</v>
      </c>
      <c r="L257" t="n">
        <v>0</v>
      </c>
      <c r="M257" t="n">
        <v>0</v>
      </c>
      <c r="N257" t="n">
        <v>0</v>
      </c>
    </row>
    <row r="258">
      <c r="A258" t="inlineStr">
        <is>
          <t>cost of buildings with necessaries</t>
        </is>
      </c>
      <c r="B258" t="inlineStr">
        <is>
          <t>14 ridge tiles bought 2 shilling 4pence.</t>
        </is>
      </c>
      <c r="C258" t="n">
        <v>0.12</v>
      </c>
      <c r="D258" t="n">
        <v>0</v>
      </c>
      <c r="E258" t="n">
        <v>2</v>
      </c>
      <c r="F258" t="n">
        <v>4</v>
      </c>
      <c r="H258" t="n">
        <v>0</v>
      </c>
      <c r="I258" t="n">
        <v>0</v>
      </c>
      <c r="J258" t="n">
        <v>0</v>
      </c>
      <c r="K258" t="n">
        <v>0</v>
      </c>
      <c r="L258" t="n">
        <v>0</v>
      </c>
      <c r="M258" t="n">
        <v>0</v>
      </c>
      <c r="N258" t="n">
        <v>0</v>
      </c>
    </row>
    <row r="259">
      <c r="A259" t="inlineStr">
        <is>
          <t>cost of buildings with necessaries</t>
        </is>
      </c>
      <c r="B259" t="inlineStr">
        <is>
          <t>carrying the same from petersfield to bishops waltham on 2 occasions by a carting boon-work 2 shilling, besides the lord's carts.</t>
        </is>
      </c>
      <c r="C259" t="n">
        <v>0.1</v>
      </c>
      <c r="D259" t="n">
        <v>0</v>
      </c>
      <c r="E259" t="n">
        <v>2</v>
      </c>
      <c r="F259" t="n">
        <v>0</v>
      </c>
      <c r="H259" t="n">
        <v>0</v>
      </c>
      <c r="I259" t="n">
        <v>0</v>
      </c>
      <c r="J259" t="n">
        <v>0</v>
      </c>
      <c r="K259" t="n">
        <v>0</v>
      </c>
      <c r="L259" t="n">
        <v>0</v>
      </c>
      <c r="M259" t="n">
        <v>0</v>
      </c>
      <c r="N259" t="n">
        <v>0</v>
      </c>
    </row>
    <row r="260">
      <c r="A260" t="inlineStr">
        <is>
          <t>cost of buildings with necessaries</t>
        </is>
      </c>
      <c r="B260" t="inlineStr">
        <is>
          <t>stipend of thomas north' for 1 day, thomas drew for 1 day and nicholas frensshe for 1 day, labourers, removing the old timber of the old bridge leading to la worthe 9pence, each of them taking 3pence a day.</t>
        </is>
      </c>
      <c r="C260" t="n">
        <v>0.04</v>
      </c>
      <c r="D260" t="n">
        <v>0</v>
      </c>
      <c r="E260" t="n">
        <v>0</v>
      </c>
      <c r="F260" t="n">
        <v>9</v>
      </c>
      <c r="H260" t="n">
        <v>0</v>
      </c>
      <c r="I260" t="n">
        <v>0</v>
      </c>
      <c r="J260" t="n">
        <v>0</v>
      </c>
      <c r="K260" t="n">
        <v>0</v>
      </c>
      <c r="L260" t="n">
        <v>0</v>
      </c>
      <c r="M260" t="n">
        <v>0</v>
      </c>
      <c r="N260" t="n">
        <v>0</v>
      </c>
    </row>
    <row r="261">
      <c r="A261" t="inlineStr">
        <is>
          <t>cost of buildings with necessaries</t>
        </is>
      </c>
      <c r="B261" t="inlineStr">
        <is>
          <t>3,500 slates bought 11 shilling 8pence, at 3 shilling 4pence a 1,000..</t>
        </is>
      </c>
      <c r="C261" t="n">
        <v>0.58</v>
      </c>
      <c r="D261" t="n">
        <v>0</v>
      </c>
      <c r="E261" t="n">
        <v>11</v>
      </c>
      <c r="F261" t="n">
        <v>8</v>
      </c>
      <c r="H261" t="n">
        <v>0</v>
      </c>
      <c r="I261" t="n">
        <v>0</v>
      </c>
      <c r="J261" t="n">
        <v>0</v>
      </c>
      <c r="K261" t="n">
        <v>0</v>
      </c>
      <c r="L261" t="n">
        <v>0</v>
      </c>
      <c r="M261" t="n">
        <v>0</v>
      </c>
      <c r="N261" t="n">
        <v>0</v>
      </c>
    </row>
    <row r="262">
      <c r="A262" t="inlineStr">
        <is>
          <t>cost of buildings with necessaries</t>
        </is>
      </c>
      <c r="B262" t="inlineStr">
        <is>
          <t>1 sieve and 1 riddle bought 5pence.</t>
        </is>
      </c>
      <c r="C262" t="n">
        <v>0.02</v>
      </c>
      <c r="D262" t="n">
        <v>0</v>
      </c>
      <c r="E262" t="n">
        <v>0</v>
      </c>
      <c r="F262" t="n">
        <v>5</v>
      </c>
      <c r="H262" t="n">
        <v>0</v>
      </c>
      <c r="I262" t="n">
        <v>0</v>
      </c>
      <c r="J262" t="n">
        <v>0</v>
      </c>
      <c r="K262" t="n">
        <v>0</v>
      </c>
      <c r="L262" t="n">
        <v>0</v>
      </c>
      <c r="M262" t="n">
        <v>0</v>
      </c>
      <c r="N262" t="n">
        <v>0</v>
      </c>
    </row>
    <row r="263">
      <c r="A263" t="inlineStr">
        <is>
          <t>cost of buildings with necessaries</t>
        </is>
      </c>
      <c r="B263" t="inlineStr">
        <is>
          <t>1 winnowing-fan bought 17 yards of sack-cloth 5 shilling 8pence.</t>
        </is>
      </c>
      <c r="C263" t="n">
        <v>0.28</v>
      </c>
      <c r="D263" t="n">
        <v>0</v>
      </c>
      <c r="E263" t="n">
        <v>5</v>
      </c>
      <c r="F263" t="n">
        <v>8</v>
      </c>
      <c r="H263" t="n">
        <v>0</v>
      </c>
      <c r="I263" t="n">
        <v>0</v>
      </c>
      <c r="J263" t="n">
        <v>0</v>
      </c>
      <c r="K263" t="n">
        <v>0</v>
      </c>
      <c r="L263" t="n">
        <v>0</v>
      </c>
      <c r="M263" t="n">
        <v>0</v>
      </c>
      <c r="N263" t="n">
        <v>0</v>
      </c>
    </row>
    <row r="264">
      <c r="A264" t="inlineStr">
        <is>
          <t>cost of buildings with necessaries</t>
        </is>
      </c>
      <c r="B264" t="inlineStr">
        <is>
          <t>1 basket for carrying corn bought 10pence.</t>
        </is>
      </c>
      <c r="C264" t="n">
        <v>0.04</v>
      </c>
      <c r="D264" t="n">
        <v>0</v>
      </c>
      <c r="E264" t="n">
        <v>0</v>
      </c>
      <c r="F264" t="n">
        <v>10</v>
      </c>
      <c r="H264" t="n">
        <v>0</v>
      </c>
      <c r="I264" t="n">
        <v>0</v>
      </c>
      <c r="J264" t="n">
        <v>0</v>
      </c>
      <c r="K264" t="n">
        <v>0</v>
      </c>
      <c r="L264" t="n">
        <v>0</v>
      </c>
      <c r="M264" t="n">
        <v>0</v>
      </c>
      <c r="N264" t="n">
        <v>0</v>
      </c>
    </row>
    <row r="265">
      <c r="A265" t="inlineStr">
        <is>
          <t>cost of buildings with necessaries</t>
        </is>
      </c>
      <c r="B265" t="inlineStr">
        <is>
          <t>stipend of 4 men laying 80 perches of hedge called birch-hedge (brechegge) by piece-work 3 shilling.</t>
        </is>
      </c>
      <c r="C265" t="n">
        <v>0.15</v>
      </c>
      <c r="D265" t="n">
        <v>0</v>
      </c>
      <c r="E265" t="n">
        <v>3</v>
      </c>
      <c r="F265" t="n">
        <v>0</v>
      </c>
      <c r="H265" t="n">
        <v>0</v>
      </c>
      <c r="I265" t="n">
        <v>0</v>
      </c>
      <c r="J265" t="n">
        <v>0</v>
      </c>
      <c r="K265" t="n">
        <v>0</v>
      </c>
      <c r="L265" t="n">
        <v>0</v>
      </c>
      <c r="M265" t="n">
        <v>0</v>
      </c>
      <c r="N265" t="n">
        <v>0</v>
      </c>
    </row>
    <row r="266">
      <c r="A266" t="inlineStr">
        <is>
          <t>cost of buildings with necessaries</t>
        </is>
      </c>
      <c r="B266" t="inlineStr">
        <is>
          <t>repairing the hedge between the park and la mullelaunde this year 1 shilling 5pence.</t>
        </is>
      </c>
      <c r="C266" t="n">
        <v>0.07000000000000001</v>
      </c>
      <c r="D266" t="n">
        <v>0</v>
      </c>
      <c r="E266" t="n">
        <v>1</v>
      </c>
      <c r="F266" t="n">
        <v>5</v>
      </c>
      <c r="H266" t="n">
        <v>0</v>
      </c>
      <c r="I266" t="n">
        <v>0</v>
      </c>
      <c r="J266" t="n">
        <v>0</v>
      </c>
      <c r="K266" t="n">
        <v>0</v>
      </c>
      <c r="L266" t="n">
        <v>0</v>
      </c>
      <c r="M266" t="n">
        <v>0</v>
      </c>
      <c r="N266" t="n">
        <v>0</v>
      </c>
    </row>
    <row r="267">
      <c r="A267" t="inlineStr">
        <is>
          <t>cost of buildings with necessaries</t>
        </is>
      </c>
      <c r="B267" t="inlineStr">
        <is>
          <t>laying 1 hedge of 22 perches beside wygenefeld 11pence.</t>
        </is>
      </c>
      <c r="C267" t="n">
        <v>0.05</v>
      </c>
      <c r="D267" t="n">
        <v>0</v>
      </c>
      <c r="E267" t="n">
        <v>0</v>
      </c>
      <c r="F267" t="n">
        <v>11</v>
      </c>
      <c r="H267" t="n">
        <v>0</v>
      </c>
      <c r="I267" t="n">
        <v>0</v>
      </c>
      <c r="J267" t="n">
        <v>0</v>
      </c>
      <c r="K267" t="n">
        <v>0</v>
      </c>
      <c r="L267" t="n">
        <v>0</v>
      </c>
      <c r="M267" t="n">
        <v>0</v>
      </c>
      <c r="N267" t="n">
        <v>0</v>
      </c>
    </row>
    <row r="268">
      <c r="A268" t="inlineStr">
        <is>
          <t>cost of buildings with necessaries</t>
        </is>
      </c>
      <c r="B268" t="inlineStr">
        <is>
          <t>total, £4 13 shilling 11.5pence.</t>
        </is>
      </c>
      <c r="C268" t="n">
        <v>4.7</v>
      </c>
      <c r="D268" t="n">
        <v>4</v>
      </c>
      <c r="E268" t="n">
        <v>13</v>
      </c>
      <c r="F268" t="n">
        <v>11.5</v>
      </c>
      <c r="H268" t="n">
        <v>0</v>
      </c>
      <c r="I268" t="n">
        <v>0</v>
      </c>
      <c r="J268" t="n">
        <v>0</v>
      </c>
      <c r="K268" t="n">
        <v>0</v>
      </c>
      <c r="L268" t="n">
        <v>0</v>
      </c>
      <c r="M268" t="n">
        <v>0</v>
      </c>
      <c r="N268" t="n">
        <v>0</v>
      </c>
    </row>
    <row r="269">
      <c r="A269" t="inlineStr">
        <is>
          <t>cost of the buildings of the liberty</t>
        </is>
      </c>
      <c r="B269" t="inlineStr">
        <is>
          <t>in stipend of thomas frenshe for 6 days and william dodde for 6 days roofing the chaplains' chamber and lord's chapel 5 shilling, both of them taking 5pence a day.</t>
        </is>
      </c>
      <c r="C269" t="n">
        <v>0.27</v>
      </c>
      <c r="D269" t="n">
        <v>0</v>
      </c>
      <c r="E269" t="n">
        <v>5</v>
      </c>
      <c r="F269" t="n">
        <v>5</v>
      </c>
      <c r="H269" t="n">
        <v>0</v>
      </c>
      <c r="I269" t="n">
        <v>0</v>
      </c>
      <c r="J269" t="n">
        <v>0</v>
      </c>
      <c r="K269" t="n">
        <v>0</v>
      </c>
      <c r="L269" t="n">
        <v>0</v>
      </c>
      <c r="M269" t="n">
        <v>0</v>
      </c>
      <c r="N269" t="n">
        <v>0</v>
      </c>
    </row>
    <row r="270">
      <c r="A270" t="inlineStr">
        <is>
          <t>cost of the buildings of the liberty</t>
        </is>
      </c>
      <c r="B270" t="inlineStr">
        <is>
          <t>stipend of 2 of their mates for the same time 4 shilling, both of them taking 4pence a day.</t>
        </is>
      </c>
      <c r="C270" t="n">
        <v>0.22</v>
      </c>
      <c r="D270" t="n">
        <v>0</v>
      </c>
      <c r="E270" t="n">
        <v>4</v>
      </c>
      <c r="F270" t="n">
        <v>4</v>
      </c>
      <c r="H270" t="n">
        <v>0</v>
      </c>
      <c r="I270" t="n">
        <v>0</v>
      </c>
      <c r="J270" t="n">
        <v>0</v>
      </c>
      <c r="K270" t="n">
        <v>0</v>
      </c>
      <c r="L270" t="n">
        <v>0</v>
      </c>
      <c r="M270" t="n">
        <v>0</v>
      </c>
      <c r="N270" t="n">
        <v>0</v>
      </c>
    </row>
    <row r="271">
      <c r="A271" t="inlineStr">
        <is>
          <t>cost of the buildings of the liberty</t>
        </is>
      </c>
      <c r="B271" t="inlineStr">
        <is>
          <t>2,000 slates bought 6 shilling 8pence.</t>
        </is>
      </c>
      <c r="C271" t="n">
        <v>0.33</v>
      </c>
      <c r="D271" t="n">
        <v>0</v>
      </c>
      <c r="E271" t="n">
        <v>6</v>
      </c>
      <c r="F271" t="n">
        <v>8</v>
      </c>
      <c r="H271" t="n">
        <v>0</v>
      </c>
      <c r="I271" t="n">
        <v>0</v>
      </c>
      <c r="J271" t="n">
        <v>0</v>
      </c>
      <c r="K271" t="n">
        <v>0</v>
      </c>
      <c r="L271" t="n">
        <v>0</v>
      </c>
      <c r="M271" t="n">
        <v>0</v>
      </c>
      <c r="N271" t="n">
        <v>0</v>
      </c>
    </row>
    <row r="272">
      <c r="A272" t="inlineStr">
        <is>
          <t>cost of the buildings of the liberty</t>
        </is>
      </c>
      <c r="B272" t="inlineStr">
        <is>
          <t>stipend of john penbrouk' flooding 2 sides of the moat around the lord's inner curia by piece-work 1 shilling 4pence.</t>
        </is>
      </c>
      <c r="C272" t="n">
        <v>0.07000000000000001</v>
      </c>
      <c r="D272" t="n">
        <v>0</v>
      </c>
      <c r="E272" t="n">
        <v>1</v>
      </c>
      <c r="F272" t="n">
        <v>4</v>
      </c>
      <c r="H272" t="n">
        <v>0</v>
      </c>
      <c r="I272" t="n">
        <v>0</v>
      </c>
      <c r="J272" t="n">
        <v>0</v>
      </c>
      <c r="K272" t="n">
        <v>0</v>
      </c>
      <c r="L272" t="n">
        <v>0</v>
      </c>
      <c r="M272" t="n">
        <v>0</v>
      </c>
      <c r="N272" t="n">
        <v>0</v>
      </c>
    </row>
    <row r="273">
      <c r="A273" t="inlineStr">
        <is>
          <t>cost of the buildings of the liberty</t>
        </is>
      </c>
      <c r="B273" t="inlineStr">
        <is>
          <t>stipend of thomas park' casting 8,000 shingles £1 6 shilling 8pence, taking 3 shilling 4pence a 1,000..</t>
        </is>
      </c>
      <c r="C273" t="n">
        <v>1.33</v>
      </c>
      <c r="D273" t="n">
        <v>1</v>
      </c>
      <c r="E273" t="n">
        <v>6</v>
      </c>
      <c r="F273" t="n">
        <v>8</v>
      </c>
      <c r="H273" t="n">
        <v>0</v>
      </c>
      <c r="I273" t="n">
        <v>0</v>
      </c>
      <c r="J273" t="n">
        <v>0</v>
      </c>
      <c r="K273" t="n">
        <v>0</v>
      </c>
      <c r="L273" t="n">
        <v>0</v>
      </c>
      <c r="M273" t="n">
        <v>0</v>
      </c>
      <c r="N273" t="n">
        <v>0</v>
      </c>
    </row>
    <row r="274">
      <c r="A274" t="inlineStr">
        <is>
          <t>cost of the buildings of the liberty</t>
        </is>
      </c>
      <c r="B274" t="inlineStr">
        <is>
          <t>2,000 lath-nails bought for covering the wall of the garden 2 shilling 4pence.</t>
        </is>
      </c>
      <c r="C274" t="n">
        <v>0.12</v>
      </c>
      <c r="D274" t="n">
        <v>0</v>
      </c>
      <c r="E274" t="n">
        <v>2</v>
      </c>
      <c r="F274" t="n">
        <v>4</v>
      </c>
      <c r="H274" t="n">
        <v>0</v>
      </c>
      <c r="I274" t="n">
        <v>0</v>
      </c>
      <c r="J274" t="n">
        <v>0</v>
      </c>
      <c r="K274" t="n">
        <v>0</v>
      </c>
      <c r="L274" t="n">
        <v>0</v>
      </c>
      <c r="M274" t="n">
        <v>0</v>
      </c>
      <c r="N274" t="n">
        <v>0</v>
      </c>
    </row>
    <row r="275">
      <c r="A275" t="inlineStr">
        <is>
          <t>cost of the buildings of the liberty</t>
        </is>
      </c>
      <c r="B275" t="inlineStr">
        <is>
          <t>500 shingle-nails bought for the same 10pence.</t>
        </is>
      </c>
      <c r="C275" t="n">
        <v>0.04</v>
      </c>
      <c r="D275" t="n">
        <v>0</v>
      </c>
      <c r="E275" t="n">
        <v>0</v>
      </c>
      <c r="F275" t="n">
        <v>10</v>
      </c>
      <c r="H275" t="n">
        <v>0</v>
      </c>
      <c r="I275" t="n">
        <v>0</v>
      </c>
      <c r="J275" t="n">
        <v>0</v>
      </c>
      <c r="K275" t="n">
        <v>0</v>
      </c>
      <c r="L275" t="n">
        <v>0</v>
      </c>
      <c r="M275" t="n">
        <v>0</v>
      </c>
      <c r="N275" t="n">
        <v>0</v>
      </c>
    </row>
    <row r="276">
      <c r="A276" t="inlineStr">
        <is>
          <t>cost of the buildings of the liberty</t>
        </is>
      </c>
      <c r="B276" t="inlineStr">
        <is>
          <t>stipend of john emory for 3 days, thomas lange for 3 days, william quabbere for 3 days and john lykstede for 3 days, carpenters, felling timber, trimming the same and strengthening the wall of the lord's garden with it 5 shilling, each of them taking 5pence a day.</t>
        </is>
      </c>
      <c r="C276" t="n">
        <v>0.27</v>
      </c>
      <c r="D276" t="n">
        <v>0</v>
      </c>
      <c r="E276" t="n">
        <v>5</v>
      </c>
      <c r="F276" t="n">
        <v>5</v>
      </c>
      <c r="H276" t="n">
        <v>0</v>
      </c>
      <c r="I276" t="n">
        <v>0</v>
      </c>
      <c r="J276" t="n">
        <v>0</v>
      </c>
      <c r="K276" t="n">
        <v>0</v>
      </c>
      <c r="L276" t="n">
        <v>0</v>
      </c>
      <c r="M276" t="n">
        <v>0</v>
      </c>
      <c r="N276" t="n">
        <v>0</v>
      </c>
    </row>
    <row r="277">
      <c r="A277" t="inlineStr">
        <is>
          <t>cost of the buildings of the liberty</t>
        </is>
      </c>
      <c r="B277" t="inlineStr">
        <is>
          <t>stipend of 2 men daubing the wall of the garden by piece-work 6pence.</t>
        </is>
      </c>
      <c r="C277" t="n">
        <v>0.03</v>
      </c>
      <c r="D277" t="n">
        <v>0</v>
      </c>
      <c r="E277" t="n">
        <v>0</v>
      </c>
      <c r="F277" t="n">
        <v>6</v>
      </c>
      <c r="H277" t="n">
        <v>0</v>
      </c>
      <c r="I277" t="n">
        <v>0</v>
      </c>
      <c r="J277" t="n">
        <v>0</v>
      </c>
      <c r="K277" t="n">
        <v>0</v>
      </c>
      <c r="L277" t="n">
        <v>0</v>
      </c>
      <c r="M277" t="n">
        <v>0</v>
      </c>
      <c r="N277" t="n">
        <v>0</v>
      </c>
    </row>
    <row r="278">
      <c r="A278" t="inlineStr">
        <is>
          <t>cost of the buildings of the liberty</t>
        </is>
      </c>
      <c r="B278" t="inlineStr">
        <is>
          <t>stipend of thomas frenshe, roofer, roofing the chamber of the treasurer of the lord's household for 6 days 2 shilling 6pence, taking 5pence a day.</t>
        </is>
      </c>
      <c r="C278" t="n">
        <v>0.12</v>
      </c>
      <c r="D278" t="n">
        <v>0</v>
      </c>
      <c r="E278" t="n">
        <v>2</v>
      </c>
      <c r="F278" t="n">
        <v>6</v>
      </c>
      <c r="H278" t="n">
        <v>0</v>
      </c>
      <c r="I278" t="n">
        <v>0</v>
      </c>
      <c r="J278" t="n">
        <v>0</v>
      </c>
      <c r="K278" t="n">
        <v>0</v>
      </c>
      <c r="L278" t="n">
        <v>0</v>
      </c>
      <c r="M278" t="n">
        <v>0</v>
      </c>
      <c r="N278" t="n">
        <v>0</v>
      </c>
    </row>
    <row r="279">
      <c r="A279" t="inlineStr">
        <is>
          <t>cost of the buildings of the liberty</t>
        </is>
      </c>
      <c r="B279" t="inlineStr">
        <is>
          <t>stipend of 1 of his mates for the same time 1 shilling.</t>
        </is>
      </c>
      <c r="C279" t="n">
        <v>0.05</v>
      </c>
      <c r="D279" t="n">
        <v>0</v>
      </c>
      <c r="E279" t="n">
        <v>1</v>
      </c>
      <c r="F279" t="n">
        <v>0</v>
      </c>
      <c r="H279" t="n">
        <v>0</v>
      </c>
      <c r="I279" t="n">
        <v>0</v>
      </c>
      <c r="J279" t="n">
        <v>0</v>
      </c>
      <c r="K279" t="n">
        <v>0</v>
      </c>
      <c r="L279" t="n">
        <v>0</v>
      </c>
      <c r="M279" t="n">
        <v>0</v>
      </c>
      <c r="N279" t="n">
        <v>0</v>
      </c>
    </row>
    <row r="280">
      <c r="A280" t="inlineStr">
        <is>
          <t>cost of the buildings of the liberty</t>
        </is>
      </c>
      <c r="B280" t="inlineStr">
        <is>
          <t>stipend of robert bourdon' the younger for 18 days, william dodde for 27 days, william helyere for 24 days, thomas park' for 27 days and robert bourden' the elder for 21 days, roofers, covering both the whole of the aforesaid wall of the lord's garden and roofing all of the buildings of the inner curia, in preparation for the coming of the prince, £2 8 shilling 9pence, each of them taking 5pence a day.</t>
        </is>
      </c>
      <c r="C280" t="n">
        <v>2.44</v>
      </c>
      <c r="D280" t="n">
        <v>2</v>
      </c>
      <c r="E280" t="n">
        <v>8</v>
      </c>
      <c r="F280" t="n">
        <v>9</v>
      </c>
      <c r="H280" t="n">
        <v>0</v>
      </c>
      <c r="I280" t="n">
        <v>0</v>
      </c>
      <c r="J280" t="n">
        <v>0</v>
      </c>
      <c r="K280" t="n">
        <v>0</v>
      </c>
      <c r="L280" t="n">
        <v>0</v>
      </c>
      <c r="M280" t="n">
        <v>0</v>
      </c>
      <c r="N280" t="n">
        <v>0</v>
      </c>
    </row>
    <row r="281">
      <c r="A281" t="inlineStr">
        <is>
          <t>cost of the buildings of the liberty</t>
        </is>
      </c>
      <c r="B281" t="inlineStr">
        <is>
          <t>stipend of 2 of their mates, 1 for 27 days and the other for 18 days, l1 shilling 3pence, both of them taking 3pence a day.</t>
        </is>
      </c>
      <c r="C281" t="n">
        <v>0.06</v>
      </c>
      <c r="D281" t="n">
        <v>0</v>
      </c>
      <c r="E281" t="n">
        <v>1</v>
      </c>
      <c r="F281" t="n">
        <v>3</v>
      </c>
      <c r="H281" t="n">
        <v>0</v>
      </c>
      <c r="I281" t="n">
        <v>0</v>
      </c>
      <c r="J281" t="n">
        <v>0</v>
      </c>
      <c r="K281" t="n">
        <v>0</v>
      </c>
      <c r="L281" t="n">
        <v>0</v>
      </c>
      <c r="M281" t="n">
        <v>0</v>
      </c>
      <c r="N281" t="n">
        <v>0</v>
      </c>
    </row>
    <row r="282">
      <c r="A282" t="inlineStr">
        <is>
          <t>cost of the buildings of the liberty</t>
        </is>
      </c>
      <c r="B282" t="inlineStr">
        <is>
          <t>stipend of john emery for 3 days and john lykstede for 3 days making benches and stools and trestles, in preparation for the coming of the prince, 2 shilling 6pence, both of them taking 5pence a day.</t>
        </is>
      </c>
      <c r="C282" t="n">
        <v>0.12</v>
      </c>
      <c r="D282" t="n">
        <v>0</v>
      </c>
      <c r="E282" t="n">
        <v>2</v>
      </c>
      <c r="F282" t="n">
        <v>6</v>
      </c>
      <c r="H282" t="n">
        <v>0</v>
      </c>
      <c r="I282" t="n">
        <v>0</v>
      </c>
      <c r="J282" t="n">
        <v>0</v>
      </c>
      <c r="K282" t="n">
        <v>0</v>
      </c>
      <c r="L282" t="n">
        <v>0</v>
      </c>
      <c r="M282" t="n">
        <v>0</v>
      </c>
      <c r="N282" t="n">
        <v>0</v>
      </c>
    </row>
    <row r="283">
      <c r="A283" t="inlineStr">
        <is>
          <t>cost of the buildings of the liberty</t>
        </is>
      </c>
      <c r="B283" t="inlineStr">
        <is>
          <t>4,000 tile-pins bought 8pence.</t>
        </is>
      </c>
      <c r="C283" t="n">
        <v>0.03</v>
      </c>
      <c r="D283" t="n">
        <v>0</v>
      </c>
      <c r="E283" t="n">
        <v>0</v>
      </c>
      <c r="F283" t="n">
        <v>8</v>
      </c>
      <c r="H283" t="n">
        <v>0</v>
      </c>
      <c r="I283" t="n">
        <v>0</v>
      </c>
      <c r="J283" t="n">
        <v>0</v>
      </c>
      <c r="K283" t="n">
        <v>0</v>
      </c>
      <c r="L283" t="n">
        <v>0</v>
      </c>
      <c r="M283" t="n">
        <v>0</v>
      </c>
      <c r="N283" t="n">
        <v>0</v>
      </c>
    </row>
    <row r="284">
      <c r="A284" t="inlineStr">
        <is>
          <t>cost of the buildings of the liberty</t>
        </is>
      </c>
      <c r="B284" t="inlineStr">
        <is>
          <t>2,000 lath-nails bought 2 shilling 6pence.</t>
        </is>
      </c>
      <c r="C284" t="n">
        <v>0.12</v>
      </c>
      <c r="D284" t="n">
        <v>0</v>
      </c>
      <c r="E284" t="n">
        <v>2</v>
      </c>
      <c r="F284" t="n">
        <v>6</v>
      </c>
      <c r="H284" t="n">
        <v>0</v>
      </c>
      <c r="I284" t="n">
        <v>0</v>
      </c>
      <c r="J284" t="n">
        <v>0</v>
      </c>
      <c r="K284" t="n">
        <v>0</v>
      </c>
      <c r="L284" t="n">
        <v>0</v>
      </c>
      <c r="M284" t="n">
        <v>0</v>
      </c>
      <c r="N284" t="n">
        <v>0</v>
      </c>
    </row>
    <row r="285">
      <c r="A285" t="inlineStr">
        <is>
          <t>cost of the buildings of the liberty</t>
        </is>
      </c>
      <c r="B285" t="inlineStr">
        <is>
          <t>stipend of john walshman mending 2 sides of the moat around the lord's curia and doing other work within the curia for 43 days and robert laborer for 7 days 8 shilling 4pence, both of them taking 2pence a day and the lord's board.</t>
        </is>
      </c>
      <c r="C285" t="n">
        <v>0.42</v>
      </c>
      <c r="D285" t="n">
        <v>0</v>
      </c>
      <c r="E285" t="n">
        <v>8</v>
      </c>
      <c r="F285" t="n">
        <v>4</v>
      </c>
      <c r="H285" t="n">
        <v>0</v>
      </c>
      <c r="I285" t="n">
        <v>0</v>
      </c>
      <c r="J285" t="n">
        <v>0</v>
      </c>
      <c r="K285" t="n">
        <v>0</v>
      </c>
      <c r="L285" t="n">
        <v>0</v>
      </c>
      <c r="M285" t="n">
        <v>0</v>
      </c>
      <c r="N285" t="n">
        <v>0</v>
      </c>
    </row>
    <row r="286">
      <c r="A286" t="inlineStr">
        <is>
          <t>cost of the buildings of the liberty</t>
        </is>
      </c>
      <c r="B286" t="inlineStr">
        <is>
          <t>1 lock with a key bought for the door of the garden beside the lord's chamber 7pence.</t>
        </is>
      </c>
      <c r="C286" t="n">
        <v>0.03</v>
      </c>
      <c r="D286" t="n">
        <v>0</v>
      </c>
      <c r="E286" t="n">
        <v>0</v>
      </c>
      <c r="F286" t="n">
        <v>7</v>
      </c>
      <c r="H286" t="n">
        <v>0</v>
      </c>
      <c r="I286" t="n">
        <v>0</v>
      </c>
      <c r="J286" t="n">
        <v>0</v>
      </c>
      <c r="K286" t="n">
        <v>0</v>
      </c>
      <c r="L286" t="n">
        <v>0</v>
      </c>
      <c r="M286" t="n">
        <v>0</v>
      </c>
      <c r="N286" t="n">
        <v>0</v>
      </c>
    </row>
    <row r="287">
      <c r="A287" t="inlineStr">
        <is>
          <t>cost of the buildings of the liberty</t>
        </is>
      </c>
      <c r="B287" t="inlineStr">
        <is>
          <t>stipend of william quabbere for 27 days, thomas lange for 23 days, john emery for 28 days, john lykstede for 8 days, richard lange for 20 days and richard emery for 11 days, carpenters, building 1 forge for the lord's household £2 8 shilling 4pence, each of them taking 5pence a day.</t>
        </is>
      </c>
      <c r="C287" t="n">
        <v>2.42</v>
      </c>
      <c r="D287" t="n">
        <v>2</v>
      </c>
      <c r="E287" t="n">
        <v>8</v>
      </c>
      <c r="F287" t="n">
        <v>4</v>
      </c>
      <c r="H287" t="n">
        <v>0</v>
      </c>
      <c r="I287" t="n">
        <v>0</v>
      </c>
      <c r="J287" t="n">
        <v>0</v>
      </c>
      <c r="K287" t="n">
        <v>0</v>
      </c>
      <c r="L287" t="n">
        <v>0</v>
      </c>
      <c r="M287" t="n">
        <v>0</v>
      </c>
      <c r="N287" t="n">
        <v>0</v>
      </c>
    </row>
    <row r="288">
      <c r="A288" t="inlineStr">
        <is>
          <t>cost of the buildings of the liberty</t>
        </is>
      </c>
      <c r="B288" t="inlineStr">
        <is>
          <t>stipend of robert bourden' the elder for 19 days, william helyer' for 16 days, robert bourdon' the younger for 18 days and william dodde for 6 days, roofing the forge and the porch of the same and trimming shingles for the same £1 4 shilling 7pence, each of them taking 5pence a day.</t>
        </is>
      </c>
      <c r="C288" t="n">
        <v>1.23</v>
      </c>
      <c r="D288" t="n">
        <v>1</v>
      </c>
      <c r="E288" t="n">
        <v>4</v>
      </c>
      <c r="F288" t="n">
        <v>7</v>
      </c>
      <c r="H288" t="n">
        <v>0</v>
      </c>
      <c r="I288" t="n">
        <v>0</v>
      </c>
      <c r="J288" t="n">
        <v>0</v>
      </c>
      <c r="K288" t="n">
        <v>0</v>
      </c>
      <c r="L288" t="n">
        <v>0</v>
      </c>
      <c r="M288" t="n">
        <v>0</v>
      </c>
      <c r="N288" t="n">
        <v>0</v>
      </c>
    </row>
    <row r="289">
      <c r="A289" t="inlineStr">
        <is>
          <t>cost of the buildings of the liberty</t>
        </is>
      </c>
      <c r="B289" t="inlineStr">
        <is>
          <t>4,000 lath-nails bought for the said forge 4 shilling 8pence, at 1 shilling 2pence a 1,000..</t>
        </is>
      </c>
      <c r="C289" t="n">
        <v>0.23</v>
      </c>
      <c r="D289" t="n">
        <v>0</v>
      </c>
      <c r="E289" t="n">
        <v>4</v>
      </c>
      <c r="F289" t="n">
        <v>8</v>
      </c>
      <c r="H289" t="n">
        <v>0</v>
      </c>
      <c r="I289" t="n">
        <v>0</v>
      </c>
      <c r="J289" t="n">
        <v>0</v>
      </c>
      <c r="K289" t="n">
        <v>0</v>
      </c>
      <c r="L289" t="n">
        <v>0</v>
      </c>
      <c r="M289" t="n">
        <v>0</v>
      </c>
      <c r="N289" t="n">
        <v>0</v>
      </c>
    </row>
    <row r="290">
      <c r="A290" t="inlineStr">
        <is>
          <t>cost of the buildings of the liberty</t>
        </is>
      </c>
      <c r="B290" t="inlineStr">
        <is>
          <t>300 clout-nails bought to fasten the beams (tinguis) and eaves-boards 1 shilling 3pence.</t>
        </is>
      </c>
      <c r="C290" t="n">
        <v>0.06</v>
      </c>
      <c r="D290" t="n">
        <v>0</v>
      </c>
      <c r="E290" t="n">
        <v>1</v>
      </c>
      <c r="F290" t="n">
        <v>3</v>
      </c>
      <c r="H290" t="n">
        <v>0</v>
      </c>
      <c r="I290" t="n">
        <v>0</v>
      </c>
      <c r="J290" t="n">
        <v>0</v>
      </c>
      <c r="K290" t="n">
        <v>0</v>
      </c>
      <c r="L290" t="n">
        <v>0</v>
      </c>
      <c r="M290" t="n">
        <v>0</v>
      </c>
      <c r="N290" t="n">
        <v>0</v>
      </c>
    </row>
    <row r="291">
      <c r="A291" t="inlineStr">
        <is>
          <t>cost of the buildings of the liberty</t>
        </is>
      </c>
      <c r="B291" t="inlineStr">
        <is>
          <t>12 ridge-tiles bought for the same 2 shilling.</t>
        </is>
      </c>
      <c r="C291" t="n">
        <v>0.1</v>
      </c>
      <c r="D291" t="n">
        <v>0</v>
      </c>
      <c r="E291" t="n">
        <v>2</v>
      </c>
      <c r="F291" t="n">
        <v>0</v>
      </c>
      <c r="H291" t="n">
        <v>0</v>
      </c>
      <c r="I291" t="n">
        <v>0</v>
      </c>
      <c r="J291" t="n">
        <v>0</v>
      </c>
      <c r="K291" t="n">
        <v>0</v>
      </c>
      <c r="L291" t="n">
        <v>0</v>
      </c>
      <c r="M291" t="n">
        <v>0</v>
      </c>
      <c r="N291" t="n">
        <v>0</v>
      </c>
    </row>
    <row r="292">
      <c r="A292" t="inlineStr">
        <is>
          <t>cost of the buildings of the liberty</t>
        </is>
      </c>
      <c r="B292" t="inlineStr">
        <is>
          <t>30 hip-tiles bought for the same forge 1 shilling 3pence.</t>
        </is>
      </c>
      <c r="C292" t="n">
        <v>0.06</v>
      </c>
      <c r="D292" t="n">
        <v>0</v>
      </c>
      <c r="E292" t="n">
        <v>1</v>
      </c>
      <c r="F292" t="n">
        <v>3</v>
      </c>
      <c r="H292" t="n">
        <v>0</v>
      </c>
      <c r="I292" t="n">
        <v>0</v>
      </c>
      <c r="J292" t="n">
        <v>0</v>
      </c>
      <c r="K292" t="n">
        <v>0</v>
      </c>
      <c r="L292" t="n">
        <v>0</v>
      </c>
      <c r="M292" t="n">
        <v>0</v>
      </c>
      <c r="N292" t="n">
        <v>0</v>
      </c>
    </row>
    <row r="293">
      <c r="A293" t="inlineStr">
        <is>
          <t>cost of the buildings of the liberty</t>
        </is>
      </c>
      <c r="B293" t="inlineStr">
        <is>
          <t>4 hinges bought for the same 6pence.</t>
        </is>
      </c>
      <c r="C293" t="n">
        <v>0.03</v>
      </c>
      <c r="D293" t="n">
        <v>0</v>
      </c>
      <c r="E293" t="n">
        <v>0</v>
      </c>
      <c r="F293" t="n">
        <v>6</v>
      </c>
      <c r="H293" t="n">
        <v>0</v>
      </c>
      <c r="I293" t="n">
        <v>0</v>
      </c>
      <c r="J293" t="n">
        <v>0</v>
      </c>
      <c r="K293" t="n">
        <v>0</v>
      </c>
      <c r="L293" t="n">
        <v>0</v>
      </c>
      <c r="M293" t="n">
        <v>0</v>
      </c>
      <c r="N293" t="n">
        <v>0</v>
      </c>
    </row>
    <row r="294">
      <c r="A294" t="inlineStr">
        <is>
          <t>cost of the buildings of the liberty</t>
        </is>
      </c>
      <c r="B294" t="inlineStr">
        <is>
          <t>mending 1 glass window in the lord's tower broken again 1 shilling 11pence.</t>
        </is>
      </c>
      <c r="C294" t="n">
        <v>0.1</v>
      </c>
      <c r="D294" t="n">
        <v>0</v>
      </c>
      <c r="E294" t="n">
        <v>1</v>
      </c>
      <c r="F294" t="n">
        <v>11</v>
      </c>
      <c r="H294" t="n">
        <v>0</v>
      </c>
      <c r="I294" t="n">
        <v>0</v>
      </c>
      <c r="J294" t="n">
        <v>0</v>
      </c>
      <c r="K294" t="n">
        <v>0</v>
      </c>
      <c r="L294" t="n">
        <v>0</v>
      </c>
      <c r="M294" t="n">
        <v>0</v>
      </c>
      <c r="N294" t="n">
        <v>0</v>
      </c>
    </row>
    <row r="295">
      <c r="A295" t="inlineStr">
        <is>
          <t>cost of the buildings of the liberty</t>
        </is>
      </c>
      <c r="B295" t="inlineStr">
        <is>
          <t>21 boards bought from john boge, both for the aforesaid forge and for building the trench (la trenke) of the fishery and the pentice beside the lord's chapel for the prince and for making other necessaries in the pantry and other offices, in preparation for the coming of the same prince, 5 shilling 3pence.</t>
        </is>
      </c>
      <c r="C295" t="n">
        <v>0.26</v>
      </c>
      <c r="D295" t="n">
        <v>0</v>
      </c>
      <c r="E295" t="n">
        <v>5</v>
      </c>
      <c r="F295" t="n">
        <v>3</v>
      </c>
      <c r="H295" t="n">
        <v>0</v>
      </c>
      <c r="I295" t="n">
        <v>0</v>
      </c>
      <c r="J295" t="n">
        <v>0</v>
      </c>
      <c r="K295" t="n">
        <v>0</v>
      </c>
      <c r="L295" t="n">
        <v>0</v>
      </c>
      <c r="M295" t="n">
        <v>0</v>
      </c>
      <c r="N295" t="n">
        <v>0</v>
      </c>
    </row>
    <row r="296">
      <c r="A296" t="inlineStr">
        <is>
          <t>cost of the buildings of the liberty</t>
        </is>
      </c>
      <c r="B296" t="inlineStr">
        <is>
          <t>8,000 slates bought £1 6 shilling 8pence, at 3 shilling 4pence a 1,000..</t>
        </is>
      </c>
      <c r="C296" t="n">
        <v>1.33</v>
      </c>
      <c r="D296" t="n">
        <v>1</v>
      </c>
      <c r="E296" t="n">
        <v>6</v>
      </c>
      <c r="F296" t="n">
        <v>8</v>
      </c>
      <c r="H296" t="n">
        <v>0</v>
      </c>
      <c r="I296" t="n">
        <v>0</v>
      </c>
      <c r="J296" t="n">
        <v>0</v>
      </c>
      <c r="K296" t="n">
        <v>0</v>
      </c>
      <c r="L296" t="n">
        <v>0</v>
      </c>
      <c r="M296" t="n">
        <v>0</v>
      </c>
      <c r="N296" t="n">
        <v>0</v>
      </c>
    </row>
    <row r="297">
      <c r="A297" t="inlineStr">
        <is>
          <t>cost of the buildings of the liberty</t>
        </is>
      </c>
      <c r="B297" t="inlineStr">
        <is>
          <t>5,000 tiles bought £1 3 shilling 4pence, at 4 shilling 8pence a 1,000..</t>
        </is>
      </c>
      <c r="C297" t="n">
        <v>1.17</v>
      </c>
      <c r="D297" t="n">
        <v>1</v>
      </c>
      <c r="E297" t="n">
        <v>3</v>
      </c>
      <c r="F297" t="n">
        <v>4</v>
      </c>
      <c r="H297" t="n">
        <v>0</v>
      </c>
      <c r="I297" t="n">
        <v>0</v>
      </c>
      <c r="J297" t="n">
        <v>0</v>
      </c>
      <c r="K297" t="n">
        <v>0</v>
      </c>
      <c r="L297" t="n">
        <v>0</v>
      </c>
      <c r="M297" t="n">
        <v>0</v>
      </c>
      <c r="N297" t="n">
        <v>0</v>
      </c>
    </row>
    <row r="298">
      <c r="A298" t="inlineStr">
        <is>
          <t>cost of the buildings of the liberty</t>
        </is>
      </c>
      <c r="B298" t="inlineStr">
        <is>
          <t>carrying the same from petersfield on 5 occasions 5 shilling.</t>
        </is>
      </c>
      <c r="C298" t="n">
        <v>0.25</v>
      </c>
      <c r="D298" t="n">
        <v>0</v>
      </c>
      <c r="E298" t="n">
        <v>5</v>
      </c>
      <c r="F298" t="n">
        <v>0</v>
      </c>
      <c r="H298" t="n">
        <v>0</v>
      </c>
      <c r="I298" t="n">
        <v>0</v>
      </c>
      <c r="J298" t="n">
        <v>0</v>
      </c>
      <c r="K298" t="n">
        <v>0</v>
      </c>
      <c r="L298" t="n">
        <v>0</v>
      </c>
      <c r="M298" t="n">
        <v>0</v>
      </c>
      <c r="N298" t="n">
        <v>0</v>
      </c>
    </row>
    <row r="299">
      <c r="A299" t="inlineStr">
        <is>
          <t>cost of the buildings of the liberty</t>
        </is>
      </c>
      <c r="B299" t="inlineStr">
        <is>
          <t>total, £13 15 shilling 2pence.</t>
        </is>
      </c>
      <c r="C299" t="n">
        <v>13.76</v>
      </c>
      <c r="D299" t="n">
        <v>13</v>
      </c>
      <c r="E299" t="n">
        <v>15</v>
      </c>
      <c r="F299" t="n">
        <v>2</v>
      </c>
      <c r="H299" t="n">
        <v>0</v>
      </c>
      <c r="I299" t="n">
        <v>0</v>
      </c>
      <c r="J299" t="n">
        <v>0</v>
      </c>
      <c r="K299" t="n">
        <v>0</v>
      </c>
      <c r="L299" t="n">
        <v>0</v>
      </c>
      <c r="M299" t="n">
        <v>0</v>
      </c>
      <c r="N299" t="n">
        <v>0</v>
      </c>
    </row>
    <row r="300">
      <c r="A300" t="inlineStr">
        <is>
          <t>cost of the mill</t>
        </is>
      </c>
      <c r="B300" t="inlineStr">
        <is>
          <t>in stipend of thomas park' and john hatter' for 3 days, both of them taking 5pence a day, and john morys for 3 days, taking 4pence a day, roofers, roofing the east mill where it was needed 3 shilling 6pence.</t>
        </is>
      </c>
      <c r="C300" t="n">
        <v>0.17</v>
      </c>
      <c r="D300" t="n">
        <v>0</v>
      </c>
      <c r="E300" t="n">
        <v>3</v>
      </c>
      <c r="F300" t="n">
        <v>5</v>
      </c>
      <c r="H300" t="n">
        <v>0</v>
      </c>
      <c r="I300" t="n">
        <v>0</v>
      </c>
      <c r="J300" t="n">
        <v>0</v>
      </c>
      <c r="K300" t="n">
        <v>0</v>
      </c>
      <c r="L300" t="n">
        <v>0</v>
      </c>
      <c r="M300" t="n">
        <v>0</v>
      </c>
      <c r="N300" t="n">
        <v>0</v>
      </c>
    </row>
    <row r="301">
      <c r="A301" t="inlineStr">
        <is>
          <t>cost of the mill</t>
        </is>
      </c>
      <c r="B301" t="inlineStr">
        <is>
          <t>total, 3 shilling 6pence.</t>
        </is>
      </c>
      <c r="C301" t="n">
        <v>0.17</v>
      </c>
      <c r="D301" t="n">
        <v>0</v>
      </c>
      <c r="E301" t="n">
        <v>3</v>
      </c>
      <c r="F301" t="n">
        <v>6</v>
      </c>
      <c r="H301" t="n">
        <v>0</v>
      </c>
      <c r="I301" t="n">
        <v>0</v>
      </c>
      <c r="J301" t="n">
        <v>0</v>
      </c>
      <c r="K301" t="n">
        <v>0</v>
      </c>
      <c r="L301" t="n">
        <v>0</v>
      </c>
      <c r="M301" t="n">
        <v>0</v>
      </c>
      <c r="N301" t="n">
        <v>0</v>
      </c>
    </row>
    <row r="302">
      <c r="A302" t="inlineStr">
        <is>
          <t>cost of the park</t>
        </is>
      </c>
      <c r="B302" t="inlineStr">
        <is>
          <t>in wages of john crambourne, park-keeper, £3 10pence for the year, taking 2pence a day.</t>
        </is>
      </c>
      <c r="C302" t="n">
        <v>3.04</v>
      </c>
      <c r="D302" t="n">
        <v>3</v>
      </c>
      <c r="E302" t="n">
        <v>0</v>
      </c>
      <c r="F302" t="n">
        <v>10</v>
      </c>
      <c r="H302" t="n">
        <v>0</v>
      </c>
      <c r="I302" t="n">
        <v>0</v>
      </c>
      <c r="J302" t="n">
        <v>0</v>
      </c>
      <c r="K302" t="n">
        <v>0</v>
      </c>
      <c r="L302" t="n">
        <v>0</v>
      </c>
      <c r="M302" t="n">
        <v>0</v>
      </c>
      <c r="N302" t="n">
        <v>0</v>
      </c>
    </row>
    <row r="303">
      <c r="A303" t="inlineStr">
        <is>
          <t>cost of the park</t>
        </is>
      </c>
      <c r="B303" t="inlineStr">
        <is>
          <t>stipend of richard lange and john papeworthe making anew 12 perches of new palisade around the lord's park 3 shilling, taking 3pence a perch.</t>
        </is>
      </c>
      <c r="C303" t="n">
        <v>0.16</v>
      </c>
      <c r="D303" t="n">
        <v>0</v>
      </c>
      <c r="E303" t="n">
        <v>3</v>
      </c>
      <c r="F303" t="n">
        <v>3</v>
      </c>
      <c r="H303" t="n">
        <v>0</v>
      </c>
      <c r="I303" t="n">
        <v>0</v>
      </c>
      <c r="J303" t="n">
        <v>0</v>
      </c>
      <c r="K303" t="n">
        <v>0</v>
      </c>
      <c r="L303" t="n">
        <v>0</v>
      </c>
      <c r="M303" t="n">
        <v>0</v>
      </c>
      <c r="N303" t="n">
        <v>0</v>
      </c>
    </row>
    <row r="304">
      <c r="A304" t="inlineStr">
        <is>
          <t>cost of the park</t>
        </is>
      </c>
      <c r="B304" t="inlineStr">
        <is>
          <t>stipend of 1 man rebuilding and looking after the old palisade in places by fixed agreement made with the same for the year 6 shilling 8pence.</t>
        </is>
      </c>
      <c r="C304" t="n">
        <v>0.33</v>
      </c>
      <c r="D304" t="n">
        <v>0</v>
      </c>
      <c r="E304" t="n">
        <v>6</v>
      </c>
      <c r="F304" t="n">
        <v>8</v>
      </c>
      <c r="H304" t="n">
        <v>0</v>
      </c>
      <c r="I304" t="n">
        <v>0</v>
      </c>
      <c r="J304" t="n">
        <v>0</v>
      </c>
      <c r="K304" t="n">
        <v>0</v>
      </c>
      <c r="L304" t="n">
        <v>0</v>
      </c>
      <c r="M304" t="n">
        <v>0</v>
      </c>
      <c r="N304" t="n">
        <v>0</v>
      </c>
    </row>
    <row r="305">
      <c r="A305" t="inlineStr">
        <is>
          <t>cost of the park</t>
        </is>
      </c>
      <c r="B305" t="inlineStr">
        <is>
          <t>stipend of john emery for 8 days and john lykstede for 8 days, carpenters, strengthening and mending the lodge in the park 6 shilling 8pence, both of them taking 5pence a day.</t>
        </is>
      </c>
      <c r="C305" t="n">
        <v>0.33</v>
      </c>
      <c r="D305" t="n">
        <v>0</v>
      </c>
      <c r="E305" t="n">
        <v>6</v>
      </c>
      <c r="F305" t="n">
        <v>8</v>
      </c>
      <c r="H305" t="n">
        <v>0</v>
      </c>
      <c r="I305" t="n">
        <v>0</v>
      </c>
      <c r="J305" t="n">
        <v>0</v>
      </c>
      <c r="K305" t="n">
        <v>0</v>
      </c>
      <c r="L305" t="n">
        <v>0</v>
      </c>
      <c r="M305" t="n">
        <v>0</v>
      </c>
      <c r="N305" t="n">
        <v>0</v>
      </c>
    </row>
    <row r="306">
      <c r="A306" t="inlineStr">
        <is>
          <t>cost of the park</t>
        </is>
      </c>
      <c r="B306" t="inlineStr">
        <is>
          <t>500 lath-nails bought for the same 7pence.</t>
        </is>
      </c>
      <c r="C306" t="n">
        <v>0.03</v>
      </c>
      <c r="D306" t="n">
        <v>0</v>
      </c>
      <c r="E306" t="n">
        <v>0</v>
      </c>
      <c r="F306" t="n">
        <v>7</v>
      </c>
      <c r="H306" t="n">
        <v>0</v>
      </c>
      <c r="I306" t="n">
        <v>0</v>
      </c>
      <c r="J306" t="n">
        <v>0</v>
      </c>
      <c r="K306" t="n">
        <v>0</v>
      </c>
      <c r="L306" t="n">
        <v>0</v>
      </c>
      <c r="M306" t="n">
        <v>0</v>
      </c>
      <c r="N306" t="n">
        <v>0</v>
      </c>
    </row>
    <row r="307">
      <c r="A307" t="inlineStr">
        <is>
          <t>cost of the park</t>
        </is>
      </c>
      <c r="B307" t="inlineStr">
        <is>
          <t>500 eaves-board nails bought for the same 2 shilling 1pence.</t>
        </is>
      </c>
      <c r="C307" t="n">
        <v>0.1</v>
      </c>
      <c r="D307" t="n">
        <v>0</v>
      </c>
      <c r="E307" t="n">
        <v>2</v>
      </c>
      <c r="F307" t="n">
        <v>1</v>
      </c>
      <c r="H307" t="n">
        <v>0</v>
      </c>
      <c r="I307" t="n">
        <v>0</v>
      </c>
      <c r="J307" t="n">
        <v>0</v>
      </c>
      <c r="K307" t="n">
        <v>0</v>
      </c>
      <c r="L307" t="n">
        <v>0</v>
      </c>
      <c r="M307" t="n">
        <v>0</v>
      </c>
      <c r="N307" t="n">
        <v>0</v>
      </c>
    </row>
    <row r="308">
      <c r="A308" t="inlineStr">
        <is>
          <t>cost of the park</t>
        </is>
      </c>
      <c r="B308" t="inlineStr">
        <is>
          <t>stipend of thomas park' for 7 days, john gosey for 7 days and john hatter' for 7 days, roofers, roofing the lodge 8 shilling 9pence, each of them taking 5pence a day.</t>
        </is>
      </c>
      <c r="C308" t="n">
        <v>0.44</v>
      </c>
      <c r="D308" t="n">
        <v>0</v>
      </c>
      <c r="E308" t="n">
        <v>8</v>
      </c>
      <c r="F308" t="n">
        <v>9</v>
      </c>
      <c r="H308" t="n">
        <v>0</v>
      </c>
      <c r="I308" t="n">
        <v>0</v>
      </c>
      <c r="J308" t="n">
        <v>0</v>
      </c>
      <c r="K308" t="n">
        <v>0</v>
      </c>
      <c r="L308" t="n">
        <v>0</v>
      </c>
      <c r="M308" t="n">
        <v>0</v>
      </c>
      <c r="N308" t="n">
        <v>0</v>
      </c>
    </row>
    <row r="309">
      <c r="A309" t="inlineStr">
        <is>
          <t>cost of the park</t>
        </is>
      </c>
      <c r="B309" t="inlineStr">
        <is>
          <t>stipend of 2 mates of thomas park' who were there for 7 days serving the aforesaid roofers 4 shilling 8pence, both of them taking 4pence a day.</t>
        </is>
      </c>
      <c r="C309" t="n">
        <v>0.23</v>
      </c>
      <c r="D309" t="n">
        <v>0</v>
      </c>
      <c r="E309" t="n">
        <v>4</v>
      </c>
      <c r="F309" t="n">
        <v>8</v>
      </c>
      <c r="H309" t="n">
        <v>0</v>
      </c>
      <c r="I309" t="n">
        <v>0</v>
      </c>
      <c r="J309" t="n">
        <v>0</v>
      </c>
      <c r="K309" t="n">
        <v>0</v>
      </c>
      <c r="L309" t="n">
        <v>0</v>
      </c>
      <c r="M309" t="n">
        <v>0</v>
      </c>
      <c r="N309" t="n">
        <v>0</v>
      </c>
    </row>
    <row r="310">
      <c r="A310" t="inlineStr">
        <is>
          <t>cost of the park</t>
        </is>
      </c>
      <c r="B310" t="inlineStr">
        <is>
          <t>stipend of 4 labourers removing the old timber and dismantling the old walls of the same for 1 day 1 shilling.</t>
        </is>
      </c>
      <c r="C310" t="n">
        <v>0.05</v>
      </c>
      <c r="D310" t="n">
        <v>0</v>
      </c>
      <c r="E310" t="n">
        <v>1</v>
      </c>
      <c r="F310" t="n">
        <v>0</v>
      </c>
      <c r="H310" t="n">
        <v>0</v>
      </c>
      <c r="I310" t="n">
        <v>0</v>
      </c>
      <c r="J310" t="n">
        <v>0</v>
      </c>
      <c r="K310" t="n">
        <v>0</v>
      </c>
      <c r="L310" t="n">
        <v>0</v>
      </c>
      <c r="M310" t="n">
        <v>0</v>
      </c>
      <c r="N310" t="n">
        <v>0</v>
      </c>
    </row>
    <row r="311">
      <c r="A311" t="inlineStr">
        <is>
          <t>cost of the park</t>
        </is>
      </c>
      <c r="B311" t="inlineStr">
        <is>
          <t>wattling, daubing and pinning the walls of the same by piece-work 4 shilling.</t>
        </is>
      </c>
      <c r="C311" t="n">
        <v>0.2</v>
      </c>
      <c r="D311" t="n">
        <v>0</v>
      </c>
      <c r="E311" t="n">
        <v>4</v>
      </c>
      <c r="F311" t="n">
        <v>0</v>
      </c>
      <c r="H311" t="n">
        <v>0</v>
      </c>
      <c r="I311" t="n">
        <v>0</v>
      </c>
      <c r="J311" t="n">
        <v>0</v>
      </c>
      <c r="K311" t="n">
        <v>0</v>
      </c>
      <c r="L311" t="n">
        <v>0</v>
      </c>
      <c r="M311" t="n">
        <v>0</v>
      </c>
      <c r="N311" t="n">
        <v>0</v>
      </c>
    </row>
    <row r="312">
      <c r="A312" t="inlineStr">
        <is>
          <t>cost of the park</t>
        </is>
      </c>
      <c r="B312" t="inlineStr">
        <is>
          <t>15 hip-tiles bought for the same 5pence.</t>
        </is>
      </c>
      <c r="C312" t="n">
        <v>0.02</v>
      </c>
      <c r="D312" t="n">
        <v>0</v>
      </c>
      <c r="E312" t="n">
        <v>0</v>
      </c>
      <c r="F312" t="n">
        <v>5</v>
      </c>
      <c r="H312" t="n">
        <v>0</v>
      </c>
      <c r="I312" t="n">
        <v>0</v>
      </c>
      <c r="J312" t="n">
        <v>0</v>
      </c>
      <c r="K312" t="n">
        <v>0</v>
      </c>
      <c r="L312" t="n">
        <v>0</v>
      </c>
      <c r="M312" t="n">
        <v>0</v>
      </c>
      <c r="N312" t="n">
        <v>0</v>
      </c>
    </row>
    <row r="313">
      <c r="A313" t="inlineStr">
        <is>
          <t>cost of the park</t>
        </is>
      </c>
      <c r="B313" t="inlineStr">
        <is>
          <t>100 board-nails bought for the same to fasten the beams and studs 10pence.</t>
        </is>
      </c>
      <c r="C313" t="n">
        <v>0.04</v>
      </c>
      <c r="D313" t="n">
        <v>0</v>
      </c>
      <c r="E313" t="n">
        <v>0</v>
      </c>
      <c r="F313" t="n">
        <v>10</v>
      </c>
      <c r="H313" t="n">
        <v>0</v>
      </c>
      <c r="I313" t="n">
        <v>0</v>
      </c>
      <c r="J313" t="n">
        <v>0</v>
      </c>
      <c r="K313" t="n">
        <v>0</v>
      </c>
      <c r="L313" t="n">
        <v>0</v>
      </c>
      <c r="M313" t="n">
        <v>0</v>
      </c>
      <c r="N313" t="n">
        <v>0</v>
      </c>
    </row>
    <row r="314">
      <c r="A314" t="inlineStr">
        <is>
          <t>cost of the park</t>
        </is>
      </c>
      <c r="B314" t="inlineStr">
        <is>
          <t>300 board-nails bought for the same 1 shilling 6pence.</t>
        </is>
      </c>
      <c r="C314" t="n">
        <v>0.08</v>
      </c>
      <c r="D314" t="n">
        <v>0</v>
      </c>
      <c r="E314" t="n">
        <v>1</v>
      </c>
      <c r="F314" t="n">
        <v>6</v>
      </c>
      <c r="H314" t="n">
        <v>0</v>
      </c>
      <c r="I314" t="n">
        <v>0</v>
      </c>
      <c r="J314" t="n">
        <v>0</v>
      </c>
      <c r="K314" t="n">
        <v>0</v>
      </c>
      <c r="L314" t="n">
        <v>0</v>
      </c>
      <c r="M314" t="n">
        <v>0</v>
      </c>
      <c r="N314" t="n">
        <v>0</v>
      </c>
    </row>
    <row r="315">
      <c r="A315" t="inlineStr">
        <is>
          <t>cost of the park</t>
        </is>
      </c>
      <c r="B315" t="inlineStr">
        <is>
          <t>6 hooks and 6 hinges bought for the same 2 shilling.</t>
        </is>
      </c>
      <c r="C315" t="n">
        <v>0.1</v>
      </c>
      <c r="D315" t="n">
        <v>0</v>
      </c>
      <c r="E315" t="n">
        <v>2</v>
      </c>
      <c r="F315" t="n">
        <v>0</v>
      </c>
      <c r="H315" t="n">
        <v>0</v>
      </c>
      <c r="I315" t="n">
        <v>0</v>
      </c>
      <c r="J315" t="n">
        <v>0</v>
      </c>
      <c r="K315" t="n">
        <v>0</v>
      </c>
      <c r="L315" t="n">
        <v>0</v>
      </c>
      <c r="M315" t="n">
        <v>0</v>
      </c>
      <c r="N315" t="n">
        <v>0</v>
      </c>
    </row>
    <row r="316">
      <c r="A316" t="inlineStr">
        <is>
          <t>cost of the park</t>
        </is>
      </c>
      <c r="B316" t="inlineStr">
        <is>
          <t>2 locks with keys bought for the same 1 shilling.</t>
        </is>
      </c>
      <c r="C316" t="n">
        <v>0.05</v>
      </c>
      <c r="D316" t="n">
        <v>0</v>
      </c>
      <c r="E316" t="n">
        <v>1</v>
      </c>
      <c r="F316" t="n">
        <v>0</v>
      </c>
      <c r="H316" t="n">
        <v>0</v>
      </c>
      <c r="I316" t="n">
        <v>0</v>
      </c>
      <c r="J316" t="n">
        <v>0</v>
      </c>
      <c r="K316" t="n">
        <v>0</v>
      </c>
      <c r="L316" t="n">
        <v>0</v>
      </c>
      <c r="M316" t="n">
        <v>0</v>
      </c>
      <c r="N316" t="n">
        <v>0</v>
      </c>
    </row>
    <row r="317">
      <c r="A317" t="inlineStr">
        <is>
          <t>cost of the park</t>
        </is>
      </c>
      <c r="B317" t="inlineStr">
        <is>
          <t>eaves-boards bought for the same 8pence.</t>
        </is>
      </c>
      <c r="C317" t="n">
        <v>0.03</v>
      </c>
      <c r="D317" t="n">
        <v>0</v>
      </c>
      <c r="E317" t="n">
        <v>0</v>
      </c>
      <c r="F317" t="n">
        <v>8</v>
      </c>
      <c r="H317" t="n">
        <v>0</v>
      </c>
      <c r="I317" t="n">
        <v>0</v>
      </c>
      <c r="J317" t="n">
        <v>0</v>
      </c>
      <c r="K317" t="n">
        <v>0</v>
      </c>
      <c r="L317" t="n">
        <v>0</v>
      </c>
      <c r="M317" t="n">
        <v>0</v>
      </c>
      <c r="N317" t="n">
        <v>0</v>
      </c>
    </row>
    <row r="318">
      <c r="A318" t="inlineStr">
        <is>
          <t>cost of the park</t>
        </is>
      </c>
      <c r="B318" t="inlineStr">
        <is>
          <t>total, £5 5 shilling 1pence.</t>
        </is>
      </c>
      <c r="C318" t="n">
        <v>5.25</v>
      </c>
      <c r="D318" t="n">
        <v>5</v>
      </c>
      <c r="E318" t="n">
        <v>5</v>
      </c>
      <c r="F318" t="n">
        <v>1</v>
      </c>
      <c r="H318" t="n">
        <v>0</v>
      </c>
      <c r="I318" t="n">
        <v>0</v>
      </c>
      <c r="J318" t="n">
        <v>0</v>
      </c>
      <c r="K318" t="n">
        <v>0</v>
      </c>
      <c r="L318" t="n">
        <v>0</v>
      </c>
      <c r="M318" t="n">
        <v>0</v>
      </c>
      <c r="N318" t="n">
        <v>0</v>
      </c>
    </row>
    <row r="319">
      <c r="A319" t="inlineStr">
        <is>
          <t>threshing and winnowing</t>
        </is>
      </c>
      <c r="B319" t="inlineStr">
        <is>
          <t>in threshing 64 quarters of wheat, 1 quarters 4 bushels of curall and 3 quarters 4 bushels of peas by piece¬work 17 shilling 3pence, at 3pence a quarters.</t>
        </is>
      </c>
      <c r="C319" t="n">
        <v>0.86</v>
      </c>
      <c r="D319" t="n">
        <v>0</v>
      </c>
      <c r="E319" t="n">
        <v>17</v>
      </c>
      <c r="F319" t="n">
        <v>3</v>
      </c>
      <c r="G319" t="inlineStr">
        <is>
          <t>peas, wheat, curall</t>
        </is>
      </c>
      <c r="H319" t="n">
        <v>4</v>
      </c>
      <c r="I319" t="n">
        <v>8</v>
      </c>
      <c r="J319" t="n">
        <v>5</v>
      </c>
      <c r="K319" t="n">
        <v>64</v>
      </c>
      <c r="L319" t="n">
        <v>-59</v>
      </c>
      <c r="M319" t="n">
        <v>64</v>
      </c>
      <c r="N319" t="n">
        <v>0</v>
      </c>
      <c r="O319" t="n">
        <v>1</v>
      </c>
      <c r="P319" t="n">
        <v>4</v>
      </c>
      <c r="Q319" t="n">
        <v>3</v>
      </c>
      <c r="R319" t="n">
        <v>4</v>
      </c>
    </row>
    <row r="320">
      <c r="A320" t="inlineStr">
        <is>
          <t>threshing and winnowing</t>
        </is>
      </c>
      <c r="B320" t="inlineStr">
        <is>
          <t>threshing 54 quarters 5 bushels of barley by piece-work 9 shilling 1pence, at 2pence a quarters.</t>
        </is>
      </c>
      <c r="C320" t="n">
        <v>0.45</v>
      </c>
      <c r="D320" t="n">
        <v>0</v>
      </c>
      <c r="E320" t="n">
        <v>9</v>
      </c>
      <c r="F320" t="n">
        <v>1</v>
      </c>
      <c r="G320" t="inlineStr">
        <is>
          <t>barley</t>
        </is>
      </c>
      <c r="H320" t="n">
        <v>54</v>
      </c>
      <c r="I320" t="n">
        <v>5</v>
      </c>
      <c r="J320" t="n">
        <v>54.62</v>
      </c>
      <c r="K320" t="n">
        <v>54.62</v>
      </c>
      <c r="L320" t="n">
        <v>0</v>
      </c>
      <c r="M320" t="n">
        <v>54</v>
      </c>
      <c r="N320" t="n">
        <v>5</v>
      </c>
    </row>
    <row r="321">
      <c r="A321" t="inlineStr">
        <is>
          <t>threshing and winnowing</t>
        </is>
      </c>
      <c r="B321" t="inlineStr">
        <is>
          <t>threshing 46 quarters 4 bushels of oats by piece-work 5 shilling 9.25pence, at 1.5pence a quarters.</t>
        </is>
      </c>
      <c r="C321" t="n">
        <v>0.29</v>
      </c>
      <c r="D321" t="n">
        <v>0</v>
      </c>
      <c r="E321" t="n">
        <v>5</v>
      </c>
      <c r="F321" t="n">
        <v>9.25</v>
      </c>
      <c r="G321" t="inlineStr">
        <is>
          <t>oats</t>
        </is>
      </c>
      <c r="H321" t="n">
        <v>46</v>
      </c>
      <c r="I321" t="n">
        <v>4</v>
      </c>
      <c r="J321" t="n">
        <v>46.5</v>
      </c>
      <c r="K321" t="n">
        <v>46.5</v>
      </c>
      <c r="L321" t="n">
        <v>0</v>
      </c>
      <c r="M321" t="n">
        <v>46</v>
      </c>
      <c r="N321" t="n">
        <v>4</v>
      </c>
    </row>
    <row r="322">
      <c r="A322" t="inlineStr">
        <is>
          <t>threshing and winnowing</t>
        </is>
      </c>
      <c r="B322" t="inlineStr">
        <is>
          <t>winnowing a moiety of all the corn, that is, 85 quarters .5 bushels, by piece-work 3 shilling 6.5pence, at .5pence a quarters.</t>
        </is>
      </c>
      <c r="C322" t="n">
        <v>0.18</v>
      </c>
      <c r="D322" t="n">
        <v>0</v>
      </c>
      <c r="E322" t="n">
        <v>3</v>
      </c>
      <c r="F322" t="n">
        <v>6.5</v>
      </c>
      <c r="H322" t="n">
        <v>85</v>
      </c>
      <c r="I322" t="n">
        <v>5</v>
      </c>
      <c r="J322" t="n">
        <v>85.62</v>
      </c>
      <c r="K322" t="n">
        <v>85</v>
      </c>
      <c r="L322" t="n">
        <v>0.62</v>
      </c>
      <c r="M322" t="n">
        <v>85</v>
      </c>
      <c r="N322" t="n">
        <v>0</v>
      </c>
      <c r="O322" t="n">
        <v>0</v>
      </c>
      <c r="P322" t="n">
        <v>5</v>
      </c>
    </row>
    <row r="323">
      <c r="A323" t="inlineStr">
        <is>
          <t>threshing and winnowing</t>
        </is>
      </c>
      <c r="B323" t="inlineStr">
        <is>
          <t>total, £1 15 shilling 7.25pence.</t>
        </is>
      </c>
      <c r="C323" t="n">
        <v>1.78</v>
      </c>
      <c r="D323" t="n">
        <v>1</v>
      </c>
      <c r="E323" t="n">
        <v>15</v>
      </c>
      <c r="F323" t="n">
        <v>7.25</v>
      </c>
      <c r="H323" t="n">
        <v>0</v>
      </c>
      <c r="I323" t="n">
        <v>0</v>
      </c>
      <c r="J323" t="n">
        <v>0</v>
      </c>
      <c r="K323" t="n">
        <v>0</v>
      </c>
      <c r="L323" t="n">
        <v>0</v>
      </c>
      <c r="M323" t="n">
        <v>0</v>
      </c>
      <c r="N323" t="n">
        <v>0</v>
      </c>
    </row>
    <row r="324">
      <c r="A324" t="inlineStr">
        <is>
          <t>weeding corn and mowing</t>
        </is>
      </c>
      <c r="B324" t="inlineStr">
        <is>
          <t>in weeding the lord's corn this year 12 shilling.</t>
        </is>
      </c>
      <c r="C324" t="n">
        <v>0.6</v>
      </c>
      <c r="D324" t="n">
        <v>0</v>
      </c>
      <c r="E324" t="n">
        <v>12</v>
      </c>
      <c r="F324" t="n">
        <v>0</v>
      </c>
      <c r="H324" t="n">
        <v>0</v>
      </c>
      <c r="I324" t="n">
        <v>0</v>
      </c>
      <c r="J324" t="n">
        <v>0</v>
      </c>
      <c r="K324" t="n">
        <v>0</v>
      </c>
      <c r="L324" t="n">
        <v>0</v>
      </c>
      <c r="M324" t="n">
        <v>0</v>
      </c>
      <c r="N324" t="n">
        <v>0</v>
      </c>
    </row>
    <row r="325">
      <c r="A325" t="inlineStr">
        <is>
          <t>weeding corn and mowing</t>
        </is>
      </c>
      <c r="B325" t="inlineStr">
        <is>
          <t>mowing the meadow called ballesmed' with 1 parcel of the adjacent meadow by piece-work 2 shilling.</t>
        </is>
      </c>
      <c r="C325" t="n">
        <v>0.1</v>
      </c>
      <c r="D325" t="n">
        <v>0</v>
      </c>
      <c r="E325" t="n">
        <v>2</v>
      </c>
      <c r="F325" t="n">
        <v>0</v>
      </c>
      <c r="H325" t="n">
        <v>0</v>
      </c>
      <c r="I325" t="n">
        <v>0</v>
      </c>
      <c r="J325" t="n">
        <v>0</v>
      </c>
      <c r="K325" t="n">
        <v>0</v>
      </c>
      <c r="L325" t="n">
        <v>0</v>
      </c>
      <c r="M325" t="n">
        <v>0</v>
      </c>
      <c r="N325" t="n">
        <v>0</v>
      </c>
    </row>
    <row r="326">
      <c r="A326" t="inlineStr">
        <is>
          <t>weeding corn and mowing</t>
        </is>
      </c>
      <c r="B326" t="inlineStr">
        <is>
          <t>making the hay of the same 8pence.</t>
        </is>
      </c>
      <c r="C326" t="n">
        <v>0.03</v>
      </c>
      <c r="D326" t="n">
        <v>0</v>
      </c>
      <c r="E326" t="n">
        <v>0</v>
      </c>
      <c r="F326" t="n">
        <v>8</v>
      </c>
      <c r="H326" t="n">
        <v>0</v>
      </c>
      <c r="I326" t="n">
        <v>0</v>
      </c>
      <c r="J326" t="n">
        <v>0</v>
      </c>
      <c r="K326" t="n">
        <v>0</v>
      </c>
      <c r="L326" t="n">
        <v>0</v>
      </c>
      <c r="M326" t="n">
        <v>0</v>
      </c>
      <c r="N326" t="n">
        <v>0</v>
      </c>
    </row>
    <row r="327">
      <c r="A327" t="inlineStr">
        <is>
          <t>weeding corn and mowing</t>
        </is>
      </c>
      <c r="B327" t="inlineStr">
        <is>
          <t>mowing the meadow in oulepoull', nothing this year, because it was not mown.</t>
        </is>
      </c>
      <c r="C327" t="n">
        <v>0</v>
      </c>
      <c r="D327" t="n">
        <v>0</v>
      </c>
      <c r="E327" t="n">
        <v>0</v>
      </c>
      <c r="F327" t="n">
        <v>0</v>
      </c>
      <c r="H327" t="n">
        <v>0</v>
      </c>
      <c r="I327" t="n">
        <v>0</v>
      </c>
      <c r="J327" t="n">
        <v>0</v>
      </c>
      <c r="K327" t="n">
        <v>0</v>
      </c>
      <c r="L327" t="n">
        <v>0</v>
      </c>
      <c r="M327" t="n">
        <v>0</v>
      </c>
      <c r="N327" t="n">
        <v>0</v>
      </c>
    </row>
    <row r="328">
      <c r="A328" t="inlineStr">
        <is>
          <t>weeding corn and mowing</t>
        </is>
      </c>
      <c r="B328" t="inlineStr">
        <is>
          <t>carrying (partand') the meadows of caldecote, kyngesmede and suthmed' across the river 6pence.</t>
        </is>
      </c>
      <c r="C328" t="n">
        <v>0.03</v>
      </c>
      <c r="D328" t="n">
        <v>0</v>
      </c>
      <c r="E328" t="n">
        <v>0</v>
      </c>
      <c r="F328" t="n">
        <v>6</v>
      </c>
      <c r="H328" t="n">
        <v>0</v>
      </c>
      <c r="I328" t="n">
        <v>0</v>
      </c>
      <c r="J328" t="n">
        <v>0</v>
      </c>
      <c r="K328" t="n">
        <v>0</v>
      </c>
      <c r="L328" t="n">
        <v>0</v>
      </c>
      <c r="M328" t="n">
        <v>0</v>
      </c>
      <c r="N328" t="n">
        <v>0</v>
      </c>
    </row>
    <row r="329">
      <c r="A329" t="inlineStr">
        <is>
          <t>weeding corn and mowing</t>
        </is>
      </c>
      <c r="B329" t="inlineStr">
        <is>
          <t>mowing and making the hay of the meadow beside the fishpond in the park, nothing this year, because it was not mown, that is, it was for the lord's cattle.</t>
        </is>
      </c>
      <c r="C329" t="n">
        <v>0</v>
      </c>
      <c r="D329" t="n">
        <v>0</v>
      </c>
      <c r="E329" t="n">
        <v>0</v>
      </c>
      <c r="F329" t="n">
        <v>0</v>
      </c>
      <c r="H329" t="n">
        <v>0</v>
      </c>
      <c r="I329" t="n">
        <v>0</v>
      </c>
      <c r="J329" t="n">
        <v>0</v>
      </c>
      <c r="K329" t="n">
        <v>0</v>
      </c>
      <c r="L329" t="n">
        <v>0</v>
      </c>
      <c r="M329" t="n">
        <v>0</v>
      </c>
      <c r="N329" t="n">
        <v>0</v>
      </c>
    </row>
    <row r="330">
      <c r="A330" t="inlineStr">
        <is>
          <t>weeding corn and mowing</t>
        </is>
      </c>
      <c r="B330" t="inlineStr">
        <is>
          <t>mowing and making the hay of the meadow of bitterne, nothing this year, because it was not mown.</t>
        </is>
      </c>
      <c r="C330" t="n">
        <v>0</v>
      </c>
      <c r="D330" t="n">
        <v>0</v>
      </c>
      <c r="E330" t="n">
        <v>0</v>
      </c>
      <c r="F330" t="n">
        <v>0</v>
      </c>
      <c r="H330" t="n">
        <v>0</v>
      </c>
      <c r="I330" t="n">
        <v>0</v>
      </c>
      <c r="J330" t="n">
        <v>0</v>
      </c>
      <c r="K330" t="n">
        <v>0</v>
      </c>
      <c r="L330" t="n">
        <v>0</v>
      </c>
      <c r="M330" t="n">
        <v>0</v>
      </c>
      <c r="N330" t="n">
        <v>0</v>
      </c>
    </row>
    <row r="331">
      <c r="A331" t="inlineStr">
        <is>
          <t>weeding corn and mowing</t>
        </is>
      </c>
      <c r="B331" t="inlineStr">
        <is>
          <t>total, £1 7 shilling 8pence'.</t>
        </is>
      </c>
      <c r="C331" t="n">
        <v>1.38</v>
      </c>
      <c r="D331" t="n">
        <v>1</v>
      </c>
      <c r="E331" t="n">
        <v>7</v>
      </c>
      <c r="F331" t="n">
        <v>8</v>
      </c>
      <c r="H331" t="n">
        <v>0</v>
      </c>
      <c r="I331" t="n">
        <v>0</v>
      </c>
      <c r="J331" t="n">
        <v>0</v>
      </c>
      <c r="K331" t="n">
        <v>0</v>
      </c>
      <c r="L331" t="n">
        <v>0</v>
      </c>
      <c r="M331" t="n">
        <v>0</v>
      </c>
      <c r="N331" t="n">
        <v>0</v>
      </c>
    </row>
    <row r="332">
      <c r="A332" t="inlineStr">
        <is>
          <t>cost of the harvest</t>
        </is>
      </c>
      <c r="B332" t="inlineStr">
        <is>
          <t>in reaping, binding and carrying 74.5 acres of various kinds of corn by piece-work £3 2 shilling 2pence, and thus each acre was reaped for 9pence this year because of the prolonged harvest.</t>
        </is>
      </c>
      <c r="C332" t="n">
        <v>3.11</v>
      </c>
      <c r="D332" t="n">
        <v>3</v>
      </c>
      <c r="E332" t="n">
        <v>2</v>
      </c>
      <c r="F332" t="n">
        <v>2</v>
      </c>
      <c r="H332" t="n">
        <v>0</v>
      </c>
      <c r="I332" t="n">
        <v>0</v>
      </c>
      <c r="J332" t="n">
        <v>0</v>
      </c>
      <c r="K332" t="n">
        <v>0</v>
      </c>
      <c r="L332" t="n">
        <v>0</v>
      </c>
      <c r="M332" t="n">
        <v>0</v>
      </c>
      <c r="N332" t="n">
        <v>0</v>
      </c>
    </row>
    <row r="333">
      <c r="A333" t="inlineStr">
        <is>
          <t>cost of the harvest</t>
        </is>
      </c>
      <c r="B333" t="inlineStr">
        <is>
          <t>moreover, 1 boon-work of 210 men called `baggebeddryp" reaped 53 acres of wheat, for which they received nothing, and thus every 4 reaped, bound and carried 1 acre of wheat, plus 1.5 acres in all.</t>
        </is>
      </c>
      <c r="C333" t="n">
        <v>0</v>
      </c>
      <c r="D333" t="n">
        <v>0</v>
      </c>
      <c r="E333" t="n">
        <v>0</v>
      </c>
      <c r="F333" t="n">
        <v>0</v>
      </c>
      <c r="G333" t="inlineStr">
        <is>
          <t>wheat</t>
        </is>
      </c>
      <c r="H333" t="n">
        <v>0</v>
      </c>
      <c r="I333" t="n">
        <v>0</v>
      </c>
      <c r="J333" t="n">
        <v>0</v>
      </c>
      <c r="K333" t="n">
        <v>0</v>
      </c>
      <c r="L333" t="n">
        <v>0</v>
      </c>
      <c r="M333" t="n">
        <v>0</v>
      </c>
      <c r="N333" t="n">
        <v>0</v>
      </c>
    </row>
    <row r="334">
      <c r="A334" t="inlineStr">
        <is>
          <t>cost of the harvest</t>
        </is>
      </c>
      <c r="B334" t="inlineStr">
        <is>
          <t>stipend of 1 stacker 3 shilling 4pence.</t>
        </is>
      </c>
      <c r="C334" t="n">
        <v>0.17</v>
      </c>
      <c r="D334" t="n">
        <v>0</v>
      </c>
      <c r="E334" t="n">
        <v>3</v>
      </c>
      <c r="F334" t="n">
        <v>4</v>
      </c>
      <c r="H334" t="n">
        <v>0</v>
      </c>
      <c r="I334" t="n">
        <v>0</v>
      </c>
      <c r="J334" t="n">
        <v>0</v>
      </c>
      <c r="K334" t="n">
        <v>0</v>
      </c>
      <c r="L334" t="n">
        <v>0</v>
      </c>
      <c r="M334" t="n">
        <v>0</v>
      </c>
      <c r="N334" t="n">
        <v>0</v>
      </c>
    </row>
    <row r="335">
      <c r="A335" t="inlineStr">
        <is>
          <t>cost of the harvest</t>
        </is>
      </c>
      <c r="B335" t="inlineStr">
        <is>
          <t>stipend of 1 reap-reeve 6 shilling 8pence.</t>
        </is>
      </c>
      <c r="C335" t="n">
        <v>0.33</v>
      </c>
      <c r="D335" t="n">
        <v>0</v>
      </c>
      <c r="E335" t="n">
        <v>6</v>
      </c>
      <c r="F335" t="n">
        <v>8</v>
      </c>
      <c r="H335" t="n">
        <v>0</v>
      </c>
      <c r="I335" t="n">
        <v>0</v>
      </c>
      <c r="J335" t="n">
        <v>0</v>
      </c>
      <c r="K335" t="n">
        <v>0</v>
      </c>
      <c r="L335" t="n">
        <v>0</v>
      </c>
      <c r="M335" t="n">
        <v>0</v>
      </c>
      <c r="N335" t="n">
        <v>0</v>
      </c>
    </row>
    <row r="336">
      <c r="A336" t="inlineStr">
        <is>
          <t>cost of the harvest</t>
        </is>
      </c>
      <c r="B336" t="inlineStr">
        <is>
          <t>total, £3 12 shilling 2pence.</t>
        </is>
      </c>
      <c r="C336" t="n">
        <v>3.61</v>
      </c>
      <c r="D336" t="n">
        <v>3</v>
      </c>
      <c r="E336" t="n">
        <v>12</v>
      </c>
      <c r="F336" t="n">
        <v>2</v>
      </c>
      <c r="H336" t="n">
        <v>0</v>
      </c>
      <c r="I336" t="n">
        <v>0</v>
      </c>
      <c r="J336" t="n">
        <v>0</v>
      </c>
      <c r="K336" t="n">
        <v>0</v>
      </c>
      <c r="L336" t="n">
        <v>0</v>
      </c>
      <c r="M336" t="n">
        <v>0</v>
      </c>
      <c r="N336" t="n">
        <v>0</v>
      </c>
    </row>
    <row r="337">
      <c r="A337" t="inlineStr">
        <is>
          <t>expenses of the steward</t>
        </is>
      </c>
      <c r="B337" t="inlineStr">
        <is>
          <t>in expenses of richard wyot, steward, holding the tourns of martinmas and hockday, by 2 bills, £1 1 shilling 5pence.</t>
        </is>
      </c>
      <c r="C337" t="n">
        <v>1.07</v>
      </c>
      <c r="D337" t="n">
        <v>1</v>
      </c>
      <c r="E337" t="n">
        <v>1</v>
      </c>
      <c r="F337" t="n">
        <v>5</v>
      </c>
      <c r="H337" t="n">
        <v>0</v>
      </c>
      <c r="I337" t="n">
        <v>0</v>
      </c>
      <c r="J337" t="n">
        <v>0</v>
      </c>
      <c r="K337" t="n">
        <v>0</v>
      </c>
      <c r="L337" t="n">
        <v>0</v>
      </c>
      <c r="M337" t="n">
        <v>0</v>
      </c>
      <c r="N337" t="n">
        <v>0</v>
      </c>
    </row>
    <row r="338">
      <c r="A338" t="inlineStr">
        <is>
          <t>expenses of the steward</t>
        </is>
      </c>
      <c r="B338" t="inlineStr">
        <is>
          <t>total, £1 1 shilling 5pence.</t>
        </is>
      </c>
      <c r="C338" t="n">
        <v>1.07</v>
      </c>
      <c r="D338" t="n">
        <v>1</v>
      </c>
      <c r="E338" t="n">
        <v>1</v>
      </c>
      <c r="F338" t="n">
        <v>5</v>
      </c>
      <c r="H338" t="n">
        <v>0</v>
      </c>
      <c r="I338" t="n">
        <v>0</v>
      </c>
      <c r="J338" t="n">
        <v>0</v>
      </c>
      <c r="K338" t="n">
        <v>0</v>
      </c>
      <c r="L338" t="n">
        <v>0</v>
      </c>
      <c r="M338" t="n">
        <v>0</v>
      </c>
      <c r="N338" t="n">
        <v>0</v>
      </c>
    </row>
    <row r="339">
      <c r="A339" t="inlineStr">
        <is>
          <t>wages of the bailiff</t>
        </is>
      </c>
      <c r="B339" t="inlineStr">
        <is>
          <t>in wages of john fromond', bailiff there, in part payment of his wages, £6, and he takes.</t>
        </is>
      </c>
      <c r="C339" t="n">
        <v>6</v>
      </c>
      <c r="D339" t="n">
        <v>6</v>
      </c>
      <c r="E339" t="n">
        <v>0</v>
      </c>
      <c r="F339" t="n">
        <v>0</v>
      </c>
      <c r="H339" t="n">
        <v>0</v>
      </c>
      <c r="I339" t="n">
        <v>0</v>
      </c>
      <c r="J339" t="n">
        <v>0</v>
      </c>
      <c r="K339" t="n">
        <v>0</v>
      </c>
      <c r="L339" t="n">
        <v>0</v>
      </c>
      <c r="M339" t="n">
        <v>0</v>
      </c>
      <c r="N339" t="n">
        <v>0</v>
      </c>
    </row>
    <row r="340">
      <c r="A340" t="inlineStr">
        <is>
          <t>wages of the bailiff</t>
        </is>
      </c>
      <c r="B340" t="inlineStr">
        <is>
          <t>the rest elsewhere.</t>
        </is>
      </c>
      <c r="C340" t="n">
        <v>0</v>
      </c>
      <c r="D340" t="n">
        <v>0</v>
      </c>
      <c r="E340" t="n">
        <v>0</v>
      </c>
      <c r="F340" t="n">
        <v>0</v>
      </c>
      <c r="H340" t="n">
        <v>0</v>
      </c>
      <c r="I340" t="n">
        <v>0</v>
      </c>
      <c r="J340" t="n">
        <v>0</v>
      </c>
      <c r="K340" t="n">
        <v>0</v>
      </c>
      <c r="L340" t="n">
        <v>0</v>
      </c>
      <c r="M340" t="n">
        <v>0</v>
      </c>
      <c r="N340" t="n">
        <v>0</v>
      </c>
    </row>
    <row r="341">
      <c r="A341" t="inlineStr">
        <is>
          <t>wages of the bailiff</t>
        </is>
      </c>
      <c r="B341" t="inlineStr">
        <is>
          <t>total, £6..</t>
        </is>
      </c>
      <c r="C341" t="n">
        <v>6</v>
      </c>
      <c r="D341" t="n">
        <v>6</v>
      </c>
      <c r="E341" t="n">
        <v>0</v>
      </c>
      <c r="F341" t="n">
        <v>0</v>
      </c>
      <c r="H341" t="n">
        <v>0</v>
      </c>
      <c r="I341" t="n">
        <v>0</v>
      </c>
      <c r="J341" t="n">
        <v>0</v>
      </c>
      <c r="K341" t="n">
        <v>0</v>
      </c>
      <c r="L341" t="n">
        <v>0</v>
      </c>
      <c r="M341" t="n">
        <v>0</v>
      </c>
      <c r="N341" t="n">
        <v>0</v>
      </c>
    </row>
    <row r="342">
      <c r="A342" t="inlineStr">
        <is>
          <t>quarrying lime</t>
        </is>
      </c>
      <c r="B342" t="inlineStr">
        <is>
          <t>in stipend of nicholas frenshe for 14 days, thomas thornere for 7 days, thomas drede.</t>
        </is>
      </c>
      <c r="C342" t="n">
        <v>0</v>
      </c>
      <c r="D342" t="n">
        <v>0</v>
      </c>
      <c r="E342" t="n">
        <v>0</v>
      </c>
      <c r="F342" t="n">
        <v>0</v>
      </c>
      <c r="H342" t="n">
        <v>0</v>
      </c>
      <c r="I342" t="n">
        <v>0</v>
      </c>
      <c r="J342" t="n">
        <v>0</v>
      </c>
      <c r="K342" t="n">
        <v>0</v>
      </c>
      <c r="L342" t="n">
        <v>0</v>
      </c>
      <c r="M342" t="n">
        <v>0</v>
      </c>
      <c r="N342" t="n">
        <v>0</v>
      </c>
    </row>
    <row r="343">
      <c r="A343" t="inlineStr">
        <is>
          <t>quarrying lime</t>
        </is>
      </c>
      <c r="B343" t="inlineStr">
        <is>
          <t>for 38 days, thomas lynkefeld' for 3 days, john freke for 50.5 days, thomas north' for 32.5 days, thomas baker' for 48.5 days, john wourkman for 8 days, thomas bere for 20 days, roger putteney for 32 days and thomas courmedonum for 2.5 days, labourers, quarrying lime in the quarry, £3 3 shilling 9pence, each of them taking 3pence a day, for a total of 2552 days.</t>
        </is>
      </c>
      <c r="C343" t="n">
        <v>3.19</v>
      </c>
      <c r="D343" t="n">
        <v>3</v>
      </c>
      <c r="E343" t="n">
        <v>3</v>
      </c>
      <c r="F343" t="n">
        <v>9</v>
      </c>
      <c r="H343" t="n">
        <v>0</v>
      </c>
      <c r="I343" t="n">
        <v>0</v>
      </c>
      <c r="J343" t="n">
        <v>0</v>
      </c>
      <c r="K343" t="n">
        <v>0</v>
      </c>
      <c r="L343" t="n">
        <v>0</v>
      </c>
      <c r="M343" t="n">
        <v>0</v>
      </c>
      <c r="N343" t="n">
        <v>0</v>
      </c>
    </row>
    <row r="344">
      <c r="A344" t="inlineStr">
        <is>
          <t>quarrying lime</t>
        </is>
      </c>
      <c r="B344" t="inlineStr">
        <is>
          <t>reward made to the same by the lord 1 shilling 8pence.</t>
        </is>
      </c>
      <c r="C344" t="n">
        <v>0.08</v>
      </c>
      <c r="D344" t="n">
        <v>0</v>
      </c>
      <c r="E344" t="n">
        <v>1</v>
      </c>
      <c r="F344" t="n">
        <v>8</v>
      </c>
      <c r="H344" t="n">
        <v>0</v>
      </c>
      <c r="I344" t="n">
        <v>0</v>
      </c>
      <c r="J344" t="n">
        <v>0</v>
      </c>
      <c r="K344" t="n">
        <v>0</v>
      </c>
      <c r="L344" t="n">
        <v>0</v>
      </c>
      <c r="M344" t="n">
        <v>0</v>
      </c>
      <c r="N344" t="n">
        <v>0</v>
      </c>
    </row>
    <row r="345">
      <c r="A345" t="inlineStr">
        <is>
          <t>quarrying lime</t>
        </is>
      </c>
      <c r="B345" t="inlineStr">
        <is>
          <t>total, £3 5 shilling 5pence.</t>
        </is>
      </c>
      <c r="C345" t="n">
        <v>3.27</v>
      </c>
      <c r="D345" t="n">
        <v>3</v>
      </c>
      <c r="E345" t="n">
        <v>5</v>
      </c>
      <c r="F345" t="n">
        <v>5</v>
      </c>
      <c r="H345" t="n">
        <v>0</v>
      </c>
      <c r="I345" t="n">
        <v>0</v>
      </c>
      <c r="J345" t="n">
        <v>0</v>
      </c>
      <c r="K345" t="n">
        <v>0</v>
      </c>
      <c r="L345" t="n">
        <v>0</v>
      </c>
      <c r="M345" t="n">
        <v>0</v>
      </c>
      <c r="N345" t="n">
        <v>0</v>
      </c>
    </row>
    <row r="346">
      <c r="A346" t="inlineStr">
        <is>
          <t>carrying lime</t>
        </is>
      </c>
      <c r="B346" t="inlineStr">
        <is>
          <t>in payment to richard godewyne for carrying 13 pots of lime, john wynde for 103 pots, stephen atte water' for 17 pots, nicholas frenshe for 132 pots, william gosey for 14 pots and hugh durrey for 24 pots, from the quarry to the curia, £1 5 shilling 3pence, at 1pence a pot, for a total of 303 pots.</t>
        </is>
      </c>
      <c r="C346" t="n">
        <v>1.26</v>
      </c>
      <c r="D346" t="n">
        <v>1</v>
      </c>
      <c r="E346" t="n">
        <v>5</v>
      </c>
      <c r="F346" t="n">
        <v>3</v>
      </c>
      <c r="H346" t="n">
        <v>0</v>
      </c>
      <c r="I346" t="n">
        <v>0</v>
      </c>
      <c r="J346" t="n">
        <v>0</v>
      </c>
      <c r="K346" t="n">
        <v>0</v>
      </c>
      <c r="L346" t="n">
        <v>0</v>
      </c>
      <c r="M346" t="n">
        <v>0</v>
      </c>
      <c r="N346" t="n">
        <v>0</v>
      </c>
    </row>
    <row r="347">
      <c r="A347" t="inlineStr">
        <is>
          <t>carrying lime</t>
        </is>
      </c>
      <c r="B347" t="inlineStr">
        <is>
          <t>total, £1 5 shilling 3pence.</t>
        </is>
      </c>
      <c r="C347" t="n">
        <v>1.26</v>
      </c>
      <c r="D347" t="n">
        <v>1</v>
      </c>
      <c r="E347" t="n">
        <v>5</v>
      </c>
      <c r="F347" t="n">
        <v>3</v>
      </c>
      <c r="H347" t="n">
        <v>0</v>
      </c>
      <c r="I347" t="n">
        <v>0</v>
      </c>
      <c r="J347" t="n">
        <v>0</v>
      </c>
      <c r="K347" t="n">
        <v>0</v>
      </c>
      <c r="L347" t="n">
        <v>0</v>
      </c>
      <c r="M347" t="n">
        <v>0</v>
      </c>
      <c r="N347" t="n">
        <v>0</v>
      </c>
    </row>
    <row r="348">
      <c r="A348" t="inlineStr">
        <is>
          <t>carrying flints</t>
        </is>
      </c>
      <c r="B348" t="inlineStr">
        <is>
          <t>in payment to richard godewyne for carrying 6 pots of flints, william stobyngton' for 60 pots, john stake for 102 pots, robert dene for 28 pots, thomas stobyngton' for 2 pots and adam owell' for 2 pots, from the field to the lord's curia, £2 10 shilling, at 3pence a pot, for a total of 200 pots.</t>
        </is>
      </c>
      <c r="C348" t="n">
        <v>2.5</v>
      </c>
      <c r="D348" t="n">
        <v>2</v>
      </c>
      <c r="E348" t="n">
        <v>10</v>
      </c>
      <c r="F348" t="n">
        <v>0</v>
      </c>
      <c r="H348" t="n">
        <v>0</v>
      </c>
      <c r="I348" t="n">
        <v>0</v>
      </c>
      <c r="J348" t="n">
        <v>0</v>
      </c>
      <c r="K348" t="n">
        <v>0</v>
      </c>
      <c r="L348" t="n">
        <v>0</v>
      </c>
      <c r="M348" t="n">
        <v>0</v>
      </c>
      <c r="N348" t="n">
        <v>0</v>
      </c>
    </row>
    <row r="349">
      <c r="A349" t="inlineStr">
        <is>
          <t>carrying flints</t>
        </is>
      </c>
      <c r="B349" t="inlineStr">
        <is>
          <t>total, £2 10 shilling.</t>
        </is>
      </c>
      <c r="C349" t="n">
        <v>2.5</v>
      </c>
      <c r="D349" t="n">
        <v>2</v>
      </c>
      <c r="E349" t="n">
        <v>10</v>
      </c>
      <c r="F349" t="n">
        <v>0</v>
      </c>
      <c r="H349" t="n">
        <v>0</v>
      </c>
      <c r="I349" t="n">
        <v>0</v>
      </c>
      <c r="J349" t="n">
        <v>0</v>
      </c>
      <c r="K349" t="n">
        <v>0</v>
      </c>
      <c r="L349" t="n">
        <v>0</v>
      </c>
      <c r="M349" t="n">
        <v>0</v>
      </c>
      <c r="N349" t="n">
        <v>0</v>
      </c>
    </row>
    <row r="350">
      <c r="A350" t="inlineStr">
        <is>
          <t>purchase of freestone with its carriage</t>
        </is>
      </c>
      <c r="B350" t="inlineStr">
        <is>
          <t>in 90 tons of freestone bought wholesale £15 5 shilling.</t>
        </is>
      </c>
      <c r="C350" t="n">
        <v>15.25</v>
      </c>
      <c r="D350" t="n">
        <v>15</v>
      </c>
      <c r="E350" t="n">
        <v>5</v>
      </c>
      <c r="F350" t="n">
        <v>0</v>
      </c>
      <c r="H350" t="n">
        <v>0</v>
      </c>
      <c r="I350" t="n">
        <v>0</v>
      </c>
      <c r="J350" t="n">
        <v>0</v>
      </c>
      <c r="K350" t="n">
        <v>0</v>
      </c>
      <c r="L350" t="n">
        <v>0</v>
      </c>
      <c r="M350" t="n">
        <v>0</v>
      </c>
      <c r="N350" t="n">
        <v>0</v>
      </c>
    </row>
    <row r="351">
      <c r="A351" t="inlineStr">
        <is>
          <t>purchase of freestone with its carriage</t>
        </is>
      </c>
      <c r="B351" t="inlineStr">
        <is>
          <t>stipend of richard godewyn' for 8 days, hugh durcey for 7 days, robert dene for 4 days, john atte watere for 5 days, william atte broke for 3 days, roger spore for 1 day, john park for 3 days, henry byke for 3 days, john hounte for 3 days, thomas stobyngton' for 4 days, thomas hudy for 4 days, adam owell' for 3 days and stephen atte watere for 7 days, each of them taking 1 shilling 4pence a day, robert quabbere for 5 days, richard atte broke for 4 days, john clerk' for 4 days, john spore for 1 day, thomas gloyse for 2 days, thomas edmond' for 1 day and thomas palmere for 1 day, each of them taking 1 shilling a day, carters, carrying freestone from bursledon to bishops waltham, for a total of 73 days, £4 11 s. 4pence.</t>
        </is>
      </c>
      <c r="C351" t="n">
        <v>4</v>
      </c>
      <c r="D351" t="n">
        <v>4</v>
      </c>
      <c r="E351" t="n">
        <v>0</v>
      </c>
      <c r="F351" t="n">
        <v>0</v>
      </c>
      <c r="H351" t="n">
        <v>0</v>
      </c>
      <c r="I351" t="n">
        <v>0</v>
      </c>
      <c r="J351" t="n">
        <v>0</v>
      </c>
      <c r="K351" t="n">
        <v>0</v>
      </c>
      <c r="L351" t="n">
        <v>0</v>
      </c>
      <c r="M351" t="n">
        <v>0</v>
      </c>
      <c r="N351" t="n">
        <v>0</v>
      </c>
    </row>
    <row r="352">
      <c r="A352" t="inlineStr">
        <is>
          <t>purchase of freestone with its carriage</t>
        </is>
      </c>
      <c r="B352" t="inlineStr">
        <is>
          <t>stipend of john park' for 3.5 days, thomas hudy for 1 day, thomas stubbyngton' for 1 day, adam owell' for 1.5 days, william clerk' for 1 day, stephen atte watere for 2 days, john honte for 1 day, richard godewyn' for 1.5 days, nicholas frenshe for 1 day, henry byke for' day, john austyn for 1 day and hugh durcey for 3 days, each of them taking 1 shilling 4pence, peter atte park' for 3.5 days, thomas gleyse for 1 day, thomas palmere for 1 day, richard atte broke for 1 day, john dene for 1 day, thomas smyth' for 1 day, william stubbyngton' for 1 day, john wynde for 1 day and john spore for 1 day, each of them taking 1 shilling a day, carters, carrying freestone from botley to bishops waltham, for a total of 30' days, £1 16 shilling.</t>
        </is>
      </c>
      <c r="C352" t="n">
        <v>1.8</v>
      </c>
      <c r="D352" t="n">
        <v>1</v>
      </c>
      <c r="E352" t="n">
        <v>16</v>
      </c>
      <c r="F352" t="n">
        <v>0</v>
      </c>
      <c r="H352" t="n">
        <v>0</v>
      </c>
      <c r="I352" t="n">
        <v>0</v>
      </c>
      <c r="J352" t="n">
        <v>0</v>
      </c>
      <c r="K352" t="n">
        <v>0</v>
      </c>
      <c r="L352" t="n">
        <v>0</v>
      </c>
      <c r="M352" t="n">
        <v>0</v>
      </c>
      <c r="N352" t="n">
        <v>0</v>
      </c>
    </row>
    <row r="353">
      <c r="A353" t="inlineStr">
        <is>
          <t>purchase of freestone with its carriage</t>
        </is>
      </c>
      <c r="B353" t="inlineStr">
        <is>
          <t>stipend of 1 man gathering and laying all the aforesaid freestone in the lord's manor after its carriage and placing the same at the north end of the kitchen and also covering the same stones by piece-work 13 shilling 4pence.</t>
        </is>
      </c>
      <c r="C353" t="n">
        <v>0.67</v>
      </c>
      <c r="D353" t="n">
        <v>0</v>
      </c>
      <c r="E353" t="n">
        <v>13</v>
      </c>
      <c r="F353" t="n">
        <v>4</v>
      </c>
      <c r="H353" t="n">
        <v>0</v>
      </c>
      <c r="I353" t="n">
        <v>0</v>
      </c>
      <c r="J353" t="n">
        <v>0</v>
      </c>
      <c r="K353" t="n">
        <v>0</v>
      </c>
      <c r="L353" t="n">
        <v>0</v>
      </c>
      <c r="M353" t="n">
        <v>0</v>
      </c>
      <c r="N353" t="n">
        <v>0</v>
      </c>
    </row>
    <row r="354">
      <c r="A354" t="inlineStr">
        <is>
          <t>purchase of freestone with its carriage</t>
        </is>
      </c>
      <c r="B354" t="inlineStr">
        <is>
          <t>total, £25 5 shilling 8pence.</t>
        </is>
      </c>
      <c r="C354" t="n">
        <v>25.28</v>
      </c>
      <c r="D354" t="n">
        <v>25</v>
      </c>
      <c r="E354" t="n">
        <v>5</v>
      </c>
      <c r="F354" t="n">
        <v>8</v>
      </c>
      <c r="H354" t="n">
        <v>0</v>
      </c>
      <c r="I354" t="n">
        <v>0</v>
      </c>
      <c r="J354" t="n">
        <v>0</v>
      </c>
      <c r="K354" t="n">
        <v>0</v>
      </c>
      <c r="L354" t="n">
        <v>0</v>
      </c>
      <c r="M354" t="n">
        <v>0</v>
      </c>
      <c r="N354" t="n">
        <v>0</v>
      </c>
    </row>
    <row r="355">
      <c r="A355" t="inlineStr">
        <is>
          <t>necessary costs</t>
        </is>
      </c>
      <c r="B355" t="inlineStr">
        <is>
          <t>in 2 wheelbarrows bought 2 shilling.</t>
        </is>
      </c>
      <c r="C355" t="n">
        <v>0.1</v>
      </c>
      <c r="D355" t="n">
        <v>0</v>
      </c>
      <c r="E355" t="n">
        <v>2</v>
      </c>
      <c r="F355" t="n">
        <v>0</v>
      </c>
      <c r="H355" t="n">
        <v>0</v>
      </c>
      <c r="I355" t="n">
        <v>0</v>
      </c>
      <c r="J355" t="n">
        <v>0</v>
      </c>
      <c r="K355" t="n">
        <v>0</v>
      </c>
      <c r="L355" t="n">
        <v>0</v>
      </c>
      <c r="M355" t="n">
        <v>0</v>
      </c>
      <c r="N355" t="n">
        <v>0</v>
      </c>
    </row>
    <row r="356">
      <c r="A356" t="inlineStr">
        <is>
          <t>necessary costs</t>
        </is>
      </c>
      <c r="B356" t="inlineStr">
        <is>
          <t>2 hand-barrows (handberwes) bought 4pence.</t>
        </is>
      </c>
      <c r="C356" t="n">
        <v>0.02</v>
      </c>
      <c r="D356" t="n">
        <v>0</v>
      </c>
      <c r="E356" t="n">
        <v>0</v>
      </c>
      <c r="F356" t="n">
        <v>4</v>
      </c>
      <c r="H356" t="n">
        <v>0</v>
      </c>
      <c r="I356" t="n">
        <v>0</v>
      </c>
      <c r="J356" t="n">
        <v>0</v>
      </c>
      <c r="K356" t="n">
        <v>0</v>
      </c>
      <c r="L356" t="n">
        <v>0</v>
      </c>
      <c r="M356" t="n">
        <v>0</v>
      </c>
      <c r="N356" t="n">
        <v>0</v>
      </c>
    </row>
    <row r="357">
      <c r="A357" t="inlineStr">
        <is>
          <t>necessary costs</t>
        </is>
      </c>
      <c r="B357" t="inlineStr">
        <is>
          <t>stipend of thomas lynkefeld' for 3 days, john freke for 11 days, john gleyse for 4 days and thomas north' for 9 days, labourers, mowing the frith (frugeram) in the park and collecting withies and branches to cover the aforesaid lime 6 shilling 9pence, each of them taking 3pence a day.</t>
        </is>
      </c>
      <c r="C357" t="n">
        <v>0.34</v>
      </c>
      <c r="D357" t="n">
        <v>0</v>
      </c>
      <c r="E357" t="n">
        <v>6</v>
      </c>
      <c r="F357" t="n">
        <v>9</v>
      </c>
      <c r="H357" t="n">
        <v>0</v>
      </c>
      <c r="I357" t="n">
        <v>0</v>
      </c>
      <c r="J357" t="n">
        <v>0</v>
      </c>
      <c r="K357" t="n">
        <v>0</v>
      </c>
      <c r="L357" t="n">
        <v>0</v>
      </c>
      <c r="M357" t="n">
        <v>0</v>
      </c>
      <c r="N357" t="n">
        <v>0</v>
      </c>
    </row>
    <row r="358">
      <c r="A358" t="inlineStr">
        <is>
          <t>necessary costs</t>
        </is>
      </c>
      <c r="B358" t="inlineStr">
        <is>
          <t>total, 9 shilling 1pence.</t>
        </is>
      </c>
      <c r="C358" t="n">
        <v>0.45</v>
      </c>
      <c r="D358" t="n">
        <v>0</v>
      </c>
      <c r="E358" t="n">
        <v>9</v>
      </c>
      <c r="F358" t="n">
        <v>1</v>
      </c>
      <c r="H358" t="n">
        <v>0</v>
      </c>
      <c r="I358" t="n">
        <v>0</v>
      </c>
      <c r="J358" t="n">
        <v>0</v>
      </c>
      <c r="K358" t="n">
        <v>0</v>
      </c>
      <c r="L358" t="n">
        <v>0</v>
      </c>
      <c r="M358" t="n">
        <v>0</v>
      </c>
      <c r="N358" t="n">
        <v>0</v>
      </c>
    </row>
    <row r="359">
      <c r="A359" t="inlineStr">
        <is>
          <t>total of all expenses</t>
        </is>
      </c>
      <c r="B359" t="inlineStr">
        <is>
          <t>total of all expenses, £87 19 shilling 7.75pence.</t>
        </is>
      </c>
      <c r="C359" t="n">
        <v>87.98</v>
      </c>
      <c r="D359" t="n">
        <v>87</v>
      </c>
      <c r="E359" t="n">
        <v>19</v>
      </c>
      <c r="F359" t="n">
        <v>7.75</v>
      </c>
      <c r="H359" t="n">
        <v>0</v>
      </c>
      <c r="I359" t="n">
        <v>0</v>
      </c>
      <c r="J359" t="n">
        <v>0</v>
      </c>
      <c r="K359" t="n">
        <v>0</v>
      </c>
      <c r="L359" t="n">
        <v>0</v>
      </c>
      <c r="M359" t="n">
        <v>0</v>
      </c>
      <c r="N359" t="n">
        <v>0</v>
      </c>
    </row>
    <row r="360">
      <c r="A360" t="inlineStr">
        <is>
          <t>and he owes</t>
        </is>
      </c>
      <c r="B360" t="inlineStr">
        <is>
          <t>and he owes, £207 7 shilling 0.75pence.</t>
        </is>
      </c>
      <c r="C360" t="n">
        <v>207.35</v>
      </c>
      <c r="D360" t="n">
        <v>207</v>
      </c>
      <c r="E360" t="n">
        <v>7</v>
      </c>
      <c r="F360" t="n">
        <v>0.75</v>
      </c>
      <c r="H360" t="n">
        <v>0</v>
      </c>
      <c r="I360" t="n">
        <v>0</v>
      </c>
      <c r="J360" t="n">
        <v>0</v>
      </c>
      <c r="K360" t="n">
        <v>0</v>
      </c>
      <c r="L360" t="n">
        <v>0</v>
      </c>
      <c r="M360" t="n">
        <v>0</v>
      </c>
      <c r="N360" t="n">
        <v>0</v>
      </c>
    </row>
    <row r="361">
      <c r="A361" t="inlineStr">
        <is>
          <t>allowances without writ</t>
        </is>
      </c>
      <c r="B361" t="inlineStr">
        <is>
          <t>in allowance to the same for 8 shilling 3pence for the expenses of the men and horses carrying various victuals of the lord's household from bishops waltham to farnham and esher, not allowed to him above.</t>
        </is>
      </c>
      <c r="C361" t="n">
        <v>0.41</v>
      </c>
      <c r="D361" t="n">
        <v>0</v>
      </c>
      <c r="E361" t="n">
        <v>8</v>
      </c>
      <c r="F361" t="n">
        <v>3</v>
      </c>
      <c r="H361" t="n">
        <v>0</v>
      </c>
      <c r="I361" t="n">
        <v>0</v>
      </c>
      <c r="J361" t="n">
        <v>0</v>
      </c>
      <c r="K361" t="n">
        <v>0</v>
      </c>
      <c r="L361" t="n">
        <v>0</v>
      </c>
      <c r="M361" t="n">
        <v>0</v>
      </c>
      <c r="N361" t="n">
        <v>0</v>
      </c>
    </row>
    <row r="362">
      <c r="A362" t="inlineStr">
        <is>
          <t>allowances without writ</t>
        </is>
      </c>
      <c r="B362" t="inlineStr">
        <is>
          <t>£1 for the surcharge of 6 quarters of salt wanting in the measure delivered to the lord's household.</t>
        </is>
      </c>
      <c r="C362" t="n">
        <v>1</v>
      </c>
      <c r="D362" t="n">
        <v>1</v>
      </c>
      <c r="E362" t="n">
        <v>0</v>
      </c>
      <c r="F362" t="n">
        <v>0</v>
      </c>
      <c r="H362" t="n">
        <v>6</v>
      </c>
      <c r="I362" t="n">
        <v>0</v>
      </c>
      <c r="J362" t="n">
        <v>6</v>
      </c>
      <c r="K362" t="n">
        <v>6</v>
      </c>
      <c r="L362" t="n">
        <v>0</v>
      </c>
      <c r="M362" t="n">
        <v>6</v>
      </c>
      <c r="N362" t="n">
        <v>0</v>
      </c>
    </row>
    <row r="363">
      <c r="A363" t="inlineStr">
        <is>
          <t>allowances without writ</t>
        </is>
      </c>
      <c r="B363" t="inlineStr">
        <is>
          <t>£1 16 shilling 0.75pence for various surcharges and disallowances in this present account.</t>
        </is>
      </c>
      <c r="C363" t="n">
        <v>1.8</v>
      </c>
      <c r="D363" t="n">
        <v>1</v>
      </c>
      <c r="E363" t="n">
        <v>16</v>
      </c>
      <c r="F363" t="n">
        <v>0.75</v>
      </c>
      <c r="H363" t="n">
        <v>0</v>
      </c>
      <c r="I363" t="n">
        <v>0</v>
      </c>
      <c r="J363" t="n">
        <v>0</v>
      </c>
      <c r="K363" t="n">
        <v>0</v>
      </c>
      <c r="L363" t="n">
        <v>0</v>
      </c>
      <c r="M363" t="n">
        <v>0</v>
      </c>
      <c r="N363" t="n">
        <v>0</v>
      </c>
    </row>
    <row r="364">
      <c r="A364" t="inlineStr">
        <is>
          <t>allowances without writ</t>
        </is>
      </c>
      <c r="B364" t="inlineStr">
        <is>
          <t>5 shilling for the reward made to thomas north', gardener of the househo1pence.</t>
        </is>
      </c>
      <c r="C364" t="n">
        <v>0.25</v>
      </c>
      <c r="D364" t="n">
        <v>0</v>
      </c>
      <c r="E364" t="n">
        <v>5</v>
      </c>
      <c r="F364" t="n">
        <v>1</v>
      </c>
      <c r="H364" t="n">
        <v>0</v>
      </c>
      <c r="I364" t="n">
        <v>0</v>
      </c>
      <c r="J364" t="n">
        <v>0</v>
      </c>
      <c r="K364" t="n">
        <v>0</v>
      </c>
      <c r="L364" t="n">
        <v>0</v>
      </c>
      <c r="M364" t="n">
        <v>0</v>
      </c>
      <c r="N364" t="n">
        <v>0</v>
      </c>
    </row>
    <row r="365">
      <c r="A365" t="inlineStr">
        <is>
          <t>allowances without writ</t>
        </is>
      </c>
      <c r="B365" t="inlineStr">
        <is>
          <t>total, £3 9 shilling 3.25pence2.</t>
        </is>
      </c>
      <c r="C365" t="n">
        <v>3.46</v>
      </c>
      <c r="D365" t="n">
        <v>3</v>
      </c>
      <c r="E365" t="n">
        <v>9</v>
      </c>
      <c r="F365" t="n">
        <v>3.25</v>
      </c>
      <c r="H365" t="n">
        <v>0</v>
      </c>
      <c r="I365" t="n">
        <v>0</v>
      </c>
      <c r="J365" t="n">
        <v>0</v>
      </c>
      <c r="K365" t="n">
        <v>0</v>
      </c>
      <c r="L365" t="n">
        <v>0</v>
      </c>
      <c r="M365" t="n">
        <v>0</v>
      </c>
      <c r="N365" t="n">
        <v>0</v>
      </c>
    </row>
    <row r="366">
      <c r="A366" t="inlineStr">
        <is>
          <t>allowances by writ</t>
        </is>
      </c>
      <c r="B366" t="inlineStr">
        <is>
          <t>in allowance to the same for £76 17 shilling 10pence delivered to john rede, treasurer of the lord's household, both in cash and in victuals for the provision of the said household, just as is made clear by the evidence of the same john addressed to the auditor of this account.</t>
        </is>
      </c>
      <c r="C366" t="n">
        <v>76.89</v>
      </c>
      <c r="D366" t="n">
        <v>76</v>
      </c>
      <c r="E366" t="n">
        <v>17</v>
      </c>
      <c r="F366" t="n">
        <v>10</v>
      </c>
      <c r="H366" t="n">
        <v>0</v>
      </c>
      <c r="I366" t="n">
        <v>0</v>
      </c>
      <c r="J366" t="n">
        <v>0</v>
      </c>
      <c r="K366" t="n">
        <v>0</v>
      </c>
      <c r="L366" t="n">
        <v>0</v>
      </c>
      <c r="M366" t="n">
        <v>0</v>
      </c>
      <c r="N366" t="n">
        <v>0</v>
      </c>
    </row>
    <row r="367">
      <c r="A367" t="inlineStr">
        <is>
          <t>allowances by writ</t>
        </is>
      </c>
      <c r="B367" t="inlineStr">
        <is>
          <t>total, £76 17 shilling 10pence.</t>
        </is>
      </c>
      <c r="C367" t="n">
        <v>76.89</v>
      </c>
      <c r="D367" t="n">
        <v>76</v>
      </c>
      <c r="E367" t="n">
        <v>17</v>
      </c>
      <c r="F367" t="n">
        <v>10</v>
      </c>
      <c r="H367" t="n">
        <v>0</v>
      </c>
      <c r="I367" t="n">
        <v>0</v>
      </c>
      <c r="J367" t="n">
        <v>0</v>
      </c>
      <c r="K367" t="n">
        <v>0</v>
      </c>
      <c r="L367" t="n">
        <v>0</v>
      </c>
      <c r="M367" t="n">
        <v>0</v>
      </c>
      <c r="N367" t="n">
        <v>0</v>
      </c>
    </row>
    <row r="368">
      <c r="A368" t="inlineStr">
        <is>
          <t>cash deliveries</t>
        </is>
      </c>
      <c r="B368" t="inlineStr">
        <is>
          <t>delivered to john arnold', receiver of wolvesey, by 2 tallies, £95 8 shilling 2pence.</t>
        </is>
      </c>
      <c r="C368" t="n">
        <v>95.41</v>
      </c>
      <c r="D368" t="n">
        <v>95</v>
      </c>
      <c r="E368" t="n">
        <v>8</v>
      </c>
      <c r="F368" t="n">
        <v>2</v>
      </c>
      <c r="H368" t="n">
        <v>0</v>
      </c>
      <c r="I368" t="n">
        <v>0</v>
      </c>
      <c r="J368" t="n">
        <v>0</v>
      </c>
      <c r="K368" t="n">
        <v>0</v>
      </c>
      <c r="L368" t="n">
        <v>0</v>
      </c>
      <c r="M368" t="n">
        <v>0</v>
      </c>
      <c r="N368" t="n">
        <v>0</v>
      </c>
    </row>
    <row r="369">
      <c r="A369" t="inlineStr">
        <is>
          <t>cash deliveries</t>
        </is>
      </c>
      <c r="B369" t="inlineStr">
        <is>
          <t>total, £95 8 shilling 2pence.</t>
        </is>
      </c>
      <c r="C369" t="n">
        <v>95.41</v>
      </c>
      <c r="D369" t="n">
        <v>95</v>
      </c>
      <c r="E369" t="n">
        <v>8</v>
      </c>
      <c r="F369" t="n">
        <v>2</v>
      </c>
      <c r="H369" t="n">
        <v>0</v>
      </c>
      <c r="I369" t="n">
        <v>0</v>
      </c>
      <c r="J369" t="n">
        <v>0</v>
      </c>
      <c r="K369" t="n">
        <v>0</v>
      </c>
      <c r="L369" t="n">
        <v>0</v>
      </c>
      <c r="M369" t="n">
        <v>0</v>
      </c>
      <c r="N369" t="n">
        <v>0</v>
      </c>
    </row>
    <row r="370">
      <c r="A370" t="inlineStr">
        <is>
          <t>total of all allowances and cash deliveries</t>
        </is>
      </c>
      <c r="B370" t="inlineStr">
        <is>
          <t>total of all allowances and cash deliveries, £175 15 shilling 3.75pence.</t>
        </is>
      </c>
      <c r="C370" t="n">
        <v>175.77</v>
      </c>
      <c r="D370" t="n">
        <v>175</v>
      </c>
      <c r="E370" t="n">
        <v>15</v>
      </c>
      <c r="F370" t="n">
        <v>3.75</v>
      </c>
      <c r="H370" t="n">
        <v>0</v>
      </c>
      <c r="I370" t="n">
        <v>0</v>
      </c>
      <c r="J370" t="n">
        <v>0</v>
      </c>
      <c r="K370" t="n">
        <v>0</v>
      </c>
      <c r="L370" t="n">
        <v>0</v>
      </c>
      <c r="M370" t="n">
        <v>0</v>
      </c>
      <c r="N370" t="n">
        <v>0</v>
      </c>
    </row>
    <row r="371">
      <c r="A371" t="inlineStr">
        <is>
          <t>and he owes</t>
        </is>
      </c>
      <c r="B371" t="inlineStr">
        <is>
          <t>and he owes, £31 11 shilling 9pence, for which he is charged in the following account.</t>
        </is>
      </c>
      <c r="C371" t="n">
        <v>31.59</v>
      </c>
      <c r="D371" t="n">
        <v>31</v>
      </c>
      <c r="E371" t="n">
        <v>11</v>
      </c>
      <c r="F371" t="n">
        <v>9</v>
      </c>
      <c r="H371" t="n">
        <v>0</v>
      </c>
      <c r="I371" t="n">
        <v>0</v>
      </c>
      <c r="J371" t="n">
        <v>0</v>
      </c>
      <c r="K371" t="n">
        <v>0</v>
      </c>
      <c r="L371" t="n">
        <v>0</v>
      </c>
      <c r="M371" t="n">
        <v>0</v>
      </c>
      <c r="N371" t="n">
        <v>0</v>
      </c>
    </row>
    <row r="372">
      <c r="A372" t="inlineStr">
        <is>
          <t>wheat</t>
        </is>
      </c>
      <c r="B372" t="inlineStr">
        <is>
          <t>roger spore, reeve there, answers for 62 quarters 4 bushels from the whole issue, threshed by piece-work.</t>
        </is>
      </c>
      <c r="C372" t="n">
        <v>0</v>
      </c>
      <c r="D372" t="n">
        <v>0</v>
      </c>
      <c r="E372" t="n">
        <v>0</v>
      </c>
      <c r="F372" t="n">
        <v>0</v>
      </c>
      <c r="H372" t="n">
        <v>62</v>
      </c>
      <c r="I372" t="n">
        <v>4</v>
      </c>
      <c r="J372" t="n">
        <v>62.5</v>
      </c>
      <c r="K372" t="n">
        <v>62.5</v>
      </c>
      <c r="L372" t="n">
        <v>0</v>
      </c>
      <c r="M372" t="n">
        <v>62</v>
      </c>
      <c r="N372" t="n">
        <v>4</v>
      </c>
    </row>
    <row r="373">
      <c r="A373" t="inlineStr">
        <is>
          <t>wheat</t>
        </is>
      </c>
      <c r="B373" t="inlineStr">
        <is>
          <t>6 bushels from the same issue by estimation in sheaves given to the beadle and swineherd,' just as is proved by the custumal.</t>
        </is>
      </c>
      <c r="C373" t="n">
        <v>0</v>
      </c>
      <c r="D373" t="n">
        <v>0</v>
      </c>
      <c r="E373" t="n">
        <v>0</v>
      </c>
      <c r="F373" t="n">
        <v>0</v>
      </c>
      <c r="H373" t="n">
        <v>0</v>
      </c>
      <c r="I373" t="n">
        <v>6</v>
      </c>
      <c r="J373" t="n">
        <v>0.75</v>
      </c>
      <c r="K373" t="n">
        <v>0.75</v>
      </c>
      <c r="L373" t="n">
        <v>0</v>
      </c>
      <c r="M373" t="n">
        <v>0</v>
      </c>
      <c r="N373" t="n">
        <v>6</v>
      </c>
    </row>
    <row r="374">
      <c r="A374" t="inlineStr">
        <is>
          <t>wheat</t>
        </is>
      </c>
      <c r="B374" t="inlineStr">
        <is>
          <t>2 nothing of the 2 bushels by estimation in 24 sheaves given to the bartoner because there is none there.</t>
        </is>
      </c>
      <c r="C374" t="n">
        <v>0</v>
      </c>
      <c r="D374" t="n">
        <v>0</v>
      </c>
      <c r="E374" t="n">
        <v>0</v>
      </c>
      <c r="F374" t="n">
        <v>0</v>
      </c>
      <c r="H374" t="n">
        <v>0</v>
      </c>
      <c r="I374" t="n">
        <v>2</v>
      </c>
      <c r="J374" t="n">
        <v>0.25</v>
      </c>
      <c r="K374" t="n">
        <v>0.25</v>
      </c>
      <c r="L374" t="n">
        <v>0</v>
      </c>
      <c r="M374" t="n">
        <v>0</v>
      </c>
      <c r="N374" t="n">
        <v>2</v>
      </c>
    </row>
    <row r="375">
      <c r="A375" t="inlineStr">
        <is>
          <t>wheat</t>
        </is>
      </c>
      <c r="B375" t="inlineStr">
        <is>
          <t>6 bushels from churchscot.</t>
        </is>
      </c>
      <c r="C375" t="n">
        <v>0</v>
      </c>
      <c r="D375" t="n">
        <v>0</v>
      </c>
      <c r="E375" t="n">
        <v>0</v>
      </c>
      <c r="F375" t="n">
        <v>0</v>
      </c>
      <c r="H375" t="n">
        <v>0</v>
      </c>
      <c r="I375" t="n">
        <v>6</v>
      </c>
      <c r="J375" t="n">
        <v>0.75</v>
      </c>
      <c r="K375" t="n">
        <v>0.75</v>
      </c>
      <c r="L375" t="n">
        <v>0</v>
      </c>
      <c r="M375" t="n">
        <v>0</v>
      </c>
      <c r="N375" t="n">
        <v>6</v>
      </c>
    </row>
    <row r="376">
      <c r="A376" t="inlineStr">
        <is>
          <t>wheat</t>
        </is>
      </c>
      <c r="B376" t="inlineStr">
        <is>
          <t>1 quarters 4 bushels from the issue..</t>
        </is>
      </c>
      <c r="C376" t="n">
        <v>0</v>
      </c>
      <c r="D376" t="n">
        <v>0</v>
      </c>
      <c r="E376" t="n">
        <v>0</v>
      </c>
      <c r="F376" t="n">
        <v>0</v>
      </c>
      <c r="H376" t="n">
        <v>1</v>
      </c>
      <c r="I376" t="n">
        <v>4</v>
      </c>
      <c r="J376" t="n">
        <v>1.5</v>
      </c>
      <c r="K376" t="n">
        <v>1.5</v>
      </c>
      <c r="L376" t="n">
        <v>0</v>
      </c>
      <c r="M376" t="n">
        <v>1</v>
      </c>
      <c r="N376" t="n">
        <v>4</v>
      </c>
    </row>
    <row r="377">
      <c r="A377" t="inlineStr">
        <is>
          <t>wheat</t>
        </is>
      </c>
      <c r="B377" t="inlineStr">
        <is>
          <t>total, 65 quarters 4 bushels.</t>
        </is>
      </c>
      <c r="C377" t="n">
        <v>0</v>
      </c>
      <c r="D377" t="n">
        <v>0</v>
      </c>
      <c r="E377" t="n">
        <v>0</v>
      </c>
      <c r="F377" t="n">
        <v>0</v>
      </c>
      <c r="H377" t="n">
        <v>65</v>
      </c>
      <c r="I377" t="n">
        <v>4</v>
      </c>
      <c r="J377" t="n">
        <v>65.5</v>
      </c>
      <c r="K377" t="n">
        <v>65.5</v>
      </c>
      <c r="L377" t="n">
        <v>0</v>
      </c>
      <c r="M377" t="n">
        <v>65</v>
      </c>
      <c r="N377" t="n">
        <v>4</v>
      </c>
    </row>
    <row r="378">
      <c r="A378" t="inlineStr">
        <is>
          <t>wheat</t>
        </is>
      </c>
      <c r="B378" t="inlineStr">
        <is>
          <t>sown over 53 acres by the perch in la worthe, 16 quarters 4 bushels.</t>
        </is>
      </c>
      <c r="C378" t="n">
        <v>0</v>
      </c>
      <c r="D378" t="n">
        <v>0</v>
      </c>
      <c r="E378" t="n">
        <v>0</v>
      </c>
      <c r="F378" t="n">
        <v>0</v>
      </c>
      <c r="H378" t="n">
        <v>16</v>
      </c>
      <c r="I378" t="n">
        <v>4</v>
      </c>
      <c r="J378" t="n">
        <v>16.5</v>
      </c>
      <c r="K378" t="n">
        <v>16.5</v>
      </c>
      <c r="L378" t="n">
        <v>0</v>
      </c>
      <c r="M378" t="n">
        <v>16</v>
      </c>
      <c r="N378" t="n">
        <v>4</v>
      </c>
    </row>
    <row r="379">
      <c r="A379" t="inlineStr">
        <is>
          <t>wheat</t>
        </is>
      </c>
      <c r="B379" t="inlineStr">
        <is>
          <t>that is, 2.5 bushels an acre, less 0.5 bushels in all.</t>
        </is>
      </c>
      <c r="C379" t="n">
        <v>0</v>
      </c>
      <c r="D379" t="n">
        <v>0</v>
      </c>
      <c r="E379" t="n">
        <v>0</v>
      </c>
      <c r="F379" t="n">
        <v>0</v>
      </c>
      <c r="H379" t="n">
        <v>0</v>
      </c>
      <c r="I379" t="n">
        <v>0.5</v>
      </c>
      <c r="J379" t="n">
        <v>0.06</v>
      </c>
      <c r="K379" t="n">
        <v>0.31</v>
      </c>
      <c r="L379" t="n">
        <v>-0.25</v>
      </c>
      <c r="M379" t="n">
        <v>0</v>
      </c>
      <c r="N379" t="n">
        <v>2.5</v>
      </c>
      <c r="O379" t="n">
        <v>0</v>
      </c>
      <c r="P379" t="n">
        <v>0.5</v>
      </c>
    </row>
    <row r="380">
      <c r="A380" t="inlineStr">
        <is>
          <t>wheat</t>
        </is>
      </c>
      <c r="B380" t="inlineStr">
        <is>
          <t>bread baked for the provision of richard wyot, steward, holding the tourns of martinmas and hockday, 6 bushels by bill.</t>
        </is>
      </c>
      <c r="C380" t="n">
        <v>0</v>
      </c>
      <c r="D380" t="n">
        <v>0</v>
      </c>
      <c r="E380" t="n">
        <v>0</v>
      </c>
      <c r="F380" t="n">
        <v>0</v>
      </c>
      <c r="H380" t="n">
        <v>0</v>
      </c>
      <c r="I380" t="n">
        <v>6</v>
      </c>
      <c r="J380" t="n">
        <v>0.75</v>
      </c>
      <c r="K380" t="n">
        <v>0.75</v>
      </c>
      <c r="L380" t="n">
        <v>0</v>
      </c>
      <c r="M380" t="n">
        <v>0</v>
      </c>
      <c r="N380" t="n">
        <v>6</v>
      </c>
    </row>
    <row r="381">
      <c r="A381" t="inlineStr">
        <is>
          <t>wheat</t>
        </is>
      </c>
      <c r="B381" t="inlineStr">
        <is>
          <t>customary payment to 1 beadle in 1 acre as it lies, 4 bushels.</t>
        </is>
      </c>
      <c r="C381" t="n">
        <v>0</v>
      </c>
      <c r="D381" t="n">
        <v>0</v>
      </c>
      <c r="E381" t="n">
        <v>0</v>
      </c>
      <c r="F381" t="n">
        <v>0</v>
      </c>
      <c r="H381" t="n">
        <v>0</v>
      </c>
      <c r="I381" t="n">
        <v>4</v>
      </c>
      <c r="J381" t="n">
        <v>0.5</v>
      </c>
      <c r="K381" t="n">
        <v>0.5</v>
      </c>
      <c r="L381" t="n">
        <v>0</v>
      </c>
      <c r="M381" t="n">
        <v>0</v>
      </c>
      <c r="N381" t="n">
        <v>4</v>
      </c>
    </row>
    <row r="382">
      <c r="A382" t="inlineStr">
        <is>
          <t>wheat</t>
        </is>
      </c>
      <c r="B382" t="inlineStr">
        <is>
          <t>customary payment to 1 swineherd from the customary tenants in 24 sheaves, 2 bushels.</t>
        </is>
      </c>
      <c r="C382" t="n">
        <v>0</v>
      </c>
      <c r="D382" t="n">
        <v>0</v>
      </c>
      <c r="E382" t="n">
        <v>0</v>
      </c>
      <c r="F382" t="n">
        <v>0</v>
      </c>
      <c r="H382" t="n">
        <v>0</v>
      </c>
      <c r="I382" t="n">
        <v>2</v>
      </c>
      <c r="J382" t="n">
        <v>0.25</v>
      </c>
      <c r="K382" t="n">
        <v>0.25</v>
      </c>
      <c r="L382" t="n">
        <v>0</v>
      </c>
      <c r="M382" t="n">
        <v>0</v>
      </c>
      <c r="N382" t="n">
        <v>2</v>
      </c>
    </row>
    <row r="383">
      <c r="A383" t="inlineStr">
        <is>
          <t>wheat</t>
        </is>
      </c>
      <c r="B383" t="inlineStr">
        <is>
          <t>sold, 47 quarters 4 bushels, of which 1 quarters 4 bushels sold to the lord's household, and 46 quarters per mutuum..</t>
        </is>
      </c>
      <c r="C383" t="n">
        <v>0</v>
      </c>
      <c r="D383" t="n">
        <v>0</v>
      </c>
      <c r="E383" t="n">
        <v>0</v>
      </c>
      <c r="F383" t="n">
        <v>0</v>
      </c>
      <c r="H383" t="n">
        <v>47</v>
      </c>
      <c r="I383" t="n">
        <v>4</v>
      </c>
      <c r="J383" t="n">
        <v>47.5</v>
      </c>
      <c r="K383" t="n">
        <v>47.5</v>
      </c>
      <c r="L383" t="n">
        <v>0</v>
      </c>
      <c r="M383" t="n">
        <v>47</v>
      </c>
      <c r="N383" t="n">
        <v>4</v>
      </c>
      <c r="O383" t="n">
        <v>1</v>
      </c>
      <c r="P383" t="n">
        <v>4</v>
      </c>
      <c r="Q383" t="n">
        <v>46</v>
      </c>
      <c r="R383" t="n">
        <v>0</v>
      </c>
    </row>
    <row r="384">
      <c r="A384" t="inlineStr">
        <is>
          <t>wheat</t>
        </is>
      </c>
      <c r="B384" t="inlineStr">
        <is>
          <t>total as before.</t>
        </is>
      </c>
      <c r="C384" t="n">
        <v>0</v>
      </c>
      <c r="D384" t="n">
        <v>0</v>
      </c>
      <c r="E384" t="n">
        <v>0</v>
      </c>
      <c r="F384" t="n">
        <v>0</v>
      </c>
      <c r="H384" t="n">
        <v>0</v>
      </c>
      <c r="I384" t="n">
        <v>0</v>
      </c>
      <c r="J384" t="n">
        <v>0</v>
      </c>
      <c r="K384" t="n">
        <v>0</v>
      </c>
      <c r="L384" t="n">
        <v>0</v>
      </c>
      <c r="M384" t="n">
        <v>0</v>
      </c>
      <c r="N384" t="n">
        <v>0</v>
      </c>
    </row>
    <row r="385">
      <c r="A385" t="inlineStr">
        <is>
          <t>wheat</t>
        </is>
      </c>
      <c r="B385" t="inlineStr">
        <is>
          <t>it balances.</t>
        </is>
      </c>
      <c r="C385" t="n">
        <v>0</v>
      </c>
      <c r="D385" t="n">
        <v>0</v>
      </c>
      <c r="E385" t="n">
        <v>0</v>
      </c>
      <c r="F385" t="n">
        <v>0</v>
      </c>
      <c r="H385" t="n">
        <v>0</v>
      </c>
      <c r="I385" t="n">
        <v>0</v>
      </c>
      <c r="J385" t="n">
        <v>0</v>
      </c>
      <c r="K385" t="n">
        <v>0</v>
      </c>
      <c r="L385" t="n">
        <v>0</v>
      </c>
      <c r="M385" t="n">
        <v>0</v>
      </c>
      <c r="N385" t="n">
        <v>0</v>
      </c>
    </row>
    <row r="386">
      <c r="A386" t="inlineStr">
        <is>
          <t>curall</t>
        </is>
      </c>
      <c r="B386" t="inlineStr">
        <is>
          <t>and for 1 quarters 4 bushels of curall from the issue of the said wheat, threshed by piece-work.</t>
        </is>
      </c>
      <c r="C386" t="n">
        <v>0</v>
      </c>
      <c r="D386" t="n">
        <v>0</v>
      </c>
      <c r="E386" t="n">
        <v>0</v>
      </c>
      <c r="F386" t="n">
        <v>0</v>
      </c>
      <c r="G386" t="inlineStr">
        <is>
          <t>wheat, curall</t>
        </is>
      </c>
      <c r="H386" t="n">
        <v>1</v>
      </c>
      <c r="I386" t="n">
        <v>4</v>
      </c>
      <c r="J386" t="n">
        <v>1.5</v>
      </c>
      <c r="K386" t="n">
        <v>1.5</v>
      </c>
      <c r="L386" t="n">
        <v>0</v>
      </c>
      <c r="M386" t="n">
        <v>1</v>
      </c>
      <c r="N386" t="n">
        <v>4</v>
      </c>
    </row>
    <row r="387">
      <c r="A387" t="inlineStr">
        <is>
          <t>curall</t>
        </is>
      </c>
      <c r="B387" t="inlineStr">
        <is>
          <t>liveries of the manorial servants.</t>
        </is>
      </c>
      <c r="C387" t="n">
        <v>0</v>
      </c>
      <c r="D387" t="n">
        <v>0</v>
      </c>
      <c r="E387" t="n">
        <v>0</v>
      </c>
      <c r="F387" t="n">
        <v>0</v>
      </c>
      <c r="H387" t="n">
        <v>0</v>
      </c>
      <c r="I387" t="n">
        <v>0</v>
      </c>
      <c r="J387" t="n">
        <v>0</v>
      </c>
      <c r="K387" t="n">
        <v>0</v>
      </c>
      <c r="L387" t="n">
        <v>0</v>
      </c>
      <c r="M387" t="n">
        <v>0</v>
      </c>
      <c r="N387" t="n">
        <v>0</v>
      </c>
    </row>
    <row r="388">
      <c r="A388" t="inlineStr">
        <is>
          <t>curall</t>
        </is>
      </c>
      <c r="B388" t="inlineStr">
        <is>
          <t>none remains.</t>
        </is>
      </c>
      <c r="C388" t="n">
        <v>0</v>
      </c>
      <c r="D388" t="n">
        <v>0</v>
      </c>
      <c r="E388" t="n">
        <v>0</v>
      </c>
      <c r="F388" t="n">
        <v>0</v>
      </c>
      <c r="H388" t="n">
        <v>0</v>
      </c>
      <c r="I388" t="n">
        <v>0</v>
      </c>
      <c r="J388" t="n">
        <v>0</v>
      </c>
      <c r="K388" t="n">
        <v>0</v>
      </c>
      <c r="L388" t="n">
        <v>0</v>
      </c>
      <c r="M388" t="n">
        <v>0</v>
      </c>
      <c r="N388" t="n">
        <v>0</v>
      </c>
    </row>
    <row r="389">
      <c r="A389" t="inlineStr">
        <is>
          <t>barley</t>
        </is>
      </c>
      <c r="B389" t="inlineStr">
        <is>
          <t>and for 53 quarters 5 bushels from the whole issue, threshed by piece-work.</t>
        </is>
      </c>
      <c r="C389" t="n">
        <v>0</v>
      </c>
      <c r="D389" t="n">
        <v>0</v>
      </c>
      <c r="E389" t="n">
        <v>0</v>
      </c>
      <c r="F389" t="n">
        <v>0</v>
      </c>
      <c r="H389" t="n">
        <v>53</v>
      </c>
      <c r="I389" t="n">
        <v>5</v>
      </c>
      <c r="J389" t="n">
        <v>53.62</v>
      </c>
      <c r="K389" t="n">
        <v>53.62</v>
      </c>
      <c r="L389" t="n">
        <v>0</v>
      </c>
      <c r="M389" t="n">
        <v>53</v>
      </c>
      <c r="N389" t="n">
        <v>5</v>
      </c>
    </row>
    <row r="390">
      <c r="A390" t="inlineStr">
        <is>
          <t>barley</t>
        </is>
      </c>
      <c r="B390" t="inlineStr">
        <is>
          <t>8 quarters bought.</t>
        </is>
      </c>
      <c r="C390" t="n">
        <v>0</v>
      </c>
      <c r="D390" t="n">
        <v>0</v>
      </c>
      <c r="E390" t="n">
        <v>0</v>
      </c>
      <c r="F390" t="n">
        <v>0</v>
      </c>
      <c r="H390" t="n">
        <v>8</v>
      </c>
      <c r="I390" t="n">
        <v>0</v>
      </c>
      <c r="J390" t="n">
        <v>8</v>
      </c>
      <c r="K390" t="n">
        <v>8</v>
      </c>
      <c r="L390" t="n">
        <v>0</v>
      </c>
      <c r="M390" t="n">
        <v>8</v>
      </c>
      <c r="N390" t="n">
        <v>0</v>
      </c>
    </row>
    <row r="391">
      <c r="A391" t="inlineStr">
        <is>
          <t>barley</t>
        </is>
      </c>
      <c r="B391" t="inlineStr">
        <is>
          <t>1 quarters from the issue of the new grain..</t>
        </is>
      </c>
      <c r="C391" t="n">
        <v>0</v>
      </c>
      <c r="D391" t="n">
        <v>0</v>
      </c>
      <c r="E391" t="n">
        <v>0</v>
      </c>
      <c r="F391" t="n">
        <v>0</v>
      </c>
      <c r="H391" t="n">
        <v>1</v>
      </c>
      <c r="I391" t="n">
        <v>0</v>
      </c>
      <c r="J391" t="n">
        <v>1</v>
      </c>
      <c r="K391" t="n">
        <v>1</v>
      </c>
      <c r="L391" t="n">
        <v>0</v>
      </c>
      <c r="M391" t="n">
        <v>1</v>
      </c>
      <c r="N391" t="n">
        <v>0</v>
      </c>
    </row>
    <row r="392">
      <c r="A392" t="inlineStr">
        <is>
          <t>barley</t>
        </is>
      </c>
      <c r="B392" t="inlineStr">
        <is>
          <t>total, 62 quarters 5 bushels.</t>
        </is>
      </c>
      <c r="C392" t="n">
        <v>0</v>
      </c>
      <c r="D392" t="n">
        <v>0</v>
      </c>
      <c r="E392" t="n">
        <v>0</v>
      </c>
      <c r="F392" t="n">
        <v>0</v>
      </c>
      <c r="H392" t="n">
        <v>62</v>
      </c>
      <c r="I392" t="n">
        <v>5</v>
      </c>
      <c r="J392" t="n">
        <v>62.62</v>
      </c>
      <c r="K392" t="n">
        <v>62.62</v>
      </c>
      <c r="L392" t="n">
        <v>0</v>
      </c>
      <c r="M392" t="n">
        <v>62</v>
      </c>
      <c r="N392" t="n">
        <v>5</v>
      </c>
    </row>
    <row r="393">
      <c r="A393" t="inlineStr">
        <is>
          <t>barley</t>
        </is>
      </c>
      <c r="B393" t="inlineStr">
        <is>
          <t>sown over 24.5 acres by the perch in the small bouerygg' and krykkescroft, 12 quarters 2 bushels.</t>
        </is>
      </c>
      <c r="C393" t="n">
        <v>0</v>
      </c>
      <c r="D393" t="n">
        <v>0</v>
      </c>
      <c r="E393" t="n">
        <v>0</v>
      </c>
      <c r="F393" t="n">
        <v>0</v>
      </c>
      <c r="H393" t="n">
        <v>12</v>
      </c>
      <c r="I393" t="n">
        <v>2</v>
      </c>
      <c r="J393" t="n">
        <v>12.25</v>
      </c>
      <c r="K393" t="n">
        <v>12.25</v>
      </c>
      <c r="L393" t="n">
        <v>0</v>
      </c>
      <c r="M393" t="n">
        <v>12</v>
      </c>
      <c r="N393" t="n">
        <v>2</v>
      </c>
    </row>
    <row r="394">
      <c r="A394" t="inlineStr">
        <is>
          <t>barley</t>
        </is>
      </c>
      <c r="B394" t="inlineStr">
        <is>
          <t>that is, 4 bushels an acre.</t>
        </is>
      </c>
      <c r="C394" t="n">
        <v>0</v>
      </c>
      <c r="D394" t="n">
        <v>0</v>
      </c>
      <c r="E394" t="n">
        <v>0</v>
      </c>
      <c r="F394" t="n">
        <v>0</v>
      </c>
      <c r="H394" t="n">
        <v>0</v>
      </c>
      <c r="I394" t="n">
        <v>4</v>
      </c>
      <c r="J394" t="n">
        <v>0.5</v>
      </c>
      <c r="K394" t="n">
        <v>0.5</v>
      </c>
      <c r="L394" t="n">
        <v>0</v>
      </c>
      <c r="M394" t="n">
        <v>0</v>
      </c>
      <c r="N394" t="n">
        <v>4</v>
      </c>
    </row>
    <row r="395">
      <c r="A395" t="inlineStr">
        <is>
          <t>barley</t>
        </is>
      </c>
      <c r="B395" t="inlineStr">
        <is>
          <t>supporting the pigs feeding in the fields and the sows and in weaning the piglets, 4 bushels.</t>
        </is>
      </c>
      <c r="C395" t="n">
        <v>0</v>
      </c>
      <c r="D395" t="n">
        <v>0</v>
      </c>
      <c r="E395" t="n">
        <v>0</v>
      </c>
      <c r="F395" t="n">
        <v>0</v>
      </c>
      <c r="H395" t="n">
        <v>0</v>
      </c>
      <c r="I395" t="n">
        <v>4</v>
      </c>
      <c r="J395" t="n">
        <v>0.5</v>
      </c>
      <c r="K395" t="n">
        <v>0.5</v>
      </c>
      <c r="L395" t="n">
        <v>0</v>
      </c>
      <c r="M395" t="n">
        <v>0</v>
      </c>
      <c r="N395" t="n">
        <v>4</v>
      </c>
    </row>
    <row r="396">
      <c r="A396" t="inlineStr">
        <is>
          <t>barley</t>
        </is>
      </c>
      <c r="B396" t="inlineStr">
        <is>
          <t>liveries of the manorial servants below, 48 quarters 7 bushels.</t>
        </is>
      </c>
      <c r="C396" t="n">
        <v>0</v>
      </c>
      <c r="D396" t="n">
        <v>0</v>
      </c>
      <c r="E396" t="n">
        <v>0</v>
      </c>
      <c r="F396" t="n">
        <v>0</v>
      </c>
      <c r="H396" t="n">
        <v>48</v>
      </c>
      <c r="I396" t="n">
        <v>7</v>
      </c>
      <c r="J396" t="n">
        <v>48.88</v>
      </c>
      <c r="K396" t="n">
        <v>48.88</v>
      </c>
      <c r="L396" t="n">
        <v>0</v>
      </c>
      <c r="M396" t="n">
        <v>48</v>
      </c>
      <c r="N396" t="n">
        <v>7</v>
      </c>
    </row>
    <row r="397">
      <c r="A397" t="inlineStr">
        <is>
          <t>barley</t>
        </is>
      </c>
      <c r="B397" t="inlineStr">
        <is>
          <t>sold at the audit, 1 quarters for 6 shilling.</t>
        </is>
      </c>
      <c r="C397" t="n">
        <v>0.3</v>
      </c>
      <c r="D397" t="n">
        <v>0</v>
      </c>
      <c r="E397" t="n">
        <v>6</v>
      </c>
      <c r="F397" t="n">
        <v>0</v>
      </c>
      <c r="H397" t="n">
        <v>1</v>
      </c>
      <c r="I397" t="n">
        <v>0</v>
      </c>
      <c r="J397" t="n">
        <v>1</v>
      </c>
      <c r="K397" t="n">
        <v>1</v>
      </c>
      <c r="L397" t="n">
        <v>0</v>
      </c>
      <c r="M397" t="n">
        <v>1</v>
      </c>
      <c r="N397" t="n">
        <v>0</v>
      </c>
    </row>
    <row r="398">
      <c r="A398" t="inlineStr">
        <is>
          <t>barley</t>
        </is>
      </c>
      <c r="B398" t="inlineStr">
        <is>
          <t>total as before.</t>
        </is>
      </c>
      <c r="C398" t="n">
        <v>0</v>
      </c>
      <c r="D398" t="n">
        <v>0</v>
      </c>
      <c r="E398" t="n">
        <v>0</v>
      </c>
      <c r="F398" t="n">
        <v>0</v>
      </c>
      <c r="H398" t="n">
        <v>0</v>
      </c>
      <c r="I398" t="n">
        <v>0</v>
      </c>
      <c r="J398" t="n">
        <v>0</v>
      </c>
      <c r="K398" t="n">
        <v>0</v>
      </c>
      <c r="L398" t="n">
        <v>0</v>
      </c>
      <c r="M398" t="n">
        <v>0</v>
      </c>
      <c r="N398" t="n">
        <v>0</v>
      </c>
    </row>
    <row r="399">
      <c r="A399" t="inlineStr">
        <is>
          <t>barley</t>
        </is>
      </c>
      <c r="B399" t="inlineStr">
        <is>
          <t>it balances.</t>
        </is>
      </c>
      <c r="C399" t="n">
        <v>0</v>
      </c>
      <c r="D399" t="n">
        <v>0</v>
      </c>
      <c r="E399" t="n">
        <v>0</v>
      </c>
      <c r="F399" t="n">
        <v>0</v>
      </c>
      <c r="H399" t="n">
        <v>0</v>
      </c>
      <c r="I399" t="n">
        <v>0</v>
      </c>
      <c r="J399" t="n">
        <v>0</v>
      </c>
      <c r="K399" t="n">
        <v>0</v>
      </c>
      <c r="L399" t="n">
        <v>0</v>
      </c>
      <c r="M399" t="n">
        <v>0</v>
      </c>
      <c r="N399" t="n">
        <v>0</v>
      </c>
    </row>
    <row r="400">
      <c r="A400" t="inlineStr">
        <is>
          <t>peas</t>
        </is>
      </c>
      <c r="B400" t="inlineStr">
        <is>
          <t>and for 3 quarters 4 bushels from the issue, threshed by piece-work.</t>
        </is>
      </c>
      <c r="C400" t="n">
        <v>0</v>
      </c>
      <c r="D400" t="n">
        <v>0</v>
      </c>
      <c r="E400" t="n">
        <v>0</v>
      </c>
      <c r="F400" t="n">
        <v>0</v>
      </c>
      <c r="H400" t="n">
        <v>3</v>
      </c>
      <c r="I400" t="n">
        <v>4</v>
      </c>
      <c r="J400" t="n">
        <v>3.5</v>
      </c>
      <c r="K400" t="n">
        <v>3.5</v>
      </c>
      <c r="L400" t="n">
        <v>0</v>
      </c>
      <c r="M400" t="n">
        <v>3</v>
      </c>
      <c r="N400" t="n">
        <v>4</v>
      </c>
    </row>
    <row r="401">
      <c r="A401" t="inlineStr">
        <is>
          <t>peas</t>
        </is>
      </c>
      <c r="B401" t="inlineStr">
        <is>
          <t>4 quarters from the same issue by estimation in husks.</t>
        </is>
      </c>
      <c r="C401" t="n">
        <v>0</v>
      </c>
      <c r="D401" t="n">
        <v>0</v>
      </c>
      <c r="E401" t="n">
        <v>0</v>
      </c>
      <c r="F401" t="n">
        <v>0</v>
      </c>
      <c r="H401" t="n">
        <v>4</v>
      </c>
      <c r="I401" t="n">
        <v>0</v>
      </c>
      <c r="J401" t="n">
        <v>4</v>
      </c>
      <c r="K401" t="n">
        <v>4</v>
      </c>
      <c r="L401" t="n">
        <v>0</v>
      </c>
      <c r="M401" t="n">
        <v>4</v>
      </c>
      <c r="N401" t="n">
        <v>0</v>
      </c>
    </row>
    <row r="402">
      <c r="A402" t="inlineStr">
        <is>
          <t>peas</t>
        </is>
      </c>
      <c r="B402" t="inlineStr">
        <is>
          <t>6 quarters surcharged so that he answers for a 3-fold yield..</t>
        </is>
      </c>
      <c r="C402" t="n">
        <v>0</v>
      </c>
      <c r="D402" t="n">
        <v>0</v>
      </c>
      <c r="E402" t="n">
        <v>0</v>
      </c>
      <c r="F402" t="n">
        <v>0</v>
      </c>
      <c r="H402" t="n">
        <v>6</v>
      </c>
      <c r="I402" t="n">
        <v>0</v>
      </c>
      <c r="J402" t="n">
        <v>6</v>
      </c>
      <c r="K402" t="n">
        <v>6</v>
      </c>
      <c r="L402" t="n">
        <v>0</v>
      </c>
      <c r="M402" t="n">
        <v>6</v>
      </c>
      <c r="N402" t="n">
        <v>0</v>
      </c>
    </row>
    <row r="403">
      <c r="A403" t="inlineStr">
        <is>
          <t>peas</t>
        </is>
      </c>
      <c r="B403" t="inlineStr">
        <is>
          <t>total, 13 quarters 4 bushels.</t>
        </is>
      </c>
      <c r="C403" t="n">
        <v>0</v>
      </c>
      <c r="D403" t="n">
        <v>0</v>
      </c>
      <c r="E403" t="n">
        <v>0</v>
      </c>
      <c r="F403" t="n">
        <v>0</v>
      </c>
      <c r="H403" t="n">
        <v>13</v>
      </c>
      <c r="I403" t="n">
        <v>4</v>
      </c>
      <c r="J403" t="n">
        <v>13.5</v>
      </c>
      <c r="K403" t="n">
        <v>13.5</v>
      </c>
      <c r="L403" t="n">
        <v>0</v>
      </c>
      <c r="M403" t="n">
        <v>13</v>
      </c>
      <c r="N403" t="n">
        <v>4</v>
      </c>
    </row>
    <row r="404">
      <c r="A404" t="inlineStr">
        <is>
          <t>peas</t>
        </is>
      </c>
      <c r="B404" t="inlineStr">
        <is>
          <t>sown over 14 acres by the perch in the small bouerygg' and wythegenefeld', 3 quarters 4 bushels.</t>
        </is>
      </c>
      <c r="C404" t="n">
        <v>0</v>
      </c>
      <c r="D404" t="n">
        <v>0</v>
      </c>
      <c r="E404" t="n">
        <v>0</v>
      </c>
      <c r="F404" t="n">
        <v>0</v>
      </c>
      <c r="H404" t="n">
        <v>3</v>
      </c>
      <c r="I404" t="n">
        <v>4</v>
      </c>
      <c r="J404" t="n">
        <v>3.5</v>
      </c>
      <c r="K404" t="n">
        <v>3.5</v>
      </c>
      <c r="L404" t="n">
        <v>0</v>
      </c>
      <c r="M404" t="n">
        <v>3</v>
      </c>
      <c r="N404" t="n">
        <v>4</v>
      </c>
    </row>
    <row r="405">
      <c r="A405" t="inlineStr">
        <is>
          <t>peas</t>
        </is>
      </c>
      <c r="B405" t="inlineStr">
        <is>
          <t>that is, 2 bushels an acre.</t>
        </is>
      </c>
      <c r="C405" t="n">
        <v>0</v>
      </c>
      <c r="D405" t="n">
        <v>0</v>
      </c>
      <c r="E405" t="n">
        <v>0</v>
      </c>
      <c r="F405" t="n">
        <v>0</v>
      </c>
      <c r="H405" t="n">
        <v>0</v>
      </c>
      <c r="I405" t="n">
        <v>2</v>
      </c>
      <c r="J405" t="n">
        <v>0.25</v>
      </c>
      <c r="K405" t="n">
        <v>0.25</v>
      </c>
      <c r="L405" t="n">
        <v>0</v>
      </c>
      <c r="M405" t="n">
        <v>0</v>
      </c>
      <c r="N405" t="n">
        <v>2</v>
      </c>
    </row>
    <row r="406">
      <c r="A406" t="inlineStr">
        <is>
          <t>peas</t>
        </is>
      </c>
      <c r="B406" t="inlineStr">
        <is>
          <t>given to the wethers and ewes in winter, 3 quarters..</t>
        </is>
      </c>
      <c r="C406" t="n">
        <v>0</v>
      </c>
      <c r="D406" t="n">
        <v>0</v>
      </c>
      <c r="E406" t="n">
        <v>0</v>
      </c>
      <c r="F406" t="n">
        <v>0</v>
      </c>
      <c r="H406" t="n">
        <v>3</v>
      </c>
      <c r="I406" t="n">
        <v>0</v>
      </c>
      <c r="J406" t="n">
        <v>3</v>
      </c>
      <c r="K406" t="n">
        <v>3</v>
      </c>
      <c r="L406" t="n">
        <v>0</v>
      </c>
      <c r="M406" t="n">
        <v>3</v>
      </c>
      <c r="N406" t="n">
        <v>0</v>
      </c>
    </row>
    <row r="407">
      <c r="A407" t="inlineStr">
        <is>
          <t>peas</t>
        </is>
      </c>
      <c r="B407" t="inlineStr">
        <is>
          <t>sold at the audit, 7 quarters for £1 11 shilling 6pence.</t>
        </is>
      </c>
      <c r="C407" t="n">
        <v>1.57</v>
      </c>
      <c r="D407" t="n">
        <v>1</v>
      </c>
      <c r="E407" t="n">
        <v>11</v>
      </c>
      <c r="F407" t="n">
        <v>6</v>
      </c>
      <c r="H407" t="n">
        <v>7</v>
      </c>
      <c r="I407" t="n">
        <v>0</v>
      </c>
      <c r="J407" t="n">
        <v>7</v>
      </c>
      <c r="K407" t="n">
        <v>7</v>
      </c>
      <c r="L407" t="n">
        <v>0</v>
      </c>
      <c r="M407" t="n">
        <v>7</v>
      </c>
      <c r="N407" t="n">
        <v>0</v>
      </c>
    </row>
    <row r="408">
      <c r="A408" t="inlineStr">
        <is>
          <t>peas</t>
        </is>
      </c>
      <c r="B408" t="inlineStr">
        <is>
          <t>total as before.</t>
        </is>
      </c>
      <c r="C408" t="n">
        <v>0</v>
      </c>
      <c r="D408" t="n">
        <v>0</v>
      </c>
      <c r="E408" t="n">
        <v>0</v>
      </c>
      <c r="F408" t="n">
        <v>0</v>
      </c>
      <c r="H408" t="n">
        <v>0</v>
      </c>
      <c r="I408" t="n">
        <v>0</v>
      </c>
      <c r="J408" t="n">
        <v>0</v>
      </c>
      <c r="K408" t="n">
        <v>0</v>
      </c>
      <c r="L408" t="n">
        <v>0</v>
      </c>
      <c r="M408" t="n">
        <v>0</v>
      </c>
      <c r="N408" t="n">
        <v>0</v>
      </c>
    </row>
    <row r="409">
      <c r="A409" t="inlineStr">
        <is>
          <t>peas</t>
        </is>
      </c>
      <c r="B409" t="inlineStr">
        <is>
          <t>it balances.</t>
        </is>
      </c>
      <c r="C409" t="n">
        <v>0</v>
      </c>
      <c r="D409" t="n">
        <v>0</v>
      </c>
      <c r="E409" t="n">
        <v>0</v>
      </c>
      <c r="F409" t="n">
        <v>0</v>
      </c>
      <c r="H409" t="n">
        <v>0</v>
      </c>
      <c r="I409" t="n">
        <v>0</v>
      </c>
      <c r="J409" t="n">
        <v>0</v>
      </c>
      <c r="K409" t="n">
        <v>0</v>
      </c>
      <c r="L409" t="n">
        <v>0</v>
      </c>
      <c r="M409" t="n">
        <v>0</v>
      </c>
      <c r="N409" t="n">
        <v>0</v>
      </c>
    </row>
    <row r="410">
      <c r="A410" t="inlineStr">
        <is>
          <t>vetches</t>
        </is>
      </c>
      <c r="B410" t="inlineStr">
        <is>
          <t>and for 1 quarters 4 bushels from the issue by estimation in husks.</t>
        </is>
      </c>
      <c r="C410" t="n">
        <v>0</v>
      </c>
      <c r="D410" t="n">
        <v>0</v>
      </c>
      <c r="E410" t="n">
        <v>0</v>
      </c>
      <c r="F410" t="n">
        <v>0</v>
      </c>
      <c r="H410" t="n">
        <v>1</v>
      </c>
      <c r="I410" t="n">
        <v>4</v>
      </c>
      <c r="J410" t="n">
        <v>1.5</v>
      </c>
      <c r="K410" t="n">
        <v>1.5</v>
      </c>
      <c r="L410" t="n">
        <v>0</v>
      </c>
      <c r="M410" t="n">
        <v>1</v>
      </c>
      <c r="N410" t="n">
        <v>4</v>
      </c>
    </row>
    <row r="411">
      <c r="A411" t="inlineStr">
        <is>
          <t>vetches</t>
        </is>
      </c>
      <c r="B411" t="inlineStr">
        <is>
          <t>1 quarters bought for sowing.</t>
        </is>
      </c>
      <c r="C411" t="n">
        <v>0</v>
      </c>
      <c r="D411" t="n">
        <v>0</v>
      </c>
      <c r="E411" t="n">
        <v>0</v>
      </c>
      <c r="F411" t="n">
        <v>0</v>
      </c>
      <c r="H411" t="n">
        <v>1</v>
      </c>
      <c r="I411" t="n">
        <v>0</v>
      </c>
      <c r="J411" t="n">
        <v>1</v>
      </c>
      <c r="K411" t="n">
        <v>1</v>
      </c>
      <c r="L411" t="n">
        <v>0</v>
      </c>
      <c r="M411" t="n">
        <v>1</v>
      </c>
      <c r="N411" t="n">
        <v>0</v>
      </c>
    </row>
    <row r="412">
      <c r="A412" t="inlineStr">
        <is>
          <t>vetches</t>
        </is>
      </c>
      <c r="B412" t="inlineStr">
        <is>
          <t>3 quarters 4 bushels surcharged so that he answers for a two-fold yield..</t>
        </is>
      </c>
      <c r="C412" t="n">
        <v>0</v>
      </c>
      <c r="D412" t="n">
        <v>0</v>
      </c>
      <c r="E412" t="n">
        <v>0</v>
      </c>
      <c r="F412" t="n">
        <v>0</v>
      </c>
      <c r="H412" t="n">
        <v>3</v>
      </c>
      <c r="I412" t="n">
        <v>4</v>
      </c>
      <c r="J412" t="n">
        <v>3.5</v>
      </c>
      <c r="K412" t="n">
        <v>3.5</v>
      </c>
      <c r="L412" t="n">
        <v>0</v>
      </c>
      <c r="M412" t="n">
        <v>3</v>
      </c>
      <c r="N412" t="n">
        <v>4</v>
      </c>
    </row>
    <row r="413">
      <c r="A413" t="inlineStr">
        <is>
          <t>vetches</t>
        </is>
      </c>
      <c r="B413" t="inlineStr">
        <is>
          <t>total, 6 quarters..</t>
        </is>
      </c>
      <c r="C413" t="n">
        <v>0</v>
      </c>
      <c r="D413" t="n">
        <v>0</v>
      </c>
      <c r="E413" t="n">
        <v>0</v>
      </c>
      <c r="F413" t="n">
        <v>0</v>
      </c>
      <c r="H413" t="n">
        <v>6</v>
      </c>
      <c r="I413" t="n">
        <v>0</v>
      </c>
      <c r="J413" t="n">
        <v>6</v>
      </c>
      <c r="K413" t="n">
        <v>6</v>
      </c>
      <c r="L413" t="n">
        <v>0</v>
      </c>
      <c r="M413" t="n">
        <v>6</v>
      </c>
      <c r="N413" t="n">
        <v>0</v>
      </c>
    </row>
    <row r="414">
      <c r="A414" t="inlineStr">
        <is>
          <t>vetches</t>
        </is>
      </c>
      <c r="B414" t="inlineStr">
        <is>
          <t>sown over 4 acres by the perch in the small bouerygg', 1 quarters.</t>
        </is>
      </c>
      <c r="C414" t="n">
        <v>0</v>
      </c>
      <c r="D414" t="n">
        <v>0</v>
      </c>
      <c r="E414" t="n">
        <v>0</v>
      </c>
      <c r="F414" t="n">
        <v>0</v>
      </c>
      <c r="H414" t="n">
        <v>1</v>
      </c>
      <c r="I414" t="n">
        <v>0</v>
      </c>
      <c r="J414" t="n">
        <v>1</v>
      </c>
      <c r="K414" t="n">
        <v>1</v>
      </c>
      <c r="L414" t="n">
        <v>0</v>
      </c>
      <c r="M414" t="n">
        <v>1</v>
      </c>
      <c r="N414" t="n">
        <v>0</v>
      </c>
    </row>
    <row r="415">
      <c r="A415" t="inlineStr">
        <is>
          <t>vetches</t>
        </is>
      </c>
      <c r="B415" t="inlineStr">
        <is>
          <t>that is, 2 bushels an acre.</t>
        </is>
      </c>
      <c r="C415" t="n">
        <v>0</v>
      </c>
      <c r="D415" t="n">
        <v>0</v>
      </c>
      <c r="E415" t="n">
        <v>0</v>
      </c>
      <c r="F415" t="n">
        <v>0</v>
      </c>
      <c r="H415" t="n">
        <v>0</v>
      </c>
      <c r="I415" t="n">
        <v>2</v>
      </c>
      <c r="J415" t="n">
        <v>0.25</v>
      </c>
      <c r="K415" t="n">
        <v>0.25</v>
      </c>
      <c r="L415" t="n">
        <v>0</v>
      </c>
      <c r="M415" t="n">
        <v>0</v>
      </c>
      <c r="N415" t="n">
        <v>2</v>
      </c>
    </row>
    <row r="416">
      <c r="A416" t="inlineStr">
        <is>
          <t>vetches</t>
        </is>
      </c>
      <c r="B416" t="inlineStr">
        <is>
          <t>given to the wethers and ewes in winter, 1 quarters 4 bushels by estimation in husks..</t>
        </is>
      </c>
      <c r="C416" t="n">
        <v>0</v>
      </c>
      <c r="D416" t="n">
        <v>0</v>
      </c>
      <c r="E416" t="n">
        <v>0</v>
      </c>
      <c r="F416" t="n">
        <v>0</v>
      </c>
      <c r="H416" t="n">
        <v>1</v>
      </c>
      <c r="I416" t="n">
        <v>4</v>
      </c>
      <c r="J416" t="n">
        <v>1.5</v>
      </c>
      <c r="K416" t="n">
        <v>1.5</v>
      </c>
      <c r="L416" t="n">
        <v>0</v>
      </c>
      <c r="M416" t="n">
        <v>1</v>
      </c>
      <c r="N416" t="n">
        <v>4</v>
      </c>
    </row>
    <row r="417">
      <c r="A417" t="inlineStr">
        <is>
          <t>vetches</t>
        </is>
      </c>
      <c r="B417" t="inlineStr">
        <is>
          <t>sold at the audit, 3 quarters 4 bushels for 11 shilling 8pence.</t>
        </is>
      </c>
      <c r="C417" t="n">
        <v>0.58</v>
      </c>
      <c r="D417" t="n">
        <v>0</v>
      </c>
      <c r="E417" t="n">
        <v>11</v>
      </c>
      <c r="F417" t="n">
        <v>8</v>
      </c>
      <c r="H417" t="n">
        <v>3</v>
      </c>
      <c r="I417" t="n">
        <v>4</v>
      </c>
      <c r="J417" t="n">
        <v>3.5</v>
      </c>
      <c r="K417" t="n">
        <v>3.5</v>
      </c>
      <c r="L417" t="n">
        <v>0</v>
      </c>
      <c r="M417" t="n">
        <v>3</v>
      </c>
      <c r="N417" t="n">
        <v>4</v>
      </c>
    </row>
    <row r="418">
      <c r="A418" t="inlineStr">
        <is>
          <t>vetches</t>
        </is>
      </c>
      <c r="B418" t="inlineStr">
        <is>
          <t>total as before.</t>
        </is>
      </c>
      <c r="C418" t="n">
        <v>0</v>
      </c>
      <c r="D418" t="n">
        <v>0</v>
      </c>
      <c r="E418" t="n">
        <v>0</v>
      </c>
      <c r="F418" t="n">
        <v>0</v>
      </c>
      <c r="H418" t="n">
        <v>0</v>
      </c>
      <c r="I418" t="n">
        <v>0</v>
      </c>
      <c r="J418" t="n">
        <v>0</v>
      </c>
      <c r="K418" t="n">
        <v>0</v>
      </c>
      <c r="L418" t="n">
        <v>0</v>
      </c>
      <c r="M418" t="n">
        <v>0</v>
      </c>
      <c r="N418" t="n">
        <v>0</v>
      </c>
    </row>
    <row r="419">
      <c r="A419" t="inlineStr">
        <is>
          <t>vetches</t>
        </is>
      </c>
      <c r="B419" t="inlineStr">
        <is>
          <t>it balances..</t>
        </is>
      </c>
      <c r="C419" t="n">
        <v>0</v>
      </c>
      <c r="D419" t="n">
        <v>0</v>
      </c>
      <c r="E419" t="n">
        <v>0</v>
      </c>
      <c r="F419" t="n">
        <v>0</v>
      </c>
      <c r="H419" t="n">
        <v>0</v>
      </c>
      <c r="I419" t="n">
        <v>0</v>
      </c>
      <c r="J419" t="n">
        <v>0</v>
      </c>
      <c r="K419" t="n">
        <v>0</v>
      </c>
      <c r="L419" t="n">
        <v>0</v>
      </c>
      <c r="M419" t="n">
        <v>0</v>
      </c>
      <c r="N419" t="n">
        <v>0</v>
      </c>
    </row>
    <row r="420">
      <c r="A420" t="inlineStr">
        <is>
          <t>oats</t>
        </is>
      </c>
      <c r="B420" t="inlineStr">
        <is>
          <t>and for 46 quarters 4 bushels from the issue, threshed by piece-work.</t>
        </is>
      </c>
      <c r="C420" t="n">
        <v>0</v>
      </c>
      <c r="D420" t="n">
        <v>0</v>
      </c>
      <c r="E420" t="n">
        <v>0</v>
      </c>
      <c r="F420" t="n">
        <v>0</v>
      </c>
      <c r="H420" t="n">
        <v>46</v>
      </c>
      <c r="I420" t="n">
        <v>4</v>
      </c>
      <c r="J420" t="n">
        <v>46.5</v>
      </c>
      <c r="K420" t="n">
        <v>46.5</v>
      </c>
      <c r="L420" t="n">
        <v>0</v>
      </c>
      <c r="M420" t="n">
        <v>46</v>
      </c>
      <c r="N420" t="n">
        <v>4</v>
      </c>
    </row>
    <row r="421">
      <c r="A421" t="inlineStr">
        <is>
          <t>oats</t>
        </is>
      </c>
      <c r="B421" t="inlineStr">
        <is>
          <t>9 quarters from the same issue by estimation in sheaves.</t>
        </is>
      </c>
      <c r="C421" t="n">
        <v>0</v>
      </c>
      <c r="D421" t="n">
        <v>0</v>
      </c>
      <c r="E421" t="n">
        <v>0</v>
      </c>
      <c r="F421" t="n">
        <v>0</v>
      </c>
      <c r="H421" t="n">
        <v>9</v>
      </c>
      <c r="I421" t="n">
        <v>0</v>
      </c>
      <c r="J421" t="n">
        <v>9</v>
      </c>
      <c r="K421" t="n">
        <v>9</v>
      </c>
      <c r="L421" t="n">
        <v>0</v>
      </c>
      <c r="M421" t="n">
        <v>9</v>
      </c>
      <c r="N421" t="n">
        <v>0</v>
      </c>
    </row>
    <row r="422">
      <c r="A422" t="inlineStr">
        <is>
          <t>oats</t>
        </is>
      </c>
      <c r="B422" t="inlineStr">
        <is>
          <t>3 quarters surcharged so that he answers for a 3-fold yield..</t>
        </is>
      </c>
      <c r="C422" t="n">
        <v>0</v>
      </c>
      <c r="D422" t="n">
        <v>0</v>
      </c>
      <c r="E422" t="n">
        <v>0</v>
      </c>
      <c r="F422" t="n">
        <v>0</v>
      </c>
      <c r="H422" t="n">
        <v>3</v>
      </c>
      <c r="I422" t="n">
        <v>0</v>
      </c>
      <c r="J422" t="n">
        <v>3</v>
      </c>
      <c r="K422" t="n">
        <v>3</v>
      </c>
      <c r="L422" t="n">
        <v>0</v>
      </c>
      <c r="M422" t="n">
        <v>3</v>
      </c>
      <c r="N422" t="n">
        <v>0</v>
      </c>
    </row>
    <row r="423">
      <c r="A423" t="inlineStr">
        <is>
          <t>oats</t>
        </is>
      </c>
      <c r="B423" t="inlineStr">
        <is>
          <t>total, 58 quarters 4 bushels.</t>
        </is>
      </c>
      <c r="C423" t="n">
        <v>0</v>
      </c>
      <c r="D423" t="n">
        <v>0</v>
      </c>
      <c r="E423" t="n">
        <v>0</v>
      </c>
      <c r="F423" t="n">
        <v>0</v>
      </c>
      <c r="H423" t="n">
        <v>58</v>
      </c>
      <c r="I423" t="n">
        <v>4</v>
      </c>
      <c r="J423" t="n">
        <v>58.5</v>
      </c>
      <c r="K423" t="n">
        <v>58.5</v>
      </c>
      <c r="L423" t="n">
        <v>0</v>
      </c>
      <c r="M423" t="n">
        <v>58</v>
      </c>
      <c r="N423" t="n">
        <v>4</v>
      </c>
    </row>
    <row r="424">
      <c r="A424" t="inlineStr">
        <is>
          <t>oats</t>
        </is>
      </c>
      <c r="B424" t="inlineStr">
        <is>
          <t>sown over 32 acres by the perch in the great barton and krykkelescroft, 16 quarters 1 bushels.</t>
        </is>
      </c>
      <c r="C424" t="n">
        <v>0</v>
      </c>
      <c r="D424" t="n">
        <v>0</v>
      </c>
      <c r="E424" t="n">
        <v>0</v>
      </c>
      <c r="F424" t="n">
        <v>0</v>
      </c>
      <c r="H424" t="n">
        <v>16</v>
      </c>
      <c r="I424" t="n">
        <v>1</v>
      </c>
      <c r="J424" t="n">
        <v>16.12</v>
      </c>
      <c r="K424" t="n">
        <v>16.12</v>
      </c>
      <c r="L424" t="n">
        <v>0</v>
      </c>
      <c r="M424" t="n">
        <v>16</v>
      </c>
      <c r="N424" t="n">
        <v>1</v>
      </c>
    </row>
    <row r="425">
      <c r="A425" t="inlineStr">
        <is>
          <t>oats</t>
        </is>
      </c>
      <c r="B425" t="inlineStr">
        <is>
          <t>that is, 4 bushels an acre, plus 1 bushels in all.</t>
        </is>
      </c>
      <c r="C425" t="n">
        <v>0</v>
      </c>
      <c r="D425" t="n">
        <v>0</v>
      </c>
      <c r="E425" t="n">
        <v>0</v>
      </c>
      <c r="F425" t="n">
        <v>0</v>
      </c>
      <c r="H425" t="n">
        <v>0</v>
      </c>
      <c r="I425" t="n">
        <v>1</v>
      </c>
      <c r="J425" t="n">
        <v>0.12</v>
      </c>
      <c r="K425" t="n">
        <v>0.5</v>
      </c>
      <c r="L425" t="n">
        <v>-0.38</v>
      </c>
      <c r="M425" t="n">
        <v>0</v>
      </c>
      <c r="N425" t="n">
        <v>4</v>
      </c>
      <c r="O425" t="n">
        <v>0</v>
      </c>
      <c r="P425" t="n">
        <v>1</v>
      </c>
    </row>
    <row r="426">
      <c r="A426" t="inlineStr">
        <is>
          <t>oats</t>
        </is>
      </c>
      <c r="B426" t="inlineStr">
        <is>
          <t>meal made for the pottage of the manorial servants for the year, 5 quarters.</t>
        </is>
      </c>
      <c r="C426" t="n">
        <v>0</v>
      </c>
      <c r="D426" t="n">
        <v>0</v>
      </c>
      <c r="E426" t="n">
        <v>0</v>
      </c>
      <c r="F426" t="n">
        <v>0</v>
      </c>
      <c r="G426" t="inlineStr">
        <is>
          <t>meal</t>
        </is>
      </c>
      <c r="H426" t="n">
        <v>5</v>
      </c>
      <c r="I426" t="n">
        <v>0</v>
      </c>
      <c r="J426" t="n">
        <v>5</v>
      </c>
      <c r="K426" t="n">
        <v>5</v>
      </c>
      <c r="L426" t="n">
        <v>0</v>
      </c>
      <c r="M426" t="n">
        <v>5</v>
      </c>
      <c r="N426" t="n">
        <v>0</v>
      </c>
    </row>
    <row r="427">
      <c r="A427" t="inlineStr">
        <is>
          <t>oats</t>
        </is>
      </c>
      <c r="B427" t="inlineStr">
        <is>
          <t>fodder of the cart-horses at both sowings, 5 quarters.</t>
        </is>
      </c>
      <c r="C427" t="n">
        <v>0</v>
      </c>
      <c r="D427" t="n">
        <v>0</v>
      </c>
      <c r="E427" t="n">
        <v>0</v>
      </c>
      <c r="F427" t="n">
        <v>0</v>
      </c>
      <c r="H427" t="n">
        <v>5</v>
      </c>
      <c r="I427" t="n">
        <v>0</v>
      </c>
      <c r="J427" t="n">
        <v>5</v>
      </c>
      <c r="K427" t="n">
        <v>5</v>
      </c>
      <c r="L427" t="n">
        <v>0</v>
      </c>
      <c r="M427" t="n">
        <v>5</v>
      </c>
      <c r="N427" t="n">
        <v>0</v>
      </c>
    </row>
    <row r="428">
      <c r="A428" t="inlineStr">
        <is>
          <t>oats</t>
        </is>
      </c>
      <c r="B428" t="inlineStr">
        <is>
          <t>fodder of the horses of richard wyot', steward, holding the tourns of martinmas and hockday, 4 quarters 2 bushels by bill.</t>
        </is>
      </c>
      <c r="C428" t="n">
        <v>0</v>
      </c>
      <c r="D428" t="n">
        <v>0</v>
      </c>
      <c r="E428" t="n">
        <v>0</v>
      </c>
      <c r="F428" t="n">
        <v>0</v>
      </c>
      <c r="H428" t="n">
        <v>4</v>
      </c>
      <c r="I428" t="n">
        <v>2</v>
      </c>
      <c r="J428" t="n">
        <v>4.25</v>
      </c>
      <c r="K428" t="n">
        <v>4.25</v>
      </c>
      <c r="L428" t="n">
        <v>0</v>
      </c>
      <c r="M428" t="n">
        <v>4</v>
      </c>
      <c r="N428" t="n">
        <v>2</v>
      </c>
    </row>
    <row r="429">
      <c r="A429" t="inlineStr">
        <is>
          <t>oats</t>
        </is>
      </c>
      <c r="B429" t="inlineStr">
        <is>
          <t>fodder of oxen, 6 quarters by estimation in sheaves.</t>
        </is>
      </c>
      <c r="C429" t="n">
        <v>0</v>
      </c>
      <c r="D429" t="n">
        <v>0</v>
      </c>
      <c r="E429" t="n">
        <v>0</v>
      </c>
      <c r="F429" t="n">
        <v>0</v>
      </c>
      <c r="H429" t="n">
        <v>6</v>
      </c>
      <c r="I429" t="n">
        <v>0</v>
      </c>
      <c r="J429" t="n">
        <v>6</v>
      </c>
      <c r="K429" t="n">
        <v>6</v>
      </c>
      <c r="L429" t="n">
        <v>0</v>
      </c>
      <c r="M429" t="n">
        <v>6</v>
      </c>
      <c r="N429" t="n">
        <v>0</v>
      </c>
    </row>
    <row r="430">
      <c r="A430" t="inlineStr">
        <is>
          <t>oats</t>
        </is>
      </c>
      <c r="B430" t="inlineStr">
        <is>
          <t>customary payment to 1 swineherd from the customary tenants in 24 sheaves, 3 bushels.</t>
        </is>
      </c>
      <c r="C430" t="n">
        <v>0</v>
      </c>
      <c r="D430" t="n">
        <v>0</v>
      </c>
      <c r="E430" t="n">
        <v>0</v>
      </c>
      <c r="F430" t="n">
        <v>0</v>
      </c>
      <c r="H430" t="n">
        <v>0</v>
      </c>
      <c r="I430" t="n">
        <v>3</v>
      </c>
      <c r="J430" t="n">
        <v>0.38</v>
      </c>
      <c r="K430" t="n">
        <v>0.38</v>
      </c>
      <c r="L430" t="n">
        <v>0</v>
      </c>
      <c r="M430" t="n">
        <v>0</v>
      </c>
      <c r="N430" t="n">
        <v>3</v>
      </c>
    </row>
    <row r="431">
      <c r="A431" t="inlineStr">
        <is>
          <t>oats</t>
        </is>
      </c>
      <c r="B431" t="inlineStr">
        <is>
          <t>fodder of cows and calves, 5 bushels by estimation in sheaves..</t>
        </is>
      </c>
      <c r="C431" t="n">
        <v>0</v>
      </c>
      <c r="D431" t="n">
        <v>0</v>
      </c>
      <c r="E431" t="n">
        <v>0</v>
      </c>
      <c r="F431" t="n">
        <v>0</v>
      </c>
      <c r="H431" t="n">
        <v>0</v>
      </c>
      <c r="I431" t="n">
        <v>5</v>
      </c>
      <c r="J431" t="n">
        <v>0.62</v>
      </c>
      <c r="K431" t="n">
        <v>0.62</v>
      </c>
      <c r="L431" t="n">
        <v>0</v>
      </c>
      <c r="M431" t="n">
        <v>0</v>
      </c>
      <c r="N431" t="n">
        <v>5</v>
      </c>
    </row>
    <row r="432">
      <c r="A432" t="inlineStr">
        <is>
          <t>oats</t>
        </is>
      </c>
      <c r="B432" t="inlineStr">
        <is>
          <t>sold within, 12 quarters 3 bushels sold at the audit, 8 quarters 6 bushels for £1 6 shilling 3pence.</t>
        </is>
      </c>
      <c r="C432" t="n">
        <v>1.31</v>
      </c>
      <c r="D432" t="n">
        <v>1</v>
      </c>
      <c r="E432" t="n">
        <v>6</v>
      </c>
      <c r="F432" t="n">
        <v>3</v>
      </c>
      <c r="H432" t="n">
        <v>8</v>
      </c>
      <c r="I432" t="n">
        <v>6</v>
      </c>
      <c r="J432" t="n">
        <v>8.75</v>
      </c>
      <c r="K432" t="n">
        <v>12.38</v>
      </c>
      <c r="L432" t="n">
        <v>-3.62</v>
      </c>
      <c r="M432" t="n">
        <v>12</v>
      </c>
      <c r="N432" t="n">
        <v>3</v>
      </c>
      <c r="O432" t="n">
        <v>8</v>
      </c>
      <c r="P432" t="n">
        <v>6</v>
      </c>
    </row>
    <row r="433">
      <c r="A433" t="inlineStr">
        <is>
          <t>oats</t>
        </is>
      </c>
      <c r="B433" t="inlineStr">
        <is>
          <t>total as before.</t>
        </is>
      </c>
      <c r="C433" t="n">
        <v>0</v>
      </c>
      <c r="D433" t="n">
        <v>0</v>
      </c>
      <c r="E433" t="n">
        <v>0</v>
      </c>
      <c r="F433" t="n">
        <v>0</v>
      </c>
      <c r="H433" t="n">
        <v>0</v>
      </c>
      <c r="I433" t="n">
        <v>0</v>
      </c>
      <c r="J433" t="n">
        <v>0</v>
      </c>
      <c r="K433" t="n">
        <v>0</v>
      </c>
      <c r="L433" t="n">
        <v>0</v>
      </c>
      <c r="M433" t="n">
        <v>0</v>
      </c>
      <c r="N433" t="n">
        <v>0</v>
      </c>
    </row>
    <row r="434">
      <c r="A434" t="inlineStr">
        <is>
          <t>oats</t>
        </is>
      </c>
      <c r="B434" t="inlineStr">
        <is>
          <t>it balances.</t>
        </is>
      </c>
      <c r="C434" t="n">
        <v>0</v>
      </c>
      <c r="D434" t="n">
        <v>0</v>
      </c>
      <c r="E434" t="n">
        <v>0</v>
      </c>
      <c r="F434" t="n">
        <v>0</v>
      </c>
      <c r="H434" t="n">
        <v>0</v>
      </c>
      <c r="I434" t="n">
        <v>0</v>
      </c>
      <c r="J434" t="n">
        <v>0</v>
      </c>
      <c r="K434" t="n">
        <v>0</v>
      </c>
      <c r="L434" t="n">
        <v>0</v>
      </c>
      <c r="M434" t="n">
        <v>0</v>
      </c>
      <c r="N434" t="n">
        <v>0</v>
      </c>
    </row>
    <row r="435">
      <c r="A435" t="inlineStr">
        <is>
          <t>liveries of the manorial servants</t>
        </is>
      </c>
      <c r="B435" t="inlineStr">
        <is>
          <t>and for 1 quarters 4 bushels of curall and 48 quarters 7 bushels of barley received above for the liveries of the manorial servants..</t>
        </is>
      </c>
      <c r="C435" t="n">
        <v>0</v>
      </c>
      <c r="D435" t="n">
        <v>0</v>
      </c>
      <c r="E435" t="n">
        <v>0</v>
      </c>
      <c r="F435" t="n">
        <v>0</v>
      </c>
      <c r="G435" t="inlineStr">
        <is>
          <t>barley, curall</t>
        </is>
      </c>
      <c r="H435" t="n">
        <v>48</v>
      </c>
      <c r="I435" t="n">
        <v>7</v>
      </c>
      <c r="J435" t="n">
        <v>48.88</v>
      </c>
      <c r="K435" t="n">
        <v>1.5</v>
      </c>
      <c r="L435" t="n">
        <v>47.38</v>
      </c>
      <c r="M435" t="n">
        <v>1</v>
      </c>
      <c r="N435" t="n">
        <v>4</v>
      </c>
      <c r="O435" t="n">
        <v>48</v>
      </c>
      <c r="P435" t="n">
        <v>7</v>
      </c>
    </row>
    <row r="436">
      <c r="A436" t="inlineStr">
        <is>
          <t>liveries of the manorial servants</t>
        </is>
      </c>
      <c r="B436" t="inlineStr">
        <is>
          <t>total, 50 quarters 3 bushels.</t>
        </is>
      </c>
      <c r="C436" t="n">
        <v>0</v>
      </c>
      <c r="D436" t="n">
        <v>0</v>
      </c>
      <c r="E436" t="n">
        <v>0</v>
      </c>
      <c r="F436" t="n">
        <v>0</v>
      </c>
      <c r="H436" t="n">
        <v>50</v>
      </c>
      <c r="I436" t="n">
        <v>3</v>
      </c>
      <c r="J436" t="n">
        <v>50.38</v>
      </c>
      <c r="K436" t="n">
        <v>50.38</v>
      </c>
      <c r="L436" t="n">
        <v>0</v>
      </c>
      <c r="M436" t="n">
        <v>50</v>
      </c>
      <c r="N436" t="n">
        <v>3</v>
      </c>
    </row>
    <row r="437">
      <c r="A437" t="inlineStr">
        <is>
          <t>liveries of the manorial servants</t>
        </is>
      </c>
      <c r="B437" t="inlineStr">
        <is>
          <t>in liveries of 2 carters, 2 ploughmen, 2 drovers and 1 shepherd of ewes for the year, 36 quarters 2.5 bushels, each of whom takes a quarter every 10 weeks.</t>
        </is>
      </c>
      <c r="C437" t="n">
        <v>0</v>
      </c>
      <c r="D437" t="n">
        <v>0</v>
      </c>
      <c r="E437" t="n">
        <v>0</v>
      </c>
      <c r="F437" t="n">
        <v>0</v>
      </c>
      <c r="H437" t="n">
        <v>36</v>
      </c>
      <c r="I437" t="n">
        <v>2.5</v>
      </c>
      <c r="J437" t="n">
        <v>36.31</v>
      </c>
      <c r="K437" t="n">
        <v>36.31</v>
      </c>
      <c r="L437" t="n">
        <v>0</v>
      </c>
      <c r="M437" t="n">
        <v>36</v>
      </c>
      <c r="N437" t="n">
        <v>2.5</v>
      </c>
    </row>
    <row r="438">
      <c r="A438" t="inlineStr">
        <is>
          <t>liveries of the manorial servants</t>
        </is>
      </c>
      <c r="B438" t="inlineStr">
        <is>
          <t>liveries of 1 shepherd of wethers and 1 cowherd for the year, 8 quarters 5 bushels, both of whom take a quarter every 12 weeks.</t>
        </is>
      </c>
      <c r="C438" t="n">
        <v>0</v>
      </c>
      <c r="D438" t="n">
        <v>0</v>
      </c>
      <c r="E438" t="n">
        <v>0</v>
      </c>
      <c r="F438" t="n">
        <v>0</v>
      </c>
      <c r="H438" t="n">
        <v>8</v>
      </c>
      <c r="I438" t="n">
        <v>5</v>
      </c>
      <c r="J438" t="n">
        <v>8.619999999999999</v>
      </c>
      <c r="K438" t="n">
        <v>8.619999999999999</v>
      </c>
      <c r="L438" t="n">
        <v>0</v>
      </c>
      <c r="M438" t="n">
        <v>8</v>
      </c>
      <c r="N438" t="n">
        <v>5</v>
      </c>
    </row>
    <row r="439">
      <c r="A439" t="inlineStr">
        <is>
          <t>liveries of the manorial servants</t>
        </is>
      </c>
      <c r="B439" t="inlineStr">
        <is>
          <t>livery of 1 keeper of hoggs, nothing this year, because there is none there.</t>
        </is>
      </c>
      <c r="C439" t="n">
        <v>0</v>
      </c>
      <c r="D439" t="n">
        <v>0</v>
      </c>
      <c r="E439" t="n">
        <v>0</v>
      </c>
      <c r="F439" t="n">
        <v>0</v>
      </c>
      <c r="H439" t="n">
        <v>0</v>
      </c>
      <c r="I439" t="n">
        <v>0</v>
      </c>
      <c r="J439" t="n">
        <v>0</v>
      </c>
      <c r="K439" t="n">
        <v>0</v>
      </c>
      <c r="L439" t="n">
        <v>0</v>
      </c>
      <c r="M439" t="n">
        <v>0</v>
      </c>
      <c r="N439" t="n">
        <v>0</v>
      </c>
    </row>
    <row r="440">
      <c r="A440" t="inlineStr">
        <is>
          <t>liveries of the manorial servants</t>
        </is>
      </c>
      <c r="B440" t="inlineStr">
        <is>
          <t>livery of 1 swineherd from the customary tenants for the year, 1 quarters 4 bushels.</t>
        </is>
      </c>
      <c r="C440" t="n">
        <v>0</v>
      </c>
      <c r="D440" t="n">
        <v>0</v>
      </c>
      <c r="E440" t="n">
        <v>0</v>
      </c>
      <c r="F440" t="n">
        <v>0</v>
      </c>
      <c r="H440" t="n">
        <v>1</v>
      </c>
      <c r="I440" t="n">
        <v>4</v>
      </c>
      <c r="J440" t="n">
        <v>1.5</v>
      </c>
      <c r="K440" t="n">
        <v>1.5</v>
      </c>
      <c r="L440" t="n">
        <v>0</v>
      </c>
      <c r="M440" t="n">
        <v>1</v>
      </c>
      <c r="N440" t="n">
        <v>4</v>
      </c>
    </row>
    <row r="441">
      <c r="A441" t="inlineStr">
        <is>
          <t>liveries of the manorial servants</t>
        </is>
      </c>
      <c r="B441" t="inlineStr">
        <is>
          <t>livery of 1 dairymaid for the year, 3 quarters 3.5 bushels, taking a quarter every 15 weeks.</t>
        </is>
      </c>
      <c r="C441" t="n">
        <v>0</v>
      </c>
      <c r="D441" t="n">
        <v>0</v>
      </c>
      <c r="E441" t="n">
        <v>0</v>
      </c>
      <c r="F441" t="n">
        <v>0</v>
      </c>
      <c r="H441" t="n">
        <v>3</v>
      </c>
      <c r="I441" t="n">
        <v>3.5</v>
      </c>
      <c r="J441" t="n">
        <v>3.44</v>
      </c>
      <c r="K441" t="n">
        <v>3.44</v>
      </c>
      <c r="L441" t="n">
        <v>0</v>
      </c>
      <c r="M441" t="n">
        <v>3</v>
      </c>
      <c r="N441" t="n">
        <v>3.5</v>
      </c>
    </row>
    <row r="442">
      <c r="A442" t="inlineStr">
        <is>
          <t>liveries of the manorial servants</t>
        </is>
      </c>
      <c r="B442" t="inlineStr">
        <is>
          <t>livery of i attendant helping the shepherd of ewes at lambing-time, 4 bushels.</t>
        </is>
      </c>
      <c r="C442" t="n">
        <v>0</v>
      </c>
      <c r="D442" t="n">
        <v>0</v>
      </c>
      <c r="E442" t="n">
        <v>0</v>
      </c>
      <c r="F442" t="n">
        <v>0</v>
      </c>
      <c r="H442" t="n">
        <v>0</v>
      </c>
      <c r="I442" t="n">
        <v>4</v>
      </c>
      <c r="J442" t="n">
        <v>0.5</v>
      </c>
      <c r="K442" t="n">
        <v>0.5</v>
      </c>
      <c r="L442" t="n">
        <v>0</v>
      </c>
      <c r="M442" t="n">
        <v>0</v>
      </c>
      <c r="N442" t="n">
        <v>4</v>
      </c>
    </row>
    <row r="443">
      <c r="A443" t="inlineStr">
        <is>
          <t>liveries of the manorial servants</t>
        </is>
      </c>
      <c r="B443" t="inlineStr">
        <is>
          <t>total as before.</t>
        </is>
      </c>
      <c r="C443" t="n">
        <v>0</v>
      </c>
      <c r="D443" t="n">
        <v>0</v>
      </c>
      <c r="E443" t="n">
        <v>0</v>
      </c>
      <c r="F443" t="n">
        <v>0</v>
      </c>
      <c r="H443" t="n">
        <v>0</v>
      </c>
      <c r="I443" t="n">
        <v>0</v>
      </c>
      <c r="J443" t="n">
        <v>0</v>
      </c>
      <c r="K443" t="n">
        <v>0</v>
      </c>
      <c r="L443" t="n">
        <v>0</v>
      </c>
      <c r="M443" t="n">
        <v>0</v>
      </c>
      <c r="N443" t="n">
        <v>0</v>
      </c>
    </row>
    <row r="444">
      <c r="A444" t="inlineStr">
        <is>
          <t>liveries of the manorial servants</t>
        </is>
      </c>
      <c r="B444" t="inlineStr">
        <is>
          <t>it balances.</t>
        </is>
      </c>
      <c r="C444" t="n">
        <v>0</v>
      </c>
      <c r="D444" t="n">
        <v>0</v>
      </c>
      <c r="E444" t="n">
        <v>0</v>
      </c>
      <c r="F444" t="n">
        <v>0</v>
      </c>
      <c r="H444" t="n">
        <v>0</v>
      </c>
      <c r="I444" t="n">
        <v>0</v>
      </c>
      <c r="J444" t="n">
        <v>0</v>
      </c>
      <c r="K444" t="n">
        <v>0</v>
      </c>
      <c r="L444" t="n">
        <v>0</v>
      </c>
      <c r="M444" t="n">
        <v>0</v>
      </c>
      <c r="N444" t="n">
        <v>0</v>
      </c>
    </row>
    <row r="445">
      <c r="A445" t="inlineStr">
        <is>
          <t>stock</t>
        </is>
      </c>
      <c r="B445" t="inlineStr">
        <is>
          <t>horses: 7 remain.</t>
        </is>
      </c>
      <c r="C445" t="n">
        <v>0</v>
      </c>
      <c r="D445" t="n">
        <v>0</v>
      </c>
      <c r="E445" t="n">
        <v>0</v>
      </c>
      <c r="F445" t="n">
        <v>0</v>
      </c>
      <c r="H445" t="n">
        <v>0</v>
      </c>
      <c r="I445" t="n">
        <v>0</v>
      </c>
      <c r="J445" t="n">
        <v>0</v>
      </c>
      <c r="K445" t="n">
        <v>0</v>
      </c>
      <c r="L445" t="n">
        <v>0</v>
      </c>
      <c r="M445" t="n">
        <v>0</v>
      </c>
      <c r="N445" t="n">
        <v>0</v>
      </c>
    </row>
    <row r="446">
      <c r="A446" t="inlineStr">
        <is>
          <t>stock</t>
        </is>
      </c>
      <c r="B446" t="inlineStr">
        <is>
          <t>1 from the heriot of henry mortim'.</t>
        </is>
      </c>
      <c r="C446" t="n">
        <v>0</v>
      </c>
      <c r="D446" t="n">
        <v>0</v>
      </c>
      <c r="E446" t="n">
        <v>0</v>
      </c>
      <c r="F446" t="n">
        <v>0</v>
      </c>
      <c r="H446" t="n">
        <v>0</v>
      </c>
      <c r="I446" t="n">
        <v>0</v>
      </c>
      <c r="J446" t="n">
        <v>0</v>
      </c>
      <c r="K446" t="n">
        <v>0</v>
      </c>
      <c r="L446" t="n">
        <v>0</v>
      </c>
      <c r="M446" t="n">
        <v>0</v>
      </c>
      <c r="N446" t="n">
        <v>0</v>
      </c>
    </row>
    <row r="447">
      <c r="A447" t="inlineStr">
        <is>
          <t>stock</t>
        </is>
      </c>
      <c r="B447" t="inlineStr">
        <is>
          <t>1 from strays.</t>
        </is>
      </c>
      <c r="C447" t="n">
        <v>0</v>
      </c>
      <c r="D447" t="n">
        <v>0</v>
      </c>
      <c r="E447" t="n">
        <v>0</v>
      </c>
      <c r="F447" t="n">
        <v>0</v>
      </c>
      <c r="H447" t="n">
        <v>0</v>
      </c>
      <c r="I447" t="n">
        <v>0</v>
      </c>
      <c r="J447" t="n">
        <v>0</v>
      </c>
      <c r="K447" t="n">
        <v>0</v>
      </c>
      <c r="L447" t="n">
        <v>0</v>
      </c>
      <c r="M447" t="n">
        <v>0</v>
      </c>
      <c r="N447" t="n">
        <v>0</v>
      </c>
    </row>
    <row r="448">
      <c r="A448" t="inlineStr">
        <is>
          <t>stock</t>
        </is>
      </c>
      <c r="B448" t="inlineStr">
        <is>
          <t>total, 9. 1 in murrain.</t>
        </is>
      </c>
      <c r="C448" t="n">
        <v>0</v>
      </c>
      <c r="D448" t="n">
        <v>0</v>
      </c>
      <c r="E448" t="n">
        <v>0</v>
      </c>
      <c r="F448" t="n">
        <v>0</v>
      </c>
      <c r="H448" t="n">
        <v>0</v>
      </c>
      <c r="I448" t="n">
        <v>0</v>
      </c>
      <c r="J448" t="n">
        <v>0</v>
      </c>
      <c r="K448" t="n">
        <v>0</v>
      </c>
      <c r="L448" t="n">
        <v>0</v>
      </c>
      <c r="M448" t="n">
        <v>0</v>
      </c>
      <c r="N448" t="n">
        <v>0</v>
      </c>
    </row>
    <row r="449">
      <c r="A449" t="inlineStr">
        <is>
          <t>stock</t>
        </is>
      </c>
      <c r="B449" t="inlineStr">
        <is>
          <t>1 sold within.</t>
        </is>
      </c>
      <c r="C449" t="n">
        <v>0</v>
      </c>
      <c r="D449" t="n">
        <v>0</v>
      </c>
      <c r="E449" t="n">
        <v>0</v>
      </c>
      <c r="F449" t="n">
        <v>0</v>
      </c>
      <c r="H449" t="n">
        <v>0</v>
      </c>
      <c r="I449" t="n">
        <v>0</v>
      </c>
      <c r="J449" t="n">
        <v>0</v>
      </c>
      <c r="K449" t="n">
        <v>0</v>
      </c>
      <c r="L449" t="n">
        <v>0</v>
      </c>
      <c r="M449" t="n">
        <v>0</v>
      </c>
      <c r="N449" t="n">
        <v>0</v>
      </c>
    </row>
    <row r="450">
      <c r="A450" t="inlineStr">
        <is>
          <t>stock</t>
        </is>
      </c>
      <c r="B450" t="inlineStr">
        <is>
          <t>total, 2. 7 remain.</t>
        </is>
      </c>
      <c r="C450" t="n">
        <v>0</v>
      </c>
      <c r="D450" t="n">
        <v>0</v>
      </c>
      <c r="E450" t="n">
        <v>0</v>
      </c>
      <c r="F450" t="n">
        <v>0</v>
      </c>
      <c r="H450" t="n">
        <v>0</v>
      </c>
      <c r="I450" t="n">
        <v>0</v>
      </c>
      <c r="J450" t="n">
        <v>0</v>
      </c>
      <c r="K450" t="n">
        <v>0</v>
      </c>
      <c r="L450" t="n">
        <v>0</v>
      </c>
      <c r="M450" t="n">
        <v>0</v>
      </c>
      <c r="N450" t="n">
        <v>0</v>
      </c>
    </row>
    <row r="451">
      <c r="A451" t="inlineStr">
        <is>
          <t>stock</t>
        </is>
      </c>
      <c r="B451" t="inlineStr">
        <is>
          <t>oxen: 23 remain.</t>
        </is>
      </c>
      <c r="C451" t="n">
        <v>0</v>
      </c>
      <c r="D451" t="n">
        <v>0</v>
      </c>
      <c r="E451" t="n">
        <v>0</v>
      </c>
      <c r="F451" t="n">
        <v>0</v>
      </c>
      <c r="H451" t="n">
        <v>0</v>
      </c>
      <c r="I451" t="n">
        <v>0</v>
      </c>
      <c r="J451" t="n">
        <v>0</v>
      </c>
      <c r="K451" t="n">
        <v>0</v>
      </c>
      <c r="L451" t="n">
        <v>0</v>
      </c>
      <c r="M451" t="n">
        <v>0</v>
      </c>
      <c r="N451" t="n">
        <v>0</v>
      </c>
    </row>
    <row r="452">
      <c r="A452" t="inlineStr">
        <is>
          <t>stock</t>
        </is>
      </c>
      <c r="B452" t="inlineStr">
        <is>
          <t>3 added from steers below.</t>
        </is>
      </c>
      <c r="C452" t="n">
        <v>0</v>
      </c>
      <c r="D452" t="n">
        <v>0</v>
      </c>
      <c r="E452" t="n">
        <v>0</v>
      </c>
      <c r="F452" t="n">
        <v>0</v>
      </c>
      <c r="H452" t="n">
        <v>0</v>
      </c>
      <c r="I452" t="n">
        <v>0</v>
      </c>
      <c r="J452" t="n">
        <v>0</v>
      </c>
      <c r="K452" t="n">
        <v>0</v>
      </c>
      <c r="L452" t="n">
        <v>0</v>
      </c>
      <c r="M452" t="n">
        <v>0</v>
      </c>
      <c r="N452" t="n">
        <v>0</v>
      </c>
    </row>
    <row r="453">
      <c r="A453" t="inlineStr">
        <is>
          <t>stock</t>
        </is>
      </c>
      <c r="B453" t="inlineStr">
        <is>
          <t>total, 27.1 2 kebbs sold.</t>
        </is>
      </c>
      <c r="C453" t="n">
        <v>0</v>
      </c>
      <c r="D453" t="n">
        <v>0</v>
      </c>
      <c r="E453" t="n">
        <v>0</v>
      </c>
      <c r="F453" t="n">
        <v>0</v>
      </c>
      <c r="H453" t="n">
        <v>0</v>
      </c>
      <c r="I453" t="n">
        <v>0</v>
      </c>
      <c r="J453" t="n">
        <v>0</v>
      </c>
      <c r="K453" t="n">
        <v>0</v>
      </c>
      <c r="L453" t="n">
        <v>0</v>
      </c>
      <c r="M453" t="n">
        <v>0</v>
      </c>
      <c r="N453" t="n">
        <v>0</v>
      </c>
    </row>
    <row r="454">
      <c r="A454" t="inlineStr">
        <is>
          <t>stock</t>
        </is>
      </c>
      <c r="B454" t="inlineStr">
        <is>
          <t>24 remain..</t>
        </is>
      </c>
      <c r="C454" t="n">
        <v>0</v>
      </c>
      <c r="D454" t="n">
        <v>0</v>
      </c>
      <c r="E454" t="n">
        <v>0</v>
      </c>
      <c r="F454" t="n">
        <v>0</v>
      </c>
      <c r="H454" t="n">
        <v>0</v>
      </c>
      <c r="I454" t="n">
        <v>0</v>
      </c>
      <c r="J454" t="n">
        <v>0</v>
      </c>
      <c r="K454" t="n">
        <v>0</v>
      </c>
      <c r="L454" t="n">
        <v>0</v>
      </c>
      <c r="M454" t="n">
        <v>0</v>
      </c>
      <c r="N454" t="n">
        <v>0</v>
      </c>
    </row>
    <row r="455">
      <c r="A455" t="inlineStr">
        <is>
          <t>stock</t>
        </is>
      </c>
      <c r="B455" t="inlineStr">
        <is>
          <t>bulls: 1 remains.</t>
        </is>
      </c>
      <c r="C455" t="n">
        <v>0</v>
      </c>
      <c r="D455" t="n">
        <v>0</v>
      </c>
      <c r="E455" t="n">
        <v>0</v>
      </c>
      <c r="F455" t="n">
        <v>0</v>
      </c>
      <c r="H455" t="n">
        <v>0</v>
      </c>
      <c r="I455" t="n">
        <v>0</v>
      </c>
      <c r="J455" t="n">
        <v>0</v>
      </c>
      <c r="K455" t="n">
        <v>0</v>
      </c>
      <c r="L455" t="n">
        <v>0</v>
      </c>
      <c r="M455" t="n">
        <v>0</v>
      </c>
      <c r="N455" t="n">
        <v>0</v>
      </c>
    </row>
    <row r="456">
      <c r="A456" t="inlineStr">
        <is>
          <t>stock</t>
        </is>
      </c>
      <c r="B456" t="inlineStr">
        <is>
          <t>1 added from steers below.</t>
        </is>
      </c>
      <c r="C456" t="n">
        <v>0</v>
      </c>
      <c r="D456" t="n">
        <v>0</v>
      </c>
      <c r="E456" t="n">
        <v>0</v>
      </c>
      <c r="F456" t="n">
        <v>0</v>
      </c>
      <c r="H456" t="n">
        <v>0</v>
      </c>
      <c r="I456" t="n">
        <v>0</v>
      </c>
      <c r="J456" t="n">
        <v>0</v>
      </c>
      <c r="K456" t="n">
        <v>0</v>
      </c>
      <c r="L456" t="n">
        <v>0</v>
      </c>
      <c r="M456" t="n">
        <v>0</v>
      </c>
      <c r="N456" t="n">
        <v>0</v>
      </c>
    </row>
    <row r="457">
      <c r="A457" t="inlineStr">
        <is>
          <t>stock</t>
        </is>
      </c>
      <c r="B457" t="inlineStr">
        <is>
          <t>total, 2. 2 remain.</t>
        </is>
      </c>
      <c r="C457" t="n">
        <v>0</v>
      </c>
      <c r="D457" t="n">
        <v>0</v>
      </c>
      <c r="E457" t="n">
        <v>0</v>
      </c>
      <c r="F457" t="n">
        <v>0</v>
      </c>
      <c r="H457" t="n">
        <v>0</v>
      </c>
      <c r="I457" t="n">
        <v>0</v>
      </c>
      <c r="J457" t="n">
        <v>0</v>
      </c>
      <c r="K457" t="n">
        <v>0</v>
      </c>
      <c r="L457" t="n">
        <v>0</v>
      </c>
      <c r="M457" t="n">
        <v>0</v>
      </c>
      <c r="N457" t="n">
        <v>0</v>
      </c>
    </row>
    <row r="458">
      <c r="A458" t="inlineStr">
        <is>
          <t>stock</t>
        </is>
      </c>
      <c r="B458" t="inlineStr">
        <is>
          <t>cows: 20 remain.</t>
        </is>
      </c>
      <c r="C458" t="n">
        <v>0</v>
      </c>
      <c r="D458" t="n">
        <v>0</v>
      </c>
      <c r="E458" t="n">
        <v>0</v>
      </c>
      <c r="F458" t="n">
        <v>0</v>
      </c>
      <c r="H458" t="n">
        <v>0</v>
      </c>
      <c r="I458" t="n">
        <v>0</v>
      </c>
      <c r="J458" t="n">
        <v>0</v>
      </c>
      <c r="K458" t="n">
        <v>0</v>
      </c>
      <c r="L458" t="n">
        <v>0</v>
      </c>
      <c r="M458" t="n">
        <v>0</v>
      </c>
      <c r="N458" t="n">
        <v>0</v>
      </c>
    </row>
    <row r="459">
      <c r="A459" t="inlineStr">
        <is>
          <t>stock</t>
        </is>
      </c>
      <c r="B459" t="inlineStr">
        <is>
          <t>5 added from steers below.</t>
        </is>
      </c>
      <c r="C459" t="n">
        <v>0</v>
      </c>
      <c r="D459" t="n">
        <v>0</v>
      </c>
      <c r="E459" t="n">
        <v>0</v>
      </c>
      <c r="F459" t="n">
        <v>0</v>
      </c>
      <c r="H459" t="n">
        <v>0</v>
      </c>
      <c r="I459" t="n">
        <v>0</v>
      </c>
      <c r="J459" t="n">
        <v>0</v>
      </c>
      <c r="K459" t="n">
        <v>0</v>
      </c>
      <c r="L459" t="n">
        <v>0</v>
      </c>
      <c r="M459" t="n">
        <v>0</v>
      </c>
      <c r="N459" t="n">
        <v>0</v>
      </c>
    </row>
    <row r="460">
      <c r="A460" t="inlineStr">
        <is>
          <t>stock</t>
        </is>
      </c>
      <c r="B460" t="inlineStr">
        <is>
          <t>total, 25. 2 in murrain.</t>
        </is>
      </c>
      <c r="C460" t="n">
        <v>0</v>
      </c>
      <c r="D460" t="n">
        <v>0</v>
      </c>
      <c r="E460" t="n">
        <v>0</v>
      </c>
      <c r="F460" t="n">
        <v>0</v>
      </c>
      <c r="H460" t="n">
        <v>0</v>
      </c>
      <c r="I460" t="n">
        <v>0</v>
      </c>
      <c r="J460" t="n">
        <v>0</v>
      </c>
      <c r="K460" t="n">
        <v>0</v>
      </c>
      <c r="L460" t="n">
        <v>0</v>
      </c>
      <c r="M460" t="n">
        <v>0</v>
      </c>
      <c r="N460" t="n">
        <v>0</v>
      </c>
    </row>
    <row r="461">
      <c r="A461" t="inlineStr">
        <is>
          <t>stock</t>
        </is>
      </c>
      <c r="B461" t="inlineStr">
        <is>
          <t>23 remain..</t>
        </is>
      </c>
      <c r="C461" t="n">
        <v>0</v>
      </c>
      <c r="D461" t="n">
        <v>0</v>
      </c>
      <c r="E461" t="n">
        <v>0</v>
      </c>
      <c r="F461" t="n">
        <v>0</v>
      </c>
      <c r="H461" t="n">
        <v>0</v>
      </c>
      <c r="I461" t="n">
        <v>0</v>
      </c>
      <c r="J461" t="n">
        <v>0</v>
      </c>
      <c r="K461" t="n">
        <v>0</v>
      </c>
      <c r="L461" t="n">
        <v>0</v>
      </c>
      <c r="M461" t="n">
        <v>0</v>
      </c>
      <c r="N461" t="n">
        <v>0</v>
      </c>
    </row>
    <row r="462">
      <c r="A462" t="inlineStr">
        <is>
          <t>stock</t>
        </is>
      </c>
      <c r="B462" t="inlineStr">
        <is>
          <t>steers: 9 remain from the bullocks.</t>
        </is>
      </c>
      <c r="C462" t="n">
        <v>0</v>
      </c>
      <c r="D462" t="n">
        <v>0</v>
      </c>
      <c r="E462" t="n">
        <v>0</v>
      </c>
      <c r="F462" t="n">
        <v>0</v>
      </c>
      <c r="H462" t="n">
        <v>0</v>
      </c>
      <c r="I462" t="n">
        <v>0</v>
      </c>
      <c r="J462" t="n">
        <v>0</v>
      </c>
      <c r="K462" t="n">
        <v>0</v>
      </c>
      <c r="L462" t="n">
        <v>0</v>
      </c>
      <c r="M462" t="n">
        <v>0</v>
      </c>
      <c r="N462" t="n">
        <v>0</v>
      </c>
    </row>
    <row r="463">
      <c r="A463" t="inlineStr">
        <is>
          <t>stock</t>
        </is>
      </c>
      <c r="B463" t="inlineStr">
        <is>
          <t>total, 9. 3 added above to oxen, 1 to bulls and 5 to cows.</t>
        </is>
      </c>
      <c r="C463" t="n">
        <v>0</v>
      </c>
      <c r="D463" t="n">
        <v>0</v>
      </c>
      <c r="E463" t="n">
        <v>0</v>
      </c>
      <c r="F463" t="n">
        <v>0</v>
      </c>
      <c r="H463" t="n">
        <v>0</v>
      </c>
      <c r="I463" t="n">
        <v>0</v>
      </c>
      <c r="J463" t="n">
        <v>0</v>
      </c>
      <c r="K463" t="n">
        <v>0</v>
      </c>
      <c r="L463" t="n">
        <v>0</v>
      </c>
      <c r="M463" t="n">
        <v>0</v>
      </c>
      <c r="N463" t="n">
        <v>0</v>
      </c>
    </row>
    <row r="464">
      <c r="A464" t="inlineStr">
        <is>
          <t>stock</t>
        </is>
      </c>
      <c r="B464" t="inlineStr">
        <is>
          <t>none remain.</t>
        </is>
      </c>
      <c r="C464" t="n">
        <v>0</v>
      </c>
      <c r="D464" t="n">
        <v>0</v>
      </c>
      <c r="E464" t="n">
        <v>0</v>
      </c>
      <c r="F464" t="n">
        <v>0</v>
      </c>
      <c r="H464" t="n">
        <v>0</v>
      </c>
      <c r="I464" t="n">
        <v>0</v>
      </c>
      <c r="J464" t="n">
        <v>0</v>
      </c>
      <c r="K464" t="n">
        <v>0</v>
      </c>
      <c r="L464" t="n">
        <v>0</v>
      </c>
      <c r="M464" t="n">
        <v>0</v>
      </c>
      <c r="N464" t="n">
        <v>0</v>
      </c>
    </row>
    <row r="465">
      <c r="A465" t="inlineStr">
        <is>
          <t>stock</t>
        </is>
      </c>
      <c r="B465" t="inlineStr">
        <is>
          <t>bullocks: 10 remain from the yearlings.</t>
        </is>
      </c>
      <c r="C465" t="n">
        <v>0</v>
      </c>
      <c r="D465" t="n">
        <v>0</v>
      </c>
      <c r="E465" t="n">
        <v>0</v>
      </c>
      <c r="F465" t="n">
        <v>0</v>
      </c>
      <c r="H465" t="n">
        <v>0</v>
      </c>
      <c r="I465" t="n">
        <v>0</v>
      </c>
      <c r="J465" t="n">
        <v>0</v>
      </c>
      <c r="K465" t="n">
        <v>0</v>
      </c>
      <c r="L465" t="n">
        <v>0</v>
      </c>
      <c r="M465" t="n">
        <v>0</v>
      </c>
      <c r="N465" t="n">
        <v>0</v>
      </c>
    </row>
    <row r="466">
      <c r="A466" t="inlineStr">
        <is>
          <t>stock</t>
        </is>
      </c>
      <c r="B466" t="inlineStr">
        <is>
          <t>1 from the heriot of richard bromden'.</t>
        </is>
      </c>
      <c r="C466" t="n">
        <v>0</v>
      </c>
      <c r="D466" t="n">
        <v>0</v>
      </c>
      <c r="E466" t="n">
        <v>0</v>
      </c>
      <c r="F466" t="n">
        <v>0</v>
      </c>
      <c r="H466" t="n">
        <v>0</v>
      </c>
      <c r="I466" t="n">
        <v>0</v>
      </c>
      <c r="J466" t="n">
        <v>0</v>
      </c>
      <c r="K466" t="n">
        <v>0</v>
      </c>
      <c r="L466" t="n">
        <v>0</v>
      </c>
      <c r="M466" t="n">
        <v>0</v>
      </c>
      <c r="N466" t="n">
        <v>0</v>
      </c>
    </row>
    <row r="467">
      <c r="A467" t="inlineStr">
        <is>
          <t>stock</t>
        </is>
      </c>
      <c r="B467" t="inlineStr">
        <is>
          <t>total, 11. 1 in murrain.</t>
        </is>
      </c>
      <c r="C467" t="n">
        <v>0</v>
      </c>
      <c r="D467" t="n">
        <v>0</v>
      </c>
      <c r="E467" t="n">
        <v>0</v>
      </c>
      <c r="F467" t="n">
        <v>0</v>
      </c>
      <c r="H467" t="n">
        <v>0</v>
      </c>
      <c r="I467" t="n">
        <v>0</v>
      </c>
      <c r="J467" t="n">
        <v>0</v>
      </c>
      <c r="K467" t="n">
        <v>0</v>
      </c>
      <c r="L467" t="n">
        <v>0</v>
      </c>
      <c r="M467" t="n">
        <v>0</v>
      </c>
      <c r="N467" t="n">
        <v>0</v>
      </c>
    </row>
    <row r="468">
      <c r="A468" t="inlineStr">
        <is>
          <t>stock</t>
        </is>
      </c>
      <c r="B468" t="inlineStr">
        <is>
          <t>1 sold within.</t>
        </is>
      </c>
      <c r="C468" t="n">
        <v>0</v>
      </c>
      <c r="D468" t="n">
        <v>0</v>
      </c>
      <c r="E468" t="n">
        <v>0</v>
      </c>
      <c r="F468" t="n">
        <v>0</v>
      </c>
      <c r="H468" t="n">
        <v>0</v>
      </c>
      <c r="I468" t="n">
        <v>0</v>
      </c>
      <c r="J468" t="n">
        <v>0</v>
      </c>
      <c r="K468" t="n">
        <v>0</v>
      </c>
      <c r="L468" t="n">
        <v>0</v>
      </c>
      <c r="M468" t="n">
        <v>0</v>
      </c>
      <c r="N468" t="n">
        <v>0</v>
      </c>
    </row>
    <row r="469">
      <c r="A469" t="inlineStr">
        <is>
          <t>stock</t>
        </is>
      </c>
      <c r="B469" t="inlineStr">
        <is>
          <t>9 remain.</t>
        </is>
      </c>
      <c r="C469" t="n">
        <v>0</v>
      </c>
      <c r="D469" t="n">
        <v>0</v>
      </c>
      <c r="E469" t="n">
        <v>0</v>
      </c>
      <c r="F469" t="n">
        <v>0</v>
      </c>
      <c r="H469" t="n">
        <v>0</v>
      </c>
      <c r="I469" t="n">
        <v>0</v>
      </c>
      <c r="J469" t="n">
        <v>0</v>
      </c>
      <c r="K469" t="n">
        <v>0</v>
      </c>
      <c r="L469" t="n">
        <v>0</v>
      </c>
      <c r="M469" t="n">
        <v>0</v>
      </c>
      <c r="N469" t="n">
        <v>0</v>
      </c>
    </row>
    <row r="470">
      <c r="A470" t="inlineStr">
        <is>
          <t>stock</t>
        </is>
      </c>
      <c r="B470" t="inlineStr">
        <is>
          <t>yearlings: 8 remain from the calves.</t>
        </is>
      </c>
      <c r="C470" t="n">
        <v>0</v>
      </c>
      <c r="D470" t="n">
        <v>0</v>
      </c>
      <c r="E470" t="n">
        <v>0</v>
      </c>
      <c r="F470" t="n">
        <v>0</v>
      </c>
      <c r="H470" t="n">
        <v>0</v>
      </c>
      <c r="I470" t="n">
        <v>0</v>
      </c>
      <c r="J470" t="n">
        <v>0</v>
      </c>
      <c r="K470" t="n">
        <v>0</v>
      </c>
      <c r="L470" t="n">
        <v>0</v>
      </c>
      <c r="M470" t="n">
        <v>0</v>
      </c>
      <c r="N470" t="n">
        <v>0</v>
      </c>
    </row>
    <row r="471">
      <c r="A471" t="inlineStr">
        <is>
          <t>stock</t>
        </is>
      </c>
      <c r="B471" t="inlineStr">
        <is>
          <t>4 in murrain.</t>
        </is>
      </c>
      <c r="C471" t="n">
        <v>0</v>
      </c>
      <c r="D471" t="n">
        <v>0</v>
      </c>
      <c r="E471" t="n">
        <v>0</v>
      </c>
      <c r="F471" t="n">
        <v>0</v>
      </c>
      <c r="H471" t="n">
        <v>0</v>
      </c>
      <c r="I471" t="n">
        <v>0</v>
      </c>
      <c r="J471" t="n">
        <v>0</v>
      </c>
      <c r="K471" t="n">
        <v>0</v>
      </c>
      <c r="L471" t="n">
        <v>0</v>
      </c>
      <c r="M471" t="n">
        <v>0</v>
      </c>
      <c r="N471" t="n">
        <v>0</v>
      </c>
    </row>
    <row r="472">
      <c r="A472" t="inlineStr">
        <is>
          <t>stock</t>
        </is>
      </c>
      <c r="B472" t="inlineStr">
        <is>
          <t>4 remain.</t>
        </is>
      </c>
      <c r="C472" t="n">
        <v>0</v>
      </c>
      <c r="D472" t="n">
        <v>0</v>
      </c>
      <c r="E472" t="n">
        <v>0</v>
      </c>
      <c r="F472" t="n">
        <v>0</v>
      </c>
      <c r="H472" t="n">
        <v>0</v>
      </c>
      <c r="I472" t="n">
        <v>0</v>
      </c>
      <c r="J472" t="n">
        <v>0</v>
      </c>
      <c r="K472" t="n">
        <v>0</v>
      </c>
      <c r="L472" t="n">
        <v>0</v>
      </c>
      <c r="M472" t="n">
        <v>0</v>
      </c>
      <c r="N472" t="n">
        <v>0</v>
      </c>
    </row>
    <row r="473">
      <c r="A473" t="inlineStr">
        <is>
          <t>stock</t>
        </is>
      </c>
      <c r="B473" t="inlineStr">
        <is>
          <t>calves: 20 offspring.</t>
        </is>
      </c>
      <c r="C473" t="n">
        <v>0</v>
      </c>
      <c r="D473" t="n">
        <v>0</v>
      </c>
      <c r="E473" t="n">
        <v>0</v>
      </c>
      <c r="F473" t="n">
        <v>0</v>
      </c>
      <c r="H473" t="n">
        <v>0</v>
      </c>
      <c r="I473" t="n">
        <v>0</v>
      </c>
      <c r="J473" t="n">
        <v>0</v>
      </c>
      <c r="K473" t="n">
        <v>0</v>
      </c>
      <c r="L473" t="n">
        <v>0</v>
      </c>
      <c r="M473" t="n">
        <v>0</v>
      </c>
      <c r="N473" t="n">
        <v>0</v>
      </c>
    </row>
    <row r="474">
      <c r="A474" t="inlineStr">
        <is>
          <t>stock</t>
        </is>
      </c>
      <c r="B474" t="inlineStr">
        <is>
          <t>total, 20. 2 in tithe.</t>
        </is>
      </c>
      <c r="C474" t="n">
        <v>0</v>
      </c>
      <c r="D474" t="n">
        <v>0</v>
      </c>
      <c r="E474" t="n">
        <v>0</v>
      </c>
      <c r="F474" t="n">
        <v>0</v>
      </c>
      <c r="H474" t="n">
        <v>0</v>
      </c>
      <c r="I474" t="n">
        <v>0</v>
      </c>
      <c r="J474" t="n">
        <v>0</v>
      </c>
      <c r="K474" t="n">
        <v>0</v>
      </c>
      <c r="L474" t="n">
        <v>0</v>
      </c>
      <c r="M474" t="n">
        <v>0</v>
      </c>
      <c r="N474" t="n">
        <v>0</v>
      </c>
    </row>
    <row r="475">
      <c r="A475" t="inlineStr">
        <is>
          <t>stock</t>
        </is>
      </c>
      <c r="B475" t="inlineStr">
        <is>
          <t>8 sold within.</t>
        </is>
      </c>
      <c r="C475" t="n">
        <v>0</v>
      </c>
      <c r="D475" t="n">
        <v>0</v>
      </c>
      <c r="E475" t="n">
        <v>0</v>
      </c>
      <c r="F475" t="n">
        <v>0</v>
      </c>
      <c r="H475" t="n">
        <v>0</v>
      </c>
      <c r="I475" t="n">
        <v>0</v>
      </c>
      <c r="J475" t="n">
        <v>0</v>
      </c>
      <c r="K475" t="n">
        <v>0</v>
      </c>
      <c r="L475" t="n">
        <v>0</v>
      </c>
      <c r="M475" t="n">
        <v>0</v>
      </c>
      <c r="N475" t="n">
        <v>0</v>
      </c>
    </row>
    <row r="476">
      <c r="A476" t="inlineStr">
        <is>
          <t>stock</t>
        </is>
      </c>
      <c r="B476" t="inlineStr">
        <is>
          <t>2 sold at the audit for 3 shilling 4pence.</t>
        </is>
      </c>
      <c r="C476" t="n">
        <v>0.17</v>
      </c>
      <c r="D476" t="n">
        <v>0</v>
      </c>
      <c r="E476" t="n">
        <v>3</v>
      </c>
      <c r="F476" t="n">
        <v>4</v>
      </c>
      <c r="H476" t="n">
        <v>0</v>
      </c>
      <c r="I476" t="n">
        <v>0</v>
      </c>
      <c r="J476" t="n">
        <v>0</v>
      </c>
      <c r="K476" t="n">
        <v>0</v>
      </c>
      <c r="L476" t="n">
        <v>0</v>
      </c>
      <c r="M476" t="n">
        <v>0</v>
      </c>
      <c r="N476" t="n">
        <v>0</v>
      </c>
    </row>
    <row r="477">
      <c r="A477" t="inlineStr">
        <is>
          <t>stock</t>
        </is>
      </c>
      <c r="B477" t="inlineStr">
        <is>
          <t>total, 12. 8 remain.</t>
        </is>
      </c>
      <c r="C477" t="n">
        <v>0</v>
      </c>
      <c r="D477" t="n">
        <v>0</v>
      </c>
      <c r="E477" t="n">
        <v>0</v>
      </c>
      <c r="F477" t="n">
        <v>0</v>
      </c>
      <c r="H477" t="n">
        <v>0</v>
      </c>
      <c r="I477" t="n">
        <v>0</v>
      </c>
      <c r="J477" t="n">
        <v>0</v>
      </c>
      <c r="K477" t="n">
        <v>0</v>
      </c>
      <c r="L477" t="n">
        <v>0</v>
      </c>
      <c r="M477" t="n">
        <v>0</v>
      </c>
      <c r="N477" t="n">
        <v>0</v>
      </c>
    </row>
    <row r="478">
      <c r="A478" t="inlineStr">
        <is>
          <t>stock</t>
        </is>
      </c>
      <c r="B478" t="inlineStr">
        <is>
          <t>wethers: 334 remain.</t>
        </is>
      </c>
      <c r="C478" t="n">
        <v>0</v>
      </c>
      <c r="D478" t="n">
        <v>0</v>
      </c>
      <c r="E478" t="n">
        <v>0</v>
      </c>
      <c r="F478" t="n">
        <v>0</v>
      </c>
      <c r="H478" t="n">
        <v>0</v>
      </c>
      <c r="I478" t="n">
        <v>0</v>
      </c>
      <c r="J478" t="n">
        <v>0</v>
      </c>
      <c r="K478" t="n">
        <v>0</v>
      </c>
      <c r="L478" t="n">
        <v>0</v>
      </c>
      <c r="M478" t="n">
        <v>0</v>
      </c>
      <c r="N478" t="n">
        <v>0</v>
      </c>
    </row>
    <row r="479">
      <c r="A479" t="inlineStr">
        <is>
          <t>stock</t>
        </is>
      </c>
      <c r="B479" t="inlineStr">
        <is>
          <t>61 added from hoggs below after shearing.</t>
        </is>
      </c>
      <c r="C479" t="n">
        <v>0</v>
      </c>
      <c r="D479" t="n">
        <v>0</v>
      </c>
      <c r="E479" t="n">
        <v>0</v>
      </c>
      <c r="F479" t="n">
        <v>0</v>
      </c>
      <c r="H479" t="n">
        <v>0</v>
      </c>
      <c r="I479" t="n">
        <v>0</v>
      </c>
      <c r="J479" t="n">
        <v>0</v>
      </c>
      <c r="K479" t="n">
        <v>0</v>
      </c>
      <c r="L479" t="n">
        <v>0</v>
      </c>
      <c r="M479" t="n">
        <v>0</v>
      </c>
      <c r="N479" t="n">
        <v>0</v>
      </c>
    </row>
    <row r="480">
      <c r="A480" t="inlineStr">
        <is>
          <t>stock</t>
        </is>
      </c>
      <c r="B480" t="inlineStr">
        <is>
          <t>total, 395. 5 in murrain before shearing and 7 after shearing.</t>
        </is>
      </c>
      <c r="C480" t="n">
        <v>0</v>
      </c>
      <c r="D480" t="n">
        <v>0</v>
      </c>
      <c r="E480" t="n">
        <v>0</v>
      </c>
      <c r="F480" t="n">
        <v>0</v>
      </c>
      <c r="H480" t="n">
        <v>0</v>
      </c>
      <c r="I480" t="n">
        <v>0</v>
      </c>
      <c r="J480" t="n">
        <v>0</v>
      </c>
      <c r="K480" t="n">
        <v>0</v>
      </c>
      <c r="L480" t="n">
        <v>0</v>
      </c>
      <c r="M480" t="n">
        <v>0</v>
      </c>
      <c r="N480" t="n">
        <v>0</v>
      </c>
    </row>
    <row r="481">
      <c r="A481" t="inlineStr">
        <is>
          <t>stock</t>
        </is>
      </c>
      <c r="B481" t="inlineStr">
        <is>
          <t>17 sold before shearing, 12 of them to the lord's household.</t>
        </is>
      </c>
      <c r="C481" t="n">
        <v>0</v>
      </c>
      <c r="D481" t="n">
        <v>0</v>
      </c>
      <c r="E481" t="n">
        <v>0</v>
      </c>
      <c r="F481" t="n">
        <v>0</v>
      </c>
      <c r="H481" t="n">
        <v>0</v>
      </c>
      <c r="I481" t="n">
        <v>0</v>
      </c>
      <c r="J481" t="n">
        <v>0</v>
      </c>
      <c r="K481" t="n">
        <v>0</v>
      </c>
      <c r="L481" t="n">
        <v>0</v>
      </c>
      <c r="M481" t="n">
        <v>0</v>
      </c>
      <c r="N481" t="n">
        <v>0</v>
      </c>
    </row>
    <row r="482">
      <c r="A482" t="inlineStr">
        <is>
          <t>stock</t>
        </is>
      </c>
      <c r="B482" t="inlineStr">
        <is>
          <t>42 sold at the audit for £2 16 shilling.</t>
        </is>
      </c>
      <c r="C482" t="n">
        <v>2.8</v>
      </c>
      <c r="D482" t="n">
        <v>2</v>
      </c>
      <c r="E482" t="n">
        <v>16</v>
      </c>
      <c r="F482" t="n">
        <v>0</v>
      </c>
      <c r="H482" t="n">
        <v>0</v>
      </c>
      <c r="I482" t="n">
        <v>0</v>
      </c>
      <c r="J482" t="n">
        <v>0</v>
      </c>
      <c r="K482" t="n">
        <v>0</v>
      </c>
      <c r="L482" t="n">
        <v>0</v>
      </c>
      <c r="M482" t="n">
        <v>0</v>
      </c>
      <c r="N482" t="n">
        <v>0</v>
      </c>
    </row>
    <row r="483">
      <c r="A483" t="inlineStr">
        <is>
          <t>stock</t>
        </is>
      </c>
      <c r="B483" t="inlineStr">
        <is>
          <t>total, 71. 324 remain.</t>
        </is>
      </c>
      <c r="C483" t="n">
        <v>0</v>
      </c>
      <c r="D483" t="n">
        <v>0</v>
      </c>
      <c r="E483" t="n">
        <v>0</v>
      </c>
      <c r="F483" t="n">
        <v>0</v>
      </c>
      <c r="H483" t="n">
        <v>0</v>
      </c>
      <c r="I483" t="n">
        <v>0</v>
      </c>
      <c r="J483" t="n">
        <v>0</v>
      </c>
      <c r="K483" t="n">
        <v>0</v>
      </c>
      <c r="L483" t="n">
        <v>0</v>
      </c>
      <c r="M483" t="n">
        <v>0</v>
      </c>
      <c r="N483" t="n">
        <v>0</v>
      </c>
    </row>
    <row r="484">
      <c r="A484" t="inlineStr">
        <is>
          <t>stock</t>
        </is>
      </c>
      <c r="B484" t="inlineStr">
        <is>
          <t>rams: 6 remain.</t>
        </is>
      </c>
      <c r="C484" t="n">
        <v>0</v>
      </c>
      <c r="D484" t="n">
        <v>0</v>
      </c>
      <c r="E484" t="n">
        <v>0</v>
      </c>
      <c r="F484" t="n">
        <v>0</v>
      </c>
      <c r="H484" t="n">
        <v>0</v>
      </c>
      <c r="I484" t="n">
        <v>0</v>
      </c>
      <c r="J484" t="n">
        <v>0</v>
      </c>
      <c r="K484" t="n">
        <v>0</v>
      </c>
      <c r="L484" t="n">
        <v>0</v>
      </c>
      <c r="M484" t="n">
        <v>0</v>
      </c>
      <c r="N484" t="n">
        <v>0</v>
      </c>
    </row>
    <row r="485">
      <c r="A485" t="inlineStr">
        <is>
          <t>stock</t>
        </is>
      </c>
      <c r="B485" t="inlineStr">
        <is>
          <t>2 added from hoggs below after shearing.</t>
        </is>
      </c>
      <c r="C485" t="n">
        <v>0</v>
      </c>
      <c r="D485" t="n">
        <v>0</v>
      </c>
      <c r="E485" t="n">
        <v>0</v>
      </c>
      <c r="F485" t="n">
        <v>0</v>
      </c>
      <c r="H485" t="n">
        <v>0</v>
      </c>
      <c r="I485" t="n">
        <v>0</v>
      </c>
      <c r="J485" t="n">
        <v>0</v>
      </c>
      <c r="K485" t="n">
        <v>0</v>
      </c>
      <c r="L485" t="n">
        <v>0</v>
      </c>
      <c r="M485" t="n">
        <v>0</v>
      </c>
      <c r="N485" t="n">
        <v>0</v>
      </c>
    </row>
    <row r="486">
      <c r="A486" t="inlineStr">
        <is>
          <t>stock</t>
        </is>
      </c>
      <c r="B486" t="inlineStr">
        <is>
          <t>total, 8. 2 in murrain before shearing.</t>
        </is>
      </c>
      <c r="C486" t="n">
        <v>0</v>
      </c>
      <c r="D486" t="n">
        <v>0</v>
      </c>
      <c r="E486" t="n">
        <v>0</v>
      </c>
      <c r="F486" t="n">
        <v>0</v>
      </c>
      <c r="H486" t="n">
        <v>0</v>
      </c>
      <c r="I486" t="n">
        <v>0</v>
      </c>
      <c r="J486" t="n">
        <v>0</v>
      </c>
      <c r="K486" t="n">
        <v>0</v>
      </c>
      <c r="L486" t="n">
        <v>0</v>
      </c>
      <c r="M486" t="n">
        <v>0</v>
      </c>
      <c r="N486" t="n">
        <v>0</v>
      </c>
    </row>
    <row r="487">
      <c r="A487" t="inlineStr">
        <is>
          <t>stock</t>
        </is>
      </c>
      <c r="B487" t="inlineStr">
        <is>
          <t>6 remain.</t>
        </is>
      </c>
      <c r="C487" t="n">
        <v>0</v>
      </c>
      <c r="D487" t="n">
        <v>0</v>
      </c>
      <c r="E487" t="n">
        <v>0</v>
      </c>
      <c r="F487" t="n">
        <v>0</v>
      </c>
      <c r="H487" t="n">
        <v>0</v>
      </c>
      <c r="I487" t="n">
        <v>0</v>
      </c>
      <c r="J487" t="n">
        <v>0</v>
      </c>
      <c r="K487" t="n">
        <v>0</v>
      </c>
      <c r="L487" t="n">
        <v>0</v>
      </c>
      <c r="M487" t="n">
        <v>0</v>
      </c>
      <c r="N487" t="n">
        <v>0</v>
      </c>
    </row>
    <row r="488">
      <c r="A488" t="inlineStr">
        <is>
          <t>stock</t>
        </is>
      </c>
      <c r="B488" t="inlineStr">
        <is>
          <t>ewes: 256 remain.</t>
        </is>
      </c>
      <c r="C488" t="n">
        <v>0</v>
      </c>
      <c r="D488" t="n">
        <v>0</v>
      </c>
      <c r="E488" t="n">
        <v>0</v>
      </c>
      <c r="F488" t="n">
        <v>0</v>
      </c>
      <c r="H488" t="n">
        <v>0</v>
      </c>
      <c r="I488" t="n">
        <v>0</v>
      </c>
      <c r="J488" t="n">
        <v>0</v>
      </c>
      <c r="K488" t="n">
        <v>0</v>
      </c>
      <c r="L488" t="n">
        <v>0</v>
      </c>
      <c r="M488" t="n">
        <v>0</v>
      </c>
      <c r="N488" t="n">
        <v>0</v>
      </c>
    </row>
    <row r="489">
      <c r="A489" t="inlineStr">
        <is>
          <t>stock</t>
        </is>
      </c>
      <c r="B489" t="inlineStr">
        <is>
          <t>37 added from hoggs below after shearing.</t>
        </is>
      </c>
      <c r="C489" t="n">
        <v>0</v>
      </c>
      <c r="D489" t="n">
        <v>0</v>
      </c>
      <c r="E489" t="n">
        <v>0</v>
      </c>
      <c r="F489" t="n">
        <v>0</v>
      </c>
      <c r="H489" t="n">
        <v>0</v>
      </c>
      <c r="I489" t="n">
        <v>0</v>
      </c>
      <c r="J489" t="n">
        <v>0</v>
      </c>
      <c r="K489" t="n">
        <v>0</v>
      </c>
      <c r="L489" t="n">
        <v>0</v>
      </c>
      <c r="M489" t="n">
        <v>0</v>
      </c>
      <c r="N489" t="n">
        <v>0</v>
      </c>
    </row>
    <row r="490">
      <c r="A490" t="inlineStr">
        <is>
          <t>stock</t>
        </is>
      </c>
      <c r="B490" t="inlineStr">
        <is>
          <t>total, 293. 8 in murrain before shearing and 3 after shearing.</t>
        </is>
      </c>
      <c r="C490" t="n">
        <v>0</v>
      </c>
      <c r="D490" t="n">
        <v>0</v>
      </c>
      <c r="E490" t="n">
        <v>0</v>
      </c>
      <c r="F490" t="n">
        <v>0</v>
      </c>
      <c r="H490" t="n">
        <v>0</v>
      </c>
      <c r="I490" t="n">
        <v>0</v>
      </c>
      <c r="J490" t="n">
        <v>0</v>
      </c>
      <c r="K490" t="n">
        <v>0</v>
      </c>
      <c r="L490" t="n">
        <v>0</v>
      </c>
      <c r="M490" t="n">
        <v>0</v>
      </c>
      <c r="N490" t="n">
        <v>0</v>
      </c>
    </row>
    <row r="491">
      <c r="A491" t="inlineStr">
        <is>
          <t>stock</t>
        </is>
      </c>
      <c r="B491" t="inlineStr">
        <is>
          <t>12 sold to the lord's household before shearing and 14 after shearing.</t>
        </is>
      </c>
      <c r="C491" t="n">
        <v>0</v>
      </c>
      <c r="D491" t="n">
        <v>0</v>
      </c>
      <c r="E491" t="n">
        <v>0</v>
      </c>
      <c r="F491" t="n">
        <v>0</v>
      </c>
      <c r="H491" t="n">
        <v>0</v>
      </c>
      <c r="I491" t="n">
        <v>0</v>
      </c>
      <c r="J491" t="n">
        <v>0</v>
      </c>
      <c r="K491" t="n">
        <v>0</v>
      </c>
      <c r="L491" t="n">
        <v>0</v>
      </c>
      <c r="M491" t="n">
        <v>0</v>
      </c>
      <c r="N491" t="n">
        <v>0</v>
      </c>
    </row>
    <row r="492">
      <c r="A492" t="inlineStr">
        <is>
          <t>stock</t>
        </is>
      </c>
      <c r="B492" t="inlineStr">
        <is>
          <t>total, 37. 256 remain.</t>
        </is>
      </c>
      <c r="C492" t="n">
        <v>0</v>
      </c>
      <c r="D492" t="n">
        <v>0</v>
      </c>
      <c r="E492" t="n">
        <v>0</v>
      </c>
      <c r="F492" t="n">
        <v>0</v>
      </c>
      <c r="H492" t="n">
        <v>0</v>
      </c>
      <c r="I492" t="n">
        <v>0</v>
      </c>
      <c r="J492" t="n">
        <v>0</v>
      </c>
      <c r="K492" t="n">
        <v>0</v>
      </c>
      <c r="L492" t="n">
        <v>0</v>
      </c>
      <c r="M492" t="n">
        <v>0</v>
      </c>
      <c r="N492" t="n">
        <v>0</v>
      </c>
    </row>
    <row r="493">
      <c r="A493" t="inlineStr">
        <is>
          <t>stock</t>
        </is>
      </c>
      <c r="B493" t="inlineStr">
        <is>
          <t>hoggs: 100 bought from the reeve of droxford before shearing.</t>
        </is>
      </c>
      <c r="C493" t="n">
        <v>0</v>
      </c>
      <c r="D493" t="n">
        <v>0</v>
      </c>
      <c r="E493" t="n">
        <v>0</v>
      </c>
      <c r="F493" t="n">
        <v>0</v>
      </c>
      <c r="H493" t="n">
        <v>0</v>
      </c>
      <c r="I493" t="n">
        <v>0</v>
      </c>
      <c r="J493" t="n">
        <v>0</v>
      </c>
      <c r="K493" t="n">
        <v>0</v>
      </c>
      <c r="L493" t="n">
        <v>0</v>
      </c>
      <c r="M493" t="n">
        <v>0</v>
      </c>
      <c r="N493" t="n">
        <v>0</v>
      </c>
    </row>
    <row r="494">
      <c r="A494" t="inlineStr">
        <is>
          <t>stock</t>
        </is>
      </c>
      <c r="B494" t="inlineStr">
        <is>
          <t>total, 100. 61 added above to wethers, 2 to rams and 37 to ewes.</t>
        </is>
      </c>
      <c r="C494" t="n">
        <v>0</v>
      </c>
      <c r="D494" t="n">
        <v>0</v>
      </c>
      <c r="E494" t="n">
        <v>0</v>
      </c>
      <c r="F494" t="n">
        <v>0</v>
      </c>
      <c r="H494" t="n">
        <v>0</v>
      </c>
      <c r="I494" t="n">
        <v>0</v>
      </c>
      <c r="J494" t="n">
        <v>0</v>
      </c>
      <c r="K494" t="n">
        <v>0</v>
      </c>
      <c r="L494" t="n">
        <v>0</v>
      </c>
      <c r="M494" t="n">
        <v>0</v>
      </c>
      <c r="N494" t="n">
        <v>0</v>
      </c>
    </row>
    <row r="495">
      <c r="A495" t="inlineStr">
        <is>
          <t>stock</t>
        </is>
      </c>
      <c r="B495" t="inlineStr">
        <is>
          <t>none remain.</t>
        </is>
      </c>
      <c r="C495" t="n">
        <v>0</v>
      </c>
      <c r="D495" t="n">
        <v>0</v>
      </c>
      <c r="E495" t="n">
        <v>0</v>
      </c>
      <c r="F495" t="n">
        <v>0</v>
      </c>
      <c r="H495" t="n">
        <v>0</v>
      </c>
      <c r="I495" t="n">
        <v>0</v>
      </c>
      <c r="J495" t="n">
        <v>0</v>
      </c>
      <c r="K495" t="n">
        <v>0</v>
      </c>
      <c r="L495" t="n">
        <v>0</v>
      </c>
      <c r="M495" t="n">
        <v>0</v>
      </c>
      <c r="N495" t="n">
        <v>0</v>
      </c>
    </row>
    <row r="496">
      <c r="A496" t="inlineStr">
        <is>
          <t>stock</t>
        </is>
      </c>
      <c r="B496" t="inlineStr">
        <is>
          <t>lambs: 216 offspring and not more because 8 ewes died before lambing and 42 were sterile this year.</t>
        </is>
      </c>
      <c r="C496" t="n">
        <v>0</v>
      </c>
      <c r="D496" t="n">
        <v>0</v>
      </c>
      <c r="E496" t="n">
        <v>0</v>
      </c>
      <c r="F496" t="n">
        <v>0</v>
      </c>
      <c r="H496" t="n">
        <v>0</v>
      </c>
      <c r="I496" t="n">
        <v>0</v>
      </c>
      <c r="J496" t="n">
        <v>0</v>
      </c>
      <c r="K496" t="n">
        <v>0</v>
      </c>
      <c r="L496" t="n">
        <v>0</v>
      </c>
      <c r="M496" t="n">
        <v>0</v>
      </c>
      <c r="N496" t="n">
        <v>0</v>
      </c>
    </row>
    <row r="497">
      <c r="A497" t="inlineStr">
        <is>
          <t>stock</t>
        </is>
      </c>
      <c r="B497" t="inlineStr">
        <is>
          <t>total, 216. 61 in murrain before weaning.</t>
        </is>
      </c>
      <c r="C497" t="n">
        <v>0</v>
      </c>
      <c r="D497" t="n">
        <v>0</v>
      </c>
      <c r="E497" t="n">
        <v>0</v>
      </c>
      <c r="F497" t="n">
        <v>0</v>
      </c>
      <c r="H497" t="n">
        <v>0</v>
      </c>
      <c r="I497" t="n">
        <v>0</v>
      </c>
      <c r="J497" t="n">
        <v>0</v>
      </c>
      <c r="K497" t="n">
        <v>0</v>
      </c>
      <c r="L497" t="n">
        <v>0</v>
      </c>
      <c r="M497" t="n">
        <v>0</v>
      </c>
      <c r="N497" t="n">
        <v>0</v>
      </c>
    </row>
    <row r="498">
      <c r="A498" t="inlineStr">
        <is>
          <t>stock</t>
        </is>
      </c>
      <c r="B498" t="inlineStr">
        <is>
          <t>14 in tithe.</t>
        </is>
      </c>
      <c r="C498" t="n">
        <v>0</v>
      </c>
      <c r="D498" t="n">
        <v>0</v>
      </c>
      <c r="E498" t="n">
        <v>0</v>
      </c>
      <c r="F498" t="n">
        <v>0</v>
      </c>
      <c r="H498" t="n">
        <v>0</v>
      </c>
      <c r="I498" t="n">
        <v>0</v>
      </c>
      <c r="J498" t="n">
        <v>0</v>
      </c>
      <c r="K498" t="n">
        <v>0</v>
      </c>
      <c r="L498" t="n">
        <v>0</v>
      </c>
      <c r="M498" t="n">
        <v>0</v>
      </c>
      <c r="N498" t="n">
        <v>0</v>
      </c>
    </row>
    <row r="499">
      <c r="A499" t="inlineStr">
        <is>
          <t>stock</t>
        </is>
      </c>
      <c r="B499" t="inlineStr">
        <is>
          <t>1 in customary payment to the beadle.</t>
        </is>
      </c>
      <c r="C499" t="n">
        <v>0</v>
      </c>
      <c r="D499" t="n">
        <v>0</v>
      </c>
      <c r="E499" t="n">
        <v>0</v>
      </c>
      <c r="F499" t="n">
        <v>0</v>
      </c>
      <c r="H499" t="n">
        <v>0</v>
      </c>
      <c r="I499" t="n">
        <v>0</v>
      </c>
      <c r="J499" t="n">
        <v>0</v>
      </c>
      <c r="K499" t="n">
        <v>0</v>
      </c>
      <c r="L499" t="n">
        <v>0</v>
      </c>
      <c r="M499" t="n">
        <v>0</v>
      </c>
      <c r="N499" t="n">
        <v>0</v>
      </c>
    </row>
    <row r="500">
      <c r="A500" t="inlineStr">
        <is>
          <t>stock</t>
        </is>
      </c>
      <c r="B500" t="inlineStr">
        <is>
          <t>130 sold to the reeve of droxford before shearing.</t>
        </is>
      </c>
      <c r="C500" t="n">
        <v>0</v>
      </c>
      <c r="D500" t="n">
        <v>0</v>
      </c>
      <c r="E500" t="n">
        <v>0</v>
      </c>
      <c r="F500" t="n">
        <v>0</v>
      </c>
      <c r="H500" t="n">
        <v>0</v>
      </c>
      <c r="I500" t="n">
        <v>0</v>
      </c>
      <c r="J500" t="n">
        <v>0</v>
      </c>
      <c r="K500" t="n">
        <v>0</v>
      </c>
      <c r="L500" t="n">
        <v>0</v>
      </c>
      <c r="M500" t="n">
        <v>0</v>
      </c>
      <c r="N500" t="n">
        <v>0</v>
      </c>
    </row>
    <row r="501">
      <c r="A501" t="inlineStr">
        <is>
          <t>stock</t>
        </is>
      </c>
      <c r="B501" t="inlineStr">
        <is>
          <t>10 sold at the audit for 10 shilling.</t>
        </is>
      </c>
      <c r="C501" t="n">
        <v>0.5</v>
      </c>
      <c r="D501" t="n">
        <v>0</v>
      </c>
      <c r="E501" t="n">
        <v>10</v>
      </c>
      <c r="F501" t="n">
        <v>0</v>
      </c>
      <c r="H501" t="n">
        <v>0</v>
      </c>
      <c r="I501" t="n">
        <v>0</v>
      </c>
      <c r="J501" t="n">
        <v>0</v>
      </c>
      <c r="K501" t="n">
        <v>0</v>
      </c>
      <c r="L501" t="n">
        <v>0</v>
      </c>
      <c r="M501" t="n">
        <v>0</v>
      </c>
      <c r="N501" t="n">
        <v>0</v>
      </c>
    </row>
    <row r="502">
      <c r="A502" t="inlineStr">
        <is>
          <t>stock</t>
        </is>
      </c>
      <c r="B502" t="inlineStr">
        <is>
          <t>total as before.</t>
        </is>
      </c>
      <c r="C502" t="n">
        <v>0</v>
      </c>
      <c r="D502" t="n">
        <v>0</v>
      </c>
      <c r="E502" t="n">
        <v>0</v>
      </c>
      <c r="F502" t="n">
        <v>0</v>
      </c>
      <c r="H502" t="n">
        <v>0</v>
      </c>
      <c r="I502" t="n">
        <v>0</v>
      </c>
      <c r="J502" t="n">
        <v>0</v>
      </c>
      <c r="K502" t="n">
        <v>0</v>
      </c>
      <c r="L502" t="n">
        <v>0</v>
      </c>
      <c r="M502" t="n">
        <v>0</v>
      </c>
      <c r="N502" t="n">
        <v>0</v>
      </c>
    </row>
    <row r="503">
      <c r="A503" t="inlineStr">
        <is>
          <t>stock</t>
        </is>
      </c>
      <c r="B503" t="inlineStr">
        <is>
          <t>it balances.</t>
        </is>
      </c>
      <c r="C503" t="n">
        <v>0</v>
      </c>
      <c r="D503" t="n">
        <v>0</v>
      </c>
      <c r="E503" t="n">
        <v>0</v>
      </c>
      <c r="F503" t="n">
        <v>0</v>
      </c>
      <c r="H503" t="n">
        <v>0</v>
      </c>
      <c r="I503" t="n">
        <v>0</v>
      </c>
      <c r="J503" t="n">
        <v>0</v>
      </c>
      <c r="K503" t="n">
        <v>0</v>
      </c>
      <c r="L503" t="n">
        <v>0</v>
      </c>
      <c r="M503" t="n">
        <v>0</v>
      </c>
      <c r="N503" t="n">
        <v>0</v>
      </c>
    </row>
    <row r="504">
      <c r="A504" t="inlineStr">
        <is>
          <t>stock</t>
        </is>
      </c>
      <c r="B504" t="inlineStr">
        <is>
          <t>boars: 1 remains.</t>
        </is>
      </c>
      <c r="C504" t="n">
        <v>0</v>
      </c>
      <c r="D504" t="n">
        <v>0</v>
      </c>
      <c r="E504" t="n">
        <v>0</v>
      </c>
      <c r="F504" t="n">
        <v>0</v>
      </c>
      <c r="H504" t="n">
        <v>0</v>
      </c>
      <c r="I504" t="n">
        <v>0</v>
      </c>
      <c r="J504" t="n">
        <v>0</v>
      </c>
      <c r="K504" t="n">
        <v>0</v>
      </c>
      <c r="L504" t="n">
        <v>0</v>
      </c>
      <c r="M504" t="n">
        <v>0</v>
      </c>
      <c r="N504" t="n">
        <v>0</v>
      </c>
    </row>
    <row r="505">
      <c r="A505" t="inlineStr">
        <is>
          <t>stock</t>
        </is>
      </c>
      <c r="B505" t="inlineStr">
        <is>
          <t>sows: 2 remain.</t>
        </is>
      </c>
      <c r="C505" t="n">
        <v>0</v>
      </c>
      <c r="D505" t="n">
        <v>0</v>
      </c>
      <c r="E505" t="n">
        <v>0</v>
      </c>
      <c r="F505" t="n">
        <v>0</v>
      </c>
      <c r="H505" t="n">
        <v>0</v>
      </c>
      <c r="I505" t="n">
        <v>0</v>
      </c>
      <c r="J505" t="n">
        <v>0</v>
      </c>
      <c r="K505" t="n">
        <v>0</v>
      </c>
      <c r="L505" t="n">
        <v>0</v>
      </c>
      <c r="M505" t="n">
        <v>0</v>
      </c>
      <c r="N505" t="n">
        <v>0</v>
      </c>
    </row>
    <row r="506">
      <c r="A506" t="inlineStr">
        <is>
          <t>stock</t>
        </is>
      </c>
      <c r="B506" t="inlineStr">
        <is>
          <t>total, 2. 2 remain.</t>
        </is>
      </c>
      <c r="C506" t="n">
        <v>0</v>
      </c>
      <c r="D506" t="n">
        <v>0</v>
      </c>
      <c r="E506" t="n">
        <v>0</v>
      </c>
      <c r="F506" t="n">
        <v>0</v>
      </c>
      <c r="H506" t="n">
        <v>0</v>
      </c>
      <c r="I506" t="n">
        <v>0</v>
      </c>
      <c r="J506" t="n">
        <v>0</v>
      </c>
      <c r="K506" t="n">
        <v>0</v>
      </c>
      <c r="L506" t="n">
        <v>0</v>
      </c>
      <c r="M506" t="n">
        <v>0</v>
      </c>
      <c r="N506" t="n">
        <v>0</v>
      </c>
    </row>
    <row r="507">
      <c r="A507" t="inlineStr">
        <is>
          <t>stock</t>
        </is>
      </c>
      <c r="B507" t="inlineStr">
        <is>
          <t>pigs: 24 remain.</t>
        </is>
      </c>
      <c r="C507" t="n">
        <v>0</v>
      </c>
      <c r="D507" t="n">
        <v>0</v>
      </c>
      <c r="E507" t="n">
        <v>0</v>
      </c>
      <c r="F507" t="n">
        <v>0</v>
      </c>
      <c r="H507" t="n">
        <v>0</v>
      </c>
      <c r="I507" t="n">
        <v>0</v>
      </c>
      <c r="J507" t="n">
        <v>0</v>
      </c>
      <c r="K507" t="n">
        <v>0</v>
      </c>
      <c r="L507" t="n">
        <v>0</v>
      </c>
      <c r="M507" t="n">
        <v>0</v>
      </c>
      <c r="N507" t="n">
        <v>0</v>
      </c>
    </row>
    <row r="508">
      <c r="A508" t="inlineStr">
        <is>
          <t>stock</t>
        </is>
      </c>
      <c r="B508" t="inlineStr">
        <is>
          <t>12 added from hoggets below.</t>
        </is>
      </c>
      <c r="C508" t="n">
        <v>0</v>
      </c>
      <c r="D508" t="n">
        <v>0</v>
      </c>
      <c r="E508" t="n">
        <v>0</v>
      </c>
      <c r="F508" t="n">
        <v>0</v>
      </c>
      <c r="H508" t="n">
        <v>0</v>
      </c>
      <c r="I508" t="n">
        <v>0</v>
      </c>
      <c r="J508" t="n">
        <v>0</v>
      </c>
      <c r="K508" t="n">
        <v>0</v>
      </c>
      <c r="L508" t="n">
        <v>0</v>
      </c>
      <c r="M508" t="n">
        <v>0</v>
      </c>
      <c r="N508" t="n">
        <v>0</v>
      </c>
    </row>
    <row r="509">
      <c r="A509" t="inlineStr">
        <is>
          <t>stock</t>
        </is>
      </c>
      <c r="B509" t="inlineStr">
        <is>
          <t>total, 36. 2 in murrain.</t>
        </is>
      </c>
      <c r="C509" t="n">
        <v>0</v>
      </c>
      <c r="D509" t="n">
        <v>0</v>
      </c>
      <c r="E509" t="n">
        <v>0</v>
      </c>
      <c r="F509" t="n">
        <v>0</v>
      </c>
      <c r="H509" t="n">
        <v>0</v>
      </c>
      <c r="I509" t="n">
        <v>0</v>
      </c>
      <c r="J509" t="n">
        <v>0</v>
      </c>
      <c r="K509" t="n">
        <v>0</v>
      </c>
      <c r="L509" t="n">
        <v>0</v>
      </c>
      <c r="M509" t="n">
        <v>0</v>
      </c>
      <c r="N509" t="n">
        <v>0</v>
      </c>
    </row>
    <row r="510">
      <c r="A510" t="inlineStr">
        <is>
          <t>stock</t>
        </is>
      </c>
      <c r="B510" t="inlineStr">
        <is>
          <t>12 sold to the lord's househo1pence.</t>
        </is>
      </c>
      <c r="C510" t="n">
        <v>0</v>
      </c>
      <c r="D510" t="n">
        <v>0</v>
      </c>
      <c r="E510" t="n">
        <v>0</v>
      </c>
      <c r="F510" t="n">
        <v>1</v>
      </c>
      <c r="H510" t="n">
        <v>0</v>
      </c>
      <c r="I510" t="n">
        <v>0</v>
      </c>
      <c r="J510" t="n">
        <v>0</v>
      </c>
      <c r="K510" t="n">
        <v>0</v>
      </c>
      <c r="L510" t="n">
        <v>0</v>
      </c>
      <c r="M510" t="n">
        <v>0</v>
      </c>
      <c r="N510" t="n">
        <v>0</v>
      </c>
    </row>
    <row r="511">
      <c r="A511" t="inlineStr">
        <is>
          <t>stock</t>
        </is>
      </c>
      <c r="B511" t="inlineStr">
        <is>
          <t>total, 14. 22 remain.</t>
        </is>
      </c>
      <c r="C511" t="n">
        <v>0</v>
      </c>
      <c r="D511" t="n">
        <v>0</v>
      </c>
      <c r="E511" t="n">
        <v>0</v>
      </c>
      <c r="F511" t="n">
        <v>0</v>
      </c>
      <c r="H511" t="n">
        <v>0</v>
      </c>
      <c r="I511" t="n">
        <v>0</v>
      </c>
      <c r="J511" t="n">
        <v>0</v>
      </c>
      <c r="K511" t="n">
        <v>0</v>
      </c>
      <c r="L511" t="n">
        <v>0</v>
      </c>
      <c r="M511" t="n">
        <v>0</v>
      </c>
      <c r="N511" t="n">
        <v>0</v>
      </c>
    </row>
    <row r="512">
      <c r="A512" t="inlineStr">
        <is>
          <t>stock</t>
        </is>
      </c>
      <c r="B512" t="inlineStr">
        <is>
          <t>hoggets: 26 remain from the piglets.</t>
        </is>
      </c>
      <c r="C512" t="n">
        <v>0</v>
      </c>
      <c r="D512" t="n">
        <v>0</v>
      </c>
      <c r="E512" t="n">
        <v>0</v>
      </c>
      <c r="F512" t="n">
        <v>0</v>
      </c>
      <c r="H512" t="n">
        <v>0</v>
      </c>
      <c r="I512" t="n">
        <v>0</v>
      </c>
      <c r="J512" t="n">
        <v>0</v>
      </c>
      <c r="K512" t="n">
        <v>0</v>
      </c>
      <c r="L512" t="n">
        <v>0</v>
      </c>
      <c r="M512" t="n">
        <v>0</v>
      </c>
      <c r="N512" t="n">
        <v>0</v>
      </c>
    </row>
    <row r="513">
      <c r="A513" t="inlineStr">
        <is>
          <t>stock</t>
        </is>
      </c>
      <c r="B513" t="inlineStr">
        <is>
          <t>total, 26. 14 in murrain.</t>
        </is>
      </c>
      <c r="C513" t="n">
        <v>0</v>
      </c>
      <c r="D513" t="n">
        <v>0</v>
      </c>
      <c r="E513" t="n">
        <v>0</v>
      </c>
      <c r="F513" t="n">
        <v>0</v>
      </c>
      <c r="H513" t="n">
        <v>0</v>
      </c>
      <c r="I513" t="n">
        <v>0</v>
      </c>
      <c r="J513" t="n">
        <v>0</v>
      </c>
      <c r="K513" t="n">
        <v>0</v>
      </c>
      <c r="L513" t="n">
        <v>0</v>
      </c>
      <c r="M513" t="n">
        <v>0</v>
      </c>
      <c r="N513" t="n">
        <v>0</v>
      </c>
    </row>
    <row r="514">
      <c r="A514" t="inlineStr">
        <is>
          <t>stock</t>
        </is>
      </c>
      <c r="B514" t="inlineStr">
        <is>
          <t>12 added above to pigs.</t>
        </is>
      </c>
      <c r="C514" t="n">
        <v>0</v>
      </c>
      <c r="D514" t="n">
        <v>0</v>
      </c>
      <c r="E514" t="n">
        <v>0</v>
      </c>
      <c r="F514" t="n">
        <v>0</v>
      </c>
      <c r="H514" t="n">
        <v>0</v>
      </c>
      <c r="I514" t="n">
        <v>0</v>
      </c>
      <c r="J514" t="n">
        <v>0</v>
      </c>
      <c r="K514" t="n">
        <v>0</v>
      </c>
      <c r="L514" t="n">
        <v>0</v>
      </c>
      <c r="M514" t="n">
        <v>0</v>
      </c>
      <c r="N514" t="n">
        <v>0</v>
      </c>
    </row>
    <row r="515">
      <c r="A515" t="inlineStr">
        <is>
          <t>stock</t>
        </is>
      </c>
      <c r="B515" t="inlineStr">
        <is>
          <t>none remain.</t>
        </is>
      </c>
      <c r="C515" t="n">
        <v>0</v>
      </c>
      <c r="D515" t="n">
        <v>0</v>
      </c>
      <c r="E515" t="n">
        <v>0</v>
      </c>
      <c r="F515" t="n">
        <v>0</v>
      </c>
      <c r="H515" t="n">
        <v>0</v>
      </c>
      <c r="I515" t="n">
        <v>0</v>
      </c>
      <c r="J515" t="n">
        <v>0</v>
      </c>
      <c r="K515" t="n">
        <v>0</v>
      </c>
      <c r="L515" t="n">
        <v>0</v>
      </c>
      <c r="M515" t="n">
        <v>0</v>
      </c>
      <c r="N515" t="n">
        <v>0</v>
      </c>
    </row>
    <row r="516">
      <c r="A516" t="inlineStr">
        <is>
          <t>stock</t>
        </is>
      </c>
      <c r="B516" t="inlineStr">
        <is>
          <t>piglets: 30 from the offspring of the said sows.</t>
        </is>
      </c>
      <c r="C516" t="n">
        <v>0</v>
      </c>
      <c r="D516" t="n">
        <v>0</v>
      </c>
      <c r="E516" t="n">
        <v>0</v>
      </c>
      <c r="F516" t="n">
        <v>0</v>
      </c>
      <c r="H516" t="n">
        <v>0</v>
      </c>
      <c r="I516" t="n">
        <v>0</v>
      </c>
      <c r="J516" t="n">
        <v>0</v>
      </c>
      <c r="K516" t="n">
        <v>0</v>
      </c>
      <c r="L516" t="n">
        <v>0</v>
      </c>
      <c r="M516" t="n">
        <v>0</v>
      </c>
      <c r="N516" t="n">
        <v>0</v>
      </c>
    </row>
    <row r="517">
      <c r="A517" t="inlineStr">
        <is>
          <t>stock</t>
        </is>
      </c>
      <c r="B517" t="inlineStr">
        <is>
          <t>total, 30. 3 given in tithe.</t>
        </is>
      </c>
      <c r="C517" t="n">
        <v>0</v>
      </c>
      <c r="D517" t="n">
        <v>0</v>
      </c>
      <c r="E517" t="n">
        <v>0</v>
      </c>
      <c r="F517" t="n">
        <v>0</v>
      </c>
      <c r="H517" t="n">
        <v>0</v>
      </c>
      <c r="I517" t="n">
        <v>0</v>
      </c>
      <c r="J517" t="n">
        <v>0</v>
      </c>
      <c r="K517" t="n">
        <v>0</v>
      </c>
      <c r="L517" t="n">
        <v>0</v>
      </c>
      <c r="M517" t="n">
        <v>0</v>
      </c>
      <c r="N517" t="n">
        <v>0</v>
      </c>
    </row>
    <row r="518">
      <c r="A518" t="inlineStr">
        <is>
          <t>stock</t>
        </is>
      </c>
      <c r="B518" t="inlineStr">
        <is>
          <t>1 in customary payment to 1 swineherd from the customary tenants.</t>
        </is>
      </c>
      <c r="C518" t="n">
        <v>0</v>
      </c>
      <c r="D518" t="n">
        <v>0</v>
      </c>
      <c r="E518" t="n">
        <v>0</v>
      </c>
      <c r="F518" t="n">
        <v>0</v>
      </c>
      <c r="H518" t="n">
        <v>0</v>
      </c>
      <c r="I518" t="n">
        <v>0</v>
      </c>
      <c r="J518" t="n">
        <v>0</v>
      </c>
      <c r="K518" t="n">
        <v>0</v>
      </c>
      <c r="L518" t="n">
        <v>0</v>
      </c>
      <c r="M518" t="n">
        <v>0</v>
      </c>
      <c r="N518" t="n">
        <v>0</v>
      </c>
    </row>
    <row r="519">
      <c r="A519" t="inlineStr">
        <is>
          <t>stock</t>
        </is>
      </c>
      <c r="B519" t="inlineStr">
        <is>
          <t>total, 4. 26 remain.</t>
        </is>
      </c>
      <c r="C519" t="n">
        <v>0</v>
      </c>
      <c r="D519" t="n">
        <v>0</v>
      </c>
      <c r="E519" t="n">
        <v>0</v>
      </c>
      <c r="F519" t="n">
        <v>0</v>
      </c>
      <c r="H519" t="n">
        <v>0</v>
      </c>
      <c r="I519" t="n">
        <v>0</v>
      </c>
      <c r="J519" t="n">
        <v>0</v>
      </c>
      <c r="K519" t="n">
        <v>0</v>
      </c>
      <c r="L519" t="n">
        <v>0</v>
      </c>
      <c r="M519" t="n">
        <v>0</v>
      </c>
      <c r="N519" t="n">
        <v>0</v>
      </c>
    </row>
    <row r="520">
      <c r="A520" t="inlineStr">
        <is>
          <t>stock</t>
        </is>
      </c>
      <c r="B520" t="inlineStr">
        <is>
          <t>hides: 1 from a horse, 2 from cows, 1 from a bullock and 4 from yearlings in murrain as made clear above.</t>
        </is>
      </c>
      <c r="C520" t="n">
        <v>0</v>
      </c>
      <c r="D520" t="n">
        <v>0</v>
      </c>
      <c r="E520" t="n">
        <v>0</v>
      </c>
      <c r="F520" t="n">
        <v>0</v>
      </c>
      <c r="H520" t="n">
        <v>0</v>
      </c>
      <c r="I520" t="n">
        <v>0</v>
      </c>
      <c r="J520" t="n">
        <v>0</v>
      </c>
      <c r="K520" t="n">
        <v>0</v>
      </c>
      <c r="L520" t="n">
        <v>0</v>
      </c>
      <c r="M520" t="n">
        <v>0</v>
      </c>
      <c r="N520" t="n">
        <v>0</v>
      </c>
    </row>
    <row r="521">
      <c r="A521" t="inlineStr">
        <is>
          <t>stock</t>
        </is>
      </c>
      <c r="B521" t="inlineStr">
        <is>
          <t>sold within.</t>
        </is>
      </c>
      <c r="C521" t="n">
        <v>0</v>
      </c>
      <c r="D521" t="n">
        <v>0</v>
      </c>
      <c r="E521" t="n">
        <v>0</v>
      </c>
      <c r="F521" t="n">
        <v>0</v>
      </c>
      <c r="H521" t="n">
        <v>0</v>
      </c>
      <c r="I521" t="n">
        <v>0</v>
      </c>
      <c r="J521" t="n">
        <v>0</v>
      </c>
      <c r="K521" t="n">
        <v>0</v>
      </c>
      <c r="L521" t="n">
        <v>0</v>
      </c>
      <c r="M521" t="n">
        <v>0</v>
      </c>
      <c r="N521" t="n">
        <v>0</v>
      </c>
    </row>
    <row r="522">
      <c r="A522" t="inlineStr">
        <is>
          <t>stock</t>
        </is>
      </c>
      <c r="B522" t="inlineStr">
        <is>
          <t>none remain.</t>
        </is>
      </c>
      <c r="C522" t="n">
        <v>0</v>
      </c>
      <c r="D522" t="n">
        <v>0</v>
      </c>
      <c r="E522" t="n">
        <v>0</v>
      </c>
      <c r="F522" t="n">
        <v>0</v>
      </c>
      <c r="H522" t="n">
        <v>0</v>
      </c>
      <c r="I522" t="n">
        <v>0</v>
      </c>
      <c r="J522" t="n">
        <v>0</v>
      </c>
      <c r="K522" t="n">
        <v>0</v>
      </c>
      <c r="L522" t="n">
        <v>0</v>
      </c>
      <c r="M522" t="n">
        <v>0</v>
      </c>
      <c r="N522" t="n">
        <v>0</v>
      </c>
    </row>
    <row r="523">
      <c r="A523" t="inlineStr">
        <is>
          <t>stock</t>
        </is>
      </c>
      <c r="B523" t="inlineStr">
        <is>
          <t>woolskins: 5 from wethers, 2 from rams and 8 from ewes in murrain before shearing as made clear above.</t>
        </is>
      </c>
      <c r="C523" t="n">
        <v>0</v>
      </c>
      <c r="D523" t="n">
        <v>0</v>
      </c>
      <c r="E523" t="n">
        <v>0</v>
      </c>
      <c r="F523" t="n">
        <v>0</v>
      </c>
      <c r="H523" t="n">
        <v>0</v>
      </c>
      <c r="I523" t="n">
        <v>0</v>
      </c>
      <c r="J523" t="n">
        <v>0</v>
      </c>
      <c r="K523" t="n">
        <v>0</v>
      </c>
      <c r="L523" t="n">
        <v>0</v>
      </c>
      <c r="M523" t="n">
        <v>0</v>
      </c>
      <c r="N523" t="n">
        <v>0</v>
      </c>
    </row>
    <row r="524">
      <c r="A524" t="inlineStr">
        <is>
          <t>stock</t>
        </is>
      </c>
      <c r="B524" t="inlineStr">
        <is>
          <t>sold within.</t>
        </is>
      </c>
      <c r="C524" t="n">
        <v>0</v>
      </c>
      <c r="D524" t="n">
        <v>0</v>
      </c>
      <c r="E524" t="n">
        <v>0</v>
      </c>
      <c r="F524" t="n">
        <v>0</v>
      </c>
      <c r="H524" t="n">
        <v>0</v>
      </c>
      <c r="I524" t="n">
        <v>0</v>
      </c>
      <c r="J524" t="n">
        <v>0</v>
      </c>
      <c r="K524" t="n">
        <v>0</v>
      </c>
      <c r="L524" t="n">
        <v>0</v>
      </c>
      <c r="M524" t="n">
        <v>0</v>
      </c>
      <c r="N524" t="n">
        <v>0</v>
      </c>
    </row>
    <row r="525">
      <c r="A525" t="inlineStr">
        <is>
          <t>stock</t>
        </is>
      </c>
      <c r="B525" t="inlineStr">
        <is>
          <t>none remain.</t>
        </is>
      </c>
      <c r="C525" t="n">
        <v>0</v>
      </c>
      <c r="D525" t="n">
        <v>0</v>
      </c>
      <c r="E525" t="n">
        <v>0</v>
      </c>
      <c r="F525" t="n">
        <v>0</v>
      </c>
      <c r="H525" t="n">
        <v>0</v>
      </c>
      <c r="I525" t="n">
        <v>0</v>
      </c>
      <c r="J525" t="n">
        <v>0</v>
      </c>
      <c r="K525" t="n">
        <v>0</v>
      </c>
      <c r="L525" t="n">
        <v>0</v>
      </c>
      <c r="M525" t="n">
        <v>0</v>
      </c>
      <c r="N525" t="n">
        <v>0</v>
      </c>
    </row>
    <row r="526">
      <c r="A526" t="inlineStr">
        <is>
          <t>stock</t>
        </is>
      </c>
      <c r="B526" t="inlineStr">
        <is>
          <t>bare skins: 7 from wethers and 3 from ewes in murrain after shearing as made clear above.</t>
        </is>
      </c>
      <c r="C526" t="n">
        <v>0</v>
      </c>
      <c r="D526" t="n">
        <v>0</v>
      </c>
      <c r="E526" t="n">
        <v>0</v>
      </c>
      <c r="F526" t="n">
        <v>0</v>
      </c>
      <c r="H526" t="n">
        <v>0</v>
      </c>
      <c r="I526" t="n">
        <v>0</v>
      </c>
      <c r="J526" t="n">
        <v>0</v>
      </c>
      <c r="K526" t="n">
        <v>0</v>
      </c>
      <c r="L526" t="n">
        <v>0</v>
      </c>
      <c r="M526" t="n">
        <v>0</v>
      </c>
      <c r="N526" t="n">
        <v>0</v>
      </c>
    </row>
    <row r="527">
      <c r="A527" t="inlineStr">
        <is>
          <t>stock</t>
        </is>
      </c>
      <c r="B527" t="inlineStr">
        <is>
          <t>sold within.</t>
        </is>
      </c>
      <c r="C527" t="n">
        <v>0</v>
      </c>
      <c r="D527" t="n">
        <v>0</v>
      </c>
      <c r="E527" t="n">
        <v>0</v>
      </c>
      <c r="F527" t="n">
        <v>0</v>
      </c>
      <c r="H527" t="n">
        <v>0</v>
      </c>
      <c r="I527" t="n">
        <v>0</v>
      </c>
      <c r="J527" t="n">
        <v>0</v>
      </c>
      <c r="K527" t="n">
        <v>0</v>
      </c>
      <c r="L527" t="n">
        <v>0</v>
      </c>
      <c r="M527" t="n">
        <v>0</v>
      </c>
      <c r="N527" t="n">
        <v>0</v>
      </c>
    </row>
    <row r="528">
      <c r="A528" t="inlineStr">
        <is>
          <t>stock</t>
        </is>
      </c>
      <c r="B528" t="inlineStr">
        <is>
          <t>none remain.</t>
        </is>
      </c>
      <c r="C528" t="n">
        <v>0</v>
      </c>
      <c r="D528" t="n">
        <v>0</v>
      </c>
      <c r="E528" t="n">
        <v>0</v>
      </c>
      <c r="F528" t="n">
        <v>0</v>
      </c>
      <c r="H528" t="n">
        <v>0</v>
      </c>
      <c r="I528" t="n">
        <v>0</v>
      </c>
      <c r="J528" t="n">
        <v>0</v>
      </c>
      <c r="K528" t="n">
        <v>0</v>
      </c>
      <c r="L528" t="n">
        <v>0</v>
      </c>
      <c r="M528" t="n">
        <v>0</v>
      </c>
      <c r="N528" t="n">
        <v>0</v>
      </c>
    </row>
    <row r="529">
      <c r="A529" t="inlineStr">
        <is>
          <t>stock</t>
        </is>
      </c>
      <c r="B529" t="inlineStr">
        <is>
          <t>lambskins: 61 from lambs in murrain before weaning as made clear above.</t>
        </is>
      </c>
      <c r="C529" t="n">
        <v>0</v>
      </c>
      <c r="D529" t="n">
        <v>0</v>
      </c>
      <c r="E529" t="n">
        <v>0</v>
      </c>
      <c r="F529" t="n">
        <v>0</v>
      </c>
      <c r="H529" t="n">
        <v>0</v>
      </c>
      <c r="I529" t="n">
        <v>0</v>
      </c>
      <c r="J529" t="n">
        <v>0</v>
      </c>
      <c r="K529" t="n">
        <v>0</v>
      </c>
      <c r="L529" t="n">
        <v>0</v>
      </c>
      <c r="M529" t="n">
        <v>0</v>
      </c>
      <c r="N529" t="n">
        <v>0</v>
      </c>
    </row>
    <row r="530">
      <c r="A530" t="inlineStr">
        <is>
          <t>stock</t>
        </is>
      </c>
      <c r="B530" t="inlineStr">
        <is>
          <t>total, 61. 6 in tithe.</t>
        </is>
      </c>
      <c r="C530" t="n">
        <v>0</v>
      </c>
      <c r="D530" t="n">
        <v>0</v>
      </c>
      <c r="E530" t="n">
        <v>0</v>
      </c>
      <c r="F530" t="n">
        <v>0</v>
      </c>
      <c r="H530" t="n">
        <v>0</v>
      </c>
      <c r="I530" t="n">
        <v>0</v>
      </c>
      <c r="J530" t="n">
        <v>0</v>
      </c>
      <c r="K530" t="n">
        <v>0</v>
      </c>
      <c r="L530" t="n">
        <v>0</v>
      </c>
      <c r="M530" t="n">
        <v>0</v>
      </c>
      <c r="N530" t="n">
        <v>0</v>
      </c>
    </row>
    <row r="531">
      <c r="A531" t="inlineStr">
        <is>
          <t>stock</t>
        </is>
      </c>
      <c r="B531" t="inlineStr">
        <is>
          <t>55 sold within.</t>
        </is>
      </c>
      <c r="C531" t="n">
        <v>0</v>
      </c>
      <c r="D531" t="n">
        <v>0</v>
      </c>
      <c r="E531" t="n">
        <v>0</v>
      </c>
      <c r="F531" t="n">
        <v>0</v>
      </c>
      <c r="H531" t="n">
        <v>0</v>
      </c>
      <c r="I531" t="n">
        <v>0</v>
      </c>
      <c r="J531" t="n">
        <v>0</v>
      </c>
      <c r="K531" t="n">
        <v>0</v>
      </c>
      <c r="L531" t="n">
        <v>0</v>
      </c>
      <c r="M531" t="n">
        <v>0</v>
      </c>
      <c r="N531" t="n">
        <v>0</v>
      </c>
    </row>
    <row r="532">
      <c r="A532" t="inlineStr">
        <is>
          <t>stock</t>
        </is>
      </c>
      <c r="B532" t="inlineStr">
        <is>
          <t>none remain.</t>
        </is>
      </c>
      <c r="C532" t="n">
        <v>0</v>
      </c>
      <c r="D532" t="n">
        <v>0</v>
      </c>
      <c r="E532" t="n">
        <v>0</v>
      </c>
      <c r="F532" t="n">
        <v>0</v>
      </c>
      <c r="H532" t="n">
        <v>0</v>
      </c>
      <c r="I532" t="n">
        <v>0</v>
      </c>
      <c r="J532" t="n">
        <v>0</v>
      </c>
      <c r="K532" t="n">
        <v>0</v>
      </c>
      <c r="L532" t="n">
        <v>0</v>
      </c>
      <c r="M532" t="n">
        <v>0</v>
      </c>
      <c r="N532" t="n">
        <v>0</v>
      </c>
    </row>
    <row r="533">
      <c r="A533" t="inlineStr">
        <is>
          <t>stock</t>
        </is>
      </c>
      <c r="B533" t="inlineStr">
        <is>
          <t>coarse wool: 270 fleeces from wethers, 4 from rams, 236 from ewes and 100 from hoggs produced at the shearing this year.</t>
        </is>
      </c>
      <c r="C533" t="n">
        <v>0</v>
      </c>
      <c r="D533" t="n">
        <v>0</v>
      </c>
      <c r="E533" t="n">
        <v>0</v>
      </c>
      <c r="F533" t="n">
        <v>0</v>
      </c>
      <c r="H533" t="n">
        <v>0</v>
      </c>
      <c r="I533" t="n">
        <v>0</v>
      </c>
      <c r="J533" t="n">
        <v>0</v>
      </c>
      <c r="K533" t="n">
        <v>0</v>
      </c>
      <c r="L533" t="n">
        <v>0</v>
      </c>
      <c r="M533" t="n">
        <v>0</v>
      </c>
      <c r="N533" t="n">
        <v>0</v>
      </c>
    </row>
    <row r="534">
      <c r="A534" t="inlineStr">
        <is>
          <t>stock</t>
        </is>
      </c>
      <c r="B534" t="inlineStr">
        <is>
          <t>total, 610. 51 in tithe, and not more because the fleeces of the 100 hoggs from droxford should not be tithed.</t>
        </is>
      </c>
      <c r="C534" t="n">
        <v>0</v>
      </c>
      <c r="D534" t="n">
        <v>0</v>
      </c>
      <c r="E534" t="n">
        <v>0</v>
      </c>
      <c r="F534" t="n">
        <v>0</v>
      </c>
      <c r="H534" t="n">
        <v>0</v>
      </c>
      <c r="I534" t="n">
        <v>0</v>
      </c>
      <c r="J534" t="n">
        <v>0</v>
      </c>
      <c r="K534" t="n">
        <v>0</v>
      </c>
      <c r="L534" t="n">
        <v>0</v>
      </c>
      <c r="M534" t="n">
        <v>0</v>
      </c>
      <c r="N534" t="n">
        <v>0</v>
      </c>
    </row>
    <row r="535">
      <c r="A535" t="inlineStr">
        <is>
          <t>stock</t>
        </is>
      </c>
      <c r="B535" t="inlineStr">
        <is>
          <t>559 delivered to the treasurer of wolvesey, weighing 1 sack 37 cloves, answering for an average of 1.125 lb a fleece, plus 3.125 lb in all.</t>
        </is>
      </c>
      <c r="C535" t="n">
        <v>0</v>
      </c>
      <c r="D535" t="n">
        <v>0</v>
      </c>
      <c r="E535" t="n">
        <v>0</v>
      </c>
      <c r="F535" t="n">
        <v>0</v>
      </c>
      <c r="H535" t="n">
        <v>0</v>
      </c>
      <c r="I535" t="n">
        <v>0</v>
      </c>
      <c r="J535" t="n">
        <v>0</v>
      </c>
      <c r="K535" t="n">
        <v>0</v>
      </c>
      <c r="L535" t="n">
        <v>0</v>
      </c>
      <c r="M535" t="n">
        <v>0</v>
      </c>
      <c r="N535" t="n">
        <v>0</v>
      </c>
    </row>
    <row r="536">
      <c r="A536" t="inlineStr">
        <is>
          <t>stock</t>
        </is>
      </c>
      <c r="B536" t="inlineStr">
        <is>
          <t>wool locks: nothing from wool locks this year because entangled with the fleeces.</t>
        </is>
      </c>
      <c r="C536" t="n">
        <v>0</v>
      </c>
      <c r="D536" t="n">
        <v>0</v>
      </c>
      <c r="E536" t="n">
        <v>0</v>
      </c>
      <c r="F536" t="n">
        <v>0</v>
      </c>
      <c r="H536" t="n">
        <v>0</v>
      </c>
      <c r="I536" t="n">
        <v>0</v>
      </c>
      <c r="J536" t="n">
        <v>0</v>
      </c>
      <c r="K536" t="n">
        <v>0</v>
      </c>
      <c r="L536" t="n">
        <v>0</v>
      </c>
      <c r="M536" t="n">
        <v>0</v>
      </c>
      <c r="N536" t="n">
        <v>0</v>
      </c>
    </row>
    <row r="537">
      <c r="A537" t="inlineStr">
        <is>
          <t>stock</t>
        </is>
      </c>
      <c r="B537" t="inlineStr">
        <is>
          <t>swans: 5 remain.</t>
        </is>
      </c>
      <c r="C537" t="n">
        <v>0</v>
      </c>
      <c r="D537" t="n">
        <v>0</v>
      </c>
      <c r="E537" t="n">
        <v>0</v>
      </c>
      <c r="F537" t="n">
        <v>0</v>
      </c>
      <c r="H537" t="n">
        <v>0</v>
      </c>
      <c r="I537" t="n">
        <v>0</v>
      </c>
      <c r="J537" t="n">
        <v>0</v>
      </c>
      <c r="K537" t="n">
        <v>0</v>
      </c>
      <c r="L537" t="n">
        <v>0</v>
      </c>
      <c r="M537" t="n">
        <v>0</v>
      </c>
      <c r="N537" t="n">
        <v>0</v>
      </c>
    </row>
    <row r="538">
      <c r="A538" t="inlineStr">
        <is>
          <t>stock</t>
        </is>
      </c>
      <c r="B538" t="inlineStr">
        <is>
          <t>total, 5. 5 remain.</t>
        </is>
      </c>
      <c r="C538" t="n">
        <v>0</v>
      </c>
      <c r="D538" t="n">
        <v>0</v>
      </c>
      <c r="E538" t="n">
        <v>0</v>
      </c>
      <c r="F538" t="n">
        <v>0</v>
      </c>
      <c r="H538" t="n">
        <v>0</v>
      </c>
      <c r="I538" t="n">
        <v>0</v>
      </c>
      <c r="J538" t="n">
        <v>0</v>
      </c>
      <c r="K538" t="n">
        <v>0</v>
      </c>
      <c r="L538" t="n">
        <v>0</v>
      </c>
      <c r="M538" t="n">
        <v>0</v>
      </c>
      <c r="N538" t="n">
        <v>0</v>
      </c>
    </row>
    <row r="539">
      <c r="A539" t="inlineStr">
        <is>
          <t>stock</t>
        </is>
      </c>
      <c r="B539" t="inlineStr">
        <is>
          <t>geese: 1 gander and 4 breeding geese remain.</t>
        </is>
      </c>
      <c r="C539" t="n">
        <v>0</v>
      </c>
      <c r="D539" t="n">
        <v>0</v>
      </c>
      <c r="E539" t="n">
        <v>0</v>
      </c>
      <c r="F539" t="n">
        <v>0</v>
      </c>
      <c r="H539" t="n">
        <v>0</v>
      </c>
      <c r="I539" t="n">
        <v>0</v>
      </c>
      <c r="J539" t="n">
        <v>0</v>
      </c>
      <c r="K539" t="n">
        <v>0</v>
      </c>
      <c r="L539" t="n">
        <v>0</v>
      </c>
      <c r="M539" t="n">
        <v>0</v>
      </c>
      <c r="N539" t="n">
        <v>0</v>
      </c>
    </row>
    <row r="540">
      <c r="A540" t="inlineStr">
        <is>
          <t>stock</t>
        </is>
      </c>
      <c r="B540" t="inlineStr">
        <is>
          <t>24 offspring.</t>
        </is>
      </c>
      <c r="C540" t="n">
        <v>0</v>
      </c>
      <c r="D540" t="n">
        <v>0</v>
      </c>
      <c r="E540" t="n">
        <v>0</v>
      </c>
      <c r="F540" t="n">
        <v>0</v>
      </c>
      <c r="H540" t="n">
        <v>0</v>
      </c>
      <c r="I540" t="n">
        <v>0</v>
      </c>
      <c r="J540" t="n">
        <v>0</v>
      </c>
      <c r="K540" t="n">
        <v>0</v>
      </c>
      <c r="L540" t="n">
        <v>0</v>
      </c>
      <c r="M540" t="n">
        <v>0</v>
      </c>
      <c r="N540" t="n">
        <v>0</v>
      </c>
    </row>
    <row r="541">
      <c r="A541" t="inlineStr">
        <is>
          <t>stock</t>
        </is>
      </c>
      <c r="B541" t="inlineStr">
        <is>
          <t>total, 29. 2 in tithe.</t>
        </is>
      </c>
      <c r="C541" t="n">
        <v>0</v>
      </c>
      <c r="D541" t="n">
        <v>0</v>
      </c>
      <c r="E541" t="n">
        <v>0</v>
      </c>
      <c r="F541" t="n">
        <v>0</v>
      </c>
      <c r="H541" t="n">
        <v>0</v>
      </c>
      <c r="I541" t="n">
        <v>0</v>
      </c>
      <c r="J541" t="n">
        <v>0</v>
      </c>
      <c r="K541" t="n">
        <v>0</v>
      </c>
      <c r="L541" t="n">
        <v>0</v>
      </c>
      <c r="M541" t="n">
        <v>0</v>
      </c>
      <c r="N541" t="n">
        <v>0</v>
      </c>
    </row>
    <row r="542">
      <c r="A542" t="inlineStr">
        <is>
          <t>stock</t>
        </is>
      </c>
      <c r="B542" t="inlineStr">
        <is>
          <t>22 sold within.</t>
        </is>
      </c>
      <c r="C542" t="n">
        <v>0</v>
      </c>
      <c r="D542" t="n">
        <v>0</v>
      </c>
      <c r="E542" t="n">
        <v>0</v>
      </c>
      <c r="F542" t="n">
        <v>0</v>
      </c>
      <c r="H542" t="n">
        <v>0</v>
      </c>
      <c r="I542" t="n">
        <v>0</v>
      </c>
      <c r="J542" t="n">
        <v>0</v>
      </c>
      <c r="K542" t="n">
        <v>0</v>
      </c>
      <c r="L542" t="n">
        <v>0</v>
      </c>
      <c r="M542" t="n">
        <v>0</v>
      </c>
      <c r="N542" t="n">
        <v>0</v>
      </c>
    </row>
    <row r="543">
      <c r="A543" t="inlineStr">
        <is>
          <t>stock</t>
        </is>
      </c>
      <c r="B543" t="inlineStr">
        <is>
          <t>total, 24. 1 gander and 4 breeding geese remain.</t>
        </is>
      </c>
      <c r="C543" t="n">
        <v>0</v>
      </c>
      <c r="D543" t="n">
        <v>0</v>
      </c>
      <c r="E543" t="n">
        <v>0</v>
      </c>
      <c r="F543" t="n">
        <v>0</v>
      </c>
      <c r="H543" t="n">
        <v>0</v>
      </c>
      <c r="I543" t="n">
        <v>0</v>
      </c>
      <c r="J543" t="n">
        <v>0</v>
      </c>
      <c r="K543" t="n">
        <v>0</v>
      </c>
      <c r="L543" t="n">
        <v>0</v>
      </c>
      <c r="M543" t="n">
        <v>0</v>
      </c>
      <c r="N543" t="n">
        <v>0</v>
      </c>
    </row>
    <row r="544">
      <c r="A544" t="inlineStr">
        <is>
          <t>stock</t>
        </is>
      </c>
      <c r="B544" t="inlineStr">
        <is>
          <t>capons: 24 remain.</t>
        </is>
      </c>
      <c r="C544" t="n">
        <v>0</v>
      </c>
      <c r="D544" t="n">
        <v>0</v>
      </c>
      <c r="E544" t="n">
        <v>0</v>
      </c>
      <c r="F544" t="n">
        <v>0</v>
      </c>
      <c r="H544" t="n">
        <v>0</v>
      </c>
      <c r="I544" t="n">
        <v>0</v>
      </c>
      <c r="J544" t="n">
        <v>0</v>
      </c>
      <c r="K544" t="n">
        <v>0</v>
      </c>
      <c r="L544" t="n">
        <v>0</v>
      </c>
      <c r="M544" t="n">
        <v>0</v>
      </c>
      <c r="N544" t="n">
        <v>0</v>
      </c>
    </row>
    <row r="545">
      <c r="A545" t="inlineStr">
        <is>
          <t>stock</t>
        </is>
      </c>
      <c r="B545" t="inlineStr">
        <is>
          <t>24 made from the chickens below.</t>
        </is>
      </c>
      <c r="C545" t="n">
        <v>0</v>
      </c>
      <c r="D545" t="n">
        <v>0</v>
      </c>
      <c r="E545" t="n">
        <v>0</v>
      </c>
      <c r="F545" t="n">
        <v>0</v>
      </c>
      <c r="H545" t="n">
        <v>0</v>
      </c>
      <c r="I545" t="n">
        <v>0</v>
      </c>
      <c r="J545" t="n">
        <v>0</v>
      </c>
      <c r="K545" t="n">
        <v>0</v>
      </c>
      <c r="L545" t="n">
        <v>0</v>
      </c>
      <c r="M545" t="n">
        <v>0</v>
      </c>
      <c r="N545" t="n">
        <v>0</v>
      </c>
    </row>
    <row r="546">
      <c r="A546" t="inlineStr">
        <is>
          <t>stock</t>
        </is>
      </c>
      <c r="B546" t="inlineStr">
        <is>
          <t>total, 48. 24 sold within, 5 of them to the lord's household.</t>
        </is>
      </c>
      <c r="C546" t="n">
        <v>0</v>
      </c>
      <c r="D546" t="n">
        <v>0</v>
      </c>
      <c r="E546" t="n">
        <v>0</v>
      </c>
      <c r="F546" t="n">
        <v>0</v>
      </c>
      <c r="H546" t="n">
        <v>0</v>
      </c>
      <c r="I546" t="n">
        <v>0</v>
      </c>
      <c r="J546" t="n">
        <v>0</v>
      </c>
      <c r="K546" t="n">
        <v>0</v>
      </c>
      <c r="L546" t="n">
        <v>0</v>
      </c>
      <c r="M546" t="n">
        <v>0</v>
      </c>
      <c r="N546" t="n">
        <v>0</v>
      </c>
    </row>
    <row r="547">
      <c r="A547" t="inlineStr">
        <is>
          <t>stock</t>
        </is>
      </c>
      <c r="B547" t="inlineStr">
        <is>
          <t>24 remain.</t>
        </is>
      </c>
      <c r="C547" t="n">
        <v>0</v>
      </c>
      <c r="D547" t="n">
        <v>0</v>
      </c>
      <c r="E547" t="n">
        <v>0</v>
      </c>
      <c r="F547" t="n">
        <v>0</v>
      </c>
      <c r="H547" t="n">
        <v>0</v>
      </c>
      <c r="I547" t="n">
        <v>0</v>
      </c>
      <c r="J547" t="n">
        <v>0</v>
      </c>
      <c r="K547" t="n">
        <v>0</v>
      </c>
      <c r="L547" t="n">
        <v>0</v>
      </c>
      <c r="M547" t="n">
        <v>0</v>
      </c>
      <c r="N547" t="n">
        <v>0</v>
      </c>
    </row>
    <row r="548">
      <c r="A548" t="inlineStr">
        <is>
          <t>stock</t>
        </is>
      </c>
      <c r="B548" t="inlineStr">
        <is>
          <t>cocks and hens: 1 cock and 5 hens remain.</t>
        </is>
      </c>
      <c r="C548" t="n">
        <v>0</v>
      </c>
      <c r="D548" t="n">
        <v>0</v>
      </c>
      <c r="E548" t="n">
        <v>0</v>
      </c>
      <c r="F548" t="n">
        <v>0</v>
      </c>
      <c r="H548" t="n">
        <v>0</v>
      </c>
      <c r="I548" t="n">
        <v>0</v>
      </c>
      <c r="J548" t="n">
        <v>0</v>
      </c>
      <c r="K548" t="n">
        <v>0</v>
      </c>
      <c r="L548" t="n">
        <v>0</v>
      </c>
      <c r="M548" t="n">
        <v>0</v>
      </c>
      <c r="N548" t="n">
        <v>0</v>
      </c>
    </row>
    <row r="549">
      <c r="A549" t="inlineStr">
        <is>
          <t>stock</t>
        </is>
      </c>
      <c r="B549" t="inlineStr">
        <is>
          <t>173 from churchscot at martinmas.</t>
        </is>
      </c>
      <c r="C549" t="n">
        <v>0</v>
      </c>
      <c r="D549" t="n">
        <v>0</v>
      </c>
      <c r="E549" t="n">
        <v>0</v>
      </c>
      <c r="F549" t="n">
        <v>0</v>
      </c>
      <c r="H549" t="n">
        <v>0</v>
      </c>
      <c r="I549" t="n">
        <v>0</v>
      </c>
      <c r="J549" t="n">
        <v>0</v>
      </c>
      <c r="K549" t="n">
        <v>0</v>
      </c>
      <c r="L549" t="n">
        <v>0</v>
      </c>
      <c r="M549" t="n">
        <v>0</v>
      </c>
      <c r="N549" t="n">
        <v>0</v>
      </c>
    </row>
    <row r="550">
      <c r="A550" t="inlineStr">
        <is>
          <t>stock</t>
        </is>
      </c>
      <c r="B550" t="inlineStr">
        <is>
          <t>total, 179. 1 in default of the churchscot of the land of maurice hudy which john balshorn' now holds because the labour services are commuted.</t>
        </is>
      </c>
      <c r="C550" t="n">
        <v>0</v>
      </c>
      <c r="D550" t="n">
        <v>0</v>
      </c>
      <c r="E550" t="n">
        <v>0</v>
      </c>
      <c r="F550" t="n">
        <v>0</v>
      </c>
      <c r="H550" t="n">
        <v>0</v>
      </c>
      <c r="I550" t="n">
        <v>0</v>
      </c>
      <c r="J550" t="n">
        <v>0</v>
      </c>
      <c r="K550" t="n">
        <v>0</v>
      </c>
      <c r="L550" t="n">
        <v>0</v>
      </c>
      <c r="M550" t="n">
        <v>0</v>
      </c>
      <c r="N550" t="n">
        <v>0</v>
      </c>
    </row>
    <row r="551">
      <c r="A551" t="inlineStr">
        <is>
          <t>stock</t>
        </is>
      </c>
      <c r="B551" t="inlineStr">
        <is>
          <t>1 in default of the churchscot of the land of totenhull' which john wodelok recently held by charter of bishop henry.</t>
        </is>
      </c>
      <c r="C551" t="n">
        <v>0</v>
      </c>
      <c r="D551" t="n">
        <v>0</v>
      </c>
      <c r="E551" t="n">
        <v>0</v>
      </c>
      <c r="F551" t="n">
        <v>0</v>
      </c>
      <c r="H551" t="n">
        <v>0</v>
      </c>
      <c r="I551" t="n">
        <v>0</v>
      </c>
      <c r="J551" t="n">
        <v>0</v>
      </c>
      <c r="K551" t="n">
        <v>0</v>
      </c>
      <c r="L551" t="n">
        <v>0</v>
      </c>
      <c r="M551" t="n">
        <v>0</v>
      </c>
      <c r="N551" t="n">
        <v>0</v>
      </c>
    </row>
    <row r="552">
      <c r="A552" t="inlineStr">
        <is>
          <t>stock</t>
        </is>
      </c>
      <c r="B552" t="inlineStr">
        <is>
          <t>12 in default of the churchscot of amice theccher', christine bans, mary vaucord', christine atte broke, alice stub and isabel austyn' because they do not have husbands, or 2 each.</t>
        </is>
      </c>
      <c r="C552" t="n">
        <v>0</v>
      </c>
      <c r="D552" t="n">
        <v>0</v>
      </c>
      <c r="E552" t="n">
        <v>0</v>
      </c>
      <c r="F552" t="n">
        <v>0</v>
      </c>
      <c r="H552" t="n">
        <v>0</v>
      </c>
      <c r="I552" t="n">
        <v>0</v>
      </c>
      <c r="J552" t="n">
        <v>0</v>
      </c>
      <c r="K552" t="n">
        <v>0</v>
      </c>
      <c r="L552" t="n">
        <v>0</v>
      </c>
      <c r="M552" t="n">
        <v>0</v>
      </c>
      <c r="N552" t="n">
        <v>0</v>
      </c>
    </row>
    <row r="553">
      <c r="A553" t="inlineStr">
        <is>
          <t>stock</t>
        </is>
      </c>
      <c r="B553" t="inlineStr">
        <is>
          <t>12 in default of the churchscot of john morcok', william shipyer', william, son of william shipiere, john atte park', richard emory and peter atte wynde because they do not have wives.</t>
        </is>
      </c>
      <c r="C553" t="n">
        <v>0</v>
      </c>
      <c r="D553" t="n">
        <v>0</v>
      </c>
      <c r="E553" t="n">
        <v>0</v>
      </c>
      <c r="F553" t="n">
        <v>0</v>
      </c>
      <c r="H553" t="n">
        <v>0</v>
      </c>
      <c r="I553" t="n">
        <v>0</v>
      </c>
      <c r="J553" t="n">
        <v>0</v>
      </c>
      <c r="K553" t="n">
        <v>0</v>
      </c>
      <c r="L553" t="n">
        <v>0</v>
      </c>
      <c r="M553" t="n">
        <v>0</v>
      </c>
      <c r="N553" t="n">
        <v>0</v>
      </c>
    </row>
    <row r="554">
      <c r="A554" t="inlineStr">
        <is>
          <t>stock</t>
        </is>
      </c>
      <c r="B554" t="inlineStr">
        <is>
          <t>2 in default of the churchscot of alice palmer' because she does not have a husband.</t>
        </is>
      </c>
      <c r="C554" t="n">
        <v>0</v>
      </c>
      <c r="D554" t="n">
        <v>0</v>
      </c>
      <c r="E554" t="n">
        <v>0</v>
      </c>
      <c r="F554" t="n">
        <v>0</v>
      </c>
      <c r="H554" t="n">
        <v>0</v>
      </c>
      <c r="I554" t="n">
        <v>0</v>
      </c>
      <c r="J554" t="n">
        <v>0</v>
      </c>
      <c r="K554" t="n">
        <v>0</v>
      </c>
      <c r="L554" t="n">
        <v>0</v>
      </c>
      <c r="M554" t="n">
        <v>0</v>
      </c>
      <c r="N554" t="n">
        <v>0</v>
      </c>
    </row>
    <row r="555">
      <c r="A555" t="inlineStr">
        <is>
          <t>stock</t>
        </is>
      </c>
      <c r="B555" t="inlineStr">
        <is>
          <t>145 sold within, 40 of them to the lord's househo1pence.</t>
        </is>
      </c>
      <c r="C555" t="n">
        <v>0</v>
      </c>
      <c r="D555" t="n">
        <v>0</v>
      </c>
      <c r="E555" t="n">
        <v>0</v>
      </c>
      <c r="F555" t="n">
        <v>1</v>
      </c>
      <c r="H555" t="n">
        <v>0</v>
      </c>
      <c r="I555" t="n">
        <v>0</v>
      </c>
      <c r="J555" t="n">
        <v>0</v>
      </c>
      <c r="K555" t="n">
        <v>0</v>
      </c>
      <c r="L555" t="n">
        <v>0</v>
      </c>
      <c r="M555" t="n">
        <v>0</v>
      </c>
      <c r="N555" t="n">
        <v>0</v>
      </c>
    </row>
    <row r="556">
      <c r="A556" t="inlineStr">
        <is>
          <t>stock</t>
        </is>
      </c>
      <c r="B556" t="inlineStr">
        <is>
          <t>total, 173. 1 cock and 5 hens remain.</t>
        </is>
      </c>
      <c r="C556" t="n">
        <v>0</v>
      </c>
      <c r="D556" t="n">
        <v>0</v>
      </c>
      <c r="E556" t="n">
        <v>0</v>
      </c>
      <c r="F556" t="n">
        <v>0</v>
      </c>
      <c r="H556" t="n">
        <v>0</v>
      </c>
      <c r="I556" t="n">
        <v>0</v>
      </c>
      <c r="J556" t="n">
        <v>0</v>
      </c>
      <c r="K556" t="n">
        <v>0</v>
      </c>
      <c r="L556" t="n">
        <v>0</v>
      </c>
      <c r="M556" t="n">
        <v>0</v>
      </c>
      <c r="N556" t="n">
        <v>0</v>
      </c>
    </row>
    <row r="557">
      <c r="A557" t="inlineStr">
        <is>
          <t>stock</t>
        </is>
      </c>
      <c r="B557" t="inlineStr">
        <is>
          <t>chickens: 24 from the offspring of the said hens.</t>
        </is>
      </c>
      <c r="C557" t="n">
        <v>0</v>
      </c>
      <c r="D557" t="n">
        <v>0</v>
      </c>
      <c r="E557" t="n">
        <v>0</v>
      </c>
      <c r="F557" t="n">
        <v>0</v>
      </c>
      <c r="H557" t="n">
        <v>0</v>
      </c>
      <c r="I557" t="n">
        <v>0</v>
      </c>
      <c r="J557" t="n">
        <v>0</v>
      </c>
      <c r="K557" t="n">
        <v>0</v>
      </c>
      <c r="L557" t="n">
        <v>0</v>
      </c>
      <c r="M557" t="n">
        <v>0</v>
      </c>
      <c r="N557" t="n">
        <v>0</v>
      </c>
    </row>
    <row r="558">
      <c r="A558" t="inlineStr">
        <is>
          <t>stock</t>
        </is>
      </c>
      <c r="B558" t="inlineStr">
        <is>
          <t>all turned into capons above., none remain.</t>
        </is>
      </c>
      <c r="C558" t="n">
        <v>0</v>
      </c>
      <c r="D558" t="n">
        <v>0</v>
      </c>
      <c r="E558" t="n">
        <v>0</v>
      </c>
      <c r="F558" t="n">
        <v>0</v>
      </c>
      <c r="H558" t="n">
        <v>0</v>
      </c>
      <c r="I558" t="n">
        <v>0</v>
      </c>
      <c r="J558" t="n">
        <v>0</v>
      </c>
      <c r="K558" t="n">
        <v>0</v>
      </c>
      <c r="L558" t="n">
        <v>0</v>
      </c>
      <c r="M558" t="n">
        <v>0</v>
      </c>
      <c r="N558" t="n">
        <v>0</v>
      </c>
    </row>
    <row r="559">
      <c r="A559" t="inlineStr">
        <is>
          <t>stock</t>
        </is>
      </c>
      <c r="B559" t="inlineStr">
        <is>
          <t>eggs: 200 produced by the said hens.</t>
        </is>
      </c>
      <c r="C559" t="n">
        <v>0</v>
      </c>
      <c r="D559" t="n">
        <v>0</v>
      </c>
      <c r="E559" t="n">
        <v>0</v>
      </c>
      <c r="F559" t="n">
        <v>0</v>
      </c>
      <c r="H559" t="n">
        <v>0</v>
      </c>
      <c r="I559" t="n">
        <v>0</v>
      </c>
      <c r="J559" t="n">
        <v>0</v>
      </c>
      <c r="K559" t="n">
        <v>0</v>
      </c>
      <c r="L559" t="n">
        <v>0</v>
      </c>
      <c r="M559" t="n">
        <v>0</v>
      </c>
      <c r="N559" t="n">
        <v>0</v>
      </c>
    </row>
    <row r="560">
      <c r="A560" t="inlineStr">
        <is>
          <t>stock</t>
        </is>
      </c>
      <c r="B560" t="inlineStr">
        <is>
          <t>sold within.</t>
        </is>
      </c>
      <c r="C560" t="n">
        <v>0</v>
      </c>
      <c r="D560" t="n">
        <v>0</v>
      </c>
      <c r="E560" t="n">
        <v>0</v>
      </c>
      <c r="F560" t="n">
        <v>0</v>
      </c>
      <c r="H560" t="n">
        <v>0</v>
      </c>
      <c r="I560" t="n">
        <v>0</v>
      </c>
      <c r="J560" t="n">
        <v>0</v>
      </c>
      <c r="K560" t="n">
        <v>0</v>
      </c>
      <c r="L560" t="n">
        <v>0</v>
      </c>
      <c r="M560" t="n">
        <v>0</v>
      </c>
      <c r="N560" t="n">
        <v>0</v>
      </c>
    </row>
    <row r="561">
      <c r="A561" t="inlineStr">
        <is>
          <t>stock</t>
        </is>
      </c>
      <c r="B561" t="inlineStr">
        <is>
          <t>none remain.</t>
        </is>
      </c>
      <c r="C561" t="n">
        <v>0</v>
      </c>
      <c r="D561" t="n">
        <v>0</v>
      </c>
      <c r="E561" t="n">
        <v>0</v>
      </c>
      <c r="F561" t="n">
        <v>0</v>
      </c>
      <c r="H561" t="n">
        <v>0</v>
      </c>
      <c r="I561" t="n">
        <v>0</v>
      </c>
      <c r="J561" t="n">
        <v>0</v>
      </c>
      <c r="K561" t="n">
        <v>0</v>
      </c>
      <c r="L561" t="n">
        <v>0</v>
      </c>
      <c r="M561" t="n">
        <v>0</v>
      </c>
      <c r="N561" t="n">
        <v>0</v>
      </c>
    </row>
    <row r="562">
      <c r="A562" t="inlineStr">
        <is>
          <t>stock</t>
        </is>
      </c>
      <c r="B562" t="inlineStr">
        <is>
          <t>milk: nothing of milking here because in the cash account within, apart from 1 cheese for the beadle according to custom and 1 cheese for the homage according to custom for mowing the meadow of caldecote, valued at 1 shilling.</t>
        </is>
      </c>
      <c r="C562" t="n">
        <v>0.05</v>
      </c>
      <c r="D562" t="n">
        <v>0</v>
      </c>
      <c r="E562" t="n">
        <v>1</v>
      </c>
      <c r="F562" t="n">
        <v>0</v>
      </c>
      <c r="H562" t="n">
        <v>0</v>
      </c>
      <c r="I562" t="n">
        <v>0</v>
      </c>
      <c r="J562" t="n">
        <v>0</v>
      </c>
      <c r="K562" t="n">
        <v>0</v>
      </c>
      <c r="L562" t="n">
        <v>0</v>
      </c>
      <c r="M562" t="n">
        <v>0</v>
      </c>
      <c r="N562" t="n">
        <v>0</v>
      </c>
    </row>
    <row r="563">
      <c r="A563" t="inlineStr">
        <is>
          <t>stock</t>
        </is>
      </c>
      <c r="B563" t="inlineStr">
        <is>
          <t>salt: 11 quarters 4 bushels remains.</t>
        </is>
      </c>
      <c r="C563" t="n">
        <v>0</v>
      </c>
      <c r="D563" t="n">
        <v>0</v>
      </c>
      <c r="E563" t="n">
        <v>0</v>
      </c>
      <c r="F563" t="n">
        <v>0</v>
      </c>
      <c r="H563" t="n">
        <v>11</v>
      </c>
      <c r="I563" t="n">
        <v>4</v>
      </c>
      <c r="J563" t="n">
        <v>11.5</v>
      </c>
      <c r="K563" t="n">
        <v>11.5</v>
      </c>
      <c r="L563" t="n">
        <v>0</v>
      </c>
      <c r="M563" t="n">
        <v>11</v>
      </c>
      <c r="N563" t="n">
        <v>4</v>
      </c>
    </row>
    <row r="564">
      <c r="A564" t="inlineStr">
        <is>
          <t>stock</t>
        </is>
      </c>
      <c r="B564" t="inlineStr">
        <is>
          <t>76 quarters for the rent of the homage of bursledon.</t>
        </is>
      </c>
      <c r="C564" t="n">
        <v>0</v>
      </c>
      <c r="D564" t="n">
        <v>0</v>
      </c>
      <c r="E564" t="n">
        <v>0</v>
      </c>
      <c r="F564" t="n">
        <v>0</v>
      </c>
      <c r="H564" t="n">
        <v>76</v>
      </c>
      <c r="I564" t="n">
        <v>0</v>
      </c>
      <c r="J564" t="n">
        <v>76</v>
      </c>
      <c r="K564" t="n">
        <v>76</v>
      </c>
      <c r="L564" t="n">
        <v>0</v>
      </c>
      <c r="M564" t="n">
        <v>76</v>
      </c>
      <c r="N564" t="n">
        <v>0</v>
      </c>
    </row>
    <row r="565">
      <c r="A565" t="inlineStr">
        <is>
          <t>stock</t>
        </is>
      </c>
      <c r="B565" t="inlineStr">
        <is>
          <t>total, g7 quarters 4 bushels 67 quarters 4 bushels sold within, 38 quarters of it to the poor tenants of bursledon, 24 quarters 4 bushels to the lord's household and 5 quarters in the market.'.</t>
        </is>
      </c>
      <c r="C565" t="n">
        <v>0</v>
      </c>
      <c r="D565" t="n">
        <v>0</v>
      </c>
      <c r="E565" t="n">
        <v>0</v>
      </c>
      <c r="F565" t="n">
        <v>0</v>
      </c>
      <c r="H565" t="n">
        <v>134</v>
      </c>
      <c r="I565" t="n">
        <v>8</v>
      </c>
      <c r="J565" t="n">
        <v>135</v>
      </c>
      <c r="K565" t="n">
        <v>7.5</v>
      </c>
      <c r="L565" t="n">
        <v>127.5</v>
      </c>
      <c r="M565" t="n">
        <v>7</v>
      </c>
      <c r="N565" t="n">
        <v>4</v>
      </c>
      <c r="O565" t="n">
        <v>67</v>
      </c>
      <c r="P565" t="n">
        <v>4</v>
      </c>
      <c r="Q565" t="n">
        <v>38</v>
      </c>
      <c r="R565" t="n">
        <v>0</v>
      </c>
      <c r="S565" t="n">
        <v>24</v>
      </c>
      <c r="T565" t="n">
        <v>4</v>
      </c>
      <c r="U565" t="n">
        <v>5</v>
      </c>
      <c r="V565" t="n">
        <v>0</v>
      </c>
    </row>
    <row r="566">
      <c r="A566" t="inlineStr">
        <is>
          <t>stock</t>
        </is>
      </c>
      <c r="B566" t="inlineStr">
        <is>
          <t>total, 67 quarters 4 bushels 20 quarters remain in 4 casks by estimation.</t>
        </is>
      </c>
      <c r="C566" t="n">
        <v>0</v>
      </c>
      <c r="D566" t="n">
        <v>0</v>
      </c>
      <c r="E566" t="n">
        <v>0</v>
      </c>
      <c r="F566" t="n">
        <v>0</v>
      </c>
      <c r="H566" t="n">
        <v>20</v>
      </c>
      <c r="I566" t="n">
        <v>4</v>
      </c>
      <c r="J566" t="n">
        <v>20.5</v>
      </c>
      <c r="K566" t="n">
        <v>67.5</v>
      </c>
      <c r="L566" t="n">
        <v>-47</v>
      </c>
      <c r="M566" t="n">
        <v>67</v>
      </c>
      <c r="N566" t="n">
        <v>4</v>
      </c>
      <c r="O566" t="n">
        <v>20</v>
      </c>
      <c r="P566" t="n">
        <v>0</v>
      </c>
    </row>
    <row r="567">
      <c r="A567" t="inlineStr">
        <is>
          <t>stock</t>
        </is>
      </c>
      <c r="B567" t="inlineStr">
        <is>
          <t>limestone (stonlym): 9 quarters remain.</t>
        </is>
      </c>
      <c r="C567" t="n">
        <v>0</v>
      </c>
      <c r="D567" t="n">
        <v>0</v>
      </c>
      <c r="E567" t="n">
        <v>0</v>
      </c>
      <c r="F567" t="n">
        <v>0</v>
      </c>
      <c r="H567" t="n">
        <v>9</v>
      </c>
      <c r="I567" t="n">
        <v>0</v>
      </c>
      <c r="J567" t="n">
        <v>9</v>
      </c>
      <c r="K567" t="n">
        <v>9</v>
      </c>
      <c r="L567" t="n">
        <v>0</v>
      </c>
      <c r="M567" t="n">
        <v>9</v>
      </c>
      <c r="N567" t="n">
        <v>0</v>
      </c>
    </row>
    <row r="568">
      <c r="A568" t="inlineStr">
        <is>
          <t>stock</t>
        </is>
      </c>
      <c r="B568" t="inlineStr">
        <is>
          <t>8 quarters used this year.</t>
        </is>
      </c>
      <c r="C568" t="n">
        <v>0</v>
      </c>
      <c r="D568" t="n">
        <v>0</v>
      </c>
      <c r="E568" t="n">
        <v>0</v>
      </c>
      <c r="F568" t="n">
        <v>0</v>
      </c>
      <c r="H568" t="n">
        <v>8</v>
      </c>
      <c r="I568" t="n">
        <v>0</v>
      </c>
      <c r="J568" t="n">
        <v>8</v>
      </c>
      <c r="K568" t="n">
        <v>8</v>
      </c>
      <c r="L568" t="n">
        <v>0</v>
      </c>
      <c r="M568" t="n">
        <v>8</v>
      </c>
      <c r="N568" t="n">
        <v>0</v>
      </c>
    </row>
    <row r="569">
      <c r="A569" t="inlineStr">
        <is>
          <t>stock</t>
        </is>
      </c>
      <c r="B569" t="inlineStr">
        <is>
          <t>1 quarters remains.</t>
        </is>
      </c>
      <c r="C569" t="n">
        <v>0</v>
      </c>
      <c r="D569" t="n">
        <v>0</v>
      </c>
      <c r="E569" t="n">
        <v>0</v>
      </c>
      <c r="F569" t="n">
        <v>0</v>
      </c>
      <c r="H569" t="n">
        <v>1</v>
      </c>
      <c r="I569" t="n">
        <v>0</v>
      </c>
      <c r="J569" t="n">
        <v>1</v>
      </c>
      <c r="K569" t="n">
        <v>1</v>
      </c>
      <c r="L569" t="n">
        <v>0</v>
      </c>
      <c r="M569" t="n">
        <v>1</v>
      </c>
      <c r="N569" t="n">
        <v>0</v>
      </c>
    </row>
    <row r="570">
      <c r="A570" t="inlineStr">
        <is>
          <t>stock</t>
        </is>
      </c>
      <c r="B570" t="inlineStr">
        <is>
          <t>tiles: 7,000 plain tiles bought.</t>
        </is>
      </c>
      <c r="C570" t="n">
        <v>0</v>
      </c>
      <c r="D570" t="n">
        <v>0</v>
      </c>
      <c r="E570" t="n">
        <v>0</v>
      </c>
      <c r="F570" t="n">
        <v>0</v>
      </c>
      <c r="H570" t="n">
        <v>0</v>
      </c>
      <c r="I570" t="n">
        <v>0</v>
      </c>
      <c r="J570" t="n">
        <v>0</v>
      </c>
      <c r="K570" t="n">
        <v>0</v>
      </c>
      <c r="L570" t="n">
        <v>0</v>
      </c>
      <c r="M570" t="n">
        <v>0</v>
      </c>
      <c r="N570" t="n">
        <v>0</v>
      </c>
    </row>
    <row r="571">
      <c r="A571" t="inlineStr">
        <is>
          <t>stock</t>
        </is>
      </c>
      <c r="B571" t="inlineStr">
        <is>
          <t>total, 7,000. 6,000 used for roofing this year.</t>
        </is>
      </c>
      <c r="C571" t="n">
        <v>0</v>
      </c>
      <c r="D571" t="n">
        <v>0</v>
      </c>
      <c r="E571" t="n">
        <v>0</v>
      </c>
      <c r="F571" t="n">
        <v>0</v>
      </c>
      <c r="H571" t="n">
        <v>0</v>
      </c>
      <c r="I571" t="n">
        <v>0</v>
      </c>
      <c r="J571" t="n">
        <v>0</v>
      </c>
      <c r="K571" t="n">
        <v>0</v>
      </c>
      <c r="L571" t="n">
        <v>0</v>
      </c>
      <c r="M571" t="n">
        <v>0</v>
      </c>
      <c r="N571" t="n">
        <v>0</v>
      </c>
    </row>
    <row r="572">
      <c r="A572" t="inlineStr">
        <is>
          <t>stock</t>
        </is>
      </c>
      <c r="B572" t="inlineStr">
        <is>
          <t>1,000 remain.</t>
        </is>
      </c>
      <c r="C572" t="n">
        <v>0</v>
      </c>
      <c r="D572" t="n">
        <v>0</v>
      </c>
      <c r="E572" t="n">
        <v>0</v>
      </c>
      <c r="F572" t="n">
        <v>0</v>
      </c>
      <c r="H572" t="n">
        <v>0</v>
      </c>
      <c r="I572" t="n">
        <v>0</v>
      </c>
      <c r="J572" t="n">
        <v>0</v>
      </c>
      <c r="K572" t="n">
        <v>0</v>
      </c>
      <c r="L572" t="n">
        <v>0</v>
      </c>
      <c r="M572" t="n">
        <v>0</v>
      </c>
      <c r="N572" t="n">
        <v>0</v>
      </c>
    </row>
    <row r="573">
      <c r="A573" t="inlineStr">
        <is>
          <t>stock</t>
        </is>
      </c>
      <c r="B573" t="inlineStr">
        <is>
          <t>slates: 11,500 bought.</t>
        </is>
      </c>
      <c r="C573" t="n">
        <v>0</v>
      </c>
      <c r="D573" t="n">
        <v>0</v>
      </c>
      <c r="E573" t="n">
        <v>0</v>
      </c>
      <c r="F573" t="n">
        <v>0</v>
      </c>
      <c r="H573" t="n">
        <v>0</v>
      </c>
      <c r="I573" t="n">
        <v>0</v>
      </c>
      <c r="J573" t="n">
        <v>0</v>
      </c>
      <c r="K573" t="n">
        <v>0</v>
      </c>
      <c r="L573" t="n">
        <v>0</v>
      </c>
      <c r="M573" t="n">
        <v>0</v>
      </c>
      <c r="N573" t="n">
        <v>0</v>
      </c>
    </row>
    <row r="574">
      <c r="A574" t="inlineStr">
        <is>
          <t>stock</t>
        </is>
      </c>
      <c r="B574" t="inlineStr">
        <is>
          <t>total, 11,500. 3,500 used for roofing the buildings this year.</t>
        </is>
      </c>
      <c r="C574" t="n">
        <v>0</v>
      </c>
      <c r="D574" t="n">
        <v>0</v>
      </c>
      <c r="E574" t="n">
        <v>0</v>
      </c>
      <c r="F574" t="n">
        <v>0</v>
      </c>
      <c r="H574" t="n">
        <v>0</v>
      </c>
      <c r="I574" t="n">
        <v>0</v>
      </c>
      <c r="J574" t="n">
        <v>0</v>
      </c>
      <c r="K574" t="n">
        <v>0</v>
      </c>
      <c r="L574" t="n">
        <v>0</v>
      </c>
      <c r="M574" t="n">
        <v>0</v>
      </c>
      <c r="N574" t="n">
        <v>0</v>
      </c>
    </row>
    <row r="575">
      <c r="A575" t="inlineStr">
        <is>
          <t>stock</t>
        </is>
      </c>
      <c r="B575" t="inlineStr">
        <is>
          <t>8,000 remain.</t>
        </is>
      </c>
      <c r="C575" t="n">
        <v>0</v>
      </c>
      <c r="D575" t="n">
        <v>0</v>
      </c>
      <c r="E575" t="n">
        <v>0</v>
      </c>
      <c r="F575" t="n">
        <v>0</v>
      </c>
      <c r="H575" t="n">
        <v>0</v>
      </c>
      <c r="I575" t="n">
        <v>0</v>
      </c>
      <c r="J575" t="n">
        <v>0</v>
      </c>
      <c r="K575" t="n">
        <v>0</v>
      </c>
      <c r="L575" t="n">
        <v>0</v>
      </c>
      <c r="M575" t="n">
        <v>0</v>
      </c>
      <c r="N575" t="n">
        <v>0</v>
      </c>
    </row>
    <row r="576">
      <c r="A576" t="inlineStr">
        <is>
          <t>stock</t>
        </is>
      </c>
      <c r="B576" t="inlineStr">
        <is>
          <t>shingles: 8,000 made this year.</t>
        </is>
      </c>
      <c r="C576" t="n">
        <v>0</v>
      </c>
      <c r="D576" t="n">
        <v>0</v>
      </c>
      <c r="E576" t="n">
        <v>0</v>
      </c>
      <c r="F576" t="n">
        <v>0</v>
      </c>
      <c r="H576" t="n">
        <v>0</v>
      </c>
      <c r="I576" t="n">
        <v>0</v>
      </c>
      <c r="J576" t="n">
        <v>0</v>
      </c>
      <c r="K576" t="n">
        <v>0</v>
      </c>
      <c r="L576" t="n">
        <v>0</v>
      </c>
      <c r="M576" t="n">
        <v>0</v>
      </c>
      <c r="N576" t="n">
        <v>0</v>
      </c>
    </row>
    <row r="577">
      <c r="A577" t="inlineStr">
        <is>
          <t>stock</t>
        </is>
      </c>
      <c r="B577" t="inlineStr">
        <is>
          <t>total, 8,000. 7,000 used for roofing the buildings this year.</t>
        </is>
      </c>
      <c r="C577" t="n">
        <v>0</v>
      </c>
      <c r="D577" t="n">
        <v>0</v>
      </c>
      <c r="E577" t="n">
        <v>0</v>
      </c>
      <c r="F577" t="n">
        <v>0</v>
      </c>
      <c r="H577" t="n">
        <v>0</v>
      </c>
      <c r="I577" t="n">
        <v>0</v>
      </c>
      <c r="J577" t="n">
        <v>0</v>
      </c>
      <c r="K577" t="n">
        <v>0</v>
      </c>
      <c r="L577" t="n">
        <v>0</v>
      </c>
      <c r="M577" t="n">
        <v>0</v>
      </c>
      <c r="N577" t="n">
        <v>0</v>
      </c>
    </row>
    <row r="578">
      <c r="A578" t="inlineStr">
        <is>
          <t>stock</t>
        </is>
      </c>
      <c r="B578" t="inlineStr">
        <is>
          <t>1,000 remain.</t>
        </is>
      </c>
      <c r="C578" t="n">
        <v>0</v>
      </c>
      <c r="D578" t="n">
        <v>0</v>
      </c>
      <c r="E578" t="n">
        <v>0</v>
      </c>
      <c r="F578" t="n">
        <v>0</v>
      </c>
      <c r="H578" t="n">
        <v>0</v>
      </c>
      <c r="I578" t="n">
        <v>0</v>
      </c>
      <c r="J578" t="n">
        <v>0</v>
      </c>
      <c r="K578" t="n">
        <v>0</v>
      </c>
      <c r="L578" t="n">
        <v>0</v>
      </c>
      <c r="M578" t="n">
        <v>0</v>
      </c>
      <c r="N578" t="n">
        <v>0</v>
      </c>
    </row>
    <row r="579">
      <c r="A579" t="inlineStr">
        <is>
          <t>stock</t>
        </is>
      </c>
      <c r="B579" t="inlineStr">
        <is>
          <t>lime: 303 pots supplied this year.</t>
        </is>
      </c>
      <c r="C579" t="n">
        <v>0</v>
      </c>
      <c r="D579" t="n">
        <v>0</v>
      </c>
      <c r="E579" t="n">
        <v>0</v>
      </c>
      <c r="F579" t="n">
        <v>0</v>
      </c>
      <c r="H579" t="n">
        <v>0</v>
      </c>
      <c r="I579" t="n">
        <v>0</v>
      </c>
      <c r="J579" t="n">
        <v>0</v>
      </c>
      <c r="K579" t="n">
        <v>0</v>
      </c>
      <c r="L579" t="n">
        <v>0</v>
      </c>
      <c r="M579" t="n">
        <v>0</v>
      </c>
      <c r="N579" t="n">
        <v>0</v>
      </c>
    </row>
    <row r="580">
      <c r="A580" t="inlineStr">
        <is>
          <t>stock</t>
        </is>
      </c>
      <c r="B580" t="inlineStr">
        <is>
          <t>303 pots remain.</t>
        </is>
      </c>
      <c r="C580" t="n">
        <v>0</v>
      </c>
      <c r="D580" t="n">
        <v>0</v>
      </c>
      <c r="E580" t="n">
        <v>0</v>
      </c>
      <c r="F580" t="n">
        <v>0</v>
      </c>
      <c r="H580" t="n">
        <v>0</v>
      </c>
      <c r="I580" t="n">
        <v>0</v>
      </c>
      <c r="J580" t="n">
        <v>0</v>
      </c>
      <c r="K580" t="n">
        <v>0</v>
      </c>
      <c r="L580" t="n">
        <v>0</v>
      </c>
      <c r="M580" t="n">
        <v>0</v>
      </c>
      <c r="N580" t="n">
        <v>0</v>
      </c>
    </row>
    <row r="581">
      <c r="A581" t="inlineStr">
        <is>
          <t>stock</t>
        </is>
      </c>
      <c r="B581" t="inlineStr">
        <is>
          <t>flints: 200 pots supplied this year.</t>
        </is>
      </c>
      <c r="C581" t="n">
        <v>0</v>
      </c>
      <c r="D581" t="n">
        <v>0</v>
      </c>
      <c r="E581" t="n">
        <v>0</v>
      </c>
      <c r="F581" t="n">
        <v>0</v>
      </c>
      <c r="H581" t="n">
        <v>0</v>
      </c>
      <c r="I581" t="n">
        <v>0</v>
      </c>
      <c r="J581" t="n">
        <v>0</v>
      </c>
      <c r="K581" t="n">
        <v>0</v>
      </c>
      <c r="L581" t="n">
        <v>0</v>
      </c>
      <c r="M581" t="n">
        <v>0</v>
      </c>
      <c r="N581" t="n">
        <v>0</v>
      </c>
    </row>
    <row r="582">
      <c r="A582" t="inlineStr">
        <is>
          <t>stock</t>
        </is>
      </c>
      <c r="B582" t="inlineStr">
        <is>
          <t>200 pots remain.</t>
        </is>
      </c>
      <c r="C582" t="n">
        <v>0</v>
      </c>
      <c r="D582" t="n">
        <v>0</v>
      </c>
      <c r="E582" t="n">
        <v>0</v>
      </c>
      <c r="F582" t="n">
        <v>0</v>
      </c>
      <c r="H582" t="n">
        <v>0</v>
      </c>
      <c r="I582" t="n">
        <v>0</v>
      </c>
      <c r="J582" t="n">
        <v>0</v>
      </c>
      <c r="K582" t="n">
        <v>0</v>
      </c>
      <c r="L582" t="n">
        <v>0</v>
      </c>
      <c r="M582" t="n">
        <v>0</v>
      </c>
      <c r="N582" t="n">
        <v>0</v>
      </c>
    </row>
    <row r="583">
      <c r="A583" t="inlineStr">
        <is>
          <t>stock</t>
        </is>
      </c>
      <c r="B583" t="inlineStr">
        <is>
          <t>freestone: 90 tons bought this year.</t>
        </is>
      </c>
      <c r="C583" t="n">
        <v>0</v>
      </c>
      <c r="D583" t="n">
        <v>0</v>
      </c>
      <c r="E583" t="n">
        <v>0</v>
      </c>
      <c r="F583" t="n">
        <v>0</v>
      </c>
      <c r="H583" t="n">
        <v>0</v>
      </c>
      <c r="I583" t="n">
        <v>0</v>
      </c>
      <c r="J583" t="n">
        <v>0</v>
      </c>
      <c r="K583" t="n">
        <v>0</v>
      </c>
      <c r="L583" t="n">
        <v>0</v>
      </c>
      <c r="M583" t="n">
        <v>0</v>
      </c>
      <c r="N583" t="n">
        <v>0</v>
      </c>
    </row>
    <row r="584">
      <c r="A584" t="inlineStr">
        <is>
          <t>stock</t>
        </is>
      </c>
      <c r="B584" t="inlineStr">
        <is>
          <t>90 tons remain.</t>
        </is>
      </c>
      <c r="C584" t="n">
        <v>0</v>
      </c>
      <c r="D584" t="n">
        <v>0</v>
      </c>
      <c r="E584" t="n">
        <v>0</v>
      </c>
      <c r="F584" t="n">
        <v>0</v>
      </c>
      <c r="H584" t="n">
        <v>0</v>
      </c>
      <c r="I584" t="n">
        <v>0</v>
      </c>
      <c r="J584" t="n">
        <v>0</v>
      </c>
      <c r="K584" t="n">
        <v>0</v>
      </c>
      <c r="L584" t="n">
        <v>0</v>
      </c>
      <c r="M584" t="n">
        <v>0</v>
      </c>
      <c r="N584" t="n">
        <v>0</v>
      </c>
    </row>
    <row r="585">
      <c r="A585" t="inlineStr">
        <is>
          <t>stock</t>
        </is>
      </c>
      <c r="B585" t="inlineStr">
        <is>
          <t>utensils: 3 ploughs with 3 pairs of iron-shod wheels (ferram') and all other equipment, 6 harrows, 3 of them with iron teeth, and 1 seed-basket remain.</t>
        </is>
      </c>
      <c r="C585" t="n">
        <v>0</v>
      </c>
      <c r="D585" t="n">
        <v>0</v>
      </c>
      <c r="E585" t="n">
        <v>0</v>
      </c>
      <c r="F585" t="n">
        <v>0</v>
      </c>
      <c r="H585" t="n">
        <v>0</v>
      </c>
      <c r="I585" t="n">
        <v>0</v>
      </c>
      <c r="J585" t="n">
        <v>0</v>
      </c>
      <c r="K585" t="n">
        <v>0</v>
      </c>
      <c r="L585" t="n">
        <v>0</v>
      </c>
      <c r="M585" t="n">
        <v>0</v>
      </c>
      <c r="N585" t="n">
        <v>0</v>
      </c>
    </row>
    <row r="586">
      <c r="A586" t="inlineStr">
        <is>
          <t>stock</t>
        </is>
      </c>
      <c r="B586" t="inlineStr">
        <is>
          <t>2 ploughs made anew this year.</t>
        </is>
      </c>
      <c r="C586" t="n">
        <v>0</v>
      </c>
      <c r="D586" t="n">
        <v>0</v>
      </c>
      <c r="E586" t="n">
        <v>0</v>
      </c>
      <c r="F586" t="n">
        <v>0</v>
      </c>
      <c r="H586" t="n">
        <v>0</v>
      </c>
      <c r="I586" t="n">
        <v>0</v>
      </c>
      <c r="J586" t="n">
        <v>0</v>
      </c>
      <c r="K586" t="n">
        <v>0</v>
      </c>
      <c r="L586" t="n">
        <v>0</v>
      </c>
      <c r="M586" t="n">
        <v>0</v>
      </c>
      <c r="N586" t="n">
        <v>0</v>
      </c>
    </row>
    <row r="587">
      <c r="A587" t="inlineStr">
        <is>
          <t>stock</t>
        </is>
      </c>
      <c r="B587" t="inlineStr">
        <is>
          <t>2 ploughs and 2 harrows used.</t>
        </is>
      </c>
      <c r="C587" t="n">
        <v>0</v>
      </c>
      <c r="D587" t="n">
        <v>0</v>
      </c>
      <c r="E587" t="n">
        <v>0</v>
      </c>
      <c r="F587" t="n">
        <v>0</v>
      </c>
      <c r="H587" t="n">
        <v>0</v>
      </c>
      <c r="I587" t="n">
        <v>0</v>
      </c>
      <c r="J587" t="n">
        <v>0</v>
      </c>
      <c r="K587" t="n">
        <v>0</v>
      </c>
      <c r="L587" t="n">
        <v>0</v>
      </c>
      <c r="M587" t="n">
        <v>0</v>
      </c>
      <c r="N587" t="n">
        <v>0</v>
      </c>
    </row>
    <row r="588">
      <c r="A588" t="inlineStr">
        <is>
          <t>stock</t>
        </is>
      </c>
      <c r="B588" t="inlineStr">
        <is>
          <t>all the rest remains. 2 carts with iron tyres, 1 of which is worn out, 8 collars, 7 pairs of traces, 2 cart saddles with saddle-pads, 8 halters, 2 cart-ropes, 4 iron linch-pins and 4 rungs remain.</t>
        </is>
      </c>
      <c r="C588" t="n">
        <v>0</v>
      </c>
      <c r="D588" t="n">
        <v>0</v>
      </c>
      <c r="E588" t="n">
        <v>0</v>
      </c>
      <c r="F588" t="n">
        <v>0</v>
      </c>
      <c r="H588" t="n">
        <v>0</v>
      </c>
      <c r="I588" t="n">
        <v>0</v>
      </c>
      <c r="J588" t="n">
        <v>0</v>
      </c>
      <c r="K588" t="n">
        <v>0</v>
      </c>
      <c r="L588" t="n">
        <v>0</v>
      </c>
      <c r="M588" t="n">
        <v>0</v>
      </c>
      <c r="N588" t="n">
        <v>0</v>
      </c>
    </row>
    <row r="589">
      <c r="A589" t="inlineStr">
        <is>
          <t>stock</t>
        </is>
      </c>
      <c r="B589" t="inlineStr">
        <is>
          <t>1 cart with iron tyres, 2 collars and 2 pairs of traces bought.</t>
        </is>
      </c>
      <c r="C589" t="n">
        <v>0</v>
      </c>
      <c r="D589" t="n">
        <v>0</v>
      </c>
      <c r="E589" t="n">
        <v>0</v>
      </c>
      <c r="F589" t="n">
        <v>0</v>
      </c>
      <c r="H589" t="n">
        <v>0</v>
      </c>
      <c r="I589" t="n">
        <v>0</v>
      </c>
      <c r="J589" t="n">
        <v>0</v>
      </c>
      <c r="K589" t="n">
        <v>0</v>
      </c>
      <c r="L589" t="n">
        <v>0</v>
      </c>
      <c r="M589" t="n">
        <v>0</v>
      </c>
      <c r="N589" t="n">
        <v>0</v>
      </c>
    </row>
    <row r="590">
      <c r="A590" t="inlineStr">
        <is>
          <t>stock</t>
        </is>
      </c>
      <c r="B590" t="inlineStr">
        <is>
          <t>i worn out cart with iron tyres sold within.</t>
        </is>
      </c>
      <c r="C590" t="n">
        <v>0</v>
      </c>
      <c r="D590" t="n">
        <v>0</v>
      </c>
      <c r="E590" t="n">
        <v>0</v>
      </c>
      <c r="F590" t="n">
        <v>0</v>
      </c>
      <c r="H590" t="n">
        <v>0</v>
      </c>
      <c r="I590" t="n">
        <v>0</v>
      </c>
      <c r="J590" t="n">
        <v>0</v>
      </c>
      <c r="K590" t="n">
        <v>0</v>
      </c>
      <c r="L590" t="n">
        <v>0</v>
      </c>
      <c r="M590" t="n">
        <v>0</v>
      </c>
      <c r="N590" t="n">
        <v>0</v>
      </c>
    </row>
    <row r="591">
      <c r="A591" t="inlineStr">
        <is>
          <t>stock</t>
        </is>
      </c>
      <c r="B591" t="inlineStr">
        <is>
          <t>2 collars and 2 pairs of traces worn out.</t>
        </is>
      </c>
      <c r="C591" t="n">
        <v>0</v>
      </c>
      <c r="D591" t="n">
        <v>0</v>
      </c>
      <c r="E591" t="n">
        <v>0</v>
      </c>
      <c r="F591" t="n">
        <v>0</v>
      </c>
      <c r="H591" t="n">
        <v>0</v>
      </c>
      <c r="I591" t="n">
        <v>0</v>
      </c>
      <c r="J591" t="n">
        <v>0</v>
      </c>
      <c r="K591" t="n">
        <v>0</v>
      </c>
      <c r="L591" t="n">
        <v>0</v>
      </c>
      <c r="M591" t="n">
        <v>0</v>
      </c>
      <c r="N591" t="n">
        <v>0</v>
      </c>
    </row>
    <row r="592">
      <c r="A592" t="inlineStr">
        <is>
          <t>stock</t>
        </is>
      </c>
      <c r="B592" t="inlineStr">
        <is>
          <t>all the rest remains. 1 brass pot of 4 gallons, 1 tripod, 2 pails, 1 winnowing-fan, 2 sacks, 1 basket for carrying corn and 1 iron bushel measure remain.</t>
        </is>
      </c>
      <c r="C592" t="n">
        <v>0</v>
      </c>
      <c r="D592" t="n">
        <v>0</v>
      </c>
      <c r="E592" t="n">
        <v>0</v>
      </c>
      <c r="F592" t="n">
        <v>0</v>
      </c>
      <c r="H592" t="n">
        <v>0</v>
      </c>
      <c r="I592" t="n">
        <v>0</v>
      </c>
      <c r="J592" t="n">
        <v>0</v>
      </c>
      <c r="K592" t="n">
        <v>0</v>
      </c>
      <c r="L592" t="n">
        <v>0</v>
      </c>
      <c r="M592" t="n">
        <v>0</v>
      </c>
      <c r="N592" t="n">
        <v>0</v>
      </c>
    </row>
    <row r="593">
      <c r="A593" t="inlineStr">
        <is>
          <t>stock</t>
        </is>
      </c>
      <c r="B593" t="inlineStr">
        <is>
          <t>1 winnowing-fan, 1 basket for carrying corn and 1 sack bought.</t>
        </is>
      </c>
      <c r="C593" t="n">
        <v>0</v>
      </c>
      <c r="D593" t="n">
        <v>0</v>
      </c>
      <c r="E593" t="n">
        <v>0</v>
      </c>
      <c r="F593" t="n">
        <v>0</v>
      </c>
      <c r="H593" t="n">
        <v>0</v>
      </c>
      <c r="I593" t="n">
        <v>0</v>
      </c>
      <c r="J593" t="n">
        <v>0</v>
      </c>
      <c r="K593" t="n">
        <v>0</v>
      </c>
      <c r="L593" t="n">
        <v>0</v>
      </c>
      <c r="M593" t="n">
        <v>0</v>
      </c>
      <c r="N593" t="n">
        <v>0</v>
      </c>
    </row>
    <row r="594">
      <c r="A594" t="inlineStr">
        <is>
          <t>stock</t>
        </is>
      </c>
      <c r="B594" t="inlineStr">
        <is>
          <t>1 winnowing-fan, 1 basket for carrying corn and 1 sack worn out.</t>
        </is>
      </c>
      <c r="C594" t="n">
        <v>0</v>
      </c>
      <c r="D594" t="n">
        <v>0</v>
      </c>
      <c r="E594" t="n">
        <v>0</v>
      </c>
      <c r="F594" t="n">
        <v>0</v>
      </c>
      <c r="H594" t="n">
        <v>0</v>
      </c>
      <c r="I594" t="n">
        <v>0</v>
      </c>
      <c r="J594" t="n">
        <v>0</v>
      </c>
      <c r="K594" t="n">
        <v>0</v>
      </c>
      <c r="L594" t="n">
        <v>0</v>
      </c>
      <c r="M594" t="n">
        <v>0</v>
      </c>
      <c r="N594" t="n">
        <v>0</v>
      </c>
    </row>
    <row r="595">
      <c r="A595" t="inlineStr">
        <is>
          <t>stock</t>
        </is>
      </c>
      <c r="B595" t="inlineStr">
        <is>
          <t>all the rest remains. 7 casks for putting salt in remain.</t>
        </is>
      </c>
      <c r="C595" t="n">
        <v>0</v>
      </c>
      <c r="D595" t="n">
        <v>0</v>
      </c>
      <c r="E595" t="n">
        <v>0</v>
      </c>
      <c r="F595" t="n">
        <v>0</v>
      </c>
      <c r="H595" t="n">
        <v>0</v>
      </c>
      <c r="I595" t="n">
        <v>0</v>
      </c>
      <c r="J595" t="n">
        <v>0</v>
      </c>
      <c r="K595" t="n">
        <v>0</v>
      </c>
      <c r="L595" t="n">
        <v>0</v>
      </c>
      <c r="M595" t="n">
        <v>0</v>
      </c>
      <c r="N595" t="n">
        <v>0</v>
      </c>
    </row>
    <row r="596">
      <c r="A596" t="inlineStr">
        <is>
          <t>stock</t>
        </is>
      </c>
      <c r="B596" t="inlineStr">
        <is>
          <t>1 sieve, 3 riddles, 2 shovels fitted with iron, 2 iron dung-pikes (dungpyk'), 2 ladders for roofing buildings and 1 device (machina) for lifting timber remain.</t>
        </is>
      </c>
      <c r="C596" t="n">
        <v>0</v>
      </c>
      <c r="D596" t="n">
        <v>0</v>
      </c>
      <c r="E596" t="n">
        <v>0</v>
      </c>
      <c r="F596" t="n">
        <v>0</v>
      </c>
      <c r="H596" t="n">
        <v>0</v>
      </c>
      <c r="I596" t="n">
        <v>0</v>
      </c>
      <c r="J596" t="n">
        <v>0</v>
      </c>
      <c r="K596" t="n">
        <v>0</v>
      </c>
      <c r="L596" t="n">
        <v>0</v>
      </c>
      <c r="M596" t="n">
        <v>0</v>
      </c>
      <c r="N596" t="n">
        <v>0</v>
      </c>
    </row>
    <row r="597">
      <c r="A597" t="inlineStr">
        <is>
          <t>stock</t>
        </is>
      </c>
      <c r="B597" t="inlineStr">
        <is>
          <t>all this remains.</t>
        </is>
      </c>
      <c r="C597" t="n">
        <v>0</v>
      </c>
      <c r="D597" t="n">
        <v>0</v>
      </c>
      <c r="E597" t="n">
        <v>0</v>
      </c>
      <c r="F597" t="n">
        <v>0</v>
      </c>
      <c r="H597" t="n">
        <v>0</v>
      </c>
      <c r="I597" t="n">
        <v>0</v>
      </c>
      <c r="J597" t="n">
        <v>0</v>
      </c>
      <c r="K597" t="n">
        <v>0</v>
      </c>
      <c r="L597" t="n">
        <v>0</v>
      </c>
      <c r="M597" t="n">
        <v>0</v>
      </c>
      <c r="N59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6"/>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7 remain.</t>
        </is>
      </c>
      <c r="C3" t="n">
        <v>0</v>
      </c>
      <c r="D3" t="n">
        <v>0</v>
      </c>
      <c r="F3" t="inlineStr">
        <is>
          <t>7</t>
        </is>
      </c>
    </row>
    <row r="4">
      <c r="A4" t="inlineStr">
        <is>
          <t>Stock</t>
        </is>
      </c>
      <c r="B4" t="inlineStr">
        <is>
          <t>1 from the heriot of Henry Mortim'.</t>
        </is>
      </c>
      <c r="C4" t="n">
        <v>0</v>
      </c>
      <c r="D4" t="n">
        <v>0</v>
      </c>
    </row>
    <row r="5">
      <c r="A5" t="inlineStr">
        <is>
          <t>Stock</t>
        </is>
      </c>
      <c r="B5" t="inlineStr">
        <is>
          <t>1 from strays.</t>
        </is>
      </c>
      <c r="C5" t="n">
        <v>0</v>
      </c>
      <c r="D5" t="n">
        <v>0</v>
      </c>
    </row>
    <row r="6">
      <c r="A6" t="inlineStr">
        <is>
          <t>Stock</t>
        </is>
      </c>
      <c r="B6" t="inlineStr">
        <is>
          <t>Total, 9. 1 in murrain.</t>
        </is>
      </c>
      <c r="C6" t="n">
        <v>0</v>
      </c>
      <c r="D6" t="n">
        <v>0</v>
      </c>
      <c r="H6" t="inlineStr">
        <is>
          <t>1</t>
        </is>
      </c>
    </row>
    <row r="7">
      <c r="A7" t="inlineStr">
        <is>
          <t>Stock</t>
        </is>
      </c>
      <c r="B7" t="inlineStr">
        <is>
          <t>1 sold within.</t>
        </is>
      </c>
      <c r="C7" t="n">
        <v>0</v>
      </c>
      <c r="D7" t="n">
        <v>0</v>
      </c>
      <c r="I7" t="inlineStr">
        <is>
          <t>1</t>
        </is>
      </c>
    </row>
    <row r="8">
      <c r="A8" t="inlineStr">
        <is>
          <t>Stock</t>
        </is>
      </c>
      <c r="B8" t="inlineStr">
        <is>
          <t>Total, 2. 7 remain.</t>
        </is>
      </c>
      <c r="C8" t="n">
        <v>0</v>
      </c>
      <c r="D8" t="n">
        <v>0</v>
      </c>
    </row>
    <row r="9">
      <c r="A9" t="inlineStr">
        <is>
          <t>Stock</t>
        </is>
      </c>
      <c r="B9" t="inlineStr">
        <is>
          <t>Oxen: 23 remain.</t>
        </is>
      </c>
      <c r="C9" t="n">
        <v>0</v>
      </c>
      <c r="D9" t="n">
        <v>0</v>
      </c>
      <c r="E9" t="inlineStr">
        <is>
          <t>Oxen</t>
        </is>
      </c>
      <c r="F9" t="inlineStr">
        <is>
          <t>23</t>
        </is>
      </c>
    </row>
    <row r="10">
      <c r="A10" t="inlineStr">
        <is>
          <t>Stock</t>
        </is>
      </c>
      <c r="B10" t="inlineStr">
        <is>
          <t>3 added from steers below.</t>
        </is>
      </c>
      <c r="C10" t="n">
        <v>0</v>
      </c>
      <c r="D10" t="n">
        <v>0</v>
      </c>
      <c r="E10" t="inlineStr">
        <is>
          <t>Oxen</t>
        </is>
      </c>
    </row>
    <row r="11">
      <c r="A11" t="inlineStr">
        <is>
          <t>Stock</t>
        </is>
      </c>
      <c r="B11" t="inlineStr">
        <is>
          <t>Total, 27.1 2 kebbs sold.</t>
        </is>
      </c>
      <c r="C11" t="n">
        <v>0</v>
      </c>
      <c r="D11" t="n">
        <v>0</v>
      </c>
      <c r="E11" t="inlineStr">
        <is>
          <t>Oxen</t>
        </is>
      </c>
      <c r="I11" t="inlineStr">
        <is>
          <t>1</t>
        </is>
      </c>
    </row>
    <row r="12">
      <c r="A12" t="inlineStr">
        <is>
          <t>Stock</t>
        </is>
      </c>
      <c r="B12" t="inlineStr">
        <is>
          <t>24 remain..</t>
        </is>
      </c>
      <c r="C12" t="n">
        <v>0</v>
      </c>
      <c r="D12" t="n">
        <v>0</v>
      </c>
      <c r="E12" t="inlineStr">
        <is>
          <t>Oxen</t>
        </is>
      </c>
    </row>
    <row r="13">
      <c r="A13" t="inlineStr">
        <is>
          <t>Stock</t>
        </is>
      </c>
      <c r="B13" t="inlineStr">
        <is>
          <t>Bulls: 1 remains.</t>
        </is>
      </c>
      <c r="C13" t="n">
        <v>0</v>
      </c>
      <c r="D13" t="n">
        <v>0</v>
      </c>
      <c r="E13" t="inlineStr">
        <is>
          <t>Bulls</t>
        </is>
      </c>
    </row>
    <row r="14">
      <c r="A14" t="inlineStr">
        <is>
          <t>Stock</t>
        </is>
      </c>
      <c r="B14" t="inlineStr">
        <is>
          <t>1 added from steers below.</t>
        </is>
      </c>
      <c r="C14" t="n">
        <v>0</v>
      </c>
      <c r="D14" t="n">
        <v>0</v>
      </c>
      <c r="E14" t="inlineStr">
        <is>
          <t>Bulls</t>
        </is>
      </c>
    </row>
    <row r="15">
      <c r="A15" t="inlineStr">
        <is>
          <t>Stock</t>
        </is>
      </c>
      <c r="B15" t="inlineStr">
        <is>
          <t>Total, 2. 2 remain.</t>
        </is>
      </c>
      <c r="C15" t="n">
        <v>0</v>
      </c>
      <c r="D15" t="n">
        <v>0</v>
      </c>
      <c r="E15" t="inlineStr">
        <is>
          <t>Bulls</t>
        </is>
      </c>
      <c r="F15" t="inlineStr">
        <is>
          <t>2</t>
        </is>
      </c>
    </row>
    <row r="16">
      <c r="A16" t="inlineStr">
        <is>
          <t>Stock</t>
        </is>
      </c>
      <c r="B16" t="inlineStr">
        <is>
          <t>Cows: 20 remain.</t>
        </is>
      </c>
      <c r="C16" t="n">
        <v>0</v>
      </c>
      <c r="D16" t="n">
        <v>0</v>
      </c>
      <c r="E16" t="inlineStr">
        <is>
          <t>Cows</t>
        </is>
      </c>
      <c r="F16" t="inlineStr">
        <is>
          <t>20</t>
        </is>
      </c>
    </row>
    <row r="17">
      <c r="A17" t="inlineStr">
        <is>
          <t>Stock</t>
        </is>
      </c>
      <c r="B17" t="inlineStr">
        <is>
          <t>5 added from steers below.</t>
        </is>
      </c>
      <c r="C17" t="n">
        <v>0</v>
      </c>
      <c r="D17" t="n">
        <v>0</v>
      </c>
      <c r="E17" t="inlineStr">
        <is>
          <t>Cows</t>
        </is>
      </c>
    </row>
    <row r="18">
      <c r="A18" t="inlineStr">
        <is>
          <t>Stock</t>
        </is>
      </c>
      <c r="B18" t="inlineStr">
        <is>
          <t>Total, 25. 2 in murrain.</t>
        </is>
      </c>
      <c r="C18" t="n">
        <v>0</v>
      </c>
      <c r="D18" t="n">
        <v>0</v>
      </c>
      <c r="E18" t="inlineStr">
        <is>
          <t>Cows</t>
        </is>
      </c>
      <c r="H18" t="inlineStr">
        <is>
          <t>2</t>
        </is>
      </c>
    </row>
    <row r="19">
      <c r="A19" t="inlineStr">
        <is>
          <t>Stock</t>
        </is>
      </c>
      <c r="B19" t="inlineStr">
        <is>
          <t>23 remain..</t>
        </is>
      </c>
      <c r="C19" t="n">
        <v>0</v>
      </c>
      <c r="D19" t="n">
        <v>0</v>
      </c>
      <c r="E19" t="inlineStr">
        <is>
          <t>Cows</t>
        </is>
      </c>
    </row>
    <row r="20">
      <c r="A20" t="inlineStr">
        <is>
          <t>Stock</t>
        </is>
      </c>
      <c r="B20" t="inlineStr">
        <is>
          <t>Steers: 9 remain from the bullocks.</t>
        </is>
      </c>
      <c r="C20" t="n">
        <v>0</v>
      </c>
      <c r="D20" t="n">
        <v>0</v>
      </c>
      <c r="E20" t="inlineStr">
        <is>
          <t>Steers</t>
        </is>
      </c>
      <c r="F20" t="inlineStr">
        <is>
          <t>9</t>
        </is>
      </c>
    </row>
    <row r="21">
      <c r="A21" t="inlineStr">
        <is>
          <t>Stock</t>
        </is>
      </c>
      <c r="B21" t="inlineStr">
        <is>
          <t>Total, 9. 3 added above to oxen, 1 to bulls and 5 to cows.</t>
        </is>
      </c>
      <c r="C21" t="n">
        <v>0</v>
      </c>
      <c r="D21" t="n">
        <v>0</v>
      </c>
      <c r="E21" t="inlineStr">
        <is>
          <t>Steers</t>
        </is>
      </c>
    </row>
    <row r="22">
      <c r="A22" t="inlineStr">
        <is>
          <t>Stock</t>
        </is>
      </c>
      <c r="B22" t="inlineStr">
        <is>
          <t>none remain.</t>
        </is>
      </c>
      <c r="C22" t="n">
        <v>0</v>
      </c>
      <c r="D22" t="n">
        <v>0</v>
      </c>
      <c r="E22" t="inlineStr">
        <is>
          <t>Steers</t>
        </is>
      </c>
    </row>
    <row r="23">
      <c r="A23" t="inlineStr">
        <is>
          <t>Stock</t>
        </is>
      </c>
      <c r="B23" t="inlineStr">
        <is>
          <t>Bullocks: 10 remain from the yearlings.</t>
        </is>
      </c>
      <c r="C23" t="n">
        <v>0</v>
      </c>
      <c r="D23" t="n">
        <v>0</v>
      </c>
      <c r="E23" t="inlineStr">
        <is>
          <t>Bullocks</t>
        </is>
      </c>
      <c r="F23" t="inlineStr">
        <is>
          <t>10</t>
        </is>
      </c>
    </row>
    <row r="24">
      <c r="A24" t="inlineStr">
        <is>
          <t>Stock</t>
        </is>
      </c>
      <c r="B24" t="inlineStr">
        <is>
          <t>1 from the heriot of Richard Bromden'.</t>
        </is>
      </c>
      <c r="C24" t="n">
        <v>0</v>
      </c>
      <c r="D24" t="n">
        <v>0</v>
      </c>
      <c r="E24" t="inlineStr">
        <is>
          <t>Bullocks</t>
        </is>
      </c>
    </row>
    <row r="25">
      <c r="A25" t="inlineStr">
        <is>
          <t>Stock</t>
        </is>
      </c>
      <c r="B25" t="inlineStr">
        <is>
          <t>Total, 11. 1 in murrain.</t>
        </is>
      </c>
      <c r="C25" t="n">
        <v>0</v>
      </c>
      <c r="D25" t="n">
        <v>0</v>
      </c>
      <c r="E25" t="inlineStr">
        <is>
          <t>Bullocks</t>
        </is>
      </c>
      <c r="H25" t="inlineStr">
        <is>
          <t>1</t>
        </is>
      </c>
    </row>
    <row r="26">
      <c r="A26" t="inlineStr">
        <is>
          <t>Stock</t>
        </is>
      </c>
      <c r="B26" t="inlineStr">
        <is>
          <t>1 sold within.</t>
        </is>
      </c>
      <c r="C26" t="n">
        <v>0</v>
      </c>
      <c r="D26" t="n">
        <v>0</v>
      </c>
      <c r="E26" t="inlineStr">
        <is>
          <t>Bullocks</t>
        </is>
      </c>
      <c r="I26" t="inlineStr">
        <is>
          <t>1</t>
        </is>
      </c>
    </row>
    <row r="27">
      <c r="A27" t="inlineStr">
        <is>
          <t>Stock</t>
        </is>
      </c>
      <c r="B27" t="inlineStr">
        <is>
          <t>9 remain.</t>
        </is>
      </c>
      <c r="C27" t="n">
        <v>0</v>
      </c>
      <c r="D27" t="n">
        <v>0</v>
      </c>
      <c r="E27" t="inlineStr">
        <is>
          <t>Bullocks</t>
        </is>
      </c>
    </row>
    <row r="28">
      <c r="A28" t="inlineStr">
        <is>
          <t>Stock</t>
        </is>
      </c>
      <c r="B28" t="inlineStr">
        <is>
          <t>Yearlings: 8 remain from the calves.</t>
        </is>
      </c>
      <c r="C28" t="n">
        <v>0</v>
      </c>
      <c r="D28" t="n">
        <v>0</v>
      </c>
      <c r="E28" t="inlineStr">
        <is>
          <t>Yearlings</t>
        </is>
      </c>
      <c r="F28" t="inlineStr">
        <is>
          <t>8</t>
        </is>
      </c>
    </row>
    <row r="29">
      <c r="A29" t="inlineStr">
        <is>
          <t>Stock</t>
        </is>
      </c>
      <c r="B29" t="inlineStr">
        <is>
          <t>4 in murrain.</t>
        </is>
      </c>
      <c r="C29" t="n">
        <v>0</v>
      </c>
      <c r="D29" t="n">
        <v>0</v>
      </c>
      <c r="E29" t="inlineStr">
        <is>
          <t>Yearlings</t>
        </is>
      </c>
      <c r="H29" t="inlineStr">
        <is>
          <t>4</t>
        </is>
      </c>
    </row>
    <row r="30">
      <c r="A30" t="inlineStr">
        <is>
          <t>Stock</t>
        </is>
      </c>
      <c r="B30" t="inlineStr">
        <is>
          <t>4 remain.</t>
        </is>
      </c>
      <c r="C30" t="n">
        <v>0</v>
      </c>
      <c r="D30" t="n">
        <v>0</v>
      </c>
      <c r="E30" t="inlineStr">
        <is>
          <t>Yearlings</t>
        </is>
      </c>
    </row>
    <row r="31">
      <c r="A31" t="inlineStr">
        <is>
          <t>Stock</t>
        </is>
      </c>
      <c r="B31" t="inlineStr">
        <is>
          <t>Calves: 20 offspring.</t>
        </is>
      </c>
      <c r="C31" t="n">
        <v>0</v>
      </c>
      <c r="D31" t="n">
        <v>0</v>
      </c>
      <c r="E31" t="inlineStr">
        <is>
          <t>Calves</t>
        </is>
      </c>
      <c r="G31" t="inlineStr">
        <is>
          <t>20</t>
        </is>
      </c>
    </row>
    <row r="32">
      <c r="A32" t="inlineStr">
        <is>
          <t>Stock</t>
        </is>
      </c>
      <c r="B32" t="inlineStr">
        <is>
          <t>Total, 20. 2 in tithe.</t>
        </is>
      </c>
      <c r="C32" t="n">
        <v>0</v>
      </c>
      <c r="D32" t="n">
        <v>0</v>
      </c>
      <c r="E32" t="inlineStr">
        <is>
          <t>Calves</t>
        </is>
      </c>
    </row>
    <row r="33">
      <c r="A33" t="inlineStr">
        <is>
          <t>Stock</t>
        </is>
      </c>
      <c r="B33" t="inlineStr">
        <is>
          <t>8 sold within.</t>
        </is>
      </c>
      <c r="C33" t="n">
        <v>0</v>
      </c>
      <c r="D33" t="n">
        <v>0</v>
      </c>
      <c r="E33" t="inlineStr">
        <is>
          <t>Calves</t>
        </is>
      </c>
      <c r="I33" t="inlineStr">
        <is>
          <t>8</t>
        </is>
      </c>
    </row>
    <row r="34">
      <c r="A34" t="inlineStr">
        <is>
          <t>Stock</t>
        </is>
      </c>
      <c r="B34" t="inlineStr">
        <is>
          <t>2 sold at the audit for 3 shilling 4pence.</t>
        </is>
      </c>
      <c r="C34" t="n">
        <v>0</v>
      </c>
      <c r="D34" t="n">
        <v>0</v>
      </c>
      <c r="E34" t="inlineStr">
        <is>
          <t>Calves</t>
        </is>
      </c>
      <c r="I34" t="inlineStr">
        <is>
          <t>2</t>
        </is>
      </c>
    </row>
    <row r="35">
      <c r="A35" t="inlineStr">
        <is>
          <t>Stock</t>
        </is>
      </c>
      <c r="B35" t="inlineStr">
        <is>
          <t>Total, 12. 8 remain.</t>
        </is>
      </c>
      <c r="C35" t="n">
        <v>0</v>
      </c>
      <c r="D35" t="n">
        <v>0</v>
      </c>
      <c r="E35" t="inlineStr">
        <is>
          <t>Calves</t>
        </is>
      </c>
      <c r="F35" t="inlineStr">
        <is>
          <t>8</t>
        </is>
      </c>
    </row>
    <row r="36">
      <c r="A36" t="inlineStr">
        <is>
          <t>Stock</t>
        </is>
      </c>
      <c r="B36" t="inlineStr">
        <is>
          <t>Wethers: 334 remain.</t>
        </is>
      </c>
      <c r="C36" t="n">
        <v>0</v>
      </c>
      <c r="D36" t="n">
        <v>0</v>
      </c>
      <c r="E36" t="inlineStr">
        <is>
          <t>Wethers</t>
        </is>
      </c>
      <c r="F36" t="inlineStr">
        <is>
          <t>334</t>
        </is>
      </c>
    </row>
    <row r="37">
      <c r="A37" t="inlineStr">
        <is>
          <t>Stock</t>
        </is>
      </c>
      <c r="B37" t="inlineStr">
        <is>
          <t>61 added from hoggs below after shearing.</t>
        </is>
      </c>
      <c r="C37" t="n">
        <v>0</v>
      </c>
      <c r="D37" t="n">
        <v>0</v>
      </c>
      <c r="E37" t="inlineStr">
        <is>
          <t>Wethers</t>
        </is>
      </c>
    </row>
    <row r="38">
      <c r="A38" t="inlineStr">
        <is>
          <t>Stock</t>
        </is>
      </c>
      <c r="B38" t="inlineStr">
        <is>
          <t>Total, 395. 5 in murrain before shearing and 7 after shearing.</t>
        </is>
      </c>
      <c r="C38" t="n">
        <v>0</v>
      </c>
      <c r="D38" t="n">
        <v>0</v>
      </c>
      <c r="E38" t="inlineStr">
        <is>
          <t>Wethers</t>
        </is>
      </c>
      <c r="H38" t="inlineStr">
        <is>
          <t>5</t>
        </is>
      </c>
    </row>
    <row r="39">
      <c r="A39" t="inlineStr">
        <is>
          <t>Stock</t>
        </is>
      </c>
      <c r="B39" t="inlineStr">
        <is>
          <t>17 sold before shearing, 12 of them to the lord's household.</t>
        </is>
      </c>
      <c r="C39" t="n">
        <v>0</v>
      </c>
      <c r="D39" t="n">
        <v>0</v>
      </c>
      <c r="E39" t="inlineStr">
        <is>
          <t>Wethers</t>
        </is>
      </c>
      <c r="I39" t="inlineStr">
        <is>
          <t>17</t>
        </is>
      </c>
    </row>
    <row r="40">
      <c r="A40" t="inlineStr">
        <is>
          <t>Stock</t>
        </is>
      </c>
      <c r="B40" t="inlineStr">
        <is>
          <t>42 sold at the audit for £2 16 shilling.</t>
        </is>
      </c>
      <c r="C40" t="n">
        <v>0</v>
      </c>
      <c r="D40" t="n">
        <v>0</v>
      </c>
      <c r="E40" t="inlineStr">
        <is>
          <t>Wethers</t>
        </is>
      </c>
      <c r="I40" t="inlineStr">
        <is>
          <t>42</t>
        </is>
      </c>
    </row>
    <row r="41">
      <c r="A41" t="inlineStr">
        <is>
          <t>Stock</t>
        </is>
      </c>
      <c r="B41" t="inlineStr">
        <is>
          <t>Total, 71. 324 remain.</t>
        </is>
      </c>
      <c r="C41" t="n">
        <v>0</v>
      </c>
      <c r="D41" t="n">
        <v>0</v>
      </c>
      <c r="E41" t="inlineStr">
        <is>
          <t>Wethers</t>
        </is>
      </c>
    </row>
    <row r="42">
      <c r="A42" t="inlineStr">
        <is>
          <t>Stock</t>
        </is>
      </c>
      <c r="B42" t="inlineStr">
        <is>
          <t>Rams: 6 remain.</t>
        </is>
      </c>
      <c r="C42" t="n">
        <v>0</v>
      </c>
      <c r="D42" t="n">
        <v>0</v>
      </c>
      <c r="E42" t="inlineStr">
        <is>
          <t>Rams</t>
        </is>
      </c>
      <c r="F42" t="inlineStr">
        <is>
          <t>6</t>
        </is>
      </c>
    </row>
    <row r="43">
      <c r="A43" t="inlineStr">
        <is>
          <t>Stock</t>
        </is>
      </c>
      <c r="B43" t="inlineStr">
        <is>
          <t>2 added from hoggs below after shearing.</t>
        </is>
      </c>
      <c r="C43" t="n">
        <v>0</v>
      </c>
      <c r="D43" t="n">
        <v>0</v>
      </c>
      <c r="E43" t="inlineStr">
        <is>
          <t>Rams</t>
        </is>
      </c>
    </row>
    <row r="44">
      <c r="A44" t="inlineStr">
        <is>
          <t>Stock</t>
        </is>
      </c>
      <c r="B44" t="inlineStr">
        <is>
          <t>Total, 8. 2 in murrain before shearing.</t>
        </is>
      </c>
      <c r="C44" t="n">
        <v>0</v>
      </c>
      <c r="D44" t="n">
        <v>0</v>
      </c>
      <c r="E44" t="inlineStr">
        <is>
          <t>Rams</t>
        </is>
      </c>
      <c r="H44" t="inlineStr">
        <is>
          <t>2</t>
        </is>
      </c>
    </row>
    <row r="45">
      <c r="A45" t="inlineStr">
        <is>
          <t>Stock</t>
        </is>
      </c>
      <c r="B45" t="inlineStr">
        <is>
          <t>6 remain.</t>
        </is>
      </c>
      <c r="C45" t="n">
        <v>0</v>
      </c>
      <c r="D45" t="n">
        <v>0</v>
      </c>
      <c r="E45" t="inlineStr">
        <is>
          <t>Rams</t>
        </is>
      </c>
    </row>
    <row r="46">
      <c r="A46" t="inlineStr">
        <is>
          <t>Stock</t>
        </is>
      </c>
      <c r="B46" t="inlineStr">
        <is>
          <t>Ewes: 256 remain.</t>
        </is>
      </c>
      <c r="C46" t="n">
        <v>0</v>
      </c>
      <c r="D46" t="n">
        <v>0</v>
      </c>
      <c r="E46" t="inlineStr">
        <is>
          <t>Ewes</t>
        </is>
      </c>
      <c r="F46" t="inlineStr">
        <is>
          <t>256</t>
        </is>
      </c>
    </row>
    <row r="47">
      <c r="A47" t="inlineStr">
        <is>
          <t>Stock</t>
        </is>
      </c>
      <c r="B47" t="inlineStr">
        <is>
          <t>37 added from hoggs below after shearing.</t>
        </is>
      </c>
      <c r="C47" t="n">
        <v>0</v>
      </c>
      <c r="D47" t="n">
        <v>0</v>
      </c>
      <c r="E47" t="inlineStr">
        <is>
          <t>Ewes</t>
        </is>
      </c>
    </row>
    <row r="48">
      <c r="A48" t="inlineStr">
        <is>
          <t>Stock</t>
        </is>
      </c>
      <c r="B48" t="inlineStr">
        <is>
          <t>Total, 293. 8 in murrain before shearing and 3 after shearing.</t>
        </is>
      </c>
      <c r="C48" t="n">
        <v>0</v>
      </c>
      <c r="D48" t="n">
        <v>0</v>
      </c>
      <c r="E48" t="inlineStr">
        <is>
          <t>Ewes</t>
        </is>
      </c>
      <c r="H48" t="inlineStr">
        <is>
          <t>8</t>
        </is>
      </c>
    </row>
    <row r="49">
      <c r="A49" t="inlineStr">
        <is>
          <t>Stock</t>
        </is>
      </c>
      <c r="B49" t="inlineStr">
        <is>
          <t>12 sold to the lord's household before shearing and 14 after shearing.</t>
        </is>
      </c>
      <c r="C49" t="n">
        <v>0</v>
      </c>
      <c r="D49" t="n">
        <v>0</v>
      </c>
      <c r="E49" t="inlineStr">
        <is>
          <t>Ewes</t>
        </is>
      </c>
      <c r="I49" t="inlineStr">
        <is>
          <t>12</t>
        </is>
      </c>
    </row>
    <row r="50">
      <c r="A50" t="inlineStr">
        <is>
          <t>Stock</t>
        </is>
      </c>
      <c r="B50" t="inlineStr">
        <is>
          <t>Total, 37. 256 remain.</t>
        </is>
      </c>
      <c r="C50" t="n">
        <v>0</v>
      </c>
      <c r="D50" t="n">
        <v>0</v>
      </c>
      <c r="E50" t="inlineStr">
        <is>
          <t>Ewes</t>
        </is>
      </c>
    </row>
    <row r="51">
      <c r="A51" t="inlineStr">
        <is>
          <t>Stock</t>
        </is>
      </c>
      <c r="B51" t="inlineStr">
        <is>
          <t>Hoggs: 100 bought from the reeve of Droxford before shearing.</t>
        </is>
      </c>
      <c r="C51" t="n">
        <v>0</v>
      </c>
      <c r="D51" t="n">
        <v>0</v>
      </c>
      <c r="E51" t="inlineStr">
        <is>
          <t>Hoggs</t>
        </is>
      </c>
      <c r="G51" t="inlineStr">
        <is>
          <t>100</t>
        </is>
      </c>
    </row>
    <row r="52">
      <c r="A52" t="inlineStr">
        <is>
          <t>Stock</t>
        </is>
      </c>
      <c r="B52" t="inlineStr">
        <is>
          <t>Total, 100. 61 added above to wethers, 2 to rams and 37 to ewes.</t>
        </is>
      </c>
      <c r="C52" t="n">
        <v>0</v>
      </c>
      <c r="D52" t="n">
        <v>0</v>
      </c>
      <c r="E52" t="inlineStr">
        <is>
          <t>Hoggs</t>
        </is>
      </c>
    </row>
    <row r="53">
      <c r="A53" t="inlineStr">
        <is>
          <t>Stock</t>
        </is>
      </c>
      <c r="B53" t="inlineStr">
        <is>
          <t>none remain.</t>
        </is>
      </c>
      <c r="C53" t="n">
        <v>0</v>
      </c>
      <c r="D53" t="n">
        <v>0</v>
      </c>
      <c r="E53" t="inlineStr">
        <is>
          <t>Hoggs</t>
        </is>
      </c>
    </row>
    <row r="54">
      <c r="A54" t="inlineStr">
        <is>
          <t>Stock</t>
        </is>
      </c>
      <c r="B54" t="inlineStr">
        <is>
          <t>Lambs: 216 offspring and not more because 8 ewes died before lambing and 42 were sterile this year.</t>
        </is>
      </c>
      <c r="C54" t="n">
        <v>0</v>
      </c>
      <c r="D54" t="n">
        <v>0</v>
      </c>
      <c r="E54" t="inlineStr">
        <is>
          <t>Lambs</t>
        </is>
      </c>
      <c r="G54" t="inlineStr">
        <is>
          <t>216</t>
        </is>
      </c>
    </row>
    <row r="55">
      <c r="A55" t="inlineStr">
        <is>
          <t>Stock</t>
        </is>
      </c>
      <c r="B55" t="inlineStr">
        <is>
          <t>Total, 216. 61 in murrain before weaning.</t>
        </is>
      </c>
      <c r="C55" t="n">
        <v>0</v>
      </c>
      <c r="D55" t="n">
        <v>0</v>
      </c>
      <c r="E55" t="inlineStr">
        <is>
          <t>Lambs</t>
        </is>
      </c>
      <c r="H55" t="inlineStr">
        <is>
          <t>61</t>
        </is>
      </c>
    </row>
    <row r="56">
      <c r="A56" t="inlineStr">
        <is>
          <t>Stock</t>
        </is>
      </c>
      <c r="B56" t="inlineStr">
        <is>
          <t>14 in tithe.</t>
        </is>
      </c>
      <c r="C56" t="n">
        <v>0</v>
      </c>
      <c r="D56" t="n">
        <v>0</v>
      </c>
      <c r="E56" t="inlineStr">
        <is>
          <t>Lambs</t>
        </is>
      </c>
    </row>
    <row r="57">
      <c r="A57" t="inlineStr">
        <is>
          <t>Stock</t>
        </is>
      </c>
      <c r="B57" t="inlineStr">
        <is>
          <t>1 in customary payment to the beadle.</t>
        </is>
      </c>
      <c r="C57" t="n">
        <v>0</v>
      </c>
      <c r="D57" t="n">
        <v>0</v>
      </c>
      <c r="E57" t="inlineStr">
        <is>
          <t>Lambs</t>
        </is>
      </c>
    </row>
    <row r="58">
      <c r="A58" t="inlineStr">
        <is>
          <t>Stock</t>
        </is>
      </c>
      <c r="B58" t="inlineStr">
        <is>
          <t>130 sold to the reeve of Droxford before shearing.</t>
        </is>
      </c>
      <c r="C58" t="n">
        <v>0</v>
      </c>
      <c r="D58" t="n">
        <v>0</v>
      </c>
      <c r="E58" t="inlineStr">
        <is>
          <t>Lambs</t>
        </is>
      </c>
      <c r="I58" t="inlineStr">
        <is>
          <t>130</t>
        </is>
      </c>
    </row>
    <row r="59">
      <c r="A59" t="inlineStr">
        <is>
          <t>Stock</t>
        </is>
      </c>
      <c r="B59" t="inlineStr">
        <is>
          <t>10 sold at the audit for 10 shilling.</t>
        </is>
      </c>
      <c r="C59" t="n">
        <v>0</v>
      </c>
      <c r="D59" t="n">
        <v>0</v>
      </c>
      <c r="E59" t="inlineStr">
        <is>
          <t>Lambs</t>
        </is>
      </c>
      <c r="I59" t="inlineStr">
        <is>
          <t>10</t>
        </is>
      </c>
    </row>
    <row r="60">
      <c r="A60" t="inlineStr">
        <is>
          <t>Stock</t>
        </is>
      </c>
      <c r="B60" t="inlineStr">
        <is>
          <t>Total as before.</t>
        </is>
      </c>
      <c r="C60" t="n">
        <v>0</v>
      </c>
      <c r="D60" t="n">
        <v>0</v>
      </c>
      <c r="E60" t="inlineStr">
        <is>
          <t>Lambs</t>
        </is>
      </c>
    </row>
    <row r="61">
      <c r="A61" t="inlineStr">
        <is>
          <t>Stock</t>
        </is>
      </c>
      <c r="B61" t="inlineStr">
        <is>
          <t>It balances.</t>
        </is>
      </c>
      <c r="C61" t="n">
        <v>0</v>
      </c>
      <c r="D61" t="n">
        <v>0</v>
      </c>
      <c r="E61" t="inlineStr">
        <is>
          <t>Lambs</t>
        </is>
      </c>
    </row>
    <row r="62">
      <c r="A62" t="inlineStr">
        <is>
          <t>Stock</t>
        </is>
      </c>
      <c r="B62" t="inlineStr">
        <is>
          <t>Boars: 1 remains.</t>
        </is>
      </c>
      <c r="C62" t="n">
        <v>0</v>
      </c>
      <c r="D62" t="n">
        <v>0</v>
      </c>
      <c r="E62" t="inlineStr">
        <is>
          <t>Boars</t>
        </is>
      </c>
    </row>
    <row r="63">
      <c r="A63" t="inlineStr">
        <is>
          <t>Stock</t>
        </is>
      </c>
      <c r="B63" t="inlineStr">
        <is>
          <t>Sows: 2 remain.</t>
        </is>
      </c>
      <c r="C63" t="n">
        <v>0</v>
      </c>
      <c r="D63" t="n">
        <v>0</v>
      </c>
      <c r="E63" t="inlineStr">
        <is>
          <t>Sows</t>
        </is>
      </c>
      <c r="F63" t="inlineStr">
        <is>
          <t>2</t>
        </is>
      </c>
    </row>
    <row r="64">
      <c r="A64" t="inlineStr">
        <is>
          <t>Stock</t>
        </is>
      </c>
      <c r="B64" t="inlineStr">
        <is>
          <t>Total, 2. 2 remain.</t>
        </is>
      </c>
      <c r="C64" t="n">
        <v>0</v>
      </c>
      <c r="D64" t="n">
        <v>0</v>
      </c>
      <c r="E64" t="inlineStr">
        <is>
          <t>Sows</t>
        </is>
      </c>
    </row>
    <row r="65">
      <c r="A65" t="inlineStr">
        <is>
          <t>Stock</t>
        </is>
      </c>
      <c r="B65" t="inlineStr">
        <is>
          <t>Pigs: 24 remain.</t>
        </is>
      </c>
      <c r="C65" t="n">
        <v>0</v>
      </c>
      <c r="D65" t="n">
        <v>0</v>
      </c>
      <c r="E65" t="inlineStr">
        <is>
          <t>Pigs</t>
        </is>
      </c>
      <c r="F65" t="inlineStr">
        <is>
          <t>24</t>
        </is>
      </c>
    </row>
    <row r="66">
      <c r="A66" t="inlineStr">
        <is>
          <t>Stock</t>
        </is>
      </c>
      <c r="B66" t="inlineStr">
        <is>
          <t>12 added from hoggets below.</t>
        </is>
      </c>
      <c r="C66" t="n">
        <v>0</v>
      </c>
      <c r="D66" t="n">
        <v>0</v>
      </c>
      <c r="E66" t="inlineStr">
        <is>
          <t>Pigs</t>
        </is>
      </c>
    </row>
    <row r="67">
      <c r="A67" t="inlineStr">
        <is>
          <t>Stock</t>
        </is>
      </c>
      <c r="B67" t="inlineStr">
        <is>
          <t>Total, 36. 2 in murrain.</t>
        </is>
      </c>
      <c r="C67" t="n">
        <v>0</v>
      </c>
      <c r="D67" t="n">
        <v>0</v>
      </c>
      <c r="E67" t="inlineStr">
        <is>
          <t>Pigs</t>
        </is>
      </c>
      <c r="H67" t="inlineStr">
        <is>
          <t>2</t>
        </is>
      </c>
    </row>
    <row r="68">
      <c r="A68" t="inlineStr">
        <is>
          <t>Stock</t>
        </is>
      </c>
      <c r="B68" t="inlineStr">
        <is>
          <t>12 sold to the lord's househo1pence.</t>
        </is>
      </c>
      <c r="C68" t="n">
        <v>0</v>
      </c>
      <c r="D68" t="n">
        <v>0</v>
      </c>
      <c r="E68" t="inlineStr">
        <is>
          <t>Pigs</t>
        </is>
      </c>
      <c r="I68" t="inlineStr">
        <is>
          <t>12</t>
        </is>
      </c>
    </row>
    <row r="69">
      <c r="A69" t="inlineStr">
        <is>
          <t>Stock</t>
        </is>
      </c>
      <c r="B69" t="inlineStr">
        <is>
          <t>Total, 14. 22 remain.</t>
        </is>
      </c>
      <c r="C69" t="n">
        <v>0</v>
      </c>
      <c r="D69" t="n">
        <v>0</v>
      </c>
      <c r="E69" t="inlineStr">
        <is>
          <t>Pigs</t>
        </is>
      </c>
    </row>
    <row r="70">
      <c r="A70" t="inlineStr">
        <is>
          <t>Stock</t>
        </is>
      </c>
      <c r="B70" t="inlineStr">
        <is>
          <t>Hoggets: 26 remain from the piglets.</t>
        </is>
      </c>
      <c r="C70" t="n">
        <v>0</v>
      </c>
      <c r="D70" t="n">
        <v>0</v>
      </c>
      <c r="E70" t="inlineStr">
        <is>
          <t>Hoggets</t>
        </is>
      </c>
      <c r="F70" t="inlineStr">
        <is>
          <t>26</t>
        </is>
      </c>
    </row>
    <row r="71">
      <c r="A71" t="inlineStr">
        <is>
          <t>Stock</t>
        </is>
      </c>
      <c r="B71" t="inlineStr">
        <is>
          <t>Total, 26. 14 in murrain.</t>
        </is>
      </c>
      <c r="C71" t="n">
        <v>0</v>
      </c>
      <c r="D71" t="n">
        <v>0</v>
      </c>
      <c r="E71" t="inlineStr">
        <is>
          <t>Hoggets</t>
        </is>
      </c>
      <c r="H71" t="inlineStr">
        <is>
          <t>14</t>
        </is>
      </c>
    </row>
    <row r="72">
      <c r="A72" t="inlineStr">
        <is>
          <t>Stock</t>
        </is>
      </c>
      <c r="B72" t="inlineStr">
        <is>
          <t>12 added above to pigs.</t>
        </is>
      </c>
      <c r="C72" t="n">
        <v>0</v>
      </c>
      <c r="D72" t="n">
        <v>0</v>
      </c>
      <c r="E72" t="inlineStr">
        <is>
          <t>Hoggets</t>
        </is>
      </c>
    </row>
    <row r="73">
      <c r="A73" t="inlineStr">
        <is>
          <t>Stock</t>
        </is>
      </c>
      <c r="B73" t="inlineStr">
        <is>
          <t>none remain.</t>
        </is>
      </c>
      <c r="C73" t="n">
        <v>0</v>
      </c>
      <c r="D73" t="n">
        <v>0</v>
      </c>
      <c r="E73" t="inlineStr">
        <is>
          <t>Hoggets</t>
        </is>
      </c>
    </row>
    <row r="74">
      <c r="A74" t="inlineStr">
        <is>
          <t>Stock</t>
        </is>
      </c>
      <c r="B74" t="inlineStr">
        <is>
          <t>Piglets: 30 from the offspring of the said sows.</t>
        </is>
      </c>
      <c r="C74" t="n">
        <v>0</v>
      </c>
      <c r="D74" t="n">
        <v>0</v>
      </c>
      <c r="E74" t="inlineStr">
        <is>
          <t>Piglets</t>
        </is>
      </c>
      <c r="G74" t="inlineStr">
        <is>
          <t>30</t>
        </is>
      </c>
    </row>
    <row r="75">
      <c r="A75" t="inlineStr">
        <is>
          <t>Stock</t>
        </is>
      </c>
      <c r="B75" t="inlineStr">
        <is>
          <t>Total, 30. 3 given in tithe.</t>
        </is>
      </c>
      <c r="C75" t="n">
        <v>0</v>
      </c>
      <c r="D75" t="n">
        <v>0</v>
      </c>
      <c r="E75" t="inlineStr">
        <is>
          <t>Piglets</t>
        </is>
      </c>
    </row>
    <row r="76">
      <c r="A76" t="inlineStr">
        <is>
          <t>Stock</t>
        </is>
      </c>
      <c r="B76" t="inlineStr">
        <is>
          <t>1 in customary payment to 1 swineherd from the customary tenants.</t>
        </is>
      </c>
      <c r="C76" t="n">
        <v>0</v>
      </c>
      <c r="D76" t="n">
        <v>0</v>
      </c>
      <c r="E76" t="inlineStr">
        <is>
          <t>Piglets</t>
        </is>
      </c>
    </row>
    <row r="77">
      <c r="A77" t="inlineStr">
        <is>
          <t>Stock</t>
        </is>
      </c>
      <c r="B77" t="inlineStr">
        <is>
          <t>Total, 4. 26 remain.</t>
        </is>
      </c>
      <c r="C77" t="n">
        <v>0</v>
      </c>
      <c r="D77" t="n">
        <v>0</v>
      </c>
      <c r="E77" t="inlineStr">
        <is>
          <t>Piglets</t>
        </is>
      </c>
      <c r="F77" t="inlineStr">
        <is>
          <t>26</t>
        </is>
      </c>
    </row>
    <row r="78">
      <c r="A78" t="inlineStr">
        <is>
          <t>Stock</t>
        </is>
      </c>
      <c r="B78" t="inlineStr">
        <is>
          <t>Hides: 1 from a horse, 2 from cows, 1 from a bullock and 4 from yearlings in murrain as made clear above.</t>
        </is>
      </c>
      <c r="C78" t="n">
        <v>0</v>
      </c>
      <c r="D78" t="n">
        <v>0</v>
      </c>
      <c r="E78" t="inlineStr">
        <is>
          <t>Piglets</t>
        </is>
      </c>
      <c r="H78" t="inlineStr">
        <is>
          <t>1</t>
        </is>
      </c>
    </row>
    <row r="79">
      <c r="A79" t="inlineStr">
        <is>
          <t>Stock</t>
        </is>
      </c>
      <c r="B79" t="inlineStr">
        <is>
          <t>sold within.</t>
        </is>
      </c>
      <c r="C79" t="n">
        <v>0</v>
      </c>
      <c r="D79" t="n">
        <v>0</v>
      </c>
      <c r="E79" t="inlineStr">
        <is>
          <t>Piglets</t>
        </is>
      </c>
    </row>
    <row r="80">
      <c r="A80" t="inlineStr">
        <is>
          <t>Stock</t>
        </is>
      </c>
      <c r="B80" t="inlineStr">
        <is>
          <t>none remain.</t>
        </is>
      </c>
      <c r="C80" t="n">
        <v>0</v>
      </c>
      <c r="D80" t="n">
        <v>0</v>
      </c>
      <c r="E80" t="inlineStr">
        <is>
          <t>Piglets</t>
        </is>
      </c>
    </row>
    <row r="81">
      <c r="A81" t="inlineStr">
        <is>
          <t>Stock</t>
        </is>
      </c>
      <c r="B81" t="inlineStr">
        <is>
          <t>Woolskins: 5 from wethers, 2 from rams and 8 from ewes in murrain before shearing as made clear above.</t>
        </is>
      </c>
      <c r="C81" t="n">
        <v>0</v>
      </c>
      <c r="D81" t="n">
        <v>0</v>
      </c>
      <c r="E81" t="inlineStr">
        <is>
          <t>Woolskins</t>
        </is>
      </c>
      <c r="H81" t="inlineStr">
        <is>
          <t>2</t>
        </is>
      </c>
    </row>
    <row r="82">
      <c r="A82" t="inlineStr">
        <is>
          <t>Stock</t>
        </is>
      </c>
      <c r="B82" t="inlineStr">
        <is>
          <t>sold within.</t>
        </is>
      </c>
      <c r="C82" t="n">
        <v>0</v>
      </c>
      <c r="D82" t="n">
        <v>0</v>
      </c>
      <c r="E82" t="inlineStr">
        <is>
          <t>Woolskins</t>
        </is>
      </c>
    </row>
    <row r="83">
      <c r="A83" t="inlineStr">
        <is>
          <t>Stock</t>
        </is>
      </c>
      <c r="B83" t="inlineStr">
        <is>
          <t>none remain.</t>
        </is>
      </c>
      <c r="C83" t="n">
        <v>0</v>
      </c>
      <c r="D83" t="n">
        <v>0</v>
      </c>
      <c r="E83" t="inlineStr">
        <is>
          <t>Woolskins</t>
        </is>
      </c>
    </row>
    <row r="84">
      <c r="A84" t="inlineStr">
        <is>
          <t>Stock</t>
        </is>
      </c>
      <c r="B84" t="inlineStr">
        <is>
          <t>Bare skins: 7 from wethers and 3 from ewes in murrain after shearing as made clear above.</t>
        </is>
      </c>
      <c r="C84" t="n">
        <v>0</v>
      </c>
      <c r="D84" t="n">
        <v>0</v>
      </c>
      <c r="E84" t="inlineStr">
        <is>
          <t>Bareskins</t>
        </is>
      </c>
      <c r="H84" t="inlineStr">
        <is>
          <t>7</t>
        </is>
      </c>
    </row>
    <row r="85">
      <c r="A85" t="inlineStr">
        <is>
          <t>Stock</t>
        </is>
      </c>
      <c r="B85" t="inlineStr">
        <is>
          <t>sold within.</t>
        </is>
      </c>
      <c r="C85" t="n">
        <v>0</v>
      </c>
      <c r="D85" t="n">
        <v>0</v>
      </c>
      <c r="E85" t="inlineStr">
        <is>
          <t>Bareskins</t>
        </is>
      </c>
    </row>
    <row r="86">
      <c r="A86" t="inlineStr">
        <is>
          <t>Stock</t>
        </is>
      </c>
      <c r="B86" t="inlineStr">
        <is>
          <t>none remain.</t>
        </is>
      </c>
      <c r="C86" t="n">
        <v>0</v>
      </c>
      <c r="D86" t="n">
        <v>0</v>
      </c>
      <c r="E86" t="inlineStr">
        <is>
          <t>Bareskins</t>
        </is>
      </c>
    </row>
    <row r="87">
      <c r="A87" t="inlineStr">
        <is>
          <t>Stock</t>
        </is>
      </c>
      <c r="B87" t="inlineStr">
        <is>
          <t>Lambskins: 61 from lambs in murrain before weaning as made clear above.</t>
        </is>
      </c>
      <c r="C87" t="n">
        <v>0</v>
      </c>
      <c r="D87" t="n">
        <v>0</v>
      </c>
      <c r="E87" t="inlineStr">
        <is>
          <t>Lambskins</t>
        </is>
      </c>
      <c r="H87" t="inlineStr">
        <is>
          <t>61</t>
        </is>
      </c>
    </row>
    <row r="88">
      <c r="A88" t="inlineStr">
        <is>
          <t>Stock</t>
        </is>
      </c>
      <c r="B88" t="inlineStr">
        <is>
          <t>Total, 61. 6 in tithe.</t>
        </is>
      </c>
      <c r="C88" t="n">
        <v>0</v>
      </c>
      <c r="D88" t="n">
        <v>0</v>
      </c>
      <c r="E88" t="inlineStr">
        <is>
          <t>Lambskins</t>
        </is>
      </c>
    </row>
    <row r="89">
      <c r="A89" t="inlineStr">
        <is>
          <t>Stock</t>
        </is>
      </c>
      <c r="B89" t="inlineStr">
        <is>
          <t>55 sold within.</t>
        </is>
      </c>
      <c r="C89" t="n">
        <v>0</v>
      </c>
      <c r="D89" t="n">
        <v>0</v>
      </c>
      <c r="E89" t="inlineStr">
        <is>
          <t>Lambskins</t>
        </is>
      </c>
      <c r="I89" t="inlineStr">
        <is>
          <t>55</t>
        </is>
      </c>
    </row>
    <row r="90">
      <c r="A90" t="inlineStr">
        <is>
          <t>Stock</t>
        </is>
      </c>
      <c r="B90" t="inlineStr">
        <is>
          <t>none remain.</t>
        </is>
      </c>
      <c r="C90" t="n">
        <v>0</v>
      </c>
      <c r="D90" t="n">
        <v>0</v>
      </c>
      <c r="E90" t="inlineStr">
        <is>
          <t>Lambskins</t>
        </is>
      </c>
    </row>
    <row r="91">
      <c r="A91" t="inlineStr">
        <is>
          <t>Stock</t>
        </is>
      </c>
      <c r="B91" t="inlineStr">
        <is>
          <t>Coarse wool: 270 fleeces from wethers, 4 from rams, 236 from ewes and 100 from hoggs produced at the shearing this year.</t>
        </is>
      </c>
      <c r="C91" t="n">
        <v>0</v>
      </c>
      <c r="D91" t="n">
        <v>0</v>
      </c>
      <c r="E91" t="inlineStr">
        <is>
          <t>Coarse wool</t>
        </is>
      </c>
    </row>
    <row r="92">
      <c r="A92" t="inlineStr">
        <is>
          <t>Stock</t>
        </is>
      </c>
      <c r="B92" t="inlineStr">
        <is>
          <t>Total, 610. 51 in tithe, and not more because the fleeces of the 100 hoggs from Droxford should not be tithed.</t>
        </is>
      </c>
      <c r="C92" t="n">
        <v>0</v>
      </c>
      <c r="D92" t="n">
        <v>0</v>
      </c>
      <c r="E92" t="inlineStr">
        <is>
          <t>Coarse wool</t>
        </is>
      </c>
    </row>
    <row r="93">
      <c r="A93" t="inlineStr">
        <is>
          <t>Stock</t>
        </is>
      </c>
      <c r="B93" t="inlineStr">
        <is>
          <t>559 delivered to the treasurer of Wolvesey, weighing 1 sack 37 cloves, answering for an average of 1.125 lb a fleece, plus 3.125 lb in all.</t>
        </is>
      </c>
      <c r="C93" t="n">
        <v>0</v>
      </c>
      <c r="D93" t="n">
        <v>0</v>
      </c>
      <c r="E93" t="inlineStr">
        <is>
          <t>Coarse wool</t>
        </is>
      </c>
    </row>
    <row r="94">
      <c r="A94" t="inlineStr">
        <is>
          <t>Stock</t>
        </is>
      </c>
      <c r="B94" t="inlineStr">
        <is>
          <t>Wool locks: Nothing from wool locks this year because entangled with the fleeces.</t>
        </is>
      </c>
      <c r="C94" t="n">
        <v>0</v>
      </c>
      <c r="D94" t="n">
        <v>0</v>
      </c>
      <c r="E94" t="inlineStr">
        <is>
          <t>Wool locks</t>
        </is>
      </c>
    </row>
    <row r="95">
      <c r="A95" t="inlineStr">
        <is>
          <t>Stock</t>
        </is>
      </c>
      <c r="B95" t="inlineStr">
        <is>
          <t>Swans: 5 remain.</t>
        </is>
      </c>
      <c r="C95" t="n">
        <v>0</v>
      </c>
      <c r="D95" t="n">
        <v>0</v>
      </c>
      <c r="E95" t="inlineStr">
        <is>
          <t>Swans</t>
        </is>
      </c>
      <c r="F95" t="inlineStr">
        <is>
          <t>5</t>
        </is>
      </c>
    </row>
    <row r="96">
      <c r="A96" t="inlineStr">
        <is>
          <t>Stock</t>
        </is>
      </c>
      <c r="B96" t="inlineStr">
        <is>
          <t>Total, 5. 5 remain.</t>
        </is>
      </c>
      <c r="C96" t="n">
        <v>0</v>
      </c>
      <c r="D96" t="n">
        <v>0</v>
      </c>
      <c r="E96" t="inlineStr">
        <is>
          <t>Swans</t>
        </is>
      </c>
    </row>
    <row r="97">
      <c r="A97" t="inlineStr">
        <is>
          <t>Stock</t>
        </is>
      </c>
      <c r="B97" t="inlineStr">
        <is>
          <t>Geese: 1 gander and 4 breeding geese remain.</t>
        </is>
      </c>
      <c r="C97" t="n">
        <v>0</v>
      </c>
      <c r="D97" t="n">
        <v>0</v>
      </c>
      <c r="E97" t="inlineStr">
        <is>
          <t>Poultry stock</t>
        </is>
      </c>
      <c r="F97" t="inlineStr">
        <is>
          <t>1</t>
        </is>
      </c>
    </row>
    <row r="98">
      <c r="A98" t="inlineStr">
        <is>
          <t>Stock</t>
        </is>
      </c>
      <c r="B98" t="inlineStr">
        <is>
          <t>24 offspring.</t>
        </is>
      </c>
      <c r="C98" t="n">
        <v>0</v>
      </c>
      <c r="D98" t="n">
        <v>0</v>
      </c>
      <c r="E98" t="inlineStr">
        <is>
          <t>Poultry stock</t>
        </is>
      </c>
      <c r="G98" t="inlineStr">
        <is>
          <t>24</t>
        </is>
      </c>
    </row>
    <row r="99">
      <c r="A99" t="inlineStr">
        <is>
          <t>Stock</t>
        </is>
      </c>
      <c r="B99" t="inlineStr">
        <is>
          <t>Total, 29. 2 in tithe.</t>
        </is>
      </c>
      <c r="C99" t="n">
        <v>0</v>
      </c>
      <c r="D99" t="n">
        <v>0</v>
      </c>
      <c r="E99" t="inlineStr">
        <is>
          <t>Poultry stock</t>
        </is>
      </c>
    </row>
    <row r="100">
      <c r="A100" t="inlineStr">
        <is>
          <t>Stock</t>
        </is>
      </c>
      <c r="B100" t="inlineStr">
        <is>
          <t>22 sold within.</t>
        </is>
      </c>
      <c r="C100" t="n">
        <v>0</v>
      </c>
      <c r="D100" t="n">
        <v>0</v>
      </c>
      <c r="E100" t="inlineStr">
        <is>
          <t>Poultry stock</t>
        </is>
      </c>
      <c r="I100" t="inlineStr">
        <is>
          <t>22</t>
        </is>
      </c>
    </row>
    <row r="101">
      <c r="A101" t="inlineStr">
        <is>
          <t>Stock</t>
        </is>
      </c>
      <c r="B101" t="inlineStr">
        <is>
          <t>Total, 24. 1 gander and 4 breeding geese remain.</t>
        </is>
      </c>
      <c r="C101" t="n">
        <v>0</v>
      </c>
      <c r="D101" t="n">
        <v>0</v>
      </c>
      <c r="E101" t="inlineStr">
        <is>
          <t>Poultry stock</t>
        </is>
      </c>
    </row>
    <row r="102">
      <c r="A102" t="inlineStr">
        <is>
          <t>Stock</t>
        </is>
      </c>
      <c r="B102" t="inlineStr">
        <is>
          <t>Capons: 24 remain.</t>
        </is>
      </c>
      <c r="C102" t="n">
        <v>0</v>
      </c>
      <c r="D102" t="n">
        <v>0</v>
      </c>
      <c r="E102" t="inlineStr">
        <is>
          <t>Poultry stock</t>
        </is>
      </c>
    </row>
    <row r="103">
      <c r="A103" t="inlineStr">
        <is>
          <t>Stock</t>
        </is>
      </c>
      <c r="B103" t="inlineStr">
        <is>
          <t>24 made from the chickens below.</t>
        </is>
      </c>
      <c r="C103" t="n">
        <v>0</v>
      </c>
      <c r="D103" t="n">
        <v>0</v>
      </c>
      <c r="E103" t="inlineStr">
        <is>
          <t>Poultry stock</t>
        </is>
      </c>
    </row>
    <row r="104">
      <c r="A104" t="inlineStr">
        <is>
          <t>Stock</t>
        </is>
      </c>
      <c r="B104" t="inlineStr">
        <is>
          <t>Total, 48. 24 sold within, 5 of them to the lord's household.</t>
        </is>
      </c>
      <c r="C104" t="n">
        <v>0</v>
      </c>
      <c r="D104" t="n">
        <v>0</v>
      </c>
      <c r="E104" t="inlineStr">
        <is>
          <t>Poultry stock</t>
        </is>
      </c>
      <c r="I104" t="inlineStr">
        <is>
          <t>24</t>
        </is>
      </c>
    </row>
    <row r="105">
      <c r="A105" t="inlineStr">
        <is>
          <t>Stock</t>
        </is>
      </c>
      <c r="B105" t="inlineStr">
        <is>
          <t>24 remain.</t>
        </is>
      </c>
      <c r="C105" t="n">
        <v>0</v>
      </c>
      <c r="D105" t="n">
        <v>0</v>
      </c>
      <c r="E105" t="inlineStr">
        <is>
          <t>Poultry stock</t>
        </is>
      </c>
    </row>
    <row r="106">
      <c r="A106" t="inlineStr">
        <is>
          <t>Stock</t>
        </is>
      </c>
      <c r="B106" t="inlineStr">
        <is>
          <t>Cocks and hens: 1 cock and 5 hens remain.</t>
        </is>
      </c>
      <c r="C106" t="n">
        <v>0</v>
      </c>
      <c r="D106" t="n">
        <v>0</v>
      </c>
      <c r="E106" t="inlineStr">
        <is>
          <t>Poultry stock</t>
        </is>
      </c>
    </row>
    <row r="107">
      <c r="A107" t="inlineStr">
        <is>
          <t>Stock</t>
        </is>
      </c>
      <c r="B107" t="inlineStr">
        <is>
          <t>173 from churchscot at Martinmas.</t>
        </is>
      </c>
      <c r="C107" t="n">
        <v>0</v>
      </c>
      <c r="D107" t="n">
        <v>0</v>
      </c>
      <c r="E107" t="inlineStr">
        <is>
          <t>Poultry stock</t>
        </is>
      </c>
    </row>
    <row r="108">
      <c r="A108" t="inlineStr">
        <is>
          <t>Stock</t>
        </is>
      </c>
      <c r="B108" t="inlineStr">
        <is>
          <t>Total, 179. 1 in default of the churchscot of the land of Maurice Hudy which John Balshorn' now holds because the labour services are commuted.</t>
        </is>
      </c>
      <c r="C108" t="n">
        <v>0</v>
      </c>
      <c r="D108" t="n">
        <v>0</v>
      </c>
      <c r="E108" t="inlineStr">
        <is>
          <t>Poultry stock</t>
        </is>
      </c>
    </row>
    <row r="109">
      <c r="A109" t="inlineStr">
        <is>
          <t>Stock</t>
        </is>
      </c>
      <c r="B109" t="inlineStr">
        <is>
          <t>1 in default of the churchscot of the land of Totenhull' which John Wodelok recently held by charter of Bishop Henry.</t>
        </is>
      </c>
      <c r="C109" t="n">
        <v>0</v>
      </c>
      <c r="D109" t="n">
        <v>0</v>
      </c>
      <c r="E109" t="inlineStr">
        <is>
          <t>Poultry stock</t>
        </is>
      </c>
    </row>
    <row r="110">
      <c r="A110" t="inlineStr">
        <is>
          <t>Stock</t>
        </is>
      </c>
      <c r="B110" t="inlineStr">
        <is>
          <t>12 in default of the churchscot of Amice Theccher', Christine Bans, Mary Vaucord', Christine atte Broke, Alice Stub and Isabel Austyn' because they do not have husbands, or 2 each.</t>
        </is>
      </c>
      <c r="C110" t="n">
        <v>0</v>
      </c>
      <c r="D110" t="n">
        <v>0</v>
      </c>
      <c r="E110" t="inlineStr">
        <is>
          <t>Poultry stock</t>
        </is>
      </c>
    </row>
    <row r="111">
      <c r="A111" t="inlineStr">
        <is>
          <t>Stock</t>
        </is>
      </c>
      <c r="B111" t="inlineStr">
        <is>
          <t>12 in default of the churchscot of John Morcok', William Shipyer', William, son of William Shipiere, John atte Park', Richard Emory and Peter atte Wynde because they do not have wives.</t>
        </is>
      </c>
      <c r="C111" t="n">
        <v>0</v>
      </c>
      <c r="D111" t="n">
        <v>0</v>
      </c>
      <c r="E111" t="inlineStr">
        <is>
          <t>Poultry stock</t>
        </is>
      </c>
    </row>
    <row r="112">
      <c r="A112" t="inlineStr">
        <is>
          <t>Stock</t>
        </is>
      </c>
      <c r="B112" t="inlineStr">
        <is>
          <t>2 in default of the churchscot of Alice Palmer' because she does not have a husband.</t>
        </is>
      </c>
      <c r="C112" t="n">
        <v>0</v>
      </c>
      <c r="D112" t="n">
        <v>0</v>
      </c>
      <c r="E112" t="inlineStr">
        <is>
          <t>Poultry stock</t>
        </is>
      </c>
    </row>
    <row r="113">
      <c r="A113" t="inlineStr">
        <is>
          <t>Stock</t>
        </is>
      </c>
      <c r="B113" t="inlineStr">
        <is>
          <t>145 sold within, 40 of them to the lord's househo1pence.</t>
        </is>
      </c>
      <c r="C113" t="n">
        <v>0</v>
      </c>
      <c r="D113" t="n">
        <v>0</v>
      </c>
      <c r="E113" t="inlineStr">
        <is>
          <t>Poultry stock</t>
        </is>
      </c>
      <c r="I113" t="inlineStr">
        <is>
          <t>145</t>
        </is>
      </c>
    </row>
    <row r="114">
      <c r="A114" t="inlineStr">
        <is>
          <t>Stock</t>
        </is>
      </c>
      <c r="B114" t="inlineStr">
        <is>
          <t>Total, 173. 1 cock and 5 hens remain.</t>
        </is>
      </c>
      <c r="C114" t="n">
        <v>0</v>
      </c>
      <c r="D114" t="n">
        <v>0</v>
      </c>
      <c r="E114" t="inlineStr">
        <is>
          <t>Poultry stock</t>
        </is>
      </c>
    </row>
    <row r="115">
      <c r="A115" t="inlineStr">
        <is>
          <t>Stock</t>
        </is>
      </c>
      <c r="B115" t="inlineStr">
        <is>
          <t>Chickens: 24 from the offspring of the said hens.</t>
        </is>
      </c>
      <c r="C115" t="n">
        <v>0</v>
      </c>
      <c r="D115" t="n">
        <v>0</v>
      </c>
      <c r="E115" t="inlineStr">
        <is>
          <t>Poultry stock</t>
        </is>
      </c>
      <c r="G115" t="inlineStr">
        <is>
          <t>24</t>
        </is>
      </c>
    </row>
    <row r="116">
      <c r="A116" t="inlineStr">
        <is>
          <t>Stock</t>
        </is>
      </c>
      <c r="B116" t="inlineStr">
        <is>
          <t>all turned into capons above., none remain.</t>
        </is>
      </c>
      <c r="C116" t="n">
        <v>0</v>
      </c>
      <c r="D116" t="n">
        <v>0</v>
      </c>
      <c r="E116" t="inlineStr">
        <is>
          <t>Poultry stock</t>
        </is>
      </c>
    </row>
    <row r="117">
      <c r="A117" t="inlineStr">
        <is>
          <t>Stock</t>
        </is>
      </c>
      <c r="B117" t="inlineStr">
        <is>
          <t>Eggs: 200 produced by the said hens.</t>
        </is>
      </c>
      <c r="C117" t="n">
        <v>0</v>
      </c>
      <c r="D117" t="n">
        <v>0</v>
      </c>
      <c r="E117" t="inlineStr">
        <is>
          <t>Poultry production</t>
        </is>
      </c>
    </row>
    <row r="118">
      <c r="A118" t="inlineStr">
        <is>
          <t>Stock</t>
        </is>
      </c>
      <c r="B118" t="inlineStr">
        <is>
          <t>sold within.</t>
        </is>
      </c>
      <c r="C118" t="n">
        <v>0</v>
      </c>
      <c r="D118" t="n">
        <v>0</v>
      </c>
      <c r="E118" t="inlineStr">
        <is>
          <t>Poultry production</t>
        </is>
      </c>
    </row>
    <row r="119">
      <c r="A119" t="inlineStr">
        <is>
          <t>Stock</t>
        </is>
      </c>
      <c r="B119" t="inlineStr">
        <is>
          <t>none remain.</t>
        </is>
      </c>
      <c r="C119" t="n">
        <v>0</v>
      </c>
      <c r="D119" t="n">
        <v>0</v>
      </c>
      <c r="E119" t="inlineStr">
        <is>
          <t>Poultry production</t>
        </is>
      </c>
    </row>
    <row r="120">
      <c r="A120" t="inlineStr">
        <is>
          <t>Stock</t>
        </is>
      </c>
      <c r="B120" t="inlineStr">
        <is>
          <t>Milk: Nothing of milking here because in the cash account within, apart from 1 cheese for the beadle according to custom and 1 cheese for the homage according to custom for mowing the meadow of Caldecote, valued at 1 shilling.</t>
        </is>
      </c>
      <c r="C120" t="n">
        <v>0</v>
      </c>
      <c r="D120" t="n">
        <v>0</v>
      </c>
      <c r="E120" t="inlineStr">
        <is>
          <t>Poultry production</t>
        </is>
      </c>
    </row>
    <row r="121">
      <c r="A121" t="inlineStr">
        <is>
          <t>Stock</t>
        </is>
      </c>
      <c r="B121" t="inlineStr">
        <is>
          <t>Salt: 11 quarters 4 bushels remains.</t>
        </is>
      </c>
      <c r="C121" t="n">
        <v>0</v>
      </c>
      <c r="D121" t="n">
        <v>0</v>
      </c>
      <c r="E121" t="inlineStr">
        <is>
          <t>Salt</t>
        </is>
      </c>
    </row>
    <row r="122">
      <c r="A122" t="inlineStr">
        <is>
          <t>Stock</t>
        </is>
      </c>
      <c r="B122" t="inlineStr">
        <is>
          <t>76 quarters for the rent of the homage of Bursledon.</t>
        </is>
      </c>
      <c r="C122" t="n">
        <v>0</v>
      </c>
      <c r="D122" t="n">
        <v>0</v>
      </c>
      <c r="E122" t="inlineStr">
        <is>
          <t>Salt</t>
        </is>
      </c>
    </row>
    <row r="123">
      <c r="A123" t="inlineStr">
        <is>
          <t>Stock</t>
        </is>
      </c>
      <c r="B123" t="inlineStr">
        <is>
          <t>Total, g7 quarters 4 bushels 67 quarters 4 bushels sold within, 38 quarters of it to the poor tenants of Bursledon, 24 quarters 4 bushels to the lord's household and 5 quarters in the market.'.</t>
        </is>
      </c>
      <c r="C123" t="n">
        <v>0</v>
      </c>
      <c r="D123" t="n">
        <v>0</v>
      </c>
      <c r="E123" t="inlineStr">
        <is>
          <t>Salt</t>
        </is>
      </c>
      <c r="I123" t="inlineStr">
        <is>
          <t>7</t>
        </is>
      </c>
    </row>
    <row r="124">
      <c r="A124" t="inlineStr">
        <is>
          <t>Stock</t>
        </is>
      </c>
      <c r="B124" t="inlineStr">
        <is>
          <t>Total, 67 quarters 4 bushels 20 quarters remain in 4 casks by estimation.</t>
        </is>
      </c>
      <c r="C124" t="n">
        <v>0</v>
      </c>
      <c r="D124" t="n">
        <v>0</v>
      </c>
      <c r="E124" t="inlineStr">
        <is>
          <t>Salt</t>
        </is>
      </c>
      <c r="F124" t="inlineStr">
        <is>
          <t>67</t>
        </is>
      </c>
    </row>
    <row r="125">
      <c r="A125" t="inlineStr">
        <is>
          <t>Stock</t>
        </is>
      </c>
      <c r="B125" t="inlineStr">
        <is>
          <t>Limestone (stonlym): 9 quarters remain.</t>
        </is>
      </c>
      <c r="C125" t="n">
        <v>0</v>
      </c>
      <c r="D125" t="n">
        <v>0</v>
      </c>
      <c r="E125" t="inlineStr">
        <is>
          <t>Salt</t>
        </is>
      </c>
    </row>
    <row r="126">
      <c r="A126" t="inlineStr">
        <is>
          <t>Stock</t>
        </is>
      </c>
      <c r="B126" t="inlineStr">
        <is>
          <t>8 quarters used this year.</t>
        </is>
      </c>
      <c r="C126" t="n">
        <v>0</v>
      </c>
      <c r="D126" t="n">
        <v>0</v>
      </c>
      <c r="E126" t="inlineStr">
        <is>
          <t>Salt</t>
        </is>
      </c>
    </row>
    <row r="127">
      <c r="A127" t="inlineStr">
        <is>
          <t>Stock</t>
        </is>
      </c>
      <c r="B127" t="inlineStr">
        <is>
          <t>1 qr remains.</t>
        </is>
      </c>
      <c r="C127" t="n">
        <v>0</v>
      </c>
      <c r="D127" t="n">
        <v>0</v>
      </c>
      <c r="E127" t="inlineStr">
        <is>
          <t>Salt</t>
        </is>
      </c>
    </row>
    <row r="128">
      <c r="A128" t="inlineStr">
        <is>
          <t>Stock</t>
        </is>
      </c>
      <c r="B128" t="inlineStr">
        <is>
          <t>Tiles: 7,000 plain tiles bought.</t>
        </is>
      </c>
      <c r="C128" t="n">
        <v>0</v>
      </c>
      <c r="D128" t="n">
        <v>0</v>
      </c>
      <c r="E128" t="inlineStr">
        <is>
          <t>Salt</t>
        </is>
      </c>
      <c r="G128" t="inlineStr">
        <is>
          <t>000</t>
        </is>
      </c>
    </row>
    <row r="129">
      <c r="A129" t="inlineStr">
        <is>
          <t>Stock</t>
        </is>
      </c>
      <c r="B129" t="inlineStr">
        <is>
          <t>Total, 7,000. 6,000 used for roofing this year.</t>
        </is>
      </c>
      <c r="C129" t="n">
        <v>0</v>
      </c>
      <c r="D129" t="n">
        <v>0</v>
      </c>
      <c r="E129" t="inlineStr">
        <is>
          <t>Salt</t>
        </is>
      </c>
    </row>
    <row r="130">
      <c r="A130" t="inlineStr">
        <is>
          <t>Stock</t>
        </is>
      </c>
      <c r="B130" t="inlineStr">
        <is>
          <t>1,000 remain.</t>
        </is>
      </c>
      <c r="C130" t="n">
        <v>0</v>
      </c>
      <c r="D130" t="n">
        <v>0</v>
      </c>
      <c r="E130" t="inlineStr">
        <is>
          <t>Salt</t>
        </is>
      </c>
    </row>
    <row r="131">
      <c r="A131" t="inlineStr">
        <is>
          <t>Stock</t>
        </is>
      </c>
      <c r="B131" t="inlineStr">
        <is>
          <t>Slates: 11,500 bought.</t>
        </is>
      </c>
      <c r="C131" t="n">
        <v>0</v>
      </c>
      <c r="D131" t="n">
        <v>0</v>
      </c>
      <c r="E131" t="inlineStr">
        <is>
          <t>Salt</t>
        </is>
      </c>
      <c r="G131" t="inlineStr">
        <is>
          <t>500</t>
        </is>
      </c>
    </row>
    <row r="132">
      <c r="A132" t="inlineStr">
        <is>
          <t>Stock</t>
        </is>
      </c>
      <c r="B132" t="inlineStr">
        <is>
          <t>Total, 11,500. 3,500 used for roofing the buildings this year.</t>
        </is>
      </c>
      <c r="C132" t="n">
        <v>0</v>
      </c>
      <c r="D132" t="n">
        <v>0</v>
      </c>
      <c r="E132" t="inlineStr">
        <is>
          <t>Salt</t>
        </is>
      </c>
    </row>
    <row r="133">
      <c r="A133" t="inlineStr">
        <is>
          <t>Stock</t>
        </is>
      </c>
      <c r="B133" t="inlineStr">
        <is>
          <t>8,000 remain.</t>
        </is>
      </c>
      <c r="C133" t="n">
        <v>0</v>
      </c>
      <c r="D133" t="n">
        <v>0</v>
      </c>
      <c r="E133" t="inlineStr">
        <is>
          <t>Salt</t>
        </is>
      </c>
    </row>
    <row r="134">
      <c r="A134" t="inlineStr">
        <is>
          <t>Stock</t>
        </is>
      </c>
      <c r="B134" t="inlineStr">
        <is>
          <t>Shingles: 8,000 made this year.</t>
        </is>
      </c>
      <c r="C134" t="n">
        <v>0</v>
      </c>
      <c r="D134" t="n">
        <v>0</v>
      </c>
      <c r="E134" t="inlineStr">
        <is>
          <t>Salt</t>
        </is>
      </c>
    </row>
    <row r="135">
      <c r="A135" t="inlineStr">
        <is>
          <t>Stock</t>
        </is>
      </c>
      <c r="B135" t="inlineStr">
        <is>
          <t>Total, 8,000. 7,000 used for roofing the buildings this year.</t>
        </is>
      </c>
      <c r="C135" t="n">
        <v>0</v>
      </c>
      <c r="D135" t="n">
        <v>0</v>
      </c>
      <c r="E135" t="inlineStr">
        <is>
          <t>Salt</t>
        </is>
      </c>
    </row>
    <row r="136">
      <c r="A136" t="inlineStr">
        <is>
          <t>Stock</t>
        </is>
      </c>
      <c r="B136" t="inlineStr">
        <is>
          <t>1,000 remain.</t>
        </is>
      </c>
      <c r="C136" t="n">
        <v>0</v>
      </c>
      <c r="D136" t="n">
        <v>0</v>
      </c>
      <c r="E136" t="inlineStr">
        <is>
          <t>Salt</t>
        </is>
      </c>
    </row>
    <row r="137">
      <c r="A137" t="inlineStr">
        <is>
          <t>Stock</t>
        </is>
      </c>
      <c r="B137" t="inlineStr">
        <is>
          <t>Lime: 303 pots supplied this year.</t>
        </is>
      </c>
      <c r="C137" t="n">
        <v>0</v>
      </c>
      <c r="D137" t="n">
        <v>0</v>
      </c>
      <c r="E137" t="inlineStr">
        <is>
          <t>Salt</t>
        </is>
      </c>
    </row>
    <row r="138">
      <c r="A138" t="inlineStr">
        <is>
          <t>Stock</t>
        </is>
      </c>
      <c r="B138" t="inlineStr">
        <is>
          <t>303 pots remain.</t>
        </is>
      </c>
      <c r="C138" t="n">
        <v>0</v>
      </c>
      <c r="D138" t="n">
        <v>0</v>
      </c>
      <c r="E138" t="inlineStr">
        <is>
          <t>Salt</t>
        </is>
      </c>
    </row>
    <row r="139">
      <c r="A139" t="inlineStr">
        <is>
          <t>Stock</t>
        </is>
      </c>
      <c r="B139" t="inlineStr">
        <is>
          <t>Flints: 200 pots supplied this year.</t>
        </is>
      </c>
      <c r="C139" t="n">
        <v>0</v>
      </c>
      <c r="D139" t="n">
        <v>0</v>
      </c>
      <c r="E139" t="inlineStr">
        <is>
          <t>Salt</t>
        </is>
      </c>
    </row>
    <row r="140">
      <c r="A140" t="inlineStr">
        <is>
          <t>Stock</t>
        </is>
      </c>
      <c r="B140" t="inlineStr">
        <is>
          <t>200 pots remain.</t>
        </is>
      </c>
      <c r="C140" t="n">
        <v>0</v>
      </c>
      <c r="D140" t="n">
        <v>0</v>
      </c>
      <c r="E140" t="inlineStr">
        <is>
          <t>Salt</t>
        </is>
      </c>
    </row>
    <row r="141">
      <c r="A141" t="inlineStr">
        <is>
          <t>Stock</t>
        </is>
      </c>
      <c r="B141" t="inlineStr">
        <is>
          <t>Freestone: 90 tons bought this year.</t>
        </is>
      </c>
      <c r="C141" t="n">
        <v>0</v>
      </c>
      <c r="D141" t="n">
        <v>0</v>
      </c>
      <c r="E141" t="inlineStr">
        <is>
          <t>Salt</t>
        </is>
      </c>
      <c r="G141" t="inlineStr">
        <is>
          <t>90</t>
        </is>
      </c>
    </row>
    <row r="142">
      <c r="A142" t="inlineStr">
        <is>
          <t>Stock</t>
        </is>
      </c>
      <c r="B142" t="inlineStr">
        <is>
          <t>90 tons remain.</t>
        </is>
      </c>
      <c r="C142" t="n">
        <v>0</v>
      </c>
      <c r="D142" t="n">
        <v>0</v>
      </c>
      <c r="E142" t="inlineStr">
        <is>
          <t>Salt</t>
        </is>
      </c>
    </row>
    <row r="143">
      <c r="A143" t="inlineStr">
        <is>
          <t>Stock</t>
        </is>
      </c>
      <c r="B143" t="inlineStr">
        <is>
          <t>Utensils: 3 ploughs with 3 pairs of iron-shod wheels (ferram') and all other equipment, 6 harrows, 3 of them with iron teeth, and 1 seed-basket remain.</t>
        </is>
      </c>
      <c r="C143" t="n">
        <v>0</v>
      </c>
      <c r="D143" t="n">
        <v>0</v>
      </c>
      <c r="E143" t="inlineStr">
        <is>
          <t>Utensils</t>
        </is>
      </c>
      <c r="F143" t="inlineStr">
        <is>
          <t>1</t>
        </is>
      </c>
    </row>
    <row r="144">
      <c r="A144" t="inlineStr">
        <is>
          <t>Stock</t>
        </is>
      </c>
      <c r="B144" t="inlineStr">
        <is>
          <t>2 ploughs made anew this year.</t>
        </is>
      </c>
      <c r="C144" t="n">
        <v>0</v>
      </c>
      <c r="D144" t="n">
        <v>0</v>
      </c>
      <c r="E144" t="inlineStr">
        <is>
          <t>Utensils</t>
        </is>
      </c>
    </row>
    <row r="145">
      <c r="A145" t="inlineStr">
        <is>
          <t>Stock</t>
        </is>
      </c>
      <c r="B145" t="inlineStr">
        <is>
          <t>2 ploughs and 2 harrows used.</t>
        </is>
      </c>
      <c r="C145" t="n">
        <v>0</v>
      </c>
      <c r="D145" t="n">
        <v>0</v>
      </c>
      <c r="E145" t="inlineStr">
        <is>
          <t>Utensils</t>
        </is>
      </c>
    </row>
    <row r="146">
      <c r="A146" t="inlineStr">
        <is>
          <t>Stock</t>
        </is>
      </c>
      <c r="B146" t="inlineStr">
        <is>
          <t>all the rest remains. 2 carts with iron tyres, 1 of which is worn out, 8 collars, 7 pairs of traces, 2 cart saddles with saddle-pads, 8 halters, 2 cart-ropes, 4 iron linch-pins and 4 rungs remain.</t>
        </is>
      </c>
      <c r="C146" t="n">
        <v>0</v>
      </c>
      <c r="D146" t="n">
        <v>0</v>
      </c>
      <c r="E146" t="inlineStr">
        <is>
          <t>Utensils</t>
        </is>
      </c>
    </row>
    <row r="147">
      <c r="A147" t="inlineStr">
        <is>
          <t>Stock</t>
        </is>
      </c>
      <c r="B147" t="inlineStr">
        <is>
          <t>1 cart with iron tyres, 2 collars and 2 pairs of traces bought.</t>
        </is>
      </c>
      <c r="C147" t="n">
        <v>0</v>
      </c>
      <c r="D147" t="n">
        <v>0</v>
      </c>
      <c r="E147" t="inlineStr">
        <is>
          <t>Utensils</t>
        </is>
      </c>
      <c r="G147" t="inlineStr">
        <is>
          <t>2</t>
        </is>
      </c>
    </row>
    <row r="148">
      <c r="A148" t="inlineStr">
        <is>
          <t>Stock</t>
        </is>
      </c>
      <c r="B148" t="inlineStr">
        <is>
          <t>I worn out cart with iron tyres sold within.</t>
        </is>
      </c>
      <c r="C148" t="n">
        <v>0</v>
      </c>
      <c r="D148" t="n">
        <v>0</v>
      </c>
      <c r="E148" t="inlineStr">
        <is>
          <t>Utensils</t>
        </is>
      </c>
    </row>
    <row r="149">
      <c r="A149" t="inlineStr">
        <is>
          <t>Stock</t>
        </is>
      </c>
      <c r="B149" t="inlineStr">
        <is>
          <t>2 collars and 2 pairs of traces worn out.</t>
        </is>
      </c>
      <c r="C149" t="n">
        <v>0</v>
      </c>
      <c r="D149" t="n">
        <v>0</v>
      </c>
      <c r="E149" t="inlineStr">
        <is>
          <t>Utensils</t>
        </is>
      </c>
    </row>
    <row r="150">
      <c r="A150" t="inlineStr">
        <is>
          <t>Stock</t>
        </is>
      </c>
      <c r="B150" t="inlineStr">
        <is>
          <t>all the rest remains. 1 brass pot of 4 gallons, 1 tripod, 2 pails, 1 winnowing-fan, 2 sacks, 1 basket for carrying corn and 1 iron bushel measure remain.</t>
        </is>
      </c>
      <c r="C150" t="n">
        <v>0</v>
      </c>
      <c r="D150" t="n">
        <v>0</v>
      </c>
      <c r="E150" t="inlineStr">
        <is>
          <t>Utensils</t>
        </is>
      </c>
    </row>
    <row r="151">
      <c r="A151" t="inlineStr">
        <is>
          <t>Stock</t>
        </is>
      </c>
      <c r="B151" t="inlineStr">
        <is>
          <t>1 winnowing-fan, 1 basket for carrying corn and 1 sack bought.</t>
        </is>
      </c>
      <c r="C151" t="n">
        <v>0</v>
      </c>
      <c r="D151" t="n">
        <v>0</v>
      </c>
      <c r="E151" t="inlineStr">
        <is>
          <t>Utensils</t>
        </is>
      </c>
      <c r="G151" t="inlineStr">
        <is>
          <t>1</t>
        </is>
      </c>
    </row>
    <row r="152">
      <c r="A152" t="inlineStr">
        <is>
          <t>Stock</t>
        </is>
      </c>
      <c r="B152" t="inlineStr">
        <is>
          <t>1 winnowing-fan, 1 basket for carrying corn and 1 sack worn out.</t>
        </is>
      </c>
      <c r="C152" t="n">
        <v>0</v>
      </c>
      <c r="D152" t="n">
        <v>0</v>
      </c>
      <c r="E152" t="inlineStr">
        <is>
          <t>Utensils</t>
        </is>
      </c>
    </row>
    <row r="153">
      <c r="A153" t="inlineStr">
        <is>
          <t>Stock</t>
        </is>
      </c>
      <c r="B153" t="inlineStr">
        <is>
          <t>all the rest remains. 7 casks for putting salt in remain.</t>
        </is>
      </c>
      <c r="C153" t="n">
        <v>0</v>
      </c>
      <c r="D153" t="n">
        <v>0</v>
      </c>
      <c r="E153" t="inlineStr">
        <is>
          <t>Utensils</t>
        </is>
      </c>
    </row>
    <row r="154">
      <c r="A154" t="inlineStr">
        <is>
          <t>Stock</t>
        </is>
      </c>
      <c r="B154" t="inlineStr">
        <is>
          <t>1 sieve, 3 riddles, 2 shovels fitted with iron, 2 iron dung-pikes (dungpyk'), 2 ladders for roofing buildings and 1 device (machina) for lifting timber remain.</t>
        </is>
      </c>
      <c r="C154" t="n">
        <v>0</v>
      </c>
      <c r="D154" t="n">
        <v>0</v>
      </c>
      <c r="E154" t="inlineStr">
        <is>
          <t>Utensils</t>
        </is>
      </c>
    </row>
    <row r="155">
      <c r="A155" t="inlineStr">
        <is>
          <t>Stock</t>
        </is>
      </c>
      <c r="B155" t="inlineStr">
        <is>
          <t>all this remains.</t>
        </is>
      </c>
      <c r="C155" t="n">
        <v>0</v>
      </c>
      <c r="D155" t="n">
        <v>0</v>
      </c>
      <c r="E155" t="inlineStr">
        <is>
          <t>Utensils</t>
        </is>
      </c>
    </row>
    <row r="156">
      <c r="A156" t="inlineStr">
        <is>
          <t>Stock</t>
        </is>
      </c>
      <c r="B156" t="inlineStr">
        <is>
          <t>Total</t>
        </is>
      </c>
      <c r="C156" t="n">
        <v>0</v>
      </c>
      <c r="D156" t="n">
        <v>0</v>
      </c>
      <c r="E156"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70"/>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wheat</t>
        </is>
      </c>
      <c r="B3" t="inlineStr">
        <is>
          <t>roger spore, reeve there, answers for 62 quarters 4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62</v>
      </c>
      <c r="U3" t="n">
        <v>4</v>
      </c>
      <c r="V3" t="n">
        <v>62.5</v>
      </c>
      <c r="W3" t="n">
        <v>0</v>
      </c>
      <c r="X3" t="n">
        <v>62</v>
      </c>
      <c r="Y3" t="n">
        <v>4</v>
      </c>
      <c r="Z3" t="n">
        <v>62.5</v>
      </c>
      <c r="AA3" t="n">
        <v>62.5</v>
      </c>
      <c r="AB3" t="n">
        <v>0</v>
      </c>
      <c r="AC3" t="n">
        <v>62</v>
      </c>
      <c r="AD3" t="n">
        <v>4</v>
      </c>
      <c r="AM3" t="n">
        <v>0</v>
      </c>
    </row>
    <row r="4">
      <c r="A4" t="inlineStr">
        <is>
          <t>wheat</t>
        </is>
      </c>
      <c r="B4" t="inlineStr">
        <is>
          <t>6 bushels from the same issue by estimation in sheaves given to the beadle and swineherd,' just as is proved by the custumal.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6</v>
      </c>
      <c r="Z4" t="n">
        <v>0.75</v>
      </c>
      <c r="AA4" t="n">
        <v>0.75</v>
      </c>
      <c r="AB4" t="n">
        <v>0</v>
      </c>
      <c r="AC4" t="n">
        <v>0</v>
      </c>
      <c r="AD4" t="n">
        <v>6</v>
      </c>
      <c r="AM4" t="n">
        <v>0</v>
      </c>
    </row>
    <row r="5">
      <c r="A5" t="inlineStr">
        <is>
          <t>wheat</t>
        </is>
      </c>
      <c r="B5" t="inlineStr">
        <is>
          <t>2 nothing of the 2 bushels by estimation in 24 sheaves given to the bartoner because there is none there.</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M5" t="n">
        <v>0</v>
      </c>
    </row>
    <row r="6">
      <c r="A6" t="inlineStr">
        <is>
          <t>wheat</t>
        </is>
      </c>
      <c r="B6" t="inlineStr">
        <is>
          <t>6 bushels from churchscot.</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6</v>
      </c>
      <c r="Z6" t="n">
        <v>0.75</v>
      </c>
      <c r="AA6" t="n">
        <v>0.75</v>
      </c>
      <c r="AB6" t="n">
        <v>0</v>
      </c>
      <c r="AC6" t="n">
        <v>0</v>
      </c>
      <c r="AD6" t="n">
        <v>6</v>
      </c>
      <c r="AM6" t="n">
        <v>0</v>
      </c>
    </row>
    <row r="7">
      <c r="A7" t="inlineStr">
        <is>
          <t>wheat</t>
        </is>
      </c>
      <c r="B7" t="inlineStr">
        <is>
          <t>1 qr 4 bushels from the issue..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M7" t="n">
        <v>0</v>
      </c>
    </row>
    <row r="8">
      <c r="A8" t="inlineStr">
        <is>
          <t>wheat</t>
        </is>
      </c>
      <c r="B8" t="inlineStr">
        <is>
          <t>total, 65 quarters 4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65</v>
      </c>
      <c r="Y8" t="n">
        <v>4</v>
      </c>
      <c r="Z8" t="n">
        <v>65.5</v>
      </c>
      <c r="AA8" t="n">
        <v>65.5</v>
      </c>
      <c r="AB8" t="n">
        <v>0</v>
      </c>
      <c r="AC8" t="n">
        <v>65</v>
      </c>
      <c r="AD8" t="n">
        <v>4</v>
      </c>
      <c r="AM8" t="n">
        <v>0</v>
      </c>
    </row>
    <row r="9">
      <c r="A9" t="inlineStr">
        <is>
          <t>wheat</t>
        </is>
      </c>
      <c r="B9" t="inlineStr">
        <is>
          <t>sown over 53 acres by the perch in la worthe, 16 quarters 4 bushels.</t>
        </is>
      </c>
      <c r="C9" t="n">
        <v>0</v>
      </c>
      <c r="D9" t="n">
        <v>0</v>
      </c>
      <c r="E9" t="n">
        <v>16</v>
      </c>
      <c r="F9" t="n">
        <v>4</v>
      </c>
      <c r="G9" t="n">
        <v>16.5</v>
      </c>
      <c r="H9" t="n">
        <v>0</v>
      </c>
      <c r="I9" t="n">
        <v>0</v>
      </c>
      <c r="J9" t="n">
        <v>0</v>
      </c>
      <c r="K9" t="n">
        <v>0</v>
      </c>
      <c r="L9" t="n">
        <v>0</v>
      </c>
      <c r="M9" t="n">
        <v>0</v>
      </c>
      <c r="N9" t="n">
        <v>0</v>
      </c>
      <c r="O9" t="n">
        <v>0</v>
      </c>
      <c r="P9" t="n">
        <v>0</v>
      </c>
      <c r="Q9" t="n">
        <v>0</v>
      </c>
      <c r="R9" t="n">
        <v>0</v>
      </c>
      <c r="S9" t="n">
        <v>0</v>
      </c>
      <c r="T9" t="n">
        <v>0</v>
      </c>
      <c r="U9" t="n">
        <v>0</v>
      </c>
      <c r="V9" t="n">
        <v>0</v>
      </c>
      <c r="W9" t="n">
        <v>0</v>
      </c>
      <c r="X9" t="n">
        <v>16</v>
      </c>
      <c r="Y9" t="n">
        <v>4</v>
      </c>
      <c r="Z9" t="n">
        <v>16.5</v>
      </c>
      <c r="AA9" t="n">
        <v>16.5</v>
      </c>
      <c r="AB9" t="n">
        <v>0</v>
      </c>
      <c r="AC9" t="n">
        <v>16</v>
      </c>
      <c r="AD9" t="n">
        <v>4</v>
      </c>
      <c r="AM9" t="n">
        <v>0</v>
      </c>
    </row>
    <row r="10">
      <c r="A10" t="inlineStr">
        <is>
          <t>wheat</t>
        </is>
      </c>
      <c r="B10" t="inlineStr">
        <is>
          <t>that is, 2.5 bushels an acre, less 0.5 bushels in all.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0.5</v>
      </c>
      <c r="Z10" t="n">
        <v>0.06</v>
      </c>
      <c r="AA10" t="n">
        <v>0.31</v>
      </c>
      <c r="AB10" t="n">
        <v>-0.25</v>
      </c>
      <c r="AC10" t="n">
        <v>0</v>
      </c>
      <c r="AD10" t="n">
        <v>2.5</v>
      </c>
      <c r="AE10" t="n">
        <v>0</v>
      </c>
      <c r="AF10" t="n">
        <v>0.5</v>
      </c>
      <c r="AM10" t="n">
        <v>0</v>
      </c>
    </row>
    <row r="11">
      <c r="A11" t="inlineStr">
        <is>
          <t>wheat</t>
        </is>
      </c>
      <c r="B11" t="inlineStr">
        <is>
          <t>bread baked for the provision of richard wyot, steward, holding the tourns of martinmas and hockday, 6 bushels by bill.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6</v>
      </c>
      <c r="Z11" t="n">
        <v>0.75</v>
      </c>
      <c r="AA11" t="n">
        <v>0.75</v>
      </c>
      <c r="AB11" t="n">
        <v>0</v>
      </c>
      <c r="AC11" t="n">
        <v>0</v>
      </c>
      <c r="AD11" t="n">
        <v>6</v>
      </c>
      <c r="AM11" t="n">
        <v>0</v>
      </c>
    </row>
    <row r="12">
      <c r="A12" t="inlineStr">
        <is>
          <t>wheat</t>
        </is>
      </c>
      <c r="B12" t="inlineStr">
        <is>
          <t>customary payment to 1 beadle in 1 acre as it lies, 4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4</v>
      </c>
      <c r="Z12" t="n">
        <v>0.5</v>
      </c>
      <c r="AA12" t="n">
        <v>0.5</v>
      </c>
      <c r="AB12" t="n">
        <v>0</v>
      </c>
      <c r="AC12" t="n">
        <v>0</v>
      </c>
      <c r="AD12" t="n">
        <v>4</v>
      </c>
      <c r="AM12" t="n">
        <v>0</v>
      </c>
    </row>
    <row r="13">
      <c r="A13" t="inlineStr">
        <is>
          <t>wheat</t>
        </is>
      </c>
      <c r="B13" t="inlineStr">
        <is>
          <t>customary payment to 1 swineherd from the customary tenants in 24 sheaves, 2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2</v>
      </c>
      <c r="Z13" t="n">
        <v>0.25</v>
      </c>
      <c r="AA13" t="n">
        <v>0.25</v>
      </c>
      <c r="AB13" t="n">
        <v>0</v>
      </c>
      <c r="AC13" t="n">
        <v>0</v>
      </c>
      <c r="AD13" t="n">
        <v>2</v>
      </c>
      <c r="AM13" t="n">
        <v>0</v>
      </c>
    </row>
    <row r="14">
      <c r="A14" t="inlineStr">
        <is>
          <t>wheat</t>
        </is>
      </c>
      <c r="B14" t="inlineStr">
        <is>
          <t>sold, 47 quarters 4 bushels, of which 1 qr 4 bushels sold to the lord's household, and 46 quarters per mutuum..</t>
        </is>
      </c>
      <c r="C14" t="n">
        <v>0</v>
      </c>
      <c r="D14" t="n">
        <v>0</v>
      </c>
      <c r="E14" t="n">
        <v>0</v>
      </c>
      <c r="F14" t="n">
        <v>0</v>
      </c>
      <c r="G14" t="n">
        <v>0</v>
      </c>
      <c r="H14" t="n">
        <v>0</v>
      </c>
      <c r="I14" t="n">
        <v>0</v>
      </c>
      <c r="J14" t="n">
        <v>0</v>
      </c>
      <c r="K14" t="n">
        <v>0</v>
      </c>
      <c r="L14" t="n">
        <v>0</v>
      </c>
      <c r="M14" t="n">
        <v>0</v>
      </c>
      <c r="N14" t="n">
        <v>0</v>
      </c>
      <c r="O14" t="n">
        <v>0</v>
      </c>
      <c r="P14" t="n">
        <v>0</v>
      </c>
      <c r="Q14" t="n">
        <v>93</v>
      </c>
      <c r="R14" t="n">
        <v>4</v>
      </c>
      <c r="S14" t="n">
        <v>93.5</v>
      </c>
      <c r="T14" t="n">
        <v>0</v>
      </c>
      <c r="U14" t="n">
        <v>0</v>
      </c>
      <c r="V14" t="n">
        <v>0</v>
      </c>
      <c r="W14" t="n">
        <v>0</v>
      </c>
      <c r="AM14" t="n">
        <v>0</v>
      </c>
    </row>
    <row r="15">
      <c r="A15" t="inlineStr">
        <is>
          <t>wheat</t>
        </is>
      </c>
      <c r="B15" t="inlineStr">
        <is>
          <t>total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M15" t="n">
        <v>0</v>
      </c>
    </row>
    <row r="16">
      <c r="A16" t="inlineStr">
        <is>
          <t>wheat</t>
        </is>
      </c>
      <c r="B16" t="inlineStr">
        <is>
          <t>it balances.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M16" t="n">
        <v>0</v>
      </c>
    </row>
    <row r="17">
      <c r="A17" t="inlineStr">
        <is>
          <t>wheat</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AM17" t="n">
        <v>0</v>
      </c>
    </row>
    <row r="18">
      <c r="A18" t="inlineStr">
        <is>
          <t>curall</t>
        </is>
      </c>
      <c r="B18" t="inlineStr">
        <is>
          <t>and for 1 qr 4 bushels of curall from the issue of the said wheat, threshed by piece-work.</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M18" t="n">
        <v>0</v>
      </c>
    </row>
    <row r="19">
      <c r="A19" t="inlineStr">
        <is>
          <t>curall</t>
        </is>
      </c>
      <c r="B19" t="inlineStr">
        <is>
          <t>liveries of the manorial servants.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M19" t="n">
        <v>0</v>
      </c>
    </row>
    <row r="20">
      <c r="A20" t="inlineStr">
        <is>
          <t>curall</t>
        </is>
      </c>
      <c r="B20" t="inlineStr">
        <is>
          <t>none remains.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M20" t="n">
        <v>0</v>
      </c>
    </row>
    <row r="21">
      <c r="A21" t="inlineStr">
        <is>
          <t>curall</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AM21" t="n">
        <v>0</v>
      </c>
    </row>
    <row r="22">
      <c r="A22" t="inlineStr">
        <is>
          <t>barley</t>
        </is>
      </c>
      <c r="B22" t="inlineStr">
        <is>
          <t>and for 53 quarters 5 bushels from the whole issue, threshed by piece-work.</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53</v>
      </c>
      <c r="U22" t="n">
        <v>5</v>
      </c>
      <c r="V22" t="n">
        <v>53.62</v>
      </c>
      <c r="W22" t="n">
        <v>0</v>
      </c>
      <c r="X22" t="n">
        <v>53</v>
      </c>
      <c r="Y22" t="n">
        <v>5</v>
      </c>
      <c r="Z22" t="n">
        <v>53.62</v>
      </c>
      <c r="AA22" t="n">
        <v>53.62</v>
      </c>
      <c r="AB22" t="n">
        <v>0</v>
      </c>
      <c r="AC22" t="n">
        <v>53</v>
      </c>
      <c r="AD22" t="n">
        <v>5</v>
      </c>
      <c r="AM22" t="n">
        <v>0</v>
      </c>
    </row>
    <row r="23">
      <c r="A23" t="inlineStr">
        <is>
          <t>barley</t>
        </is>
      </c>
      <c r="B23" t="inlineStr">
        <is>
          <t>8 quarters bought.</t>
        </is>
      </c>
      <c r="C23" t="n">
        <v>0</v>
      </c>
      <c r="D23" t="n">
        <v>0</v>
      </c>
      <c r="E23" t="n">
        <v>0</v>
      </c>
      <c r="F23" t="n">
        <v>0</v>
      </c>
      <c r="G23" t="n">
        <v>0</v>
      </c>
      <c r="H23" t="n">
        <v>8</v>
      </c>
      <c r="I23" t="n">
        <v>0</v>
      </c>
      <c r="J23" t="n">
        <v>8</v>
      </c>
      <c r="K23" t="n">
        <v>0</v>
      </c>
      <c r="L23" t="n">
        <v>0</v>
      </c>
      <c r="M23" t="n">
        <v>0</v>
      </c>
      <c r="N23" t="n">
        <v>0</v>
      </c>
      <c r="O23" t="n">
        <v>0</v>
      </c>
      <c r="P23" t="n">
        <v>0</v>
      </c>
      <c r="Q23" t="n">
        <v>0</v>
      </c>
      <c r="R23" t="n">
        <v>0</v>
      </c>
      <c r="S23" t="n">
        <v>0</v>
      </c>
      <c r="T23" t="n">
        <v>0</v>
      </c>
      <c r="U23" t="n">
        <v>0</v>
      </c>
      <c r="V23" t="n">
        <v>0</v>
      </c>
      <c r="W23" t="n">
        <v>0</v>
      </c>
      <c r="X23" t="n">
        <v>8</v>
      </c>
      <c r="Y23" t="n">
        <v>0</v>
      </c>
      <c r="Z23" t="n">
        <v>8</v>
      </c>
      <c r="AA23" t="n">
        <v>8</v>
      </c>
      <c r="AB23" t="n">
        <v>0</v>
      </c>
      <c r="AC23" t="n">
        <v>8</v>
      </c>
      <c r="AD23" t="n">
        <v>0</v>
      </c>
      <c r="AM23" t="n">
        <v>0</v>
      </c>
    </row>
    <row r="24">
      <c r="A24" t="inlineStr">
        <is>
          <t>barley</t>
        </is>
      </c>
      <c r="B24" t="inlineStr">
        <is>
          <t>1 qr from the issue of the new grain..</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M24" t="n">
        <v>0</v>
      </c>
    </row>
    <row r="25">
      <c r="A25" t="inlineStr">
        <is>
          <t>barley</t>
        </is>
      </c>
      <c r="B25" t="inlineStr">
        <is>
          <t>total, 62 quarters 5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62</v>
      </c>
      <c r="Y25" t="n">
        <v>5</v>
      </c>
      <c r="Z25" t="n">
        <v>62.62</v>
      </c>
      <c r="AA25" t="n">
        <v>62.62</v>
      </c>
      <c r="AB25" t="n">
        <v>0</v>
      </c>
      <c r="AC25" t="n">
        <v>62</v>
      </c>
      <c r="AD25" t="n">
        <v>5</v>
      </c>
      <c r="AM25" t="n">
        <v>0</v>
      </c>
    </row>
    <row r="26">
      <c r="A26" t="inlineStr">
        <is>
          <t>barley</t>
        </is>
      </c>
      <c r="B26" t="inlineStr">
        <is>
          <t>sown over 24.5 acres by the perch in the small bouerygg' and krykkescroft, 12 quarters 2 bushels.</t>
        </is>
      </c>
      <c r="C26" t="n">
        <v>0</v>
      </c>
      <c r="D26" t="n">
        <v>0</v>
      </c>
      <c r="E26" t="n">
        <v>12</v>
      </c>
      <c r="F26" t="n">
        <v>2</v>
      </c>
      <c r="G26" t="n">
        <v>12.25</v>
      </c>
      <c r="H26" t="n">
        <v>0</v>
      </c>
      <c r="I26" t="n">
        <v>0</v>
      </c>
      <c r="J26" t="n">
        <v>0</v>
      </c>
      <c r="K26" t="n">
        <v>0</v>
      </c>
      <c r="L26" t="n">
        <v>0</v>
      </c>
      <c r="M26" t="n">
        <v>0</v>
      </c>
      <c r="N26" t="n">
        <v>0</v>
      </c>
      <c r="O26" t="n">
        <v>0</v>
      </c>
      <c r="P26" t="n">
        <v>0</v>
      </c>
      <c r="Q26" t="n">
        <v>0</v>
      </c>
      <c r="R26" t="n">
        <v>0</v>
      </c>
      <c r="S26" t="n">
        <v>0</v>
      </c>
      <c r="T26" t="n">
        <v>0</v>
      </c>
      <c r="U26" t="n">
        <v>0</v>
      </c>
      <c r="V26" t="n">
        <v>0</v>
      </c>
      <c r="W26" t="n">
        <v>0</v>
      </c>
      <c r="X26" t="n">
        <v>12</v>
      </c>
      <c r="Y26" t="n">
        <v>2</v>
      </c>
      <c r="Z26" t="n">
        <v>12.25</v>
      </c>
      <c r="AA26" t="n">
        <v>12.25</v>
      </c>
      <c r="AB26" t="n">
        <v>0</v>
      </c>
      <c r="AC26" t="n">
        <v>12</v>
      </c>
      <c r="AD26" t="n">
        <v>2</v>
      </c>
      <c r="AM26" t="n">
        <v>0</v>
      </c>
    </row>
    <row r="27">
      <c r="A27" t="inlineStr">
        <is>
          <t>barley</t>
        </is>
      </c>
      <c r="B27" t="inlineStr">
        <is>
          <t>that is, 4 bushels an acre.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4</v>
      </c>
      <c r="Z27" t="n">
        <v>0.5</v>
      </c>
      <c r="AA27" t="n">
        <v>0.5</v>
      </c>
      <c r="AB27" t="n">
        <v>0</v>
      </c>
      <c r="AC27" t="n">
        <v>0</v>
      </c>
      <c r="AD27" t="n">
        <v>4</v>
      </c>
      <c r="AM27" t="n">
        <v>0</v>
      </c>
    </row>
    <row r="28">
      <c r="A28" t="inlineStr">
        <is>
          <t>barley</t>
        </is>
      </c>
      <c r="B28" t="inlineStr">
        <is>
          <t>supporting the pigs feeding in the fields and the sows and in weaning the piglets, 4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4</v>
      </c>
      <c r="Z28" t="n">
        <v>0.5</v>
      </c>
      <c r="AA28" t="n">
        <v>0.5</v>
      </c>
      <c r="AB28" t="n">
        <v>0</v>
      </c>
      <c r="AC28" t="n">
        <v>0</v>
      </c>
      <c r="AD28" t="n">
        <v>4</v>
      </c>
      <c r="AM28" t="n">
        <v>0</v>
      </c>
    </row>
    <row r="29">
      <c r="A29" t="inlineStr">
        <is>
          <t>barley</t>
        </is>
      </c>
      <c r="B29" t="inlineStr">
        <is>
          <t>liveries of the manorial servants below, 48 quarters 7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48</v>
      </c>
      <c r="Y29" t="n">
        <v>7</v>
      </c>
      <c r="Z29" t="n">
        <v>48.88</v>
      </c>
      <c r="AA29" t="n">
        <v>48.88</v>
      </c>
      <c r="AB29" t="n">
        <v>0</v>
      </c>
      <c r="AC29" t="n">
        <v>48</v>
      </c>
      <c r="AD29" t="n">
        <v>7</v>
      </c>
      <c r="AM29" t="n">
        <v>0</v>
      </c>
    </row>
    <row r="30">
      <c r="A30" t="inlineStr">
        <is>
          <t>barley</t>
        </is>
      </c>
      <c r="B30" t="inlineStr">
        <is>
          <t>sold at the audit, 1 qr for 6 shilling.</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AM30" t="n">
        <v>0</v>
      </c>
    </row>
    <row r="31">
      <c r="A31" t="inlineStr">
        <is>
          <t>barley</t>
        </is>
      </c>
      <c r="B31" t="inlineStr">
        <is>
          <t>total as before.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M31" t="n">
        <v>0</v>
      </c>
    </row>
    <row r="32">
      <c r="A32" t="inlineStr">
        <is>
          <t>barley</t>
        </is>
      </c>
      <c r="B32" t="inlineStr">
        <is>
          <t>it balances.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M32" t="n">
        <v>0</v>
      </c>
    </row>
    <row r="33">
      <c r="A33" t="inlineStr">
        <is>
          <t>barley</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AM33" t="n">
        <v>0</v>
      </c>
    </row>
    <row r="34">
      <c r="A34" t="inlineStr">
        <is>
          <t>peas</t>
        </is>
      </c>
      <c r="B34" t="inlineStr">
        <is>
          <t>and for 3 quarters 4 bushels from the issue, threshed by piece-work.</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4</v>
      </c>
      <c r="Z34" t="n">
        <v>3.5</v>
      </c>
      <c r="AA34" t="n">
        <v>3.5</v>
      </c>
      <c r="AB34" t="n">
        <v>0</v>
      </c>
      <c r="AC34" t="n">
        <v>3</v>
      </c>
      <c r="AD34" t="n">
        <v>4</v>
      </c>
      <c r="AM34" t="n">
        <v>0</v>
      </c>
    </row>
    <row r="35">
      <c r="A35" t="inlineStr">
        <is>
          <t>peas</t>
        </is>
      </c>
      <c r="B35" t="inlineStr">
        <is>
          <t>4 quarters from the same issue by estimation in husks.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0</v>
      </c>
      <c r="Z35" t="n">
        <v>4</v>
      </c>
      <c r="AA35" t="n">
        <v>4</v>
      </c>
      <c r="AB35" t="n">
        <v>0</v>
      </c>
      <c r="AC35" t="n">
        <v>4</v>
      </c>
      <c r="AD35" t="n">
        <v>0</v>
      </c>
      <c r="AM35" t="n">
        <v>0</v>
      </c>
    </row>
    <row r="36">
      <c r="A36" t="inlineStr">
        <is>
          <t>peas</t>
        </is>
      </c>
      <c r="B36" t="inlineStr">
        <is>
          <t>6 quarters surcharged so that he answers for a 3-fold yield..</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6</v>
      </c>
      <c r="Y36" t="n">
        <v>0</v>
      </c>
      <c r="Z36" t="n">
        <v>6</v>
      </c>
      <c r="AA36" t="n">
        <v>6</v>
      </c>
      <c r="AB36" t="n">
        <v>0</v>
      </c>
      <c r="AC36" t="n">
        <v>6</v>
      </c>
      <c r="AD36" t="n">
        <v>0</v>
      </c>
      <c r="AM36" t="n">
        <v>0</v>
      </c>
    </row>
    <row r="37">
      <c r="A37" t="inlineStr">
        <is>
          <t>peas</t>
        </is>
      </c>
      <c r="B37" t="inlineStr">
        <is>
          <t>total, 13 quarters 4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13</v>
      </c>
      <c r="Y37" t="n">
        <v>4</v>
      </c>
      <c r="Z37" t="n">
        <v>13.5</v>
      </c>
      <c r="AA37" t="n">
        <v>13.5</v>
      </c>
      <c r="AB37" t="n">
        <v>0</v>
      </c>
      <c r="AC37" t="n">
        <v>13</v>
      </c>
      <c r="AD37" t="n">
        <v>4</v>
      </c>
      <c r="AM37" t="n">
        <v>0</v>
      </c>
    </row>
    <row r="38">
      <c r="A38" t="inlineStr">
        <is>
          <t>peas</t>
        </is>
      </c>
      <c r="B38" t="inlineStr">
        <is>
          <t>sown over 14 acres by the perch in the small bouerygg' and wythegenefeld', 3 quarters 4 bushels.</t>
        </is>
      </c>
      <c r="C38" t="n">
        <v>0</v>
      </c>
      <c r="D38" t="n">
        <v>0</v>
      </c>
      <c r="E38" t="n">
        <v>3</v>
      </c>
      <c r="F38" t="n">
        <v>4</v>
      </c>
      <c r="G38" t="n">
        <v>3.5</v>
      </c>
      <c r="H38" t="n">
        <v>0</v>
      </c>
      <c r="I38" t="n">
        <v>0</v>
      </c>
      <c r="J38" t="n">
        <v>0</v>
      </c>
      <c r="K38" t="n">
        <v>0</v>
      </c>
      <c r="L38" t="n">
        <v>0</v>
      </c>
      <c r="M38" t="n">
        <v>0</v>
      </c>
      <c r="N38" t="n">
        <v>0</v>
      </c>
      <c r="O38" t="n">
        <v>0</v>
      </c>
      <c r="P38" t="n">
        <v>0</v>
      </c>
      <c r="Q38" t="n">
        <v>0</v>
      </c>
      <c r="R38" t="n">
        <v>0</v>
      </c>
      <c r="S38" t="n">
        <v>0</v>
      </c>
      <c r="T38" t="n">
        <v>0</v>
      </c>
      <c r="U38" t="n">
        <v>0</v>
      </c>
      <c r="V38" t="n">
        <v>0</v>
      </c>
      <c r="W38" t="n">
        <v>0</v>
      </c>
      <c r="X38" t="n">
        <v>3</v>
      </c>
      <c r="Y38" t="n">
        <v>4</v>
      </c>
      <c r="Z38" t="n">
        <v>3.5</v>
      </c>
      <c r="AA38" t="n">
        <v>3.5</v>
      </c>
      <c r="AB38" t="n">
        <v>0</v>
      </c>
      <c r="AC38" t="n">
        <v>3</v>
      </c>
      <c r="AD38" t="n">
        <v>4</v>
      </c>
      <c r="AM38" t="n">
        <v>0</v>
      </c>
    </row>
    <row r="39">
      <c r="A39" t="inlineStr">
        <is>
          <t>peas</t>
        </is>
      </c>
      <c r="B39" t="inlineStr">
        <is>
          <t>that is, 2 bushels an acre.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M39" t="n">
        <v>0</v>
      </c>
    </row>
    <row r="40">
      <c r="A40" t="inlineStr">
        <is>
          <t>peas</t>
        </is>
      </c>
      <c r="B40" t="inlineStr">
        <is>
          <t>given to the wethers and ewes in winter, 3 quarters..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3</v>
      </c>
      <c r="Y40" t="n">
        <v>0</v>
      </c>
      <c r="Z40" t="n">
        <v>3</v>
      </c>
      <c r="AA40" t="n">
        <v>3</v>
      </c>
      <c r="AB40" t="n">
        <v>0</v>
      </c>
      <c r="AC40" t="n">
        <v>3</v>
      </c>
      <c r="AD40" t="n">
        <v>0</v>
      </c>
      <c r="AM40" t="n">
        <v>0</v>
      </c>
    </row>
    <row r="41">
      <c r="A41" t="inlineStr">
        <is>
          <t>peas</t>
        </is>
      </c>
      <c r="B41" t="inlineStr">
        <is>
          <t>sold at the audit, 7 quarters for £1 11 shilling 6pence.</t>
        </is>
      </c>
      <c r="C41" t="n">
        <v>0</v>
      </c>
      <c r="D41" t="n">
        <v>0</v>
      </c>
      <c r="E41" t="n">
        <v>0</v>
      </c>
      <c r="F41" t="n">
        <v>0</v>
      </c>
      <c r="G41" t="n">
        <v>0</v>
      </c>
      <c r="H41" t="n">
        <v>0</v>
      </c>
      <c r="I41" t="n">
        <v>0</v>
      </c>
      <c r="J41" t="n">
        <v>0</v>
      </c>
      <c r="K41" t="n">
        <v>0</v>
      </c>
      <c r="L41" t="n">
        <v>0</v>
      </c>
      <c r="M41" t="n">
        <v>0</v>
      </c>
      <c r="N41" t="n">
        <v>0</v>
      </c>
      <c r="O41" t="n">
        <v>0</v>
      </c>
      <c r="P41" t="n">
        <v>0</v>
      </c>
      <c r="Q41" t="n">
        <v>7</v>
      </c>
      <c r="R41" t="n">
        <v>0</v>
      </c>
      <c r="S41" t="n">
        <v>7</v>
      </c>
      <c r="T41" t="n">
        <v>0</v>
      </c>
      <c r="U41" t="n">
        <v>0</v>
      </c>
      <c r="V41" t="n">
        <v>0</v>
      </c>
      <c r="W41" t="n">
        <v>0</v>
      </c>
      <c r="X41" t="n">
        <v>7</v>
      </c>
      <c r="Y41" t="n">
        <v>0</v>
      </c>
      <c r="Z41" t="n">
        <v>7</v>
      </c>
      <c r="AA41" t="n">
        <v>7</v>
      </c>
      <c r="AB41" t="n">
        <v>0</v>
      </c>
      <c r="AC41" t="n">
        <v>7</v>
      </c>
      <c r="AD41" t="n">
        <v>0</v>
      </c>
      <c r="AM41" t="n">
        <v>0</v>
      </c>
    </row>
    <row r="42">
      <c r="A42" t="inlineStr">
        <is>
          <t>peas</t>
        </is>
      </c>
      <c r="B42" t="inlineStr">
        <is>
          <t>total as before.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M42" t="n">
        <v>0</v>
      </c>
    </row>
    <row r="43">
      <c r="A43" t="inlineStr">
        <is>
          <t>peas</t>
        </is>
      </c>
      <c r="B43" t="inlineStr">
        <is>
          <t>it balances.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M43" t="n">
        <v>0</v>
      </c>
    </row>
    <row r="44">
      <c r="A44" t="inlineStr">
        <is>
          <t>peas</t>
        </is>
      </c>
      <c r="B44" t="inlineStr">
        <is>
          <t>total</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AM44" t="n">
        <v>0</v>
      </c>
    </row>
    <row r="45">
      <c r="A45" t="inlineStr">
        <is>
          <t>vetches</t>
        </is>
      </c>
      <c r="B45" t="inlineStr">
        <is>
          <t>and for 1 qr 4 bushels from the issue by estimation in husks.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AM45" t="n">
        <v>0</v>
      </c>
    </row>
    <row r="46">
      <c r="A46" t="inlineStr">
        <is>
          <t>vetches</t>
        </is>
      </c>
      <c r="B46" t="inlineStr">
        <is>
          <t>1 qr bought for sowing.</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AM46" t="n">
        <v>0</v>
      </c>
    </row>
    <row r="47">
      <c r="A47" t="inlineStr">
        <is>
          <t>vetches</t>
        </is>
      </c>
      <c r="B47" t="inlineStr">
        <is>
          <t>3 quarters 4 bushels surcharged so that he answers for a two-fold yield..</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3</v>
      </c>
      <c r="Y47" t="n">
        <v>4</v>
      </c>
      <c r="Z47" t="n">
        <v>3.5</v>
      </c>
      <c r="AA47" t="n">
        <v>3.5</v>
      </c>
      <c r="AB47" t="n">
        <v>0</v>
      </c>
      <c r="AC47" t="n">
        <v>3</v>
      </c>
      <c r="AD47" t="n">
        <v>4</v>
      </c>
      <c r="AM47" t="n">
        <v>0</v>
      </c>
    </row>
    <row r="48">
      <c r="A48" t="inlineStr">
        <is>
          <t>vetches</t>
        </is>
      </c>
      <c r="B48" t="inlineStr">
        <is>
          <t>total, 6 quarters..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6</v>
      </c>
      <c r="Y48" t="n">
        <v>0</v>
      </c>
      <c r="Z48" t="n">
        <v>6</v>
      </c>
      <c r="AA48" t="n">
        <v>6</v>
      </c>
      <c r="AB48" t="n">
        <v>0</v>
      </c>
      <c r="AC48" t="n">
        <v>6</v>
      </c>
      <c r="AD48" t="n">
        <v>0</v>
      </c>
      <c r="AM48" t="n">
        <v>0</v>
      </c>
    </row>
    <row r="49">
      <c r="A49" t="inlineStr">
        <is>
          <t>vetches</t>
        </is>
      </c>
      <c r="B49" t="inlineStr">
        <is>
          <t>sown over 4 acres by the perch in the small bouerygg', 1 qr.</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AM49" t="n">
        <v>0</v>
      </c>
    </row>
    <row r="50">
      <c r="A50" t="inlineStr">
        <is>
          <t>vetches</t>
        </is>
      </c>
      <c r="B50" t="inlineStr">
        <is>
          <t>that is, 2 bushels an acre.</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2</v>
      </c>
      <c r="Z50" t="n">
        <v>0.25</v>
      </c>
      <c r="AA50" t="n">
        <v>0.25</v>
      </c>
      <c r="AB50" t="n">
        <v>0</v>
      </c>
      <c r="AC50" t="n">
        <v>0</v>
      </c>
      <c r="AD50" t="n">
        <v>2</v>
      </c>
      <c r="AM50" t="n">
        <v>0</v>
      </c>
    </row>
    <row r="51">
      <c r="A51" t="inlineStr">
        <is>
          <t>vetches</t>
        </is>
      </c>
      <c r="B51" t="inlineStr">
        <is>
          <t>given to the wethers and ewes in winter, 1 qr 4 bushels by estimation in husks..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AM51" t="n">
        <v>0</v>
      </c>
    </row>
    <row r="52">
      <c r="A52" t="inlineStr">
        <is>
          <t>vetches</t>
        </is>
      </c>
      <c r="B52" t="inlineStr">
        <is>
          <t>sold at the audit, 3 quarters 4 bushels for 11 shilling 8pence.</t>
        </is>
      </c>
      <c r="C52" t="n">
        <v>0</v>
      </c>
      <c r="D52" t="n">
        <v>0</v>
      </c>
      <c r="E52" t="n">
        <v>0</v>
      </c>
      <c r="F52" t="n">
        <v>0</v>
      </c>
      <c r="G52" t="n">
        <v>0</v>
      </c>
      <c r="H52" t="n">
        <v>0</v>
      </c>
      <c r="I52" t="n">
        <v>0</v>
      </c>
      <c r="J52" t="n">
        <v>0</v>
      </c>
      <c r="K52" t="n">
        <v>0</v>
      </c>
      <c r="L52" t="n">
        <v>0</v>
      </c>
      <c r="M52" t="n">
        <v>0</v>
      </c>
      <c r="N52" t="n">
        <v>0</v>
      </c>
      <c r="O52" t="n">
        <v>0</v>
      </c>
      <c r="P52" t="n">
        <v>0</v>
      </c>
      <c r="Q52" t="n">
        <v>3</v>
      </c>
      <c r="R52" t="n">
        <v>4</v>
      </c>
      <c r="S52" t="n">
        <v>3.5</v>
      </c>
      <c r="T52" t="n">
        <v>0</v>
      </c>
      <c r="U52" t="n">
        <v>0</v>
      </c>
      <c r="V52" t="n">
        <v>0</v>
      </c>
      <c r="W52" t="n">
        <v>0</v>
      </c>
      <c r="X52" t="n">
        <v>3</v>
      </c>
      <c r="Y52" t="n">
        <v>4</v>
      </c>
      <c r="Z52" t="n">
        <v>3.5</v>
      </c>
      <c r="AA52" t="n">
        <v>3.5</v>
      </c>
      <c r="AB52" t="n">
        <v>0</v>
      </c>
      <c r="AC52" t="n">
        <v>3</v>
      </c>
      <c r="AD52" t="n">
        <v>4</v>
      </c>
      <c r="AM52" t="n">
        <v>0</v>
      </c>
    </row>
    <row r="53">
      <c r="A53" t="inlineStr">
        <is>
          <t>vetches</t>
        </is>
      </c>
      <c r="B53" t="inlineStr">
        <is>
          <t>total as before.</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M53" t="n">
        <v>0</v>
      </c>
    </row>
    <row r="54">
      <c r="A54" t="inlineStr">
        <is>
          <t>vetches</t>
        </is>
      </c>
      <c r="B54" t="inlineStr">
        <is>
          <t>it balances..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M54" t="n">
        <v>0</v>
      </c>
    </row>
    <row r="55">
      <c r="A55" t="inlineStr">
        <is>
          <t>vetches</t>
        </is>
      </c>
      <c r="B55" t="inlineStr">
        <is>
          <t>total</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AM55" t="n">
        <v>0</v>
      </c>
    </row>
    <row r="56">
      <c r="A56" t="inlineStr">
        <is>
          <t>oats</t>
        </is>
      </c>
      <c r="B56" t="inlineStr">
        <is>
          <t>and for 46 quarters 4 bushels from the issue, threshed by piece-work.</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46</v>
      </c>
      <c r="Y56" t="n">
        <v>4</v>
      </c>
      <c r="Z56" t="n">
        <v>46.5</v>
      </c>
      <c r="AA56" t="n">
        <v>46.5</v>
      </c>
      <c r="AB56" t="n">
        <v>0</v>
      </c>
      <c r="AC56" t="n">
        <v>46</v>
      </c>
      <c r="AD56" t="n">
        <v>4</v>
      </c>
      <c r="AM56" t="n">
        <v>0</v>
      </c>
    </row>
    <row r="57">
      <c r="A57" t="inlineStr">
        <is>
          <t>oats</t>
        </is>
      </c>
      <c r="B57" t="inlineStr">
        <is>
          <t>9 quarters from the same issue by estimation in sheaves.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9</v>
      </c>
      <c r="Y57" t="n">
        <v>0</v>
      </c>
      <c r="Z57" t="n">
        <v>9</v>
      </c>
      <c r="AA57" t="n">
        <v>9</v>
      </c>
      <c r="AB57" t="n">
        <v>0</v>
      </c>
      <c r="AC57" t="n">
        <v>9</v>
      </c>
      <c r="AD57" t="n">
        <v>0</v>
      </c>
      <c r="AM57" t="n">
        <v>0</v>
      </c>
    </row>
    <row r="58">
      <c r="A58" t="inlineStr">
        <is>
          <t>oats</t>
        </is>
      </c>
      <c r="B58" t="inlineStr">
        <is>
          <t>3 quarters surcharged so that he answers for a 3-fold yield..</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3</v>
      </c>
      <c r="Y58" t="n">
        <v>0</v>
      </c>
      <c r="Z58" t="n">
        <v>3</v>
      </c>
      <c r="AA58" t="n">
        <v>3</v>
      </c>
      <c r="AB58" t="n">
        <v>0</v>
      </c>
      <c r="AC58" t="n">
        <v>3</v>
      </c>
      <c r="AD58" t="n">
        <v>0</v>
      </c>
      <c r="AM58" t="n">
        <v>0</v>
      </c>
    </row>
    <row r="59">
      <c r="A59" t="inlineStr">
        <is>
          <t>oats</t>
        </is>
      </c>
      <c r="B59" t="inlineStr">
        <is>
          <t>total, 58 quarters 4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58</v>
      </c>
      <c r="Y59" t="n">
        <v>4</v>
      </c>
      <c r="Z59" t="n">
        <v>58.5</v>
      </c>
      <c r="AA59" t="n">
        <v>58.5</v>
      </c>
      <c r="AB59" t="n">
        <v>0</v>
      </c>
      <c r="AC59" t="n">
        <v>58</v>
      </c>
      <c r="AD59" t="n">
        <v>4</v>
      </c>
      <c r="AM59" t="n">
        <v>0</v>
      </c>
    </row>
    <row r="60">
      <c r="A60" t="inlineStr">
        <is>
          <t>oats</t>
        </is>
      </c>
      <c r="B60" t="inlineStr">
        <is>
          <t>sown over 32 acres by the perch in the great barton and krykkelescroft, 16 quarters 1 bushels.</t>
        </is>
      </c>
      <c r="C60" t="n">
        <v>0</v>
      </c>
      <c r="D60" t="n">
        <v>0</v>
      </c>
      <c r="E60" t="n">
        <v>16</v>
      </c>
      <c r="F60" t="n">
        <v>1</v>
      </c>
      <c r="G60" t="n">
        <v>16.12</v>
      </c>
      <c r="H60" t="n">
        <v>0</v>
      </c>
      <c r="I60" t="n">
        <v>0</v>
      </c>
      <c r="J60" t="n">
        <v>0</v>
      </c>
      <c r="K60" t="n">
        <v>0</v>
      </c>
      <c r="L60" t="n">
        <v>0</v>
      </c>
      <c r="M60" t="n">
        <v>0</v>
      </c>
      <c r="N60" t="n">
        <v>0</v>
      </c>
      <c r="O60" t="n">
        <v>0</v>
      </c>
      <c r="P60" t="n">
        <v>0</v>
      </c>
      <c r="Q60" t="n">
        <v>0</v>
      </c>
      <c r="R60" t="n">
        <v>0</v>
      </c>
      <c r="S60" t="n">
        <v>0</v>
      </c>
      <c r="T60" t="n">
        <v>0</v>
      </c>
      <c r="U60" t="n">
        <v>0</v>
      </c>
      <c r="V60" t="n">
        <v>0</v>
      </c>
      <c r="W60" t="n">
        <v>0</v>
      </c>
      <c r="X60" t="n">
        <v>16</v>
      </c>
      <c r="Y60" t="n">
        <v>1</v>
      </c>
      <c r="Z60" t="n">
        <v>16.12</v>
      </c>
      <c r="AA60" t="n">
        <v>16.12</v>
      </c>
      <c r="AB60" t="n">
        <v>0</v>
      </c>
      <c r="AC60" t="n">
        <v>16</v>
      </c>
      <c r="AD60" t="n">
        <v>1</v>
      </c>
      <c r="AM60" t="n">
        <v>0</v>
      </c>
    </row>
    <row r="61">
      <c r="A61" t="inlineStr">
        <is>
          <t>oats</t>
        </is>
      </c>
      <c r="B61" t="inlineStr">
        <is>
          <t>that is, 4 bushels an acre, plus 1 bushels in all.</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1</v>
      </c>
      <c r="Z61" t="n">
        <v>0.12</v>
      </c>
      <c r="AA61" t="n">
        <v>0.5</v>
      </c>
      <c r="AB61" t="n">
        <v>-0.38</v>
      </c>
      <c r="AC61" t="n">
        <v>0</v>
      </c>
      <c r="AD61" t="n">
        <v>4</v>
      </c>
      <c r="AE61" t="n">
        <v>0</v>
      </c>
      <c r="AF61" t="n">
        <v>1</v>
      </c>
      <c r="AM61" t="n">
        <v>0</v>
      </c>
    </row>
    <row r="62">
      <c r="A62" t="inlineStr">
        <is>
          <t>oats</t>
        </is>
      </c>
      <c r="B62" t="inlineStr">
        <is>
          <t>meal made for the pottage of the manorial servants for the year, 5 quarters.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5</v>
      </c>
      <c r="Y62" t="n">
        <v>0</v>
      </c>
      <c r="Z62" t="n">
        <v>5</v>
      </c>
      <c r="AA62" t="n">
        <v>5</v>
      </c>
      <c r="AB62" t="n">
        <v>0</v>
      </c>
      <c r="AC62" t="n">
        <v>5</v>
      </c>
      <c r="AD62" t="n">
        <v>0</v>
      </c>
      <c r="AM62" t="n">
        <v>0</v>
      </c>
    </row>
    <row r="63">
      <c r="A63" t="inlineStr">
        <is>
          <t>oats</t>
        </is>
      </c>
      <c r="B63" t="inlineStr">
        <is>
          <t>fodder of the cart-horses at both sowings, 5 quarters.</t>
        </is>
      </c>
      <c r="C63" t="n">
        <v>0</v>
      </c>
      <c r="D63" t="n">
        <v>0</v>
      </c>
      <c r="E63" t="n">
        <v>0</v>
      </c>
      <c r="F63" t="n">
        <v>0</v>
      </c>
      <c r="G63" t="n">
        <v>0</v>
      </c>
      <c r="H63" t="n">
        <v>0</v>
      </c>
      <c r="I63" t="n">
        <v>0</v>
      </c>
      <c r="J63" t="n">
        <v>0</v>
      </c>
      <c r="K63" t="n">
        <v>0</v>
      </c>
      <c r="L63" t="n">
        <v>0</v>
      </c>
      <c r="M63" t="n">
        <v>0</v>
      </c>
      <c r="N63" t="n">
        <v>5</v>
      </c>
      <c r="O63" t="n">
        <v>0</v>
      </c>
      <c r="P63" t="n">
        <v>5</v>
      </c>
      <c r="Q63" t="n">
        <v>0</v>
      </c>
      <c r="R63" t="n">
        <v>0</v>
      </c>
      <c r="S63" t="n">
        <v>0</v>
      </c>
      <c r="T63" t="n">
        <v>0</v>
      </c>
      <c r="U63" t="n">
        <v>0</v>
      </c>
      <c r="V63" t="n">
        <v>0</v>
      </c>
      <c r="W63" t="n">
        <v>0</v>
      </c>
      <c r="X63" t="n">
        <v>5</v>
      </c>
      <c r="Y63" t="n">
        <v>0</v>
      </c>
      <c r="Z63" t="n">
        <v>5</v>
      </c>
      <c r="AA63" t="n">
        <v>5</v>
      </c>
      <c r="AB63" t="n">
        <v>0</v>
      </c>
      <c r="AC63" t="n">
        <v>5</v>
      </c>
      <c r="AD63" t="n">
        <v>0</v>
      </c>
      <c r="AM63" t="n">
        <v>0</v>
      </c>
    </row>
    <row r="64">
      <c r="A64" t="inlineStr">
        <is>
          <t>oats</t>
        </is>
      </c>
      <c r="B64" t="inlineStr">
        <is>
          <t>fodder of the horses of richard wyot', steward, holding the tourns of martinmas and hockday, 4 quarters 2 bushels by bill.</t>
        </is>
      </c>
      <c r="C64" t="n">
        <v>0</v>
      </c>
      <c r="D64" t="n">
        <v>0</v>
      </c>
      <c r="E64" t="n">
        <v>0</v>
      </c>
      <c r="F64" t="n">
        <v>0</v>
      </c>
      <c r="G64" t="n">
        <v>0</v>
      </c>
      <c r="H64" t="n">
        <v>0</v>
      </c>
      <c r="I64" t="n">
        <v>0</v>
      </c>
      <c r="J64" t="n">
        <v>0</v>
      </c>
      <c r="K64" t="n">
        <v>0</v>
      </c>
      <c r="L64" t="n">
        <v>0</v>
      </c>
      <c r="M64" t="n">
        <v>0</v>
      </c>
      <c r="N64" t="n">
        <v>4</v>
      </c>
      <c r="O64" t="n">
        <v>2</v>
      </c>
      <c r="P64" t="n">
        <v>4.25</v>
      </c>
      <c r="Q64" t="n">
        <v>0</v>
      </c>
      <c r="R64" t="n">
        <v>0</v>
      </c>
      <c r="S64" t="n">
        <v>0</v>
      </c>
      <c r="T64" t="n">
        <v>0</v>
      </c>
      <c r="U64" t="n">
        <v>0</v>
      </c>
      <c r="V64" t="n">
        <v>0</v>
      </c>
      <c r="W64" t="n">
        <v>0</v>
      </c>
      <c r="X64" t="n">
        <v>4</v>
      </c>
      <c r="Y64" t="n">
        <v>2</v>
      </c>
      <c r="Z64" t="n">
        <v>4.25</v>
      </c>
      <c r="AA64" t="n">
        <v>4.25</v>
      </c>
      <c r="AB64" t="n">
        <v>0</v>
      </c>
      <c r="AC64" t="n">
        <v>4</v>
      </c>
      <c r="AD64" t="n">
        <v>2</v>
      </c>
      <c r="AM64" t="n">
        <v>0</v>
      </c>
    </row>
    <row r="65">
      <c r="A65" t="inlineStr">
        <is>
          <t>oats</t>
        </is>
      </c>
      <c r="B65" t="inlineStr">
        <is>
          <t>fodder of oxen, 6 quarters by estimation in sheaves.</t>
        </is>
      </c>
      <c r="C65" t="n">
        <v>0</v>
      </c>
      <c r="D65" t="n">
        <v>0</v>
      </c>
      <c r="E65" t="n">
        <v>0</v>
      </c>
      <c r="F65" t="n">
        <v>0</v>
      </c>
      <c r="G65" t="n">
        <v>0</v>
      </c>
      <c r="H65" t="n">
        <v>0</v>
      </c>
      <c r="I65" t="n">
        <v>0</v>
      </c>
      <c r="J65" t="n">
        <v>0</v>
      </c>
      <c r="K65" t="n">
        <v>0</v>
      </c>
      <c r="L65" t="n">
        <v>0</v>
      </c>
      <c r="M65" t="n">
        <v>0</v>
      </c>
      <c r="N65" t="n">
        <v>6</v>
      </c>
      <c r="O65" t="n">
        <v>0</v>
      </c>
      <c r="P65" t="n">
        <v>6</v>
      </c>
      <c r="Q65" t="n">
        <v>0</v>
      </c>
      <c r="R65" t="n">
        <v>0</v>
      </c>
      <c r="S65" t="n">
        <v>0</v>
      </c>
      <c r="T65" t="n">
        <v>0</v>
      </c>
      <c r="U65" t="n">
        <v>0</v>
      </c>
      <c r="V65" t="n">
        <v>0</v>
      </c>
      <c r="W65" t="n">
        <v>0</v>
      </c>
      <c r="X65" t="n">
        <v>6</v>
      </c>
      <c r="Y65" t="n">
        <v>0</v>
      </c>
      <c r="Z65" t="n">
        <v>6</v>
      </c>
      <c r="AA65" t="n">
        <v>6</v>
      </c>
      <c r="AB65" t="n">
        <v>0</v>
      </c>
      <c r="AC65" t="n">
        <v>6</v>
      </c>
      <c r="AD65" t="n">
        <v>0</v>
      </c>
      <c r="AM65" t="n">
        <v>0</v>
      </c>
    </row>
    <row r="66">
      <c r="A66" t="inlineStr">
        <is>
          <t>oats</t>
        </is>
      </c>
      <c r="B66" t="inlineStr">
        <is>
          <t>customary payment to 1 swineherd from the customary tenants in 24 sheaves, 3 bushels.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3</v>
      </c>
      <c r="Z66" t="n">
        <v>0.38</v>
      </c>
      <c r="AA66" t="n">
        <v>0.38</v>
      </c>
      <c r="AB66" t="n">
        <v>0</v>
      </c>
      <c r="AC66" t="n">
        <v>0</v>
      </c>
      <c r="AD66" t="n">
        <v>3</v>
      </c>
      <c r="AM66" t="n">
        <v>0</v>
      </c>
    </row>
    <row r="67">
      <c r="A67" t="inlineStr">
        <is>
          <t>oats</t>
        </is>
      </c>
      <c r="B67" t="inlineStr">
        <is>
          <t>fodder of cows and calves, 5 bushels by estimation in sheaves..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5</v>
      </c>
      <c r="Z67" t="n">
        <v>0.62</v>
      </c>
      <c r="AA67" t="n">
        <v>0.62</v>
      </c>
      <c r="AB67" t="n">
        <v>0</v>
      </c>
      <c r="AC67" t="n">
        <v>0</v>
      </c>
      <c r="AD67" t="n">
        <v>5</v>
      </c>
      <c r="AM67" t="n">
        <v>0</v>
      </c>
    </row>
    <row r="68">
      <c r="A68" t="inlineStr">
        <is>
          <t>oats</t>
        </is>
      </c>
      <c r="B68" t="inlineStr">
        <is>
          <t>sold within, 12 quarters 3 bushels sold at the audit, 8 quarters 6 bushels for £1 6 shilling 3pence.</t>
        </is>
      </c>
      <c r="C68" t="n">
        <v>0</v>
      </c>
      <c r="D68" t="n">
        <v>0</v>
      </c>
      <c r="E68" t="n">
        <v>0</v>
      </c>
      <c r="F68" t="n">
        <v>0</v>
      </c>
      <c r="G68" t="n">
        <v>0</v>
      </c>
      <c r="H68" t="n">
        <v>0</v>
      </c>
      <c r="I68" t="n">
        <v>0</v>
      </c>
      <c r="J68" t="n">
        <v>0</v>
      </c>
      <c r="K68" t="n">
        <v>0</v>
      </c>
      <c r="L68" t="n">
        <v>0</v>
      </c>
      <c r="M68" t="n">
        <v>0</v>
      </c>
      <c r="N68" t="n">
        <v>0</v>
      </c>
      <c r="O68" t="n">
        <v>0</v>
      </c>
      <c r="P68" t="n">
        <v>0</v>
      </c>
      <c r="Q68" t="n">
        <v>20</v>
      </c>
      <c r="R68" t="n">
        <v>9</v>
      </c>
      <c r="S68" t="n">
        <v>21.12</v>
      </c>
      <c r="T68" t="n">
        <v>0</v>
      </c>
      <c r="U68" t="n">
        <v>0</v>
      </c>
      <c r="V68" t="n">
        <v>0</v>
      </c>
      <c r="W68" t="n">
        <v>0</v>
      </c>
      <c r="X68" t="n">
        <v>8</v>
      </c>
      <c r="Y68" t="n">
        <v>6</v>
      </c>
      <c r="Z68" t="n">
        <v>8.75</v>
      </c>
      <c r="AA68" t="n">
        <v>12.38</v>
      </c>
      <c r="AB68" t="n">
        <v>-3.62</v>
      </c>
      <c r="AC68" t="n">
        <v>12</v>
      </c>
      <c r="AD68" t="n">
        <v>3</v>
      </c>
      <c r="AE68" t="n">
        <v>8</v>
      </c>
      <c r="AF68" t="n">
        <v>6</v>
      </c>
      <c r="AM68" t="n">
        <v>0</v>
      </c>
    </row>
    <row r="69">
      <c r="A69" t="inlineStr">
        <is>
          <t>oats</t>
        </is>
      </c>
      <c r="B69" t="inlineStr">
        <is>
          <t>total as before.</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M69" t="n">
        <v>0</v>
      </c>
    </row>
    <row r="70">
      <c r="A70" t="inlineStr">
        <is>
          <t>oats</t>
        </is>
      </c>
      <c r="B70" t="inlineStr">
        <is>
          <t>it balances.</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M7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62</v>
      </c>
      <c r="D3" t="n">
        <v>4</v>
      </c>
      <c r="E3" t="n">
        <v>62.5</v>
      </c>
      <c r="F3" t="n">
        <v>0</v>
      </c>
      <c r="G3" t="n">
        <v>0</v>
      </c>
      <c r="H3" t="n">
        <v>0</v>
      </c>
      <c r="I3" t="n">
        <v>93</v>
      </c>
      <c r="J3" t="n">
        <v>4</v>
      </c>
      <c r="K3" t="n">
        <v>93.5</v>
      </c>
      <c r="L3" t="n">
        <v>62.5</v>
      </c>
      <c r="M3" t="n">
        <v>-31</v>
      </c>
      <c r="N3" t="n">
        <v>0.5</v>
      </c>
      <c r="O3" t="n">
        <v>0.45</v>
      </c>
      <c r="P3" t="n">
        <v>31.05</v>
      </c>
      <c r="Q3" t="n">
        <v>28.12</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53</v>
      </c>
      <c r="D5" t="n">
        <v>5</v>
      </c>
      <c r="E5" t="n">
        <v>53.62</v>
      </c>
      <c r="F5" t="n">
        <v>0</v>
      </c>
      <c r="G5" t="n">
        <v>0</v>
      </c>
      <c r="H5" t="n">
        <v>0</v>
      </c>
      <c r="I5" t="n">
        <v>0</v>
      </c>
      <c r="J5" t="n">
        <v>0</v>
      </c>
      <c r="K5" t="n">
        <v>0</v>
      </c>
      <c r="L5" t="n">
        <v>53.62</v>
      </c>
      <c r="M5" t="n">
        <v>53.62</v>
      </c>
    </row>
    <row r="6">
      <c r="A6" t="inlineStr">
        <is>
          <t>peas</t>
        </is>
      </c>
      <c r="B6" t="n">
        <v>0</v>
      </c>
      <c r="C6" t="n">
        <v>0</v>
      </c>
      <c r="D6" t="n">
        <v>0</v>
      </c>
      <c r="E6" t="n">
        <v>0</v>
      </c>
      <c r="F6" t="n">
        <v>0</v>
      </c>
      <c r="G6" t="n">
        <v>0</v>
      </c>
      <c r="H6" t="n">
        <v>0</v>
      </c>
      <c r="I6" t="n">
        <v>7</v>
      </c>
      <c r="J6" t="n">
        <v>0</v>
      </c>
      <c r="K6" t="n">
        <v>7</v>
      </c>
      <c r="L6" t="n">
        <v>0</v>
      </c>
      <c r="M6" t="n">
        <v>-7</v>
      </c>
    </row>
    <row r="7">
      <c r="A7" t="inlineStr">
        <is>
          <t>vetches</t>
        </is>
      </c>
      <c r="B7" t="n">
        <v>0</v>
      </c>
      <c r="C7" t="n">
        <v>0</v>
      </c>
      <c r="D7" t="n">
        <v>0</v>
      </c>
      <c r="E7" t="n">
        <v>0</v>
      </c>
      <c r="F7" t="n">
        <v>0</v>
      </c>
      <c r="G7" t="n">
        <v>0</v>
      </c>
      <c r="H7" t="n">
        <v>0</v>
      </c>
      <c r="I7" t="n">
        <v>3</v>
      </c>
      <c r="J7" t="n">
        <v>4</v>
      </c>
      <c r="K7" t="n">
        <v>3.5</v>
      </c>
      <c r="L7" t="n">
        <v>0</v>
      </c>
      <c r="M7" t="n">
        <v>-3.5</v>
      </c>
    </row>
    <row r="8">
      <c r="A8" t="inlineStr">
        <is>
          <t>oats</t>
        </is>
      </c>
      <c r="B8" t="n">
        <v>0</v>
      </c>
      <c r="C8" t="n">
        <v>0</v>
      </c>
      <c r="D8" t="n">
        <v>0</v>
      </c>
      <c r="E8" t="n">
        <v>0</v>
      </c>
      <c r="F8" t="n">
        <v>0</v>
      </c>
      <c r="G8" t="n">
        <v>0</v>
      </c>
      <c r="H8" t="n">
        <v>0</v>
      </c>
      <c r="I8" t="n">
        <v>20</v>
      </c>
      <c r="J8" t="n">
        <v>9</v>
      </c>
      <c r="K8" t="n">
        <v>21.12</v>
      </c>
      <c r="L8" t="n">
        <v>0</v>
      </c>
      <c r="M8" t="n">
        <v>-21.12</v>
      </c>
      <c r="N8" t="n">
        <v>0.15</v>
      </c>
      <c r="O8" t="n">
        <v>0.15</v>
      </c>
      <c r="P8" t="n">
        <v>0</v>
      </c>
      <c r="Q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row r="2">
      <c r="A2" t="inlineStr">
        <is>
          <t>sale of corn</t>
        </is>
      </c>
      <c r="B2" t="inlineStr">
        <is>
          <t>and for £23 12 shilling from 47 quarters 4 bushels of wheat sold, of which 1 quarters 4 bushels sold to the lord's household, at 8 shilling a quarters, and 46 quarters per mutuum, at 10 shilling a quarters.</t>
        </is>
      </c>
      <c r="C2" t="n">
        <v>23.6</v>
      </c>
      <c r="D2" t="n">
        <v>23</v>
      </c>
      <c r="E2" t="n">
        <v>12</v>
      </c>
      <c r="F2" t="n">
        <v>0</v>
      </c>
      <c r="G2" t="inlineStr">
        <is>
          <t>wheat</t>
        </is>
      </c>
      <c r="H2" t="n">
        <v>47</v>
      </c>
      <c r="I2" t="n">
        <v>4</v>
      </c>
      <c r="J2" t="n">
        <v>47.5</v>
      </c>
      <c r="K2" t="n">
        <v>47.5</v>
      </c>
      <c r="L2" t="n">
        <v>0</v>
      </c>
      <c r="M2" t="n">
        <v>47</v>
      </c>
      <c r="N2" t="n">
        <v>4</v>
      </c>
      <c r="O2" t="n">
        <v>8</v>
      </c>
      <c r="P2" t="n">
        <v>0</v>
      </c>
      <c r="Q2" t="n">
        <v>1</v>
      </c>
      <c r="R2" t="n">
        <v>4</v>
      </c>
      <c r="S2" t="n">
        <v>10</v>
      </c>
      <c r="T2" t="n">
        <v>0</v>
      </c>
      <c r="U2" t="n">
        <v>46</v>
      </c>
      <c r="V2" t="n">
        <v>0</v>
      </c>
      <c r="AE2" t="n">
        <v>0.4</v>
      </c>
      <c r="AF2" t="n">
        <v>0.5</v>
      </c>
      <c r="AI2" t="n">
        <v>47.5</v>
      </c>
      <c r="AJ2" t="n">
        <v>0.5</v>
      </c>
      <c r="AK2" t="n">
        <v>0.45</v>
      </c>
      <c r="AL2" t="inlineStr">
        <is>
          <t>wheat</t>
        </is>
      </c>
    </row>
    <row r="3">
      <c r="A3" t="inlineStr">
        <is>
          <t>sale of corn</t>
        </is>
      </c>
      <c r="B3" t="inlineStr">
        <is>
          <t>£1 17 shilling 1.5pence from 12 quarters 3 bushels of oats sold, at 3 shilling a quarters.</t>
        </is>
      </c>
      <c r="C3" t="n">
        <v>1.86</v>
      </c>
      <c r="D3" t="n">
        <v>1</v>
      </c>
      <c r="E3" t="n">
        <v>17</v>
      </c>
      <c r="F3" t="n">
        <v>1.5</v>
      </c>
      <c r="G3" t="inlineStr">
        <is>
          <t>oats</t>
        </is>
      </c>
      <c r="H3" t="n">
        <v>12</v>
      </c>
      <c r="I3" t="n">
        <v>3</v>
      </c>
      <c r="J3" t="n">
        <v>12.38</v>
      </c>
      <c r="K3" t="n">
        <v>12.38</v>
      </c>
      <c r="L3" t="n">
        <v>0</v>
      </c>
      <c r="M3" t="n">
        <v>12</v>
      </c>
      <c r="N3" t="n">
        <v>3</v>
      </c>
      <c r="O3" t="n">
        <v>3</v>
      </c>
      <c r="P3" t="n">
        <v>0</v>
      </c>
      <c r="AE3" t="n">
        <v>0.15</v>
      </c>
      <c r="AI3" t="n">
        <v>12.38</v>
      </c>
      <c r="AJ3" t="n">
        <v>0.15</v>
      </c>
      <c r="AK3" t="n">
        <v>0.15</v>
      </c>
      <c r="AL3" t="inlineStr">
        <is>
          <t>oats</t>
        </is>
      </c>
    </row>
    <row r="4">
      <c r="A4" t="inlineStr">
        <is>
          <t>sale of corn</t>
        </is>
      </c>
      <c r="B4" t="inlineStr">
        <is>
          <t>total, £25 9 shilling 1.5pence.</t>
        </is>
      </c>
      <c r="C4" t="n">
        <v>25.46</v>
      </c>
      <c r="D4" t="n">
        <v>25</v>
      </c>
      <c r="E4" t="n">
        <v>9</v>
      </c>
      <c r="F4" t="n">
        <v>1.5</v>
      </c>
      <c r="H4" t="n">
        <v>0</v>
      </c>
      <c r="I4" t="n">
        <v>0</v>
      </c>
      <c r="J4" t="n">
        <v>0</v>
      </c>
      <c r="K4" t="n">
        <v>0</v>
      </c>
      <c r="L4" t="n">
        <v>0</v>
      </c>
      <c r="M4" t="n">
        <v>0</v>
      </c>
      <c r="N4" t="n">
        <v>0</v>
      </c>
      <c r="AE4" t="inlineStr">
        <is>
          <t>inf</t>
        </is>
      </c>
      <c r="AI4" t="n">
        <v>0</v>
      </c>
      <c r="AJ4" t="inlineStr">
        <is>
          <t>inf</t>
        </is>
      </c>
      <c r="AK4"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2026-02-04T20:29:30Z</dcterms:modified>
  <cp:lastModifiedBy>Kowalski, Kuba</cp:lastModifiedBy>
</cp:coreProperties>
</file>
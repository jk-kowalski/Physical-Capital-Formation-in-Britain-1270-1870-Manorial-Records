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WALTHAMSTLAWRENCE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2.42</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0.41</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1.33</v>
      </c>
    </row>
    <row r="20">
      <c r="A20" s="15" t="inlineStr">
        <is>
          <t>Pleas &amp; perquisites total</t>
        </is>
      </c>
      <c r="B20" s="76" t="n">
        <v>0.8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25</v>
      </c>
    </row>
    <row r="35">
      <c r="A35" s="15" t="inlineStr">
        <is>
          <t>Sheepcote total</t>
        </is>
      </c>
    </row>
    <row r="36">
      <c r="A36" s="15" t="inlineStr">
        <is>
          <t>Cost of buildings total</t>
        </is>
      </c>
      <c r="B36" s="84" t="n">
        <v>0.5</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'Expenses'!F32</f>
        <v/>
      </c>
    </row>
    <row r="45">
      <c r="A45" s="82" t="inlineStr">
        <is>
          <t>Total of all expenses (calculated here)</t>
        </is>
      </c>
      <c r="B45" s="84">
        <f>'Expenses'!F33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24.65</v>
      </c>
    </row>
    <row r="51">
      <c r="A51" s="15" t="n"/>
    </row>
    <row r="52">
      <c r="A52" s="18" t="inlineStr">
        <is>
          <t>Allowances</t>
        </is>
      </c>
      <c r="B52" s="84" t="n"/>
    </row>
    <row r="53">
      <c r="A53" s="18" t="inlineStr">
        <is>
          <t>Cash deliveries</t>
        </is>
      </c>
      <c r="B53" s="84" t="n">
        <v>6.8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14</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234</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WALTHAMSTLAWRENCE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8</v>
      </c>
      <c r="D3" s="128" t="n">
        <v>4</v>
      </c>
      <c r="E3" s="128" t="n"/>
      <c r="F3" s="128" t="n">
        <v>2.42</v>
      </c>
      <c r="G3" s="128" t="n"/>
      <c r="H3" s="128" t="inlineStr">
        <is>
          <t>And for £2 8 shilling 4pence of arrears from his last account of the preceding year.</t>
        </is>
      </c>
      <c r="I3" s="128" t="n"/>
    </row>
    <row r="4">
      <c r="A4" s="137" t="inlineStr">
        <is>
          <t>Arrears</t>
        </is>
      </c>
      <c r="B4" s="128" t="n">
        <v>2</v>
      </c>
      <c r="C4" s="128" t="n">
        <v>8</v>
      </c>
      <c r="D4" s="128" t="n">
        <v>4</v>
      </c>
      <c r="E4" s="128" t="n"/>
      <c r="F4" s="128" t="n">
        <v>2.42</v>
      </c>
      <c r="G4" s="128" t="n"/>
      <c r="H4" s="128" t="inlineStr">
        <is>
          <t>Total, £2 8 shilling 4pence.</t>
        </is>
      </c>
      <c r="I4" s="128" t="n"/>
    </row>
    <row r="5">
      <c r="A5" s="138" t="inlineStr">
        <is>
          <t>Arrears total</t>
        </is>
      </c>
      <c r="B5" s="139" t="n"/>
      <c r="C5" s="139" t="n"/>
      <c r="D5" s="139" t="n"/>
      <c r="E5" s="139" t="n"/>
      <c r="F5" s="139" t="n">
        <v>2.42</v>
      </c>
      <c r="G5" s="139" t="n">
        <v>0</v>
      </c>
      <c r="H5" s="139" t="inlineStr">
        <is>
          <t>Total</t>
        </is>
      </c>
      <c r="I5" s="139" t="n"/>
    </row>
    <row r="6">
      <c r="A6" s="137" t="n"/>
      <c r="B6" s="128" t="n"/>
      <c r="C6" s="128" t="n"/>
      <c r="D6" s="128" t="n"/>
      <c r="E6" s="128" t="n"/>
      <c r="F6" s="128" t="n"/>
      <c r="G6" s="128" t="n"/>
      <c r="H6" s="128" t="n"/>
      <c r="I6" s="128" t="n"/>
    </row>
    <row r="7">
      <c r="A7" s="136" t="inlineStr">
        <is>
          <t>Sale of stock</t>
        </is>
      </c>
      <c r="B7" s="128" t="n">
        <v>14</v>
      </c>
      <c r="C7" s="128" t="n">
        <v>7</v>
      </c>
      <c r="D7" s="128" t="n">
        <v>1</v>
      </c>
      <c r="E7" s="128" t="n"/>
      <c r="F7" s="128" t="n">
        <v>14.35</v>
      </c>
      <c r="G7" s="128" t="n"/>
      <c r="H7" s="128" t="inlineStr">
        <is>
          <t>And for £14 7 shilling 1pence from 223 wethers sold to the lord's household as made clear elsewhere, at £6 10 shilling for 100, and £7 17 shilling 1pence for 123..</t>
        </is>
      </c>
      <c r="I7" s="128" t="n"/>
    </row>
    <row r="8">
      <c r="A8" s="137" t="inlineStr">
        <is>
          <t>Sale of stock</t>
        </is>
      </c>
      <c r="B8" s="128" t="n">
        <v>14</v>
      </c>
      <c r="C8" s="128" t="n">
        <v>7</v>
      </c>
      <c r="D8" s="128" t="n">
        <v>1</v>
      </c>
      <c r="E8" s="128" t="n"/>
      <c r="F8" s="128" t="n">
        <v>14.35</v>
      </c>
      <c r="G8" s="128" t="n"/>
      <c r="H8" s="128" t="inlineStr">
        <is>
          <t>Total, £14 7 shilling 1pence.</t>
        </is>
      </c>
      <c r="I8" s="128" t="n"/>
    </row>
    <row r="9">
      <c r="A9" s="138" t="inlineStr">
        <is>
          <t>Sale of stock total</t>
        </is>
      </c>
      <c r="B9" s="139" t="n"/>
      <c r="C9" s="139" t="n"/>
      <c r="D9" s="139" t="n"/>
      <c r="E9" s="139" t="n"/>
      <c r="F9" s="139" t="n">
        <v>14.35</v>
      </c>
      <c r="G9" s="139" t="n">
        <v>0</v>
      </c>
      <c r="H9" s="139" t="inlineStr">
        <is>
          <t>Total</t>
        </is>
      </c>
      <c r="I9" s="139" t="n"/>
    </row>
    <row r="10">
      <c r="A10" s="137" t="n"/>
      <c r="B10" s="128" t="n"/>
      <c r="C10" s="128" t="n"/>
      <c r="D10" s="128" t="n"/>
      <c r="E10" s="128" t="n"/>
      <c r="F10" s="128" t="n"/>
      <c r="G10" s="128" t="n"/>
      <c r="H10" s="128" t="n"/>
      <c r="I10" s="128" t="n"/>
    </row>
    <row r="11">
      <c r="A11" s="136" t="inlineStr">
        <is>
          <t>Issues of the manor</t>
        </is>
      </c>
      <c r="B11" s="128" t="n">
        <v>0</v>
      </c>
      <c r="C11" s="128" t="n">
        <v>3</v>
      </c>
      <c r="D11" s="128" t="n">
        <v>4</v>
      </c>
      <c r="E11" s="128" t="n"/>
      <c r="F11" s="128" t="n">
        <v>0.17</v>
      </c>
      <c r="G11" s="128" t="n"/>
      <c r="H11" s="128" t="inlineStr">
        <is>
          <t>And for 3 shilling 4pence from the woolskins sold of 10 wethers in murrain before shearing as made clear elsewhere, at 4pence a skin.</t>
        </is>
      </c>
      <c r="I11" s="128" t="n"/>
    </row>
    <row r="12">
      <c r="A12" s="137" t="inlineStr">
        <is>
          <t>Issues of the manor</t>
        </is>
      </c>
      <c r="B12" s="128" t="n">
        <v>0</v>
      </c>
      <c r="C12" s="128" t="n">
        <v>2</v>
      </c>
      <c r="D12" s="128" t="n">
        <v>9</v>
      </c>
      <c r="E12" s="128" t="n"/>
      <c r="F12" s="128" t="n">
        <v>0.14</v>
      </c>
      <c r="G12" s="128" t="n"/>
      <c r="H12" s="128" t="inlineStr">
        <is>
          <t>2 shilling 9pence from the woolskins sold of 11 hoggs. in murrain before shearing as made clear elsewhere, at 3pence a skin.</t>
        </is>
      </c>
      <c r="I12" s="128" t="n"/>
    </row>
    <row r="13">
      <c r="A13" s="137" t="inlineStr">
        <is>
          <t>Issues of the manor</t>
        </is>
      </c>
      <c r="B13" s="128" t="n">
        <v>0</v>
      </c>
      <c r="C13" s="128" t="n">
        <v>2</v>
      </c>
      <c r="D13" s="128" t="n">
        <v>1</v>
      </c>
      <c r="E13" s="128" t="n"/>
      <c r="F13" s="128" t="n">
        <v>0.1</v>
      </c>
      <c r="G13" s="128" t="n"/>
      <c r="H13" s="128" t="inlineStr">
        <is>
          <t>2 shilling from the bare skins sold of 24 hoggs in murrain after shearing as made clear elsewhere, at 1pence a skin.</t>
        </is>
      </c>
      <c r="I13" s="128" t="n"/>
    </row>
    <row r="14">
      <c r="A14" s="137" t="inlineStr">
        <is>
          <t>Issues of the manor</t>
        </is>
      </c>
      <c r="B14" s="128" t="n">
        <v>0</v>
      </c>
      <c r="C14" s="128" t="n">
        <v>8</v>
      </c>
      <c r="D14" s="128" t="n">
        <v>1</v>
      </c>
      <c r="E14" s="128" t="n"/>
      <c r="F14" s="128" t="n">
        <v>0.4</v>
      </c>
      <c r="G14" s="128" t="n"/>
      <c r="H14" s="128" t="inlineStr">
        <is>
          <t>Total, 8 shilling 1pence.</t>
        </is>
      </c>
      <c r="I14" s="128" t="n"/>
    </row>
    <row r="15">
      <c r="A15" s="138" t="inlineStr">
        <is>
          <t>Issues of the manor total</t>
        </is>
      </c>
      <c r="B15" s="139" t="n"/>
      <c r="C15" s="139" t="n"/>
      <c r="D15" s="139" t="n"/>
      <c r="E15" s="139" t="n"/>
      <c r="F15" s="139" t="n">
        <v>0.41</v>
      </c>
      <c r="G15" s="139" t="n">
        <v>0.01</v>
      </c>
      <c r="H15" s="139" t="inlineStr">
        <is>
          <t>Total</t>
        </is>
      </c>
      <c r="I15" s="139" t="n"/>
    </row>
    <row r="16">
      <c r="A16" s="137" t="n"/>
      <c r="B16" s="128" t="n"/>
      <c r="C16" s="128" t="n"/>
      <c r="D16" s="128" t="n"/>
      <c r="E16" s="128" t="n"/>
      <c r="F16" s="128" t="n"/>
      <c r="G16" s="128" t="n"/>
      <c r="H16" s="128" t="n"/>
      <c r="I16" s="128" t="n"/>
    </row>
    <row r="17">
      <c r="A17" s="136" t="inlineStr">
        <is>
          <t>Entry and marriage fines</t>
        </is>
      </c>
      <c r="B17" s="128" t="n">
        <v>1</v>
      </c>
      <c r="C17" s="128" t="n">
        <v>0</v>
      </c>
      <c r="D17" s="128" t="n">
        <v>0</v>
      </c>
      <c r="E17" s="128" t="n"/>
      <c r="F17" s="128" t="n">
        <v>1</v>
      </c>
      <c r="G17" s="128" t="n"/>
      <c r="H17" s="128"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I17" s="128" t="n"/>
    </row>
    <row r="18">
      <c r="A18" s="137" t="inlineStr">
        <is>
          <t>Entry and marriage fines</t>
        </is>
      </c>
      <c r="B18" s="128" t="n">
        <v>0</v>
      </c>
      <c r="C18" s="128" t="n">
        <v>6</v>
      </c>
      <c r="D18" s="128" t="n">
        <v>8</v>
      </c>
      <c r="E18" s="128" t="n"/>
      <c r="F18" s="128" t="n">
        <v>0.33</v>
      </c>
      <c r="G18" s="128" t="n"/>
      <c r="H18" s="128" t="inlineStr">
        <is>
          <t>6 shilling 8pence from John Mordon' to have 1 messuage and 1 virgate of land held by labour service in the tithing of South Lake by surrender of Edmund Dommarch'.</t>
        </is>
      </c>
      <c r="I18" s="128" t="n"/>
    </row>
    <row r="19">
      <c r="A19" s="137" t="inlineStr">
        <is>
          <t>Entry and marriage fines</t>
        </is>
      </c>
      <c r="B19" s="128" t="n">
        <v>1</v>
      </c>
      <c r="C19" s="128" t="n">
        <v>6</v>
      </c>
      <c r="D19" s="128" t="n">
        <v>8</v>
      </c>
      <c r="E19" s="128" t="n"/>
      <c r="F19" s="128" t="n">
        <v>1.33</v>
      </c>
      <c r="G19" s="128" t="n"/>
      <c r="H19" s="128" t="inlineStr">
        <is>
          <t>Total, £1 6 shilling 8pence.</t>
        </is>
      </c>
      <c r="I19" s="128" t="n"/>
    </row>
    <row r="20">
      <c r="A20" s="138" t="inlineStr">
        <is>
          <t>Entry and marriage fines total</t>
        </is>
      </c>
      <c r="B20" s="139" t="n"/>
      <c r="C20" s="139" t="n"/>
      <c r="D20" s="139" t="n"/>
      <c r="E20" s="139" t="n"/>
      <c r="F20" s="139" t="n">
        <v>1.33</v>
      </c>
      <c r="G20" s="139" t="n">
        <v>0</v>
      </c>
      <c r="H20" s="139" t="inlineStr">
        <is>
          <t>Total</t>
        </is>
      </c>
      <c r="I20" s="139" t="n"/>
    </row>
    <row r="21">
      <c r="A21" s="137" t="n"/>
      <c r="B21" s="128" t="n"/>
      <c r="C21" s="128" t="n"/>
      <c r="D21" s="128" t="n"/>
      <c r="E21" s="128" t="n"/>
      <c r="F21" s="128" t="n"/>
      <c r="G21" s="128" t="n"/>
      <c r="H21" s="128" t="n"/>
      <c r="I21" s="128" t="n"/>
    </row>
    <row r="22">
      <c r="A22" s="136" t="inlineStr">
        <is>
          <t>Perquisites of court</t>
        </is>
      </c>
      <c r="B22" s="128" t="n">
        <v>0</v>
      </c>
      <c r="C22" s="128" t="n">
        <v>2</v>
      </c>
      <c r="D22" s="128" t="n">
        <v>0</v>
      </c>
      <c r="E22" s="128" t="n"/>
      <c r="F22" s="128" t="n">
        <v>0.1</v>
      </c>
      <c r="G22" s="128" t="n"/>
      <c r="H22" s="128" t="inlineStr">
        <is>
          <t>And for 2 shilling from the perquisites of the tourn of Martinmas (11 November).</t>
        </is>
      </c>
      <c r="I22" s="128" t="n"/>
    </row>
    <row r="23">
      <c r="A23" s="137" t="inlineStr">
        <is>
          <t>Perquisites of court</t>
        </is>
      </c>
      <c r="B23" s="128" t="n">
        <v>0</v>
      </c>
      <c r="C23" s="128" t="n">
        <v>8</v>
      </c>
      <c r="D23" s="128" t="n">
        <v>5</v>
      </c>
      <c r="E23" s="128" t="n"/>
      <c r="F23" s="128" t="n">
        <v>0.42</v>
      </c>
      <c r="G23" s="128" t="n"/>
      <c r="H23" s="128" t="inlineStr">
        <is>
          <t>8 shilling 5pence from the perquisites of the courts held between the 2 tourns.</t>
        </is>
      </c>
      <c r="I23" s="128" t="n"/>
    </row>
    <row r="24">
      <c r="A24" s="137" t="inlineStr">
        <is>
          <t>Perquisites of court</t>
        </is>
      </c>
      <c r="B24" s="128" t="n">
        <v>0</v>
      </c>
      <c r="C24" s="128" t="n">
        <v>1</v>
      </c>
      <c r="D24" s="128" t="n">
        <v>10</v>
      </c>
      <c r="E24" s="128" t="n"/>
      <c r="F24" s="128" t="n">
        <v>0.09</v>
      </c>
      <c r="G24" s="128" t="n"/>
      <c r="H24" s="128" t="inlineStr">
        <is>
          <t>1 shilling 10pence from the perquisites of the tourn of Hockday (1 April).</t>
        </is>
      </c>
      <c r="I24" s="128" t="n"/>
    </row>
    <row r="25">
      <c r="A25" s="137" t="inlineStr">
        <is>
          <t>Perquisites of court</t>
        </is>
      </c>
      <c r="B25" s="128" t="n">
        <v>0</v>
      </c>
      <c r="C25" s="128" t="n">
        <v>3</v>
      </c>
      <c r="D25" s="128" t="n">
        <v>8</v>
      </c>
      <c r="E25" s="128" t="n"/>
      <c r="F25" s="128" t="n">
        <v>0.18</v>
      </c>
      <c r="G25" s="128" t="n"/>
      <c r="H25" s="128" t="inlineStr">
        <is>
          <t>3 shilling 8pence from the perquisites of the courts held after the tourn of Hockday.</t>
        </is>
      </c>
      <c r="I25" s="128" t="n"/>
    </row>
    <row r="26">
      <c r="A26" s="138" t="inlineStr">
        <is>
          <t>Perquisites of court total</t>
        </is>
      </c>
      <c r="B26" s="139" t="n">
        <v>0</v>
      </c>
      <c r="C26" s="139" t="n">
        <v>15</v>
      </c>
      <c r="D26" s="139" t="n">
        <v>11</v>
      </c>
      <c r="E26" s="139" t="n"/>
      <c r="F26" s="139" t="n">
        <v>0.8</v>
      </c>
      <c r="G26" s="139" t="n">
        <v>0.62</v>
      </c>
      <c r="H26" s="139" t="inlineStr">
        <is>
          <t>Total, 15 shilling 11pence.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WALTHAMSTLAWRENCE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Purchase of stock</t>
        </is>
      </c>
      <c r="B4" s="128" t="n">
        <v>16</v>
      </c>
      <c r="C4" s="128" t="n">
        <v>13</v>
      </c>
      <c r="D4" s="128" t="n">
        <v>4</v>
      </c>
      <c r="E4" s="128" t="n"/>
      <c r="F4" s="128" t="n">
        <v>16.67</v>
      </c>
      <c r="G4" s="128" t="n"/>
      <c r="H4" s="128" t="inlineStr">
        <is>
          <t>In 200 hoggs bought from the sergeant of Twyford £16 13 shilling 4pence, at 1 shilling 8pence each.</t>
        </is>
      </c>
    </row>
    <row r="5">
      <c r="A5" s="137" t="inlineStr">
        <is>
          <t>Purchase of stock</t>
        </is>
      </c>
      <c r="B5" s="128" t="n">
        <v>8</v>
      </c>
      <c r="C5" s="128" t="n">
        <v>6</v>
      </c>
      <c r="D5" s="128" t="n">
        <v>8</v>
      </c>
      <c r="E5" s="128" t="n"/>
      <c r="F5" s="128" t="n">
        <v>8.33</v>
      </c>
      <c r="G5" s="128" t="n"/>
      <c r="H5" s="128" t="inlineStr">
        <is>
          <t>100 hoggs bought from the reeve of Crawley £8 6 shilling 8pence, at 1 shilling 8pence each.</t>
        </is>
      </c>
    </row>
    <row r="6">
      <c r="A6" s="137" t="inlineStr">
        <is>
          <t>Purchase of stock</t>
        </is>
      </c>
      <c r="B6" s="128" t="n">
        <v>25</v>
      </c>
      <c r="C6" s="128" t="n">
        <v>0</v>
      </c>
      <c r="D6" s="128" t="n">
        <v>0</v>
      </c>
      <c r="E6" s="128" t="n"/>
      <c r="F6" s="128" t="n">
        <v>25</v>
      </c>
      <c r="G6" s="128" t="n"/>
      <c r="H6" s="128" t="inlineStr">
        <is>
          <t>Total, £25..</t>
        </is>
      </c>
    </row>
    <row r="7">
      <c r="A7" s="138" t="inlineStr">
        <is>
          <t>Purchase of stock total</t>
        </is>
      </c>
      <c r="B7" s="139" t="n"/>
      <c r="C7" s="139" t="n"/>
      <c r="D7" s="139" t="n"/>
      <c r="E7" s="139" t="n"/>
      <c r="F7" s="139" t="n">
        <v>25</v>
      </c>
      <c r="G7" s="139" t="n">
        <v>0</v>
      </c>
      <c r="H7" s="139" t="inlineStr">
        <is>
          <t>Total</t>
        </is>
      </c>
    </row>
    <row r="8">
      <c r="A8" s="137" t="n"/>
      <c r="B8" s="128" t="n"/>
      <c r="C8" s="128" t="n"/>
      <c r="D8" s="128" t="n"/>
      <c r="E8" s="128" t="n"/>
      <c r="F8" s="128" t="n"/>
      <c r="G8" s="128" t="n"/>
      <c r="H8" s="128" t="n"/>
    </row>
    <row r="9">
      <c r="A9" s="136" t="inlineStr">
        <is>
          <t>Cost of buildings</t>
        </is>
      </c>
      <c r="B9" s="128" t="n">
        <v>0</v>
      </c>
      <c r="C9" s="128" t="n">
        <v>3</v>
      </c>
      <c r="D9" s="128" t="n">
        <v>4</v>
      </c>
      <c r="E9" s="128" t="n"/>
      <c r="F9" s="128" t="n">
        <v>0.17</v>
      </c>
      <c r="G9" s="128" t="n"/>
      <c r="H9" s="128" t="inlineStr">
        <is>
          <t>In making well 180 female hoggs 3 shilling 4pence, at 1pence for each 3..</t>
        </is>
      </c>
    </row>
    <row r="10">
      <c r="A10" s="137" t="inlineStr">
        <is>
          <t>Cost of buildings</t>
        </is>
      </c>
      <c r="B10" s="128" t="n">
        <v>0</v>
      </c>
      <c r="C10" s="128" t="n">
        <v>0</v>
      </c>
      <c r="D10" s="128" t="n">
        <v>6</v>
      </c>
      <c r="E10" s="128" t="n"/>
      <c r="F10" s="128" t="n">
        <v>0.03</v>
      </c>
      <c r="G10" s="128" t="n"/>
      <c r="H10" s="128" t="inlineStr">
        <is>
          <t>hiring 2 men to take the said hoggs and help at the said treatment for 1.5 days, taking 6pence between them.</t>
        </is>
      </c>
    </row>
    <row r="11">
      <c r="A11" s="137" t="inlineStr">
        <is>
          <t>Cost of buildings</t>
        </is>
      </c>
      <c r="B11" s="128" t="n">
        <v>0</v>
      </c>
      <c r="C11" s="128" t="n">
        <v>5</v>
      </c>
      <c r="D11" s="128" t="n">
        <v>0</v>
      </c>
      <c r="E11" s="128" t="n"/>
      <c r="F11" s="128" t="n">
        <v>0.25</v>
      </c>
      <c r="G11" s="128" t="n"/>
      <c r="H11" s="128" t="inlineStr">
        <is>
          <t>expenses of the said count (comput') with 2 men hired to seek out and drive the 300 hoggs from Crawley and Twyford to Waltham St Lawrence 5 shilling.</t>
        </is>
      </c>
    </row>
    <row r="12">
      <c r="A12" s="137" t="inlineStr">
        <is>
          <t>Cost of buildings</t>
        </is>
      </c>
      <c r="B12" s="128" t="n">
        <v>0</v>
      </c>
      <c r="C12" s="128" t="n">
        <v>1</v>
      </c>
      <c r="D12" s="128" t="n">
        <v>0</v>
      </c>
      <c r="E12" s="128" t="n"/>
      <c r="F12" s="128" t="n">
        <v>0.05</v>
      </c>
      <c r="G12" s="128" t="n"/>
      <c r="H12" s="128" t="inlineStr">
        <is>
          <t>pasturage bought for the said 300 hoggs at various times along the way 1 shilling.</t>
        </is>
      </c>
    </row>
    <row r="13">
      <c r="A13" s="137" t="inlineStr">
        <is>
          <t>Cost of buildings</t>
        </is>
      </c>
      <c r="B13" s="128" t="n">
        <v>0</v>
      </c>
      <c r="C13" s="128" t="n">
        <v>9</v>
      </c>
      <c r="D13" s="128" t="n">
        <v>10</v>
      </c>
      <c r="E13" s="128" t="n"/>
      <c r="F13" s="128" t="n">
        <v>0.49</v>
      </c>
      <c r="G13" s="128" t="n"/>
      <c r="H13" s="128" t="inlineStr">
        <is>
          <t>Total, 9 shilling 10pence.</t>
        </is>
      </c>
    </row>
    <row r="14">
      <c r="A14" s="138" t="inlineStr">
        <is>
          <t>Cost of buildings total</t>
        </is>
      </c>
      <c r="B14" s="139" t="n"/>
      <c r="C14" s="139" t="n"/>
      <c r="D14" s="139" t="n"/>
      <c r="E14" s="139" t="n"/>
      <c r="F14" s="139" t="n">
        <v>0.5</v>
      </c>
      <c r="G14" s="139" t="n">
        <v>0.01</v>
      </c>
      <c r="H14" s="139" t="inlineStr">
        <is>
          <t>Total</t>
        </is>
      </c>
    </row>
    <row r="15">
      <c r="A15" s="137" t="n"/>
      <c r="B15" s="128" t="n"/>
      <c r="C15" s="128" t="n"/>
      <c r="D15" s="128" t="n"/>
      <c r="E15" s="128" t="n"/>
      <c r="F15" s="128" t="n"/>
      <c r="G15" s="128" t="n"/>
      <c r="H15" s="128" t="n"/>
    </row>
    <row r="16">
      <c r="A16" s="136" t="inlineStr">
        <is>
          <t>Stipends</t>
        </is>
      </c>
      <c r="B16" s="128" t="n">
        <v>0</v>
      </c>
      <c r="C16" s="128" t="n">
        <v>6</v>
      </c>
      <c r="D16" s="128" t="n">
        <v>8</v>
      </c>
      <c r="E16" s="128" t="n"/>
      <c r="F16" s="128" t="n">
        <v>0.33</v>
      </c>
      <c r="G16" s="128" t="n"/>
      <c r="H16" s="128" t="inlineStr">
        <is>
          <t>In stipend of 1 overseer of the harvest collecting amercements and summoning the courts for the year 6 shilling 8pence.</t>
        </is>
      </c>
    </row>
    <row r="17">
      <c r="A17" s="137" t="inlineStr">
        <is>
          <t>Stipends</t>
        </is>
      </c>
      <c r="B17" s="128" t="n">
        <v>0</v>
      </c>
      <c r="C17" s="128" t="n">
        <v>6</v>
      </c>
      <c r="D17" s="128" t="n">
        <v>8</v>
      </c>
      <c r="E17" s="128" t="n"/>
      <c r="F17" s="128" t="n">
        <v>0.33</v>
      </c>
      <c r="G17" s="128" t="n"/>
      <c r="H17" s="128" t="inlineStr">
        <is>
          <t>Total, 6 shilling 8pence.</t>
        </is>
      </c>
    </row>
    <row r="18">
      <c r="A18" s="138" t="inlineStr">
        <is>
          <t>Stipends total</t>
        </is>
      </c>
      <c r="B18" s="139" t="n"/>
      <c r="C18" s="139" t="n"/>
      <c r="D18" s="139" t="n"/>
      <c r="E18" s="139" t="n"/>
      <c r="F18" s="139" t="n">
        <v>0.33</v>
      </c>
      <c r="G18" s="139" t="n">
        <v>0</v>
      </c>
      <c r="H18" s="139" t="inlineStr">
        <is>
          <t>Total</t>
        </is>
      </c>
    </row>
    <row r="19">
      <c r="A19" s="137" t="n"/>
      <c r="B19" s="128" t="n"/>
      <c r="C19" s="128" t="n"/>
      <c r="D19" s="128" t="n"/>
      <c r="E19" s="128" t="n"/>
      <c r="F19" s="128" t="n"/>
      <c r="G19" s="128" t="n"/>
      <c r="H19" s="128" t="n"/>
    </row>
    <row r="20">
      <c r="A20" s="137" t="inlineStr">
        <is>
          <t>Total of all expenses</t>
        </is>
      </c>
      <c r="B20" s="128" t="n">
        <v>26</v>
      </c>
      <c r="C20" s="128" t="n">
        <v>13</v>
      </c>
      <c r="D20" s="128" t="n">
        <v>2</v>
      </c>
      <c r="E20" s="128" t="n"/>
      <c r="F20" s="128" t="n">
        <v>26.66</v>
      </c>
      <c r="G20" s="128" t="n"/>
      <c r="H20" s="128" t="inlineStr">
        <is>
          <t>Total of all expenses, £26 13 shilling 2pence.</t>
        </is>
      </c>
    </row>
    <row r="21">
      <c r="A21" s="137" t="inlineStr">
        <is>
          <t>Total of all expenses</t>
        </is>
      </c>
      <c r="B21" s="128" t="n"/>
      <c r="C21" s="128" t="n"/>
      <c r="D21" s="128" t="n"/>
      <c r="E21" s="128" t="n"/>
      <c r="F21" s="128" t="n">
        <v>0</v>
      </c>
      <c r="G21" s="128" t="n">
        <v>-26.66</v>
      </c>
      <c r="H21" s="128" t="inlineStr">
        <is>
          <t>Total</t>
        </is>
      </c>
    </row>
    <row r="22">
      <c r="A22" s="137" t="n"/>
      <c r="B22" s="128" t="n"/>
      <c r="C22" s="128" t="n"/>
      <c r="D22" s="128" t="n"/>
      <c r="E22" s="128" t="n"/>
      <c r="F22" s="128" t="n"/>
      <c r="G22" s="128" t="n"/>
      <c r="H22" s="128" t="n"/>
    </row>
    <row r="23">
      <c r="A23" s="136" t="inlineStr">
        <is>
          <t>And he owes</t>
        </is>
      </c>
      <c r="B23" s="128" t="n">
        <v>24</v>
      </c>
      <c r="C23" s="128" t="n">
        <v>12</v>
      </c>
      <c r="D23" s="128" t="n">
        <v>11</v>
      </c>
      <c r="E23" s="128" t="n"/>
      <c r="F23" s="128" t="n">
        <v>24.65</v>
      </c>
      <c r="G23" s="128" t="n"/>
      <c r="H23" s="128" t="inlineStr">
        <is>
          <t>And he owes, £24 12 shilling 11pence.</t>
        </is>
      </c>
    </row>
    <row r="24">
      <c r="A24" s="138" t="inlineStr">
        <is>
          <t>And he owes total</t>
        </is>
      </c>
      <c r="B24" s="139" t="n"/>
      <c r="C24" s="139" t="n"/>
      <c r="D24" s="139" t="n"/>
      <c r="E24" s="139" t="n"/>
      <c r="F24" s="139" t="n">
        <v>24.65</v>
      </c>
      <c r="G24" s="139" t="n">
        <v>0</v>
      </c>
      <c r="H24" s="139" t="inlineStr">
        <is>
          <t>Total</t>
        </is>
      </c>
    </row>
    <row r="25">
      <c r="A25" s="137" t="n"/>
      <c r="B25" s="128" t="n"/>
      <c r="C25" s="128" t="n"/>
      <c r="D25" s="128" t="n"/>
      <c r="E25" s="128" t="n"/>
      <c r="F25" s="128" t="n"/>
      <c r="G25" s="128" t="n"/>
      <c r="H25" s="128" t="n"/>
    </row>
    <row r="26">
      <c r="A26" s="136" t="inlineStr">
        <is>
          <t>Cash deliveries</t>
        </is>
      </c>
      <c r="B26" s="128" t="n">
        <v>6</v>
      </c>
      <c r="C26" s="128" t="n">
        <v>16</v>
      </c>
      <c r="D26" s="128" t="n">
        <v>0</v>
      </c>
      <c r="E26" s="128" t="n"/>
      <c r="F26" s="128" t="n">
        <v>6.8</v>
      </c>
      <c r="G26" s="128" t="n"/>
      <c r="H26" s="128" t="inlineStr">
        <is>
          <t>Delivered to John Arnald, receiver of Wolvesey, by 1 tally, £6 16 shilling.</t>
        </is>
      </c>
    </row>
    <row r="27">
      <c r="A27" s="137" t="inlineStr">
        <is>
          <t>Cash deliveries</t>
        </is>
      </c>
      <c r="B27" s="128" t="n">
        <v>6</v>
      </c>
      <c r="C27" s="128" t="n">
        <v>16</v>
      </c>
      <c r="D27" s="128" t="n">
        <v>0</v>
      </c>
      <c r="E27" s="128" t="n"/>
      <c r="F27" s="128" t="n">
        <v>6.8</v>
      </c>
      <c r="G27" s="128" t="n"/>
      <c r="H27" s="128" t="inlineStr">
        <is>
          <t>Total, £6 16 shilling.</t>
        </is>
      </c>
    </row>
    <row r="28">
      <c r="A28" s="138" t="inlineStr">
        <is>
          <t>Cash deliveries total</t>
        </is>
      </c>
      <c r="B28" s="139" t="n"/>
      <c r="C28" s="139" t="n"/>
      <c r="D28" s="139" t="n"/>
      <c r="E28" s="139" t="n"/>
      <c r="F28" s="139" t="n">
        <v>6.8</v>
      </c>
      <c r="G28" s="139" t="n">
        <v>0</v>
      </c>
      <c r="H28" s="139" t="inlineStr">
        <is>
          <t>Total</t>
        </is>
      </c>
    </row>
    <row r="29">
      <c r="A29" s="137" t="n"/>
      <c r="B29" s="128" t="n"/>
      <c r="C29" s="128" t="n"/>
      <c r="D29" s="128" t="n"/>
      <c r="E29" s="128" t="n"/>
      <c r="F29" s="128" t="n"/>
      <c r="G29" s="128" t="n"/>
      <c r="H29" s="128" t="n"/>
    </row>
    <row r="30">
      <c r="A30" s="136" t="inlineStr">
        <is>
          <t>Total of all allowances and cash deliveries</t>
        </is>
      </c>
      <c r="B30" s="128" t="n">
        <v>24</v>
      </c>
      <c r="C30" s="128" t="n">
        <v>12</v>
      </c>
      <c r="D30" s="128" t="n">
        <v>11</v>
      </c>
      <c r="E30" s="128" t="n"/>
      <c r="F30" s="128" t="n">
        <v>24.65</v>
      </c>
      <c r="G30" s="128" t="n"/>
      <c r="H30" s="128" t="inlineStr">
        <is>
          <t>Total of all allowances and cash deliveries, £24 12 shilling 11pence He is quit.</t>
        </is>
      </c>
    </row>
    <row r="32">
      <c r="A32" s="38" t="inlineStr">
        <is>
          <t>Total of all expenses per account</t>
        </is>
      </c>
      <c r="B32" t="n">
        <v>26</v>
      </c>
      <c r="C32" t="n">
        <v>13</v>
      </c>
      <c r="D32" t="n">
        <v>2</v>
      </c>
      <c r="F32">
        <f>F20</f>
        <v/>
      </c>
    </row>
    <row r="33">
      <c r="A33" s="38" t="inlineStr">
        <is>
          <t>Total of all expenses (calculated here)</t>
        </is>
      </c>
      <c r="F33">
        <f>SUMIF(A1:A19,"* total",F1:F19)</f>
        <v/>
      </c>
    </row>
    <row r="34">
      <c r="A34" s="38" t="inlineStr">
        <is>
          <t>Total fixed investment</t>
        </is>
      </c>
    </row>
    <row r="35">
      <c r="A3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WALTHAMSTLAWRENCE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2</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14</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234</v>
      </c>
      <c r="C19" t="n">
        <v>0</v>
      </c>
      <c r="H19" t="n">
        <v>223</v>
      </c>
      <c r="I19" t="n">
        <v>11</v>
      </c>
      <c r="K19">
        <f>B19+C19-H19-I19</f>
        <v/>
      </c>
      <c r="L19">
        <f>B19+C19-H19</f>
        <v/>
      </c>
      <c r="M19">
        <f>L19-B19</f>
        <v/>
      </c>
      <c r="N19">
        <f>C19</f>
        <v/>
      </c>
      <c r="O19" t="n">
        <v>0.06434977578475336</v>
      </c>
      <c r="P19" s="72">
        <f>O19*K19</f>
        <v/>
      </c>
      <c r="R19" t="n">
        <v>14.35</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300</v>
      </c>
      <c r="H22" t="n">
        <v>0</v>
      </c>
      <c r="I22" t="n">
        <v>12</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21</v>
      </c>
      <c r="I53" t="n">
        <v>11</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24</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0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and for £2 8 shilling 4pence of arrears from his last account of the preceding year.</t>
        </is>
      </c>
      <c r="C3" t="n">
        <v>2.42</v>
      </c>
      <c r="D3" t="n">
        <v>2</v>
      </c>
      <c r="E3" t="n">
        <v>8</v>
      </c>
      <c r="F3" t="n">
        <v>4</v>
      </c>
      <c r="H3" t="n">
        <v>0</v>
      </c>
      <c r="I3" t="n">
        <v>0</v>
      </c>
      <c r="J3" t="n">
        <v>0</v>
      </c>
      <c r="K3" t="n">
        <v>0</v>
      </c>
      <c r="L3" t="n">
        <v>0</v>
      </c>
      <c r="M3" t="n">
        <v>0</v>
      </c>
      <c r="N3" t="n">
        <v>0</v>
      </c>
    </row>
    <row r="4">
      <c r="A4" t="inlineStr">
        <is>
          <t>arrears</t>
        </is>
      </c>
      <c r="B4" t="inlineStr">
        <is>
          <t>total, £2 8 shilling 4pence.</t>
        </is>
      </c>
      <c r="C4" t="n">
        <v>2.42</v>
      </c>
      <c r="D4" t="n">
        <v>2</v>
      </c>
      <c r="E4" t="n">
        <v>8</v>
      </c>
      <c r="F4" t="n">
        <v>4</v>
      </c>
      <c r="H4" t="n">
        <v>0</v>
      </c>
      <c r="I4" t="n">
        <v>0</v>
      </c>
      <c r="J4" t="n">
        <v>0</v>
      </c>
      <c r="K4" t="n">
        <v>0</v>
      </c>
      <c r="L4" t="n">
        <v>0</v>
      </c>
      <c r="M4" t="n">
        <v>0</v>
      </c>
      <c r="N4" t="n">
        <v>0</v>
      </c>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c r="H5" t="n">
        <v>0</v>
      </c>
      <c r="I5" t="n">
        <v>0</v>
      </c>
      <c r="J5" t="n">
        <v>0</v>
      </c>
      <c r="K5" t="n">
        <v>0</v>
      </c>
      <c r="L5" t="n">
        <v>0</v>
      </c>
      <c r="M5" t="n">
        <v>0</v>
      </c>
      <c r="N5" t="n">
        <v>0</v>
      </c>
    </row>
    <row r="6">
      <c r="A6" t="inlineStr">
        <is>
          <t>farms</t>
        </is>
      </c>
      <c r="B6" t="inlineStr">
        <is>
          <t>total, £32..</t>
        </is>
      </c>
      <c r="C6" t="n">
        <v>32</v>
      </c>
      <c r="D6" t="n">
        <v>32</v>
      </c>
      <c r="E6" t="n">
        <v>0</v>
      </c>
      <c r="F6" t="n">
        <v>0</v>
      </c>
      <c r="H6" t="n">
        <v>0</v>
      </c>
      <c r="I6" t="n">
        <v>0</v>
      </c>
      <c r="J6" t="n">
        <v>0</v>
      </c>
      <c r="K6" t="n">
        <v>0</v>
      </c>
      <c r="L6" t="n">
        <v>0</v>
      </c>
      <c r="M6" t="n">
        <v>0</v>
      </c>
      <c r="N6" t="n">
        <v>0</v>
      </c>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c r="H7" t="n">
        <v>0</v>
      </c>
      <c r="I7" t="n">
        <v>0</v>
      </c>
      <c r="J7" t="n">
        <v>0</v>
      </c>
      <c r="K7" t="n">
        <v>0</v>
      </c>
      <c r="L7" t="n">
        <v>0</v>
      </c>
      <c r="M7" t="n">
        <v>0</v>
      </c>
      <c r="N7" t="n">
        <v>0</v>
      </c>
    </row>
    <row r="8">
      <c r="A8" t="inlineStr">
        <is>
          <t>sale of stock</t>
        </is>
      </c>
      <c r="B8" t="inlineStr">
        <is>
          <t>total, £14 7 shilling 1pence.</t>
        </is>
      </c>
      <c r="C8" t="n">
        <v>14.35</v>
      </c>
      <c r="D8" t="n">
        <v>14</v>
      </c>
      <c r="E8" t="n">
        <v>7</v>
      </c>
      <c r="F8" t="n">
        <v>1</v>
      </c>
      <c r="H8" t="n">
        <v>0</v>
      </c>
      <c r="I8" t="n">
        <v>0</v>
      </c>
      <c r="J8" t="n">
        <v>0</v>
      </c>
      <c r="K8" t="n">
        <v>0</v>
      </c>
      <c r="L8" t="n">
        <v>0</v>
      </c>
      <c r="M8" t="n">
        <v>0</v>
      </c>
      <c r="N8" t="n">
        <v>0</v>
      </c>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c r="H9" t="n">
        <v>0</v>
      </c>
      <c r="I9" t="n">
        <v>0</v>
      </c>
      <c r="J9" t="n">
        <v>0</v>
      </c>
      <c r="K9" t="n">
        <v>0</v>
      </c>
      <c r="L9" t="n">
        <v>0</v>
      </c>
      <c r="M9" t="n">
        <v>0</v>
      </c>
      <c r="N9" t="n">
        <v>0</v>
      </c>
    </row>
    <row r="10">
      <c r="A10" t="inlineStr">
        <is>
          <t>issues of the manor</t>
        </is>
      </c>
      <c r="B10" t="inlineStr">
        <is>
          <t>2 shilling 9pence from the woolskins sold of 11 hoggs. in murrain before shearing as made clear elsewhere, at 3pence a skin.</t>
        </is>
      </c>
      <c r="C10" t="n">
        <v>0.14</v>
      </c>
      <c r="D10" t="n">
        <v>0</v>
      </c>
      <c r="E10" t="n">
        <v>2</v>
      </c>
      <c r="F10" t="n">
        <v>9</v>
      </c>
      <c r="H10" t="n">
        <v>0</v>
      </c>
      <c r="I10" t="n">
        <v>0</v>
      </c>
      <c r="J10" t="n">
        <v>0</v>
      </c>
      <c r="K10" t="n">
        <v>0</v>
      </c>
      <c r="L10" t="n">
        <v>0</v>
      </c>
      <c r="M10" t="n">
        <v>0</v>
      </c>
      <c r="N10" t="n">
        <v>0</v>
      </c>
    </row>
    <row r="11">
      <c r="A11" t="inlineStr">
        <is>
          <t>issues of the manor</t>
        </is>
      </c>
      <c r="B11" t="inlineStr">
        <is>
          <t>2 shilling from the bare skins sold of 24 hoggs in murrain after shearing as made clear elsewhere, at 1pence a skin.</t>
        </is>
      </c>
      <c r="C11" t="n">
        <v>0.1</v>
      </c>
      <c r="D11" t="n">
        <v>0</v>
      </c>
      <c r="E11" t="n">
        <v>2</v>
      </c>
      <c r="F11" t="n">
        <v>1</v>
      </c>
      <c r="H11" t="n">
        <v>0</v>
      </c>
      <c r="I11" t="n">
        <v>0</v>
      </c>
      <c r="J11" t="n">
        <v>0</v>
      </c>
      <c r="K11" t="n">
        <v>0</v>
      </c>
      <c r="L11" t="n">
        <v>0</v>
      </c>
      <c r="M11" t="n">
        <v>0</v>
      </c>
      <c r="N11" t="n">
        <v>0</v>
      </c>
    </row>
    <row r="12">
      <c r="A12" t="inlineStr">
        <is>
          <t>issues of the manor</t>
        </is>
      </c>
      <c r="B12" t="inlineStr">
        <is>
          <t>total, 8 shilling 1pence.</t>
        </is>
      </c>
      <c r="C12" t="n">
        <v>0.4</v>
      </c>
      <c r="D12" t="n">
        <v>0</v>
      </c>
      <c r="E12" t="n">
        <v>8</v>
      </c>
      <c r="F12" t="n">
        <v>1</v>
      </c>
      <c r="H12" t="n">
        <v>0</v>
      </c>
      <c r="I12" t="n">
        <v>0</v>
      </c>
      <c r="J12" t="n">
        <v>0</v>
      </c>
      <c r="K12" t="n">
        <v>0</v>
      </c>
      <c r="L12" t="n">
        <v>0</v>
      </c>
      <c r="M12" t="n">
        <v>0</v>
      </c>
      <c r="N12" t="n">
        <v>0</v>
      </c>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c r="H13" t="n">
        <v>0</v>
      </c>
      <c r="I13" t="n">
        <v>0</v>
      </c>
      <c r="J13" t="n">
        <v>0</v>
      </c>
      <c r="K13" t="n">
        <v>0</v>
      </c>
      <c r="L13" t="n">
        <v>0</v>
      </c>
      <c r="M13" t="n">
        <v>0</v>
      </c>
      <c r="N13" t="n">
        <v>0</v>
      </c>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c r="H14" t="n">
        <v>0</v>
      </c>
      <c r="I14" t="n">
        <v>0</v>
      </c>
      <c r="J14" t="n">
        <v>0</v>
      </c>
      <c r="K14" t="n">
        <v>0</v>
      </c>
      <c r="L14" t="n">
        <v>0</v>
      </c>
      <c r="M14" t="n">
        <v>0</v>
      </c>
      <c r="N14" t="n">
        <v>0</v>
      </c>
    </row>
    <row r="15">
      <c r="A15" t="inlineStr">
        <is>
          <t>entry and marriage fines</t>
        </is>
      </c>
      <c r="B15" t="inlineStr">
        <is>
          <t>total, £1 6 shilling 8pence.</t>
        </is>
      </c>
      <c r="C15" t="n">
        <v>1.33</v>
      </c>
      <c r="D15" t="n">
        <v>1</v>
      </c>
      <c r="E15" t="n">
        <v>6</v>
      </c>
      <c r="F15" t="n">
        <v>8</v>
      </c>
      <c r="H15" t="n">
        <v>0</v>
      </c>
      <c r="I15" t="n">
        <v>0</v>
      </c>
      <c r="J15" t="n">
        <v>0</v>
      </c>
      <c r="K15" t="n">
        <v>0</v>
      </c>
      <c r="L15" t="n">
        <v>0</v>
      </c>
      <c r="M15" t="n">
        <v>0</v>
      </c>
      <c r="N15" t="n">
        <v>0</v>
      </c>
    </row>
    <row r="16">
      <c r="A16" t="inlineStr">
        <is>
          <t>perquisites of court</t>
        </is>
      </c>
      <c r="B16" t="inlineStr">
        <is>
          <t>and for 2 shilling from the perquisites of the tourn of martinmas (11 november).</t>
        </is>
      </c>
      <c r="C16" t="n">
        <v>0.1</v>
      </c>
      <c r="D16" t="n">
        <v>0</v>
      </c>
      <c r="E16" t="n">
        <v>2</v>
      </c>
      <c r="F16" t="n">
        <v>0</v>
      </c>
      <c r="H16" t="n">
        <v>0</v>
      </c>
      <c r="I16" t="n">
        <v>0</v>
      </c>
      <c r="J16" t="n">
        <v>0</v>
      </c>
      <c r="K16" t="n">
        <v>0</v>
      </c>
      <c r="L16" t="n">
        <v>0</v>
      </c>
      <c r="M16" t="n">
        <v>0</v>
      </c>
      <c r="N16" t="n">
        <v>0</v>
      </c>
    </row>
    <row r="17">
      <c r="A17" t="inlineStr">
        <is>
          <t>perquisites of court</t>
        </is>
      </c>
      <c r="B17" t="inlineStr">
        <is>
          <t>8 shilling 5pence from the perquisites of the courts held between the 2 tourns.</t>
        </is>
      </c>
      <c r="C17" t="n">
        <v>0.42</v>
      </c>
      <c r="D17" t="n">
        <v>0</v>
      </c>
      <c r="E17" t="n">
        <v>8</v>
      </c>
      <c r="F17" t="n">
        <v>5</v>
      </c>
      <c r="H17" t="n">
        <v>0</v>
      </c>
      <c r="I17" t="n">
        <v>0</v>
      </c>
      <c r="J17" t="n">
        <v>0</v>
      </c>
      <c r="K17" t="n">
        <v>0</v>
      </c>
      <c r="L17" t="n">
        <v>0</v>
      </c>
      <c r="M17" t="n">
        <v>0</v>
      </c>
      <c r="N17" t="n">
        <v>0</v>
      </c>
    </row>
    <row r="18">
      <c r="A18" t="inlineStr">
        <is>
          <t>perquisites of court</t>
        </is>
      </c>
      <c r="B18" t="inlineStr">
        <is>
          <t>1 shilling 10pence from the perquisites of the tourn of hockday (1 april).</t>
        </is>
      </c>
      <c r="C18" t="n">
        <v>0.09</v>
      </c>
      <c r="D18" t="n">
        <v>0</v>
      </c>
      <c r="E18" t="n">
        <v>1</v>
      </c>
      <c r="F18" t="n">
        <v>10</v>
      </c>
      <c r="H18" t="n">
        <v>0</v>
      </c>
      <c r="I18" t="n">
        <v>0</v>
      </c>
      <c r="J18" t="n">
        <v>0</v>
      </c>
      <c r="K18" t="n">
        <v>0</v>
      </c>
      <c r="L18" t="n">
        <v>0</v>
      </c>
      <c r="M18" t="n">
        <v>0</v>
      </c>
      <c r="N18" t="n">
        <v>0</v>
      </c>
    </row>
    <row r="19">
      <c r="A19" t="inlineStr">
        <is>
          <t>perquisites of court</t>
        </is>
      </c>
      <c r="B19" t="inlineStr">
        <is>
          <t>3 shilling 8pence from the perquisites of the courts held after the tourn of hockday.</t>
        </is>
      </c>
      <c r="C19" t="n">
        <v>0.18</v>
      </c>
      <c r="D19" t="n">
        <v>0</v>
      </c>
      <c r="E19" t="n">
        <v>3</v>
      </c>
      <c r="F19" t="n">
        <v>8</v>
      </c>
      <c r="H19" t="n">
        <v>0</v>
      </c>
      <c r="I19" t="n">
        <v>0</v>
      </c>
      <c r="J19" t="n">
        <v>0</v>
      </c>
      <c r="K19" t="n">
        <v>0</v>
      </c>
      <c r="L19" t="n">
        <v>0</v>
      </c>
      <c r="M19" t="n">
        <v>0</v>
      </c>
      <c r="N19" t="n">
        <v>0</v>
      </c>
    </row>
    <row r="20">
      <c r="A20" t="inlineStr">
        <is>
          <t>perquisites of court</t>
        </is>
      </c>
      <c r="B20" t="inlineStr">
        <is>
          <t>total, 15 shilling 11pence.</t>
        </is>
      </c>
      <c r="C20" t="n">
        <v>0.8</v>
      </c>
      <c r="D20" t="n">
        <v>0</v>
      </c>
      <c r="E20" t="n">
        <v>15</v>
      </c>
      <c r="F20" t="n">
        <v>11</v>
      </c>
      <c r="H20" t="n">
        <v>0</v>
      </c>
      <c r="I20" t="n">
        <v>0</v>
      </c>
      <c r="J20" t="n">
        <v>0</v>
      </c>
      <c r="K20" t="n">
        <v>0</v>
      </c>
      <c r="L20" t="n">
        <v>0</v>
      </c>
      <c r="M20" t="n">
        <v>0</v>
      </c>
      <c r="N20" t="n">
        <v>0</v>
      </c>
    </row>
    <row r="21">
      <c r="A21" t="inlineStr">
        <is>
          <t>total of all receipts with arrears</t>
        </is>
      </c>
      <c r="B21" t="inlineStr">
        <is>
          <t>total of all receipts with arrears, £51 6 shilling 1pence.</t>
        </is>
      </c>
      <c r="C21" t="n">
        <v>51.3</v>
      </c>
      <c r="D21" t="n">
        <v>51</v>
      </c>
      <c r="E21" t="n">
        <v>6</v>
      </c>
      <c r="F21" t="n">
        <v>1</v>
      </c>
      <c r="H21" t="n">
        <v>0</v>
      </c>
      <c r="I21" t="n">
        <v>0</v>
      </c>
      <c r="J21" t="n">
        <v>0</v>
      </c>
      <c r="K21" t="n">
        <v>0</v>
      </c>
      <c r="L21" t="n">
        <v>0</v>
      </c>
      <c r="M21" t="n">
        <v>0</v>
      </c>
      <c r="N21" t="n">
        <v>0</v>
      </c>
    </row>
    <row r="22">
      <c r="A22" t="inlineStr">
        <is>
          <t>purchase of stock</t>
        </is>
      </c>
      <c r="B22" t="inlineStr">
        <is>
          <t>in 200 hoggs bought from the sergeant of twyford £16 13 shilling 4pence, at 1 shilling 8pence each.</t>
        </is>
      </c>
      <c r="C22" t="n">
        <v>16.67</v>
      </c>
      <c r="D22" t="n">
        <v>16</v>
      </c>
      <c r="E22" t="n">
        <v>13</v>
      </c>
      <c r="F22" t="n">
        <v>4</v>
      </c>
      <c r="H22" t="n">
        <v>0</v>
      </c>
      <c r="I22" t="n">
        <v>0</v>
      </c>
      <c r="J22" t="n">
        <v>0</v>
      </c>
      <c r="K22" t="n">
        <v>0</v>
      </c>
      <c r="L22" t="n">
        <v>0</v>
      </c>
      <c r="M22" t="n">
        <v>0</v>
      </c>
      <c r="N22" t="n">
        <v>0</v>
      </c>
    </row>
    <row r="23">
      <c r="A23" t="inlineStr">
        <is>
          <t>purchase of stock</t>
        </is>
      </c>
      <c r="B23" t="inlineStr">
        <is>
          <t>100 hoggs bought from the reeve of crawley £8 6 shilling 8pence, at 1 shilling 8pence each.</t>
        </is>
      </c>
      <c r="C23" t="n">
        <v>8.33</v>
      </c>
      <c r="D23" t="n">
        <v>8</v>
      </c>
      <c r="E23" t="n">
        <v>6</v>
      </c>
      <c r="F23" t="n">
        <v>8</v>
      </c>
      <c r="H23" t="n">
        <v>0</v>
      </c>
      <c r="I23" t="n">
        <v>0</v>
      </c>
      <c r="J23" t="n">
        <v>0</v>
      </c>
      <c r="K23" t="n">
        <v>0</v>
      </c>
      <c r="L23" t="n">
        <v>0</v>
      </c>
      <c r="M23" t="n">
        <v>0</v>
      </c>
      <c r="N23" t="n">
        <v>0</v>
      </c>
    </row>
    <row r="24">
      <c r="A24" t="inlineStr">
        <is>
          <t>purchase of stock</t>
        </is>
      </c>
      <c r="B24" t="inlineStr">
        <is>
          <t>total, £25..</t>
        </is>
      </c>
      <c r="C24" t="n">
        <v>25</v>
      </c>
      <c r="D24" t="n">
        <v>25</v>
      </c>
      <c r="E24" t="n">
        <v>0</v>
      </c>
      <c r="F24" t="n">
        <v>0</v>
      </c>
      <c r="H24" t="n">
        <v>0</v>
      </c>
      <c r="I24" t="n">
        <v>0</v>
      </c>
      <c r="J24" t="n">
        <v>0</v>
      </c>
      <c r="K24" t="n">
        <v>0</v>
      </c>
      <c r="L24" t="n">
        <v>0</v>
      </c>
      <c r="M24" t="n">
        <v>0</v>
      </c>
      <c r="N24" t="n">
        <v>0</v>
      </c>
    </row>
    <row r="25">
      <c r="A25" t="inlineStr">
        <is>
          <t>cost of buildings</t>
        </is>
      </c>
      <c r="B25" t="inlineStr">
        <is>
          <t>in making well 180 female hoggs 3 shilling 4pence, at 1pence for each 3..</t>
        </is>
      </c>
      <c r="C25" t="n">
        <v>0.17</v>
      </c>
      <c r="D25" t="n">
        <v>0</v>
      </c>
      <c r="E25" t="n">
        <v>3</v>
      </c>
      <c r="F25" t="n">
        <v>4</v>
      </c>
      <c r="H25" t="n">
        <v>0</v>
      </c>
      <c r="I25" t="n">
        <v>0</v>
      </c>
      <c r="J25" t="n">
        <v>0</v>
      </c>
      <c r="K25" t="n">
        <v>0</v>
      </c>
      <c r="L25" t="n">
        <v>0</v>
      </c>
      <c r="M25" t="n">
        <v>0</v>
      </c>
      <c r="N25" t="n">
        <v>0</v>
      </c>
    </row>
    <row r="26">
      <c r="A26" t="inlineStr">
        <is>
          <t>cost of buildings</t>
        </is>
      </c>
      <c r="B26" t="inlineStr">
        <is>
          <t>hiring 2 men to take the said hoggs and help at the said treatment for 1.5 days, taking 6pence between them.</t>
        </is>
      </c>
      <c r="C26" t="n">
        <v>0.03</v>
      </c>
      <c r="D26" t="n">
        <v>0</v>
      </c>
      <c r="E26" t="n">
        <v>0</v>
      </c>
      <c r="F26" t="n">
        <v>6</v>
      </c>
      <c r="H26" t="n">
        <v>0</v>
      </c>
      <c r="I26" t="n">
        <v>0</v>
      </c>
      <c r="J26" t="n">
        <v>0</v>
      </c>
      <c r="K26" t="n">
        <v>0</v>
      </c>
      <c r="L26" t="n">
        <v>0</v>
      </c>
      <c r="M26" t="n">
        <v>0</v>
      </c>
      <c r="N26" t="n">
        <v>0</v>
      </c>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c r="H27" t="n">
        <v>0</v>
      </c>
      <c r="I27" t="n">
        <v>0</v>
      </c>
      <c r="J27" t="n">
        <v>0</v>
      </c>
      <c r="K27" t="n">
        <v>0</v>
      </c>
      <c r="L27" t="n">
        <v>0</v>
      </c>
      <c r="M27" t="n">
        <v>0</v>
      </c>
      <c r="N27" t="n">
        <v>0</v>
      </c>
    </row>
    <row r="28">
      <c r="A28" t="inlineStr">
        <is>
          <t>cost of buildings</t>
        </is>
      </c>
      <c r="B28" t="inlineStr">
        <is>
          <t>pasturage bought for the said 300 hoggs at various times along the way 1 shilling.</t>
        </is>
      </c>
      <c r="C28" t="n">
        <v>0.05</v>
      </c>
      <c r="D28" t="n">
        <v>0</v>
      </c>
      <c r="E28" t="n">
        <v>1</v>
      </c>
      <c r="F28" t="n">
        <v>0</v>
      </c>
      <c r="H28" t="n">
        <v>0</v>
      </c>
      <c r="I28" t="n">
        <v>0</v>
      </c>
      <c r="J28" t="n">
        <v>0</v>
      </c>
      <c r="K28" t="n">
        <v>0</v>
      </c>
      <c r="L28" t="n">
        <v>0</v>
      </c>
      <c r="M28" t="n">
        <v>0</v>
      </c>
      <c r="N28" t="n">
        <v>0</v>
      </c>
    </row>
    <row r="29">
      <c r="A29" t="inlineStr">
        <is>
          <t>cost of buildings</t>
        </is>
      </c>
      <c r="B29" t="inlineStr">
        <is>
          <t>total, 9 shilling 10pence.</t>
        </is>
      </c>
      <c r="C29" t="n">
        <v>0.49</v>
      </c>
      <c r="D29" t="n">
        <v>0</v>
      </c>
      <c r="E29" t="n">
        <v>9</v>
      </c>
      <c r="F29" t="n">
        <v>10</v>
      </c>
      <c r="H29" t="n">
        <v>0</v>
      </c>
      <c r="I29" t="n">
        <v>0</v>
      </c>
      <c r="J29" t="n">
        <v>0</v>
      </c>
      <c r="K29" t="n">
        <v>0</v>
      </c>
      <c r="L29" t="n">
        <v>0</v>
      </c>
      <c r="M29" t="n">
        <v>0</v>
      </c>
      <c r="N29" t="n">
        <v>0</v>
      </c>
    </row>
    <row r="30">
      <c r="A30" t="inlineStr">
        <is>
          <t>cost of the fold</t>
        </is>
      </c>
      <c r="B30" t="inlineStr">
        <is>
          <t>in 4 gallons of tar bought 2 shilling 8pence.</t>
        </is>
      </c>
      <c r="C30" t="n">
        <v>0.13</v>
      </c>
      <c r="D30" t="n">
        <v>0</v>
      </c>
      <c r="E30" t="n">
        <v>2</v>
      </c>
      <c r="F30" t="n">
        <v>8</v>
      </c>
      <c r="H30" t="n">
        <v>0</v>
      </c>
      <c r="I30" t="n">
        <v>0</v>
      </c>
      <c r="J30" t="n">
        <v>0</v>
      </c>
      <c r="K30" t="n">
        <v>0</v>
      </c>
      <c r="L30" t="n">
        <v>0</v>
      </c>
      <c r="M30" t="n">
        <v>0</v>
      </c>
      <c r="N30" t="n">
        <v>0</v>
      </c>
    </row>
    <row r="31">
      <c r="A31" t="inlineStr">
        <is>
          <t>cost of the fold</t>
        </is>
      </c>
      <c r="B31" t="inlineStr">
        <is>
          <t>grease bought 3 shilling.</t>
        </is>
      </c>
      <c r="C31" t="n">
        <v>0.15</v>
      </c>
      <c r="D31" t="n">
        <v>0</v>
      </c>
      <c r="E31" t="n">
        <v>3</v>
      </c>
      <c r="F31" t="n">
        <v>0</v>
      </c>
      <c r="H31" t="n">
        <v>0</v>
      </c>
      <c r="I31" t="n">
        <v>0</v>
      </c>
      <c r="J31" t="n">
        <v>0</v>
      </c>
      <c r="K31" t="n">
        <v>0</v>
      </c>
      <c r="L31" t="n">
        <v>0</v>
      </c>
      <c r="M31" t="n">
        <v>0</v>
      </c>
      <c r="N31" t="n">
        <v>0</v>
      </c>
    </row>
    <row r="32">
      <c r="A32" t="inlineStr">
        <is>
          <t>cost of the fold</t>
        </is>
      </c>
      <c r="B32" t="inlineStr">
        <is>
          <t>red ochre bought 6pence.</t>
        </is>
      </c>
      <c r="C32" t="n">
        <v>0.03</v>
      </c>
      <c r="D32" t="n">
        <v>0</v>
      </c>
      <c r="E32" t="n">
        <v>0</v>
      </c>
      <c r="F32" t="n">
        <v>6</v>
      </c>
      <c r="H32" t="n">
        <v>0</v>
      </c>
      <c r="I32" t="n">
        <v>0</v>
      </c>
      <c r="J32" t="n">
        <v>0</v>
      </c>
      <c r="K32" t="n">
        <v>0</v>
      </c>
      <c r="L32" t="n">
        <v>0</v>
      </c>
      <c r="M32" t="n">
        <v>0</v>
      </c>
      <c r="N32" t="n">
        <v>0</v>
      </c>
    </row>
    <row r="33">
      <c r="A33" t="inlineStr">
        <is>
          <t>cost of the fold</t>
        </is>
      </c>
      <c r="B33" t="inlineStr">
        <is>
          <t>18 hurdles bought 4 shilling 6pence, at 3pence a hurdle.</t>
        </is>
      </c>
      <c r="C33" t="n">
        <v>0.23</v>
      </c>
      <c r="D33" t="n">
        <v>0</v>
      </c>
      <c r="E33" t="n">
        <v>4</v>
      </c>
      <c r="F33" t="n">
        <v>6</v>
      </c>
      <c r="H33" t="n">
        <v>0</v>
      </c>
      <c r="I33" t="n">
        <v>0</v>
      </c>
      <c r="J33" t="n">
        <v>0</v>
      </c>
      <c r="K33" t="n">
        <v>0</v>
      </c>
      <c r="L33" t="n">
        <v>0</v>
      </c>
      <c r="M33" t="n">
        <v>0</v>
      </c>
      <c r="N33" t="n">
        <v>0</v>
      </c>
    </row>
    <row r="34">
      <c r="A34" t="inlineStr">
        <is>
          <t>cost of the fold</t>
        </is>
      </c>
      <c r="B34" t="inlineStr">
        <is>
          <t>washing and shearing 288 hoggs this year 6 shilling.</t>
        </is>
      </c>
      <c r="C34" t="n">
        <v>0.3</v>
      </c>
      <c r="D34" t="n">
        <v>0</v>
      </c>
      <c r="E34" t="n">
        <v>6</v>
      </c>
      <c r="F34" t="n">
        <v>0</v>
      </c>
      <c r="H34" t="n">
        <v>0</v>
      </c>
      <c r="I34" t="n">
        <v>0</v>
      </c>
      <c r="J34" t="n">
        <v>0</v>
      </c>
      <c r="K34" t="n">
        <v>0</v>
      </c>
      <c r="L34" t="n">
        <v>0</v>
      </c>
      <c r="M34" t="n">
        <v>0</v>
      </c>
      <c r="N34" t="n">
        <v>0</v>
      </c>
    </row>
    <row r="35">
      <c r="A35" t="inlineStr">
        <is>
          <t>cost of the fold</t>
        </is>
      </c>
      <c r="B35" t="inlineStr">
        <is>
          <t>total, 16 shilling 8pence.</t>
        </is>
      </c>
      <c r="C35" t="n">
        <v>0.83</v>
      </c>
      <c r="D35" t="n">
        <v>0</v>
      </c>
      <c r="E35" t="n">
        <v>16</v>
      </c>
      <c r="F35" t="n">
        <v>8</v>
      </c>
      <c r="H35" t="n">
        <v>0</v>
      </c>
      <c r="I35" t="n">
        <v>0</v>
      </c>
      <c r="J35" t="n">
        <v>0</v>
      </c>
      <c r="K35" t="n">
        <v>0</v>
      </c>
      <c r="L35" t="n">
        <v>0</v>
      </c>
      <c r="M35" t="n">
        <v>0</v>
      </c>
      <c r="N35" t="n">
        <v>0</v>
      </c>
    </row>
    <row r="36">
      <c r="A36" t="inlineStr">
        <is>
          <t>stipends</t>
        </is>
      </c>
      <c r="B36" t="inlineStr">
        <is>
          <t>in stipend of 1 overseer of the harvest collecting amercements and summoning the courts for the year 6 shilling 8pence.</t>
        </is>
      </c>
      <c r="C36" t="n">
        <v>0.33</v>
      </c>
      <c r="D36" t="n">
        <v>0</v>
      </c>
      <c r="E36" t="n">
        <v>6</v>
      </c>
      <c r="F36" t="n">
        <v>8</v>
      </c>
      <c r="H36" t="n">
        <v>0</v>
      </c>
      <c r="I36" t="n">
        <v>0</v>
      </c>
      <c r="J36" t="n">
        <v>0</v>
      </c>
      <c r="K36" t="n">
        <v>0</v>
      </c>
      <c r="L36" t="n">
        <v>0</v>
      </c>
      <c r="M36" t="n">
        <v>0</v>
      </c>
      <c r="N36" t="n">
        <v>0</v>
      </c>
    </row>
    <row r="37">
      <c r="A37" t="inlineStr">
        <is>
          <t>stipends</t>
        </is>
      </c>
      <c r="B37" t="inlineStr">
        <is>
          <t>total, 6 shilling 8pence.</t>
        </is>
      </c>
      <c r="C37" t="n">
        <v>0.33</v>
      </c>
      <c r="D37" t="n">
        <v>0</v>
      </c>
      <c r="E37" t="n">
        <v>6</v>
      </c>
      <c r="F37" t="n">
        <v>8</v>
      </c>
      <c r="H37" t="n">
        <v>0</v>
      </c>
      <c r="I37" t="n">
        <v>0</v>
      </c>
      <c r="J37" t="n">
        <v>0</v>
      </c>
      <c r="K37" t="n">
        <v>0</v>
      </c>
      <c r="L37" t="n">
        <v>0</v>
      </c>
      <c r="M37" t="n">
        <v>0</v>
      </c>
      <c r="N37" t="n">
        <v>0</v>
      </c>
    </row>
    <row r="38">
      <c r="A38" t="inlineStr">
        <is>
          <t>total of all expenses</t>
        </is>
      </c>
      <c r="B38" t="inlineStr">
        <is>
          <t>total of all expenses, £26 13 shilling 2pence.</t>
        </is>
      </c>
      <c r="C38" t="n">
        <v>26.66</v>
      </c>
      <c r="D38" t="n">
        <v>26</v>
      </c>
      <c r="E38" t="n">
        <v>13</v>
      </c>
      <c r="F38" t="n">
        <v>2</v>
      </c>
      <c r="H38" t="n">
        <v>0</v>
      </c>
      <c r="I38" t="n">
        <v>0</v>
      </c>
      <c r="J38" t="n">
        <v>0</v>
      </c>
      <c r="K38" t="n">
        <v>0</v>
      </c>
      <c r="L38" t="n">
        <v>0</v>
      </c>
      <c r="M38" t="n">
        <v>0</v>
      </c>
      <c r="N38" t="n">
        <v>0</v>
      </c>
    </row>
    <row r="39">
      <c r="A39" t="inlineStr">
        <is>
          <t>and he owes</t>
        </is>
      </c>
      <c r="B39" t="inlineStr">
        <is>
          <t>and he owes, £24 12 shilling 11pence.</t>
        </is>
      </c>
      <c r="C39" t="n">
        <v>24.65</v>
      </c>
      <c r="D39" t="n">
        <v>24</v>
      </c>
      <c r="E39" t="n">
        <v>12</v>
      </c>
      <c r="F39" t="n">
        <v>11</v>
      </c>
      <c r="H39" t="n">
        <v>0</v>
      </c>
      <c r="I39" t="n">
        <v>0</v>
      </c>
      <c r="J39" t="n">
        <v>0</v>
      </c>
      <c r="K39" t="n">
        <v>0</v>
      </c>
      <c r="L39" t="n">
        <v>0</v>
      </c>
      <c r="M39" t="n">
        <v>0</v>
      </c>
      <c r="N39" t="n">
        <v>0</v>
      </c>
    </row>
    <row r="40">
      <c r="A40" t="inlineStr">
        <is>
          <t>allowances without writ</t>
        </is>
      </c>
      <c r="B40" t="inlineStr">
        <is>
          <t>in allowance to the same for 6 shilling 2pence for various disllowances made against him in this present account above.</t>
        </is>
      </c>
      <c r="C40" t="n">
        <v>0.31</v>
      </c>
      <c r="D40" t="n">
        <v>0</v>
      </c>
      <c r="E40" t="n">
        <v>6</v>
      </c>
      <c r="F40" t="n">
        <v>2</v>
      </c>
      <c r="H40" t="n">
        <v>0</v>
      </c>
      <c r="I40" t="n">
        <v>0</v>
      </c>
      <c r="J40" t="n">
        <v>0</v>
      </c>
      <c r="K40" t="n">
        <v>0</v>
      </c>
      <c r="L40" t="n">
        <v>0</v>
      </c>
      <c r="M40" t="n">
        <v>0</v>
      </c>
      <c r="N40" t="n">
        <v>0</v>
      </c>
    </row>
    <row r="41">
      <c r="A41" t="inlineStr">
        <is>
          <t>allowances without writ</t>
        </is>
      </c>
      <c r="B41" t="inlineStr">
        <is>
          <t>total, 6 shilling 2pence.</t>
        </is>
      </c>
      <c r="C41" t="n">
        <v>0.31</v>
      </c>
      <c r="D41" t="n">
        <v>0</v>
      </c>
      <c r="E41" t="n">
        <v>6</v>
      </c>
      <c r="F41" t="n">
        <v>2</v>
      </c>
      <c r="H41" t="n">
        <v>0</v>
      </c>
      <c r="I41" t="n">
        <v>0</v>
      </c>
      <c r="J41" t="n">
        <v>0</v>
      </c>
      <c r="K41" t="n">
        <v>0</v>
      </c>
      <c r="L41" t="n">
        <v>0</v>
      </c>
      <c r="M41" t="n">
        <v>0</v>
      </c>
      <c r="N41" t="n">
        <v>0</v>
      </c>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c r="H42" t="n">
        <v>0</v>
      </c>
      <c r="I42" t="n">
        <v>0</v>
      </c>
      <c r="J42" t="n">
        <v>0</v>
      </c>
      <c r="K42" t="n">
        <v>0</v>
      </c>
      <c r="L42" t="n">
        <v>0</v>
      </c>
      <c r="M42" t="n">
        <v>0</v>
      </c>
      <c r="N42" t="n">
        <v>0</v>
      </c>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c r="H43" t="n">
        <v>0</v>
      </c>
      <c r="I43" t="n">
        <v>0</v>
      </c>
      <c r="J43" t="n">
        <v>0</v>
      </c>
      <c r="K43" t="n">
        <v>0</v>
      </c>
      <c r="L43" t="n">
        <v>0</v>
      </c>
      <c r="M43" t="n">
        <v>0</v>
      </c>
      <c r="N43" t="n">
        <v>0</v>
      </c>
    </row>
    <row r="44">
      <c r="A44" t="inlineStr">
        <is>
          <t>allowances by writ</t>
        </is>
      </c>
      <c r="B44" t="inlineStr">
        <is>
          <t>total, £17 10 shilling 9pence.</t>
        </is>
      </c>
      <c r="C44" t="n">
        <v>17.54</v>
      </c>
      <c r="D44" t="n">
        <v>17</v>
      </c>
      <c r="E44" t="n">
        <v>10</v>
      </c>
      <c r="F44" t="n">
        <v>9</v>
      </c>
      <c r="H44" t="n">
        <v>0</v>
      </c>
      <c r="I44" t="n">
        <v>0</v>
      </c>
      <c r="J44" t="n">
        <v>0</v>
      </c>
      <c r="K44" t="n">
        <v>0</v>
      </c>
      <c r="L44" t="n">
        <v>0</v>
      </c>
      <c r="M44" t="n">
        <v>0</v>
      </c>
      <c r="N44" t="n">
        <v>0</v>
      </c>
    </row>
    <row r="45">
      <c r="A45" t="inlineStr">
        <is>
          <t>cash deliveries</t>
        </is>
      </c>
      <c r="B45" t="inlineStr">
        <is>
          <t>delivered to john arnald, receiver of wolvesey, by 1 tally, £6 16 shilling.</t>
        </is>
      </c>
      <c r="C45" t="n">
        <v>6.8</v>
      </c>
      <c r="D45" t="n">
        <v>6</v>
      </c>
      <c r="E45" t="n">
        <v>16</v>
      </c>
      <c r="F45" t="n">
        <v>0</v>
      </c>
      <c r="H45" t="n">
        <v>0</v>
      </c>
      <c r="I45" t="n">
        <v>0</v>
      </c>
      <c r="J45" t="n">
        <v>0</v>
      </c>
      <c r="K45" t="n">
        <v>0</v>
      </c>
      <c r="L45" t="n">
        <v>0</v>
      </c>
      <c r="M45" t="n">
        <v>0</v>
      </c>
      <c r="N45" t="n">
        <v>0</v>
      </c>
    </row>
    <row r="46">
      <c r="A46" t="inlineStr">
        <is>
          <t>cash deliveries</t>
        </is>
      </c>
      <c r="B46" t="inlineStr">
        <is>
          <t>total, £6 16 shilling.</t>
        </is>
      </c>
      <c r="C46" t="n">
        <v>6.8</v>
      </c>
      <c r="D46" t="n">
        <v>6</v>
      </c>
      <c r="E46" t="n">
        <v>16</v>
      </c>
      <c r="F46" t="n">
        <v>0</v>
      </c>
      <c r="H46" t="n">
        <v>0</v>
      </c>
      <c r="I46" t="n">
        <v>0</v>
      </c>
      <c r="J46" t="n">
        <v>0</v>
      </c>
      <c r="K46" t="n">
        <v>0</v>
      </c>
      <c r="L46" t="n">
        <v>0</v>
      </c>
      <c r="M46" t="n">
        <v>0</v>
      </c>
      <c r="N46" t="n">
        <v>0</v>
      </c>
    </row>
    <row r="47">
      <c r="A47" t="inlineStr">
        <is>
          <t>total of all allowances and cash deliveries</t>
        </is>
      </c>
      <c r="B47" t="inlineStr">
        <is>
          <t>total of all allowances and cash deliveries, £24 12 shilling 11pence he is quit.</t>
        </is>
      </c>
      <c r="C47" t="n">
        <v>24.65</v>
      </c>
      <c r="D47" t="n">
        <v>24</v>
      </c>
      <c r="E47" t="n">
        <v>12</v>
      </c>
      <c r="F47" t="n">
        <v>11</v>
      </c>
      <c r="H47" t="n">
        <v>0</v>
      </c>
      <c r="I47" t="n">
        <v>0</v>
      </c>
      <c r="J47" t="n">
        <v>0</v>
      </c>
      <c r="K47" t="n">
        <v>0</v>
      </c>
      <c r="L47" t="n">
        <v>0</v>
      </c>
      <c r="M47" t="n">
        <v>0</v>
      </c>
      <c r="N47" t="n">
        <v>0</v>
      </c>
    </row>
    <row r="48">
      <c r="A48" t="inlineStr">
        <is>
          <t>wheat</t>
        </is>
      </c>
      <c r="B48" t="inlineStr">
        <is>
          <t>edmund hony, fanner there, answers for 12 quarters of wheat remaining..</t>
        </is>
      </c>
      <c r="C48" t="n">
        <v>0</v>
      </c>
      <c r="D48" t="n">
        <v>0</v>
      </c>
      <c r="E48" t="n">
        <v>0</v>
      </c>
      <c r="F48" t="n">
        <v>0</v>
      </c>
      <c r="G48" t="inlineStr">
        <is>
          <t>wheat</t>
        </is>
      </c>
      <c r="H48" t="n">
        <v>12</v>
      </c>
      <c r="I48" t="n">
        <v>0</v>
      </c>
      <c r="J48" t="n">
        <v>12</v>
      </c>
      <c r="K48" t="n">
        <v>12</v>
      </c>
      <c r="L48" t="n">
        <v>0</v>
      </c>
      <c r="M48" t="n">
        <v>12</v>
      </c>
      <c r="N48" t="n">
        <v>0</v>
      </c>
    </row>
    <row r="49">
      <c r="A49" t="inlineStr">
        <is>
          <t>wheat</t>
        </is>
      </c>
      <c r="B49" t="inlineStr">
        <is>
          <t>total, 12 quarters. 12 quarters remain, sown over 35 acres of land by the perch which lie above weycoke.</t>
        </is>
      </c>
      <c r="C49" t="n">
        <v>0</v>
      </c>
      <c r="D49" t="n">
        <v>0</v>
      </c>
      <c r="E49" t="n">
        <v>0</v>
      </c>
      <c r="F49" t="n">
        <v>0</v>
      </c>
      <c r="H49" t="n">
        <v>12</v>
      </c>
      <c r="I49" t="n">
        <v>0</v>
      </c>
      <c r="J49" t="n">
        <v>12</v>
      </c>
      <c r="K49" t="n">
        <v>12</v>
      </c>
      <c r="L49" t="n">
        <v>0</v>
      </c>
      <c r="M49" t="n">
        <v>12</v>
      </c>
      <c r="N49" t="n">
        <v>0</v>
      </c>
      <c r="O49" t="n">
        <v>12</v>
      </c>
      <c r="P49" t="n">
        <v>0</v>
      </c>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c r="H50" t="n">
        <v>0</v>
      </c>
      <c r="I50" t="n">
        <v>2</v>
      </c>
      <c r="J50" t="n">
        <v>0.25</v>
      </c>
      <c r="K50" t="n">
        <v>0.25</v>
      </c>
      <c r="L50" t="n">
        <v>0</v>
      </c>
      <c r="M50" t="n">
        <v>0</v>
      </c>
      <c r="N50" t="n">
        <v>2</v>
      </c>
    </row>
    <row r="51">
      <c r="A51" t="inlineStr">
        <is>
          <t>mancorn</t>
        </is>
      </c>
      <c r="B51" t="inlineStr">
        <is>
          <t>and for 6 quarters 4 bushels of mancorn remaining..</t>
        </is>
      </c>
      <c r="C51" t="n">
        <v>0</v>
      </c>
      <c r="D51" t="n">
        <v>0</v>
      </c>
      <c r="E51" t="n">
        <v>0</v>
      </c>
      <c r="F51" t="n">
        <v>0</v>
      </c>
      <c r="G51" t="inlineStr">
        <is>
          <t>mancorn</t>
        </is>
      </c>
      <c r="H51" t="n">
        <v>6</v>
      </c>
      <c r="I51" t="n">
        <v>4</v>
      </c>
      <c r="J51" t="n">
        <v>6.5</v>
      </c>
      <c r="K51" t="n">
        <v>6.5</v>
      </c>
      <c r="L51" t="n">
        <v>0</v>
      </c>
      <c r="M51" t="n">
        <v>6</v>
      </c>
      <c r="N51" t="n">
        <v>4</v>
      </c>
    </row>
    <row r="52">
      <c r="A52" t="inlineStr">
        <is>
          <t>mancorn</t>
        </is>
      </c>
      <c r="B52" t="inlineStr">
        <is>
          <t>total, 6 quarters 4 bushels.</t>
        </is>
      </c>
      <c r="C52" t="n">
        <v>0</v>
      </c>
      <c r="D52" t="n">
        <v>0</v>
      </c>
      <c r="E52" t="n">
        <v>0</v>
      </c>
      <c r="F52" t="n">
        <v>0</v>
      </c>
      <c r="H52" t="n">
        <v>6</v>
      </c>
      <c r="I52" t="n">
        <v>4</v>
      </c>
      <c r="J52" t="n">
        <v>6.5</v>
      </c>
      <c r="K52" t="n">
        <v>6.5</v>
      </c>
      <c r="L52" t="n">
        <v>0</v>
      </c>
      <c r="M52" t="n">
        <v>6</v>
      </c>
      <c r="N52" t="n">
        <v>4</v>
      </c>
    </row>
    <row r="53">
      <c r="A53" t="inlineStr">
        <is>
          <t>mancorn</t>
        </is>
      </c>
      <c r="B53" t="inlineStr">
        <is>
          <t>6 quarters 4 bushels remain, sown over 17.5 acres of land by the perch which lie above weycoke.</t>
        </is>
      </c>
      <c r="C53" t="n">
        <v>0</v>
      </c>
      <c r="D53" t="n">
        <v>0</v>
      </c>
      <c r="E53" t="n">
        <v>0</v>
      </c>
      <c r="F53" t="n">
        <v>0</v>
      </c>
      <c r="H53" t="n">
        <v>6</v>
      </c>
      <c r="I53" t="n">
        <v>4</v>
      </c>
      <c r="J53" t="n">
        <v>6.5</v>
      </c>
      <c r="K53" t="n">
        <v>6.5</v>
      </c>
      <c r="L53" t="n">
        <v>0</v>
      </c>
      <c r="M53" t="n">
        <v>6</v>
      </c>
      <c r="N53" t="n">
        <v>4</v>
      </c>
    </row>
    <row r="54">
      <c r="A54" t="inlineStr">
        <is>
          <t>mancorn</t>
        </is>
      </c>
      <c r="B54" t="inlineStr">
        <is>
          <t>that is, 3 bushels an acre, in the hands of the said edmund, farmer there, to be restored as before.</t>
        </is>
      </c>
      <c r="C54" t="n">
        <v>0</v>
      </c>
      <c r="D54" t="n">
        <v>0</v>
      </c>
      <c r="E54" t="n">
        <v>0</v>
      </c>
      <c r="F54" t="n">
        <v>0</v>
      </c>
      <c r="H54" t="n">
        <v>0</v>
      </c>
      <c r="I54" t="n">
        <v>3</v>
      </c>
      <c r="J54" t="n">
        <v>0.38</v>
      </c>
      <c r="K54" t="n">
        <v>0.38</v>
      </c>
      <c r="L54" t="n">
        <v>0</v>
      </c>
      <c r="M54" t="n">
        <v>0</v>
      </c>
      <c r="N54" t="n">
        <v>3</v>
      </c>
    </row>
    <row r="55">
      <c r="A55" t="inlineStr">
        <is>
          <t>barley</t>
        </is>
      </c>
      <c r="B55" t="inlineStr">
        <is>
          <t>and for 10 quarters of barley remaining..</t>
        </is>
      </c>
      <c r="C55" t="n">
        <v>0</v>
      </c>
      <c r="D55" t="n">
        <v>0</v>
      </c>
      <c r="E55" t="n">
        <v>0</v>
      </c>
      <c r="F55" t="n">
        <v>0</v>
      </c>
      <c r="G55" t="inlineStr">
        <is>
          <t>barley</t>
        </is>
      </c>
      <c r="H55" t="n">
        <v>10</v>
      </c>
      <c r="I55" t="n">
        <v>0</v>
      </c>
      <c r="J55" t="n">
        <v>10</v>
      </c>
      <c r="K55" t="n">
        <v>10</v>
      </c>
      <c r="L55" t="n">
        <v>0</v>
      </c>
      <c r="M55" t="n">
        <v>10</v>
      </c>
      <c r="N55" t="n">
        <v>0</v>
      </c>
    </row>
    <row r="56">
      <c r="A56" t="inlineStr">
        <is>
          <t>barley</t>
        </is>
      </c>
      <c r="B56" t="inlineStr">
        <is>
          <t>total, 10 quarters..</t>
        </is>
      </c>
      <c r="C56" t="n">
        <v>0</v>
      </c>
      <c r="D56" t="n">
        <v>0</v>
      </c>
      <c r="E56" t="n">
        <v>0</v>
      </c>
      <c r="F56" t="n">
        <v>0</v>
      </c>
      <c r="H56" t="n">
        <v>10</v>
      </c>
      <c r="I56" t="n">
        <v>0</v>
      </c>
      <c r="J56" t="n">
        <v>10</v>
      </c>
      <c r="K56" t="n">
        <v>10</v>
      </c>
      <c r="L56" t="n">
        <v>0</v>
      </c>
      <c r="M56" t="n">
        <v>10</v>
      </c>
      <c r="N56" t="n">
        <v>0</v>
      </c>
    </row>
    <row r="57">
      <c r="A57" t="inlineStr">
        <is>
          <t>barley</t>
        </is>
      </c>
      <c r="B57" t="inlineStr">
        <is>
          <t>10 quarters remain, sown over 20 acres of land by the perch which lie in le leygh' and bromcroft'.</t>
        </is>
      </c>
      <c r="C57" t="n">
        <v>0</v>
      </c>
      <c r="D57" t="n">
        <v>0</v>
      </c>
      <c r="E57" t="n">
        <v>0</v>
      </c>
      <c r="F57" t="n">
        <v>0</v>
      </c>
      <c r="H57" t="n">
        <v>10</v>
      </c>
      <c r="I57" t="n">
        <v>0</v>
      </c>
      <c r="J57" t="n">
        <v>10</v>
      </c>
      <c r="K57" t="n">
        <v>10</v>
      </c>
      <c r="L57" t="n">
        <v>0</v>
      </c>
      <c r="M57" t="n">
        <v>10</v>
      </c>
      <c r="N57" t="n">
        <v>0</v>
      </c>
    </row>
    <row r="58">
      <c r="A58" t="inlineStr">
        <is>
          <t>barley</t>
        </is>
      </c>
      <c r="B58" t="inlineStr">
        <is>
          <t>that is, 4 bushels an acre, in the hands of the said edmund, farmer there, to be restored as before.</t>
        </is>
      </c>
      <c r="C58" t="n">
        <v>0</v>
      </c>
      <c r="D58" t="n">
        <v>0</v>
      </c>
      <c r="E58" t="n">
        <v>0</v>
      </c>
      <c r="F58" t="n">
        <v>0</v>
      </c>
      <c r="H58" t="n">
        <v>0</v>
      </c>
      <c r="I58" t="n">
        <v>4</v>
      </c>
      <c r="J58" t="n">
        <v>0.5</v>
      </c>
      <c r="K58" t="n">
        <v>0.5</v>
      </c>
      <c r="L58" t="n">
        <v>0</v>
      </c>
      <c r="M58" t="n">
        <v>0</v>
      </c>
      <c r="N58" t="n">
        <v>4</v>
      </c>
    </row>
    <row r="59">
      <c r="A59" t="inlineStr">
        <is>
          <t>dredge</t>
        </is>
      </c>
      <c r="B59" t="inlineStr">
        <is>
          <t>and for 7 quarters of dredge remaining..</t>
        </is>
      </c>
      <c r="C59" t="n">
        <v>0</v>
      </c>
      <c r="D59" t="n">
        <v>0</v>
      </c>
      <c r="E59" t="n">
        <v>0</v>
      </c>
      <c r="F59" t="n">
        <v>0</v>
      </c>
      <c r="G59" t="inlineStr">
        <is>
          <t>dredge</t>
        </is>
      </c>
      <c r="H59" t="n">
        <v>7</v>
      </c>
      <c r="I59" t="n">
        <v>0</v>
      </c>
      <c r="J59" t="n">
        <v>7</v>
      </c>
      <c r="K59" t="n">
        <v>7</v>
      </c>
      <c r="L59" t="n">
        <v>0</v>
      </c>
      <c r="M59" t="n">
        <v>7</v>
      </c>
      <c r="N59" t="n">
        <v>0</v>
      </c>
    </row>
    <row r="60">
      <c r="A60" t="inlineStr">
        <is>
          <t>dredge</t>
        </is>
      </c>
      <c r="B60" t="inlineStr">
        <is>
          <t>total, 7 quarters..</t>
        </is>
      </c>
      <c r="C60" t="n">
        <v>0</v>
      </c>
      <c r="D60" t="n">
        <v>0</v>
      </c>
      <c r="E60" t="n">
        <v>0</v>
      </c>
      <c r="F60" t="n">
        <v>0</v>
      </c>
      <c r="H60" t="n">
        <v>7</v>
      </c>
      <c r="I60" t="n">
        <v>0</v>
      </c>
      <c r="J60" t="n">
        <v>7</v>
      </c>
      <c r="K60" t="n">
        <v>7</v>
      </c>
      <c r="L60" t="n">
        <v>0</v>
      </c>
      <c r="M60" t="n">
        <v>7</v>
      </c>
      <c r="N60" t="n">
        <v>0</v>
      </c>
    </row>
    <row r="61">
      <c r="A61" t="inlineStr">
        <is>
          <t>dredge</t>
        </is>
      </c>
      <c r="B61" t="inlineStr">
        <is>
          <t>7 quarters remain, sown over 14 acres of land by the perch which lie in le leygh'.</t>
        </is>
      </c>
      <c r="C61" t="n">
        <v>0</v>
      </c>
      <c r="D61" t="n">
        <v>0</v>
      </c>
      <c r="E61" t="n">
        <v>0</v>
      </c>
      <c r="F61" t="n">
        <v>0</v>
      </c>
      <c r="H61" t="n">
        <v>7</v>
      </c>
      <c r="I61" t="n">
        <v>0</v>
      </c>
      <c r="J61" t="n">
        <v>7</v>
      </c>
      <c r="K61" t="n">
        <v>7</v>
      </c>
      <c r="L61" t="n">
        <v>0</v>
      </c>
      <c r="M61" t="n">
        <v>7</v>
      </c>
      <c r="N61" t="n">
        <v>0</v>
      </c>
    </row>
    <row r="62">
      <c r="A62" t="inlineStr">
        <is>
          <t>dredge</t>
        </is>
      </c>
      <c r="B62" t="inlineStr">
        <is>
          <t>that is, 4 bushels an acre, in the hands of the said edmund, farmer there, to be restored as before.</t>
        </is>
      </c>
      <c r="C62" t="n">
        <v>0</v>
      </c>
      <c r="D62" t="n">
        <v>0</v>
      </c>
      <c r="E62" t="n">
        <v>0</v>
      </c>
      <c r="F62" t="n">
        <v>0</v>
      </c>
      <c r="H62" t="n">
        <v>0</v>
      </c>
      <c r="I62" t="n">
        <v>4</v>
      </c>
      <c r="J62" t="n">
        <v>0.5</v>
      </c>
      <c r="K62" t="n">
        <v>0.5</v>
      </c>
      <c r="L62" t="n">
        <v>0</v>
      </c>
      <c r="M62" t="n">
        <v>0</v>
      </c>
      <c r="N62" t="n">
        <v>4</v>
      </c>
    </row>
    <row r="63">
      <c r="A63" t="inlineStr">
        <is>
          <t>peas</t>
        </is>
      </c>
      <c r="B63" t="inlineStr">
        <is>
          <t>and for 2 quarters .5 bushels of peas remaining..</t>
        </is>
      </c>
      <c r="C63" t="n">
        <v>0</v>
      </c>
      <c r="D63" t="n">
        <v>0</v>
      </c>
      <c r="E63" t="n">
        <v>0</v>
      </c>
      <c r="F63" t="n">
        <v>0</v>
      </c>
      <c r="G63" t="inlineStr">
        <is>
          <t>peas</t>
        </is>
      </c>
      <c r="H63" t="n">
        <v>2</v>
      </c>
      <c r="I63" t="n">
        <v>5</v>
      </c>
      <c r="J63" t="n">
        <v>2.62</v>
      </c>
      <c r="K63" t="n">
        <v>2</v>
      </c>
      <c r="L63" t="n">
        <v>0.62</v>
      </c>
      <c r="M63" t="n">
        <v>2</v>
      </c>
      <c r="N63" t="n">
        <v>0</v>
      </c>
      <c r="O63" t="n">
        <v>0</v>
      </c>
      <c r="P63" t="n">
        <v>5</v>
      </c>
    </row>
    <row r="64">
      <c r="A64" t="inlineStr">
        <is>
          <t>peas</t>
        </is>
      </c>
      <c r="B64" t="inlineStr">
        <is>
          <t>total, 2 quarters .5 bushels.</t>
        </is>
      </c>
      <c r="C64" t="n">
        <v>0</v>
      </c>
      <c r="D64" t="n">
        <v>0</v>
      </c>
      <c r="E64" t="n">
        <v>0</v>
      </c>
      <c r="F64" t="n">
        <v>0</v>
      </c>
      <c r="H64" t="n">
        <v>2</v>
      </c>
      <c r="I64" t="n">
        <v>5</v>
      </c>
      <c r="J64" t="n">
        <v>2.62</v>
      </c>
      <c r="K64" t="n">
        <v>2</v>
      </c>
      <c r="L64" t="n">
        <v>0.62</v>
      </c>
      <c r="M64" t="n">
        <v>2</v>
      </c>
      <c r="N64" t="n">
        <v>0</v>
      </c>
      <c r="O64" t="n">
        <v>0</v>
      </c>
      <c r="P64" t="n">
        <v>5</v>
      </c>
    </row>
    <row r="65">
      <c r="A65" t="inlineStr">
        <is>
          <t>peas</t>
        </is>
      </c>
      <c r="B65" t="inlineStr">
        <is>
          <t>2 quarters .5 bushels remain, sown over 5.5 acres of land by the perch which lie in le leygh'.</t>
        </is>
      </c>
      <c r="C65" t="n">
        <v>0</v>
      </c>
      <c r="D65" t="n">
        <v>0</v>
      </c>
      <c r="E65" t="n">
        <v>0</v>
      </c>
      <c r="F65" t="n">
        <v>0</v>
      </c>
      <c r="H65" t="n">
        <v>2</v>
      </c>
      <c r="I65" t="n">
        <v>5</v>
      </c>
      <c r="J65" t="n">
        <v>2.62</v>
      </c>
      <c r="K65" t="n">
        <v>2</v>
      </c>
      <c r="L65" t="n">
        <v>0.62</v>
      </c>
      <c r="M65" t="n">
        <v>2</v>
      </c>
      <c r="N65" t="n">
        <v>0</v>
      </c>
      <c r="O65" t="n">
        <v>0</v>
      </c>
      <c r="P65" t="n">
        <v>5</v>
      </c>
    </row>
    <row r="66">
      <c r="A66" t="inlineStr">
        <is>
          <t>peas</t>
        </is>
      </c>
      <c r="B66" t="inlineStr">
        <is>
          <t>that is, 3 bushels an acre, in the hands of the said edmund, fanner there, to be restored as before.</t>
        </is>
      </c>
      <c r="C66" t="n">
        <v>0</v>
      </c>
      <c r="D66" t="n">
        <v>0</v>
      </c>
      <c r="E66" t="n">
        <v>0</v>
      </c>
      <c r="F66" t="n">
        <v>0</v>
      </c>
      <c r="H66" t="n">
        <v>0</v>
      </c>
      <c r="I66" t="n">
        <v>3</v>
      </c>
      <c r="J66" t="n">
        <v>0.38</v>
      </c>
      <c r="K66" t="n">
        <v>0.38</v>
      </c>
      <c r="L66" t="n">
        <v>0</v>
      </c>
      <c r="M66" t="n">
        <v>0</v>
      </c>
      <c r="N66" t="n">
        <v>3</v>
      </c>
    </row>
    <row r="67">
      <c r="A67" t="inlineStr">
        <is>
          <t>oats</t>
        </is>
      </c>
      <c r="B67" t="inlineStr">
        <is>
          <t>and for 5 quarters 2 bushels of oats remaining.</t>
        </is>
      </c>
      <c r="C67" t="n">
        <v>0</v>
      </c>
      <c r="D67" t="n">
        <v>0</v>
      </c>
      <c r="E67" t="n">
        <v>0</v>
      </c>
      <c r="F67" t="n">
        <v>0</v>
      </c>
      <c r="G67" t="inlineStr">
        <is>
          <t>oats</t>
        </is>
      </c>
      <c r="H67" t="n">
        <v>5</v>
      </c>
      <c r="I67" t="n">
        <v>2</v>
      </c>
      <c r="J67" t="n">
        <v>5.25</v>
      </c>
      <c r="K67" t="n">
        <v>5.25</v>
      </c>
      <c r="L67" t="n">
        <v>0</v>
      </c>
      <c r="M67" t="n">
        <v>5</v>
      </c>
      <c r="N67" t="n">
        <v>2</v>
      </c>
    </row>
    <row r="68">
      <c r="A68" t="inlineStr">
        <is>
          <t>oats</t>
        </is>
      </c>
      <c r="B68" t="inlineStr">
        <is>
          <t>total, 5 quarters 2 bushels.</t>
        </is>
      </c>
      <c r="C68" t="n">
        <v>0</v>
      </c>
      <c r="D68" t="n">
        <v>0</v>
      </c>
      <c r="E68" t="n">
        <v>0</v>
      </c>
      <c r="F68" t="n">
        <v>0</v>
      </c>
      <c r="H68" t="n">
        <v>5</v>
      </c>
      <c r="I68" t="n">
        <v>2</v>
      </c>
      <c r="J68" t="n">
        <v>5.25</v>
      </c>
      <c r="K68" t="n">
        <v>5.25</v>
      </c>
      <c r="L68" t="n">
        <v>0</v>
      </c>
      <c r="M68" t="n">
        <v>5</v>
      </c>
      <c r="N68" t="n">
        <v>2</v>
      </c>
    </row>
    <row r="69">
      <c r="A69" t="inlineStr">
        <is>
          <t>oats</t>
        </is>
      </c>
      <c r="B69" t="inlineStr">
        <is>
          <t>5 quarters 2 bushels remain, sown, over 10.5 acres of land by the perch which lie in la leygh'.</t>
        </is>
      </c>
      <c r="C69" t="n">
        <v>0</v>
      </c>
      <c r="D69" t="n">
        <v>0</v>
      </c>
      <c r="E69" t="n">
        <v>0</v>
      </c>
      <c r="F69" t="n">
        <v>0</v>
      </c>
      <c r="H69" t="n">
        <v>5</v>
      </c>
      <c r="I69" t="n">
        <v>2</v>
      </c>
      <c r="J69" t="n">
        <v>5.25</v>
      </c>
      <c r="K69" t="n">
        <v>5.25</v>
      </c>
      <c r="L69" t="n">
        <v>0</v>
      </c>
      <c r="M69" t="n">
        <v>5</v>
      </c>
      <c r="N69" t="n">
        <v>2</v>
      </c>
    </row>
    <row r="70">
      <c r="A70" t="inlineStr">
        <is>
          <t>oats</t>
        </is>
      </c>
      <c r="B70" t="inlineStr">
        <is>
          <t>that is, 4 bushels an acre, in the hands of the said edmund, farmer there, to be restored as before.</t>
        </is>
      </c>
      <c r="C70" t="n">
        <v>0</v>
      </c>
      <c r="D70" t="n">
        <v>0</v>
      </c>
      <c r="E70" t="n">
        <v>0</v>
      </c>
      <c r="F70" t="n">
        <v>0</v>
      </c>
      <c r="H70" t="n">
        <v>0</v>
      </c>
      <c r="I70" t="n">
        <v>4</v>
      </c>
      <c r="J70" t="n">
        <v>0.5</v>
      </c>
      <c r="K70" t="n">
        <v>0.5</v>
      </c>
      <c r="L70" t="n">
        <v>0</v>
      </c>
      <c r="M70" t="n">
        <v>0</v>
      </c>
      <c r="N70" t="n">
        <v>4</v>
      </c>
    </row>
    <row r="71">
      <c r="A71" t="inlineStr">
        <is>
          <t>stock</t>
        </is>
      </c>
      <c r="B71" t="inlineStr">
        <is>
          <t>plough-horses: 2 remain.</t>
        </is>
      </c>
      <c r="C71" t="n">
        <v>0</v>
      </c>
      <c r="D71" t="n">
        <v>0</v>
      </c>
      <c r="E71" t="n">
        <v>0</v>
      </c>
      <c r="F71" t="n">
        <v>0</v>
      </c>
      <c r="H71" t="n">
        <v>0</v>
      </c>
      <c r="I71" t="n">
        <v>0</v>
      </c>
      <c r="J71" t="n">
        <v>0</v>
      </c>
      <c r="K71" t="n">
        <v>0</v>
      </c>
      <c r="L71" t="n">
        <v>0</v>
      </c>
      <c r="M71" t="n">
        <v>0</v>
      </c>
      <c r="N71" t="n">
        <v>0</v>
      </c>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c r="H72" t="n">
        <v>0</v>
      </c>
      <c r="I72" t="n">
        <v>0</v>
      </c>
      <c r="J72" t="n">
        <v>0</v>
      </c>
      <c r="K72" t="n">
        <v>0</v>
      </c>
      <c r="L72" t="n">
        <v>0</v>
      </c>
      <c r="M72" t="n">
        <v>0</v>
      </c>
      <c r="N72" t="n">
        <v>0</v>
      </c>
    </row>
    <row r="73">
      <c r="A73" t="inlineStr">
        <is>
          <t>stock</t>
        </is>
      </c>
      <c r="B73" t="inlineStr">
        <is>
          <t>oxen: 14 remain.</t>
        </is>
      </c>
      <c r="C73" t="n">
        <v>0</v>
      </c>
      <c r="D73" t="n">
        <v>0</v>
      </c>
      <c r="E73" t="n">
        <v>0</v>
      </c>
      <c r="F73" t="n">
        <v>0</v>
      </c>
      <c r="H73" t="n">
        <v>0</v>
      </c>
      <c r="I73" t="n">
        <v>0</v>
      </c>
      <c r="J73" t="n">
        <v>0</v>
      </c>
      <c r="K73" t="n">
        <v>0</v>
      </c>
      <c r="L73" t="n">
        <v>0</v>
      </c>
      <c r="M73" t="n">
        <v>0</v>
      </c>
      <c r="N73" t="n">
        <v>0</v>
      </c>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c r="H74" t="n">
        <v>0</v>
      </c>
      <c r="I74" t="n">
        <v>0</v>
      </c>
      <c r="J74" t="n">
        <v>0</v>
      </c>
      <c r="K74" t="n">
        <v>0</v>
      </c>
      <c r="L74" t="n">
        <v>0</v>
      </c>
      <c r="M74" t="n">
        <v>0</v>
      </c>
      <c r="N74" t="n">
        <v>0</v>
      </c>
    </row>
    <row r="75">
      <c r="A75" t="inlineStr">
        <is>
          <t>stock</t>
        </is>
      </c>
      <c r="B75" t="inlineStr">
        <is>
          <t>wethers: 234 remain.</t>
        </is>
      </c>
      <c r="C75" t="n">
        <v>0</v>
      </c>
      <c r="D75" t="n">
        <v>0</v>
      </c>
      <c r="E75" t="n">
        <v>0</v>
      </c>
      <c r="F75" t="n">
        <v>0</v>
      </c>
      <c r="H75" t="n">
        <v>0</v>
      </c>
      <c r="I75" t="n">
        <v>0</v>
      </c>
      <c r="J75" t="n">
        <v>0</v>
      </c>
      <c r="K75" t="n">
        <v>0</v>
      </c>
      <c r="L75" t="n">
        <v>0</v>
      </c>
      <c r="M75" t="n">
        <v>0</v>
      </c>
      <c r="N75" t="n">
        <v>0</v>
      </c>
    </row>
    <row r="76">
      <c r="A76" t="inlineStr">
        <is>
          <t>stock</t>
        </is>
      </c>
      <c r="B76" t="inlineStr">
        <is>
          <t>264 added from hoggs.</t>
        </is>
      </c>
      <c r="C76" t="n">
        <v>0</v>
      </c>
      <c r="D76" t="n">
        <v>0</v>
      </c>
      <c r="E76" t="n">
        <v>0</v>
      </c>
      <c r="F76" t="n">
        <v>0</v>
      </c>
      <c r="H76" t="n">
        <v>0</v>
      </c>
      <c r="I76" t="n">
        <v>0</v>
      </c>
      <c r="J76" t="n">
        <v>0</v>
      </c>
      <c r="K76" t="n">
        <v>0</v>
      </c>
      <c r="L76" t="n">
        <v>0</v>
      </c>
      <c r="M76" t="n">
        <v>0</v>
      </c>
      <c r="N76" t="n">
        <v>0</v>
      </c>
    </row>
    <row r="77">
      <c r="A77" t="inlineStr">
        <is>
          <t>stock</t>
        </is>
      </c>
      <c r="B77" t="inlineStr">
        <is>
          <t>total, 498. 11 in murrain before shearing.</t>
        </is>
      </c>
      <c r="C77" t="n">
        <v>0</v>
      </c>
      <c r="D77" t="n">
        <v>0</v>
      </c>
      <c r="E77" t="n">
        <v>0</v>
      </c>
      <c r="F77" t="n">
        <v>0</v>
      </c>
      <c r="H77" t="n">
        <v>0</v>
      </c>
      <c r="I77" t="n">
        <v>0</v>
      </c>
      <c r="J77" t="n">
        <v>0</v>
      </c>
      <c r="K77" t="n">
        <v>0</v>
      </c>
      <c r="L77" t="n">
        <v>0</v>
      </c>
      <c r="M77" t="n">
        <v>0</v>
      </c>
      <c r="N77" t="n">
        <v>0</v>
      </c>
    </row>
    <row r="78">
      <c r="A78" t="inlineStr">
        <is>
          <t>stock</t>
        </is>
      </c>
      <c r="B78" t="inlineStr">
        <is>
          <t>223 sold to the lord's household at esher before shearing.</t>
        </is>
      </c>
      <c r="C78" t="n">
        <v>0</v>
      </c>
      <c r="D78" t="n">
        <v>0</v>
      </c>
      <c r="E78" t="n">
        <v>0</v>
      </c>
      <c r="F78" t="n">
        <v>0</v>
      </c>
      <c r="H78" t="n">
        <v>0</v>
      </c>
      <c r="I78" t="n">
        <v>0</v>
      </c>
      <c r="J78" t="n">
        <v>0</v>
      </c>
      <c r="K78" t="n">
        <v>0</v>
      </c>
      <c r="L78" t="n">
        <v>0</v>
      </c>
      <c r="M78" t="n">
        <v>0</v>
      </c>
      <c r="N78" t="n">
        <v>0</v>
      </c>
    </row>
    <row r="79">
      <c r="A79" t="inlineStr">
        <is>
          <t>stock</t>
        </is>
      </c>
      <c r="B79" t="inlineStr">
        <is>
          <t>total, 234. 264 remain.</t>
        </is>
      </c>
      <c r="C79" t="n">
        <v>0</v>
      </c>
      <c r="D79" t="n">
        <v>0</v>
      </c>
      <c r="E79" t="n">
        <v>0</v>
      </c>
      <c r="F79" t="n">
        <v>0</v>
      </c>
      <c r="H79" t="n">
        <v>0</v>
      </c>
      <c r="I79" t="n">
        <v>0</v>
      </c>
      <c r="J79" t="n">
        <v>0</v>
      </c>
      <c r="K79" t="n">
        <v>0</v>
      </c>
      <c r="L79" t="n">
        <v>0</v>
      </c>
      <c r="M79" t="n">
        <v>0</v>
      </c>
      <c r="N79" t="n">
        <v>0</v>
      </c>
    </row>
    <row r="80">
      <c r="A80" t="inlineStr">
        <is>
          <t>stock</t>
        </is>
      </c>
      <c r="B80" t="inlineStr">
        <is>
          <t>hoggs: 200 bought from the sergeant of twyford before shearing, 120 of them female.</t>
        </is>
      </c>
      <c r="C80" t="n">
        <v>0</v>
      </c>
      <c r="D80" t="n">
        <v>0</v>
      </c>
      <c r="E80" t="n">
        <v>0</v>
      </c>
      <c r="F80" t="n">
        <v>0</v>
      </c>
      <c r="H80" t="n">
        <v>0</v>
      </c>
      <c r="I80" t="n">
        <v>0</v>
      </c>
      <c r="J80" t="n">
        <v>0</v>
      </c>
      <c r="K80" t="n">
        <v>0</v>
      </c>
      <c r="L80" t="n">
        <v>0</v>
      </c>
      <c r="M80" t="n">
        <v>0</v>
      </c>
      <c r="N80" t="n">
        <v>0</v>
      </c>
    </row>
    <row r="81">
      <c r="A81" t="inlineStr">
        <is>
          <t>stock</t>
        </is>
      </c>
      <c r="B81" t="inlineStr">
        <is>
          <t>100 bought from the reeve of crawley before shearing, 80 of them female.</t>
        </is>
      </c>
      <c r="C81" t="n">
        <v>0</v>
      </c>
      <c r="D81" t="n">
        <v>0</v>
      </c>
      <c r="E81" t="n">
        <v>0</v>
      </c>
      <c r="F81" t="n">
        <v>0</v>
      </c>
      <c r="H81" t="n">
        <v>0</v>
      </c>
      <c r="I81" t="n">
        <v>0</v>
      </c>
      <c r="J81" t="n">
        <v>0</v>
      </c>
      <c r="K81" t="n">
        <v>0</v>
      </c>
      <c r="L81" t="n">
        <v>0</v>
      </c>
      <c r="M81" t="n">
        <v>0</v>
      </c>
      <c r="N81" t="n">
        <v>0</v>
      </c>
    </row>
    <row r="82">
      <c r="A82" t="inlineStr">
        <is>
          <t>stock</t>
        </is>
      </c>
      <c r="B82" t="inlineStr">
        <is>
          <t>total, 300. 12 in murrain before shearing, 24 after shearing.</t>
        </is>
      </c>
      <c r="C82" t="n">
        <v>0</v>
      </c>
      <c r="D82" t="n">
        <v>0</v>
      </c>
      <c r="E82" t="n">
        <v>0</v>
      </c>
      <c r="F82" t="n">
        <v>0</v>
      </c>
      <c r="H82" t="n">
        <v>0</v>
      </c>
      <c r="I82" t="n">
        <v>0</v>
      </c>
      <c r="J82" t="n">
        <v>0</v>
      </c>
      <c r="K82" t="n">
        <v>0</v>
      </c>
      <c r="L82" t="n">
        <v>0</v>
      </c>
      <c r="M82" t="n">
        <v>0</v>
      </c>
      <c r="N82" t="n">
        <v>0</v>
      </c>
    </row>
    <row r="83">
      <c r="A83" t="inlineStr">
        <is>
          <t>stock</t>
        </is>
      </c>
      <c r="B83" t="inlineStr">
        <is>
          <t>264 added above to wethers.</t>
        </is>
      </c>
      <c r="C83" t="n">
        <v>0</v>
      </c>
      <c r="D83" t="n">
        <v>0</v>
      </c>
      <c r="E83" t="n">
        <v>0</v>
      </c>
      <c r="F83" t="n">
        <v>0</v>
      </c>
      <c r="H83" t="n">
        <v>0</v>
      </c>
      <c r="I83" t="n">
        <v>0</v>
      </c>
      <c r="J83" t="n">
        <v>0</v>
      </c>
      <c r="K83" t="n">
        <v>0</v>
      </c>
      <c r="L83" t="n">
        <v>0</v>
      </c>
      <c r="M83" t="n">
        <v>0</v>
      </c>
      <c r="N83" t="n">
        <v>0</v>
      </c>
    </row>
    <row r="84">
      <c r="A84" t="inlineStr">
        <is>
          <t>stock</t>
        </is>
      </c>
      <c r="B84" t="inlineStr">
        <is>
          <t>total as before.</t>
        </is>
      </c>
      <c r="C84" t="n">
        <v>0</v>
      </c>
      <c r="D84" t="n">
        <v>0</v>
      </c>
      <c r="E84" t="n">
        <v>0</v>
      </c>
      <c r="F84" t="n">
        <v>0</v>
      </c>
      <c r="H84" t="n">
        <v>0</v>
      </c>
      <c r="I84" t="n">
        <v>0</v>
      </c>
      <c r="J84" t="n">
        <v>0</v>
      </c>
      <c r="K84" t="n">
        <v>0</v>
      </c>
      <c r="L84" t="n">
        <v>0</v>
      </c>
      <c r="M84" t="n">
        <v>0</v>
      </c>
      <c r="N84" t="n">
        <v>0</v>
      </c>
    </row>
    <row r="85">
      <c r="A85" t="inlineStr">
        <is>
          <t>stock</t>
        </is>
      </c>
      <c r="B85" t="inlineStr">
        <is>
          <t>none remain.</t>
        </is>
      </c>
      <c r="C85" t="n">
        <v>0</v>
      </c>
      <c r="D85" t="n">
        <v>0</v>
      </c>
      <c r="E85" t="n">
        <v>0</v>
      </c>
      <c r="F85" t="n">
        <v>0</v>
      </c>
      <c r="H85" t="n">
        <v>0</v>
      </c>
      <c r="I85" t="n">
        <v>0</v>
      </c>
      <c r="J85" t="n">
        <v>0</v>
      </c>
      <c r="K85" t="n">
        <v>0</v>
      </c>
      <c r="L85" t="n">
        <v>0</v>
      </c>
      <c r="M85" t="n">
        <v>0</v>
      </c>
      <c r="N85" t="n">
        <v>0</v>
      </c>
    </row>
    <row r="86">
      <c r="A86" t="inlineStr">
        <is>
          <t>stock</t>
        </is>
      </c>
      <c r="B86" t="inlineStr">
        <is>
          <t>coarse wool: 288 fleeces from hoggs produced at the shearing this year.</t>
        </is>
      </c>
      <c r="C86" t="n">
        <v>0</v>
      </c>
      <c r="D86" t="n">
        <v>0</v>
      </c>
      <c r="E86" t="n">
        <v>0</v>
      </c>
      <c r="F86" t="n">
        <v>0</v>
      </c>
      <c r="H86" t="n">
        <v>0</v>
      </c>
      <c r="I86" t="n">
        <v>0</v>
      </c>
      <c r="J86" t="n">
        <v>0</v>
      </c>
      <c r="K86" t="n">
        <v>0</v>
      </c>
      <c r="L86" t="n">
        <v>0</v>
      </c>
      <c r="M86" t="n">
        <v>0</v>
      </c>
      <c r="N86" t="n">
        <v>0</v>
      </c>
    </row>
    <row r="87">
      <c r="A87" t="inlineStr">
        <is>
          <t>stock</t>
        </is>
      </c>
      <c r="B87" t="inlineStr">
        <is>
          <t>total, 288. 29 in tithe.</t>
        </is>
      </c>
      <c r="C87" t="n">
        <v>0</v>
      </c>
      <c r="D87" t="n">
        <v>0</v>
      </c>
      <c r="E87" t="n">
        <v>0</v>
      </c>
      <c r="F87" t="n">
        <v>0</v>
      </c>
      <c r="H87" t="n">
        <v>0</v>
      </c>
      <c r="I87" t="n">
        <v>0</v>
      </c>
      <c r="J87" t="n">
        <v>0</v>
      </c>
      <c r="K87" t="n">
        <v>0</v>
      </c>
      <c r="L87" t="n">
        <v>0</v>
      </c>
      <c r="M87" t="n">
        <v>0</v>
      </c>
      <c r="N87" t="n">
        <v>0</v>
      </c>
    </row>
    <row r="88">
      <c r="A88" t="inlineStr">
        <is>
          <t>stock</t>
        </is>
      </c>
      <c r="B88" t="inlineStr">
        <is>
          <t>1 in agreement with the shepherd.</t>
        </is>
      </c>
      <c r="C88" t="n">
        <v>0</v>
      </c>
      <c r="D88" t="n">
        <v>0</v>
      </c>
      <c r="E88" t="n">
        <v>0</v>
      </c>
      <c r="F88" t="n">
        <v>0</v>
      </c>
      <c r="H88" t="n">
        <v>0</v>
      </c>
      <c r="I88" t="n">
        <v>0</v>
      </c>
      <c r="J88" t="n">
        <v>0</v>
      </c>
      <c r="K88" t="n">
        <v>0</v>
      </c>
      <c r="L88" t="n">
        <v>0</v>
      </c>
      <c r="M88" t="n">
        <v>0</v>
      </c>
      <c r="N88" t="n">
        <v>0</v>
      </c>
    </row>
    <row r="89">
      <c r="A89" t="inlineStr">
        <is>
          <t>stock</t>
        </is>
      </c>
      <c r="B89" t="inlineStr">
        <is>
          <t>258 delivered to wargrave, weighing 36 cloves.</t>
        </is>
      </c>
      <c r="C89" t="n">
        <v>0</v>
      </c>
      <c r="D89" t="n">
        <v>0</v>
      </c>
      <c r="E89" t="n">
        <v>0</v>
      </c>
      <c r="F89" t="n">
        <v>0</v>
      </c>
      <c r="H89" t="n">
        <v>0</v>
      </c>
      <c r="I89" t="n">
        <v>0</v>
      </c>
      <c r="J89" t="n">
        <v>0</v>
      </c>
      <c r="K89" t="n">
        <v>0</v>
      </c>
      <c r="L89" t="n">
        <v>0</v>
      </c>
      <c r="M89" t="n">
        <v>0</v>
      </c>
      <c r="N89" t="n">
        <v>0</v>
      </c>
    </row>
    <row r="90">
      <c r="A90" t="inlineStr">
        <is>
          <t>stock</t>
        </is>
      </c>
      <c r="B90" t="inlineStr">
        <is>
          <t>total as before.</t>
        </is>
      </c>
      <c r="C90" t="n">
        <v>0</v>
      </c>
      <c r="D90" t="n">
        <v>0</v>
      </c>
      <c r="E90" t="n">
        <v>0</v>
      </c>
      <c r="F90" t="n">
        <v>0</v>
      </c>
      <c r="H90" t="n">
        <v>0</v>
      </c>
      <c r="I90" t="n">
        <v>0</v>
      </c>
      <c r="J90" t="n">
        <v>0</v>
      </c>
      <c r="K90" t="n">
        <v>0</v>
      </c>
      <c r="L90" t="n">
        <v>0</v>
      </c>
      <c r="M90" t="n">
        <v>0</v>
      </c>
      <c r="N90" t="n">
        <v>0</v>
      </c>
    </row>
    <row r="91">
      <c r="A91" t="inlineStr">
        <is>
          <t>stock</t>
        </is>
      </c>
      <c r="B91" t="inlineStr">
        <is>
          <t>it balances.</t>
        </is>
      </c>
      <c r="C91" t="n">
        <v>0</v>
      </c>
      <c r="D91" t="n">
        <v>0</v>
      </c>
      <c r="E91" t="n">
        <v>0</v>
      </c>
      <c r="F91" t="n">
        <v>0</v>
      </c>
      <c r="H91" t="n">
        <v>0</v>
      </c>
      <c r="I91" t="n">
        <v>0</v>
      </c>
      <c r="J91" t="n">
        <v>0</v>
      </c>
      <c r="K91" t="n">
        <v>0</v>
      </c>
      <c r="L91" t="n">
        <v>0</v>
      </c>
      <c r="M91" t="n">
        <v>0</v>
      </c>
      <c r="N91" t="n">
        <v>0</v>
      </c>
    </row>
    <row r="92">
      <c r="A92" t="inlineStr">
        <is>
          <t>stock</t>
        </is>
      </c>
      <c r="B92" t="inlineStr">
        <is>
          <t>wool locks: nothing from wool locks here because entangled with the fleeces.</t>
        </is>
      </c>
      <c r="C92" t="n">
        <v>0</v>
      </c>
      <c r="D92" t="n">
        <v>0</v>
      </c>
      <c r="E92" t="n">
        <v>0</v>
      </c>
      <c r="F92" t="n">
        <v>0</v>
      </c>
      <c r="H92" t="n">
        <v>0</v>
      </c>
      <c r="I92" t="n">
        <v>0</v>
      </c>
      <c r="J92" t="n">
        <v>0</v>
      </c>
      <c r="K92" t="n">
        <v>0</v>
      </c>
      <c r="L92" t="n">
        <v>0</v>
      </c>
      <c r="M92" t="n">
        <v>0</v>
      </c>
      <c r="N92" t="n">
        <v>0</v>
      </c>
    </row>
    <row r="93">
      <c r="A93" t="inlineStr">
        <is>
          <t>stock</t>
        </is>
      </c>
      <c r="B93" t="inlineStr">
        <is>
          <t>woolskins: 11 from wethers and 12 from hoggs in murrain before shearing.</t>
        </is>
      </c>
      <c r="C93" t="n">
        <v>0</v>
      </c>
      <c r="D93" t="n">
        <v>0</v>
      </c>
      <c r="E93" t="n">
        <v>0</v>
      </c>
      <c r="F93" t="n">
        <v>0</v>
      </c>
      <c r="H93" t="n">
        <v>0</v>
      </c>
      <c r="I93" t="n">
        <v>0</v>
      </c>
      <c r="J93" t="n">
        <v>0</v>
      </c>
      <c r="K93" t="n">
        <v>0</v>
      </c>
      <c r="L93" t="n">
        <v>0</v>
      </c>
      <c r="M93" t="n">
        <v>0</v>
      </c>
      <c r="N93" t="n">
        <v>0</v>
      </c>
    </row>
    <row r="94">
      <c r="A94" t="inlineStr">
        <is>
          <t>stock</t>
        </is>
      </c>
      <c r="B94" t="inlineStr">
        <is>
          <t>total, 23. 2 in tithe.</t>
        </is>
      </c>
      <c r="C94" t="n">
        <v>0</v>
      </c>
      <c r="D94" t="n">
        <v>0</v>
      </c>
      <c r="E94" t="n">
        <v>0</v>
      </c>
      <c r="F94" t="n">
        <v>0</v>
      </c>
      <c r="H94" t="n">
        <v>0</v>
      </c>
      <c r="I94" t="n">
        <v>0</v>
      </c>
      <c r="J94" t="n">
        <v>0</v>
      </c>
      <c r="K94" t="n">
        <v>0</v>
      </c>
      <c r="L94" t="n">
        <v>0</v>
      </c>
      <c r="M94" t="n">
        <v>0</v>
      </c>
      <c r="N94" t="n">
        <v>0</v>
      </c>
    </row>
    <row r="95">
      <c r="A95" t="inlineStr">
        <is>
          <t>stock</t>
        </is>
      </c>
      <c r="B95" t="inlineStr">
        <is>
          <t>21 sold within.</t>
        </is>
      </c>
      <c r="C95" t="n">
        <v>0</v>
      </c>
      <c r="D95" t="n">
        <v>0</v>
      </c>
      <c r="E95" t="n">
        <v>0</v>
      </c>
      <c r="F95" t="n">
        <v>0</v>
      </c>
      <c r="H95" t="n">
        <v>0</v>
      </c>
      <c r="I95" t="n">
        <v>0</v>
      </c>
      <c r="J95" t="n">
        <v>0</v>
      </c>
      <c r="K95" t="n">
        <v>0</v>
      </c>
      <c r="L95" t="n">
        <v>0</v>
      </c>
      <c r="M95" t="n">
        <v>0</v>
      </c>
      <c r="N95" t="n">
        <v>0</v>
      </c>
    </row>
    <row r="96">
      <c r="A96" t="inlineStr">
        <is>
          <t>stock</t>
        </is>
      </c>
      <c r="B96" t="inlineStr">
        <is>
          <t>total as before.</t>
        </is>
      </c>
      <c r="C96" t="n">
        <v>0</v>
      </c>
      <c r="D96" t="n">
        <v>0</v>
      </c>
      <c r="E96" t="n">
        <v>0</v>
      </c>
      <c r="F96" t="n">
        <v>0</v>
      </c>
      <c r="H96" t="n">
        <v>0</v>
      </c>
      <c r="I96" t="n">
        <v>0</v>
      </c>
      <c r="J96" t="n">
        <v>0</v>
      </c>
      <c r="K96" t="n">
        <v>0</v>
      </c>
      <c r="L96" t="n">
        <v>0</v>
      </c>
      <c r="M96" t="n">
        <v>0</v>
      </c>
      <c r="N96" t="n">
        <v>0</v>
      </c>
    </row>
    <row r="97">
      <c r="A97" t="inlineStr">
        <is>
          <t>stock</t>
        </is>
      </c>
      <c r="B97" t="inlineStr">
        <is>
          <t>it balances.</t>
        </is>
      </c>
      <c r="C97" t="n">
        <v>0</v>
      </c>
      <c r="D97" t="n">
        <v>0</v>
      </c>
      <c r="E97" t="n">
        <v>0</v>
      </c>
      <c r="F97" t="n">
        <v>0</v>
      </c>
      <c r="H97" t="n">
        <v>0</v>
      </c>
      <c r="I97" t="n">
        <v>0</v>
      </c>
      <c r="J97" t="n">
        <v>0</v>
      </c>
      <c r="K97" t="n">
        <v>0</v>
      </c>
      <c r="L97" t="n">
        <v>0</v>
      </c>
      <c r="M97" t="n">
        <v>0</v>
      </c>
      <c r="N97" t="n">
        <v>0</v>
      </c>
    </row>
    <row r="98">
      <c r="A98" t="inlineStr">
        <is>
          <t>stock</t>
        </is>
      </c>
      <c r="B98" t="inlineStr">
        <is>
          <t>bare skins: 24 from hoggs in murrain after shearing.</t>
        </is>
      </c>
      <c r="C98" t="n">
        <v>0</v>
      </c>
      <c r="D98" t="n">
        <v>0</v>
      </c>
      <c r="E98" t="n">
        <v>0</v>
      </c>
      <c r="F98" t="n">
        <v>0</v>
      </c>
      <c r="H98" t="n">
        <v>0</v>
      </c>
      <c r="I98" t="n">
        <v>0</v>
      </c>
      <c r="J98" t="n">
        <v>0</v>
      </c>
      <c r="K98" t="n">
        <v>0</v>
      </c>
      <c r="L98" t="n">
        <v>0</v>
      </c>
      <c r="M98" t="n">
        <v>0</v>
      </c>
      <c r="N98" t="n">
        <v>0</v>
      </c>
    </row>
    <row r="99">
      <c r="A99" t="inlineStr">
        <is>
          <t>stock</t>
        </is>
      </c>
      <c r="B99" t="inlineStr">
        <is>
          <t>total, 24. sold within.</t>
        </is>
      </c>
      <c r="C99" t="n">
        <v>0</v>
      </c>
      <c r="D99" t="n">
        <v>0</v>
      </c>
      <c r="E99" t="n">
        <v>0</v>
      </c>
      <c r="F99" t="n">
        <v>0</v>
      </c>
      <c r="H99" t="n">
        <v>0</v>
      </c>
      <c r="I99" t="n">
        <v>0</v>
      </c>
      <c r="J99" t="n">
        <v>0</v>
      </c>
      <c r="K99" t="n">
        <v>0</v>
      </c>
      <c r="L99" t="n">
        <v>0</v>
      </c>
      <c r="M99" t="n">
        <v>0</v>
      </c>
      <c r="N99" t="n">
        <v>0</v>
      </c>
    </row>
    <row r="100">
      <c r="A100" t="inlineStr">
        <is>
          <t>stock</t>
        </is>
      </c>
      <c r="B100" t="inlineStr">
        <is>
          <t>none remain.</t>
        </is>
      </c>
      <c r="C100" t="n">
        <v>0</v>
      </c>
      <c r="D100" t="n">
        <v>0</v>
      </c>
      <c r="E100" t="n">
        <v>0</v>
      </c>
      <c r="F100" t="n">
        <v>0</v>
      </c>
      <c r="H100" t="n">
        <v>0</v>
      </c>
      <c r="I100" t="n">
        <v>0</v>
      </c>
      <c r="J100" t="n">
        <v>0</v>
      </c>
      <c r="K100" t="n">
        <v>0</v>
      </c>
      <c r="L100" t="n">
        <v>0</v>
      </c>
      <c r="M100" t="n">
        <v>0</v>
      </c>
      <c r="N100" t="n">
        <v>0</v>
      </c>
    </row>
    <row r="101">
      <c r="A101" t="inlineStr">
        <is>
          <t>stock</t>
        </is>
      </c>
      <c r="B101" t="inlineStr">
        <is>
          <t>utensils: 2 ploughs with 2 coulters, 2 ploughshares and 10 yokes, and 3 harrows with iron teeth remain.</t>
        </is>
      </c>
      <c r="C101" t="n">
        <v>0</v>
      </c>
      <c r="D101" t="n">
        <v>0</v>
      </c>
      <c r="E101" t="n">
        <v>0</v>
      </c>
      <c r="F101" t="n">
        <v>0</v>
      </c>
      <c r="H101" t="n">
        <v>0</v>
      </c>
      <c r="I101" t="n">
        <v>0</v>
      </c>
      <c r="J101" t="n">
        <v>0</v>
      </c>
      <c r="K101" t="n">
        <v>0</v>
      </c>
      <c r="L101" t="n">
        <v>0</v>
      </c>
      <c r="M101" t="n">
        <v>0</v>
      </c>
      <c r="N101" t="n">
        <v>0</v>
      </c>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c r="H102" t="n">
        <v>0</v>
      </c>
      <c r="I102" t="n">
        <v>0</v>
      </c>
      <c r="J102" t="n">
        <v>0</v>
      </c>
      <c r="K102" t="n">
        <v>0</v>
      </c>
      <c r="L102" t="n">
        <v>0</v>
      </c>
      <c r="M102" t="n">
        <v>0</v>
      </c>
      <c r="N102" t="n">
        <v>0</v>
      </c>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c r="H103" t="n">
        <v>0</v>
      </c>
      <c r="I103" t="n">
        <v>0</v>
      </c>
      <c r="J103" t="n">
        <v>0</v>
      </c>
      <c r="K103" t="n">
        <v>0</v>
      </c>
      <c r="L103" t="n">
        <v>0</v>
      </c>
      <c r="M103" t="n">
        <v>0</v>
      </c>
      <c r="N103" t="n">
        <v>0</v>
      </c>
    </row>
    <row r="104">
      <c r="A104" t="inlineStr">
        <is>
          <t>stock</t>
        </is>
      </c>
      <c r="B104" t="inlineStr">
        <is>
          <t>all this was handed over to the aforesaid farmer, to be restored at the end of his farm as before.</t>
        </is>
      </c>
      <c r="C104" t="n">
        <v>0</v>
      </c>
      <c r="D104" t="n">
        <v>0</v>
      </c>
      <c r="E104" t="n">
        <v>0</v>
      </c>
      <c r="F104" t="n">
        <v>0</v>
      </c>
      <c r="H104" t="n">
        <v>0</v>
      </c>
      <c r="I104" t="n">
        <v>0</v>
      </c>
      <c r="J104" t="n">
        <v>0</v>
      </c>
      <c r="K104" t="n">
        <v>0</v>
      </c>
      <c r="L104" t="n">
        <v>0</v>
      </c>
      <c r="M104" t="n">
        <v>0</v>
      </c>
      <c r="N10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Barley</t>
        </is>
      </c>
      <c r="B2" t="inlineStr">
        <is>
          <t>Total</t>
        </is>
      </c>
      <c r="C2" t="n">
        <v>0</v>
      </c>
      <c r="D2" t="n">
        <v>0</v>
      </c>
    </row>
    <row r="3">
      <c r="A3" t="inlineStr">
        <is>
          <t>Stock</t>
        </is>
      </c>
      <c r="B3" t="inlineStr">
        <is>
          <t>Plough-horses: 2 remain.</t>
        </is>
      </c>
      <c r="C3" t="n">
        <v>0</v>
      </c>
      <c r="D3" t="n">
        <v>0</v>
      </c>
      <c r="E3" t="inlineStr">
        <is>
          <t>Plough-horses</t>
        </is>
      </c>
      <c r="F3" t="inlineStr">
        <is>
          <t>2</t>
        </is>
      </c>
    </row>
    <row r="4">
      <c r="A4" t="inlineStr">
        <is>
          <t>Stock</t>
        </is>
      </c>
      <c r="B4" t="inlineStr">
        <is>
          <t>Total, 2. 2 remain, worth 8 shilling each, in the hands of the said Edmund, to be restored at the end of his farm or the value of the same at the lord's will.</t>
        </is>
      </c>
      <c r="C4" t="n">
        <v>0</v>
      </c>
      <c r="D4" t="n">
        <v>0</v>
      </c>
      <c r="E4" t="inlineStr">
        <is>
          <t>Plough-horses</t>
        </is>
      </c>
    </row>
    <row r="5">
      <c r="A5" t="inlineStr">
        <is>
          <t>Stock</t>
        </is>
      </c>
      <c r="B5" t="inlineStr">
        <is>
          <t>Oxen: 14 remain.</t>
        </is>
      </c>
      <c r="C5" t="n">
        <v>0</v>
      </c>
      <c r="D5" t="n">
        <v>0</v>
      </c>
      <c r="E5" t="inlineStr">
        <is>
          <t>Oxen</t>
        </is>
      </c>
      <c r="F5" t="inlineStr">
        <is>
          <t>14</t>
        </is>
      </c>
    </row>
    <row r="6">
      <c r="A6" t="inlineStr">
        <is>
          <t>Stock</t>
        </is>
      </c>
      <c r="B6" t="inlineStr">
        <is>
          <t>Total, 14. 14 remain, worth 12 shilling each, in the hands of the said Edmund, to be restored at the end of his farm or the value of the same at the lord's will..</t>
        </is>
      </c>
      <c r="C6" t="n">
        <v>0</v>
      </c>
      <c r="D6" t="n">
        <v>0</v>
      </c>
      <c r="E6" t="inlineStr">
        <is>
          <t>Oxen</t>
        </is>
      </c>
    </row>
    <row r="7">
      <c r="A7" t="inlineStr">
        <is>
          <t>Stock</t>
        </is>
      </c>
      <c r="B7" t="inlineStr">
        <is>
          <t>Wethers: 234 remain.</t>
        </is>
      </c>
      <c r="C7" t="n">
        <v>0</v>
      </c>
      <c r="D7" t="n">
        <v>0</v>
      </c>
      <c r="E7" t="inlineStr">
        <is>
          <t>Wethers</t>
        </is>
      </c>
      <c r="F7" t="inlineStr">
        <is>
          <t>234</t>
        </is>
      </c>
    </row>
    <row r="8">
      <c r="A8" t="inlineStr">
        <is>
          <t>Stock</t>
        </is>
      </c>
      <c r="B8" t="inlineStr">
        <is>
          <t>264 added from hoggs.</t>
        </is>
      </c>
      <c r="C8" t="n">
        <v>0</v>
      </c>
      <c r="D8" t="n">
        <v>0</v>
      </c>
      <c r="E8" t="inlineStr">
        <is>
          <t>Wethers</t>
        </is>
      </c>
    </row>
    <row r="9">
      <c r="A9" t="inlineStr">
        <is>
          <t>Stock</t>
        </is>
      </c>
      <c r="B9" t="inlineStr">
        <is>
          <t>Total, 498. 11 in murrain before shearing.</t>
        </is>
      </c>
      <c r="C9" t="n">
        <v>0</v>
      </c>
      <c r="D9" t="n">
        <v>0</v>
      </c>
      <c r="E9" t="inlineStr">
        <is>
          <t>Wethers</t>
        </is>
      </c>
      <c r="H9" t="inlineStr">
        <is>
          <t>11</t>
        </is>
      </c>
    </row>
    <row r="10">
      <c r="A10" t="inlineStr">
        <is>
          <t>Stock</t>
        </is>
      </c>
      <c r="B10" t="inlineStr">
        <is>
          <t>223 sold to the lord's household at Esher before shearing.</t>
        </is>
      </c>
      <c r="C10" t="n">
        <v>0</v>
      </c>
      <c r="D10" t="n">
        <v>0</v>
      </c>
      <c r="E10" t="inlineStr">
        <is>
          <t>Wethers</t>
        </is>
      </c>
      <c r="I10" t="inlineStr">
        <is>
          <t>223</t>
        </is>
      </c>
    </row>
    <row r="11">
      <c r="A11" t="inlineStr">
        <is>
          <t>Stock</t>
        </is>
      </c>
      <c r="B11" t="inlineStr">
        <is>
          <t>Total, 234. 264 remain.</t>
        </is>
      </c>
      <c r="C11" t="n">
        <v>0</v>
      </c>
      <c r="D11" t="n">
        <v>0</v>
      </c>
      <c r="E11" t="inlineStr">
        <is>
          <t>Wethers</t>
        </is>
      </c>
    </row>
    <row r="12">
      <c r="A12" t="inlineStr">
        <is>
          <t>Stock</t>
        </is>
      </c>
      <c r="B12" t="inlineStr">
        <is>
          <t>Hoggs: 200 bought from the sergeant of Twyford before shearing, 120 of them female.</t>
        </is>
      </c>
      <c r="C12" t="n">
        <v>0</v>
      </c>
      <c r="D12" t="n">
        <v>0</v>
      </c>
      <c r="E12" t="inlineStr">
        <is>
          <t>Hoggs</t>
        </is>
      </c>
      <c r="G12" t="inlineStr">
        <is>
          <t>200</t>
        </is>
      </c>
    </row>
    <row r="13">
      <c r="A13" t="inlineStr">
        <is>
          <t>Stock</t>
        </is>
      </c>
      <c r="B13" t="inlineStr">
        <is>
          <t>100 bought from the reeve of Crawley before shearing, 80 of them female.</t>
        </is>
      </c>
      <c r="C13" t="n">
        <v>0</v>
      </c>
      <c r="D13" t="n">
        <v>0</v>
      </c>
      <c r="E13" t="inlineStr">
        <is>
          <t>Hoggs</t>
        </is>
      </c>
      <c r="G13" t="inlineStr">
        <is>
          <t>100</t>
        </is>
      </c>
    </row>
    <row r="14">
      <c r="A14" t="inlineStr">
        <is>
          <t>Stock</t>
        </is>
      </c>
      <c r="B14" t="inlineStr">
        <is>
          <t>Total, 300. 12 in murrain before shearing, 24 after shearing.</t>
        </is>
      </c>
      <c r="C14" t="n">
        <v>0</v>
      </c>
      <c r="D14" t="n">
        <v>0</v>
      </c>
      <c r="E14" t="inlineStr">
        <is>
          <t>Hoggs</t>
        </is>
      </c>
      <c r="H14" t="inlineStr">
        <is>
          <t>12</t>
        </is>
      </c>
    </row>
    <row r="15">
      <c r="A15" t="inlineStr">
        <is>
          <t>Stock</t>
        </is>
      </c>
      <c r="B15" t="inlineStr">
        <is>
          <t>264 added above to wethers.</t>
        </is>
      </c>
      <c r="C15" t="n">
        <v>0</v>
      </c>
      <c r="D15" t="n">
        <v>0</v>
      </c>
      <c r="E15" t="inlineStr">
        <is>
          <t>Hoggs</t>
        </is>
      </c>
    </row>
    <row r="16">
      <c r="A16" t="inlineStr">
        <is>
          <t>Stock</t>
        </is>
      </c>
      <c r="B16" t="inlineStr">
        <is>
          <t>Total as before.</t>
        </is>
      </c>
      <c r="C16" t="n">
        <v>0</v>
      </c>
      <c r="D16" t="n">
        <v>0</v>
      </c>
      <c r="E16" t="inlineStr">
        <is>
          <t>Hoggs</t>
        </is>
      </c>
    </row>
    <row r="17">
      <c r="A17" t="inlineStr">
        <is>
          <t>Stock</t>
        </is>
      </c>
      <c r="B17" t="inlineStr">
        <is>
          <t>None remain.</t>
        </is>
      </c>
      <c r="C17" t="n">
        <v>0</v>
      </c>
      <c r="D17" t="n">
        <v>0</v>
      </c>
      <c r="E17" t="inlineStr">
        <is>
          <t>Hoggs</t>
        </is>
      </c>
    </row>
    <row r="18">
      <c r="A18" t="inlineStr">
        <is>
          <t>Stock</t>
        </is>
      </c>
      <c r="B18" t="inlineStr">
        <is>
          <t>Coarse wool: 288 fleeces from hoggs produced at the shearing this year.</t>
        </is>
      </c>
      <c r="C18" t="n">
        <v>0</v>
      </c>
      <c r="D18" t="n">
        <v>0</v>
      </c>
      <c r="E18" t="inlineStr">
        <is>
          <t>Coarse wool</t>
        </is>
      </c>
    </row>
    <row r="19">
      <c r="A19" t="inlineStr">
        <is>
          <t>Stock</t>
        </is>
      </c>
      <c r="B19" t="inlineStr">
        <is>
          <t>Total, 288. 29 in tithe.</t>
        </is>
      </c>
      <c r="C19" t="n">
        <v>0</v>
      </c>
      <c r="D19" t="n">
        <v>0</v>
      </c>
      <c r="E19" t="inlineStr">
        <is>
          <t>Coarse wool</t>
        </is>
      </c>
    </row>
    <row r="20">
      <c r="A20" t="inlineStr">
        <is>
          <t>Stock</t>
        </is>
      </c>
      <c r="B20" t="inlineStr">
        <is>
          <t>1 in agreement with the shepherd.</t>
        </is>
      </c>
      <c r="C20" t="n">
        <v>0</v>
      </c>
      <c r="D20" t="n">
        <v>0</v>
      </c>
      <c r="E20" t="inlineStr">
        <is>
          <t>Coarse wool</t>
        </is>
      </c>
    </row>
    <row r="21">
      <c r="A21" t="inlineStr">
        <is>
          <t>Stock</t>
        </is>
      </c>
      <c r="B21" t="inlineStr">
        <is>
          <t>258 delivered to Wargrave, weighing 36 cloves.</t>
        </is>
      </c>
      <c r="C21" t="n">
        <v>0</v>
      </c>
      <c r="D21" t="n">
        <v>0</v>
      </c>
      <c r="E21" t="inlineStr">
        <is>
          <t>Coarse wool</t>
        </is>
      </c>
    </row>
    <row r="22">
      <c r="A22" t="inlineStr">
        <is>
          <t>Stock</t>
        </is>
      </c>
      <c r="B22" t="inlineStr">
        <is>
          <t>Total as before.</t>
        </is>
      </c>
      <c r="C22" t="n">
        <v>0</v>
      </c>
      <c r="D22" t="n">
        <v>0</v>
      </c>
      <c r="E22" t="inlineStr">
        <is>
          <t>Coarse wool</t>
        </is>
      </c>
    </row>
    <row r="23">
      <c r="A23" t="inlineStr">
        <is>
          <t>Stock</t>
        </is>
      </c>
      <c r="B23" t="inlineStr">
        <is>
          <t>It balances.</t>
        </is>
      </c>
      <c r="C23" t="n">
        <v>0</v>
      </c>
      <c r="D23" t="n">
        <v>0</v>
      </c>
      <c r="E23" t="inlineStr">
        <is>
          <t>Coarse wool</t>
        </is>
      </c>
    </row>
    <row r="24">
      <c r="A24" t="inlineStr">
        <is>
          <t>Stock</t>
        </is>
      </c>
      <c r="B24" t="inlineStr">
        <is>
          <t>Wool locks: Nothing from wool locks here because entangled with the fleeces.</t>
        </is>
      </c>
      <c r="C24" t="n">
        <v>0</v>
      </c>
      <c r="D24" t="n">
        <v>0</v>
      </c>
      <c r="E24" t="inlineStr">
        <is>
          <t>Wool locks</t>
        </is>
      </c>
    </row>
    <row r="25">
      <c r="A25" t="inlineStr">
        <is>
          <t>Stock</t>
        </is>
      </c>
      <c r="B25" t="inlineStr">
        <is>
          <t>Woolskins: 11 from wethers and 12 from hoggs in murrain before shearing.</t>
        </is>
      </c>
      <c r="C25" t="n">
        <v>0</v>
      </c>
      <c r="D25" t="n">
        <v>0</v>
      </c>
      <c r="E25" t="inlineStr">
        <is>
          <t>Woolskins</t>
        </is>
      </c>
      <c r="H25" t="inlineStr">
        <is>
          <t>11</t>
        </is>
      </c>
    </row>
    <row r="26">
      <c r="A26" t="inlineStr">
        <is>
          <t>Stock</t>
        </is>
      </c>
      <c r="B26" t="inlineStr">
        <is>
          <t>Total, 23. 2 in tithe.</t>
        </is>
      </c>
      <c r="C26" t="n">
        <v>0</v>
      </c>
      <c r="D26" t="n">
        <v>0</v>
      </c>
      <c r="E26" t="inlineStr">
        <is>
          <t>Woolskins</t>
        </is>
      </c>
    </row>
    <row r="27">
      <c r="A27" t="inlineStr">
        <is>
          <t>Stock</t>
        </is>
      </c>
      <c r="B27" t="inlineStr">
        <is>
          <t>21 sold within.</t>
        </is>
      </c>
      <c r="C27" t="n">
        <v>0</v>
      </c>
      <c r="D27" t="n">
        <v>0</v>
      </c>
      <c r="E27" t="inlineStr">
        <is>
          <t>Woolskins</t>
        </is>
      </c>
      <c r="I27" t="inlineStr">
        <is>
          <t>21</t>
        </is>
      </c>
    </row>
    <row r="28">
      <c r="A28" t="inlineStr">
        <is>
          <t>Stock</t>
        </is>
      </c>
      <c r="B28" t="inlineStr">
        <is>
          <t>Total as before.</t>
        </is>
      </c>
      <c r="C28" t="n">
        <v>0</v>
      </c>
      <c r="D28" t="n">
        <v>0</v>
      </c>
      <c r="E28" t="inlineStr">
        <is>
          <t>Woolskins</t>
        </is>
      </c>
    </row>
    <row r="29">
      <c r="A29" t="inlineStr">
        <is>
          <t>Stock</t>
        </is>
      </c>
      <c r="B29" t="inlineStr">
        <is>
          <t>It balances.</t>
        </is>
      </c>
      <c r="C29" t="n">
        <v>0</v>
      </c>
      <c r="D29" t="n">
        <v>0</v>
      </c>
      <c r="E29" t="inlineStr">
        <is>
          <t>Woolskins</t>
        </is>
      </c>
    </row>
    <row r="30">
      <c r="A30" t="inlineStr">
        <is>
          <t>Stock</t>
        </is>
      </c>
      <c r="B30" t="inlineStr">
        <is>
          <t>Bare skins: 24 from hoggs in murrain after shearing.</t>
        </is>
      </c>
      <c r="C30" t="n">
        <v>0</v>
      </c>
      <c r="D30" t="n">
        <v>0</v>
      </c>
      <c r="E30" t="inlineStr">
        <is>
          <t>Bareskins</t>
        </is>
      </c>
      <c r="H30" t="inlineStr">
        <is>
          <t>24</t>
        </is>
      </c>
    </row>
    <row r="31">
      <c r="A31" t="inlineStr">
        <is>
          <t>Stock</t>
        </is>
      </c>
      <c r="B31" t="inlineStr">
        <is>
          <t>Total, 24. Sold within.</t>
        </is>
      </c>
      <c r="C31" t="n">
        <v>0</v>
      </c>
      <c r="D31" t="n">
        <v>0</v>
      </c>
      <c r="E31" t="inlineStr">
        <is>
          <t>Bareskins</t>
        </is>
      </c>
    </row>
    <row r="32">
      <c r="A32" t="inlineStr">
        <is>
          <t>Stock</t>
        </is>
      </c>
      <c r="B32" t="inlineStr">
        <is>
          <t>none remain.</t>
        </is>
      </c>
      <c r="C32" t="n">
        <v>0</v>
      </c>
      <c r="D32" t="n">
        <v>0</v>
      </c>
      <c r="E32" t="inlineStr">
        <is>
          <t>Bareskins</t>
        </is>
      </c>
    </row>
    <row r="33">
      <c r="A33" t="inlineStr">
        <is>
          <t>Stock</t>
        </is>
      </c>
      <c r="B33" t="inlineStr">
        <is>
          <t>Utensils: 2 ploughs with 2 coulters, 2 ploughshares and 10 yokes, and 3 harrows with iron teeth remain.</t>
        </is>
      </c>
      <c r="C33" t="n">
        <v>0</v>
      </c>
      <c r="D33" t="n">
        <v>0</v>
      </c>
      <c r="E33" t="inlineStr">
        <is>
          <t>Utensils</t>
        </is>
      </c>
      <c r="F33" t="inlineStr">
        <is>
          <t>3</t>
        </is>
      </c>
    </row>
    <row r="34">
      <c r="A34" t="inlineStr">
        <is>
          <t>Stock</t>
        </is>
      </c>
      <c r="B34" t="inlineStr">
        <is>
          <t>1 cart with unshod wheels with a frame and cart-rail and tumbrel, 2 collars, 1 pair of traces, 1 cart-saddle with saddle-pads, 1 cart-rope and 1 thill hame remain.</t>
        </is>
      </c>
      <c r="C34" t="n">
        <v>0</v>
      </c>
      <c r="D34" t="n">
        <v>0</v>
      </c>
      <c r="E34" t="inlineStr">
        <is>
          <t>Utensils</t>
        </is>
      </c>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inlineStr">
        <is>
          <t>Utensils</t>
        </is>
      </c>
    </row>
    <row r="36">
      <c r="A36" t="inlineStr">
        <is>
          <t>Stock</t>
        </is>
      </c>
      <c r="B36" t="inlineStr">
        <is>
          <t>All this was handed over to the aforesaid farmer, to be restored at the end of his farm as before.</t>
        </is>
      </c>
      <c r="C36" t="n">
        <v>0</v>
      </c>
      <c r="D36" t="n">
        <v>0</v>
      </c>
      <c r="E36" t="inlineStr">
        <is>
          <t>Utensils</t>
        </is>
      </c>
    </row>
    <row r="37">
      <c r="A37" t="inlineStr">
        <is>
          <t>Stock</t>
        </is>
      </c>
      <c r="B37" t="inlineStr">
        <is>
          <t>Total</t>
        </is>
      </c>
      <c r="C37" t="n">
        <v>0</v>
      </c>
      <c r="D37" t="n">
        <v>0</v>
      </c>
      <c r="E3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edmund hony, fanner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G3" t="n">
        <v>0</v>
      </c>
    </row>
    <row r="4">
      <c r="A4" t="inlineStr">
        <is>
          <t>wheat</t>
        </is>
      </c>
      <c r="B4" t="inlineStr">
        <is>
          <t>total, 12 quarters. 12 quarters remain, sown over 35 acres of land by the perch which lie above weycoke.</t>
        </is>
      </c>
      <c r="C4" t="n">
        <v>0</v>
      </c>
      <c r="D4" t="n">
        <v>0</v>
      </c>
      <c r="E4" t="n">
        <v>24</v>
      </c>
      <c r="F4" t="n">
        <v>0</v>
      </c>
      <c r="G4" t="n">
        <v>24</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n">
        <v>12</v>
      </c>
      <c r="AF4" t="n">
        <v>0</v>
      </c>
      <c r="AG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mancorn</t>
        </is>
      </c>
      <c r="B7" t="inlineStr">
        <is>
          <t>and for 6 quarters 4 bushels of mancorn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G7" t="n">
        <v>0</v>
      </c>
    </row>
    <row r="8">
      <c r="A8" t="inlineStr">
        <is>
          <t>mancorn</t>
        </is>
      </c>
      <c r="B8" t="inlineStr">
        <is>
          <t>total, 6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6.5</v>
      </c>
      <c r="AB8" t="n">
        <v>0</v>
      </c>
      <c r="AC8" t="n">
        <v>6</v>
      </c>
      <c r="AD8" t="n">
        <v>4</v>
      </c>
      <c r="AG8" t="n">
        <v>0</v>
      </c>
    </row>
    <row r="9">
      <c r="A9" t="inlineStr">
        <is>
          <t>mancorn</t>
        </is>
      </c>
      <c r="B9" t="inlineStr">
        <is>
          <t>6 quarters 4 bushels remain, sown over 17.5 acres of land by the perch which lie above weycoke.</t>
        </is>
      </c>
      <c r="C9" t="n">
        <v>0</v>
      </c>
      <c r="D9" t="n">
        <v>0</v>
      </c>
      <c r="E9" t="n">
        <v>6</v>
      </c>
      <c r="F9" t="n">
        <v>4</v>
      </c>
      <c r="G9" t="n">
        <v>6.5</v>
      </c>
      <c r="H9" t="n">
        <v>0</v>
      </c>
      <c r="I9" t="n">
        <v>0</v>
      </c>
      <c r="J9" t="n">
        <v>0</v>
      </c>
      <c r="K9" t="n">
        <v>0</v>
      </c>
      <c r="L9" t="n">
        <v>0</v>
      </c>
      <c r="M9" t="n">
        <v>0</v>
      </c>
      <c r="N9" t="n">
        <v>0</v>
      </c>
      <c r="O9" t="n">
        <v>0</v>
      </c>
      <c r="P9" t="n">
        <v>0</v>
      </c>
      <c r="Q9" t="n">
        <v>0</v>
      </c>
      <c r="R9" t="n">
        <v>0</v>
      </c>
      <c r="S9" t="n">
        <v>0</v>
      </c>
      <c r="T9" t="n">
        <v>0</v>
      </c>
      <c r="U9" t="n">
        <v>0</v>
      </c>
      <c r="V9" t="n">
        <v>0</v>
      </c>
      <c r="W9" t="n">
        <v>0</v>
      </c>
      <c r="X9" t="n">
        <v>6</v>
      </c>
      <c r="Y9" t="n">
        <v>4</v>
      </c>
      <c r="Z9" t="n">
        <v>6.5</v>
      </c>
      <c r="AA9" t="n">
        <v>6.5</v>
      </c>
      <c r="AB9" t="n">
        <v>0</v>
      </c>
      <c r="AC9" t="n">
        <v>6</v>
      </c>
      <c r="AD9" t="n">
        <v>4</v>
      </c>
      <c r="AG9" t="n">
        <v>0</v>
      </c>
    </row>
    <row r="10">
      <c r="A10" t="inlineStr">
        <is>
          <t>mancorn</t>
        </is>
      </c>
      <c r="B10" t="inlineStr">
        <is>
          <t>that is, 3 bushels an acre, in the hands of the said edmund, farmer there, to be restored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G10" t="n">
        <v>0</v>
      </c>
    </row>
    <row r="11">
      <c r="A11" t="inlineStr">
        <is>
          <t>mancorn</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barley</t>
        </is>
      </c>
      <c r="B12" t="inlineStr">
        <is>
          <t>and for 10 quarters of barley remaining..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10</v>
      </c>
      <c r="Y12" t="n">
        <v>0</v>
      </c>
      <c r="Z12" t="n">
        <v>10</v>
      </c>
      <c r="AA12" t="n">
        <v>10</v>
      </c>
      <c r="AB12" t="n">
        <v>0</v>
      </c>
      <c r="AC12" t="n">
        <v>10</v>
      </c>
      <c r="AD12" t="n">
        <v>0</v>
      </c>
      <c r="AG12" t="n">
        <v>0</v>
      </c>
    </row>
    <row r="13">
      <c r="A13" t="inlineStr">
        <is>
          <t>barley</t>
        </is>
      </c>
      <c r="B13" t="inlineStr">
        <is>
          <t>total, 10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10</v>
      </c>
      <c r="Y13" t="n">
        <v>0</v>
      </c>
      <c r="Z13" t="n">
        <v>10</v>
      </c>
      <c r="AA13" t="n">
        <v>10</v>
      </c>
      <c r="AB13" t="n">
        <v>0</v>
      </c>
      <c r="AC13" t="n">
        <v>10</v>
      </c>
      <c r="AD13" t="n">
        <v>0</v>
      </c>
      <c r="AG13" t="n">
        <v>0</v>
      </c>
    </row>
    <row r="14">
      <c r="A14" t="inlineStr">
        <is>
          <t>barley</t>
        </is>
      </c>
      <c r="B14" t="inlineStr">
        <is>
          <t>10 quarters remain, sown over 20 acres of land by the perch which lie in le leygh' and bromcroft'.</t>
        </is>
      </c>
      <c r="C14" t="n">
        <v>0</v>
      </c>
      <c r="D14" t="n">
        <v>0</v>
      </c>
      <c r="E14" t="n">
        <v>10</v>
      </c>
      <c r="F14" t="n">
        <v>0</v>
      </c>
      <c r="G14" t="n">
        <v>10</v>
      </c>
      <c r="H14" t="n">
        <v>0</v>
      </c>
      <c r="I14" t="n">
        <v>0</v>
      </c>
      <c r="J14" t="n">
        <v>0</v>
      </c>
      <c r="K14" t="n">
        <v>0</v>
      </c>
      <c r="L14" t="n">
        <v>0</v>
      </c>
      <c r="M14" t="n">
        <v>0</v>
      </c>
      <c r="N14" t="n">
        <v>0</v>
      </c>
      <c r="O14" t="n">
        <v>0</v>
      </c>
      <c r="P14" t="n">
        <v>0</v>
      </c>
      <c r="Q14" t="n">
        <v>0</v>
      </c>
      <c r="R14" t="n">
        <v>0</v>
      </c>
      <c r="S14" t="n">
        <v>0</v>
      </c>
      <c r="T14" t="n">
        <v>0</v>
      </c>
      <c r="U14" t="n">
        <v>0</v>
      </c>
      <c r="V14" t="n">
        <v>0</v>
      </c>
      <c r="W14" t="n">
        <v>0</v>
      </c>
      <c r="X14" t="n">
        <v>10</v>
      </c>
      <c r="Y14" t="n">
        <v>0</v>
      </c>
      <c r="Z14" t="n">
        <v>10</v>
      </c>
      <c r="AA14" t="n">
        <v>10</v>
      </c>
      <c r="AB14" t="n">
        <v>0</v>
      </c>
      <c r="AC14" t="n">
        <v>10</v>
      </c>
      <c r="AD14" t="n">
        <v>0</v>
      </c>
      <c r="AG14" t="n">
        <v>0</v>
      </c>
    </row>
    <row r="15">
      <c r="A15" t="inlineStr">
        <is>
          <t>barley</t>
        </is>
      </c>
      <c r="B15" t="inlineStr">
        <is>
          <t>that is, 4 bushels an acre, in the hands of the said edmund, farmer there, to be restored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4</v>
      </c>
      <c r="Z15" t="n">
        <v>0.5</v>
      </c>
      <c r="AA15" t="n">
        <v>0.5</v>
      </c>
      <c r="AB15" t="n">
        <v>0</v>
      </c>
      <c r="AC15" t="n">
        <v>0</v>
      </c>
      <c r="AD15" t="n">
        <v>4</v>
      </c>
      <c r="AG1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First-grade malt</t>
        </is>
      </c>
      <c r="B7" t="n">
        <v>0</v>
      </c>
      <c r="C7" t="n">
        <v>0</v>
      </c>
      <c r="D7" t="n">
        <v>0</v>
      </c>
      <c r="E7" t="n">
        <v>0</v>
      </c>
      <c r="F7" t="n">
        <v>0</v>
      </c>
      <c r="G7" t="n">
        <v>0</v>
      </c>
      <c r="H7" t="n">
        <v>0</v>
      </c>
      <c r="I7" t="n">
        <v>0</v>
      </c>
      <c r="J7" t="n">
        <v>0</v>
      </c>
      <c r="K7" t="n">
        <v>0</v>
      </c>
      <c r="L7" t="n">
        <v>0</v>
      </c>
      <c r="M7" t="n">
        <v>0</v>
      </c>
    </row>
    <row r="8">
      <c r="A8" t="inlineStr">
        <is>
          <t>Second-grade malt</t>
        </is>
      </c>
      <c r="B8" t="n">
        <v>0</v>
      </c>
      <c r="C8" t="n">
        <v>0</v>
      </c>
      <c r="D8" t="n">
        <v>0</v>
      </c>
      <c r="E8" t="n">
        <v>0</v>
      </c>
      <c r="F8" t="n">
        <v>0</v>
      </c>
      <c r="G8" t="n">
        <v>0</v>
      </c>
      <c r="H8" t="n">
        <v>0</v>
      </c>
      <c r="I8" t="n">
        <v>0</v>
      </c>
      <c r="J8" t="n">
        <v>0</v>
      </c>
      <c r="K8" t="n">
        <v>0</v>
      </c>
      <c r="L8" t="n">
        <v>0</v>
      </c>
      <c r="M8" t="n">
        <v>0</v>
      </c>
    </row>
    <row r="9">
      <c r="A9" t="inlineStr">
        <is>
          <t>Peas</t>
        </is>
      </c>
      <c r="B9" t="n">
        <v>0</v>
      </c>
      <c r="C9" t="n">
        <v>0</v>
      </c>
      <c r="D9" t="n">
        <v>0</v>
      </c>
      <c r="E9" t="n">
        <v>0</v>
      </c>
      <c r="F9" t="n">
        <v>0</v>
      </c>
      <c r="G9" t="n">
        <v>0</v>
      </c>
      <c r="H9" t="n">
        <v>0</v>
      </c>
      <c r="I9" t="n">
        <v>0</v>
      </c>
      <c r="J9" t="n">
        <v>0</v>
      </c>
      <c r="K9" t="n">
        <v>0</v>
      </c>
      <c r="L9" t="n">
        <v>0</v>
      </c>
      <c r="M9" t="n">
        <v>0</v>
      </c>
    </row>
    <row r="10">
      <c r="A10" t="inlineStr">
        <is>
          <t>Oats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2026-02-04T20:29:39Z</dcterms:modified>
  <cp:lastModifiedBy>Kowalski, Kuba</cp:lastModifiedBy>
</cp:coreProperties>
</file>
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CRAWLEY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0.93</v>
      </c>
      <c r="D4" s="13" t="n"/>
      <c r="E4" s="13" t="n"/>
    </row>
    <row r="5">
      <c r="A5" s="15" t="inlineStr">
        <is>
          <t>Rents of assize total</t>
        </is>
      </c>
      <c r="B5" s="76" t="n">
        <v>15.1</v>
      </c>
    </row>
    <row r="6">
      <c r="A6" s="15" t="inlineStr">
        <is>
          <t>Quittances total</t>
        </is>
      </c>
      <c r="B6" s="76" t="n"/>
    </row>
    <row r="7">
      <c r="A7" s="15" t="inlineStr">
        <is>
          <t>Defaults of rent total</t>
        </is>
      </c>
      <c r="B7" s="76" t="n">
        <v>1</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3.25</v>
      </c>
    </row>
    <row r="12">
      <c r="A12" s="76" t="inlineStr">
        <is>
          <t>Total of rents remaining clear total</t>
        </is>
      </c>
      <c r="B12" s="76" t="n">
        <v>11.85</v>
      </c>
    </row>
    <row r="13">
      <c r="A13" s="76" t="inlineStr">
        <is>
          <t>Farms total</t>
        </is>
      </c>
      <c r="B13" s="76" t="n"/>
    </row>
    <row r="14">
      <c r="A14" s="15" t="inlineStr">
        <is>
          <t>Annual recognizances total</t>
        </is>
      </c>
      <c r="B14" s="76" t="n"/>
    </row>
    <row r="15">
      <c r="A15" s="15" t="inlineStr">
        <is>
          <t>Issues of the Manor total</t>
        </is>
      </c>
      <c r="B15" s="76" t="n">
        <v>7.21</v>
      </c>
    </row>
    <row r="16">
      <c r="A16" s="76" t="inlineStr">
        <is>
          <t>Issues of the tenements in the lord's hands total</t>
        </is>
      </c>
      <c r="B16" s="76" t="n"/>
    </row>
    <row r="17">
      <c r="A17" s="76" t="inlineStr">
        <is>
          <t>Sale of labour services total</t>
        </is>
      </c>
      <c r="B17" s="76" t="n"/>
    </row>
    <row r="18">
      <c r="A18" s="15" t="inlineStr">
        <is>
          <t>Sale of corn total</t>
        </is>
      </c>
      <c r="B18" s="76" t="n">
        <v>33.2</v>
      </c>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'Receipts'!F89</f>
        <v/>
      </c>
      <c r="C25" s="10">
        <f>B23-B25</f>
        <v/>
      </c>
    </row>
    <row r="26">
      <c r="A26" s="83" t="inlineStr">
        <is>
          <t>Total recorded in the accounts incl. arrears</t>
        </is>
      </c>
      <c r="B26">
        <f>'Receipts'!F90</f>
        <v/>
      </c>
      <c r="D26" s="13" t="n"/>
      <c r="E26" s="13" t="n"/>
    </row>
    <row r="27">
      <c r="A27" s="15" t="n"/>
    </row>
    <row r="28">
      <c r="A28" s="15" t="n"/>
    </row>
    <row r="29">
      <c r="A29" s="16" t="inlineStr">
        <is>
          <t>EXPENSES</t>
        </is>
      </c>
    </row>
    <row r="30">
      <c r="A30" s="15" t="inlineStr">
        <is>
          <t>Cost of ploughs total</t>
        </is>
      </c>
      <c r="B30" t="n">
        <v>2.03</v>
      </c>
    </row>
    <row r="31">
      <c r="A31" s="15" t="inlineStr">
        <is>
          <t>Purchase of corn total</t>
        </is>
      </c>
    </row>
    <row r="32">
      <c r="A32" s="15" t="inlineStr">
        <is>
          <t>Cost of carts and wagons total</t>
        </is>
      </c>
      <c r="B32" t="n">
        <v>0.89</v>
      </c>
    </row>
    <row r="33">
      <c r="A33" s="15" t="inlineStr">
        <is>
          <t>Cost of dairy total</t>
        </is>
      </c>
    </row>
    <row r="34">
      <c r="A34" s="15" t="inlineStr">
        <is>
          <t>Purchase of stock total</t>
        </is>
      </c>
      <c r="B34" t="n">
        <v>5.06</v>
      </c>
    </row>
    <row r="35">
      <c r="A35" s="15" t="inlineStr">
        <is>
          <t>Sheepcote total</t>
        </is>
      </c>
    </row>
    <row r="36">
      <c r="A36" s="15" t="inlineStr">
        <is>
          <t>Cost of buildings total</t>
        </is>
      </c>
      <c r="B36" s="84" t="n"/>
    </row>
    <row r="37">
      <c r="A37" s="15" t="inlineStr">
        <is>
          <t>Threshing total</t>
        </is>
      </c>
      <c r="B37" t="n">
        <v>1.21</v>
      </c>
    </row>
    <row r="38">
      <c r="A38" s="15" t="inlineStr">
        <is>
          <t>Barley expenses</t>
        </is>
      </c>
    </row>
    <row r="39">
      <c r="A39" s="15" t="inlineStr">
        <is>
          <t>Expenses of the harvest total</t>
        </is>
      </c>
      <c r="B39" t="n">
        <v>6</v>
      </c>
    </row>
    <row r="40">
      <c r="A40" s="15" t="inlineStr">
        <is>
          <t>Necessary expenses</t>
        </is>
      </c>
    </row>
    <row r="41">
      <c r="A41" s="15" t="inlineStr">
        <is>
          <t>Wages of the bailiff</t>
        </is>
      </c>
      <c r="B41" s="84" t="n"/>
    </row>
    <row r="42">
      <c r="A42" s="15" t="inlineStr">
        <is>
          <t>Steward's expenses total</t>
        </is>
      </c>
      <c r="B42" s="84" t="n">
        <v>0.37</v>
      </c>
    </row>
    <row r="43">
      <c r="A43" s="85" t="inlineStr">
        <is>
          <t>Annual fees</t>
        </is>
      </c>
      <c r="B43" s="86" t="n"/>
      <c r="C43" s="87" t="n"/>
      <c r="D43" s="88" t="n"/>
    </row>
    <row r="44">
      <c r="A44" s="82" t="inlineStr">
        <is>
          <t>Total of all expenses per account</t>
        </is>
      </c>
      <c r="B44" s="84">
        <f>'Expenses'!F84</f>
        <v/>
      </c>
    </row>
    <row r="45">
      <c r="A45" s="82" t="inlineStr">
        <is>
          <t>Total of all expenses (calculated here)</t>
        </is>
      </c>
      <c r="B45" s="84">
        <f>'Expenses'!F85</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50.39</v>
      </c>
    </row>
    <row r="51">
      <c r="A51" s="15" t="n"/>
    </row>
    <row r="52">
      <c r="A52" s="18" t="inlineStr">
        <is>
          <t>Allowances</t>
        </is>
      </c>
      <c r="B52" s="84" t="n"/>
    </row>
    <row r="53">
      <c r="A53" s="18" t="inlineStr">
        <is>
          <t>Cash deliveries</t>
        </is>
      </c>
      <c r="B53" s="84" t="n">
        <v>44.33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33.458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502</v>
      </c>
      <c r="C101" s="76">
        <f>'Stock'!L19</f>
        <v/>
      </c>
      <c r="D101" s="76">
        <f>C101-B101</f>
        <v/>
      </c>
      <c r="F101" s="84">
        <f>'Stock'!L19*'Stock'!O19</f>
        <v/>
      </c>
      <c r="G101" s="84">
        <f>D101*'Stock'!O19</f>
        <v/>
      </c>
    </row>
    <row r="102">
      <c r="A102" s="15" t="inlineStr">
        <is>
          <t>Rams</t>
        </is>
      </c>
      <c r="B102" s="76" t="n">
        <v>11</v>
      </c>
      <c r="C102" s="76">
        <f>'Stock'!L20</f>
        <v/>
      </c>
      <c r="D102" s="76">
        <f>C102-B102</f>
        <v/>
      </c>
      <c r="F102" s="84">
        <f>'Stock'!L20*'Stock'!O20</f>
        <v/>
      </c>
      <c r="G102" s="84">
        <f>D102*'Stock'!O20</f>
        <v/>
      </c>
    </row>
    <row r="103">
      <c r="A103" s="15" t="inlineStr">
        <is>
          <t>Ewes</t>
        </is>
      </c>
      <c r="B103" s="76" t="n">
        <v>385</v>
      </c>
      <c r="C103" s="76">
        <f>'Stock'!L21</f>
        <v/>
      </c>
      <c r="D103" s="76">
        <f>C103-B103</f>
        <v/>
      </c>
      <c r="F103" s="84">
        <f>'Stock'!L21*'Stock'!O21</f>
        <v/>
      </c>
      <c r="G103" s="84">
        <f>D103*'Stock'!O21</f>
        <v/>
      </c>
    </row>
    <row r="104">
      <c r="A104" s="15" t="inlineStr">
        <is>
          <t>Hoggs</t>
        </is>
      </c>
      <c r="B104" s="76" t="n">
        <v>311</v>
      </c>
      <c r="C104" s="76">
        <f>'Stock'!L22</f>
        <v/>
      </c>
      <c r="D104" s="76">
        <f>C104-B104</f>
        <v/>
      </c>
      <c r="F104" s="84">
        <f>'Stock'!L22*'Stock'!O22</f>
        <v/>
      </c>
      <c r="G104" s="84">
        <f>D104*'Stock'!O22</f>
        <v/>
      </c>
    </row>
    <row r="105">
      <c r="A105" s="15" t="inlineStr">
        <is>
          <t>Lambs</t>
        </is>
      </c>
      <c r="B105" s="76" t="n">
        <v>287</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90"/>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CRAWLEY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18</v>
      </c>
      <c r="D3" s="128" t="n">
        <v>6</v>
      </c>
      <c r="E3" s="128" t="n"/>
      <c r="F3" s="128" t="n">
        <v>0.93</v>
      </c>
      <c r="G3" s="128" t="n"/>
      <c r="H3" s="128" t="inlineStr">
        <is>
          <t>The same answers for 18 shilling 6pence of arrears from the last account of the preceding year as made clear in the foot there.</t>
        </is>
      </c>
      <c r="I3" s="128" t="n"/>
    </row>
    <row r="4">
      <c r="A4" s="137" t="inlineStr">
        <is>
          <t>Arrears</t>
        </is>
      </c>
      <c r="B4" s="128" t="n">
        <v>0</v>
      </c>
      <c r="C4" s="128" t="n">
        <v>18</v>
      </c>
      <c r="D4" s="128" t="n">
        <v>6</v>
      </c>
      <c r="E4" s="128" t="n"/>
      <c r="F4" s="128" t="n">
        <v>0.93</v>
      </c>
      <c r="G4" s="128" t="n"/>
      <c r="H4" s="128" t="inlineStr">
        <is>
          <t>Total, 18 shilling 6pence.</t>
        </is>
      </c>
      <c r="I4" s="128" t="n"/>
    </row>
    <row r="5">
      <c r="A5" s="138" t="inlineStr">
        <is>
          <t>Arrears total</t>
        </is>
      </c>
      <c r="B5" s="139" t="n"/>
      <c r="C5" s="139" t="n"/>
      <c r="D5" s="139" t="n"/>
      <c r="E5" s="139" t="n"/>
      <c r="F5" s="139" t="n">
        <v>0.93</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4</v>
      </c>
      <c r="D7" s="128" t="n">
        <v>6</v>
      </c>
      <c r="E7" s="128" t="n"/>
      <c r="F7" s="128" t="n">
        <v>3.23</v>
      </c>
      <c r="G7" s="128" t="n"/>
      <c r="H7" s="128" t="inlineStr">
        <is>
          <t>And for £3 4 shilling 6pence for all rents of assize at Christmas.</t>
        </is>
      </c>
      <c r="I7" s="128" t="n"/>
    </row>
    <row r="8">
      <c r="A8" s="137" t="inlineStr">
        <is>
          <t>Rents of assize</t>
        </is>
      </c>
      <c r="B8" s="128" t="n">
        <v>3</v>
      </c>
      <c r="C8" s="128" t="n">
        <v>7</v>
      </c>
      <c r="D8" s="128" t="n">
        <v>10</v>
      </c>
      <c r="E8" s="128" t="n"/>
      <c r="F8" s="128" t="n">
        <v>3.39</v>
      </c>
      <c r="G8" s="128" t="n"/>
      <c r="H8" s="128" t="inlineStr">
        <is>
          <t>£3 7 shilling 10pence at Easter (23 March).</t>
        </is>
      </c>
      <c r="I8" s="128" t="n"/>
    </row>
    <row r="9">
      <c r="A9" s="137" t="inlineStr">
        <is>
          <t>Rents of assize</t>
        </is>
      </c>
      <c r="B9" s="128" t="n">
        <v>3</v>
      </c>
      <c r="C9" s="128" t="n">
        <v>4</v>
      </c>
      <c r="D9" s="128" t="n">
        <v>6</v>
      </c>
      <c r="E9" s="128" t="n"/>
      <c r="F9" s="128" t="n">
        <v>3.23</v>
      </c>
      <c r="G9" s="128" t="n"/>
      <c r="H9" s="128" t="inlineStr">
        <is>
          <t>£3 4 shilling 6pence at the Nativity of St John the Baptist (24 June).</t>
        </is>
      </c>
      <c r="I9" s="128" t="n"/>
    </row>
    <row r="10">
      <c r="A10" s="137" t="inlineStr">
        <is>
          <t>Rents of assize</t>
        </is>
      </c>
      <c r="B10" s="128" t="n">
        <v>5</v>
      </c>
      <c r="C10" s="128" t="n">
        <v>4</v>
      </c>
      <c r="D10" s="128" t="n">
        <v>1</v>
      </c>
      <c r="E10" s="128" t="n"/>
      <c r="F10" s="128" t="n">
        <v>5.2</v>
      </c>
      <c r="G10" s="128" t="n"/>
      <c r="H10" s="128" t="inlineStr">
        <is>
          <t>£5 4 shilling 1pence at Michaelmas (29 September).</t>
        </is>
      </c>
      <c r="I10" s="128" t="n"/>
    </row>
    <row r="11">
      <c r="A11" s="137" t="inlineStr">
        <is>
          <t>Rents of assize</t>
        </is>
      </c>
      <c r="B11" s="128" t="n">
        <v>0</v>
      </c>
      <c r="C11" s="128" t="n">
        <v>1</v>
      </c>
      <c r="D11" s="128" t="n">
        <v>0</v>
      </c>
      <c r="E11" s="128" t="n"/>
      <c r="F11" s="128" t="n">
        <v>0.05</v>
      </c>
      <c r="G11" s="128" t="n"/>
      <c r="H11" s="128" t="inlineStr">
        <is>
          <t>1 shilling from Simon Membury, parson of the church of Crawley, for the increment of rent for 1 parcel of land of the lord's demesne at Puthulle at the 4 terms.</t>
        </is>
      </c>
      <c r="I11" s="128" t="n"/>
    </row>
    <row r="12">
      <c r="A12" s="137" t="inlineStr">
        <is>
          <t>Rents of assize</t>
        </is>
      </c>
      <c r="B12" s="128" t="n">
        <v>15</v>
      </c>
      <c r="C12" s="128" t="n">
        <v>1</v>
      </c>
      <c r="D12" s="128" t="n">
        <v>11</v>
      </c>
      <c r="E12" s="128" t="n"/>
      <c r="F12" s="128" t="n">
        <v>15.1</v>
      </c>
      <c r="G12" s="128" t="n"/>
      <c r="H12" s="128" t="inlineStr">
        <is>
          <t>Total, £15 1 shilling 11pence.</t>
        </is>
      </c>
      <c r="I12" s="128" t="n"/>
    </row>
    <row r="13">
      <c r="A13" s="138" t="inlineStr">
        <is>
          <t>Rents of assize total</t>
        </is>
      </c>
      <c r="B13" s="139" t="n"/>
      <c r="C13" s="139" t="n"/>
      <c r="D13" s="139" t="n"/>
      <c r="E13" s="139" t="n"/>
      <c r="F13" s="139" t="n">
        <v>15.1</v>
      </c>
      <c r="G13" s="139" t="n">
        <v>0</v>
      </c>
      <c r="H13" s="139" t="inlineStr">
        <is>
          <t>Total</t>
        </is>
      </c>
      <c r="I13" s="139" t="n"/>
    </row>
    <row r="14">
      <c r="A14" s="137" t="n"/>
      <c r="B14" s="128" t="n"/>
      <c r="C14" s="128" t="n"/>
      <c r="D14" s="128" t="n"/>
      <c r="E14" s="128" t="n"/>
      <c r="F14" s="128" t="n"/>
      <c r="G14" s="128" t="n"/>
      <c r="H14" s="128" t="n"/>
      <c r="I14" s="128" t="n"/>
    </row>
    <row r="15">
      <c r="A15" s="136" t="inlineStr">
        <is>
          <t>Defaults of rent</t>
        </is>
      </c>
      <c r="B15" s="128" t="n">
        <v>0</v>
      </c>
      <c r="C15" s="128" t="n">
        <v>2</v>
      </c>
      <c r="D15" s="128" t="n">
        <v>0</v>
      </c>
      <c r="E15" s="128" t="n"/>
      <c r="F15" s="128" t="n">
        <v>0.1</v>
      </c>
      <c r="G15" s="128" t="n"/>
      <c r="H15" s="128" t="inlineStr">
        <is>
          <t>In default of the land of William Stronge drawn into demesne, 2 shilling for the year.</t>
        </is>
      </c>
      <c r="I15" s="128" t="n"/>
    </row>
    <row r="16">
      <c r="A16" s="137" t="inlineStr">
        <is>
          <t>Defaults of rent</t>
        </is>
      </c>
      <c r="B16" s="128" t="n">
        <v>0</v>
      </c>
      <c r="C16" s="128" t="n">
        <v>2</v>
      </c>
      <c r="D16" s="128" t="n">
        <v>8</v>
      </c>
      <c r="E16" s="128" t="n"/>
      <c r="F16" s="128" t="n">
        <v>0.13</v>
      </c>
      <c r="G16" s="128" t="n"/>
      <c r="H16" s="128" t="inlineStr">
        <is>
          <t>the land of William de Cur' for the same 2 shilling 8pence.</t>
        </is>
      </c>
      <c r="I16" s="128" t="n"/>
    </row>
    <row r="17">
      <c r="A17" s="137" t="inlineStr">
        <is>
          <t>Defaults of rent</t>
        </is>
      </c>
      <c r="B17" s="128" t="n">
        <v>0</v>
      </c>
      <c r="C17" s="128" t="n">
        <v>5</v>
      </c>
      <c r="D17" s="128" t="n">
        <v>0</v>
      </c>
      <c r="E17" s="128" t="n"/>
      <c r="F17" s="128" t="n">
        <v>0.25</v>
      </c>
      <c r="G17" s="128" t="n"/>
      <c r="H17" s="128" t="inlineStr">
        <is>
          <t>the land of Allbrook which now remains at Merdon, 5 shilling for the year.</t>
        </is>
      </c>
      <c r="I17" s="128" t="n"/>
    </row>
    <row r="18">
      <c r="A18" s="137" t="inlineStr">
        <is>
          <t>Defaults of rent</t>
        </is>
      </c>
      <c r="B18" s="128" t="n">
        <v>0</v>
      </c>
      <c r="C18" s="128" t="n">
        <v>2</v>
      </c>
      <c r="D18" s="128" t="n">
        <v>8</v>
      </c>
      <c r="E18" s="128" t="n"/>
      <c r="F18" s="128" t="n">
        <v>0.13</v>
      </c>
      <c r="G18" s="128" t="n"/>
      <c r="H18" s="128" t="inlineStr">
        <is>
          <t>the land of Robert de Crouche drawn into demesne, 2 shilling 8pence for the year.</t>
        </is>
      </c>
      <c r="I18" s="128" t="n"/>
    </row>
    <row r="19">
      <c r="A19" s="137" t="inlineStr">
        <is>
          <t>Defaults of rent</t>
        </is>
      </c>
      <c r="B19" s="128" t="n">
        <v>0</v>
      </c>
      <c r="C19" s="128" t="n">
        <v>2</v>
      </c>
      <c r="D19" s="128" t="n">
        <v>8</v>
      </c>
      <c r="E19" s="128" t="n"/>
      <c r="F19" s="128" t="n">
        <v>0.13</v>
      </c>
      <c r="G19" s="128" t="n"/>
      <c r="H19" s="128" t="inlineStr">
        <is>
          <t>the land of Robert Coye for the same 2 shilling 8pence.</t>
        </is>
      </c>
      <c r="I19" s="128" t="n"/>
    </row>
    <row r="20">
      <c r="A20" s="137" t="inlineStr">
        <is>
          <t>Defaults of rent</t>
        </is>
      </c>
      <c r="B20" s="128" t="n">
        <v>0</v>
      </c>
      <c r="C20" s="128" t="n">
        <v>2</v>
      </c>
      <c r="D20" s="128" t="n">
        <v>8</v>
      </c>
      <c r="E20" s="128" t="n"/>
      <c r="F20" s="128" t="n">
        <v>0.13</v>
      </c>
      <c r="G20" s="128" t="n"/>
      <c r="H20" s="128" t="inlineStr">
        <is>
          <t>the land of the swineherd for the same 2 shilling 8pence.</t>
        </is>
      </c>
      <c r="I20" s="128" t="n"/>
    </row>
    <row r="21">
      <c r="A21" s="137" t="inlineStr">
        <is>
          <t>Defaults of rent</t>
        </is>
      </c>
      <c r="B21" s="128" t="n">
        <v>0</v>
      </c>
      <c r="C21" s="128" t="n">
        <v>2</v>
      </c>
      <c r="D21" s="128" t="n">
        <v>8</v>
      </c>
      <c r="E21" s="128" t="n"/>
      <c r="F21" s="128" t="n">
        <v>0.13</v>
      </c>
      <c r="G21" s="128" t="n"/>
      <c r="H21" s="128" t="inlineStr">
        <is>
          <t>the land of the cowherd, 2 shilling 8pence for the year.</t>
        </is>
      </c>
      <c r="I21" s="128" t="n"/>
    </row>
    <row r="22">
      <c r="A22" s="137" t="inlineStr">
        <is>
          <t>Defaults of rent</t>
        </is>
      </c>
      <c r="B22" s="128" t="n">
        <v>1</v>
      </c>
      <c r="C22" s="128" t="n">
        <v>0</v>
      </c>
      <c r="D22" s="128" t="n">
        <v>4</v>
      </c>
      <c r="E22" s="128" t="n"/>
      <c r="F22" s="128" t="n">
        <v>1.02</v>
      </c>
      <c r="G22" s="128" t="n"/>
      <c r="H22" s="128" t="inlineStr">
        <is>
          <t>Total, £1 4pence.</t>
        </is>
      </c>
      <c r="I22" s="128" t="n"/>
    </row>
    <row r="23">
      <c r="A23" s="138" t="inlineStr">
        <is>
          <t>Defaults of rent total</t>
        </is>
      </c>
      <c r="B23" s="139" t="n"/>
      <c r="C23" s="139" t="n"/>
      <c r="D23" s="139" t="n"/>
      <c r="E23" s="139" t="n"/>
      <c r="F23" s="139" t="n">
        <v>1</v>
      </c>
      <c r="G23" s="139" t="n">
        <v>-0.02</v>
      </c>
      <c r="H23" s="139" t="inlineStr">
        <is>
          <t>Total</t>
        </is>
      </c>
      <c r="I23" s="139" t="n"/>
    </row>
    <row r="24">
      <c r="A24" s="137" t="n"/>
      <c r="B24" s="128" t="n"/>
      <c r="C24" s="128" t="n"/>
      <c r="D24" s="128" t="n"/>
      <c r="E24" s="128" t="n"/>
      <c r="F24" s="128" t="n"/>
      <c r="G24" s="128" t="n"/>
      <c r="H24" s="128" t="n"/>
      <c r="I24" s="128" t="n"/>
    </row>
    <row r="25">
      <c r="A25" s="136" t="inlineStr">
        <is>
          <t>Total of quittances and defaults of rent</t>
        </is>
      </c>
      <c r="B25" s="128" t="n">
        <v>3</v>
      </c>
      <c r="C25" s="128" t="n">
        <v>5</v>
      </c>
      <c r="D25" s="128" t="n">
        <v>0</v>
      </c>
      <c r="E25" s="128" t="n"/>
      <c r="F25" s="128" t="n">
        <v>3.25</v>
      </c>
      <c r="G25" s="128" t="n"/>
      <c r="H25" s="128" t="inlineStr">
        <is>
          <t>Total of quittances and defaults of rent, £3 5 shilling.</t>
        </is>
      </c>
      <c r="I25" s="128" t="n"/>
    </row>
    <row r="26">
      <c r="A26" s="138" t="inlineStr">
        <is>
          <t>Total of quittances and defaults of rent total</t>
        </is>
      </c>
      <c r="B26" s="139" t="n"/>
      <c r="C26" s="139" t="n"/>
      <c r="D26" s="139" t="n"/>
      <c r="E26" s="139" t="n"/>
      <c r="F26" s="139" t="n">
        <v>3.25</v>
      </c>
      <c r="G26" s="139" t="n">
        <v>0</v>
      </c>
      <c r="H26" s="139" t="inlineStr">
        <is>
          <t>Total</t>
        </is>
      </c>
      <c r="I26" s="139" t="n"/>
    </row>
    <row r="27">
      <c r="A27" s="137" t="n"/>
      <c r="B27" s="128" t="n"/>
      <c r="C27" s="128" t="n"/>
      <c r="D27" s="128" t="n"/>
      <c r="E27" s="128" t="n"/>
      <c r="F27" s="128" t="n"/>
      <c r="G27" s="128" t="n"/>
      <c r="H27" s="128" t="n"/>
      <c r="I27" s="128" t="n"/>
    </row>
    <row r="28">
      <c r="A28" s="136" t="inlineStr">
        <is>
          <t>Total of rents remaining clear</t>
        </is>
      </c>
      <c r="B28" s="128" t="n">
        <v>11</v>
      </c>
      <c r="C28" s="128" t="n">
        <v>16</v>
      </c>
      <c r="D28" s="128" t="n">
        <v>11</v>
      </c>
      <c r="E28" s="128" t="n"/>
      <c r="F28" s="128" t="n">
        <v>11.85</v>
      </c>
      <c r="G28" s="128" t="n"/>
      <c r="H28" s="128" t="inlineStr">
        <is>
          <t>Total of rents remaining clear, £11 16 shilling 11pence.</t>
        </is>
      </c>
      <c r="I28" s="128" t="n"/>
    </row>
    <row r="29">
      <c r="A29" s="138" t="inlineStr">
        <is>
          <t>Total of rents remaining clear total</t>
        </is>
      </c>
      <c r="B29" s="139" t="n"/>
      <c r="C29" s="139" t="n"/>
      <c r="D29" s="139" t="n"/>
      <c r="E29" s="139" t="n"/>
      <c r="F29" s="139" t="n">
        <v>11.85</v>
      </c>
      <c r="G29" s="139" t="n">
        <v>0</v>
      </c>
      <c r="H29" s="139" t="inlineStr">
        <is>
          <t>Total</t>
        </is>
      </c>
      <c r="I29" s="139" t="n"/>
    </row>
    <row r="30">
      <c r="A30" s="137" t="n"/>
      <c r="B30" s="128" t="n"/>
      <c r="C30" s="128" t="n"/>
      <c r="D30" s="128" t="n"/>
      <c r="E30" s="128" t="n"/>
      <c r="F30" s="128" t="n"/>
      <c r="G30" s="128" t="n"/>
      <c r="H30" s="128" t="n"/>
      <c r="I30" s="128" t="n"/>
    </row>
    <row r="31">
      <c r="A31" s="136" t="inlineStr">
        <is>
          <t>Cumin</t>
        </is>
      </c>
      <c r="B31" s="128" t="n">
        <v>0</v>
      </c>
      <c r="C31" s="128" t="n">
        <v>0</v>
      </c>
      <c r="D31" s="128" t="n">
        <v>0</v>
      </c>
      <c r="E31" s="128" t="n"/>
      <c r="F31" s="128" t="n">
        <v>0</v>
      </c>
      <c r="G31" s="128" t="n"/>
      <c r="H31" s="128" t="inlineStr">
        <is>
          <t>And for 1 lb of cumin for the rent of John Fromond' for 1 croft called le Howe.</t>
        </is>
      </c>
      <c r="I31" s="128" t="n"/>
    </row>
    <row r="32">
      <c r="A32" s="137" t="inlineStr">
        <is>
          <t>Cumin</t>
        </is>
      </c>
      <c r="B32" s="128" t="n">
        <v>0</v>
      </c>
      <c r="C32" s="128" t="n">
        <v>0</v>
      </c>
      <c r="D32" s="128" t="n">
        <v>0</v>
      </c>
      <c r="E32" s="128" t="n"/>
      <c r="F32" s="128" t="n">
        <v>0</v>
      </c>
      <c r="G32" s="128" t="n"/>
      <c r="H32" s="128" t="inlineStr">
        <is>
          <t>Delivered to the exchequer.</t>
        </is>
      </c>
      <c r="I32" s="128" t="n"/>
    </row>
    <row r="33">
      <c r="A33" s="137" t="inlineStr">
        <is>
          <t>Cumin</t>
        </is>
      </c>
      <c r="B33" s="128" t="n">
        <v>0</v>
      </c>
      <c r="C33" s="128" t="n">
        <v>0</v>
      </c>
      <c r="D33" s="128" t="n">
        <v>0</v>
      </c>
      <c r="E33" s="128" t="n"/>
      <c r="F33" s="128" t="n">
        <v>0</v>
      </c>
      <c r="G33" s="128" t="n"/>
      <c r="H33" s="128" t="inlineStr">
        <is>
          <t>It balances.</t>
        </is>
      </c>
      <c r="I33" s="128" t="n"/>
    </row>
    <row r="34">
      <c r="A34" s="138" t="inlineStr">
        <is>
          <t>Cumin total</t>
        </is>
      </c>
      <c r="B34" s="139" t="n"/>
      <c r="C34" s="139" t="n"/>
      <c r="D34" s="139" t="n"/>
      <c r="E34" s="139" t="n"/>
      <c r="F34" s="139" t="n">
        <v>0</v>
      </c>
      <c r="G34" s="139" t="n">
        <v>0</v>
      </c>
      <c r="H34" s="139" t="inlineStr">
        <is>
          <t>Total</t>
        </is>
      </c>
      <c r="I34" s="139" t="n"/>
    </row>
    <row r="35">
      <c r="A35" s="137" t="n"/>
      <c r="B35" s="128" t="n"/>
      <c r="C35" s="128" t="n"/>
      <c r="D35" s="128" t="n"/>
      <c r="E35" s="128" t="n"/>
      <c r="F35" s="128" t="n"/>
      <c r="G35" s="128" t="n"/>
      <c r="H35" s="128" t="n"/>
      <c r="I35" s="128" t="n"/>
    </row>
    <row r="36">
      <c r="A36" s="136" t="inlineStr">
        <is>
          <t>Issues of the manor</t>
        </is>
      </c>
      <c r="B36" s="128" t="n">
        <v>0</v>
      </c>
      <c r="C36" s="128" t="n">
        <v>13</v>
      </c>
      <c r="D36" s="128" t="n">
        <v>0</v>
      </c>
      <c r="E36" s="128" t="n"/>
      <c r="F36" s="128" t="n">
        <v>0.65</v>
      </c>
      <c r="G36" s="128" t="n"/>
      <c r="H36" s="128" t="inlineStr">
        <is>
          <t>And for 13 shilling from the pannage of pigs at Martinmas.</t>
        </is>
      </c>
      <c r="I36" s="128" t="n"/>
    </row>
    <row r="37">
      <c r="A37" s="137" t="inlineStr">
        <is>
          <t>Issues of the manor</t>
        </is>
      </c>
      <c r="B37" s="128" t="n">
        <v>0</v>
      </c>
      <c r="C37" s="128" t="n">
        <v>1</v>
      </c>
      <c r="D37" s="128" t="n">
        <v>0</v>
      </c>
      <c r="E37" s="128" t="n"/>
      <c r="F37" s="128" t="n">
        <v>0.05</v>
      </c>
      <c r="G37" s="128" t="n"/>
      <c r="H37" s="128" t="inlineStr">
        <is>
          <t>1 shilling from the pannage of calves this year.</t>
        </is>
      </c>
      <c r="I37" s="128" t="n"/>
    </row>
    <row r="38">
      <c r="A38" s="137" t="inlineStr">
        <is>
          <t>Issues of the manor</t>
        </is>
      </c>
      <c r="B38" s="128" t="n">
        <v>0</v>
      </c>
      <c r="C38" s="128" t="n">
        <v>15</v>
      </c>
      <c r="D38" s="128" t="n">
        <v>6</v>
      </c>
      <c r="E38" s="128" t="n"/>
      <c r="F38" s="128" t="n">
        <v>0.78</v>
      </c>
      <c r="G38" s="128" t="n"/>
      <c r="H38" s="128" t="inlineStr">
        <is>
          <t>15 shilling from the pannage of 26 cows and 12 bullocks at Hockday, at 6pence a cow and 2pence a bullock.</t>
        </is>
      </c>
      <c r="I38" s="128" t="n"/>
    </row>
    <row r="39">
      <c r="A39" s="137" t="inlineStr">
        <is>
          <t>Issues of the manor</t>
        </is>
      </c>
      <c r="B39" s="128" t="n">
        <v>1</v>
      </c>
      <c r="C39" s="128" t="n">
        <v>15</v>
      </c>
      <c r="D39" s="128" t="n">
        <v>0</v>
      </c>
      <c r="E39" s="128" t="n"/>
      <c r="F39" s="128" t="n">
        <v>1.75</v>
      </c>
      <c r="G39" s="128" t="n"/>
      <c r="H39" s="128" t="inlineStr">
        <is>
          <t>£1 15 shilling from 7 acres of underwood sold, at 5 shilling an acre.</t>
        </is>
      </c>
      <c r="I39" s="128" t="n"/>
    </row>
    <row r="40">
      <c r="A40" s="137" t="inlineStr">
        <is>
          <t>Issues of the manor</t>
        </is>
      </c>
      <c r="B40" s="128" t="n">
        <v>0</v>
      </c>
      <c r="C40" s="128" t="n">
        <v>0</v>
      </c>
      <c r="D40" s="128" t="n">
        <v>0</v>
      </c>
      <c r="E40" s="128" t="n"/>
      <c r="F40" s="128" t="n">
        <v>0</v>
      </c>
      <c r="G40" s="128" t="n"/>
      <c r="H40" s="128" t="inlineStr">
        <is>
          <t>nothing from the sale of winter pasturage in the wood because it is grazed by the lord's hoggs.</t>
        </is>
      </c>
      <c r="I40" s="128" t="n"/>
    </row>
    <row r="41">
      <c r="A41" s="137" t="inlineStr">
        <is>
          <t>Issues of the manor</t>
        </is>
      </c>
      <c r="B41" s="128" t="n">
        <v>0</v>
      </c>
      <c r="C41" s="128" t="n">
        <v>5</v>
      </c>
      <c r="D41" s="128" t="n">
        <v>0</v>
      </c>
      <c r="E41" s="128" t="n"/>
      <c r="F41" s="128" t="n">
        <v>0.25</v>
      </c>
      <c r="G41" s="128" t="n"/>
      <c r="H41" s="128" t="inlineStr">
        <is>
          <t>5 shilling from the pasturage in Trendale and Holyndan' sold.</t>
        </is>
      </c>
      <c r="I41" s="128" t="n"/>
    </row>
    <row r="42">
      <c r="A42" s="137" t="inlineStr">
        <is>
          <t>Issues of the manor</t>
        </is>
      </c>
      <c r="B42" s="128" t="n">
        <v>0</v>
      </c>
      <c r="C42" s="128" t="n">
        <v>0</v>
      </c>
      <c r="D42" s="128" t="n">
        <v>0</v>
      </c>
      <c r="E42" s="128" t="n"/>
      <c r="F42" s="128" t="n">
        <v>0</v>
      </c>
      <c r="G42" s="128" t="n"/>
      <c r="H42" s="128" t="inlineStr">
        <is>
          <t>nothing from the sale of pasturage in Drakenorth' because it lies in common.</t>
        </is>
      </c>
      <c r="I42" s="128" t="n"/>
    </row>
    <row r="43">
      <c r="A43" s="137" t="inlineStr">
        <is>
          <t>Issues of the manor</t>
        </is>
      </c>
      <c r="B43" s="128" t="n">
        <v>0</v>
      </c>
      <c r="C43" s="128" t="n">
        <v>4</v>
      </c>
      <c r="D43" s="128" t="n">
        <v>2</v>
      </c>
      <c r="E43" s="128" t="n"/>
      <c r="F43" s="128" t="n">
        <v>0.21</v>
      </c>
      <c r="G43" s="128" t="n"/>
      <c r="H43" s="128" t="inlineStr">
        <is>
          <t>4 shilling 2pence from the agistment of pigs in the lord's stubble this year.</t>
        </is>
      </c>
      <c r="I43" s="128" t="n"/>
    </row>
    <row r="44">
      <c r="A44" s="137" t="inlineStr">
        <is>
          <t>Issues of the manor</t>
        </is>
      </c>
      <c r="B44" s="128" t="n">
        <v>0</v>
      </c>
      <c r="C44" s="128" t="n">
        <v>0</v>
      </c>
      <c r="D44" s="128" t="n">
        <v>0</v>
      </c>
      <c r="E44" s="128" t="n"/>
      <c r="F44" s="128" t="n">
        <v>0</v>
      </c>
      <c r="G44" s="128" t="n"/>
      <c r="H44" s="128" t="inlineStr">
        <is>
          <t>nothing from the pasturage of the ditch around the curia because of the lord's horses.</t>
        </is>
      </c>
      <c r="I44" s="128" t="n"/>
    </row>
    <row r="45">
      <c r="A45" s="137" t="inlineStr">
        <is>
          <t>Issues of the manor</t>
        </is>
      </c>
      <c r="B45" s="128" t="n">
        <v>0</v>
      </c>
      <c r="C45" s="128" t="n">
        <v>0</v>
      </c>
      <c r="D45" s="128" t="n">
        <v>0</v>
      </c>
      <c r="E45" s="128" t="n"/>
      <c r="F45" s="128" t="n">
        <v>0</v>
      </c>
      <c r="G45" s="128" t="n"/>
      <c r="H45" s="128" t="inlineStr">
        <is>
          <t>nothing from the pasturage in Locforlang' and Markforlang' because it was sown.</t>
        </is>
      </c>
      <c r="I45" s="128" t="n"/>
    </row>
    <row r="46">
      <c r="A46" s="137" t="inlineStr">
        <is>
          <t>Issues of the manor</t>
        </is>
      </c>
      <c r="B46" s="128" t="n">
        <v>0</v>
      </c>
      <c r="C46" s="128" t="n">
        <v>0</v>
      </c>
      <c r="D46" s="128" t="n">
        <v>0</v>
      </c>
      <c r="E46" s="128" t="n"/>
      <c r="F46" s="128" t="n">
        <v>0</v>
      </c>
      <c r="G46" s="128" t="n"/>
      <c r="H46" s="128" t="inlineStr">
        <is>
          <t>nothing from the pasturage in Bashamle because it lies in common.</t>
        </is>
      </c>
      <c r="I46" s="128" t="n"/>
    </row>
    <row r="47">
      <c r="A47" s="137" t="inlineStr">
        <is>
          <t>Issues of the manor</t>
        </is>
      </c>
      <c r="B47" s="128" t="n">
        <v>0</v>
      </c>
      <c r="C47" s="128" t="n">
        <v>3</v>
      </c>
      <c r="D47" s="128" t="n">
        <v>4</v>
      </c>
      <c r="E47" s="128" t="n"/>
      <c r="F47" s="128" t="n">
        <v>0.17</v>
      </c>
      <c r="G47" s="128" t="n"/>
      <c r="H47" s="128" t="inlineStr">
        <is>
          <t>3 shilling 4pence from the pasturage in la Sherte sold to the homage for the year.</t>
        </is>
      </c>
      <c r="I47" s="128" t="n"/>
    </row>
    <row r="48">
      <c r="A48" s="137" t="inlineStr">
        <is>
          <t>Issues of the manor</t>
        </is>
      </c>
      <c r="B48" s="128" t="n">
        <v>0</v>
      </c>
      <c r="C48" s="128" t="n">
        <v>0</v>
      </c>
      <c r="D48" s="128" t="n">
        <v>0</v>
      </c>
      <c r="E48" s="128" t="n"/>
      <c r="F48" s="128" t="n">
        <v>0</v>
      </c>
      <c r="G48" s="128" t="n"/>
      <c r="H48" s="128" t="inlineStr">
        <is>
          <t>nothing from the pasturage around the bartons of the sheepcotes because of the lord's horses.</t>
        </is>
      </c>
      <c r="I48" s="128" t="n"/>
    </row>
    <row r="49">
      <c r="A49" s="137" t="inlineStr">
        <is>
          <t>Issues of the manor</t>
        </is>
      </c>
      <c r="B49" s="128" t="n">
        <v>0</v>
      </c>
      <c r="C49" s="128" t="n">
        <v>0</v>
      </c>
      <c r="D49" s="128" t="n">
        <v>0</v>
      </c>
      <c r="E49" s="128" t="n"/>
      <c r="F49" s="128" t="n">
        <v>0</v>
      </c>
      <c r="G49" s="128" t="n"/>
      <c r="H49" s="128" t="inlineStr">
        <is>
          <t>nothing from the pasturage in Puthulle for the lord's sheep.</t>
        </is>
      </c>
      <c r="I49" s="128" t="n"/>
    </row>
    <row r="50">
      <c r="A50" s="137" t="inlineStr">
        <is>
          <t>Issues of the manor</t>
        </is>
      </c>
      <c r="B50" s="128" t="n">
        <v>0</v>
      </c>
      <c r="C50" s="128" t="n">
        <v>0</v>
      </c>
      <c r="D50" s="128" t="n">
        <v>0</v>
      </c>
      <c r="E50" s="128" t="n"/>
      <c r="F50" s="128" t="n">
        <v>0</v>
      </c>
      <c r="G50" s="128" t="n"/>
      <c r="H50" s="128" t="inlineStr">
        <is>
          <t>nothing from the sheep of the customary tenants in the fold because they did not exceed the fixed number of 25 this year.</t>
        </is>
      </c>
      <c r="I50" s="128" t="n"/>
    </row>
    <row r="51">
      <c r="A51" s="137" t="inlineStr">
        <is>
          <t>Issues of the manor</t>
        </is>
      </c>
      <c r="B51" s="128" t="n">
        <v>0</v>
      </c>
      <c r="C51" s="128" t="n">
        <v>7</v>
      </c>
      <c r="D51" s="128" t="n">
        <v>4</v>
      </c>
      <c r="E51" s="128" t="n"/>
      <c r="F51" s="128" t="n">
        <v>0.37</v>
      </c>
      <c r="G51" s="128" t="n"/>
      <c r="H51" s="128" t="inlineStr">
        <is>
          <t>7 shilling 4pence from 22 geese sold, at 4pence each.</t>
        </is>
      </c>
      <c r="I51" s="128" t="n"/>
    </row>
    <row r="52">
      <c r="A52" s="137" t="inlineStr">
        <is>
          <t>Issues of the manor</t>
        </is>
      </c>
      <c r="B52" s="128" t="n">
        <v>0</v>
      </c>
      <c r="C52" s="128" t="n">
        <v>8</v>
      </c>
      <c r="D52" s="128" t="n">
        <v>4</v>
      </c>
      <c r="E52" s="128" t="n"/>
      <c r="F52" s="128" t="n">
        <v>0.42</v>
      </c>
      <c r="G52" s="128" t="n"/>
      <c r="H52" s="128" t="inlineStr">
        <is>
          <t>8 shilling from 24 capons sold, at 4pence each, 14 of them to the lord's household.</t>
        </is>
      </c>
      <c r="I52" s="128" t="n"/>
    </row>
    <row r="53">
      <c r="A53" s="137" t="inlineStr">
        <is>
          <t>Issues of the manor</t>
        </is>
      </c>
      <c r="B53" s="128" t="n">
        <v>0</v>
      </c>
      <c r="C53" s="128" t="n">
        <v>14</v>
      </c>
      <c r="D53" s="128" t="n">
        <v>10</v>
      </c>
      <c r="E53" s="128" t="n"/>
      <c r="F53" s="128" t="n">
        <v>0.74</v>
      </c>
      <c r="G53" s="128" t="n"/>
      <c r="H53" s="128" t="inlineStr">
        <is>
          <t>14 shilling 10pence from 83 cocks and hens sold, at 2pence each.</t>
        </is>
      </c>
      <c r="I53" s="128" t="n"/>
    </row>
    <row r="54">
      <c r="A54" s="137" t="inlineStr">
        <is>
          <t>Issues of the manor</t>
        </is>
      </c>
      <c r="B54" s="128" t="n">
        <v>0</v>
      </c>
      <c r="C54" s="128" t="n">
        <v>1</v>
      </c>
      <c r="D54" s="128" t="n">
        <v>0</v>
      </c>
      <c r="E54" s="128" t="n"/>
      <c r="F54" s="128" t="n">
        <v>0.05</v>
      </c>
      <c r="G54" s="128" t="n"/>
      <c r="H54" s="128" t="inlineStr">
        <is>
          <t>1 shilling from the hides sold of 2 horses in murrain.</t>
        </is>
      </c>
      <c r="I54" s="128" t="n"/>
    </row>
    <row r="55">
      <c r="A55" s="137" t="inlineStr">
        <is>
          <t>Issues of the manor</t>
        </is>
      </c>
      <c r="B55" s="128" t="n">
        <v>0</v>
      </c>
      <c r="C55" s="128" t="n">
        <v>1</v>
      </c>
      <c r="D55" s="128" t="n">
        <v>2</v>
      </c>
      <c r="E55" s="128" t="n"/>
      <c r="F55" s="128" t="n">
        <v>0.06</v>
      </c>
      <c r="G55" s="128" t="n"/>
      <c r="H55" s="128" t="inlineStr">
        <is>
          <t>1 shilling 2pence from the hide sold of 1 ox in murrain.</t>
        </is>
      </c>
      <c r="I55" s="128" t="n"/>
    </row>
    <row r="56">
      <c r="A56" s="137" t="inlineStr">
        <is>
          <t>Issues of the manor</t>
        </is>
      </c>
      <c r="B56" s="128" t="n">
        <v>0</v>
      </c>
      <c r="C56" s="128" t="n">
        <v>7</v>
      </c>
      <c r="D56" s="128" t="n">
        <v>8</v>
      </c>
      <c r="E56" s="128" t="n"/>
      <c r="F56" s="128" t="n">
        <v>0.38</v>
      </c>
      <c r="G56" s="128" t="n"/>
      <c r="H56" s="128" t="inlineStr">
        <is>
          <t>7 shilling 8pence from the skins sold of 242 wethers, 9 ewes and 12 hoggs in murrain before shearing, at 4pence a skin of wethers, 2pence of ewes, and 1.5pence of hoggs.</t>
        </is>
      </c>
      <c r="I56" s="128" t="n"/>
    </row>
    <row r="57">
      <c r="A57" s="137" t="inlineStr">
        <is>
          <t>Issues of the manor</t>
        </is>
      </c>
      <c r="B57" s="128" t="n">
        <v>0</v>
      </c>
      <c r="C57" s="128" t="n">
        <v>0</v>
      </c>
      <c r="D57" s="128" t="n">
        <v>10</v>
      </c>
      <c r="E57" s="128" t="n"/>
      <c r="F57" s="128" t="n">
        <v>0.04</v>
      </c>
      <c r="G57" s="128" t="n"/>
      <c r="H57" s="128" t="inlineStr">
        <is>
          <t>10pence from the skins of 7 wethers and 3 ewes in murrain after shearing, at 1pence a skin.</t>
        </is>
      </c>
      <c r="I57" s="128" t="n"/>
    </row>
    <row r="58">
      <c r="A58" s="137" t="inlineStr">
        <is>
          <t>Issues of the manor</t>
        </is>
      </c>
      <c r="B58" s="128" t="n">
        <v>0</v>
      </c>
      <c r="C58" s="128" t="n">
        <v>2</v>
      </c>
      <c r="D58" s="128" t="n">
        <v>5</v>
      </c>
      <c r="E58" s="128" t="n"/>
      <c r="F58" s="128" t="n">
        <v>0.12</v>
      </c>
      <c r="G58" s="128" t="n"/>
      <c r="H58" s="128" t="inlineStr">
        <is>
          <t>2 shilling 5pence from the skins sold of 41 lambs in murrain before weaning, at 8pence a dozen.</t>
        </is>
      </c>
      <c r="I58" s="128" t="n"/>
    </row>
    <row r="59">
      <c r="A59" s="137" t="inlineStr">
        <is>
          <t>Issues of the manor</t>
        </is>
      </c>
      <c r="B59" s="128" t="n">
        <v>0</v>
      </c>
      <c r="C59" s="128" t="n">
        <v>0</v>
      </c>
      <c r="D59" s="128" t="n">
        <v>3</v>
      </c>
      <c r="E59" s="128" t="n"/>
      <c r="F59" s="128" t="n">
        <v>0.01</v>
      </c>
      <c r="G59" s="128" t="n"/>
      <c r="H59" s="128" t="inlineStr">
        <is>
          <t>3pence from the rotted skins of 31 lambs in murrain after weaning and before shearing.</t>
        </is>
      </c>
      <c r="I59" s="128" t="n"/>
    </row>
    <row r="60">
      <c r="A60" s="137" t="inlineStr">
        <is>
          <t>Issues of the manor</t>
        </is>
      </c>
      <c r="B60" s="128" t="n">
        <v>0</v>
      </c>
      <c r="C60" s="128" t="n">
        <v>0</v>
      </c>
      <c r="D60" s="128" t="n">
        <v>10</v>
      </c>
      <c r="E60" s="128" t="n"/>
      <c r="F60" s="128" t="n">
        <v>0.04</v>
      </c>
      <c r="G60" s="128" t="n"/>
      <c r="H60" s="128" t="inlineStr">
        <is>
          <t>10pence from the shorn skins sold of 20 lambs in murrain after shearing, at .5pence a skin.</t>
        </is>
      </c>
      <c r="I60" s="128" t="n"/>
    </row>
    <row r="61">
      <c r="A61" s="137" t="inlineStr">
        <is>
          <t>Issues of the manor</t>
        </is>
      </c>
      <c r="B61" s="128" t="n">
        <v>0</v>
      </c>
      <c r="C61" s="128" t="n">
        <v>1</v>
      </c>
      <c r="D61" s="128" t="n">
        <v>8</v>
      </c>
      <c r="E61" s="128" t="n"/>
      <c r="F61" s="128" t="n">
        <v>0.08</v>
      </c>
      <c r="G61" s="128" t="n"/>
      <c r="H61" s="128" t="inlineStr">
        <is>
          <t>1 shilling 8pence from 2 cloves of wool locks sold.</t>
        </is>
      </c>
      <c r="I61" s="128" t="n"/>
    </row>
    <row r="62">
      <c r="A62" s="137" t="inlineStr">
        <is>
          <t>Issues of the manor</t>
        </is>
      </c>
      <c r="B62" s="128" t="n">
        <v>0</v>
      </c>
      <c r="C62" s="128" t="n">
        <v>16</v>
      </c>
      <c r="D62" s="128" t="n">
        <v>6</v>
      </c>
      <c r="E62" s="128" t="n"/>
      <c r="F62" s="128" t="n">
        <v>0.83</v>
      </c>
      <c r="G62" s="128" t="n"/>
      <c r="H62" s="128" t="inlineStr">
        <is>
          <t>16 shilling 6pence from 11 cloves of lamb's-wool sold, at 1 shilling 6pence a clove.</t>
        </is>
      </c>
      <c r="I62" s="128" t="n"/>
    </row>
    <row r="63">
      <c r="A63" s="137" t="inlineStr">
        <is>
          <t>Issues of the manor</t>
        </is>
      </c>
      <c r="B63" s="128" t="n">
        <v>0</v>
      </c>
      <c r="C63" s="128" t="n">
        <v>0</v>
      </c>
      <c r="D63" s="128" t="n">
        <v>0</v>
      </c>
      <c r="E63" s="128" t="n"/>
      <c r="F63" s="128" t="n">
        <v>0</v>
      </c>
      <c r="G63" s="128" t="n"/>
      <c r="H63" s="128" t="inlineStr">
        <is>
          <t>nothing from the milking of ewes because they were not in milk by reason of the dryness of the summer.</t>
        </is>
      </c>
      <c r="I63" s="128" t="n"/>
    </row>
    <row r="64">
      <c r="A64" s="137" t="inlineStr">
        <is>
          <t>Issues of the manor</t>
        </is>
      </c>
      <c r="B64" s="128" t="n">
        <v>0</v>
      </c>
      <c r="C64" s="128" t="n">
        <v>0</v>
      </c>
      <c r="D64" s="128" t="n">
        <v>10</v>
      </c>
      <c r="E64" s="128" t="n"/>
      <c r="F64" s="128" t="n">
        <v>0.04</v>
      </c>
      <c r="G64" s="128" t="n"/>
      <c r="H64" s="128" t="inlineStr">
        <is>
          <t>10pence from 200 hens' eggs sold.</t>
        </is>
      </c>
      <c r="I64" s="128" t="n"/>
    </row>
    <row r="65">
      <c r="A65" s="137" t="inlineStr">
        <is>
          <t>Issues of the manor</t>
        </is>
      </c>
      <c r="B65" s="128" t="n">
        <v>0</v>
      </c>
      <c r="C65" s="128" t="n">
        <v>0</v>
      </c>
      <c r="D65" s="128" t="n">
        <v>0</v>
      </c>
      <c r="E65" s="128" t="n"/>
      <c r="F65" s="128" t="n">
        <v>0</v>
      </c>
      <c r="G65" s="128" t="n"/>
      <c r="H65" s="128" t="inlineStr">
        <is>
          <t>nothing from the agistment of horses in the lord's wood for the lord's sheep.</t>
        </is>
      </c>
      <c r="I65" s="128" t="n"/>
    </row>
    <row r="66">
      <c r="A66" s="137" t="inlineStr">
        <is>
          <t>Issues of the manor</t>
        </is>
      </c>
      <c r="B66" s="128" t="n">
        <v>0</v>
      </c>
      <c r="C66" s="128" t="n">
        <v>3</v>
      </c>
      <c r="D66" s="128" t="n">
        <v>4</v>
      </c>
      <c r="E66" s="128" t="n"/>
      <c r="F66" s="128" t="n">
        <v>0.17</v>
      </c>
      <c r="G66" s="128" t="n"/>
      <c r="H66" s="128" t="inlineStr">
        <is>
          <t>3 shilling 4pence from John Wayte for the pasturage of 50 sheep with the lord's wethers annexed to 2 ferlings of villein land.</t>
        </is>
      </c>
      <c r="I66" s="128" t="n"/>
    </row>
    <row r="67">
      <c r="A67" s="137" t="inlineStr">
        <is>
          <t>Issues of the manor</t>
        </is>
      </c>
      <c r="B67" s="128" t="n">
        <v>7</v>
      </c>
      <c r="C67" s="128" t="n">
        <v>2</v>
      </c>
      <c r="D67" s="128" t="n">
        <v>0</v>
      </c>
      <c r="E67" s="128" t="n"/>
      <c r="F67" s="128" t="n">
        <v>7.1</v>
      </c>
      <c r="G67" s="128" t="n"/>
      <c r="H67" s="128" t="inlineStr">
        <is>
          <t>Total, £7 2 shilling 2.d.</t>
        </is>
      </c>
      <c r="I67" s="128" t="n"/>
    </row>
    <row r="68">
      <c r="A68" s="138" t="inlineStr">
        <is>
          <t>Issues of the manor total</t>
        </is>
      </c>
      <c r="B68" s="139" t="n"/>
      <c r="C68" s="139" t="n"/>
      <c r="D68" s="139" t="n"/>
      <c r="E68" s="139" t="n"/>
      <c r="F68" s="139" t="n">
        <v>7.21</v>
      </c>
      <c r="G68" s="139" t="n">
        <v>0.11</v>
      </c>
      <c r="H68" s="139" t="inlineStr">
        <is>
          <t>Total</t>
        </is>
      </c>
      <c r="I68" s="139" t="n"/>
    </row>
    <row r="69">
      <c r="A69" s="137" t="n"/>
      <c r="B69" s="128" t="n"/>
      <c r="C69" s="128" t="n"/>
      <c r="D69" s="128" t="n"/>
      <c r="E69" s="128" t="n"/>
      <c r="F69" s="128" t="n"/>
      <c r="G69" s="128" t="n"/>
      <c r="H69" s="128" t="n"/>
      <c r="I69" s="128" t="n"/>
    </row>
    <row r="70">
      <c r="A70" s="136" t="inlineStr">
        <is>
          <t>Sale of corn</t>
        </is>
      </c>
      <c r="B70" s="128" t="n">
        <v>15</v>
      </c>
      <c r="C70" s="128" t="n">
        <v>0</v>
      </c>
      <c r="D70" s="128" t="n">
        <v>8</v>
      </c>
      <c r="E70" s="128" t="n"/>
      <c r="F70" s="128" t="n">
        <v>15.03</v>
      </c>
      <c r="G70" s="128" t="n"/>
      <c r="H70" s="128" t="inlineStr">
        <is>
          <t>And for £15 8pence from 34 quarters 6 bushels of wheat sold, of which 8 quarters sold per mutuum, at 10 shilling a qr, and 26 quarters 6 bushels in the market, at 8 shilling 8pence a qr for 10 quarters, and 8 shilling a qr for 152 quarters 6 bushels.</t>
        </is>
      </c>
      <c r="I70" s="128" t="n"/>
    </row>
    <row r="71">
      <c r="A71" s="137" t="inlineStr">
        <is>
          <t>Sale of corn</t>
        </is>
      </c>
      <c r="B71" s="128" t="n">
        <v>15</v>
      </c>
      <c r="C71" s="128" t="n">
        <v>0</v>
      </c>
      <c r="D71" s="128" t="n">
        <v>0</v>
      </c>
      <c r="E71" s="128" t="n"/>
      <c r="F71" s="128" t="n">
        <v>15</v>
      </c>
      <c r="G71" s="128" t="n"/>
      <c r="H71" s="128" t="inlineStr">
        <is>
          <t>£15 from 50 quarters of barley sold, at 6 shilling a qr.</t>
        </is>
      </c>
      <c r="I71" s="128" t="n"/>
    </row>
    <row r="72">
      <c r="A72" s="137" t="inlineStr">
        <is>
          <t>Sale of corn</t>
        </is>
      </c>
      <c r="B72" s="128" t="n">
        <v>3</v>
      </c>
      <c r="C72" s="128" t="n">
        <v>3</v>
      </c>
      <c r="D72" s="128" t="n">
        <v>4.5</v>
      </c>
      <c r="E72" s="128" t="n"/>
      <c r="F72" s="128" t="n">
        <v>3.17</v>
      </c>
      <c r="G72" s="128" t="n"/>
      <c r="H72" s="128" t="inlineStr">
        <is>
          <t>£3 3 shilling 4.5pence from 21 quarters 1 bushels of oats sold, at 3 shilling a qr.</t>
        </is>
      </c>
      <c r="I72" s="128" t="n"/>
    </row>
    <row r="73">
      <c r="A73" s="137" t="inlineStr">
        <is>
          <t>Sale of corn</t>
        </is>
      </c>
      <c r="B73" s="128" t="n">
        <v>33</v>
      </c>
      <c r="C73" s="128" t="n">
        <v>4</v>
      </c>
      <c r="D73" s="128" t="n">
        <v>0</v>
      </c>
      <c r="E73" s="128" t="n"/>
      <c r="F73" s="128" t="n">
        <v>33.2</v>
      </c>
      <c r="G73" s="128" t="n"/>
      <c r="H73" s="128" t="inlineStr">
        <is>
          <t>Total, £33 4 shilling .5pence.</t>
        </is>
      </c>
      <c r="I73" s="128" t="n"/>
    </row>
    <row r="74">
      <c r="A74" s="138" t="inlineStr">
        <is>
          <t>Sale of corn total</t>
        </is>
      </c>
      <c r="B74" s="139" t="n"/>
      <c r="C74" s="139" t="n"/>
      <c r="D74" s="139" t="n"/>
      <c r="E74" s="139" t="n"/>
      <c r="F74" s="139" t="n">
        <v>33.2</v>
      </c>
      <c r="G74" s="139" t="n">
        <v>0</v>
      </c>
      <c r="H74" s="139" t="inlineStr">
        <is>
          <t>Total</t>
        </is>
      </c>
      <c r="I74" s="139" t="n"/>
    </row>
    <row r="75">
      <c r="A75" s="137" t="n"/>
      <c r="B75" s="128" t="n"/>
      <c r="C75" s="128" t="n"/>
      <c r="D75" s="128" t="n"/>
      <c r="E75" s="128" t="n"/>
      <c r="F75" s="128" t="n"/>
      <c r="G75" s="128" t="n"/>
      <c r="H75" s="128" t="n"/>
      <c r="I75" s="128" t="n"/>
    </row>
    <row r="76">
      <c r="A76" s="136" t="inlineStr">
        <is>
          <t>Sale of stock</t>
        </is>
      </c>
      <c r="B76" s="128" t="n">
        <v>3</v>
      </c>
      <c r="C76" s="128" t="n">
        <v>17</v>
      </c>
      <c r="D76" s="128" t="n">
        <v>4</v>
      </c>
      <c r="E76" s="128" t="n"/>
      <c r="F76" s="128" t="n">
        <v>3.87</v>
      </c>
      <c r="G76" s="128" t="n"/>
      <c r="H76" s="128" t="inlineStr">
        <is>
          <t>And for £3 17 shilling 4pence from 68 kebb wethers sold after shearing, 12 of them to the lord's household, at 1 shilling each, and 56 in the market, at 1 shilling 2pence each.</t>
        </is>
      </c>
      <c r="I76" s="128" t="n"/>
    </row>
    <row r="77">
      <c r="A77" s="137" t="inlineStr">
        <is>
          <t>Sale of stock</t>
        </is>
      </c>
      <c r="B77" s="128" t="n">
        <v>3</v>
      </c>
      <c r="C77" s="128" t="n">
        <v>17</v>
      </c>
      <c r="D77" s="128" t="n">
        <v>0</v>
      </c>
      <c r="E77" s="128" t="n"/>
      <c r="F77" s="128" t="n">
        <v>3.85</v>
      </c>
      <c r="G77" s="128" t="n"/>
      <c r="H77" s="128" t="inlineStr">
        <is>
          <t>£3 17 shilling from 23 kebb rams and 65 ewes sold, at 1 shilling 2pence each.</t>
        </is>
      </c>
      <c r="I77" s="128" t="n"/>
    </row>
    <row r="78">
      <c r="A78" s="137" t="inlineStr">
        <is>
          <t>Sale of stock</t>
        </is>
      </c>
      <c r="B78" s="128" t="n">
        <v>8</v>
      </c>
      <c r="C78" s="128" t="n">
        <v>6</v>
      </c>
      <c r="D78" s="128" t="n">
        <v>8</v>
      </c>
      <c r="E78" s="128" t="n"/>
      <c r="F78" s="128" t="n">
        <v>8.33</v>
      </c>
      <c r="G78" s="128" t="n"/>
      <c r="H78" s="128" t="inlineStr">
        <is>
          <t>£8 6 shilling 8pence from 100 hoggs sold before shearing to the sergeant of Waltham St Lawrence, at 1 shilling 8pence each.</t>
        </is>
      </c>
      <c r="I78" s="128" t="n"/>
    </row>
    <row r="79">
      <c r="A79" s="137" t="inlineStr">
        <is>
          <t>Sale of stock</t>
        </is>
      </c>
      <c r="B79" s="128" t="n">
        <v>0</v>
      </c>
      <c r="C79" s="128" t="n">
        <v>9</v>
      </c>
      <c r="D79" s="128" t="n">
        <v>4</v>
      </c>
      <c r="E79" s="128" t="n"/>
      <c r="F79" s="128" t="n">
        <v>0.47</v>
      </c>
      <c r="G79" s="128" t="n"/>
      <c r="H79" s="128" t="inlineStr">
        <is>
          <t>9 shilling 4pence from 14 lambs removed from stock and sold, at 8pence each.</t>
        </is>
      </c>
      <c r="I79" s="128" t="n"/>
    </row>
    <row r="80">
      <c r="A80" s="137" t="inlineStr">
        <is>
          <t>Sale of stock</t>
        </is>
      </c>
      <c r="B80" s="128" t="n">
        <v>1</v>
      </c>
      <c r="C80" s="128" t="n">
        <v>0</v>
      </c>
      <c r="D80" s="128" t="n">
        <v>0</v>
      </c>
      <c r="E80" s="128" t="n"/>
      <c r="F80" s="128" t="n">
        <v>1</v>
      </c>
      <c r="G80" s="128" t="n"/>
      <c r="H80" s="128" t="inlineStr">
        <is>
          <t>£1 for the piglets from the offspring of 1 sow, demised at farm this year.</t>
        </is>
      </c>
      <c r="I80" s="128" t="n"/>
    </row>
    <row r="81">
      <c r="A81" s="137" t="inlineStr">
        <is>
          <t>Sale of stock</t>
        </is>
      </c>
      <c r="B81" s="128" t="n">
        <v>17</v>
      </c>
      <c r="C81" s="128" t="n">
        <v>10</v>
      </c>
      <c r="D81" s="128" t="n">
        <v>4</v>
      </c>
      <c r="E81" s="128" t="n"/>
      <c r="F81" s="128" t="n">
        <v>17.52</v>
      </c>
      <c r="G81" s="128" t="n"/>
      <c r="H81" s="128" t="inlineStr">
        <is>
          <t>Total, £17 10 shilling 4pence.</t>
        </is>
      </c>
      <c r="I81" s="128" t="n"/>
    </row>
    <row r="82">
      <c r="A82" s="138" t="inlineStr">
        <is>
          <t>Sale of stock total</t>
        </is>
      </c>
      <c r="B82" s="139" t="n"/>
      <c r="C82" s="139" t="n"/>
      <c r="D82" s="139" t="n"/>
      <c r="E82" s="139" t="n"/>
      <c r="F82" s="139" t="n">
        <v>17.52</v>
      </c>
      <c r="G82" s="139" t="n">
        <v>0</v>
      </c>
      <c r="H82" s="139" t="inlineStr">
        <is>
          <t>Total</t>
        </is>
      </c>
      <c r="I82" s="139" t="n"/>
    </row>
    <row r="83">
      <c r="A83" s="137" t="n"/>
      <c r="B83" s="128" t="n"/>
      <c r="C83" s="128" t="n"/>
      <c r="D83" s="128" t="n"/>
      <c r="E83" s="128" t="n"/>
      <c r="F83" s="128" t="n"/>
      <c r="G83" s="128" t="n"/>
      <c r="H83" s="128" t="n"/>
      <c r="I83" s="128" t="n"/>
    </row>
    <row r="84">
      <c r="A84" s="136" t="inlineStr">
        <is>
          <t>Perquisites</t>
        </is>
      </c>
      <c r="B84" s="128" t="n">
        <v>0</v>
      </c>
      <c r="C84" s="128" t="n">
        <v>1</v>
      </c>
      <c r="D84" s="128" t="n">
        <v>10</v>
      </c>
      <c r="E84" s="128" t="n"/>
      <c r="F84" s="128" t="n">
        <v>0.09</v>
      </c>
      <c r="G84" s="128" t="n"/>
      <c r="H84" s="128" t="inlineStr">
        <is>
          <t>And for 1 shilling 10pence from the perquisites of the tourn of Martinmas (11 November).</t>
        </is>
      </c>
      <c r="I84" s="128" t="n"/>
    </row>
    <row r="85">
      <c r="A85" s="137" t="inlineStr">
        <is>
          <t>Perquisites</t>
        </is>
      </c>
      <c r="B85" s="128" t="n">
        <v>0</v>
      </c>
      <c r="C85" s="128" t="n">
        <v>4</v>
      </c>
      <c r="D85" s="128" t="n">
        <v>4</v>
      </c>
      <c r="E85" s="128" t="n"/>
      <c r="F85" s="128" t="n">
        <v>0.22</v>
      </c>
      <c r="G85" s="128" t="n"/>
      <c r="H85" s="128" t="inlineStr">
        <is>
          <t>4 shilling 4pence from the perquisites of the tourn of Hockday (1 April).</t>
        </is>
      </c>
      <c r="I85" s="128" t="n"/>
    </row>
    <row r="86">
      <c r="A86" s="137" t="inlineStr">
        <is>
          <t>Perquisites</t>
        </is>
      </c>
      <c r="B86" s="128" t="n">
        <v>0</v>
      </c>
      <c r="C86" s="128" t="n">
        <v>7</v>
      </c>
      <c r="D86" s="128" t="n">
        <v>8</v>
      </c>
      <c r="E86" s="128" t="n"/>
      <c r="F86" s="128" t="n">
        <v>0.38</v>
      </c>
      <c r="G86" s="128" t="n"/>
      <c r="H86" s="128" t="inlineStr">
        <is>
          <t>7 shilling 8pence from the perquisites of the courts held between the said 2 tourns.</t>
        </is>
      </c>
      <c r="I86" s="128" t="n"/>
    </row>
    <row r="87">
      <c r="A87" s="137" t="inlineStr">
        <is>
          <t>Perquisites</t>
        </is>
      </c>
      <c r="B87" s="128" t="n">
        <v>0</v>
      </c>
      <c r="C87" s="128" t="n">
        <v>6</v>
      </c>
      <c r="D87" s="128" t="n">
        <v>0</v>
      </c>
      <c r="E87" s="128" t="n"/>
      <c r="F87" s="128" t="n">
        <v>0.3</v>
      </c>
      <c r="G87" s="128" t="n"/>
      <c r="H87" s="128" t="inlineStr">
        <is>
          <t>6 shilling from the perquisites of the courts held after the said tourn of Hockday.</t>
        </is>
      </c>
      <c r="I87" s="128" t="n"/>
    </row>
    <row r="88">
      <c r="A88" s="138" t="inlineStr">
        <is>
          <t>Perquisites total</t>
        </is>
      </c>
      <c r="B88" s="139" t="n">
        <v>0</v>
      </c>
      <c r="C88" s="139" t="n">
        <v>19</v>
      </c>
      <c r="D88" s="139" t="n">
        <v>10</v>
      </c>
      <c r="E88" s="139" t="n"/>
      <c r="F88" s="139" t="n">
        <v>0.99</v>
      </c>
      <c r="G88" s="139" t="n">
        <v>0.6899999999999999</v>
      </c>
      <c r="H88" s="139" t="inlineStr">
        <is>
          <t>Total, 19 shilling 10pence.</t>
        </is>
      </c>
      <c r="I88" s="139" t="n"/>
    </row>
    <row r="89">
      <c r="A89" s="38" t="inlineStr">
        <is>
          <t>Total of all receipts recorded in accounts (calculated here)</t>
        </is>
      </c>
      <c r="F89">
        <f>SUMIF(A1:A88,"* total",F1:F88)-SUMIF(A1:A88,"Arrears total",F1:F88)</f>
        <v/>
      </c>
    </row>
    <row r="90">
      <c r="A90" s="38" t="inlineStr">
        <is>
          <t>Total of all receipts (calculated here) incl arrears</t>
        </is>
      </c>
      <c r="F90">
        <f>F89+SUMIF(A1:A88,"Arrears total",F1:F88)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7"/>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CRAWLEY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16</v>
      </c>
      <c r="D4" s="128" t="n">
        <v>8</v>
      </c>
      <c r="E4" s="128" t="n"/>
      <c r="F4" s="128" t="n">
        <v>0.83</v>
      </c>
      <c r="G4" s="128" t="n"/>
      <c r="H4" s="128" t="inlineStr">
        <is>
          <t>In iron and steel bought for the ironwork of 3 ploughs for the year 16 shilling 8pence.</t>
        </is>
      </c>
    </row>
    <row r="5">
      <c r="A5" s="137" t="inlineStr">
        <is>
          <t>Cost of ploughs</t>
        </is>
      </c>
      <c r="B5" s="128" t="n">
        <v>0</v>
      </c>
      <c r="C5" s="128" t="n">
        <v>1</v>
      </c>
      <c r="D5" s="128" t="n">
        <v>0</v>
      </c>
      <c r="E5" s="128" t="n"/>
      <c r="F5" s="128" t="n">
        <v>0.05</v>
      </c>
      <c r="G5" s="128" t="n"/>
      <c r="H5" s="128" t="inlineStr">
        <is>
          <t>1 new plough bought 1 shilling.</t>
        </is>
      </c>
    </row>
    <row r="6">
      <c r="A6" s="137" t="inlineStr">
        <is>
          <t>Cost of ploughs</t>
        </is>
      </c>
      <c r="B6" s="128" t="n">
        <v>0</v>
      </c>
      <c r="C6" s="128" t="n">
        <v>0</v>
      </c>
      <c r="D6" s="128" t="n">
        <v>3</v>
      </c>
      <c r="E6" s="128" t="n"/>
      <c r="F6" s="128" t="n">
        <v>0.01</v>
      </c>
      <c r="G6" s="128" t="n"/>
      <c r="H6" s="128" t="inlineStr">
        <is>
          <t>fitting the same with tyres 3pence.</t>
        </is>
      </c>
    </row>
    <row r="7">
      <c r="A7" s="137" t="inlineStr">
        <is>
          <t>Cost of ploughs</t>
        </is>
      </c>
      <c r="B7" s="128" t="n">
        <v>0</v>
      </c>
      <c r="C7" s="128" t="n">
        <v>0</v>
      </c>
      <c r="D7" s="128" t="n">
        <v>6</v>
      </c>
      <c r="E7" s="128" t="n"/>
      <c r="F7" s="128" t="n">
        <v>0.03</v>
      </c>
      <c r="G7" s="128" t="n"/>
      <c r="H7" s="128" t="inlineStr">
        <is>
          <t>fitting the ploughs with share-beams and mould-boards for the year 6pence.</t>
        </is>
      </c>
    </row>
    <row r="8">
      <c r="A8" s="137" t="inlineStr">
        <is>
          <t>Cost of ploughs</t>
        </is>
      </c>
      <c r="B8" s="128" t="n">
        <v>0</v>
      </c>
      <c r="C8" s="128" t="n">
        <v>0</v>
      </c>
      <c r="D8" s="128" t="n">
        <v>6</v>
      </c>
      <c r="E8" s="128" t="n"/>
      <c r="F8" s="128" t="n">
        <v>0.03</v>
      </c>
      <c r="G8" s="128" t="n"/>
      <c r="H8" s="128" t="inlineStr">
        <is>
          <t>3 plough feet bought Is. 6pence.</t>
        </is>
      </c>
    </row>
    <row r="9">
      <c r="A9" s="137" t="inlineStr">
        <is>
          <t>Cost of ploughs</t>
        </is>
      </c>
      <c r="B9" s="128" t="n">
        <v>0</v>
      </c>
      <c r="C9" s="128" t="n">
        <v>2</v>
      </c>
      <c r="D9" s="128" t="n">
        <v>0</v>
      </c>
      <c r="E9" s="128" t="n"/>
      <c r="F9" s="128" t="n">
        <v>0.1</v>
      </c>
      <c r="G9" s="128" t="n"/>
      <c r="H9" s="128" t="inlineStr">
        <is>
          <t>3 pairs of wheels bought for the ploughs 2 shilling.</t>
        </is>
      </c>
    </row>
    <row r="10">
      <c r="A10" s="137" t="inlineStr">
        <is>
          <t>Cost of ploughs</t>
        </is>
      </c>
      <c r="B10" s="128" t="n">
        <v>0</v>
      </c>
      <c r="C10" s="128" t="n">
        <v>0</v>
      </c>
      <c r="D10" s="128" t="n">
        <v>4</v>
      </c>
      <c r="E10" s="128" t="n"/>
      <c r="F10" s="128" t="n">
        <v>0.02</v>
      </c>
      <c r="G10" s="128" t="n"/>
      <c r="H10" s="128" t="inlineStr">
        <is>
          <t>4 yokes made 4pence.</t>
        </is>
      </c>
    </row>
    <row r="11">
      <c r="A11" s="137" t="inlineStr">
        <is>
          <t>Cost of ploughs</t>
        </is>
      </c>
      <c r="B11" s="128" t="n">
        <v>0</v>
      </c>
      <c r="C11" s="128" t="n">
        <v>0</v>
      </c>
      <c r="D11" s="128" t="n">
        <v>8</v>
      </c>
      <c r="E11" s="128" t="n"/>
      <c r="F11" s="128" t="n">
        <v>0.03</v>
      </c>
      <c r="G11" s="128" t="n"/>
      <c r="H11" s="128" t="inlineStr">
        <is>
          <t>1 ploughshare bought Is. 8pence.</t>
        </is>
      </c>
    </row>
    <row r="12">
      <c r="A12" s="137" t="inlineStr">
        <is>
          <t>Cost of ploughs</t>
        </is>
      </c>
      <c r="B12" s="128" t="n">
        <v>0</v>
      </c>
      <c r="C12" s="128" t="n">
        <v>0</v>
      </c>
      <c r="D12" s="128" t="n">
        <v>4</v>
      </c>
      <c r="E12" s="128" t="n"/>
      <c r="F12" s="128" t="n">
        <v>0.02</v>
      </c>
      <c r="G12" s="128" t="n"/>
      <c r="H12" s="128" t="inlineStr">
        <is>
          <t>4 halters bought 4pence.</t>
        </is>
      </c>
    </row>
    <row r="13">
      <c r="A13" s="137" t="inlineStr">
        <is>
          <t>Cost of ploughs</t>
        </is>
      </c>
      <c r="B13" s="128" t="n">
        <v>0</v>
      </c>
      <c r="C13" s="128" t="n">
        <v>0</v>
      </c>
      <c r="D13" s="128" t="n">
        <v>8</v>
      </c>
      <c r="E13" s="128" t="n"/>
      <c r="F13" s="128" t="n">
        <v>0.03</v>
      </c>
      <c r="G13" s="128" t="n"/>
      <c r="H13" s="128" t="inlineStr">
        <is>
          <t>remaking broken iron staples and rings 8pence.</t>
        </is>
      </c>
    </row>
    <row r="14">
      <c r="A14" s="137" t="inlineStr">
        <is>
          <t>Cost of ploughs</t>
        </is>
      </c>
      <c r="B14" s="128" t="n">
        <v>0</v>
      </c>
      <c r="C14" s="128" t="n">
        <v>0</v>
      </c>
      <c r="D14" s="128" t="n">
        <v>8</v>
      </c>
      <c r="E14" s="128" t="n"/>
      <c r="F14" s="128" t="n">
        <v>0.03</v>
      </c>
      <c r="G14" s="128" t="n"/>
      <c r="H14" s="128" t="inlineStr">
        <is>
          <t>boon-works of 8 ploughmen from the customary tenants who ploughed 8 acres as they lie 8pence.</t>
        </is>
      </c>
    </row>
    <row r="15">
      <c r="A15" s="137" t="inlineStr">
        <is>
          <t>Cost of ploughs</t>
        </is>
      </c>
      <c r="B15" s="128" t="n">
        <v>0</v>
      </c>
      <c r="C15" s="128" t="n">
        <v>2</v>
      </c>
      <c r="D15" s="128" t="n">
        <v>4</v>
      </c>
      <c r="E15" s="128" t="n"/>
      <c r="F15" s="128" t="n">
        <v>0.12</v>
      </c>
      <c r="G15" s="128" t="n"/>
      <c r="H15" s="128" t="inlineStr">
        <is>
          <t>shoeing 18 oxen and fastening them again 2 shilling 4pence.</t>
        </is>
      </c>
    </row>
    <row r="16">
      <c r="A16" s="137" t="inlineStr">
        <is>
          <t>Cost of ploughs</t>
        </is>
      </c>
      <c r="B16" s="128" t="n">
        <v>0</v>
      </c>
      <c r="C16" s="128" t="n">
        <v>6</v>
      </c>
      <c r="D16" s="128" t="n">
        <v>0</v>
      </c>
      <c r="E16" s="128" t="n"/>
      <c r="F16" s="128" t="n">
        <v>0.3</v>
      </c>
      <c r="G16" s="128" t="n"/>
      <c r="H16" s="128" t="inlineStr">
        <is>
          <t>shoeing 4 plough-horses for the year 6 shilling.</t>
        </is>
      </c>
    </row>
    <row r="17">
      <c r="A17" s="137" t="inlineStr">
        <is>
          <t>Cost of ploughs</t>
        </is>
      </c>
      <c r="B17" s="128" t="n">
        <v>0</v>
      </c>
      <c r="C17" s="128" t="n">
        <v>8</v>
      </c>
      <c r="D17" s="128" t="n">
        <v>0</v>
      </c>
      <c r="E17" s="128" t="n"/>
      <c r="F17" s="128" t="n">
        <v>0.4</v>
      </c>
      <c r="G17" s="128" t="n"/>
      <c r="H17" s="128" t="inlineStr">
        <is>
          <t>stipend of 2 drovers for the year 8 shilling.</t>
        </is>
      </c>
    </row>
    <row r="18">
      <c r="A18" s="137" t="inlineStr">
        <is>
          <t>Cost of ploughs</t>
        </is>
      </c>
      <c r="B18" s="128" t="n">
        <v>0</v>
      </c>
      <c r="C18" s="128" t="n">
        <v>0</v>
      </c>
      <c r="D18" s="128" t="n">
        <v>8</v>
      </c>
      <c r="E18" s="128" t="n"/>
      <c r="F18" s="128" t="n">
        <v>0.03</v>
      </c>
      <c r="G18" s="128" t="n"/>
      <c r="H18" s="128" t="inlineStr">
        <is>
          <t>3 harrows made 8pence.</t>
        </is>
      </c>
    </row>
    <row r="19">
      <c r="A19" s="137" t="inlineStr">
        <is>
          <t>Cost of ploughs</t>
        </is>
      </c>
      <c r="B19" s="128" t="n">
        <v>2</v>
      </c>
      <c r="C19" s="128" t="n">
        <v>3</v>
      </c>
      <c r="D19" s="128" t="n">
        <v>5</v>
      </c>
      <c r="E19" s="128" t="n"/>
      <c r="F19" s="128" t="n">
        <v>2.17</v>
      </c>
      <c r="G19" s="128" t="n"/>
      <c r="H19" s="128" t="inlineStr">
        <is>
          <t>Total, £2 3 shilling 5pence.</t>
        </is>
      </c>
    </row>
    <row r="20">
      <c r="A20" s="138" t="inlineStr">
        <is>
          <t>Cost of ploughs total</t>
        </is>
      </c>
      <c r="B20" s="139" t="n"/>
      <c r="C20" s="139" t="n"/>
      <c r="D20" s="139" t="n"/>
      <c r="E20" s="139" t="n"/>
      <c r="F20" s="139" t="n">
        <v>2.03</v>
      </c>
      <c r="G20" s="139" t="n">
        <v>-0.14</v>
      </c>
      <c r="H20" s="139" t="inlineStr">
        <is>
          <t>Total</t>
        </is>
      </c>
    </row>
    <row r="21">
      <c r="A21" s="137" t="n"/>
      <c r="B21" s="128" t="n"/>
      <c r="C21" s="128" t="n"/>
      <c r="D21" s="128" t="n"/>
      <c r="E21" s="128" t="n"/>
      <c r="F21" s="128" t="n"/>
      <c r="G21" s="128" t="n"/>
      <c r="H21" s="128" t="n"/>
    </row>
    <row r="22">
      <c r="A22" s="136" t="inlineStr">
        <is>
          <t>Cost of carts</t>
        </is>
      </c>
      <c r="B22" s="128" t="n">
        <v>0</v>
      </c>
      <c r="C22" s="128" t="n">
        <v>1</v>
      </c>
      <c r="D22" s="128" t="n">
        <v>8</v>
      </c>
      <c r="E22" s="128" t="n"/>
      <c r="F22" s="128" t="n">
        <v>0.08</v>
      </c>
      <c r="G22" s="128" t="n"/>
      <c r="H22" s="128" t="inlineStr">
        <is>
          <t>In 8 clouts with nails bought for the cart for the year 1 shilling 8pence.</t>
        </is>
      </c>
    </row>
    <row r="23">
      <c r="A23" s="137" t="inlineStr">
        <is>
          <t>Cost of carts</t>
        </is>
      </c>
      <c r="B23" s="128" t="n">
        <v>0</v>
      </c>
      <c r="C23" s="128" t="n">
        <v>0</v>
      </c>
      <c r="D23" s="128" t="n">
        <v>6</v>
      </c>
      <c r="E23" s="128" t="n"/>
      <c r="F23" s="128" t="n">
        <v>0.03</v>
      </c>
      <c r="G23" s="128" t="n"/>
      <c r="H23" s="128" t="inlineStr">
        <is>
          <t>fitting the cart with axles 6pence.</t>
        </is>
      </c>
    </row>
    <row r="24">
      <c r="A24" s="137" t="inlineStr">
        <is>
          <t>Cost of carts</t>
        </is>
      </c>
      <c r="B24" s="128" t="n">
        <v>0</v>
      </c>
      <c r="C24" s="128" t="n">
        <v>0</v>
      </c>
      <c r="D24" s="128" t="n">
        <v>6</v>
      </c>
      <c r="E24" s="128" t="n"/>
      <c r="F24" s="128" t="n">
        <v>0.03</v>
      </c>
      <c r="G24" s="128" t="n"/>
      <c r="H24" s="128" t="inlineStr">
        <is>
          <t>grease bought for the same 6pence.</t>
        </is>
      </c>
    </row>
    <row r="25">
      <c r="A25" s="137" t="inlineStr">
        <is>
          <t>Cost of carts</t>
        </is>
      </c>
      <c r="B25" s="128" t="n">
        <v>0</v>
      </c>
      <c r="C25" s="128" t="n">
        <v>2</v>
      </c>
      <c r="D25" s="128" t="n">
        <v>3</v>
      </c>
      <c r="E25" s="128" t="n"/>
      <c r="F25" s="128" t="n">
        <v>0.11</v>
      </c>
      <c r="G25" s="128" t="n"/>
      <c r="H25" s="128" t="inlineStr">
        <is>
          <t>3 collars bought 2 shilling 3pence.</t>
        </is>
      </c>
    </row>
    <row r="26">
      <c r="A26" s="137" t="inlineStr">
        <is>
          <t>Cost of carts</t>
        </is>
      </c>
      <c r="B26" s="128" t="n">
        <v>0</v>
      </c>
      <c r="C26" s="128" t="n">
        <v>1</v>
      </c>
      <c r="D26" s="128" t="n">
        <v>0</v>
      </c>
      <c r="E26" s="128" t="n"/>
      <c r="F26" s="128" t="n">
        <v>0.05</v>
      </c>
      <c r="G26" s="128" t="n"/>
      <c r="H26" s="128" t="inlineStr">
        <is>
          <t>2 pairs of traces bought 1 shilling.</t>
        </is>
      </c>
    </row>
    <row r="27">
      <c r="A27" s="137" t="inlineStr">
        <is>
          <t>Cost of carts</t>
        </is>
      </c>
      <c r="B27" s="128" t="n">
        <v>0</v>
      </c>
      <c r="C27" s="128" t="n">
        <v>1</v>
      </c>
      <c r="D27" s="128" t="n">
        <v>0</v>
      </c>
      <c r="E27" s="128" t="n"/>
      <c r="F27" s="128" t="n">
        <v>0.05</v>
      </c>
      <c r="G27" s="128" t="n"/>
      <c r="H27" s="128" t="inlineStr">
        <is>
          <t>white leather bought 1 shilling.</t>
        </is>
      </c>
    </row>
    <row r="28">
      <c r="A28" s="137" t="inlineStr">
        <is>
          <t>Cost of carts</t>
        </is>
      </c>
      <c r="B28" s="128" t="n">
        <v>0</v>
      </c>
      <c r="C28" s="128" t="n">
        <v>0</v>
      </c>
      <c r="D28" s="128" t="n">
        <v>3</v>
      </c>
      <c r="E28" s="128" t="n"/>
      <c r="F28" s="128" t="n">
        <v>0.01</v>
      </c>
      <c r="G28" s="128" t="n"/>
      <c r="H28" s="128" t="inlineStr">
        <is>
          <t>3 halters bought 3pence.</t>
        </is>
      </c>
    </row>
    <row r="29">
      <c r="A29" s="137" t="inlineStr">
        <is>
          <t>Cost of carts</t>
        </is>
      </c>
      <c r="B29" s="128" t="n">
        <v>0</v>
      </c>
      <c r="C29" s="128" t="n">
        <v>0</v>
      </c>
      <c r="D29" s="128" t="n">
        <v>8</v>
      </c>
      <c r="E29" s="128" t="n"/>
      <c r="F29" s="128" t="n">
        <v>0.03</v>
      </c>
      <c r="G29" s="128" t="n"/>
      <c r="H29" s="128" t="inlineStr">
        <is>
          <t>1 cart-rail bought for the cart 8pence.</t>
        </is>
      </c>
    </row>
    <row r="30">
      <c r="A30" s="137" t="inlineStr">
        <is>
          <t>Cost of carts</t>
        </is>
      </c>
      <c r="B30" s="128" t="n">
        <v>0</v>
      </c>
      <c r="C30" s="128" t="n">
        <v>6</v>
      </c>
      <c r="D30" s="128" t="n">
        <v>0</v>
      </c>
      <c r="E30" s="128" t="n"/>
      <c r="F30" s="128" t="n">
        <v>0.3</v>
      </c>
      <c r="G30" s="128" t="n"/>
      <c r="H30" s="128" t="inlineStr">
        <is>
          <t>shoeing 3 horses for the year 6 shilling.</t>
        </is>
      </c>
    </row>
    <row r="31">
      <c r="A31" s="137" t="inlineStr">
        <is>
          <t>Cost of carts</t>
        </is>
      </c>
      <c r="B31" s="128" t="n">
        <v>0</v>
      </c>
      <c r="C31" s="128" t="n">
        <v>4</v>
      </c>
      <c r="D31" s="128" t="n">
        <v>0</v>
      </c>
      <c r="E31" s="128" t="n"/>
      <c r="F31" s="128" t="n">
        <v>0.2</v>
      </c>
      <c r="G31" s="128" t="n"/>
      <c r="H31" s="128" t="inlineStr">
        <is>
          <t>stipend of 1 carter for the year 4 shilling.</t>
        </is>
      </c>
    </row>
    <row r="32">
      <c r="A32" s="137" t="inlineStr">
        <is>
          <t>Cost of carts</t>
        </is>
      </c>
      <c r="B32" s="128" t="n">
        <v>0</v>
      </c>
      <c r="C32" s="128" t="n">
        <v>17</v>
      </c>
      <c r="D32" s="128" t="n">
        <v>10</v>
      </c>
      <c r="E32" s="128" t="n"/>
      <c r="F32" s="128" t="n">
        <v>0.89</v>
      </c>
      <c r="G32" s="128" t="n"/>
      <c r="H32" s="128" t="inlineStr">
        <is>
          <t>Total, 17 shilling 10pence.</t>
        </is>
      </c>
    </row>
    <row r="33">
      <c r="A33" s="138" t="inlineStr">
        <is>
          <t>Cost of carts total</t>
        </is>
      </c>
      <c r="B33" s="139" t="n"/>
      <c r="C33" s="139" t="n"/>
      <c r="D33" s="139" t="n"/>
      <c r="E33" s="139" t="n"/>
      <c r="F33" s="139" t="n">
        <v>0.89</v>
      </c>
      <c r="G33" s="139" t="n">
        <v>0</v>
      </c>
      <c r="H33" s="139" t="inlineStr">
        <is>
          <t>Total</t>
        </is>
      </c>
    </row>
    <row r="34">
      <c r="A34" s="137" t="n"/>
      <c r="B34" s="128" t="n"/>
      <c r="C34" s="128" t="n"/>
      <c r="D34" s="128" t="n"/>
      <c r="E34" s="128" t="n"/>
      <c r="F34" s="128" t="n"/>
      <c r="G34" s="128" t="n"/>
      <c r="H34" s="128" t="n"/>
    </row>
    <row r="35">
      <c r="A35" s="136" t="inlineStr">
        <is>
          <t>Purchase of stock</t>
        </is>
      </c>
      <c r="B35" s="128" t="n">
        <v>0</v>
      </c>
      <c r="C35" s="128" t="n">
        <v>4</v>
      </c>
      <c r="D35" s="128" t="n">
        <v>1</v>
      </c>
      <c r="E35" s="128" t="n"/>
      <c r="F35" s="128" t="n">
        <v>0.2</v>
      </c>
      <c r="G35" s="128" t="n"/>
      <c r="H35" s="128" t="inlineStr">
        <is>
          <t>In 1 horse bought in the market £ 1 4 shilling 1pence.</t>
        </is>
      </c>
    </row>
    <row r="36">
      <c r="A36" s="137" t="inlineStr">
        <is>
          <t>Purchase of stock</t>
        </is>
      </c>
      <c r="B36" s="128" t="n">
        <v>0</v>
      </c>
      <c r="C36" s="128" t="n">
        <v>0</v>
      </c>
      <c r="D36" s="128" t="n">
        <v>0</v>
      </c>
      <c r="E36" s="128" t="n"/>
      <c r="F36" s="128" t="n">
        <v>0</v>
      </c>
      <c r="G36" s="128" t="n"/>
      <c r="H36" s="128" t="inlineStr">
        <is>
          <t>1 horse bought from the lord's household without price.</t>
        </is>
      </c>
    </row>
    <row r="37">
      <c r="A37" s="137" t="inlineStr">
        <is>
          <t>Purchase of stock</t>
        </is>
      </c>
      <c r="B37" s="128" t="n">
        <v>2</v>
      </c>
      <c r="C37" s="128" t="n">
        <v>2</v>
      </c>
      <c r="D37" s="128" t="n">
        <v>0</v>
      </c>
      <c r="E37" s="128" t="n"/>
      <c r="F37" s="128" t="n">
        <v>2.1</v>
      </c>
      <c r="G37" s="128" t="n"/>
      <c r="H37" s="128" t="inlineStr">
        <is>
          <t>3 oxen bought £2 2 shilling, at 14 shilling each.</t>
        </is>
      </c>
    </row>
    <row r="38">
      <c r="A38" s="137" t="inlineStr">
        <is>
          <t>Purchase of stock</t>
        </is>
      </c>
      <c r="B38" s="128" t="n">
        <v>2</v>
      </c>
      <c r="C38" s="128" t="n">
        <v>15</v>
      </c>
      <c r="D38" s="128" t="n">
        <v>3</v>
      </c>
      <c r="E38" s="128" t="n"/>
      <c r="F38" s="128" t="n">
        <v>2.76</v>
      </c>
      <c r="G38" s="128" t="n"/>
      <c r="H38" s="128" t="inlineStr">
        <is>
          <t>51 lambs bought £2 15 shilling 3pence, at an average of 1 shilling 1pence each.</t>
        </is>
      </c>
    </row>
    <row r="39">
      <c r="A39" s="137" t="inlineStr">
        <is>
          <t>Purchase of stock</t>
        </is>
      </c>
      <c r="B39" s="128" t="n">
        <v>6</v>
      </c>
      <c r="C39" s="128" t="n">
        <v>1</v>
      </c>
      <c r="D39" s="128" t="n">
        <v>4</v>
      </c>
      <c r="E39" s="128" t="n"/>
      <c r="F39" s="128" t="n">
        <v>6.07</v>
      </c>
      <c r="G39" s="128" t="n"/>
      <c r="H39" s="128" t="inlineStr">
        <is>
          <t>Total, £6 1 shilling 4pence.</t>
        </is>
      </c>
    </row>
    <row r="40">
      <c r="A40" s="138" t="inlineStr">
        <is>
          <t>Purchase of stock total</t>
        </is>
      </c>
      <c r="B40" s="139" t="n"/>
      <c r="C40" s="139" t="n"/>
      <c r="D40" s="139" t="n"/>
      <c r="E40" s="139" t="n"/>
      <c r="F40" s="139" t="n">
        <v>5.06</v>
      </c>
      <c r="G40" s="139" t="n">
        <v>-1.01</v>
      </c>
      <c r="H40" s="139" t="inlineStr">
        <is>
          <t>Total</t>
        </is>
      </c>
    </row>
    <row r="41">
      <c r="A41" s="137" t="n"/>
      <c r="B41" s="128" t="n"/>
      <c r="C41" s="128" t="n"/>
      <c r="D41" s="128" t="n"/>
      <c r="E41" s="128" t="n"/>
      <c r="F41" s="128" t="n"/>
      <c r="G41" s="128" t="n"/>
      <c r="H41" s="128" t="n"/>
    </row>
    <row r="42">
      <c r="A42" s="136" t="inlineStr">
        <is>
          <t>Weeding</t>
        </is>
      </c>
      <c r="B42" s="128" t="n">
        <v>0</v>
      </c>
      <c r="C42" s="128" t="n">
        <v>6</v>
      </c>
      <c r="D42" s="128" t="n">
        <v>8</v>
      </c>
      <c r="E42" s="128" t="n"/>
      <c r="F42" s="128" t="n">
        <v>0.33</v>
      </c>
      <c r="G42" s="128" t="n"/>
      <c r="H42" s="128" t="inlineStr">
        <is>
          <t>In weeding the lord's corn this year by piece-work 6 shilling 8pence.</t>
        </is>
      </c>
    </row>
    <row r="43">
      <c r="A43" s="137" t="inlineStr">
        <is>
          <t>Weeding</t>
        </is>
      </c>
      <c r="B43" s="128" t="n">
        <v>0</v>
      </c>
      <c r="C43" s="128" t="n">
        <v>6</v>
      </c>
      <c r="D43" s="128" t="n">
        <v>8</v>
      </c>
      <c r="E43" s="128" t="n"/>
      <c r="F43" s="128" t="n">
        <v>0.33</v>
      </c>
      <c r="G43" s="128" t="n"/>
      <c r="H43" s="128" t="inlineStr">
        <is>
          <t>Total, 6 shilling 8pence.</t>
        </is>
      </c>
    </row>
    <row r="44">
      <c r="A44" s="138" t="inlineStr">
        <is>
          <t>Weeding total</t>
        </is>
      </c>
      <c r="B44" s="139" t="n"/>
      <c r="C44" s="139" t="n"/>
      <c r="D44" s="139" t="n"/>
      <c r="E44" s="139" t="n"/>
      <c r="F44" s="139" t="n">
        <v>0.33</v>
      </c>
      <c r="G44" s="139" t="n">
        <v>0</v>
      </c>
      <c r="H44" s="139" t="inlineStr">
        <is>
          <t>Total</t>
        </is>
      </c>
    </row>
    <row r="45">
      <c r="A45" s="137" t="n"/>
      <c r="B45" s="128" t="n"/>
      <c r="C45" s="128" t="n"/>
      <c r="D45" s="128" t="n"/>
      <c r="E45" s="128" t="n"/>
      <c r="F45" s="128" t="n"/>
      <c r="G45" s="128" t="n"/>
      <c r="H45" s="128" t="n"/>
    </row>
    <row r="46">
      <c r="A46" s="136" t="inlineStr">
        <is>
          <t>Threshing and winnowing</t>
        </is>
      </c>
      <c r="B46" s="128" t="n">
        <v>0</v>
      </c>
      <c r="C46" s="128" t="n">
        <v>2</v>
      </c>
      <c r="D46" s="128" t="n">
        <v>2</v>
      </c>
      <c r="E46" s="128" t="n"/>
      <c r="F46" s="128" t="n">
        <v>0.11</v>
      </c>
      <c r="G46" s="128" t="n"/>
      <c r="H46" s="128" t="inlineStr">
        <is>
          <t>In threshing 3 quarters 6 bushels of peas and 5 quarters of vetches by piece-work 2 shilling 2pence, at 3pence a qr.</t>
        </is>
      </c>
    </row>
    <row r="47">
      <c r="A47" s="137" t="inlineStr">
        <is>
          <t>Threshing and winnowing</t>
        </is>
      </c>
      <c r="B47" s="128" t="n">
        <v>0</v>
      </c>
      <c r="C47" s="128" t="n">
        <v>13</v>
      </c>
      <c r="D47" s="128" t="n">
        <v>5</v>
      </c>
      <c r="E47" s="128" t="n"/>
      <c r="F47" s="128" t="n">
        <v>0.67</v>
      </c>
      <c r="G47" s="128" t="n"/>
      <c r="H47" s="128" t="inlineStr">
        <is>
          <t>threshing 80 quarters 5 bushels of barley by piece-work 13 shilling 5pence, at 2pence a qr.</t>
        </is>
      </c>
    </row>
    <row r="48">
      <c r="A48" s="137" t="inlineStr">
        <is>
          <t>Threshing and winnowing</t>
        </is>
      </c>
      <c r="B48" s="128" t="n">
        <v>0</v>
      </c>
      <c r="C48" s="128" t="n">
        <v>6</v>
      </c>
      <c r="D48" s="128" t="n">
        <v>6</v>
      </c>
      <c r="E48" s="128" t="n"/>
      <c r="F48" s="128" t="n">
        <v>0.33</v>
      </c>
      <c r="G48" s="128" t="n"/>
      <c r="H48" s="128" t="inlineStr">
        <is>
          <t>threshing 52 quarters of oats by piece-work 6 shilling 6pence, at 1.5pence a qr.</t>
        </is>
      </c>
    </row>
    <row r="49">
      <c r="A49" s="137" t="inlineStr">
        <is>
          <t>Threshing and winnowing</t>
        </is>
      </c>
      <c r="B49" s="128" t="n">
        <v>0</v>
      </c>
      <c r="C49" s="128" t="n">
        <v>2</v>
      </c>
      <c r="D49" s="128" t="n">
        <v>1</v>
      </c>
      <c r="E49" s="128" t="n"/>
      <c r="F49" s="128" t="n">
        <v>0.1</v>
      </c>
      <c r="G49" s="128" t="n"/>
      <c r="H49" s="128" t="inlineStr">
        <is>
          <t>winnowing a moiety of the said corn by piece-work, which made 71 quarters 1.5 bushels, 2 shilling, at 1pence per 3 quarters.</t>
        </is>
      </c>
    </row>
    <row r="50">
      <c r="A50" s="137" t="inlineStr">
        <is>
          <t>Threshing and winnowing</t>
        </is>
      </c>
      <c r="B50" s="128" t="n">
        <v>1</v>
      </c>
      <c r="C50" s="128" t="n">
        <v>4</v>
      </c>
      <c r="D50" s="128" t="n">
        <v>1</v>
      </c>
      <c r="E50" s="128" t="n"/>
      <c r="F50" s="128" t="n">
        <v>1.2</v>
      </c>
      <c r="G50" s="128" t="n"/>
      <c r="H50" s="128" t="inlineStr">
        <is>
          <t>Total, £1 4 shilling 1pence.</t>
        </is>
      </c>
    </row>
    <row r="51">
      <c r="A51" s="138" t="inlineStr">
        <is>
          <t>Threshing and winnowing total</t>
        </is>
      </c>
      <c r="B51" s="139" t="n"/>
      <c r="C51" s="139" t="n"/>
      <c r="D51" s="139" t="n"/>
      <c r="E51" s="139" t="n"/>
      <c r="F51" s="139" t="n">
        <v>1.21</v>
      </c>
      <c r="G51" s="139" t="n">
        <v>0.01</v>
      </c>
      <c r="H51" s="139" t="inlineStr">
        <is>
          <t>Total</t>
        </is>
      </c>
    </row>
    <row r="52">
      <c r="A52" s="137" t="n"/>
      <c r="B52" s="128" t="n"/>
      <c r="C52" s="128" t="n"/>
      <c r="D52" s="128" t="n"/>
      <c r="E52" s="128" t="n"/>
      <c r="F52" s="128" t="n"/>
      <c r="G52" s="128" t="n"/>
      <c r="H52" s="128" t="n"/>
    </row>
    <row r="53">
      <c r="A53" s="136" t="inlineStr">
        <is>
          <t>Cost of the harvest</t>
        </is>
      </c>
      <c r="B53" s="128" t="n">
        <v>0</v>
      </c>
      <c r="C53" s="128" t="n">
        <v>7</v>
      </c>
      <c r="D53" s="128" t="n">
        <v>2.5</v>
      </c>
      <c r="E53" s="128" t="n"/>
      <c r="F53" s="128" t="n">
        <v>0.36</v>
      </c>
      <c r="G53" s="128" t="n"/>
      <c r="H53" s="128" t="inlineStr">
        <is>
          <t>In bread and relish bought for 149 customary tenants as if for 1 day and 8 officials of the curia for 3 days who reaped 51 acres and carried 50 acres of wheat by the perch 7 shilling 2.5pence, at .5pence of bread each.</t>
        </is>
      </c>
    </row>
    <row r="54">
      <c r="A54" s="137" t="inlineStr">
        <is>
          <t>Cost of the harvest</t>
        </is>
      </c>
      <c r="B54" s="128" t="n">
        <v>0</v>
      </c>
      <c r="C54" s="128" t="n">
        <v>2</v>
      </c>
      <c r="D54" s="128" t="n">
        <v>0</v>
      </c>
      <c r="E54" s="128" t="n"/>
      <c r="F54" s="128" t="n">
        <v>0.1</v>
      </c>
      <c r="G54" s="128" t="n"/>
      <c r="H54" s="128" t="inlineStr">
        <is>
          <t>ale bought for the same 2 shilling.</t>
        </is>
      </c>
    </row>
    <row r="55">
      <c r="A55" s="137" t="inlineStr">
        <is>
          <t>Cost of the harvest</t>
        </is>
      </c>
      <c r="B55" s="128" t="n">
        <v>0</v>
      </c>
      <c r="C55" s="128" t="n">
        <v>3</v>
      </c>
      <c r="D55" s="128" t="n">
        <v>0</v>
      </c>
      <c r="E55" s="128" t="n"/>
      <c r="F55" s="128" t="n">
        <v>0.15</v>
      </c>
      <c r="G55" s="128" t="n"/>
      <c r="H55" s="128" t="inlineStr">
        <is>
          <t>cheese bought for the same 3 shilling Wad., at 'Ad. of cheese each.</t>
        </is>
      </c>
    </row>
    <row r="56">
      <c r="A56" s="137" t="inlineStr">
        <is>
          <t>Cost of the harvest</t>
        </is>
      </c>
      <c r="B56" s="128" t="n">
        <v>5</v>
      </c>
      <c r="C56" s="128" t="n">
        <v>1</v>
      </c>
      <c r="D56" s="128" t="n">
        <v>3</v>
      </c>
      <c r="E56" s="128" t="n"/>
      <c r="F56" s="128" t="n">
        <v>5.06</v>
      </c>
      <c r="G56" s="128" t="n"/>
      <c r="H56" s="128" t="inlineStr">
        <is>
          <t>10 acres of wheat, 50 acres of barley, 15 acres of peas, 20 acres of vetches and 40 acres of oats reaped, bound and carried by piece-work £5 1 shilling 3pence, at 9pence an acre.</t>
        </is>
      </c>
    </row>
    <row r="57">
      <c r="A57" s="137" t="inlineStr">
        <is>
          <t>Cost of the harvest</t>
        </is>
      </c>
      <c r="B57" s="128" t="n">
        <v>0</v>
      </c>
      <c r="C57" s="128" t="n">
        <v>6</v>
      </c>
      <c r="D57" s="128" t="n">
        <v>8</v>
      </c>
      <c r="E57" s="128" t="n"/>
      <c r="F57" s="128" t="n">
        <v>0.33</v>
      </c>
      <c r="G57" s="128" t="n"/>
      <c r="H57" s="128" t="inlineStr">
        <is>
          <t>stipend of 1 hayward for the year 6 shilling 8pence.</t>
        </is>
      </c>
    </row>
    <row r="58">
      <c r="A58" s="137" t="inlineStr">
        <is>
          <t>Cost of the harvest</t>
        </is>
      </c>
      <c r="B58" s="128" t="n">
        <v>6</v>
      </c>
      <c r="C58" s="128" t="n">
        <v>0</v>
      </c>
      <c r="D58" s="128" t="n">
        <v>8.25</v>
      </c>
      <c r="E58" s="128" t="n"/>
      <c r="F58" s="128" t="n">
        <v>6.03</v>
      </c>
      <c r="G58" s="128" t="n"/>
      <c r="H58" s="128" t="inlineStr">
        <is>
          <t>Total, £6 8.25pence.</t>
        </is>
      </c>
    </row>
    <row r="59">
      <c r="A59" s="138" t="inlineStr">
        <is>
          <t>Cost of the harvest total</t>
        </is>
      </c>
      <c r="B59" s="139" t="n"/>
      <c r="C59" s="139" t="n"/>
      <c r="D59" s="139" t="n"/>
      <c r="E59" s="139" t="n"/>
      <c r="F59" s="139" t="n">
        <v>6</v>
      </c>
      <c r="G59" s="139" t="n">
        <v>-0.03</v>
      </c>
      <c r="H59" s="139" t="inlineStr">
        <is>
          <t>Total</t>
        </is>
      </c>
    </row>
    <row r="60">
      <c r="A60" s="137" t="n"/>
      <c r="B60" s="128" t="n"/>
      <c r="C60" s="128" t="n"/>
      <c r="D60" s="128" t="n"/>
      <c r="E60" s="128" t="n"/>
      <c r="F60" s="128" t="n"/>
      <c r="G60" s="128" t="n"/>
      <c r="H60" s="128" t="n"/>
    </row>
    <row r="61">
      <c r="A61" s="136" t="inlineStr">
        <is>
          <t>Expenses of the steward</t>
        </is>
      </c>
      <c r="B61" s="128" t="n">
        <v>0</v>
      </c>
      <c r="C61" s="128" t="n">
        <v>6</v>
      </c>
      <c r="D61" s="128" t="n">
        <v>4</v>
      </c>
      <c r="E61" s="128" t="n"/>
      <c r="F61" s="128" t="n">
        <v>0.32</v>
      </c>
      <c r="G61" s="128" t="n"/>
      <c r="H61" s="128" t="inlineStr">
        <is>
          <t>In expenses of Richard Wyot, steward, holding the tourns of Martinmas and Hockday, by 2 sealed bills, 6 shilling 4pence.</t>
        </is>
      </c>
    </row>
    <row r="62">
      <c r="A62" s="137" t="inlineStr">
        <is>
          <t>Expenses of the steward</t>
        </is>
      </c>
      <c r="B62" s="128" t="n">
        <v>0</v>
      </c>
      <c r="C62" s="128" t="n">
        <v>1</v>
      </c>
      <c r="D62" s="128" t="n">
        <v>0</v>
      </c>
      <c r="E62" s="128" t="n"/>
      <c r="F62" s="128" t="n">
        <v>0.05</v>
      </c>
      <c r="G62" s="128" t="n"/>
      <c r="H62" s="128" t="inlineStr">
        <is>
          <t>1 bushels of wheat bought and given to the manorial servants by bill of the steward 1 shilling.</t>
        </is>
      </c>
    </row>
    <row r="63">
      <c r="A63" s="137" t="inlineStr">
        <is>
          <t>Expenses of the steward</t>
        </is>
      </c>
      <c r="B63" s="128" t="n">
        <v>0</v>
      </c>
      <c r="C63" s="128" t="n">
        <v>7</v>
      </c>
      <c r="D63" s="128" t="n">
        <v>4</v>
      </c>
      <c r="E63" s="128" t="n"/>
      <c r="F63" s="128" t="n">
        <v>0.37</v>
      </c>
      <c r="G63" s="128" t="n"/>
      <c r="H63" s="128" t="inlineStr">
        <is>
          <t>Total, 7 shilling 4pence.</t>
        </is>
      </c>
    </row>
    <row r="64">
      <c r="A64" s="138" t="inlineStr">
        <is>
          <t>Expenses of the steward total</t>
        </is>
      </c>
      <c r="B64" s="139" t="n"/>
      <c r="C64" s="139" t="n"/>
      <c r="D64" s="139" t="n"/>
      <c r="E64" s="139" t="n"/>
      <c r="F64" s="139" t="n">
        <v>0.37</v>
      </c>
      <c r="G64" s="139" t="n">
        <v>0</v>
      </c>
      <c r="H64" s="139" t="inlineStr">
        <is>
          <t>Total</t>
        </is>
      </c>
    </row>
    <row r="65">
      <c r="A65" s="137" t="n"/>
      <c r="B65" s="128" t="n"/>
      <c r="C65" s="128" t="n"/>
      <c r="D65" s="128" t="n"/>
      <c r="E65" s="128" t="n"/>
      <c r="F65" s="128" t="n"/>
      <c r="G65" s="128" t="n"/>
      <c r="H65" s="128" t="n"/>
    </row>
    <row r="66">
      <c r="A66" s="136" t="inlineStr">
        <is>
          <t>Foreign expenses</t>
        </is>
      </c>
      <c r="B66" s="128" t="n">
        <v>0</v>
      </c>
      <c r="C66" s="128" t="n">
        <v>0</v>
      </c>
      <c r="D66" s="128" t="n">
        <v>4</v>
      </c>
      <c r="E66" s="128" t="n"/>
      <c r="F66" s="128" t="n">
        <v>0.02</v>
      </c>
      <c r="G66" s="128" t="n"/>
      <c r="H66" s="128" t="inlineStr">
        <is>
          <t>In driving 12 wethers to Bishops Waltham 4pence.</t>
        </is>
      </c>
    </row>
    <row r="67">
      <c r="A67" s="137" t="inlineStr">
        <is>
          <t>Foreign expenses</t>
        </is>
      </c>
      <c r="B67" s="128" t="n">
        <v>0</v>
      </c>
      <c r="C67" s="128" t="n">
        <v>0</v>
      </c>
      <c r="D67" s="128" t="n">
        <v>4</v>
      </c>
      <c r="E67" s="128" t="n"/>
      <c r="F67" s="128" t="n">
        <v>0.02</v>
      </c>
      <c r="G67" s="128" t="n"/>
      <c r="H67" s="128" t="inlineStr">
        <is>
          <t>Total, 4pence.</t>
        </is>
      </c>
    </row>
    <row r="68">
      <c r="A68" s="138" t="inlineStr">
        <is>
          <t>Foreign expenses total</t>
        </is>
      </c>
      <c r="B68" s="139" t="n"/>
      <c r="C68" s="139" t="n"/>
      <c r="D68" s="139" t="n"/>
      <c r="E68" s="139" t="n"/>
      <c r="F68" s="139" t="n">
        <v>0.02</v>
      </c>
      <c r="G68" s="139" t="n">
        <v>0</v>
      </c>
      <c r="H68" s="139" t="inlineStr">
        <is>
          <t>Total</t>
        </is>
      </c>
    </row>
    <row r="69">
      <c r="A69" s="137" t="n"/>
      <c r="B69" s="128" t="n"/>
      <c r="C69" s="128" t="n"/>
      <c r="D69" s="128" t="n"/>
      <c r="E69" s="128" t="n"/>
      <c r="F69" s="128" t="n"/>
      <c r="G69" s="128" t="n"/>
      <c r="H69" s="128" t="n"/>
    </row>
    <row r="70">
      <c r="A70" s="137" t="inlineStr">
        <is>
          <t>Total of all expenses</t>
        </is>
      </c>
      <c r="B70" s="128" t="n">
        <v>26</v>
      </c>
      <c r="C70" s="128" t="n">
        <v>8</v>
      </c>
      <c r="D70" s="128" t="n">
        <v>5.25</v>
      </c>
      <c r="E70" s="128" t="n"/>
      <c r="F70" s="128" t="n">
        <v>26.42</v>
      </c>
      <c r="G70" s="128" t="n"/>
      <c r="H70" s="128" t="inlineStr">
        <is>
          <t>Total of all expenses, £26 8 shilling 5.25pence.</t>
        </is>
      </c>
    </row>
    <row r="71">
      <c r="A71" s="137" t="inlineStr">
        <is>
          <t>Total of all expenses</t>
        </is>
      </c>
      <c r="B71" s="128" t="n"/>
      <c r="C71" s="128" t="n"/>
      <c r="D71" s="128" t="n"/>
      <c r="E71" s="128" t="n"/>
      <c r="F71" s="128" t="n">
        <v>0</v>
      </c>
      <c r="G71" s="128" t="n">
        <v>-26.42</v>
      </c>
      <c r="H71" s="128" t="inlineStr">
        <is>
          <t>Total</t>
        </is>
      </c>
    </row>
    <row r="72">
      <c r="A72" s="137" t="n"/>
      <c r="B72" s="128" t="n"/>
      <c r="C72" s="128" t="n"/>
      <c r="D72" s="128" t="n"/>
      <c r="E72" s="128" t="n"/>
      <c r="F72" s="128" t="n"/>
      <c r="G72" s="128" t="n"/>
      <c r="H72" s="128" t="n"/>
    </row>
    <row r="73">
      <c r="A73" s="136" t="inlineStr">
        <is>
          <t>And he owes</t>
        </is>
      </c>
      <c r="B73" s="128" t="n">
        <v>50</v>
      </c>
      <c r="C73" s="128" t="n">
        <v>7</v>
      </c>
      <c r="D73" s="128" t="n">
        <v>10.25</v>
      </c>
      <c r="E73" s="128" t="n"/>
      <c r="F73" s="128" t="n">
        <v>50.39</v>
      </c>
      <c r="G73" s="128" t="n"/>
      <c r="H73" s="128" t="inlineStr">
        <is>
          <t>And he owes, £50 7 shilling 10.25pence.</t>
        </is>
      </c>
    </row>
    <row r="74">
      <c r="A74" s="137" t="inlineStr">
        <is>
          <t>And he owes</t>
        </is>
      </c>
      <c r="B74" s="128" t="n"/>
      <c r="C74" s="128" t="n"/>
      <c r="D74" s="128" t="n"/>
      <c r="E74" s="128" t="n"/>
      <c r="F74" s="128" t="n">
        <v>50.39</v>
      </c>
      <c r="G74" s="128" t="n"/>
      <c r="H74" s="128" t="inlineStr">
        <is>
          <t>Total</t>
        </is>
      </c>
    </row>
    <row r="75">
      <c r="A75" s="138" t="inlineStr">
        <is>
          <t>And he owes total</t>
        </is>
      </c>
      <c r="B75" s="139" t="n">
        <v>0</v>
      </c>
      <c r="C75" s="139" t="n">
        <v>18</v>
      </c>
      <c r="D75" s="139" t="n">
        <v>6</v>
      </c>
      <c r="E75" s="139" t="n"/>
      <c r="F75" s="139" t="n">
        <v>0.93</v>
      </c>
      <c r="G75" s="139" t="n">
        <v>-49.46</v>
      </c>
      <c r="H75" s="139" t="inlineStr">
        <is>
          <t>And he owes, 18 shilling 6pence, all of which is in the hands of the escheator.</t>
        </is>
      </c>
    </row>
    <row r="76">
      <c r="A76" s="137" t="n"/>
      <c r="B76" s="128" t="n"/>
      <c r="C76" s="128" t="n"/>
      <c r="D76" s="128" t="n"/>
      <c r="E76" s="128" t="n"/>
      <c r="F76" s="128" t="n"/>
      <c r="G76" s="128" t="n"/>
      <c r="H76" s="128" t="n"/>
    </row>
    <row r="77">
      <c r="A77" s="136" t="inlineStr">
        <is>
          <t>Cash deliveries</t>
        </is>
      </c>
      <c r="B77" s="128" t="n">
        <v>44</v>
      </c>
      <c r="C77" s="128" t="n">
        <v>6</v>
      </c>
      <c r="D77" s="128" t="n">
        <v>8</v>
      </c>
      <c r="E77" s="128" t="n"/>
      <c r="F77" s="128" t="n">
        <v>44.33</v>
      </c>
      <c r="G77" s="128" t="n"/>
      <c r="H77" s="128" t="inlineStr">
        <is>
          <t>In cash delivered to John Arnold', receiver of Wolvesey, by 1 tally, £44 6 shilling 8pence.</t>
        </is>
      </c>
    </row>
    <row r="78">
      <c r="A78" s="137" t="inlineStr">
        <is>
          <t>Cash deliveries</t>
        </is>
      </c>
      <c r="B78" s="128" t="n">
        <v>44</v>
      </c>
      <c r="C78" s="128" t="n">
        <v>6</v>
      </c>
      <c r="D78" s="128" t="n">
        <v>8</v>
      </c>
      <c r="E78" s="128" t="n"/>
      <c r="F78" s="128" t="n">
        <v>44.33</v>
      </c>
      <c r="G78" s="128" t="n"/>
      <c r="H78" s="128" t="inlineStr">
        <is>
          <t>Total, £44 6 shilling 8pence.</t>
        </is>
      </c>
    </row>
    <row r="79">
      <c r="A79" s="138" t="inlineStr">
        <is>
          <t>Cash deliveries total</t>
        </is>
      </c>
      <c r="B79" s="139" t="n"/>
      <c r="C79" s="139" t="n"/>
      <c r="D79" s="139" t="n"/>
      <c r="E79" s="139" t="n"/>
      <c r="F79" s="139" t="n">
        <v>44.33</v>
      </c>
      <c r="G79" s="139" t="n">
        <v>0</v>
      </c>
      <c r="H79" s="139" t="inlineStr">
        <is>
          <t>Total</t>
        </is>
      </c>
    </row>
    <row r="80">
      <c r="A80" s="137" t="n"/>
      <c r="B80" s="128" t="n"/>
      <c r="C80" s="128" t="n"/>
      <c r="D80" s="128" t="n"/>
      <c r="E80" s="128" t="n"/>
      <c r="F80" s="128" t="n"/>
      <c r="G80" s="128" t="n"/>
      <c r="H80" s="128" t="n"/>
    </row>
    <row r="81">
      <c r="A81" s="136" t="inlineStr">
        <is>
          <t>Total of all allowances and cash deliveries</t>
        </is>
      </c>
      <c r="B81" s="128" t="n">
        <v>49</v>
      </c>
      <c r="C81" s="128" t="n">
        <v>9</v>
      </c>
      <c r="D81" s="128" t="n">
        <v>4.25</v>
      </c>
      <c r="E81" s="128" t="n"/>
      <c r="F81" s="128" t="n">
        <v>49.47</v>
      </c>
      <c r="G81" s="128" t="n"/>
      <c r="H81" s="128" t="inlineStr">
        <is>
          <t>Total of all allowances and cash deliveries, £49 9 shilling 4.25pence.</t>
        </is>
      </c>
    </row>
    <row r="82">
      <c r="A82" s="138" t="inlineStr">
        <is>
          <t>Total of all allowances and cash deliveries total</t>
        </is>
      </c>
      <c r="B82" s="139" t="n"/>
      <c r="C82" s="139" t="n"/>
      <c r="D82" s="139" t="n"/>
      <c r="E82" s="139" t="n"/>
      <c r="F82" s="139" t="n">
        <v>0</v>
      </c>
      <c r="G82" s="139" t="n">
        <v>-49.47</v>
      </c>
      <c r="H82" s="139" t="inlineStr">
        <is>
          <t>Total</t>
        </is>
      </c>
    </row>
    <row r="84">
      <c r="A84" s="38" t="inlineStr">
        <is>
          <t>Total of all expenses per account</t>
        </is>
      </c>
      <c r="B84" t="n">
        <v>26</v>
      </c>
      <c r="C84" t="n">
        <v>8</v>
      </c>
      <c r="D84" t="n">
        <v>5.25</v>
      </c>
      <c r="F84">
        <f>F70</f>
        <v/>
      </c>
    </row>
    <row r="85">
      <c r="A85" s="38" t="inlineStr">
        <is>
          <t>Total of all expenses (calculated here)</t>
        </is>
      </c>
      <c r="F85">
        <f>SUMIF(A1:A69,"* total",F1:F69)</f>
        <v/>
      </c>
    </row>
    <row r="86">
      <c r="A86" s="38" t="inlineStr">
        <is>
          <t>Total fixed investment</t>
        </is>
      </c>
    </row>
    <row r="87">
      <c r="A87"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CRAWLEY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4</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18</v>
      </c>
      <c r="C12" t="n">
        <v>3</v>
      </c>
      <c r="H12" t="n">
        <v>0</v>
      </c>
      <c r="I12" t="n">
        <v>1</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502</v>
      </c>
      <c r="C19" t="n">
        <v>0</v>
      </c>
      <c r="H19" t="n">
        <v>68</v>
      </c>
      <c r="I19" t="n">
        <v>14</v>
      </c>
      <c r="K19">
        <f>B19+C19-H19-I19</f>
        <v/>
      </c>
      <c r="L19">
        <f>B19+C19-H19</f>
        <v/>
      </c>
      <c r="M19">
        <f>L19-B19</f>
        <v/>
      </c>
      <c r="N19">
        <f>C19</f>
        <v/>
      </c>
      <c r="O19" t="n">
        <v>0.05691176470588236</v>
      </c>
      <c r="P19" s="72">
        <f>O19*K19</f>
        <v/>
      </c>
      <c r="R19" t="n">
        <v>3.87</v>
      </c>
      <c r="S19">
        <f>O19*M19</f>
        <v/>
      </c>
      <c r="T19">
        <f>O19*N19</f>
        <v/>
      </c>
    </row>
    <row r="20">
      <c r="A20" t="inlineStr">
        <is>
          <t>Rams</t>
        </is>
      </c>
      <c r="B20" t="n">
        <v>11</v>
      </c>
      <c r="C20" t="n">
        <v>0</v>
      </c>
      <c r="H20" t="n">
        <v>1</v>
      </c>
      <c r="I20" t="n">
        <v>0</v>
      </c>
      <c r="K20">
        <f>B20+C20-H20-I20</f>
        <v/>
      </c>
      <c r="L20">
        <f>B20+C20-H20</f>
        <v/>
      </c>
      <c r="M20">
        <f>L20-B20</f>
        <v/>
      </c>
      <c r="N20">
        <f>C20</f>
        <v/>
      </c>
      <c r="O20" t="n">
        <v>3.85</v>
      </c>
      <c r="P20" s="72">
        <f>O20*K20</f>
        <v/>
      </c>
      <c r="R20" t="n">
        <v>3.85</v>
      </c>
      <c r="S20">
        <f>O20*M20</f>
        <v/>
      </c>
      <c r="T20">
        <f>O20*N20</f>
        <v/>
      </c>
    </row>
    <row r="21">
      <c r="A21" t="inlineStr">
        <is>
          <t>Ewes</t>
        </is>
      </c>
      <c r="B21" t="n">
        <v>385</v>
      </c>
      <c r="C21" t="n">
        <v>0</v>
      </c>
      <c r="H21" t="n">
        <v>65</v>
      </c>
      <c r="I21" t="n">
        <v>12</v>
      </c>
      <c r="K21">
        <f>B21+C21-H21-I21</f>
        <v/>
      </c>
      <c r="L21">
        <f>B21+C21-H21</f>
        <v/>
      </c>
      <c r="M21">
        <f>L21-B21</f>
        <v/>
      </c>
      <c r="N21">
        <f>C21</f>
        <v/>
      </c>
      <c r="O21" t="n">
        <v>0.05923076923076923</v>
      </c>
      <c r="P21" s="72">
        <f>O21*K21</f>
        <v/>
      </c>
      <c r="Q21" t="n">
        <v>0</v>
      </c>
      <c r="R21" t="n">
        <v>3.85</v>
      </c>
      <c r="S21">
        <f>O21*M21</f>
        <v/>
      </c>
      <c r="T21">
        <f>O21*N21</f>
        <v/>
      </c>
    </row>
    <row r="22">
      <c r="A22" t="inlineStr">
        <is>
          <t>Hoggs</t>
        </is>
      </c>
      <c r="B22" t="n">
        <v>311</v>
      </c>
      <c r="C22" t="n">
        <v>0</v>
      </c>
      <c r="H22" t="n">
        <v>100</v>
      </c>
      <c r="I22" t="n">
        <v>12</v>
      </c>
      <c r="K22">
        <f>B22+C22-H22-I22</f>
        <v/>
      </c>
      <c r="L22">
        <f>B22+C22-H22</f>
        <v/>
      </c>
      <c r="M22">
        <f>L22-B22</f>
        <v/>
      </c>
      <c r="N22">
        <f>C22</f>
        <v/>
      </c>
      <c r="O22" t="n">
        <v>0.0833</v>
      </c>
      <c r="P22" s="72">
        <f>O22*K22</f>
        <v/>
      </c>
      <c r="R22" t="n">
        <v>8.33</v>
      </c>
      <c r="S22">
        <f>O22*M22</f>
        <v/>
      </c>
      <c r="T22">
        <f>O22*N22</f>
        <v/>
      </c>
    </row>
    <row r="23">
      <c r="A23" t="inlineStr">
        <is>
          <t>Lambs</t>
        </is>
      </c>
      <c r="B23" t="n">
        <v>287</v>
      </c>
      <c r="C23" t="n">
        <v>402</v>
      </c>
      <c r="H23" t="n">
        <v>14</v>
      </c>
      <c r="I23" t="n">
        <v>46</v>
      </c>
      <c r="K23">
        <f>B23+C23-H23-I23</f>
        <v/>
      </c>
      <c r="L23">
        <f>B23+C23-H23</f>
        <v/>
      </c>
      <c r="M23">
        <f>L23-B23</f>
        <v/>
      </c>
      <c r="N23">
        <f>C23</f>
        <v/>
      </c>
      <c r="O23" t="n">
        <v>0.03357142857142857</v>
      </c>
      <c r="P23" s="72">
        <f>O23*K23</f>
        <v/>
      </c>
      <c r="R23" t="n">
        <v>0.47</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1</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2</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9</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41</v>
      </c>
    </row>
    <row r="61">
      <c r="A61" t="inlineStr">
        <is>
          <t>Rotted skins</t>
        </is>
      </c>
      <c r="B61" t="n">
        <v>0</v>
      </c>
      <c r="C61" t="n">
        <v>0</v>
      </c>
      <c r="H61" t="n">
        <v>0</v>
      </c>
      <c r="I61" t="n">
        <v>5</v>
      </c>
    </row>
    <row r="62">
      <c r="A62" t="inlineStr">
        <is>
          <t>Shorn skins</t>
        </is>
      </c>
      <c r="B62" t="n">
        <v>0</v>
      </c>
      <c r="C62" t="n">
        <v>0</v>
      </c>
      <c r="H62" t="n">
        <v>0</v>
      </c>
      <c r="I62" t="n">
        <v>20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0.78</v>
      </c>
      <c r="S67">
        <f>O67*M67</f>
        <v/>
      </c>
      <c r="T67">
        <f>O67*N67</f>
        <v/>
      </c>
    </row>
    <row r="68">
      <c r="A68" t="inlineStr">
        <is>
          <t>Geese</t>
        </is>
      </c>
      <c r="L68">
        <f>B68+C68-H68</f>
        <v/>
      </c>
      <c r="M68">
        <f>L68-B68</f>
        <v/>
      </c>
      <c r="N68">
        <f>C68</f>
        <v/>
      </c>
      <c r="O68" t="n">
        <v>0</v>
      </c>
      <c r="Q68">
        <f>R68*K68</f>
        <v/>
      </c>
      <c r="R68" t="n">
        <v>0.37</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354"/>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crawley</t>
        </is>
      </c>
      <c r="B2" t="inlineStr">
        <is>
          <t>the account of william cuppere, reeve there, from michaelmas of the fifth year of the translation of henry beaufort', lord bishop of winchester, until michaelmas of the sixth year, for a whole year.</t>
        </is>
      </c>
      <c r="C2" t="n">
        <v>0</v>
      </c>
      <c r="D2" t="n">
        <v>0</v>
      </c>
      <c r="E2" t="n">
        <v>0</v>
      </c>
      <c r="F2" t="n">
        <v>0</v>
      </c>
      <c r="H2" t="n">
        <v>0</v>
      </c>
      <c r="I2" t="n">
        <v>0</v>
      </c>
      <c r="J2" t="n">
        <v>0</v>
      </c>
      <c r="K2" t="n">
        <v>0</v>
      </c>
      <c r="L2" t="n">
        <v>0</v>
      </c>
      <c r="M2" t="n">
        <v>0</v>
      </c>
      <c r="N2" t="n">
        <v>0</v>
      </c>
    </row>
    <row r="3">
      <c r="A3" t="inlineStr">
        <is>
          <t>arrears</t>
        </is>
      </c>
      <c r="B3" t="inlineStr">
        <is>
          <t>the same answers for 18 shilling 6pence of arrears from the last account of the preceding year as made clear in the foot there.</t>
        </is>
      </c>
      <c r="C3" t="n">
        <v>0.93</v>
      </c>
      <c r="D3" t="n">
        <v>0</v>
      </c>
      <c r="E3" t="n">
        <v>18</v>
      </c>
      <c r="F3" t="n">
        <v>6</v>
      </c>
      <c r="H3" t="n">
        <v>0</v>
      </c>
      <c r="I3" t="n">
        <v>0</v>
      </c>
      <c r="J3" t="n">
        <v>0</v>
      </c>
      <c r="K3" t="n">
        <v>0</v>
      </c>
      <c r="L3" t="n">
        <v>0</v>
      </c>
      <c r="M3" t="n">
        <v>0</v>
      </c>
      <c r="N3" t="n">
        <v>0</v>
      </c>
    </row>
    <row r="4">
      <c r="A4" t="inlineStr">
        <is>
          <t>arrears</t>
        </is>
      </c>
      <c r="B4" t="inlineStr">
        <is>
          <t>total, 18 shilling 6pence.</t>
        </is>
      </c>
      <c r="C4" t="n">
        <v>0.93</v>
      </c>
      <c r="D4" t="n">
        <v>0</v>
      </c>
      <c r="E4" t="n">
        <v>18</v>
      </c>
      <c r="F4" t="n">
        <v>6</v>
      </c>
      <c r="H4" t="n">
        <v>0</v>
      </c>
      <c r="I4" t="n">
        <v>0</v>
      </c>
      <c r="J4" t="n">
        <v>0</v>
      </c>
      <c r="K4" t="n">
        <v>0</v>
      </c>
      <c r="L4" t="n">
        <v>0</v>
      </c>
      <c r="M4" t="n">
        <v>0</v>
      </c>
      <c r="N4" t="n">
        <v>0</v>
      </c>
    </row>
    <row r="5">
      <c r="A5" t="inlineStr">
        <is>
          <t>rents of assize</t>
        </is>
      </c>
      <c r="B5" t="inlineStr">
        <is>
          <t>and for £3 4 shilling 6pence for all rents of assize at christmas.</t>
        </is>
      </c>
      <c r="C5" t="n">
        <v>3.23</v>
      </c>
      <c r="D5" t="n">
        <v>3</v>
      </c>
      <c r="E5" t="n">
        <v>4</v>
      </c>
      <c r="F5" t="n">
        <v>6</v>
      </c>
      <c r="H5" t="n">
        <v>0</v>
      </c>
      <c r="I5" t="n">
        <v>0</v>
      </c>
      <c r="J5" t="n">
        <v>0</v>
      </c>
      <c r="K5" t="n">
        <v>0</v>
      </c>
      <c r="L5" t="n">
        <v>0</v>
      </c>
      <c r="M5" t="n">
        <v>0</v>
      </c>
      <c r="N5" t="n">
        <v>0</v>
      </c>
    </row>
    <row r="6">
      <c r="A6" t="inlineStr">
        <is>
          <t>rents of assize</t>
        </is>
      </c>
      <c r="B6" t="inlineStr">
        <is>
          <t>£3 7 shilling 10pence at easter (23 march).</t>
        </is>
      </c>
      <c r="C6" t="n">
        <v>3.39</v>
      </c>
      <c r="D6" t="n">
        <v>3</v>
      </c>
      <c r="E6" t="n">
        <v>7</v>
      </c>
      <c r="F6" t="n">
        <v>10</v>
      </c>
      <c r="H6" t="n">
        <v>0</v>
      </c>
      <c r="I6" t="n">
        <v>0</v>
      </c>
      <c r="J6" t="n">
        <v>0</v>
      </c>
      <c r="K6" t="n">
        <v>0</v>
      </c>
      <c r="L6" t="n">
        <v>0</v>
      </c>
      <c r="M6" t="n">
        <v>0</v>
      </c>
      <c r="N6" t="n">
        <v>0</v>
      </c>
    </row>
    <row r="7">
      <c r="A7" t="inlineStr">
        <is>
          <t>rents of assize</t>
        </is>
      </c>
      <c r="B7" t="inlineStr">
        <is>
          <t>£3 4 shilling 6pence at the nativity of st john the baptist (24 june).</t>
        </is>
      </c>
      <c r="C7" t="n">
        <v>3.23</v>
      </c>
      <c r="D7" t="n">
        <v>3</v>
      </c>
      <c r="E7" t="n">
        <v>4</v>
      </c>
      <c r="F7" t="n">
        <v>6</v>
      </c>
      <c r="H7" t="n">
        <v>0</v>
      </c>
      <c r="I7" t="n">
        <v>0</v>
      </c>
      <c r="J7" t="n">
        <v>0</v>
      </c>
      <c r="K7" t="n">
        <v>0</v>
      </c>
      <c r="L7" t="n">
        <v>0</v>
      </c>
      <c r="M7" t="n">
        <v>0</v>
      </c>
      <c r="N7" t="n">
        <v>0</v>
      </c>
    </row>
    <row r="8">
      <c r="A8" t="inlineStr">
        <is>
          <t>rents of assize</t>
        </is>
      </c>
      <c r="B8" t="inlineStr">
        <is>
          <t>£5 4 shilling 1pence at michaelmas (29 september).</t>
        </is>
      </c>
      <c r="C8" t="n">
        <v>5.2</v>
      </c>
      <c r="D8" t="n">
        <v>5</v>
      </c>
      <c r="E8" t="n">
        <v>4</v>
      </c>
      <c r="F8" t="n">
        <v>1</v>
      </c>
      <c r="H8" t="n">
        <v>0</v>
      </c>
      <c r="I8" t="n">
        <v>0</v>
      </c>
      <c r="J8" t="n">
        <v>0</v>
      </c>
      <c r="K8" t="n">
        <v>0</v>
      </c>
      <c r="L8" t="n">
        <v>0</v>
      </c>
      <c r="M8" t="n">
        <v>0</v>
      </c>
      <c r="N8" t="n">
        <v>0</v>
      </c>
    </row>
    <row r="9">
      <c r="A9" t="inlineStr">
        <is>
          <t>rents of assize</t>
        </is>
      </c>
      <c r="B9" t="inlineStr">
        <is>
          <t>1 shilling from simon membury, parson of the church of crawley, for the increment of rent for 1 parcel of land of the lord's demesne at puthulle at the 4 terms.</t>
        </is>
      </c>
      <c r="C9" t="n">
        <v>0.05</v>
      </c>
      <c r="D9" t="n">
        <v>0</v>
      </c>
      <c r="E9" t="n">
        <v>1</v>
      </c>
      <c r="F9" t="n">
        <v>0</v>
      </c>
      <c r="H9" t="n">
        <v>0</v>
      </c>
      <c r="I9" t="n">
        <v>0</v>
      </c>
      <c r="J9" t="n">
        <v>0</v>
      </c>
      <c r="K9" t="n">
        <v>0</v>
      </c>
      <c r="L9" t="n">
        <v>0</v>
      </c>
      <c r="M9" t="n">
        <v>0</v>
      </c>
      <c r="N9" t="n">
        <v>0</v>
      </c>
    </row>
    <row r="10">
      <c r="A10" t="inlineStr">
        <is>
          <t>rents of assize</t>
        </is>
      </c>
      <c r="B10" t="inlineStr">
        <is>
          <t>total, £15 1 shilling 11pence.</t>
        </is>
      </c>
      <c r="C10" t="n">
        <v>15.1</v>
      </c>
      <c r="D10" t="n">
        <v>15</v>
      </c>
      <c r="E10" t="n">
        <v>1</v>
      </c>
      <c r="F10" t="n">
        <v>11</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3 ploughmen and 1 smith for the year 10 shilling 8pence, or 2 shilling 8pence each.</t>
        </is>
      </c>
      <c r="C12" t="n">
        <v>0.53</v>
      </c>
      <c r="D12" t="n">
        <v>0</v>
      </c>
      <c r="E12" t="n">
        <v>10</v>
      </c>
      <c r="F12" t="n">
        <v>8</v>
      </c>
      <c r="H12" t="n">
        <v>0</v>
      </c>
      <c r="I12" t="n">
        <v>0</v>
      </c>
      <c r="J12" t="n">
        <v>0</v>
      </c>
      <c r="K12" t="n">
        <v>0</v>
      </c>
      <c r="L12" t="n">
        <v>0</v>
      </c>
      <c r="M12" t="n">
        <v>0</v>
      </c>
      <c r="N12" t="n">
        <v>0</v>
      </c>
    </row>
    <row r="13">
      <c r="A13" t="inlineStr">
        <is>
          <t>quittances of rent</t>
        </is>
      </c>
      <c r="B13" t="inlineStr">
        <is>
          <t>1 shepherd of wethers, 1 shepherd of ewes and 1 keeper of hoggs for the year 8 shilling, or 2 shilling 8pence each.</t>
        </is>
      </c>
      <c r="C13" t="n">
        <v>0.43</v>
      </c>
      <c r="D13" t="n">
        <v>0</v>
      </c>
      <c r="E13" t="n">
        <v>8</v>
      </c>
      <c r="F13" t="n">
        <v>8</v>
      </c>
      <c r="H13" t="n">
        <v>0</v>
      </c>
      <c r="I13" t="n">
        <v>0</v>
      </c>
      <c r="J13" t="n">
        <v>0</v>
      </c>
      <c r="K13" t="n">
        <v>0</v>
      </c>
      <c r="L13" t="n">
        <v>0</v>
      </c>
      <c r="M13" t="n">
        <v>0</v>
      </c>
      <c r="N13" t="n">
        <v>0</v>
      </c>
    </row>
    <row r="14">
      <c r="A14" t="inlineStr">
        <is>
          <t>quittances of rent</t>
        </is>
      </c>
      <c r="B14" t="inlineStr">
        <is>
          <t>total, £1 3 shilling 8pence.</t>
        </is>
      </c>
      <c r="C14" t="n">
        <v>1.18</v>
      </c>
      <c r="D14" t="n">
        <v>1</v>
      </c>
      <c r="E14" t="n">
        <v>3</v>
      </c>
      <c r="F14" t="n">
        <v>8</v>
      </c>
      <c r="H14" t="n">
        <v>0</v>
      </c>
      <c r="I14" t="n">
        <v>0</v>
      </c>
      <c r="J14" t="n">
        <v>0</v>
      </c>
      <c r="K14" t="n">
        <v>0</v>
      </c>
      <c r="L14" t="n">
        <v>0</v>
      </c>
      <c r="M14" t="n">
        <v>0</v>
      </c>
      <c r="N14" t="n">
        <v>0</v>
      </c>
    </row>
    <row r="15">
      <c r="A15" t="inlineStr">
        <is>
          <t>defaults of rent</t>
        </is>
      </c>
      <c r="B15" t="inlineStr">
        <is>
          <t>in default of the land of william stronge drawn into demesne, 2 shilling for the year.</t>
        </is>
      </c>
      <c r="C15" t="n">
        <v>0.1</v>
      </c>
      <c r="D15" t="n">
        <v>0</v>
      </c>
      <c r="E15" t="n">
        <v>2</v>
      </c>
      <c r="F15" t="n">
        <v>0</v>
      </c>
      <c r="H15" t="n">
        <v>0</v>
      </c>
      <c r="I15" t="n">
        <v>0</v>
      </c>
      <c r="J15" t="n">
        <v>0</v>
      </c>
      <c r="K15" t="n">
        <v>0</v>
      </c>
      <c r="L15" t="n">
        <v>0</v>
      </c>
      <c r="M15" t="n">
        <v>0</v>
      </c>
      <c r="N15" t="n">
        <v>0</v>
      </c>
    </row>
    <row r="16">
      <c r="A16" t="inlineStr">
        <is>
          <t>defaults of rent</t>
        </is>
      </c>
      <c r="B16" t="inlineStr">
        <is>
          <t>the land of william de cur' for the same 2 shilling 8pence.</t>
        </is>
      </c>
      <c r="C16" t="n">
        <v>0.13</v>
      </c>
      <c r="D16" t="n">
        <v>0</v>
      </c>
      <c r="E16" t="n">
        <v>2</v>
      </c>
      <c r="F16" t="n">
        <v>8</v>
      </c>
      <c r="H16" t="n">
        <v>0</v>
      </c>
      <c r="I16" t="n">
        <v>0</v>
      </c>
      <c r="J16" t="n">
        <v>0</v>
      </c>
      <c r="K16" t="n">
        <v>0</v>
      </c>
      <c r="L16" t="n">
        <v>0</v>
      </c>
      <c r="M16" t="n">
        <v>0</v>
      </c>
      <c r="N16" t="n">
        <v>0</v>
      </c>
    </row>
    <row r="17">
      <c r="A17" t="inlineStr">
        <is>
          <t>defaults of rent</t>
        </is>
      </c>
      <c r="B17" t="inlineStr">
        <is>
          <t>the land of allbrook which now remains at merdon, 5 shilling for the year.</t>
        </is>
      </c>
      <c r="C17" t="n">
        <v>0.25</v>
      </c>
      <c r="D17" t="n">
        <v>0</v>
      </c>
      <c r="E17" t="n">
        <v>5</v>
      </c>
      <c r="F17" t="n">
        <v>0</v>
      </c>
      <c r="H17" t="n">
        <v>0</v>
      </c>
      <c r="I17" t="n">
        <v>0</v>
      </c>
      <c r="J17" t="n">
        <v>0</v>
      </c>
      <c r="K17" t="n">
        <v>0</v>
      </c>
      <c r="L17" t="n">
        <v>0</v>
      </c>
      <c r="M17" t="n">
        <v>0</v>
      </c>
      <c r="N17" t="n">
        <v>0</v>
      </c>
    </row>
    <row r="18">
      <c r="A18" t="inlineStr">
        <is>
          <t>defaults of rent</t>
        </is>
      </c>
      <c r="B18" t="inlineStr">
        <is>
          <t>the land of robert de crouche drawn into demesne, 2 shilling 8pence for the year.</t>
        </is>
      </c>
      <c r="C18" t="n">
        <v>0.13</v>
      </c>
      <c r="D18" t="n">
        <v>0</v>
      </c>
      <c r="E18" t="n">
        <v>2</v>
      </c>
      <c r="F18" t="n">
        <v>8</v>
      </c>
      <c r="H18" t="n">
        <v>0</v>
      </c>
      <c r="I18" t="n">
        <v>0</v>
      </c>
      <c r="J18" t="n">
        <v>0</v>
      </c>
      <c r="K18" t="n">
        <v>0</v>
      </c>
      <c r="L18" t="n">
        <v>0</v>
      </c>
      <c r="M18" t="n">
        <v>0</v>
      </c>
      <c r="N18" t="n">
        <v>0</v>
      </c>
    </row>
    <row r="19">
      <c r="A19" t="inlineStr">
        <is>
          <t>defaults of rent</t>
        </is>
      </c>
      <c r="B19" t="inlineStr">
        <is>
          <t>the land of robert coye for the same 2 shilling 8pence.</t>
        </is>
      </c>
      <c r="C19" t="n">
        <v>0.13</v>
      </c>
      <c r="D19" t="n">
        <v>0</v>
      </c>
      <c r="E19" t="n">
        <v>2</v>
      </c>
      <c r="F19" t="n">
        <v>8</v>
      </c>
      <c r="H19" t="n">
        <v>0</v>
      </c>
      <c r="I19" t="n">
        <v>0</v>
      </c>
      <c r="J19" t="n">
        <v>0</v>
      </c>
      <c r="K19" t="n">
        <v>0</v>
      </c>
      <c r="L19" t="n">
        <v>0</v>
      </c>
      <c r="M19" t="n">
        <v>0</v>
      </c>
      <c r="N19" t="n">
        <v>0</v>
      </c>
    </row>
    <row r="20">
      <c r="A20" t="inlineStr">
        <is>
          <t>defaults of rent</t>
        </is>
      </c>
      <c r="B20" t="inlineStr">
        <is>
          <t>the land of the swineherd for the same 2 shilling 8pence.</t>
        </is>
      </c>
      <c r="C20" t="n">
        <v>0.13</v>
      </c>
      <c r="D20" t="n">
        <v>0</v>
      </c>
      <c r="E20" t="n">
        <v>2</v>
      </c>
      <c r="F20" t="n">
        <v>8</v>
      </c>
      <c r="H20" t="n">
        <v>0</v>
      </c>
      <c r="I20" t="n">
        <v>0</v>
      </c>
      <c r="J20" t="n">
        <v>0</v>
      </c>
      <c r="K20" t="n">
        <v>0</v>
      </c>
      <c r="L20" t="n">
        <v>0</v>
      </c>
      <c r="M20" t="n">
        <v>0</v>
      </c>
      <c r="N20" t="n">
        <v>0</v>
      </c>
    </row>
    <row r="21">
      <c r="A21" t="inlineStr">
        <is>
          <t>defaults of rent</t>
        </is>
      </c>
      <c r="B21" t="inlineStr">
        <is>
          <t>the land of the cowherd, 2 shilling 8pence for the year.</t>
        </is>
      </c>
      <c r="C21" t="n">
        <v>0.13</v>
      </c>
      <c r="D21" t="n">
        <v>0</v>
      </c>
      <c r="E21" t="n">
        <v>2</v>
      </c>
      <c r="F21" t="n">
        <v>8</v>
      </c>
      <c r="H21" t="n">
        <v>0</v>
      </c>
      <c r="I21" t="n">
        <v>0</v>
      </c>
      <c r="J21" t="n">
        <v>0</v>
      </c>
      <c r="K21" t="n">
        <v>0</v>
      </c>
      <c r="L21" t="n">
        <v>0</v>
      </c>
      <c r="M21" t="n">
        <v>0</v>
      </c>
      <c r="N21" t="n">
        <v>0</v>
      </c>
    </row>
    <row r="22">
      <c r="A22" t="inlineStr">
        <is>
          <t>defaults of rent</t>
        </is>
      </c>
      <c r="B22" t="inlineStr">
        <is>
          <t>total, £1 4pence.</t>
        </is>
      </c>
      <c r="C22" t="n">
        <v>1.02</v>
      </c>
      <c r="D22" t="n">
        <v>1</v>
      </c>
      <c r="E22" t="n">
        <v>0</v>
      </c>
      <c r="F22" t="n">
        <v>4</v>
      </c>
      <c r="H22" t="n">
        <v>0</v>
      </c>
      <c r="I22" t="n">
        <v>0</v>
      </c>
      <c r="J22" t="n">
        <v>0</v>
      </c>
      <c r="K22" t="n">
        <v>0</v>
      </c>
      <c r="L22" t="n">
        <v>0</v>
      </c>
      <c r="M22" t="n">
        <v>0</v>
      </c>
      <c r="N22" t="n">
        <v>0</v>
      </c>
    </row>
    <row r="23">
      <c r="A23" t="inlineStr">
        <is>
          <t>defaults of rent through the pestilence</t>
        </is>
      </c>
      <c r="B23" t="inlineStr">
        <is>
          <t>in default of 1 virgate of villein land and 22 acres of purpresture which belonged to robert wodecote, now remaining in the lord's hands, £1 1 shilling for the year.</t>
        </is>
      </c>
      <c r="C23" t="n">
        <v>1.05</v>
      </c>
      <c r="D23" t="n">
        <v>1</v>
      </c>
      <c r="E23" t="n">
        <v>1</v>
      </c>
      <c r="F23" t="n">
        <v>0</v>
      </c>
      <c r="H23" t="n">
        <v>0</v>
      </c>
      <c r="I23" t="n">
        <v>0</v>
      </c>
      <c r="J23" t="n">
        <v>0</v>
      </c>
      <c r="K23" t="n">
        <v>0</v>
      </c>
      <c r="L23" t="n">
        <v>0</v>
      </c>
      <c r="M23" t="n">
        <v>0</v>
      </c>
      <c r="N23" t="n">
        <v>0</v>
      </c>
    </row>
    <row r="24">
      <c r="A24" t="inlineStr">
        <is>
          <t>defaults of rent through the pestilence</t>
        </is>
      </c>
      <c r="B24" t="inlineStr">
        <is>
          <t>total, £1 1 shilling.</t>
        </is>
      </c>
      <c r="C24" t="n">
        <v>1.05</v>
      </c>
      <c r="D24" t="n">
        <v>1</v>
      </c>
      <c r="E24" t="n">
        <v>1</v>
      </c>
      <c r="F24" t="n">
        <v>0</v>
      </c>
      <c r="H24" t="n">
        <v>0</v>
      </c>
      <c r="I24" t="n">
        <v>0</v>
      </c>
      <c r="J24" t="n">
        <v>0</v>
      </c>
      <c r="K24" t="n">
        <v>0</v>
      </c>
      <c r="L24" t="n">
        <v>0</v>
      </c>
      <c r="M24" t="n">
        <v>0</v>
      </c>
      <c r="N24" t="n">
        <v>0</v>
      </c>
    </row>
    <row r="25">
      <c r="A25" t="inlineStr">
        <is>
          <t>total of quittances and defaults of rent</t>
        </is>
      </c>
      <c r="B25" t="inlineStr">
        <is>
          <t>total of quittances and defaults of rent, £3 5 shilling.</t>
        </is>
      </c>
      <c r="C25" t="n">
        <v>3.25</v>
      </c>
      <c r="D25" t="n">
        <v>3</v>
      </c>
      <c r="E25" t="n">
        <v>5</v>
      </c>
      <c r="F25" t="n">
        <v>0</v>
      </c>
      <c r="H25" t="n">
        <v>0</v>
      </c>
      <c r="I25" t="n">
        <v>0</v>
      </c>
      <c r="J25" t="n">
        <v>0</v>
      </c>
      <c r="K25" t="n">
        <v>0</v>
      </c>
      <c r="L25" t="n">
        <v>0</v>
      </c>
      <c r="M25" t="n">
        <v>0</v>
      </c>
      <c r="N25" t="n">
        <v>0</v>
      </c>
    </row>
    <row r="26">
      <c r="A26" t="inlineStr">
        <is>
          <t>total of rents remaining clear</t>
        </is>
      </c>
      <c r="B26" t="inlineStr">
        <is>
          <t>total of rents remaining clear, £11 16 shilling 11pence.</t>
        </is>
      </c>
      <c r="C26" t="n">
        <v>11.85</v>
      </c>
      <c r="D26" t="n">
        <v>11</v>
      </c>
      <c r="E26" t="n">
        <v>16</v>
      </c>
      <c r="F26" t="n">
        <v>11</v>
      </c>
      <c r="H26" t="n">
        <v>0</v>
      </c>
      <c r="I26" t="n">
        <v>0</v>
      </c>
      <c r="J26" t="n">
        <v>0</v>
      </c>
      <c r="K26" t="n">
        <v>0</v>
      </c>
      <c r="L26" t="n">
        <v>0</v>
      </c>
      <c r="M26" t="n">
        <v>0</v>
      </c>
      <c r="N26" t="n">
        <v>0</v>
      </c>
    </row>
    <row r="27">
      <c r="A27" t="inlineStr">
        <is>
          <t>cumin</t>
        </is>
      </c>
      <c r="B27" t="inlineStr">
        <is>
          <t>and for 1 lb of cumin for the rent of john fromond' for 1 croft called le howe.</t>
        </is>
      </c>
      <c r="C27" t="n">
        <v>0</v>
      </c>
      <c r="D27" t="n">
        <v>0</v>
      </c>
      <c r="E27" t="n">
        <v>0</v>
      </c>
      <c r="F27" t="n">
        <v>0</v>
      </c>
      <c r="H27" t="n">
        <v>0</v>
      </c>
      <c r="I27" t="n">
        <v>0</v>
      </c>
      <c r="J27" t="n">
        <v>0</v>
      </c>
      <c r="K27" t="n">
        <v>0</v>
      </c>
      <c r="L27" t="n">
        <v>0</v>
      </c>
      <c r="M27" t="n">
        <v>0</v>
      </c>
      <c r="N27" t="n">
        <v>0</v>
      </c>
    </row>
    <row r="28">
      <c r="A28" t="inlineStr">
        <is>
          <t>cumin</t>
        </is>
      </c>
      <c r="B28" t="inlineStr">
        <is>
          <t>delivered to the exchequer.</t>
        </is>
      </c>
      <c r="C28" t="n">
        <v>0</v>
      </c>
      <c r="D28" t="n">
        <v>0</v>
      </c>
      <c r="E28" t="n">
        <v>0</v>
      </c>
      <c r="F28" t="n">
        <v>0</v>
      </c>
      <c r="H28" t="n">
        <v>0</v>
      </c>
      <c r="I28" t="n">
        <v>0</v>
      </c>
      <c r="J28" t="n">
        <v>0</v>
      </c>
      <c r="K28" t="n">
        <v>0</v>
      </c>
      <c r="L28" t="n">
        <v>0</v>
      </c>
      <c r="M28" t="n">
        <v>0</v>
      </c>
      <c r="N28" t="n">
        <v>0</v>
      </c>
    </row>
    <row r="29">
      <c r="A29" t="inlineStr">
        <is>
          <t>cumin</t>
        </is>
      </c>
      <c r="B29" t="inlineStr">
        <is>
          <t>it balances.</t>
        </is>
      </c>
      <c r="C29" t="n">
        <v>0</v>
      </c>
      <c r="D29" t="n">
        <v>0</v>
      </c>
      <c r="E29" t="n">
        <v>0</v>
      </c>
      <c r="F29" t="n">
        <v>0</v>
      </c>
      <c r="H29" t="n">
        <v>0</v>
      </c>
      <c r="I29" t="n">
        <v>0</v>
      </c>
      <c r="J29" t="n">
        <v>0</v>
      </c>
      <c r="K29" t="n">
        <v>0</v>
      </c>
      <c r="L29" t="n">
        <v>0</v>
      </c>
      <c r="M29" t="n">
        <v>0</v>
      </c>
      <c r="N29" t="n">
        <v>0</v>
      </c>
    </row>
    <row r="30">
      <c r="A30" t="inlineStr">
        <is>
          <t>issues of the tenements in the lord's hands</t>
        </is>
      </c>
      <c r="B30" t="inlineStr">
        <is>
          <t>and for £1 2 shilling from the issue of 1 virgate of villein land and 22 acres of purpresture which belonged to robert wodecote, demised to robert crompe for 12 years, this year being the eighth.</t>
        </is>
      </c>
      <c r="C30" t="n">
        <v>1.1</v>
      </c>
      <c r="D30" t="n">
        <v>1</v>
      </c>
      <c r="E30" t="n">
        <v>2</v>
      </c>
      <c r="F30" t="n">
        <v>0</v>
      </c>
      <c r="H30" t="n">
        <v>0</v>
      </c>
      <c r="I30" t="n">
        <v>0</v>
      </c>
      <c r="J30" t="n">
        <v>0</v>
      </c>
      <c r="K30" t="n">
        <v>0</v>
      </c>
      <c r="L30" t="n">
        <v>0</v>
      </c>
      <c r="M30" t="n">
        <v>0</v>
      </c>
      <c r="N30" t="n">
        <v>0</v>
      </c>
    </row>
    <row r="31">
      <c r="A31" t="inlineStr">
        <is>
          <t>issues of the tenements in the lord's hands</t>
        </is>
      </c>
      <c r="B31" t="inlineStr">
        <is>
          <t>total, £1 2 shilling.</t>
        </is>
      </c>
      <c r="C31" t="n">
        <v>1.1</v>
      </c>
      <c r="D31" t="n">
        <v>1</v>
      </c>
      <c r="E31" t="n">
        <v>2</v>
      </c>
      <c r="F31" t="n">
        <v>0</v>
      </c>
      <c r="H31" t="n">
        <v>0</v>
      </c>
      <c r="I31" t="n">
        <v>0</v>
      </c>
      <c r="J31" t="n">
        <v>0</v>
      </c>
      <c r="K31" t="n">
        <v>0</v>
      </c>
      <c r="L31" t="n">
        <v>0</v>
      </c>
      <c r="M31" t="n">
        <v>0</v>
      </c>
      <c r="N31" t="n">
        <v>0</v>
      </c>
    </row>
    <row r="32">
      <c r="A32" t="inlineStr">
        <is>
          <t>sale of labour services</t>
        </is>
      </c>
      <c r="B32" t="inlineStr">
        <is>
          <t>and for 4 shilling from henry wodecote for release of the labour services of 1 ferling of land whilst it pleases the lord.</t>
        </is>
      </c>
      <c r="C32" t="n">
        <v>0.2</v>
      </c>
      <c r="D32" t="n">
        <v>0</v>
      </c>
      <c r="E32" t="n">
        <v>4</v>
      </c>
      <c r="F32" t="n">
        <v>0</v>
      </c>
      <c r="H32" t="n">
        <v>0</v>
      </c>
      <c r="I32" t="n">
        <v>0</v>
      </c>
      <c r="J32" t="n">
        <v>0</v>
      </c>
      <c r="K32" t="n">
        <v>0</v>
      </c>
      <c r="L32" t="n">
        <v>0</v>
      </c>
      <c r="M32" t="n">
        <v>0</v>
      </c>
      <c r="N32" t="n">
        <v>0</v>
      </c>
    </row>
    <row r="33">
      <c r="A33" t="inlineStr">
        <is>
          <t>sale of labour services</t>
        </is>
      </c>
      <c r="B33" t="inlineStr">
        <is>
          <t>4 shilling from john sely for release of the labour services of 1 ferling of land.</t>
        </is>
      </c>
      <c r="C33" t="n">
        <v>0.2</v>
      </c>
      <c r="D33" t="n">
        <v>0</v>
      </c>
      <c r="E33" t="n">
        <v>4</v>
      </c>
      <c r="F33" t="n">
        <v>0</v>
      </c>
      <c r="H33" t="n">
        <v>0</v>
      </c>
      <c r="I33" t="n">
        <v>0</v>
      </c>
      <c r="J33" t="n">
        <v>0</v>
      </c>
      <c r="K33" t="n">
        <v>0</v>
      </c>
      <c r="L33" t="n">
        <v>0</v>
      </c>
      <c r="M33" t="n">
        <v>0</v>
      </c>
      <c r="N33" t="n">
        <v>0</v>
      </c>
    </row>
    <row r="34">
      <c r="A34" t="inlineStr">
        <is>
          <t>sale of labour services</t>
        </is>
      </c>
      <c r="B34" t="inlineStr">
        <is>
          <t>4 shilling from robert sely for release of the labour services of 1 ferling of land.</t>
        </is>
      </c>
      <c r="C34" t="n">
        <v>0.2</v>
      </c>
      <c r="D34" t="n">
        <v>0</v>
      </c>
      <c r="E34" t="n">
        <v>4</v>
      </c>
      <c r="F34" t="n">
        <v>0</v>
      </c>
      <c r="H34" t="n">
        <v>0</v>
      </c>
      <c r="I34" t="n">
        <v>0</v>
      </c>
      <c r="J34" t="n">
        <v>0</v>
      </c>
      <c r="K34" t="n">
        <v>0</v>
      </c>
      <c r="L34" t="n">
        <v>0</v>
      </c>
      <c r="M34" t="n">
        <v>0</v>
      </c>
      <c r="N34" t="n">
        <v>0</v>
      </c>
    </row>
    <row r="35">
      <c r="A35" t="inlineStr">
        <is>
          <t>sale of labour services</t>
        </is>
      </c>
      <c r="B35" t="inlineStr">
        <is>
          <t>6 shilling 8pence from william vayne for release of the labour services of 1 ferling of land.</t>
        </is>
      </c>
      <c r="C35" t="n">
        <v>0.33</v>
      </c>
      <c r="D35" t="n">
        <v>0</v>
      </c>
      <c r="E35" t="n">
        <v>6</v>
      </c>
      <c r="F35" t="n">
        <v>8</v>
      </c>
      <c r="H35" t="n">
        <v>0</v>
      </c>
      <c r="I35" t="n">
        <v>0</v>
      </c>
      <c r="J35" t="n">
        <v>0</v>
      </c>
      <c r="K35" t="n">
        <v>0</v>
      </c>
      <c r="L35" t="n">
        <v>0</v>
      </c>
      <c r="M35" t="n">
        <v>0</v>
      </c>
      <c r="N35" t="n">
        <v>0</v>
      </c>
    </row>
    <row r="36">
      <c r="A36" t="inlineStr">
        <is>
          <t>sale of labour services</t>
        </is>
      </c>
      <c r="B36" t="inlineStr">
        <is>
          <t>4 shilling from john lange for release of the labour services of 1 ferling of land.</t>
        </is>
      </c>
      <c r="C36" t="n">
        <v>0.2</v>
      </c>
      <c r="D36" t="n">
        <v>0</v>
      </c>
      <c r="E36" t="n">
        <v>4</v>
      </c>
      <c r="F36" t="n">
        <v>0</v>
      </c>
      <c r="H36" t="n">
        <v>0</v>
      </c>
      <c r="I36" t="n">
        <v>0</v>
      </c>
      <c r="J36" t="n">
        <v>0</v>
      </c>
      <c r="K36" t="n">
        <v>0</v>
      </c>
      <c r="L36" t="n">
        <v>0</v>
      </c>
      <c r="M36" t="n">
        <v>0</v>
      </c>
      <c r="N36" t="n">
        <v>0</v>
      </c>
    </row>
    <row r="37">
      <c r="A37" t="inlineStr">
        <is>
          <t>sale of labour services</t>
        </is>
      </c>
      <c r="B37" t="inlineStr">
        <is>
          <t>8 shilling from john belle for rekase of the labour services of 2 ferlings of land.</t>
        </is>
      </c>
      <c r="C37" t="n">
        <v>0.4</v>
      </c>
      <c r="D37" t="n">
        <v>0</v>
      </c>
      <c r="E37" t="n">
        <v>8</v>
      </c>
      <c r="F37" t="n">
        <v>0</v>
      </c>
      <c r="H37" t="n">
        <v>0</v>
      </c>
      <c r="I37" t="n">
        <v>0</v>
      </c>
      <c r="J37" t="n">
        <v>0</v>
      </c>
      <c r="K37" t="n">
        <v>0</v>
      </c>
      <c r="L37" t="n">
        <v>0</v>
      </c>
      <c r="M37" t="n">
        <v>0</v>
      </c>
      <c r="N37" t="n">
        <v>0</v>
      </c>
    </row>
    <row r="38">
      <c r="A38" t="inlineStr">
        <is>
          <t>sale of labour services</t>
        </is>
      </c>
      <c r="B38" t="inlineStr">
        <is>
          <t>4 shilling from william hodman for release of the labour services of 1 ferling of land.</t>
        </is>
      </c>
      <c r="C38" t="n">
        <v>0.2</v>
      </c>
      <c r="D38" t="n">
        <v>0</v>
      </c>
      <c r="E38" t="n">
        <v>4</v>
      </c>
      <c r="F38" t="n">
        <v>0</v>
      </c>
      <c r="H38" t="n">
        <v>0</v>
      </c>
      <c r="I38" t="n">
        <v>0</v>
      </c>
      <c r="J38" t="n">
        <v>0</v>
      </c>
      <c r="K38" t="n">
        <v>0</v>
      </c>
      <c r="L38" t="n">
        <v>0</v>
      </c>
      <c r="M38" t="n">
        <v>0</v>
      </c>
      <c r="N38" t="n">
        <v>0</v>
      </c>
    </row>
    <row r="39">
      <c r="A39" t="inlineStr">
        <is>
          <t>sale of labour services</t>
        </is>
      </c>
      <c r="B39" t="inlineStr">
        <is>
          <t>6 shilling 8pence from john mulward for release of the labour services of 1 ferling of land.</t>
        </is>
      </c>
      <c r="C39" t="n">
        <v>0.33</v>
      </c>
      <c r="D39" t="n">
        <v>0</v>
      </c>
      <c r="E39" t="n">
        <v>6</v>
      </c>
      <c r="F39" t="n">
        <v>8</v>
      </c>
      <c r="H39" t="n">
        <v>0</v>
      </c>
      <c r="I39" t="n">
        <v>0</v>
      </c>
      <c r="J39" t="n">
        <v>0</v>
      </c>
      <c r="K39" t="n">
        <v>0</v>
      </c>
      <c r="L39" t="n">
        <v>0</v>
      </c>
      <c r="M39" t="n">
        <v>0</v>
      </c>
      <c r="N39" t="n">
        <v>0</v>
      </c>
    </row>
    <row r="40">
      <c r="A40" t="inlineStr">
        <is>
          <t>sale of labour services</t>
        </is>
      </c>
      <c r="B40" t="inlineStr">
        <is>
          <t>10 shilling for release of the harvest labour services of 3 ferlings of land, of john baret, roger gybbes and john davy, by reason of their destitution at the lord's will, or 3 shilling 4pence1 each.</t>
        </is>
      </c>
      <c r="C40" t="n">
        <v>0.52</v>
      </c>
      <c r="D40" t="n">
        <v>0</v>
      </c>
      <c r="E40" t="n">
        <v>10</v>
      </c>
      <c r="F40" t="n">
        <v>4</v>
      </c>
      <c r="H40" t="n">
        <v>0</v>
      </c>
      <c r="I40" t="n">
        <v>0</v>
      </c>
      <c r="J40" t="n">
        <v>0</v>
      </c>
      <c r="K40" t="n">
        <v>0</v>
      </c>
      <c r="L40" t="n">
        <v>0</v>
      </c>
      <c r="M40" t="n">
        <v>0</v>
      </c>
      <c r="N40" t="n">
        <v>0</v>
      </c>
    </row>
    <row r="41">
      <c r="A41" t="inlineStr">
        <is>
          <t>sale of labour services</t>
        </is>
      </c>
      <c r="B41" t="inlineStr">
        <is>
          <t>total, £2 11 shilling 4pence.</t>
        </is>
      </c>
      <c r="C41" t="n">
        <v>2.57</v>
      </c>
      <c r="D41" t="n">
        <v>2</v>
      </c>
      <c r="E41" t="n">
        <v>11</v>
      </c>
      <c r="F41" t="n">
        <v>4</v>
      </c>
      <c r="H41" t="n">
        <v>0</v>
      </c>
      <c r="I41" t="n">
        <v>0</v>
      </c>
      <c r="J41" t="n">
        <v>0</v>
      </c>
      <c r="K41" t="n">
        <v>0</v>
      </c>
      <c r="L41" t="n">
        <v>0</v>
      </c>
      <c r="M41" t="n">
        <v>0</v>
      </c>
      <c r="N41" t="n">
        <v>0</v>
      </c>
    </row>
    <row r="42">
      <c r="A42" t="inlineStr">
        <is>
          <t>issues of the manor</t>
        </is>
      </c>
      <c r="B42" t="inlineStr">
        <is>
          <t>and for 13 shilling from the pannage of pigs at martinmas.</t>
        </is>
      </c>
      <c r="C42" t="n">
        <v>0.65</v>
      </c>
      <c r="D42" t="n">
        <v>0</v>
      </c>
      <c r="E42" t="n">
        <v>13</v>
      </c>
      <c r="F42" t="n">
        <v>0</v>
      </c>
      <c r="H42" t="n">
        <v>0</v>
      </c>
      <c r="I42" t="n">
        <v>0</v>
      </c>
      <c r="J42" t="n">
        <v>0</v>
      </c>
      <c r="K42" t="n">
        <v>0</v>
      </c>
      <c r="L42" t="n">
        <v>0</v>
      </c>
      <c r="M42" t="n">
        <v>0</v>
      </c>
      <c r="N42" t="n">
        <v>0</v>
      </c>
    </row>
    <row r="43">
      <c r="A43" t="inlineStr">
        <is>
          <t>issues of the manor</t>
        </is>
      </c>
      <c r="B43" t="inlineStr">
        <is>
          <t>1 shilling from the pannage of calves this year.</t>
        </is>
      </c>
      <c r="C43" t="n">
        <v>0.05</v>
      </c>
      <c r="D43" t="n">
        <v>0</v>
      </c>
      <c r="E43" t="n">
        <v>1</v>
      </c>
      <c r="F43" t="n">
        <v>0</v>
      </c>
      <c r="H43" t="n">
        <v>0</v>
      </c>
      <c r="I43" t="n">
        <v>0</v>
      </c>
      <c r="J43" t="n">
        <v>0</v>
      </c>
      <c r="K43" t="n">
        <v>0</v>
      </c>
      <c r="L43" t="n">
        <v>0</v>
      </c>
      <c r="M43" t="n">
        <v>0</v>
      </c>
      <c r="N43" t="n">
        <v>0</v>
      </c>
    </row>
    <row r="44">
      <c r="A44" t="inlineStr">
        <is>
          <t>issues of the manor</t>
        </is>
      </c>
      <c r="B44" t="inlineStr">
        <is>
          <t>15 shilling from the pannage of 26 cows and 12 bullocks at hockday, at 6pence a cow and 2pence a bullock.</t>
        </is>
      </c>
      <c r="C44" t="n">
        <v>0.78</v>
      </c>
      <c r="D44" t="n">
        <v>0</v>
      </c>
      <c r="E44" t="n">
        <v>15</v>
      </c>
      <c r="F44" t="n">
        <v>6</v>
      </c>
      <c r="H44" t="n">
        <v>0</v>
      </c>
      <c r="I44" t="n">
        <v>0</v>
      </c>
      <c r="J44" t="n">
        <v>0</v>
      </c>
      <c r="K44" t="n">
        <v>0</v>
      </c>
      <c r="L44" t="n">
        <v>0</v>
      </c>
      <c r="M44" t="n">
        <v>0</v>
      </c>
      <c r="N44" t="n">
        <v>0</v>
      </c>
    </row>
    <row r="45">
      <c r="A45" t="inlineStr">
        <is>
          <t>issues of the manor</t>
        </is>
      </c>
      <c r="B45" t="inlineStr">
        <is>
          <t>£1 15 shilling from 7 acres of underwood sold, at 5 shilling an acre.</t>
        </is>
      </c>
      <c r="C45" t="n">
        <v>1.75</v>
      </c>
      <c r="D45" t="n">
        <v>1</v>
      </c>
      <c r="E45" t="n">
        <v>15</v>
      </c>
      <c r="F45" t="n">
        <v>0</v>
      </c>
      <c r="H45" t="n">
        <v>0</v>
      </c>
      <c r="I45" t="n">
        <v>0</v>
      </c>
      <c r="J45" t="n">
        <v>0</v>
      </c>
      <c r="K45" t="n">
        <v>0</v>
      </c>
      <c r="L45" t="n">
        <v>0</v>
      </c>
      <c r="M45" t="n">
        <v>0</v>
      </c>
      <c r="N45" t="n">
        <v>0</v>
      </c>
    </row>
    <row r="46">
      <c r="A46" t="inlineStr">
        <is>
          <t>issues of the manor</t>
        </is>
      </c>
      <c r="B46" t="inlineStr">
        <is>
          <t>nothing from the sale of winter pasturage in the wood because it is grazed by the lord's hoggs.</t>
        </is>
      </c>
      <c r="C46" t="n">
        <v>0</v>
      </c>
      <c r="D46" t="n">
        <v>0</v>
      </c>
      <c r="E46" t="n">
        <v>0</v>
      </c>
      <c r="F46" t="n">
        <v>0</v>
      </c>
      <c r="H46" t="n">
        <v>0</v>
      </c>
      <c r="I46" t="n">
        <v>0</v>
      </c>
      <c r="J46" t="n">
        <v>0</v>
      </c>
      <c r="K46" t="n">
        <v>0</v>
      </c>
      <c r="L46" t="n">
        <v>0</v>
      </c>
      <c r="M46" t="n">
        <v>0</v>
      </c>
      <c r="N46" t="n">
        <v>0</v>
      </c>
    </row>
    <row r="47">
      <c r="A47" t="inlineStr">
        <is>
          <t>issues of the manor</t>
        </is>
      </c>
      <c r="B47" t="inlineStr">
        <is>
          <t>5 shilling from the pasturage in trendale and holyndan' sold.</t>
        </is>
      </c>
      <c r="C47" t="n">
        <v>0.25</v>
      </c>
      <c r="D47" t="n">
        <v>0</v>
      </c>
      <c r="E47" t="n">
        <v>5</v>
      </c>
      <c r="F47" t="n">
        <v>0</v>
      </c>
      <c r="H47" t="n">
        <v>0</v>
      </c>
      <c r="I47" t="n">
        <v>0</v>
      </c>
      <c r="J47" t="n">
        <v>0</v>
      </c>
      <c r="K47" t="n">
        <v>0</v>
      </c>
      <c r="L47" t="n">
        <v>0</v>
      </c>
      <c r="M47" t="n">
        <v>0</v>
      </c>
      <c r="N47" t="n">
        <v>0</v>
      </c>
    </row>
    <row r="48">
      <c r="A48" t="inlineStr">
        <is>
          <t>issues of the manor</t>
        </is>
      </c>
      <c r="B48" t="inlineStr">
        <is>
          <t>nothing from the sale of pasturage in drakenorth' because it lies in common.</t>
        </is>
      </c>
      <c r="C48" t="n">
        <v>0</v>
      </c>
      <c r="D48" t="n">
        <v>0</v>
      </c>
      <c r="E48" t="n">
        <v>0</v>
      </c>
      <c r="F48" t="n">
        <v>0</v>
      </c>
      <c r="H48" t="n">
        <v>0</v>
      </c>
      <c r="I48" t="n">
        <v>0</v>
      </c>
      <c r="J48" t="n">
        <v>0</v>
      </c>
      <c r="K48" t="n">
        <v>0</v>
      </c>
      <c r="L48" t="n">
        <v>0</v>
      </c>
      <c r="M48" t="n">
        <v>0</v>
      </c>
      <c r="N48" t="n">
        <v>0</v>
      </c>
    </row>
    <row r="49">
      <c r="A49" t="inlineStr">
        <is>
          <t>issues of the manor</t>
        </is>
      </c>
      <c r="B49" t="inlineStr">
        <is>
          <t>4 shilling 2pence from the agistment of pigs in the lord's stubble this year.</t>
        </is>
      </c>
      <c r="C49" t="n">
        <v>0.21</v>
      </c>
      <c r="D49" t="n">
        <v>0</v>
      </c>
      <c r="E49" t="n">
        <v>4</v>
      </c>
      <c r="F49" t="n">
        <v>2</v>
      </c>
      <c r="H49" t="n">
        <v>0</v>
      </c>
      <c r="I49" t="n">
        <v>0</v>
      </c>
      <c r="J49" t="n">
        <v>0</v>
      </c>
      <c r="K49" t="n">
        <v>0</v>
      </c>
      <c r="L49" t="n">
        <v>0</v>
      </c>
      <c r="M49" t="n">
        <v>0</v>
      </c>
      <c r="N49" t="n">
        <v>0</v>
      </c>
    </row>
    <row r="50">
      <c r="A50" t="inlineStr">
        <is>
          <t>issues of the manor</t>
        </is>
      </c>
      <c r="B50" t="inlineStr">
        <is>
          <t>nothing from the pasturage of the ditch around the curia because of the lord's horses.</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pasturage in locforlang' and markforlang' because it was sown.</t>
        </is>
      </c>
      <c r="C51" t="n">
        <v>0</v>
      </c>
      <c r="D51" t="n">
        <v>0</v>
      </c>
      <c r="E51" t="n">
        <v>0</v>
      </c>
      <c r="F51" t="n">
        <v>0</v>
      </c>
      <c r="H51" t="n">
        <v>0</v>
      </c>
      <c r="I51" t="n">
        <v>0</v>
      </c>
      <c r="J51" t="n">
        <v>0</v>
      </c>
      <c r="K51" t="n">
        <v>0</v>
      </c>
      <c r="L51" t="n">
        <v>0</v>
      </c>
      <c r="M51" t="n">
        <v>0</v>
      </c>
      <c r="N51" t="n">
        <v>0</v>
      </c>
    </row>
    <row r="52">
      <c r="A52" t="inlineStr">
        <is>
          <t>issues of the manor</t>
        </is>
      </c>
      <c r="B52" t="inlineStr">
        <is>
          <t>nothing from the pasturage in bashamle because it lies in common.</t>
        </is>
      </c>
      <c r="C52" t="n">
        <v>0</v>
      </c>
      <c r="D52" t="n">
        <v>0</v>
      </c>
      <c r="E52" t="n">
        <v>0</v>
      </c>
      <c r="F52" t="n">
        <v>0</v>
      </c>
      <c r="H52" t="n">
        <v>0</v>
      </c>
      <c r="I52" t="n">
        <v>0</v>
      </c>
      <c r="J52" t="n">
        <v>0</v>
      </c>
      <c r="K52" t="n">
        <v>0</v>
      </c>
      <c r="L52" t="n">
        <v>0</v>
      </c>
      <c r="M52" t="n">
        <v>0</v>
      </c>
      <c r="N52" t="n">
        <v>0</v>
      </c>
    </row>
    <row r="53">
      <c r="A53" t="inlineStr">
        <is>
          <t>issues of the manor</t>
        </is>
      </c>
      <c r="B53" t="inlineStr">
        <is>
          <t>3 shilling 4pence from the pasturage in la sherte sold to the homage for the year.</t>
        </is>
      </c>
      <c r="C53" t="n">
        <v>0.17</v>
      </c>
      <c r="D53" t="n">
        <v>0</v>
      </c>
      <c r="E53" t="n">
        <v>3</v>
      </c>
      <c r="F53" t="n">
        <v>4</v>
      </c>
      <c r="H53" t="n">
        <v>0</v>
      </c>
      <c r="I53" t="n">
        <v>0</v>
      </c>
      <c r="J53" t="n">
        <v>0</v>
      </c>
      <c r="K53" t="n">
        <v>0</v>
      </c>
      <c r="L53" t="n">
        <v>0</v>
      </c>
      <c r="M53" t="n">
        <v>0</v>
      </c>
      <c r="N53" t="n">
        <v>0</v>
      </c>
    </row>
    <row r="54">
      <c r="A54" t="inlineStr">
        <is>
          <t>issues of the manor</t>
        </is>
      </c>
      <c r="B54" t="inlineStr">
        <is>
          <t>nothing from the pasturage around the bartons of the sheepcotes because of the lord's horses.</t>
        </is>
      </c>
      <c r="C54" t="n">
        <v>0</v>
      </c>
      <c r="D54" t="n">
        <v>0</v>
      </c>
      <c r="E54" t="n">
        <v>0</v>
      </c>
      <c r="F54" t="n">
        <v>0</v>
      </c>
      <c r="H54" t="n">
        <v>0</v>
      </c>
      <c r="I54" t="n">
        <v>0</v>
      </c>
      <c r="J54" t="n">
        <v>0</v>
      </c>
      <c r="K54" t="n">
        <v>0</v>
      </c>
      <c r="L54" t="n">
        <v>0</v>
      </c>
      <c r="M54" t="n">
        <v>0</v>
      </c>
      <c r="N54" t="n">
        <v>0</v>
      </c>
    </row>
    <row r="55">
      <c r="A55" t="inlineStr">
        <is>
          <t>issues of the manor</t>
        </is>
      </c>
      <c r="B55" t="inlineStr">
        <is>
          <t>nothing from the pasturage in puthulle for the lord's sheep.</t>
        </is>
      </c>
      <c r="C55" t="n">
        <v>0</v>
      </c>
      <c r="D55" t="n">
        <v>0</v>
      </c>
      <c r="E55" t="n">
        <v>0</v>
      </c>
      <c r="F55" t="n">
        <v>0</v>
      </c>
      <c r="H55" t="n">
        <v>0</v>
      </c>
      <c r="I55" t="n">
        <v>0</v>
      </c>
      <c r="J55" t="n">
        <v>0</v>
      </c>
      <c r="K55" t="n">
        <v>0</v>
      </c>
      <c r="L55" t="n">
        <v>0</v>
      </c>
      <c r="M55" t="n">
        <v>0</v>
      </c>
      <c r="N55" t="n">
        <v>0</v>
      </c>
    </row>
    <row r="56">
      <c r="A56" t="inlineStr">
        <is>
          <t>issues of the manor</t>
        </is>
      </c>
      <c r="B56" t="inlineStr">
        <is>
          <t>nothing from the sheep of the customary tenants in the fold because they did not exceed the fixed number of 25 this year.</t>
        </is>
      </c>
      <c r="C56" t="n">
        <v>0</v>
      </c>
      <c r="D56" t="n">
        <v>0</v>
      </c>
      <c r="E56" t="n">
        <v>0</v>
      </c>
      <c r="F56" t="n">
        <v>0</v>
      </c>
      <c r="H56" t="n">
        <v>0</v>
      </c>
      <c r="I56" t="n">
        <v>0</v>
      </c>
      <c r="J56" t="n">
        <v>0</v>
      </c>
      <c r="K56" t="n">
        <v>0</v>
      </c>
      <c r="L56" t="n">
        <v>0</v>
      </c>
      <c r="M56" t="n">
        <v>0</v>
      </c>
      <c r="N56" t="n">
        <v>0</v>
      </c>
    </row>
    <row r="57">
      <c r="A57" t="inlineStr">
        <is>
          <t>issues of the manor</t>
        </is>
      </c>
      <c r="B57" t="inlineStr">
        <is>
          <t>7 shilling 4pence from 22 geese sold, at 4pence each.</t>
        </is>
      </c>
      <c r="C57" t="n">
        <v>0.37</v>
      </c>
      <c r="D57" t="n">
        <v>0</v>
      </c>
      <c r="E57" t="n">
        <v>7</v>
      </c>
      <c r="F57" t="n">
        <v>4</v>
      </c>
      <c r="H57" t="n">
        <v>0</v>
      </c>
      <c r="I57" t="n">
        <v>0</v>
      </c>
      <c r="J57" t="n">
        <v>0</v>
      </c>
      <c r="K57" t="n">
        <v>0</v>
      </c>
      <c r="L57" t="n">
        <v>0</v>
      </c>
      <c r="M57" t="n">
        <v>0</v>
      </c>
      <c r="N57" t="n">
        <v>0</v>
      </c>
    </row>
    <row r="58">
      <c r="A58" t="inlineStr">
        <is>
          <t>issues of the manor</t>
        </is>
      </c>
      <c r="B58" t="inlineStr">
        <is>
          <t>8 shilling from 24 capons sold, at 4pence each, 14 of them to the lord's household.</t>
        </is>
      </c>
      <c r="C58" t="n">
        <v>0.42</v>
      </c>
      <c r="D58" t="n">
        <v>0</v>
      </c>
      <c r="E58" t="n">
        <v>8</v>
      </c>
      <c r="F58" t="n">
        <v>4</v>
      </c>
      <c r="H58" t="n">
        <v>0</v>
      </c>
      <c r="I58" t="n">
        <v>0</v>
      </c>
      <c r="J58" t="n">
        <v>0</v>
      </c>
      <c r="K58" t="n">
        <v>0</v>
      </c>
      <c r="L58" t="n">
        <v>0</v>
      </c>
      <c r="M58" t="n">
        <v>0</v>
      </c>
      <c r="N58" t="n">
        <v>0</v>
      </c>
    </row>
    <row r="59">
      <c r="A59" t="inlineStr">
        <is>
          <t>issues of the manor</t>
        </is>
      </c>
      <c r="B59" t="inlineStr">
        <is>
          <t>14 shilling 10pence from 83 cocks and hens sold, at 2pence each.</t>
        </is>
      </c>
      <c r="C59" t="n">
        <v>0.74</v>
      </c>
      <c r="D59" t="n">
        <v>0</v>
      </c>
      <c r="E59" t="n">
        <v>14</v>
      </c>
      <c r="F59" t="n">
        <v>10</v>
      </c>
      <c r="H59" t="n">
        <v>0</v>
      </c>
      <c r="I59" t="n">
        <v>0</v>
      </c>
      <c r="J59" t="n">
        <v>0</v>
      </c>
      <c r="K59" t="n">
        <v>0</v>
      </c>
      <c r="L59" t="n">
        <v>0</v>
      </c>
      <c r="M59" t="n">
        <v>0</v>
      </c>
      <c r="N59" t="n">
        <v>0</v>
      </c>
    </row>
    <row r="60">
      <c r="A60" t="inlineStr">
        <is>
          <t>issues of the manor</t>
        </is>
      </c>
      <c r="B60" t="inlineStr">
        <is>
          <t>1 shilling from the hides sold of 2 horses in murrain.</t>
        </is>
      </c>
      <c r="C60" t="n">
        <v>0.05</v>
      </c>
      <c r="D60" t="n">
        <v>0</v>
      </c>
      <c r="E60" t="n">
        <v>1</v>
      </c>
      <c r="F60" t="n">
        <v>0</v>
      </c>
      <c r="H60" t="n">
        <v>0</v>
      </c>
      <c r="I60" t="n">
        <v>0</v>
      </c>
      <c r="J60" t="n">
        <v>0</v>
      </c>
      <c r="K60" t="n">
        <v>0</v>
      </c>
      <c r="L60" t="n">
        <v>0</v>
      </c>
      <c r="M60" t="n">
        <v>0</v>
      </c>
      <c r="N60" t="n">
        <v>0</v>
      </c>
    </row>
    <row r="61">
      <c r="A61" t="inlineStr">
        <is>
          <t>issues of the manor</t>
        </is>
      </c>
      <c r="B61" t="inlineStr">
        <is>
          <t>1 shilling 2pence from the hide sold of 1 ox in murrain.</t>
        </is>
      </c>
      <c r="C61" t="n">
        <v>0.06</v>
      </c>
      <c r="D61" t="n">
        <v>0</v>
      </c>
      <c r="E61" t="n">
        <v>1</v>
      </c>
      <c r="F61" t="n">
        <v>2</v>
      </c>
      <c r="H61" t="n">
        <v>0</v>
      </c>
      <c r="I61" t="n">
        <v>0</v>
      </c>
      <c r="J61" t="n">
        <v>0</v>
      </c>
      <c r="K61" t="n">
        <v>0</v>
      </c>
      <c r="L61" t="n">
        <v>0</v>
      </c>
      <c r="M61" t="n">
        <v>0</v>
      </c>
      <c r="N61" t="n">
        <v>0</v>
      </c>
    </row>
    <row r="62">
      <c r="A62" t="inlineStr">
        <is>
          <t>issues of the manor</t>
        </is>
      </c>
      <c r="B62" t="inlineStr">
        <is>
          <t>7 shilling 8pence from the skins sold of 242 wethers, 9 ewes and 12 hoggs in murrain before shearing, at 4pence a skin of wethers, 2pence of ewes, and 1.5pence of hoggs.</t>
        </is>
      </c>
      <c r="C62" t="n">
        <v>0.38</v>
      </c>
      <c r="D62" t="n">
        <v>0</v>
      </c>
      <c r="E62" t="n">
        <v>7</v>
      </c>
      <c r="F62" t="n">
        <v>8</v>
      </c>
      <c r="H62" t="n">
        <v>0</v>
      </c>
      <c r="I62" t="n">
        <v>0</v>
      </c>
      <c r="J62" t="n">
        <v>0</v>
      </c>
      <c r="K62" t="n">
        <v>0</v>
      </c>
      <c r="L62" t="n">
        <v>0</v>
      </c>
      <c r="M62" t="n">
        <v>0</v>
      </c>
      <c r="N62" t="n">
        <v>0</v>
      </c>
    </row>
    <row r="63">
      <c r="A63" t="inlineStr">
        <is>
          <t>issues of the manor</t>
        </is>
      </c>
      <c r="B63" t="inlineStr">
        <is>
          <t>10pence from the skins of 7 wethers and 3 ewes in murrain after shearing, at 1pence a skin.</t>
        </is>
      </c>
      <c r="C63" t="n">
        <v>0.04</v>
      </c>
      <c r="D63" t="n">
        <v>0</v>
      </c>
      <c r="E63" t="n">
        <v>0</v>
      </c>
      <c r="F63" t="n">
        <v>10</v>
      </c>
      <c r="H63" t="n">
        <v>0</v>
      </c>
      <c r="I63" t="n">
        <v>0</v>
      </c>
      <c r="J63" t="n">
        <v>0</v>
      </c>
      <c r="K63" t="n">
        <v>0</v>
      </c>
      <c r="L63" t="n">
        <v>0</v>
      </c>
      <c r="M63" t="n">
        <v>0</v>
      </c>
      <c r="N63" t="n">
        <v>0</v>
      </c>
    </row>
    <row r="64">
      <c r="A64" t="inlineStr">
        <is>
          <t>issues of the manor</t>
        </is>
      </c>
      <c r="B64" t="inlineStr">
        <is>
          <t>2 shilling 5pence from the skins sold of 41 lambs in murrain before weaning, at 8pence a dozen.</t>
        </is>
      </c>
      <c r="C64" t="n">
        <v>0.12</v>
      </c>
      <c r="D64" t="n">
        <v>0</v>
      </c>
      <c r="E64" t="n">
        <v>2</v>
      </c>
      <c r="F64" t="n">
        <v>5</v>
      </c>
      <c r="H64" t="n">
        <v>0</v>
      </c>
      <c r="I64" t="n">
        <v>0</v>
      </c>
      <c r="J64" t="n">
        <v>0</v>
      </c>
      <c r="K64" t="n">
        <v>0</v>
      </c>
      <c r="L64" t="n">
        <v>0</v>
      </c>
      <c r="M64" t="n">
        <v>0</v>
      </c>
      <c r="N64" t="n">
        <v>0</v>
      </c>
    </row>
    <row r="65">
      <c r="A65" t="inlineStr">
        <is>
          <t>issues of the manor</t>
        </is>
      </c>
      <c r="B65" t="inlineStr">
        <is>
          <t>3pence from the rotted skins of 31 lambs in murrain after weaning and before shearing.</t>
        </is>
      </c>
      <c r="C65" t="n">
        <v>0.01</v>
      </c>
      <c r="D65" t="n">
        <v>0</v>
      </c>
      <c r="E65" t="n">
        <v>0</v>
      </c>
      <c r="F65" t="n">
        <v>3</v>
      </c>
      <c r="H65" t="n">
        <v>0</v>
      </c>
      <c r="I65" t="n">
        <v>0</v>
      </c>
      <c r="J65" t="n">
        <v>0</v>
      </c>
      <c r="K65" t="n">
        <v>0</v>
      </c>
      <c r="L65" t="n">
        <v>0</v>
      </c>
      <c r="M65" t="n">
        <v>0</v>
      </c>
      <c r="N65" t="n">
        <v>0</v>
      </c>
    </row>
    <row r="66">
      <c r="A66" t="inlineStr">
        <is>
          <t>issues of the manor</t>
        </is>
      </c>
      <c r="B66" t="inlineStr">
        <is>
          <t>10pence from the shorn skins sold of 20 lambs in murrain after shearing, at .5pence a skin.</t>
        </is>
      </c>
      <c r="C66" t="n">
        <v>0.04</v>
      </c>
      <c r="D66" t="n">
        <v>0</v>
      </c>
      <c r="E66" t="n">
        <v>0</v>
      </c>
      <c r="F66" t="n">
        <v>10</v>
      </c>
      <c r="H66" t="n">
        <v>0</v>
      </c>
      <c r="I66" t="n">
        <v>0</v>
      </c>
      <c r="J66" t="n">
        <v>0</v>
      </c>
      <c r="K66" t="n">
        <v>0</v>
      </c>
      <c r="L66" t="n">
        <v>0</v>
      </c>
      <c r="M66" t="n">
        <v>0</v>
      </c>
      <c r="N66" t="n">
        <v>0</v>
      </c>
    </row>
    <row r="67">
      <c r="A67" t="inlineStr">
        <is>
          <t>issues of the manor</t>
        </is>
      </c>
      <c r="B67" t="inlineStr">
        <is>
          <t>1 shilling 8pence from 2 cloves of wool locks sold.</t>
        </is>
      </c>
      <c r="C67" t="n">
        <v>0.08</v>
      </c>
      <c r="D67" t="n">
        <v>0</v>
      </c>
      <c r="E67" t="n">
        <v>1</v>
      </c>
      <c r="F67" t="n">
        <v>8</v>
      </c>
      <c r="H67" t="n">
        <v>0</v>
      </c>
      <c r="I67" t="n">
        <v>0</v>
      </c>
      <c r="J67" t="n">
        <v>0</v>
      </c>
      <c r="K67" t="n">
        <v>0</v>
      </c>
      <c r="L67" t="n">
        <v>0</v>
      </c>
      <c r="M67" t="n">
        <v>0</v>
      </c>
      <c r="N67" t="n">
        <v>0</v>
      </c>
    </row>
    <row r="68">
      <c r="A68" t="inlineStr">
        <is>
          <t>issues of the manor</t>
        </is>
      </c>
      <c r="B68" t="inlineStr">
        <is>
          <t>16 shilling 6pence from 11 cloves of lamb's-wool sold, at 1 shilling 6pence a clove.</t>
        </is>
      </c>
      <c r="C68" t="n">
        <v>0.83</v>
      </c>
      <c r="D68" t="n">
        <v>0</v>
      </c>
      <c r="E68" t="n">
        <v>16</v>
      </c>
      <c r="F68" t="n">
        <v>6</v>
      </c>
      <c r="H68" t="n">
        <v>0</v>
      </c>
      <c r="I68" t="n">
        <v>0</v>
      </c>
      <c r="J68" t="n">
        <v>0</v>
      </c>
      <c r="K68" t="n">
        <v>0</v>
      </c>
      <c r="L68" t="n">
        <v>0</v>
      </c>
      <c r="M68" t="n">
        <v>0</v>
      </c>
      <c r="N68" t="n">
        <v>0</v>
      </c>
    </row>
    <row r="69">
      <c r="A69" t="inlineStr">
        <is>
          <t>issues of the manor</t>
        </is>
      </c>
      <c r="B69" t="inlineStr">
        <is>
          <t>nothing from the milking of ewes because they were not in milk by reason of the dryness of the summer.</t>
        </is>
      </c>
      <c r="C69" t="n">
        <v>0</v>
      </c>
      <c r="D69" t="n">
        <v>0</v>
      </c>
      <c r="E69" t="n">
        <v>0</v>
      </c>
      <c r="F69" t="n">
        <v>0</v>
      </c>
      <c r="H69" t="n">
        <v>0</v>
      </c>
      <c r="I69" t="n">
        <v>0</v>
      </c>
      <c r="J69" t="n">
        <v>0</v>
      </c>
      <c r="K69" t="n">
        <v>0</v>
      </c>
      <c r="L69" t="n">
        <v>0</v>
      </c>
      <c r="M69" t="n">
        <v>0</v>
      </c>
      <c r="N69" t="n">
        <v>0</v>
      </c>
    </row>
    <row r="70">
      <c r="A70" t="inlineStr">
        <is>
          <t>issues of the manor</t>
        </is>
      </c>
      <c r="B70" t="inlineStr">
        <is>
          <t>10pence from 200 hens' eggs sold.</t>
        </is>
      </c>
      <c r="C70" t="n">
        <v>0.04</v>
      </c>
      <c r="D70" t="n">
        <v>0</v>
      </c>
      <c r="E70" t="n">
        <v>0</v>
      </c>
      <c r="F70" t="n">
        <v>10</v>
      </c>
      <c r="H70" t="n">
        <v>0</v>
      </c>
      <c r="I70" t="n">
        <v>0</v>
      </c>
      <c r="J70" t="n">
        <v>0</v>
      </c>
      <c r="K70" t="n">
        <v>0</v>
      </c>
      <c r="L70" t="n">
        <v>0</v>
      </c>
      <c r="M70" t="n">
        <v>0</v>
      </c>
      <c r="N70" t="n">
        <v>0</v>
      </c>
    </row>
    <row r="71">
      <c r="A71" t="inlineStr">
        <is>
          <t>issues of the manor</t>
        </is>
      </c>
      <c r="B71" t="inlineStr">
        <is>
          <t>nothing from the agistment of horses in the lord's wood for the lord's sheep.</t>
        </is>
      </c>
      <c r="C71" t="n">
        <v>0</v>
      </c>
      <c r="D71" t="n">
        <v>0</v>
      </c>
      <c r="E71" t="n">
        <v>0</v>
      </c>
      <c r="F71" t="n">
        <v>0</v>
      </c>
      <c r="H71" t="n">
        <v>0</v>
      </c>
      <c r="I71" t="n">
        <v>0</v>
      </c>
      <c r="J71" t="n">
        <v>0</v>
      </c>
      <c r="K71" t="n">
        <v>0</v>
      </c>
      <c r="L71" t="n">
        <v>0</v>
      </c>
      <c r="M71" t="n">
        <v>0</v>
      </c>
      <c r="N71" t="n">
        <v>0</v>
      </c>
    </row>
    <row r="72">
      <c r="A72" t="inlineStr">
        <is>
          <t>issues of the manor</t>
        </is>
      </c>
      <c r="B72" t="inlineStr">
        <is>
          <t>3 shilling 4pence from john wayte for the pasturage of 50 sheep with the lord's wethers annexed to 2 ferlings of villein land.</t>
        </is>
      </c>
      <c r="C72" t="n">
        <v>0.17</v>
      </c>
      <c r="D72" t="n">
        <v>0</v>
      </c>
      <c r="E72" t="n">
        <v>3</v>
      </c>
      <c r="F72" t="n">
        <v>4</v>
      </c>
      <c r="H72" t="n">
        <v>0</v>
      </c>
      <c r="I72" t="n">
        <v>0</v>
      </c>
      <c r="J72" t="n">
        <v>0</v>
      </c>
      <c r="K72" t="n">
        <v>0</v>
      </c>
      <c r="L72" t="n">
        <v>0</v>
      </c>
      <c r="M72" t="n">
        <v>0</v>
      </c>
      <c r="N72" t="n">
        <v>0</v>
      </c>
    </row>
    <row r="73">
      <c r="A73" t="inlineStr">
        <is>
          <t>issues of the manor</t>
        </is>
      </c>
      <c r="B73" t="inlineStr">
        <is>
          <t>total, £7 2 shilling 2.d.</t>
        </is>
      </c>
      <c r="C73" t="n">
        <v>7.1</v>
      </c>
      <c r="D73" t="n">
        <v>7</v>
      </c>
      <c r="E73" t="n">
        <v>2</v>
      </c>
      <c r="F73" t="n">
        <v>0</v>
      </c>
      <c r="H73" t="n">
        <v>0</v>
      </c>
      <c r="I73" t="n">
        <v>0</v>
      </c>
      <c r="J73" t="n">
        <v>0</v>
      </c>
      <c r="K73" t="n">
        <v>0</v>
      </c>
      <c r="L73" t="n">
        <v>0</v>
      </c>
      <c r="M73" t="n">
        <v>0</v>
      </c>
      <c r="N73" t="n">
        <v>0</v>
      </c>
    </row>
    <row r="74">
      <c r="A74" t="inlineStr">
        <is>
          <t>sale of corn</t>
        </is>
      </c>
      <c r="B74"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74" t="n">
        <v>15.03</v>
      </c>
      <c r="D74" t="n">
        <v>15</v>
      </c>
      <c r="E74" t="n">
        <v>0</v>
      </c>
      <c r="F74" t="n">
        <v>8</v>
      </c>
      <c r="G74" t="inlineStr">
        <is>
          <t>wheat</t>
        </is>
      </c>
      <c r="H74" t="n">
        <v>196</v>
      </c>
      <c r="I74" t="n">
        <v>12</v>
      </c>
      <c r="J74" t="n">
        <v>197.5</v>
      </c>
      <c r="K74" t="n">
        <v>34.75</v>
      </c>
      <c r="L74" t="n">
        <v>162.75</v>
      </c>
      <c r="M74" t="n">
        <v>34</v>
      </c>
      <c r="N74" t="n">
        <v>6</v>
      </c>
      <c r="O74" t="n">
        <v>8</v>
      </c>
      <c r="P74" t="n">
        <v>0</v>
      </c>
      <c r="Q74" t="n">
        <v>26</v>
      </c>
      <c r="R74" t="n">
        <v>6</v>
      </c>
      <c r="S74" t="n">
        <v>10</v>
      </c>
      <c r="T74" t="n">
        <v>0</v>
      </c>
      <c r="U74" t="n">
        <v>152</v>
      </c>
      <c r="V74" t="n">
        <v>6</v>
      </c>
      <c r="W74" t="n">
        <v>10</v>
      </c>
      <c r="X74" t="n">
        <v>0</v>
      </c>
      <c r="Y74" t="n">
        <v>8</v>
      </c>
      <c r="Z74" t="n">
        <v>8</v>
      </c>
      <c r="AA74" t="n">
        <v>8</v>
      </c>
      <c r="AB74" t="n">
        <v>0</v>
      </c>
    </row>
    <row r="75">
      <c r="A75" t="inlineStr">
        <is>
          <t>sale of corn</t>
        </is>
      </c>
      <c r="B75" t="inlineStr">
        <is>
          <t>£15 from 50 quarters of barley sold, at 6 shilling a quarters.</t>
        </is>
      </c>
      <c r="C75" t="n">
        <v>15</v>
      </c>
      <c r="D75" t="n">
        <v>15</v>
      </c>
      <c r="E75" t="n">
        <v>0</v>
      </c>
      <c r="F75" t="n">
        <v>0</v>
      </c>
      <c r="G75" t="inlineStr">
        <is>
          <t>barley</t>
        </is>
      </c>
      <c r="H75" t="n">
        <v>50</v>
      </c>
      <c r="I75" t="n">
        <v>0</v>
      </c>
      <c r="J75" t="n">
        <v>50</v>
      </c>
      <c r="K75" t="n">
        <v>50</v>
      </c>
      <c r="L75" t="n">
        <v>0</v>
      </c>
      <c r="M75" t="n">
        <v>50</v>
      </c>
      <c r="N75" t="n">
        <v>0</v>
      </c>
      <c r="W75" t="n">
        <v>6</v>
      </c>
      <c r="X75" t="n">
        <v>0</v>
      </c>
    </row>
    <row r="76">
      <c r="A76" t="inlineStr">
        <is>
          <t>sale of corn</t>
        </is>
      </c>
      <c r="B76" t="inlineStr">
        <is>
          <t>£3 3 shilling 4.5pence from 21 quarters 1 bushels of oats sold, at 3 shilling a quarters.</t>
        </is>
      </c>
      <c r="C76" t="n">
        <v>3.17</v>
      </c>
      <c r="D76" t="n">
        <v>3</v>
      </c>
      <c r="E76" t="n">
        <v>3</v>
      </c>
      <c r="F76" t="n">
        <v>4.5</v>
      </c>
      <c r="G76" t="inlineStr">
        <is>
          <t>oats</t>
        </is>
      </c>
      <c r="H76" t="n">
        <v>21</v>
      </c>
      <c r="I76" t="n">
        <v>1</v>
      </c>
      <c r="J76" t="n">
        <v>21.12</v>
      </c>
      <c r="K76" t="n">
        <v>21.12</v>
      </c>
      <c r="L76" t="n">
        <v>0</v>
      </c>
      <c r="M76" t="n">
        <v>21</v>
      </c>
      <c r="N76" t="n">
        <v>1</v>
      </c>
      <c r="W76" t="n">
        <v>3</v>
      </c>
      <c r="X76" t="n">
        <v>0</v>
      </c>
    </row>
    <row r="77">
      <c r="A77" t="inlineStr">
        <is>
          <t>sale of corn</t>
        </is>
      </c>
      <c r="B77" t="inlineStr">
        <is>
          <t>total, £33 4 shilling .5pence.</t>
        </is>
      </c>
      <c r="C77" t="n">
        <v>33.2</v>
      </c>
      <c r="D77" t="n">
        <v>33</v>
      </c>
      <c r="E77" t="n">
        <v>4</v>
      </c>
      <c r="F77" t="n">
        <v>0</v>
      </c>
      <c r="H77" t="n">
        <v>0</v>
      </c>
      <c r="I77" t="n">
        <v>0</v>
      </c>
      <c r="J77" t="n">
        <v>0</v>
      </c>
      <c r="K77" t="n">
        <v>0</v>
      </c>
      <c r="L77" t="n">
        <v>0</v>
      </c>
      <c r="M77" t="n">
        <v>0</v>
      </c>
      <c r="N77" t="n">
        <v>0</v>
      </c>
    </row>
    <row r="78">
      <c r="A78" t="inlineStr">
        <is>
          <t>sale of stock</t>
        </is>
      </c>
      <c r="B78" t="inlineStr">
        <is>
          <t>and for £3 17 shilling 4pence from 68 kebb wethers sold after shearing, 12 of them to the lord's household, at 1 shilling each, and 56 in the market, at 1 shilling 2pence each.</t>
        </is>
      </c>
      <c r="C78" t="n">
        <v>3.87</v>
      </c>
      <c r="D78" t="n">
        <v>3</v>
      </c>
      <c r="E78" t="n">
        <v>17</v>
      </c>
      <c r="F78" t="n">
        <v>4</v>
      </c>
      <c r="H78" t="n">
        <v>0</v>
      </c>
      <c r="I78" t="n">
        <v>0</v>
      </c>
      <c r="J78" t="n">
        <v>0</v>
      </c>
      <c r="K78" t="n">
        <v>0</v>
      </c>
      <c r="L78" t="n">
        <v>0</v>
      </c>
      <c r="M78" t="n">
        <v>0</v>
      </c>
      <c r="N78" t="n">
        <v>0</v>
      </c>
    </row>
    <row r="79">
      <c r="A79" t="inlineStr">
        <is>
          <t>sale of stock</t>
        </is>
      </c>
      <c r="B79" t="inlineStr">
        <is>
          <t>£3 17 shilling from 23 kebb rams and 65 ewes sold, at 1 shilling 2pence each.</t>
        </is>
      </c>
      <c r="C79" t="n">
        <v>3.85</v>
      </c>
      <c r="D79" t="n">
        <v>3</v>
      </c>
      <c r="E79" t="n">
        <v>17</v>
      </c>
      <c r="F79" t="n">
        <v>0</v>
      </c>
      <c r="H79" t="n">
        <v>0</v>
      </c>
      <c r="I79" t="n">
        <v>0</v>
      </c>
      <c r="J79" t="n">
        <v>0</v>
      </c>
      <c r="K79" t="n">
        <v>0</v>
      </c>
      <c r="L79" t="n">
        <v>0</v>
      </c>
      <c r="M79" t="n">
        <v>0</v>
      </c>
      <c r="N79" t="n">
        <v>0</v>
      </c>
    </row>
    <row r="80">
      <c r="A80" t="inlineStr">
        <is>
          <t>sale of stock</t>
        </is>
      </c>
      <c r="B80" t="inlineStr">
        <is>
          <t>£8 6 shilling 8pence from 100 hoggs sold before shearing to the sergeant of waltham st lawrence, at 1 shilling 8pence each.</t>
        </is>
      </c>
      <c r="C80" t="n">
        <v>8.33</v>
      </c>
      <c r="D80" t="n">
        <v>8</v>
      </c>
      <c r="E80" t="n">
        <v>6</v>
      </c>
      <c r="F80" t="n">
        <v>8</v>
      </c>
      <c r="H80" t="n">
        <v>0</v>
      </c>
      <c r="I80" t="n">
        <v>0</v>
      </c>
      <c r="J80" t="n">
        <v>0</v>
      </c>
      <c r="K80" t="n">
        <v>0</v>
      </c>
      <c r="L80" t="n">
        <v>0</v>
      </c>
      <c r="M80" t="n">
        <v>0</v>
      </c>
      <c r="N80" t="n">
        <v>0</v>
      </c>
    </row>
    <row r="81">
      <c r="A81" t="inlineStr">
        <is>
          <t>sale of stock</t>
        </is>
      </c>
      <c r="B81" t="inlineStr">
        <is>
          <t>9 shilling 4pence from 14 lambs removed from stock and sold, at 8pence each.</t>
        </is>
      </c>
      <c r="C81" t="n">
        <v>0.47</v>
      </c>
      <c r="D81" t="n">
        <v>0</v>
      </c>
      <c r="E81" t="n">
        <v>9</v>
      </c>
      <c r="F81" t="n">
        <v>4</v>
      </c>
      <c r="H81" t="n">
        <v>0</v>
      </c>
      <c r="I81" t="n">
        <v>0</v>
      </c>
      <c r="J81" t="n">
        <v>0</v>
      </c>
      <c r="K81" t="n">
        <v>0</v>
      </c>
      <c r="L81" t="n">
        <v>0</v>
      </c>
      <c r="M81" t="n">
        <v>0</v>
      </c>
      <c r="N81" t="n">
        <v>0</v>
      </c>
    </row>
    <row r="82">
      <c r="A82" t="inlineStr">
        <is>
          <t>sale of stock</t>
        </is>
      </c>
      <c r="B82" t="inlineStr">
        <is>
          <t>£1 for the piglets from the offspring of 1 sow, demised at farm this year.</t>
        </is>
      </c>
      <c r="C82" t="n">
        <v>1</v>
      </c>
      <c r="D82" t="n">
        <v>1</v>
      </c>
      <c r="E82" t="n">
        <v>0</v>
      </c>
      <c r="F82" t="n">
        <v>0</v>
      </c>
      <c r="H82" t="n">
        <v>0</v>
      </c>
      <c r="I82" t="n">
        <v>0</v>
      </c>
      <c r="J82" t="n">
        <v>0</v>
      </c>
      <c r="K82" t="n">
        <v>0</v>
      </c>
      <c r="L82" t="n">
        <v>0</v>
      </c>
      <c r="M82" t="n">
        <v>0</v>
      </c>
      <c r="N82" t="n">
        <v>0</v>
      </c>
    </row>
    <row r="83">
      <c r="A83" t="inlineStr">
        <is>
          <t>sale of stock</t>
        </is>
      </c>
      <c r="B83" t="inlineStr">
        <is>
          <t>total, £17 10 shilling 4pence.</t>
        </is>
      </c>
      <c r="C83" t="n">
        <v>17.52</v>
      </c>
      <c r="D83" t="n">
        <v>17</v>
      </c>
      <c r="E83" t="n">
        <v>10</v>
      </c>
      <c r="F83" t="n">
        <v>4</v>
      </c>
      <c r="H83" t="n">
        <v>0</v>
      </c>
      <c r="I83" t="n">
        <v>0</v>
      </c>
      <c r="J83" t="n">
        <v>0</v>
      </c>
      <c r="K83" t="n">
        <v>0</v>
      </c>
      <c r="L83" t="n">
        <v>0</v>
      </c>
      <c r="M83" t="n">
        <v>0</v>
      </c>
      <c r="N83" t="n">
        <v>0</v>
      </c>
    </row>
    <row r="84">
      <c r="A84" t="inlineStr">
        <is>
          <t>entry fines</t>
        </is>
      </c>
      <c r="B84" t="inlineStr">
        <is>
          <t>and for 13 shilling 4pence from tithingpenny at the tourns of martinmas and hockday.</t>
        </is>
      </c>
      <c r="C84" t="n">
        <v>0.67</v>
      </c>
      <c r="D84" t="n">
        <v>0</v>
      </c>
      <c r="E84" t="n">
        <v>13</v>
      </c>
      <c r="F84" t="n">
        <v>4</v>
      </c>
      <c r="H84" t="n">
        <v>0</v>
      </c>
      <c r="I84" t="n">
        <v>0</v>
      </c>
      <c r="J84" t="n">
        <v>0</v>
      </c>
      <c r="K84" t="n">
        <v>0</v>
      </c>
      <c r="L84" t="n">
        <v>0</v>
      </c>
      <c r="M84" t="n">
        <v>0</v>
      </c>
      <c r="N84" t="n">
        <v>0</v>
      </c>
    </row>
    <row r="85">
      <c r="A85" t="inlineStr">
        <is>
          <t>entry fines</t>
        </is>
      </c>
      <c r="B85" t="inlineStr">
        <is>
          <t>3 shilling 4pence from alice haukyn for marrying christine her daughter outside.</t>
        </is>
      </c>
      <c r="C85" t="n">
        <v>0.17</v>
      </c>
      <c r="D85" t="n">
        <v>0</v>
      </c>
      <c r="E85" t="n">
        <v>3</v>
      </c>
      <c r="F85" t="n">
        <v>4</v>
      </c>
      <c r="H85" t="n">
        <v>0</v>
      </c>
      <c r="I85" t="n">
        <v>0</v>
      </c>
      <c r="J85" t="n">
        <v>0</v>
      </c>
      <c r="K85" t="n">
        <v>0</v>
      </c>
      <c r="L85" t="n">
        <v>0</v>
      </c>
      <c r="M85" t="n">
        <v>0</v>
      </c>
      <c r="N85" t="n">
        <v>0</v>
      </c>
    </row>
    <row r="86">
      <c r="A86" t="inlineStr">
        <is>
          <t>entry fines</t>
        </is>
      </c>
      <c r="B86" t="inlineStr">
        <is>
          <t>6pence from thomas aleyn to have 1 toft and 1 ferling of villein land in the north part of crawley which formerly belonged to john morant and which came into the lord's hands as his escheat because noone of the kin of the said john took steps to fine for the same although a proclamation was made according to the custom of the manor for this to be compelled (ad hoc compulsus).</t>
        </is>
      </c>
      <c r="C86" t="n">
        <v>0.03</v>
      </c>
      <c r="D86" t="n">
        <v>0</v>
      </c>
      <c r="E86" t="n">
        <v>0</v>
      </c>
      <c r="F86" t="n">
        <v>6</v>
      </c>
      <c r="H86" t="n">
        <v>0</v>
      </c>
      <c r="I86" t="n">
        <v>0</v>
      </c>
      <c r="J86" t="n">
        <v>0</v>
      </c>
      <c r="K86" t="n">
        <v>0</v>
      </c>
      <c r="L86" t="n">
        <v>0</v>
      </c>
      <c r="M86" t="n">
        <v>0</v>
      </c>
      <c r="N86" t="n">
        <v>0</v>
      </c>
    </row>
    <row r="87">
      <c r="A87" t="inlineStr">
        <is>
          <t>entry fines</t>
        </is>
      </c>
      <c r="B87" t="inlineStr">
        <is>
          <t>4 5 shilling from john gibbes for marrying joan his daughter outside.</t>
        </is>
      </c>
      <c r="C87" t="n">
        <v>0.25</v>
      </c>
      <c r="D87" t="n">
        <v>0</v>
      </c>
      <c r="E87" t="n">
        <v>5</v>
      </c>
      <c r="F87" t="n">
        <v>0</v>
      </c>
      <c r="H87" t="n">
        <v>0</v>
      </c>
      <c r="I87" t="n">
        <v>0</v>
      </c>
      <c r="J87" t="n">
        <v>0</v>
      </c>
      <c r="K87" t="n">
        <v>0</v>
      </c>
      <c r="L87" t="n">
        <v>0</v>
      </c>
      <c r="M87" t="n">
        <v>0</v>
      </c>
      <c r="N87" t="n">
        <v>0</v>
      </c>
    </row>
    <row r="88">
      <c r="A88" t="inlineStr">
        <is>
          <t>entry fines</t>
        </is>
      </c>
      <c r="B88" t="inlineStr">
        <is>
          <t>total, £1 2 shilling 2pence.</t>
        </is>
      </c>
      <c r="C88" t="n">
        <v>1.11</v>
      </c>
      <c r="D88" t="n">
        <v>1</v>
      </c>
      <c r="E88" t="n">
        <v>2</v>
      </c>
      <c r="F88" t="n">
        <v>2</v>
      </c>
      <c r="H88" t="n">
        <v>0</v>
      </c>
      <c r="I88" t="n">
        <v>0</v>
      </c>
      <c r="J88" t="n">
        <v>0</v>
      </c>
      <c r="K88" t="n">
        <v>0</v>
      </c>
      <c r="L88" t="n">
        <v>0</v>
      </c>
      <c r="M88" t="n">
        <v>0</v>
      </c>
      <c r="N88" t="n">
        <v>0</v>
      </c>
    </row>
    <row r="89">
      <c r="A89" t="inlineStr">
        <is>
          <t>perquisites</t>
        </is>
      </c>
      <c r="B89" t="inlineStr">
        <is>
          <t>and for 1 shilling 10pence from the perquisites of the tourn of martinmas (11 november).</t>
        </is>
      </c>
      <c r="C89" t="n">
        <v>0.09</v>
      </c>
      <c r="D89" t="n">
        <v>0</v>
      </c>
      <c r="E89" t="n">
        <v>1</v>
      </c>
      <c r="F89" t="n">
        <v>10</v>
      </c>
      <c r="H89" t="n">
        <v>0</v>
      </c>
      <c r="I89" t="n">
        <v>0</v>
      </c>
      <c r="J89" t="n">
        <v>0</v>
      </c>
      <c r="K89" t="n">
        <v>0</v>
      </c>
      <c r="L89" t="n">
        <v>0</v>
      </c>
      <c r="M89" t="n">
        <v>0</v>
      </c>
      <c r="N89" t="n">
        <v>0</v>
      </c>
    </row>
    <row r="90">
      <c r="A90" t="inlineStr">
        <is>
          <t>perquisites</t>
        </is>
      </c>
      <c r="B90" t="inlineStr">
        <is>
          <t>4 shilling 4pence from the perquisites of the tourn of hockday (1 april).</t>
        </is>
      </c>
      <c r="C90" t="n">
        <v>0.22</v>
      </c>
      <c r="D90" t="n">
        <v>0</v>
      </c>
      <c r="E90" t="n">
        <v>4</v>
      </c>
      <c r="F90" t="n">
        <v>4</v>
      </c>
      <c r="H90" t="n">
        <v>0</v>
      </c>
      <c r="I90" t="n">
        <v>0</v>
      </c>
      <c r="J90" t="n">
        <v>0</v>
      </c>
      <c r="K90" t="n">
        <v>0</v>
      </c>
      <c r="L90" t="n">
        <v>0</v>
      </c>
      <c r="M90" t="n">
        <v>0</v>
      </c>
      <c r="N90" t="n">
        <v>0</v>
      </c>
    </row>
    <row r="91">
      <c r="A91" t="inlineStr">
        <is>
          <t>perquisites</t>
        </is>
      </c>
      <c r="B91" t="inlineStr">
        <is>
          <t>7 shilling 8pence from the perquisites of the courts held between the said 2 tourns.</t>
        </is>
      </c>
      <c r="C91" t="n">
        <v>0.38</v>
      </c>
      <c r="D91" t="n">
        <v>0</v>
      </c>
      <c r="E91" t="n">
        <v>7</v>
      </c>
      <c r="F91" t="n">
        <v>8</v>
      </c>
      <c r="H91" t="n">
        <v>0</v>
      </c>
      <c r="I91" t="n">
        <v>0</v>
      </c>
      <c r="J91" t="n">
        <v>0</v>
      </c>
      <c r="K91" t="n">
        <v>0</v>
      </c>
      <c r="L91" t="n">
        <v>0</v>
      </c>
      <c r="M91" t="n">
        <v>0</v>
      </c>
      <c r="N91" t="n">
        <v>0</v>
      </c>
    </row>
    <row r="92">
      <c r="A92" t="inlineStr">
        <is>
          <t>perquisites</t>
        </is>
      </c>
      <c r="B92" t="inlineStr">
        <is>
          <t>6 shilling from the perquisites of the courts held after the said tourn of hockday.</t>
        </is>
      </c>
      <c r="C92" t="n">
        <v>0.3</v>
      </c>
      <c r="D92" t="n">
        <v>0</v>
      </c>
      <c r="E92" t="n">
        <v>6</v>
      </c>
      <c r="F92" t="n">
        <v>0</v>
      </c>
      <c r="H92" t="n">
        <v>0</v>
      </c>
      <c r="I92" t="n">
        <v>0</v>
      </c>
      <c r="J92" t="n">
        <v>0</v>
      </c>
      <c r="K92" t="n">
        <v>0</v>
      </c>
      <c r="L92" t="n">
        <v>0</v>
      </c>
      <c r="M92" t="n">
        <v>0</v>
      </c>
      <c r="N92" t="n">
        <v>0</v>
      </c>
    </row>
    <row r="93">
      <c r="A93" t="inlineStr">
        <is>
          <t>perquisites</t>
        </is>
      </c>
      <c r="B93" t="inlineStr">
        <is>
          <t>total, 19 shilling 10pence.</t>
        </is>
      </c>
      <c r="C93" t="n">
        <v>0.99</v>
      </c>
      <c r="D93" t="n">
        <v>0</v>
      </c>
      <c r="E93" t="n">
        <v>19</v>
      </c>
      <c r="F93" t="n">
        <v>10</v>
      </c>
      <c r="H93" t="n">
        <v>0</v>
      </c>
      <c r="I93" t="n">
        <v>0</v>
      </c>
      <c r="J93" t="n">
        <v>0</v>
      </c>
      <c r="K93" t="n">
        <v>0</v>
      </c>
      <c r="L93" t="n">
        <v>0</v>
      </c>
      <c r="M93" t="n">
        <v>0</v>
      </c>
      <c r="N93" t="n">
        <v>0</v>
      </c>
    </row>
    <row r="94">
      <c r="A94" t="inlineStr">
        <is>
          <t>sales at the audit</t>
        </is>
      </c>
      <c r="B94" t="inlineStr">
        <is>
          <t>and for 9 shilling from various sales at the audit as made clear elsewhere.</t>
        </is>
      </c>
      <c r="C94" t="n">
        <v>0.45</v>
      </c>
      <c r="D94" t="n">
        <v>0</v>
      </c>
      <c r="E94" t="n">
        <v>9</v>
      </c>
      <c r="F94" t="n">
        <v>0</v>
      </c>
      <c r="H94" t="n">
        <v>0</v>
      </c>
      <c r="I94" t="n">
        <v>0</v>
      </c>
      <c r="J94" t="n">
        <v>0</v>
      </c>
      <c r="K94" t="n">
        <v>0</v>
      </c>
      <c r="L94" t="n">
        <v>0</v>
      </c>
      <c r="M94" t="n">
        <v>0</v>
      </c>
      <c r="N94" t="n">
        <v>0</v>
      </c>
    </row>
    <row r="95">
      <c r="A95" t="inlineStr">
        <is>
          <t>sales at the audit</t>
        </is>
      </c>
      <c r="B95" t="inlineStr">
        <is>
          <t>total, 9 shilling.</t>
        </is>
      </c>
      <c r="C95" t="n">
        <v>0.45</v>
      </c>
      <c r="D95" t="n">
        <v>0</v>
      </c>
      <c r="E95" t="n">
        <v>9</v>
      </c>
      <c r="F95" t="n">
        <v>0</v>
      </c>
      <c r="H95" t="n">
        <v>0</v>
      </c>
      <c r="I95" t="n">
        <v>0</v>
      </c>
      <c r="J95" t="n">
        <v>0</v>
      </c>
      <c r="K95" t="n">
        <v>0</v>
      </c>
      <c r="L95" t="n">
        <v>0</v>
      </c>
      <c r="M95" t="n">
        <v>0</v>
      </c>
      <c r="N95" t="n">
        <v>0</v>
      </c>
    </row>
    <row r="96">
      <c r="A96" t="inlineStr">
        <is>
          <t>sales at the audit</t>
        </is>
      </c>
      <c r="B96" t="inlineStr">
        <is>
          <t>total of all receipts with arrears, £76 16 shilling 3.5pence.</t>
        </is>
      </c>
      <c r="C96" t="n">
        <v>76.81</v>
      </c>
      <c r="D96" t="n">
        <v>76</v>
      </c>
      <c r="E96" t="n">
        <v>16</v>
      </c>
      <c r="F96" t="n">
        <v>3.5</v>
      </c>
      <c r="H96" t="n">
        <v>0</v>
      </c>
      <c r="I96" t="n">
        <v>0</v>
      </c>
      <c r="J96" t="n">
        <v>0</v>
      </c>
      <c r="K96" t="n">
        <v>0</v>
      </c>
      <c r="L96" t="n">
        <v>0</v>
      </c>
      <c r="M96" t="n">
        <v>0</v>
      </c>
      <c r="N96" t="n">
        <v>0</v>
      </c>
    </row>
    <row r="97">
      <c r="A97" t="inlineStr">
        <is>
          <t>cost of ploughs</t>
        </is>
      </c>
      <c r="B97" t="inlineStr">
        <is>
          <t>in iron and steel bought for the ironwork of 3 ploughs for the year 16 shilling 8pence.</t>
        </is>
      </c>
      <c r="C97" t="n">
        <v>0.83</v>
      </c>
      <c r="D97" t="n">
        <v>0</v>
      </c>
      <c r="E97" t="n">
        <v>16</v>
      </c>
      <c r="F97" t="n">
        <v>8</v>
      </c>
      <c r="H97" t="n">
        <v>0</v>
      </c>
      <c r="I97" t="n">
        <v>0</v>
      </c>
      <c r="J97" t="n">
        <v>0</v>
      </c>
      <c r="K97" t="n">
        <v>0</v>
      </c>
      <c r="L97" t="n">
        <v>0</v>
      </c>
      <c r="M97" t="n">
        <v>0</v>
      </c>
      <c r="N97" t="n">
        <v>0</v>
      </c>
    </row>
    <row r="98">
      <c r="A98" t="inlineStr">
        <is>
          <t>cost of ploughs</t>
        </is>
      </c>
      <c r="B98" t="inlineStr">
        <is>
          <t>1 new plough bought 1 shilling.</t>
        </is>
      </c>
      <c r="C98" t="n">
        <v>0.05</v>
      </c>
      <c r="D98" t="n">
        <v>0</v>
      </c>
      <c r="E98" t="n">
        <v>1</v>
      </c>
      <c r="F98" t="n">
        <v>0</v>
      </c>
      <c r="H98" t="n">
        <v>0</v>
      </c>
      <c r="I98" t="n">
        <v>0</v>
      </c>
      <c r="J98" t="n">
        <v>0</v>
      </c>
      <c r="K98" t="n">
        <v>0</v>
      </c>
      <c r="L98" t="n">
        <v>0</v>
      </c>
      <c r="M98" t="n">
        <v>0</v>
      </c>
      <c r="N98" t="n">
        <v>0</v>
      </c>
    </row>
    <row r="99">
      <c r="A99" t="inlineStr">
        <is>
          <t>cost of ploughs</t>
        </is>
      </c>
      <c r="B99" t="inlineStr">
        <is>
          <t>fitting the same with tyres 3pence.</t>
        </is>
      </c>
      <c r="C99" t="n">
        <v>0.01</v>
      </c>
      <c r="D99" t="n">
        <v>0</v>
      </c>
      <c r="E99" t="n">
        <v>0</v>
      </c>
      <c r="F99" t="n">
        <v>3</v>
      </c>
      <c r="H99" t="n">
        <v>0</v>
      </c>
      <c r="I99" t="n">
        <v>0</v>
      </c>
      <c r="J99" t="n">
        <v>0</v>
      </c>
      <c r="K99" t="n">
        <v>0</v>
      </c>
      <c r="L99" t="n">
        <v>0</v>
      </c>
      <c r="M99" t="n">
        <v>0</v>
      </c>
      <c r="N99" t="n">
        <v>0</v>
      </c>
    </row>
    <row r="100">
      <c r="A100" t="inlineStr">
        <is>
          <t>cost of ploughs</t>
        </is>
      </c>
      <c r="B100" t="inlineStr">
        <is>
          <t>fitting the ploughs with share-beams and mould-boards for the year 6pence.</t>
        </is>
      </c>
      <c r="C100" t="n">
        <v>0.03</v>
      </c>
      <c r="D100" t="n">
        <v>0</v>
      </c>
      <c r="E100" t="n">
        <v>0</v>
      </c>
      <c r="F100" t="n">
        <v>6</v>
      </c>
      <c r="H100" t="n">
        <v>0</v>
      </c>
      <c r="I100" t="n">
        <v>0</v>
      </c>
      <c r="J100" t="n">
        <v>0</v>
      </c>
      <c r="K100" t="n">
        <v>0</v>
      </c>
      <c r="L100" t="n">
        <v>0</v>
      </c>
      <c r="M100" t="n">
        <v>0</v>
      </c>
      <c r="N100" t="n">
        <v>0</v>
      </c>
    </row>
    <row r="101">
      <c r="A101" t="inlineStr">
        <is>
          <t>cost of ploughs</t>
        </is>
      </c>
      <c r="B101" t="inlineStr">
        <is>
          <t>3 plough feet bought is.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3 pairs of wheels bought for the ploughs 2 shilling.</t>
        </is>
      </c>
      <c r="C102" t="n">
        <v>0.1</v>
      </c>
      <c r="D102" t="n">
        <v>0</v>
      </c>
      <c r="E102" t="n">
        <v>2</v>
      </c>
      <c r="F102" t="n">
        <v>0</v>
      </c>
      <c r="H102" t="n">
        <v>0</v>
      </c>
      <c r="I102" t="n">
        <v>0</v>
      </c>
      <c r="J102" t="n">
        <v>0</v>
      </c>
      <c r="K102" t="n">
        <v>0</v>
      </c>
      <c r="L102" t="n">
        <v>0</v>
      </c>
      <c r="M102" t="n">
        <v>0</v>
      </c>
      <c r="N102" t="n">
        <v>0</v>
      </c>
    </row>
    <row r="103">
      <c r="A103" t="inlineStr">
        <is>
          <t>cost of ploughs</t>
        </is>
      </c>
      <c r="B103" t="inlineStr">
        <is>
          <t>4 yokes made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1 ploughshare bought is. 8pence.</t>
        </is>
      </c>
      <c r="C104" t="n">
        <v>0.03</v>
      </c>
      <c r="D104" t="n">
        <v>0</v>
      </c>
      <c r="E104" t="n">
        <v>0</v>
      </c>
      <c r="F104" t="n">
        <v>8</v>
      </c>
      <c r="H104" t="n">
        <v>0</v>
      </c>
      <c r="I104" t="n">
        <v>0</v>
      </c>
      <c r="J104" t="n">
        <v>0</v>
      </c>
      <c r="K104" t="n">
        <v>0</v>
      </c>
      <c r="L104" t="n">
        <v>0</v>
      </c>
      <c r="M104" t="n">
        <v>0</v>
      </c>
      <c r="N104" t="n">
        <v>0</v>
      </c>
    </row>
    <row r="105">
      <c r="A105" t="inlineStr">
        <is>
          <t>cost of ploughs</t>
        </is>
      </c>
      <c r="B105" t="inlineStr">
        <is>
          <t>4 halters bought 4pence.</t>
        </is>
      </c>
      <c r="C105" t="n">
        <v>0.02</v>
      </c>
      <c r="D105" t="n">
        <v>0</v>
      </c>
      <c r="E105" t="n">
        <v>0</v>
      </c>
      <c r="F105" t="n">
        <v>4</v>
      </c>
      <c r="H105" t="n">
        <v>0</v>
      </c>
      <c r="I105" t="n">
        <v>0</v>
      </c>
      <c r="J105" t="n">
        <v>0</v>
      </c>
      <c r="K105" t="n">
        <v>0</v>
      </c>
      <c r="L105" t="n">
        <v>0</v>
      </c>
      <c r="M105" t="n">
        <v>0</v>
      </c>
      <c r="N105" t="n">
        <v>0</v>
      </c>
    </row>
    <row r="106">
      <c r="A106" t="inlineStr">
        <is>
          <t>cost of ploughs</t>
        </is>
      </c>
      <c r="B106" t="inlineStr">
        <is>
          <t>remaking broken iron staples and rings 8pence.</t>
        </is>
      </c>
      <c r="C106" t="n">
        <v>0.03</v>
      </c>
      <c r="D106" t="n">
        <v>0</v>
      </c>
      <c r="E106" t="n">
        <v>0</v>
      </c>
      <c r="F106" t="n">
        <v>8</v>
      </c>
      <c r="H106" t="n">
        <v>0</v>
      </c>
      <c r="I106" t="n">
        <v>0</v>
      </c>
      <c r="J106" t="n">
        <v>0</v>
      </c>
      <c r="K106" t="n">
        <v>0</v>
      </c>
      <c r="L106" t="n">
        <v>0</v>
      </c>
      <c r="M106" t="n">
        <v>0</v>
      </c>
      <c r="N106" t="n">
        <v>0</v>
      </c>
    </row>
    <row r="107">
      <c r="A107" t="inlineStr">
        <is>
          <t>cost of ploughs</t>
        </is>
      </c>
      <c r="B107" t="inlineStr">
        <is>
          <t>boon-works of 8 ploughmen from the customary tenants who ploughed 8 acres as they lie 8pence.</t>
        </is>
      </c>
      <c r="C107" t="n">
        <v>0.03</v>
      </c>
      <c r="D107" t="n">
        <v>0</v>
      </c>
      <c r="E107" t="n">
        <v>0</v>
      </c>
      <c r="F107" t="n">
        <v>8</v>
      </c>
      <c r="H107" t="n">
        <v>0</v>
      </c>
      <c r="I107" t="n">
        <v>0</v>
      </c>
      <c r="J107" t="n">
        <v>0</v>
      </c>
      <c r="K107" t="n">
        <v>0</v>
      </c>
      <c r="L107" t="n">
        <v>0</v>
      </c>
      <c r="M107" t="n">
        <v>0</v>
      </c>
      <c r="N107" t="n">
        <v>0</v>
      </c>
    </row>
    <row r="108">
      <c r="A108" t="inlineStr">
        <is>
          <t>cost of ploughs</t>
        </is>
      </c>
      <c r="B108" t="inlineStr">
        <is>
          <t>shoeing 18 oxen and fastening them again 2 shilling 4pence.</t>
        </is>
      </c>
      <c r="C108" t="n">
        <v>0.12</v>
      </c>
      <c r="D108" t="n">
        <v>0</v>
      </c>
      <c r="E108" t="n">
        <v>2</v>
      </c>
      <c r="F108" t="n">
        <v>4</v>
      </c>
      <c r="H108" t="n">
        <v>0</v>
      </c>
      <c r="I108" t="n">
        <v>0</v>
      </c>
      <c r="J108" t="n">
        <v>0</v>
      </c>
      <c r="K108" t="n">
        <v>0</v>
      </c>
      <c r="L108" t="n">
        <v>0</v>
      </c>
      <c r="M108" t="n">
        <v>0</v>
      </c>
      <c r="N108" t="n">
        <v>0</v>
      </c>
    </row>
    <row r="109">
      <c r="A109" t="inlineStr">
        <is>
          <t>cost of ploughs</t>
        </is>
      </c>
      <c r="B109" t="inlineStr">
        <is>
          <t>shoeing 4 plough-horses for the year 6 shilling.</t>
        </is>
      </c>
      <c r="C109" t="n">
        <v>0.3</v>
      </c>
      <c r="D109" t="n">
        <v>0</v>
      </c>
      <c r="E109" t="n">
        <v>6</v>
      </c>
      <c r="F109" t="n">
        <v>0</v>
      </c>
      <c r="H109" t="n">
        <v>0</v>
      </c>
      <c r="I109" t="n">
        <v>0</v>
      </c>
      <c r="J109" t="n">
        <v>0</v>
      </c>
      <c r="K109" t="n">
        <v>0</v>
      </c>
      <c r="L109" t="n">
        <v>0</v>
      </c>
      <c r="M109" t="n">
        <v>0</v>
      </c>
      <c r="N109" t="n">
        <v>0</v>
      </c>
    </row>
    <row r="110">
      <c r="A110" t="inlineStr">
        <is>
          <t>cost of ploughs</t>
        </is>
      </c>
      <c r="B110" t="inlineStr">
        <is>
          <t>stipend of 2 drovers for the year 8 shilling.</t>
        </is>
      </c>
      <c r="C110" t="n">
        <v>0.4</v>
      </c>
      <c r="D110" t="n">
        <v>0</v>
      </c>
      <c r="E110" t="n">
        <v>8</v>
      </c>
      <c r="F110" t="n">
        <v>0</v>
      </c>
      <c r="H110" t="n">
        <v>0</v>
      </c>
      <c r="I110" t="n">
        <v>0</v>
      </c>
      <c r="J110" t="n">
        <v>0</v>
      </c>
      <c r="K110" t="n">
        <v>0</v>
      </c>
      <c r="L110" t="n">
        <v>0</v>
      </c>
      <c r="M110" t="n">
        <v>0</v>
      </c>
      <c r="N110" t="n">
        <v>0</v>
      </c>
    </row>
    <row r="111">
      <c r="A111" t="inlineStr">
        <is>
          <t>cost of ploughs</t>
        </is>
      </c>
      <c r="B111" t="inlineStr">
        <is>
          <t>3 harrows made 8pence.</t>
        </is>
      </c>
      <c r="C111" t="n">
        <v>0.03</v>
      </c>
      <c r="D111" t="n">
        <v>0</v>
      </c>
      <c r="E111" t="n">
        <v>0</v>
      </c>
      <c r="F111" t="n">
        <v>8</v>
      </c>
      <c r="H111" t="n">
        <v>0</v>
      </c>
      <c r="I111" t="n">
        <v>0</v>
      </c>
      <c r="J111" t="n">
        <v>0</v>
      </c>
      <c r="K111" t="n">
        <v>0</v>
      </c>
      <c r="L111" t="n">
        <v>0</v>
      </c>
      <c r="M111" t="n">
        <v>0</v>
      </c>
      <c r="N111" t="n">
        <v>0</v>
      </c>
    </row>
    <row r="112">
      <c r="A112" t="inlineStr">
        <is>
          <t>cost of ploughs</t>
        </is>
      </c>
      <c r="B112" t="inlineStr">
        <is>
          <t>total, £2 3 shilling 5pence.</t>
        </is>
      </c>
      <c r="C112" t="n">
        <v>2.17</v>
      </c>
      <c r="D112" t="n">
        <v>2</v>
      </c>
      <c r="E112" t="n">
        <v>3</v>
      </c>
      <c r="F112" t="n">
        <v>5</v>
      </c>
      <c r="H112" t="n">
        <v>0</v>
      </c>
      <c r="I112" t="n">
        <v>0</v>
      </c>
      <c r="J112" t="n">
        <v>0</v>
      </c>
      <c r="K112" t="n">
        <v>0</v>
      </c>
      <c r="L112" t="n">
        <v>0</v>
      </c>
      <c r="M112" t="n">
        <v>0</v>
      </c>
      <c r="N112" t="n">
        <v>0</v>
      </c>
    </row>
    <row r="113">
      <c r="A113" t="inlineStr">
        <is>
          <t>cost of carts</t>
        </is>
      </c>
      <c r="B113" t="inlineStr">
        <is>
          <t>in 8 clouts with nails bought for the cart for the year 1 shilling 8pence.</t>
        </is>
      </c>
      <c r="C113" t="n">
        <v>0.08</v>
      </c>
      <c r="D113" t="n">
        <v>0</v>
      </c>
      <c r="E113" t="n">
        <v>1</v>
      </c>
      <c r="F113" t="n">
        <v>8</v>
      </c>
      <c r="H113" t="n">
        <v>0</v>
      </c>
      <c r="I113" t="n">
        <v>0</v>
      </c>
      <c r="J113" t="n">
        <v>0</v>
      </c>
      <c r="K113" t="n">
        <v>0</v>
      </c>
      <c r="L113" t="n">
        <v>0</v>
      </c>
      <c r="M113" t="n">
        <v>0</v>
      </c>
      <c r="N113" t="n">
        <v>0</v>
      </c>
    </row>
    <row r="114">
      <c r="A114" t="inlineStr">
        <is>
          <t>cost of carts</t>
        </is>
      </c>
      <c r="B114" t="inlineStr">
        <is>
          <t>fitting the cart with axles 6pence.</t>
        </is>
      </c>
      <c r="C114" t="n">
        <v>0.03</v>
      </c>
      <c r="D114" t="n">
        <v>0</v>
      </c>
      <c r="E114" t="n">
        <v>0</v>
      </c>
      <c r="F114" t="n">
        <v>6</v>
      </c>
      <c r="H114" t="n">
        <v>0</v>
      </c>
      <c r="I114" t="n">
        <v>0</v>
      </c>
      <c r="J114" t="n">
        <v>0</v>
      </c>
      <c r="K114" t="n">
        <v>0</v>
      </c>
      <c r="L114" t="n">
        <v>0</v>
      </c>
      <c r="M114" t="n">
        <v>0</v>
      </c>
      <c r="N114" t="n">
        <v>0</v>
      </c>
    </row>
    <row r="115">
      <c r="A115" t="inlineStr">
        <is>
          <t>cost of carts</t>
        </is>
      </c>
      <c r="B115" t="inlineStr">
        <is>
          <t>grease bought for the same 6pence.</t>
        </is>
      </c>
      <c r="C115" t="n">
        <v>0.03</v>
      </c>
      <c r="D115" t="n">
        <v>0</v>
      </c>
      <c r="E115" t="n">
        <v>0</v>
      </c>
      <c r="F115" t="n">
        <v>6</v>
      </c>
      <c r="H115" t="n">
        <v>0</v>
      </c>
      <c r="I115" t="n">
        <v>0</v>
      </c>
      <c r="J115" t="n">
        <v>0</v>
      </c>
      <c r="K115" t="n">
        <v>0</v>
      </c>
      <c r="L115" t="n">
        <v>0</v>
      </c>
      <c r="M115" t="n">
        <v>0</v>
      </c>
      <c r="N115" t="n">
        <v>0</v>
      </c>
    </row>
    <row r="116">
      <c r="A116" t="inlineStr">
        <is>
          <t>cost of carts</t>
        </is>
      </c>
      <c r="B116" t="inlineStr">
        <is>
          <t>3 collars bought 2 shilling 3pence.</t>
        </is>
      </c>
      <c r="C116" t="n">
        <v>0.11</v>
      </c>
      <c r="D116" t="n">
        <v>0</v>
      </c>
      <c r="E116" t="n">
        <v>2</v>
      </c>
      <c r="F116" t="n">
        <v>3</v>
      </c>
      <c r="H116" t="n">
        <v>0</v>
      </c>
      <c r="I116" t="n">
        <v>0</v>
      </c>
      <c r="J116" t="n">
        <v>0</v>
      </c>
      <c r="K116" t="n">
        <v>0</v>
      </c>
      <c r="L116" t="n">
        <v>0</v>
      </c>
      <c r="M116" t="n">
        <v>0</v>
      </c>
      <c r="N116" t="n">
        <v>0</v>
      </c>
    </row>
    <row r="117">
      <c r="A117" t="inlineStr">
        <is>
          <t>cost of carts</t>
        </is>
      </c>
      <c r="B117" t="inlineStr">
        <is>
          <t>2 pairs of traces bought 1 shilling.</t>
        </is>
      </c>
      <c r="C117" t="n">
        <v>0.05</v>
      </c>
      <c r="D117" t="n">
        <v>0</v>
      </c>
      <c r="E117" t="n">
        <v>1</v>
      </c>
      <c r="F117" t="n">
        <v>0</v>
      </c>
      <c r="H117" t="n">
        <v>0</v>
      </c>
      <c r="I117" t="n">
        <v>0</v>
      </c>
      <c r="J117" t="n">
        <v>0</v>
      </c>
      <c r="K117" t="n">
        <v>0</v>
      </c>
      <c r="L117" t="n">
        <v>0</v>
      </c>
      <c r="M117" t="n">
        <v>0</v>
      </c>
      <c r="N117" t="n">
        <v>0</v>
      </c>
    </row>
    <row r="118">
      <c r="A118" t="inlineStr">
        <is>
          <t>cost of carts</t>
        </is>
      </c>
      <c r="B118" t="inlineStr">
        <is>
          <t>white leather bought 1 shilling.</t>
        </is>
      </c>
      <c r="C118" t="n">
        <v>0.05</v>
      </c>
      <c r="D118" t="n">
        <v>0</v>
      </c>
      <c r="E118" t="n">
        <v>1</v>
      </c>
      <c r="F118" t="n">
        <v>0</v>
      </c>
      <c r="H118" t="n">
        <v>0</v>
      </c>
      <c r="I118" t="n">
        <v>0</v>
      </c>
      <c r="J118" t="n">
        <v>0</v>
      </c>
      <c r="K118" t="n">
        <v>0</v>
      </c>
      <c r="L118" t="n">
        <v>0</v>
      </c>
      <c r="M118" t="n">
        <v>0</v>
      </c>
      <c r="N118" t="n">
        <v>0</v>
      </c>
    </row>
    <row r="119">
      <c r="A119" t="inlineStr">
        <is>
          <t>cost of carts</t>
        </is>
      </c>
      <c r="B119" t="inlineStr">
        <is>
          <t>3 halters bought 3pence.</t>
        </is>
      </c>
      <c r="C119" t="n">
        <v>0.01</v>
      </c>
      <c r="D119" t="n">
        <v>0</v>
      </c>
      <c r="E119" t="n">
        <v>0</v>
      </c>
      <c r="F119" t="n">
        <v>3</v>
      </c>
      <c r="H119" t="n">
        <v>0</v>
      </c>
      <c r="I119" t="n">
        <v>0</v>
      </c>
      <c r="J119" t="n">
        <v>0</v>
      </c>
      <c r="K119" t="n">
        <v>0</v>
      </c>
      <c r="L119" t="n">
        <v>0</v>
      </c>
      <c r="M119" t="n">
        <v>0</v>
      </c>
      <c r="N119" t="n">
        <v>0</v>
      </c>
    </row>
    <row r="120">
      <c r="A120" t="inlineStr">
        <is>
          <t>cost of carts</t>
        </is>
      </c>
      <c r="B120" t="inlineStr">
        <is>
          <t>1 cart-rail bought for the cart 8pence.</t>
        </is>
      </c>
      <c r="C120" t="n">
        <v>0.03</v>
      </c>
      <c r="D120" t="n">
        <v>0</v>
      </c>
      <c r="E120" t="n">
        <v>0</v>
      </c>
      <c r="F120" t="n">
        <v>8</v>
      </c>
      <c r="H120" t="n">
        <v>0</v>
      </c>
      <c r="I120" t="n">
        <v>0</v>
      </c>
      <c r="J120" t="n">
        <v>0</v>
      </c>
      <c r="K120" t="n">
        <v>0</v>
      </c>
      <c r="L120" t="n">
        <v>0</v>
      </c>
      <c r="M120" t="n">
        <v>0</v>
      </c>
      <c r="N120" t="n">
        <v>0</v>
      </c>
    </row>
    <row r="121">
      <c r="A121" t="inlineStr">
        <is>
          <t>cost of carts</t>
        </is>
      </c>
      <c r="B121" t="inlineStr">
        <is>
          <t>shoeing 3 horses for the year 6 shilling.</t>
        </is>
      </c>
      <c r="C121" t="n">
        <v>0.3</v>
      </c>
      <c r="D121" t="n">
        <v>0</v>
      </c>
      <c r="E121" t="n">
        <v>6</v>
      </c>
      <c r="F121" t="n">
        <v>0</v>
      </c>
      <c r="H121" t="n">
        <v>0</v>
      </c>
      <c r="I121" t="n">
        <v>0</v>
      </c>
      <c r="J121" t="n">
        <v>0</v>
      </c>
      <c r="K121" t="n">
        <v>0</v>
      </c>
      <c r="L121" t="n">
        <v>0</v>
      </c>
      <c r="M121" t="n">
        <v>0</v>
      </c>
      <c r="N121" t="n">
        <v>0</v>
      </c>
    </row>
    <row r="122">
      <c r="A122" t="inlineStr">
        <is>
          <t>cost of carts</t>
        </is>
      </c>
      <c r="B122" t="inlineStr">
        <is>
          <t>stipend of 1 carter for the year 4 shilling.</t>
        </is>
      </c>
      <c r="C122" t="n">
        <v>0.2</v>
      </c>
      <c r="D122" t="n">
        <v>0</v>
      </c>
      <c r="E122" t="n">
        <v>4</v>
      </c>
      <c r="F122" t="n">
        <v>0</v>
      </c>
      <c r="H122" t="n">
        <v>0</v>
      </c>
      <c r="I122" t="n">
        <v>0</v>
      </c>
      <c r="J122" t="n">
        <v>0</v>
      </c>
      <c r="K122" t="n">
        <v>0</v>
      </c>
      <c r="L122" t="n">
        <v>0</v>
      </c>
      <c r="M122" t="n">
        <v>0</v>
      </c>
      <c r="N122" t="n">
        <v>0</v>
      </c>
    </row>
    <row r="123">
      <c r="A123" t="inlineStr">
        <is>
          <t>cost of carts</t>
        </is>
      </c>
      <c r="B123" t="inlineStr">
        <is>
          <t>total, 17 shilling 10pence.</t>
        </is>
      </c>
      <c r="C123" t="n">
        <v>0.89</v>
      </c>
      <c r="D123" t="n">
        <v>0</v>
      </c>
      <c r="E123" t="n">
        <v>17</v>
      </c>
      <c r="F123" t="n">
        <v>10</v>
      </c>
      <c r="H123" t="n">
        <v>0</v>
      </c>
      <c r="I123" t="n">
        <v>0</v>
      </c>
      <c r="J123" t="n">
        <v>0</v>
      </c>
      <c r="K123" t="n">
        <v>0</v>
      </c>
      <c r="L123" t="n">
        <v>0</v>
      </c>
      <c r="M123" t="n">
        <v>0</v>
      </c>
      <c r="N123" t="n">
        <v>0</v>
      </c>
    </row>
    <row r="124">
      <c r="A124" t="inlineStr">
        <is>
          <t>purchase of stock</t>
        </is>
      </c>
      <c r="B124" t="inlineStr">
        <is>
          <t>in 1 horse bought in the market £ 1 4 shilling 1pence.</t>
        </is>
      </c>
      <c r="C124" t="n">
        <v>0.2</v>
      </c>
      <c r="D124" t="n">
        <v>0</v>
      </c>
      <c r="E124" t="n">
        <v>4</v>
      </c>
      <c r="F124" t="n">
        <v>1</v>
      </c>
      <c r="H124" t="n">
        <v>0</v>
      </c>
      <c r="I124" t="n">
        <v>0</v>
      </c>
      <c r="J124" t="n">
        <v>0</v>
      </c>
      <c r="K124" t="n">
        <v>0</v>
      </c>
      <c r="L124" t="n">
        <v>0</v>
      </c>
      <c r="M124" t="n">
        <v>0</v>
      </c>
      <c r="N124" t="n">
        <v>0</v>
      </c>
    </row>
    <row r="125">
      <c r="A125" t="inlineStr">
        <is>
          <t>purchase of stock</t>
        </is>
      </c>
      <c r="B125" t="inlineStr">
        <is>
          <t>1 horse bought from the lord's household without price.</t>
        </is>
      </c>
      <c r="C125" t="n">
        <v>0</v>
      </c>
      <c r="D125" t="n">
        <v>0</v>
      </c>
      <c r="E125" t="n">
        <v>0</v>
      </c>
      <c r="F125" t="n">
        <v>0</v>
      </c>
      <c r="H125" t="n">
        <v>0</v>
      </c>
      <c r="I125" t="n">
        <v>0</v>
      </c>
      <c r="J125" t="n">
        <v>0</v>
      </c>
      <c r="K125" t="n">
        <v>0</v>
      </c>
      <c r="L125" t="n">
        <v>0</v>
      </c>
      <c r="M125" t="n">
        <v>0</v>
      </c>
      <c r="N125" t="n">
        <v>0</v>
      </c>
    </row>
    <row r="126">
      <c r="A126" t="inlineStr">
        <is>
          <t>purchase of stock</t>
        </is>
      </c>
      <c r="B126" t="inlineStr">
        <is>
          <t>3 oxen bought £2 2 shilling, at 14 shilling each.</t>
        </is>
      </c>
      <c r="C126" t="n">
        <v>2.1</v>
      </c>
      <c r="D126" t="n">
        <v>2</v>
      </c>
      <c r="E126" t="n">
        <v>2</v>
      </c>
      <c r="F126" t="n">
        <v>0</v>
      </c>
      <c r="H126" t="n">
        <v>0</v>
      </c>
      <c r="I126" t="n">
        <v>0</v>
      </c>
      <c r="J126" t="n">
        <v>0</v>
      </c>
      <c r="K126" t="n">
        <v>0</v>
      </c>
      <c r="L126" t="n">
        <v>0</v>
      </c>
      <c r="M126" t="n">
        <v>0</v>
      </c>
      <c r="N126" t="n">
        <v>0</v>
      </c>
    </row>
    <row r="127">
      <c r="A127" t="inlineStr">
        <is>
          <t>purchase of stock</t>
        </is>
      </c>
      <c r="B127" t="inlineStr">
        <is>
          <t>51 lambs bought £2 15 shilling 3pence, at an average of 1 shilling 1pence each.</t>
        </is>
      </c>
      <c r="C127" t="n">
        <v>2.76</v>
      </c>
      <c r="D127" t="n">
        <v>2</v>
      </c>
      <c r="E127" t="n">
        <v>15</v>
      </c>
      <c r="F127" t="n">
        <v>3</v>
      </c>
      <c r="H127" t="n">
        <v>0</v>
      </c>
      <c r="I127" t="n">
        <v>0</v>
      </c>
      <c r="J127" t="n">
        <v>0</v>
      </c>
      <c r="K127" t="n">
        <v>0</v>
      </c>
      <c r="L127" t="n">
        <v>0</v>
      </c>
      <c r="M127" t="n">
        <v>0</v>
      </c>
      <c r="N127" t="n">
        <v>0</v>
      </c>
    </row>
    <row r="128">
      <c r="A128" t="inlineStr">
        <is>
          <t>purchase of stock</t>
        </is>
      </c>
      <c r="B128" t="inlineStr">
        <is>
          <t>total, £6 1 shilling 4pence.</t>
        </is>
      </c>
      <c r="C128" t="n">
        <v>6.07</v>
      </c>
      <c r="D128" t="n">
        <v>6</v>
      </c>
      <c r="E128" t="n">
        <v>1</v>
      </c>
      <c r="F128" t="n">
        <v>4</v>
      </c>
      <c r="H128" t="n">
        <v>0</v>
      </c>
      <c r="I128" t="n">
        <v>0</v>
      </c>
      <c r="J128" t="n">
        <v>0</v>
      </c>
      <c r="K128" t="n">
        <v>0</v>
      </c>
      <c r="L128" t="n">
        <v>0</v>
      </c>
      <c r="M128" t="n">
        <v>0</v>
      </c>
      <c r="N128" t="n">
        <v>0</v>
      </c>
    </row>
    <row r="129">
      <c r="A129" t="inlineStr">
        <is>
          <t>cost of the sheepcote</t>
        </is>
      </c>
      <c r="B129" t="inlineStr">
        <is>
          <t>in 2 barrels of tar bought 11 shilling.</t>
        </is>
      </c>
      <c r="C129" t="n">
        <v>0.55</v>
      </c>
      <c r="D129" t="n">
        <v>0</v>
      </c>
      <c r="E129" t="n">
        <v>11</v>
      </c>
      <c r="F129" t="n">
        <v>0</v>
      </c>
      <c r="H129" t="n">
        <v>0</v>
      </c>
      <c r="I129" t="n">
        <v>0</v>
      </c>
      <c r="J129" t="n">
        <v>0</v>
      </c>
      <c r="K129" t="n">
        <v>0</v>
      </c>
      <c r="L129" t="n">
        <v>0</v>
      </c>
      <c r="M129" t="n">
        <v>0</v>
      </c>
      <c r="N129" t="n">
        <v>0</v>
      </c>
    </row>
    <row r="130">
      <c r="A130" t="inlineStr">
        <is>
          <t>cost of the sheepcote</t>
        </is>
      </c>
      <c r="B130" t="inlineStr">
        <is>
          <t>grease bought for the same 14 shilling.</t>
        </is>
      </c>
      <c r="C130" t="n">
        <v>0.7</v>
      </c>
      <c r="D130" t="n">
        <v>0</v>
      </c>
      <c r="E130" t="n">
        <v>14</v>
      </c>
      <c r="F130" t="n">
        <v>0</v>
      </c>
      <c r="H130" t="n">
        <v>0</v>
      </c>
      <c r="I130" t="n">
        <v>0</v>
      </c>
      <c r="J130" t="n">
        <v>0</v>
      </c>
      <c r="K130" t="n">
        <v>0</v>
      </c>
      <c r="L130" t="n">
        <v>0</v>
      </c>
      <c r="M130" t="n">
        <v>0</v>
      </c>
      <c r="N130" t="n">
        <v>0</v>
      </c>
    </row>
    <row r="131">
      <c r="A131" t="inlineStr">
        <is>
          <t>cost of the sheepcote</t>
        </is>
      </c>
      <c r="B131" t="inlineStr">
        <is>
          <t>60 hurdles made 3 shilling 4pence, at 8pence a dozen.</t>
        </is>
      </c>
      <c r="C131" t="n">
        <v>0.17</v>
      </c>
      <c r="D131" t="n">
        <v>0</v>
      </c>
      <c r="E131" t="n">
        <v>3</v>
      </c>
      <c r="F131" t="n">
        <v>4</v>
      </c>
      <c r="H131" t="n">
        <v>0</v>
      </c>
      <c r="I131" t="n">
        <v>0</v>
      </c>
      <c r="J131" t="n">
        <v>0</v>
      </c>
      <c r="K131" t="n">
        <v>0</v>
      </c>
      <c r="L131" t="n">
        <v>0</v>
      </c>
      <c r="M131" t="n">
        <v>0</v>
      </c>
      <c r="N131" t="n">
        <v>0</v>
      </c>
    </row>
    <row r="132">
      <c r="A132" t="inlineStr">
        <is>
          <t>cost of the sheepcote</t>
        </is>
      </c>
      <c r="B132" t="inlineStr">
        <is>
          <t>red ochre bought 1 shilling.</t>
        </is>
      </c>
      <c r="C132" t="n">
        <v>0.05</v>
      </c>
      <c r="D132" t="n">
        <v>0</v>
      </c>
      <c r="E132" t="n">
        <v>1</v>
      </c>
      <c r="F132" t="n">
        <v>0</v>
      </c>
      <c r="H132" t="n">
        <v>0</v>
      </c>
      <c r="I132" t="n">
        <v>0</v>
      </c>
      <c r="J132" t="n">
        <v>0</v>
      </c>
      <c r="K132" t="n">
        <v>0</v>
      </c>
      <c r="L132" t="n">
        <v>0</v>
      </c>
      <c r="M132" t="n">
        <v>0</v>
      </c>
      <c r="N132" t="n">
        <v>0</v>
      </c>
    </row>
    <row r="133">
      <c r="A133" t="inlineStr">
        <is>
          <t>cost of the sheepcote</t>
        </is>
      </c>
      <c r="B133" t="inlineStr">
        <is>
          <t>thread and indigo bought 1pence.</t>
        </is>
      </c>
      <c r="C133" t="n">
        <v>0</v>
      </c>
      <c r="D133" t="n">
        <v>0</v>
      </c>
      <c r="E133" t="n">
        <v>0</v>
      </c>
      <c r="F133" t="n">
        <v>1</v>
      </c>
      <c r="H133" t="n">
        <v>0</v>
      </c>
      <c r="I133" t="n">
        <v>0</v>
      </c>
      <c r="J133" t="n">
        <v>0</v>
      </c>
      <c r="K133" t="n">
        <v>0</v>
      </c>
      <c r="L133" t="n">
        <v>0</v>
      </c>
      <c r="M133" t="n">
        <v>0</v>
      </c>
      <c r="N133" t="n">
        <v>0</v>
      </c>
    </row>
    <row r="134">
      <c r="A134" t="inlineStr">
        <is>
          <t>cost of the sheepcote</t>
        </is>
      </c>
      <c r="B134" t="inlineStr">
        <is>
          <t>hay bought to support the sheep in winter £1 10 shilling, and so much by reason of the scarcity of pulses this year.</t>
        </is>
      </c>
      <c r="C134" t="n">
        <v>1.5</v>
      </c>
      <c r="D134" t="n">
        <v>1</v>
      </c>
      <c r="E134" t="n">
        <v>10</v>
      </c>
      <c r="F134" t="n">
        <v>0</v>
      </c>
      <c r="H134" t="n">
        <v>0</v>
      </c>
      <c r="I134" t="n">
        <v>0</v>
      </c>
      <c r="J134" t="n">
        <v>0</v>
      </c>
      <c r="K134" t="n">
        <v>0</v>
      </c>
      <c r="L134" t="n">
        <v>0</v>
      </c>
      <c r="M134" t="n">
        <v>0</v>
      </c>
      <c r="N134" t="n">
        <v>0</v>
      </c>
    </row>
    <row r="135">
      <c r="A135" t="inlineStr">
        <is>
          <t>cost of the sheepcote</t>
        </is>
      </c>
      <c r="B135" t="inlineStr">
        <is>
          <t>2 bushels of salt bought for the pottage of the manorial servants 1 shilling 4pence.</t>
        </is>
      </c>
      <c r="C135" t="n">
        <v>0.07000000000000001</v>
      </c>
      <c r="D135" t="n">
        <v>0</v>
      </c>
      <c r="E135" t="n">
        <v>1</v>
      </c>
      <c r="F135" t="n">
        <v>4</v>
      </c>
      <c r="H135" t="n">
        <v>0</v>
      </c>
      <c r="I135" t="n">
        <v>2</v>
      </c>
      <c r="J135" t="n">
        <v>0.25</v>
      </c>
      <c r="K135" t="n">
        <v>0.25</v>
      </c>
      <c r="L135" t="n">
        <v>0</v>
      </c>
      <c r="M135" t="n">
        <v>0</v>
      </c>
      <c r="N135" t="n">
        <v>2</v>
      </c>
    </row>
    <row r="136">
      <c r="A136" t="inlineStr">
        <is>
          <t>cost of the sheepcote</t>
        </is>
      </c>
      <c r="B136" t="inlineStr">
        <is>
          <t>carrying the fold from field to field 1 shilling.</t>
        </is>
      </c>
      <c r="C136" t="n">
        <v>0.05</v>
      </c>
      <c r="D136" t="n">
        <v>0</v>
      </c>
      <c r="E136" t="n">
        <v>1</v>
      </c>
      <c r="F136" t="n">
        <v>0</v>
      </c>
      <c r="H136" t="n">
        <v>0</v>
      </c>
      <c r="I136" t="n">
        <v>0</v>
      </c>
      <c r="J136" t="n">
        <v>0</v>
      </c>
      <c r="K136" t="n">
        <v>0</v>
      </c>
      <c r="L136" t="n">
        <v>0</v>
      </c>
      <c r="M136" t="n">
        <v>0</v>
      </c>
      <c r="N136" t="n">
        <v>0</v>
      </c>
    </row>
    <row r="137">
      <c r="A137" t="inlineStr">
        <is>
          <t>cost of the sheepcote</t>
        </is>
      </c>
      <c r="B137" t="inlineStr">
        <is>
          <t>stipend of 1 roofer roofing the ewe-house for 4 days 1 shilling 4pence.</t>
        </is>
      </c>
      <c r="C137" t="n">
        <v>0.07000000000000001</v>
      </c>
      <c r="D137" t="n">
        <v>0</v>
      </c>
      <c r="E137" t="n">
        <v>1</v>
      </c>
      <c r="F137" t="n">
        <v>4</v>
      </c>
      <c r="H137" t="n">
        <v>0</v>
      </c>
      <c r="I137" t="n">
        <v>0</v>
      </c>
      <c r="J137" t="n">
        <v>0</v>
      </c>
      <c r="K137" t="n">
        <v>0</v>
      </c>
      <c r="L137" t="n">
        <v>0</v>
      </c>
      <c r="M137" t="n">
        <v>0</v>
      </c>
      <c r="N137" t="n">
        <v>0</v>
      </c>
    </row>
    <row r="138">
      <c r="A138" t="inlineStr">
        <is>
          <t>cost of the sheepcote</t>
        </is>
      </c>
      <c r="B138" t="inlineStr">
        <is>
          <t>2 of his mates for the same time 1 shilling.</t>
        </is>
      </c>
      <c r="C138" t="n">
        <v>0.05</v>
      </c>
      <c r="D138" t="n">
        <v>0</v>
      </c>
      <c r="E138" t="n">
        <v>1</v>
      </c>
      <c r="F138" t="n">
        <v>0</v>
      </c>
      <c r="H138" t="n">
        <v>0</v>
      </c>
      <c r="I138" t="n">
        <v>0</v>
      </c>
      <c r="J138" t="n">
        <v>0</v>
      </c>
      <c r="K138" t="n">
        <v>0</v>
      </c>
      <c r="L138" t="n">
        <v>0</v>
      </c>
      <c r="M138" t="n">
        <v>0</v>
      </c>
      <c r="N138" t="n">
        <v>0</v>
      </c>
    </row>
    <row r="139">
      <c r="A139" t="inlineStr">
        <is>
          <t>cost of the sheepcote</t>
        </is>
      </c>
      <c r="B139" t="inlineStr">
        <is>
          <t>enclosing with new hedge 1 furlong and 30 perches around the sheepcote 2 shilling 11pence, at 1 shilling 8pence a furlong.</t>
        </is>
      </c>
      <c r="C139" t="n">
        <v>0.15</v>
      </c>
      <c r="D139" t="n">
        <v>0</v>
      </c>
      <c r="E139" t="n">
        <v>2</v>
      </c>
      <c r="F139" t="n">
        <v>11</v>
      </c>
      <c r="H139" t="n">
        <v>0</v>
      </c>
      <c r="I139" t="n">
        <v>0</v>
      </c>
      <c r="J139" t="n">
        <v>0</v>
      </c>
      <c r="K139" t="n">
        <v>0</v>
      </c>
      <c r="L139" t="n">
        <v>0</v>
      </c>
      <c r="M139" t="n">
        <v>0</v>
      </c>
      <c r="N139" t="n">
        <v>0</v>
      </c>
    </row>
    <row r="140">
      <c r="A140" t="inlineStr">
        <is>
          <t>cost of the sheepcote</t>
        </is>
      </c>
      <c r="B140" t="inlineStr">
        <is>
          <t>stipend of 1 dairymaid for the year 2 shilling 6pence.</t>
        </is>
      </c>
      <c r="C140" t="n">
        <v>0.12</v>
      </c>
      <c r="D140" t="n">
        <v>0</v>
      </c>
      <c r="E140" t="n">
        <v>2</v>
      </c>
      <c r="F140" t="n">
        <v>6</v>
      </c>
      <c r="H140" t="n">
        <v>0</v>
      </c>
      <c r="I140" t="n">
        <v>0</v>
      </c>
      <c r="J140" t="n">
        <v>0</v>
      </c>
      <c r="K140" t="n">
        <v>0</v>
      </c>
      <c r="L140" t="n">
        <v>0</v>
      </c>
      <c r="M140" t="n">
        <v>0</v>
      </c>
      <c r="N140" t="n">
        <v>0</v>
      </c>
    </row>
    <row r="141">
      <c r="A141" t="inlineStr">
        <is>
          <t>cost of the sheepcote</t>
        </is>
      </c>
      <c r="B141" t="inlineStr">
        <is>
          <t>1 new tripod bought 1 shilling.</t>
        </is>
      </c>
      <c r="C141" t="n">
        <v>0.05</v>
      </c>
      <c r="D141" t="n">
        <v>0</v>
      </c>
      <c r="E141" t="n">
        <v>1</v>
      </c>
      <c r="F141" t="n">
        <v>0</v>
      </c>
      <c r="H141" t="n">
        <v>0</v>
      </c>
      <c r="I141" t="n">
        <v>0</v>
      </c>
      <c r="J141" t="n">
        <v>0</v>
      </c>
      <c r="K141" t="n">
        <v>0</v>
      </c>
      <c r="L141" t="n">
        <v>0</v>
      </c>
      <c r="M141" t="n">
        <v>0</v>
      </c>
      <c r="N141" t="n">
        <v>0</v>
      </c>
    </row>
    <row r="142">
      <c r="A142" t="inlineStr">
        <is>
          <t>cost of the sheepcote</t>
        </is>
      </c>
      <c r="B142" t="inlineStr">
        <is>
          <t>total, £3 10 shilling 6pence.</t>
        </is>
      </c>
      <c r="C142" t="n">
        <v>3.52</v>
      </c>
      <c r="D142" t="n">
        <v>3</v>
      </c>
      <c r="E142" t="n">
        <v>10</v>
      </c>
      <c r="F142" t="n">
        <v>6</v>
      </c>
      <c r="H142" t="n">
        <v>0</v>
      </c>
      <c r="I142" t="n">
        <v>0</v>
      </c>
      <c r="J142" t="n">
        <v>0</v>
      </c>
      <c r="K142" t="n">
        <v>0</v>
      </c>
      <c r="L142" t="n">
        <v>0</v>
      </c>
      <c r="M142" t="n">
        <v>0</v>
      </c>
      <c r="N142" t="n">
        <v>0</v>
      </c>
    </row>
    <row r="143">
      <c r="A143" t="inlineStr">
        <is>
          <t>cost of buildings with necessaries</t>
        </is>
      </c>
      <c r="B143" t="inlineStr">
        <is>
          <t>in 3,000 plain tiles bought 16 shilling 6pence.</t>
        </is>
      </c>
      <c r="C143" t="n">
        <v>0.83</v>
      </c>
      <c r="D143" t="n">
        <v>0</v>
      </c>
      <c r="E143" t="n">
        <v>16</v>
      </c>
      <c r="F143" t="n">
        <v>6</v>
      </c>
      <c r="H143" t="n">
        <v>0</v>
      </c>
      <c r="I143" t="n">
        <v>0</v>
      </c>
      <c r="J143" t="n">
        <v>0</v>
      </c>
      <c r="K143" t="n">
        <v>0</v>
      </c>
      <c r="L143" t="n">
        <v>0</v>
      </c>
      <c r="M143" t="n">
        <v>0</v>
      </c>
      <c r="N143" t="n">
        <v>0</v>
      </c>
    </row>
    <row r="144">
      <c r="A144" t="inlineStr">
        <is>
          <t>cost of buildings with necessaries</t>
        </is>
      </c>
      <c r="B144" t="inlineStr">
        <is>
          <t>100 hip-tiles and gutter-tiles bought 4 shilling 6pence.</t>
        </is>
      </c>
      <c r="C144" t="n">
        <v>0.23</v>
      </c>
      <c r="D144" t="n">
        <v>0</v>
      </c>
      <c r="E144" t="n">
        <v>4</v>
      </c>
      <c r="F144" t="n">
        <v>6</v>
      </c>
      <c r="H144" t="n">
        <v>0</v>
      </c>
      <c r="I144" t="n">
        <v>0</v>
      </c>
      <c r="J144" t="n">
        <v>0</v>
      </c>
      <c r="K144" t="n">
        <v>0</v>
      </c>
      <c r="L144" t="n">
        <v>0</v>
      </c>
      <c r="M144" t="n">
        <v>0</v>
      </c>
      <c r="N144" t="n">
        <v>0</v>
      </c>
    </row>
    <row r="145">
      <c r="A145" t="inlineStr">
        <is>
          <t>cost of buildings with necessaries</t>
        </is>
      </c>
      <c r="B145" t="inlineStr">
        <is>
          <t>stipend of 2 roofers roofing the barn, hall and chambers for 4 weeks 16 shilling, taking between them 2 shilling a week.</t>
        </is>
      </c>
      <c r="C145" t="n">
        <v>0.8</v>
      </c>
      <c r="D145" t="n">
        <v>0</v>
      </c>
      <c r="E145" t="n">
        <v>16</v>
      </c>
      <c r="F145" t="n">
        <v>0</v>
      </c>
      <c r="H145" t="n">
        <v>0</v>
      </c>
      <c r="I145" t="n">
        <v>0</v>
      </c>
      <c r="J145" t="n">
        <v>0</v>
      </c>
      <c r="K145" t="n">
        <v>0</v>
      </c>
      <c r="L145" t="n">
        <v>0</v>
      </c>
      <c r="M145" t="n">
        <v>0</v>
      </c>
      <c r="N145" t="n">
        <v>0</v>
      </c>
    </row>
    <row r="146">
      <c r="A146" t="inlineStr">
        <is>
          <t>cost of buildings with necessaries</t>
        </is>
      </c>
      <c r="B146" t="inlineStr">
        <is>
          <t>3 quarters of lime bought 2 shilling.</t>
        </is>
      </c>
      <c r="C146" t="n">
        <v>0.1</v>
      </c>
      <c r="D146" t="n">
        <v>0</v>
      </c>
      <c r="E146" t="n">
        <v>2</v>
      </c>
      <c r="F146" t="n">
        <v>0</v>
      </c>
      <c r="H146" t="n">
        <v>3</v>
      </c>
      <c r="I146" t="n">
        <v>0</v>
      </c>
      <c r="J146" t="n">
        <v>3</v>
      </c>
      <c r="K146" t="n">
        <v>3</v>
      </c>
      <c r="L146" t="n">
        <v>0</v>
      </c>
      <c r="M146" t="n">
        <v>3</v>
      </c>
      <c r="N146" t="n">
        <v>0</v>
      </c>
    </row>
    <row r="147">
      <c r="A147" t="inlineStr">
        <is>
          <t>cost of buildings with necessaries</t>
        </is>
      </c>
      <c r="B147" t="inlineStr">
        <is>
          <t>400 laths bought 2 shilling 4pence.</t>
        </is>
      </c>
      <c r="C147" t="n">
        <v>0.12</v>
      </c>
      <c r="D147" t="n">
        <v>0</v>
      </c>
      <c r="E147" t="n">
        <v>2</v>
      </c>
      <c r="F147" t="n">
        <v>4</v>
      </c>
      <c r="H147" t="n">
        <v>0</v>
      </c>
      <c r="I147" t="n">
        <v>0</v>
      </c>
      <c r="J147" t="n">
        <v>0</v>
      </c>
      <c r="K147" t="n">
        <v>0</v>
      </c>
      <c r="L147" t="n">
        <v>0</v>
      </c>
      <c r="M147" t="n">
        <v>0</v>
      </c>
      <c r="N147" t="n">
        <v>0</v>
      </c>
    </row>
    <row r="148">
      <c r="A148" t="inlineStr">
        <is>
          <t>cost of buildings with necessaries</t>
        </is>
      </c>
      <c r="B148" t="inlineStr">
        <is>
          <t>4,000 lath-nails bought 4 shilling 8pence, at 1 shilling 2pence a 1,000..</t>
        </is>
      </c>
      <c r="C148" t="n">
        <v>0.23</v>
      </c>
      <c r="D148" t="n">
        <v>0</v>
      </c>
      <c r="E148" t="n">
        <v>4</v>
      </c>
      <c r="F148" t="n">
        <v>8</v>
      </c>
      <c r="H148" t="n">
        <v>0</v>
      </c>
      <c r="I148" t="n">
        <v>0</v>
      </c>
      <c r="J148" t="n">
        <v>0</v>
      </c>
      <c r="K148" t="n">
        <v>0</v>
      </c>
      <c r="L148" t="n">
        <v>0</v>
      </c>
      <c r="M148" t="n">
        <v>0</v>
      </c>
      <c r="N148" t="n">
        <v>0</v>
      </c>
    </row>
    <row r="149">
      <c r="A149" t="inlineStr">
        <is>
          <t>cost of buildings with necessaries</t>
        </is>
      </c>
      <c r="B149" t="inlineStr">
        <is>
          <t>board-nails bought 2pence.</t>
        </is>
      </c>
      <c r="C149" t="n">
        <v>0.01</v>
      </c>
      <c r="D149" t="n">
        <v>0</v>
      </c>
      <c r="E149" t="n">
        <v>0</v>
      </c>
      <c r="F149" t="n">
        <v>2</v>
      </c>
      <c r="H149" t="n">
        <v>0</v>
      </c>
      <c r="I149" t="n">
        <v>0</v>
      </c>
      <c r="J149" t="n">
        <v>0</v>
      </c>
      <c r="K149" t="n">
        <v>0</v>
      </c>
      <c r="L149" t="n">
        <v>0</v>
      </c>
      <c r="M149" t="n">
        <v>0</v>
      </c>
      <c r="N149" t="n">
        <v>0</v>
      </c>
    </row>
    <row r="150">
      <c r="A150" t="inlineStr">
        <is>
          <t>cost of buildings with necessaries</t>
        </is>
      </c>
      <c r="B150" t="inlineStr">
        <is>
          <t>12,000 tile-pins bought 2 shilling.</t>
        </is>
      </c>
      <c r="C150" t="n">
        <v>0.1</v>
      </c>
      <c r="D150" t="n">
        <v>0</v>
      </c>
      <c r="E150" t="n">
        <v>2</v>
      </c>
      <c r="F150" t="n">
        <v>0</v>
      </c>
      <c r="H150" t="n">
        <v>0</v>
      </c>
      <c r="I150" t="n">
        <v>0</v>
      </c>
      <c r="J150" t="n">
        <v>0</v>
      </c>
      <c r="K150" t="n">
        <v>0</v>
      </c>
      <c r="L150" t="n">
        <v>0</v>
      </c>
      <c r="M150" t="n">
        <v>0</v>
      </c>
      <c r="N150" t="n">
        <v>0</v>
      </c>
    </row>
    <row r="151">
      <c r="A151" t="inlineStr">
        <is>
          <t>cost of buildings with necessaries</t>
        </is>
      </c>
      <c r="B151" t="inlineStr">
        <is>
          <t>2 locks with keys bought for 2 stables 8pence.</t>
        </is>
      </c>
      <c r="C151" t="n">
        <v>0.03</v>
      </c>
      <c r="D151" t="n">
        <v>0</v>
      </c>
      <c r="E151" t="n">
        <v>0</v>
      </c>
      <c r="F151" t="n">
        <v>8</v>
      </c>
      <c r="H151" t="n">
        <v>0</v>
      </c>
      <c r="I151" t="n">
        <v>0</v>
      </c>
      <c r="J151" t="n">
        <v>0</v>
      </c>
      <c r="K151" t="n">
        <v>0</v>
      </c>
      <c r="L151" t="n">
        <v>0</v>
      </c>
      <c r="M151" t="n">
        <v>0</v>
      </c>
      <c r="N151" t="n">
        <v>0</v>
      </c>
    </row>
    <row r="152">
      <c r="A152" t="inlineStr">
        <is>
          <t>cost of buildings with necessaries</t>
        </is>
      </c>
      <c r="B152" t="inlineStr">
        <is>
          <t>the ironwork bought for 2 doors 1 shilling 4pence.</t>
        </is>
      </c>
      <c r="C152" t="n">
        <v>0.07000000000000001</v>
      </c>
      <c r="D152" t="n">
        <v>0</v>
      </c>
      <c r="E152" t="n">
        <v>1</v>
      </c>
      <c r="F152" t="n">
        <v>4</v>
      </c>
      <c r="H152" t="n">
        <v>0</v>
      </c>
      <c r="I152" t="n">
        <v>0</v>
      </c>
      <c r="J152" t="n">
        <v>0</v>
      </c>
      <c r="K152" t="n">
        <v>0</v>
      </c>
      <c r="L152" t="n">
        <v>0</v>
      </c>
      <c r="M152" t="n">
        <v>0</v>
      </c>
      <c r="N152" t="n">
        <v>0</v>
      </c>
    </row>
    <row r="153">
      <c r="A153" t="inlineStr">
        <is>
          <t>cost of buildings with necessaries</t>
        </is>
      </c>
      <c r="B153" t="inlineStr">
        <is>
          <t>stipend of 2 carpenters for 2 weeks making a new gate beside the pinfold and fitting the hall and chamber with ground-sills 9 shilling, taking between them 4 shilling 6pence a week.</t>
        </is>
      </c>
      <c r="C153" t="n">
        <v>0.48</v>
      </c>
      <c r="D153" t="n">
        <v>0</v>
      </c>
      <c r="E153" t="n">
        <v>9</v>
      </c>
      <c r="F153" t="n">
        <v>6</v>
      </c>
      <c r="H153" t="n">
        <v>0</v>
      </c>
      <c r="I153" t="n">
        <v>0</v>
      </c>
      <c r="J153" t="n">
        <v>0</v>
      </c>
      <c r="K153" t="n">
        <v>0</v>
      </c>
      <c r="L153" t="n">
        <v>0</v>
      </c>
      <c r="M153" t="n">
        <v>0</v>
      </c>
      <c r="N153" t="n">
        <v>0</v>
      </c>
    </row>
    <row r="154">
      <c r="A154" t="inlineStr">
        <is>
          <t>cost of buildings with necessaries</t>
        </is>
      </c>
      <c r="B154" t="inlineStr">
        <is>
          <t>1 new fetterlock with a chain bought for tethering horses 1 shilling.</t>
        </is>
      </c>
      <c r="C154" t="n">
        <v>0.05</v>
      </c>
      <c r="D154" t="n">
        <v>0</v>
      </c>
      <c r="E154" t="n">
        <v>1</v>
      </c>
      <c r="F154" t="n">
        <v>0</v>
      </c>
      <c r="H154" t="n">
        <v>0</v>
      </c>
      <c r="I154" t="n">
        <v>0</v>
      </c>
      <c r="J154" t="n">
        <v>0</v>
      </c>
      <c r="K154" t="n">
        <v>0</v>
      </c>
      <c r="L154" t="n">
        <v>0</v>
      </c>
      <c r="M154" t="n">
        <v>0</v>
      </c>
      <c r="N154" t="n">
        <v>0</v>
      </c>
    </row>
    <row r="155">
      <c r="A155" t="inlineStr">
        <is>
          <t>cost of buildings with necessaries</t>
        </is>
      </c>
      <c r="B155" t="inlineStr">
        <is>
          <t>other chains bought 6pence.</t>
        </is>
      </c>
      <c r="C155" t="n">
        <v>0.03</v>
      </c>
      <c r="D155" t="n">
        <v>0</v>
      </c>
      <c r="E155" t="n">
        <v>0</v>
      </c>
      <c r="F155" t="n">
        <v>6</v>
      </c>
      <c r="H155" t="n">
        <v>0</v>
      </c>
      <c r="I155" t="n">
        <v>0</v>
      </c>
      <c r="J155" t="n">
        <v>0</v>
      </c>
      <c r="K155" t="n">
        <v>0</v>
      </c>
      <c r="L155" t="n">
        <v>0</v>
      </c>
      <c r="M155" t="n">
        <v>0</v>
      </c>
      <c r="N155" t="n">
        <v>0</v>
      </c>
    </row>
    <row r="156">
      <c r="A156" t="inlineStr">
        <is>
          <t>cost of buildings with necessaries</t>
        </is>
      </c>
      <c r="B156" t="inlineStr">
        <is>
          <t>1 sack bought 1 shilling.</t>
        </is>
      </c>
      <c r="C156" t="n">
        <v>0.05</v>
      </c>
      <c r="D156" t="n">
        <v>0</v>
      </c>
      <c r="E156" t="n">
        <v>1</v>
      </c>
      <c r="F156" t="n">
        <v>0</v>
      </c>
      <c r="H156" t="n">
        <v>0</v>
      </c>
      <c r="I156" t="n">
        <v>0</v>
      </c>
      <c r="J156" t="n">
        <v>0</v>
      </c>
      <c r="K156" t="n">
        <v>0</v>
      </c>
      <c r="L156" t="n">
        <v>0</v>
      </c>
      <c r="M156" t="n">
        <v>0</v>
      </c>
      <c r="N156" t="n">
        <v>0</v>
      </c>
    </row>
    <row r="157">
      <c r="A157" t="inlineStr">
        <is>
          <t>cost of buildings with necessaries</t>
        </is>
      </c>
      <c r="B157" t="inlineStr">
        <is>
          <t>1 sieve and riddle bought 4.5pence.</t>
        </is>
      </c>
      <c r="C157" t="n">
        <v>0.02</v>
      </c>
      <c r="D157" t="n">
        <v>0</v>
      </c>
      <c r="E157" t="n">
        <v>0</v>
      </c>
      <c r="F157" t="n">
        <v>4.5</v>
      </c>
      <c r="H157" t="n">
        <v>0</v>
      </c>
      <c r="I157" t="n">
        <v>0</v>
      </c>
      <c r="J157" t="n">
        <v>0</v>
      </c>
      <c r="K157" t="n">
        <v>0</v>
      </c>
      <c r="L157" t="n">
        <v>0</v>
      </c>
      <c r="M157" t="n">
        <v>0</v>
      </c>
      <c r="N157" t="n">
        <v>0</v>
      </c>
    </row>
    <row r="158">
      <c r="A158" t="inlineStr">
        <is>
          <t>cost of buildings with necessaries</t>
        </is>
      </c>
      <c r="B158" t="inlineStr">
        <is>
          <t>spreading dung in the fields 1 shilling.</t>
        </is>
      </c>
      <c r="C158" t="n">
        <v>0.05</v>
      </c>
      <c r="D158" t="n">
        <v>0</v>
      </c>
      <c r="E158" t="n">
        <v>1</v>
      </c>
      <c r="F158" t="n">
        <v>0</v>
      </c>
      <c r="H158" t="n">
        <v>0</v>
      </c>
      <c r="I158" t="n">
        <v>0</v>
      </c>
      <c r="J158" t="n">
        <v>0</v>
      </c>
      <c r="K158" t="n">
        <v>0</v>
      </c>
      <c r="L158" t="n">
        <v>0</v>
      </c>
      <c r="M158" t="n">
        <v>0</v>
      </c>
      <c r="N158" t="n">
        <v>0</v>
      </c>
    </row>
    <row r="159">
      <c r="A159" t="inlineStr">
        <is>
          <t>cost of buildings with necessaries</t>
        </is>
      </c>
      <c r="B159" t="inlineStr">
        <is>
          <t>enclosing with new hedge 4 furlongs and 10 perches around the coppice 7 shilling 1pence, at 1 shilling 8pence a furlong.</t>
        </is>
      </c>
      <c r="C159" t="n">
        <v>0.35</v>
      </c>
      <c r="D159" t="n">
        <v>0</v>
      </c>
      <c r="E159" t="n">
        <v>7</v>
      </c>
      <c r="F159" t="n">
        <v>1</v>
      </c>
      <c r="H159" t="n">
        <v>0</v>
      </c>
      <c r="I159" t="n">
        <v>0</v>
      </c>
      <c r="J159" t="n">
        <v>0</v>
      </c>
      <c r="K159" t="n">
        <v>0</v>
      </c>
      <c r="L159" t="n">
        <v>0</v>
      </c>
      <c r="M159" t="n">
        <v>0</v>
      </c>
      <c r="N159" t="n">
        <v>0</v>
      </c>
    </row>
    <row r="160">
      <c r="A160" t="inlineStr">
        <is>
          <t>cost of buildings with necessaries</t>
        </is>
      </c>
      <c r="B160" t="inlineStr">
        <is>
          <t>enclosing between the curia and the field with hedges 2 shilling.</t>
        </is>
      </c>
      <c r="C160" t="n">
        <v>0.1</v>
      </c>
      <c r="D160" t="n">
        <v>0</v>
      </c>
      <c r="E160" t="n">
        <v>2</v>
      </c>
      <c r="F160" t="n">
        <v>0</v>
      </c>
      <c r="H160" t="n">
        <v>0</v>
      </c>
      <c r="I160" t="n">
        <v>0</v>
      </c>
      <c r="J160" t="n">
        <v>0</v>
      </c>
      <c r="K160" t="n">
        <v>0</v>
      </c>
      <c r="L160" t="n">
        <v>0</v>
      </c>
      <c r="M160" t="n">
        <v>0</v>
      </c>
      <c r="N160" t="n">
        <v>0</v>
      </c>
    </row>
    <row r="161">
      <c r="A161" t="inlineStr">
        <is>
          <t>cost of buildings with necessaries</t>
        </is>
      </c>
      <c r="B161" t="inlineStr">
        <is>
          <t>enclosing with new hedge 2 furlongs and 10 perches around the wood 3 shilling 9pence, at 1 shilling 8pence a furlong.</t>
        </is>
      </c>
      <c r="C161" t="n">
        <v>0.19</v>
      </c>
      <c r="D161" t="n">
        <v>0</v>
      </c>
      <c r="E161" t="n">
        <v>3</v>
      </c>
      <c r="F161" t="n">
        <v>9</v>
      </c>
      <c r="H161" t="n">
        <v>0</v>
      </c>
      <c r="I161" t="n">
        <v>0</v>
      </c>
      <c r="J161" t="n">
        <v>0</v>
      </c>
      <c r="K161" t="n">
        <v>0</v>
      </c>
      <c r="L161" t="n">
        <v>0</v>
      </c>
      <c r="M161" t="n">
        <v>0</v>
      </c>
      <c r="N161" t="n">
        <v>0</v>
      </c>
    </row>
    <row r="162">
      <c r="A162" t="inlineStr">
        <is>
          <t>cost of buildings with necessaries</t>
        </is>
      </c>
      <c r="B162" t="inlineStr">
        <is>
          <t>large nails bought for the barn door 4pence.</t>
        </is>
      </c>
      <c r="C162" t="n">
        <v>0.02</v>
      </c>
      <c r="D162" t="n">
        <v>0</v>
      </c>
      <c r="E162" t="n">
        <v>0</v>
      </c>
      <c r="F162" t="n">
        <v>4</v>
      </c>
      <c r="H162" t="n">
        <v>0</v>
      </c>
      <c r="I162" t="n">
        <v>0</v>
      </c>
      <c r="J162" t="n">
        <v>0</v>
      </c>
      <c r="K162" t="n">
        <v>0</v>
      </c>
      <c r="L162" t="n">
        <v>0</v>
      </c>
      <c r="M162" t="n">
        <v>0</v>
      </c>
      <c r="N162" t="n">
        <v>0</v>
      </c>
    </row>
    <row r="163">
      <c r="A163" t="inlineStr">
        <is>
          <t>cost of buildings with necessaries</t>
        </is>
      </c>
      <c r="B163" t="inlineStr">
        <is>
          <t>total, £3 16 shilling 2.5pence.</t>
        </is>
      </c>
      <c r="C163" t="n">
        <v>3.81</v>
      </c>
      <c r="D163" t="n">
        <v>3</v>
      </c>
      <c r="E163" t="n">
        <v>16</v>
      </c>
      <c r="F163" t="n">
        <v>2.5</v>
      </c>
      <c r="H163" t="n">
        <v>0</v>
      </c>
      <c r="I163" t="n">
        <v>0</v>
      </c>
      <c r="J163" t="n">
        <v>0</v>
      </c>
      <c r="K163" t="n">
        <v>0</v>
      </c>
      <c r="L163" t="n">
        <v>0</v>
      </c>
      <c r="M163" t="n">
        <v>0</v>
      </c>
      <c r="N163" t="n">
        <v>0</v>
      </c>
    </row>
    <row r="164">
      <c r="A164" t="inlineStr">
        <is>
          <t>weeding</t>
        </is>
      </c>
      <c r="B164" t="inlineStr">
        <is>
          <t>in weeding the lord's corn this year by piece-work 6 shilling 8pence.</t>
        </is>
      </c>
      <c r="C164" t="n">
        <v>0.33</v>
      </c>
      <c r="D164" t="n">
        <v>0</v>
      </c>
      <c r="E164" t="n">
        <v>6</v>
      </c>
      <c r="F164" t="n">
        <v>8</v>
      </c>
      <c r="H164" t="n">
        <v>0</v>
      </c>
      <c r="I164" t="n">
        <v>0</v>
      </c>
      <c r="J164" t="n">
        <v>0</v>
      </c>
      <c r="K164" t="n">
        <v>0</v>
      </c>
      <c r="L164" t="n">
        <v>0</v>
      </c>
      <c r="M164" t="n">
        <v>0</v>
      </c>
      <c r="N164" t="n">
        <v>0</v>
      </c>
    </row>
    <row r="165">
      <c r="A165" t="inlineStr">
        <is>
          <t>weeding</t>
        </is>
      </c>
      <c r="B165" t="inlineStr">
        <is>
          <t>total, 6 shilling 8pence.</t>
        </is>
      </c>
      <c r="C165" t="n">
        <v>0.33</v>
      </c>
      <c r="D165" t="n">
        <v>0</v>
      </c>
      <c r="E165" t="n">
        <v>6</v>
      </c>
      <c r="F165" t="n">
        <v>8</v>
      </c>
      <c r="H165" t="n">
        <v>0</v>
      </c>
      <c r="I165" t="n">
        <v>0</v>
      </c>
      <c r="J165" t="n">
        <v>0</v>
      </c>
      <c r="K165" t="n">
        <v>0</v>
      </c>
      <c r="L165" t="n">
        <v>0</v>
      </c>
      <c r="M165" t="n">
        <v>0</v>
      </c>
      <c r="N165" t="n">
        <v>0</v>
      </c>
    </row>
    <row r="166">
      <c r="A166" t="inlineStr">
        <is>
          <t>threshing and winnowing</t>
        </is>
      </c>
      <c r="B166" t="inlineStr">
        <is>
          <t>in threshing 3 quarters 6 bushels of peas and 5 quarters of vetches by piece-work 2 shilling 2pence, at 3pence a quarters.</t>
        </is>
      </c>
      <c r="C166" t="n">
        <v>0.11</v>
      </c>
      <c r="D166" t="n">
        <v>0</v>
      </c>
      <c r="E166" t="n">
        <v>2</v>
      </c>
      <c r="F166" t="n">
        <v>2</v>
      </c>
      <c r="G166" t="inlineStr">
        <is>
          <t>peas, vetches</t>
        </is>
      </c>
      <c r="H166" t="n">
        <v>5</v>
      </c>
      <c r="I166" t="n">
        <v>6</v>
      </c>
      <c r="J166" t="n">
        <v>5.75</v>
      </c>
      <c r="K166" t="n">
        <v>3.75</v>
      </c>
      <c r="L166" t="n">
        <v>2</v>
      </c>
      <c r="M166" t="n">
        <v>3</v>
      </c>
      <c r="N166" t="n">
        <v>6</v>
      </c>
      <c r="O166" t="n">
        <v>5</v>
      </c>
      <c r="P166" t="n">
        <v>0</v>
      </c>
    </row>
    <row r="167">
      <c r="A167" t="inlineStr">
        <is>
          <t>threshing and winnowing</t>
        </is>
      </c>
      <c r="B167" t="inlineStr">
        <is>
          <t>threshing 80 quarters 5 bushels of barley by piece-work 13 shilling 5pence, at 2pence a quarters.</t>
        </is>
      </c>
      <c r="C167" t="n">
        <v>0.67</v>
      </c>
      <c r="D167" t="n">
        <v>0</v>
      </c>
      <c r="E167" t="n">
        <v>13</v>
      </c>
      <c r="F167" t="n">
        <v>5</v>
      </c>
      <c r="G167" t="inlineStr">
        <is>
          <t>barley</t>
        </is>
      </c>
      <c r="H167" t="n">
        <v>80</v>
      </c>
      <c r="I167" t="n">
        <v>5</v>
      </c>
      <c r="J167" t="n">
        <v>80.62</v>
      </c>
      <c r="K167" t="n">
        <v>80.62</v>
      </c>
      <c r="L167" t="n">
        <v>0</v>
      </c>
      <c r="M167" t="n">
        <v>80</v>
      </c>
      <c r="N167" t="n">
        <v>5</v>
      </c>
    </row>
    <row r="168">
      <c r="A168" t="inlineStr">
        <is>
          <t>threshing and winnowing</t>
        </is>
      </c>
      <c r="B168" t="inlineStr">
        <is>
          <t>threshing 52 quarters of oats by piece-work 6 shilling 6pence, at 1.5pence a quarters.</t>
        </is>
      </c>
      <c r="C168" t="n">
        <v>0.33</v>
      </c>
      <c r="D168" t="n">
        <v>0</v>
      </c>
      <c r="E168" t="n">
        <v>6</v>
      </c>
      <c r="F168" t="n">
        <v>6</v>
      </c>
      <c r="G168" t="inlineStr">
        <is>
          <t>oats</t>
        </is>
      </c>
      <c r="H168" t="n">
        <v>52</v>
      </c>
      <c r="I168" t="n">
        <v>0</v>
      </c>
      <c r="J168" t="n">
        <v>52</v>
      </c>
      <c r="K168" t="n">
        <v>52</v>
      </c>
      <c r="L168" t="n">
        <v>0</v>
      </c>
      <c r="M168" t="n">
        <v>52</v>
      </c>
      <c r="N168" t="n">
        <v>0</v>
      </c>
    </row>
    <row r="169">
      <c r="A169" t="inlineStr">
        <is>
          <t>threshing and winnowing</t>
        </is>
      </c>
      <c r="B169" t="inlineStr">
        <is>
          <t>winnowing a moiety of the said corn by piece-work, which made 71 quarters 1.5 bushels, 2 shilling, at 1pence per 3 quarters.</t>
        </is>
      </c>
      <c r="C169" t="n">
        <v>0.1</v>
      </c>
      <c r="D169" t="n">
        <v>0</v>
      </c>
      <c r="E169" t="n">
        <v>2</v>
      </c>
      <c r="F169" t="n">
        <v>1</v>
      </c>
      <c r="H169" t="n">
        <v>3</v>
      </c>
      <c r="I169" t="n">
        <v>1.5</v>
      </c>
      <c r="J169" t="n">
        <v>3.19</v>
      </c>
      <c r="K169" t="n">
        <v>71.19</v>
      </c>
      <c r="L169" t="n">
        <v>-68</v>
      </c>
      <c r="M169" t="n">
        <v>71</v>
      </c>
      <c r="N169" t="n">
        <v>1.5</v>
      </c>
      <c r="O169" t="n">
        <v>3</v>
      </c>
      <c r="P169" t="n">
        <v>0</v>
      </c>
    </row>
    <row r="170">
      <c r="A170" t="inlineStr">
        <is>
          <t>threshing and winnowing</t>
        </is>
      </c>
      <c r="B170" t="inlineStr">
        <is>
          <t>total, £1 4 shilling 1pence.</t>
        </is>
      </c>
      <c r="C170" t="n">
        <v>1.2</v>
      </c>
      <c r="D170" t="n">
        <v>1</v>
      </c>
      <c r="E170" t="n">
        <v>4</v>
      </c>
      <c r="F170" t="n">
        <v>1</v>
      </c>
      <c r="H170" t="n">
        <v>0</v>
      </c>
      <c r="I170" t="n">
        <v>0</v>
      </c>
      <c r="J170" t="n">
        <v>0</v>
      </c>
      <c r="K170" t="n">
        <v>0</v>
      </c>
      <c r="L170" t="n">
        <v>0</v>
      </c>
      <c r="M170" t="n">
        <v>0</v>
      </c>
      <c r="N170" t="n">
        <v>0</v>
      </c>
    </row>
    <row r="171">
      <c r="A171" t="inlineStr">
        <is>
          <t>cost of the harvest</t>
        </is>
      </c>
      <c r="B171" t="inlineStr">
        <is>
          <t>in bread and relish bought for 149 customary tenants as if for 1 day and 8 officials of the curia for 3 days who reaped 51 acres and carried 50 acres of wheat by the perch 7 shilling 2.5pence, at .5pence of bread each.</t>
        </is>
      </c>
      <c r="C171" t="n">
        <v>0.36</v>
      </c>
      <c r="D171" t="n">
        <v>0</v>
      </c>
      <c r="E171" t="n">
        <v>7</v>
      </c>
      <c r="F171" t="n">
        <v>2.5</v>
      </c>
      <c r="G171" t="inlineStr">
        <is>
          <t>wheat</t>
        </is>
      </c>
      <c r="H171" t="n">
        <v>0</v>
      </c>
      <c r="I171" t="n">
        <v>0</v>
      </c>
      <c r="J171" t="n">
        <v>0</v>
      </c>
      <c r="K171" t="n">
        <v>0</v>
      </c>
      <c r="L171" t="n">
        <v>0</v>
      </c>
      <c r="M171" t="n">
        <v>0</v>
      </c>
      <c r="N171" t="n">
        <v>0</v>
      </c>
    </row>
    <row r="172">
      <c r="A172" t="inlineStr">
        <is>
          <t>cost of the harvest</t>
        </is>
      </c>
      <c r="B172" t="inlineStr">
        <is>
          <t>ale bought for the same 2 shilling.</t>
        </is>
      </c>
      <c r="C172" t="n">
        <v>0.1</v>
      </c>
      <c r="D172" t="n">
        <v>0</v>
      </c>
      <c r="E172" t="n">
        <v>2</v>
      </c>
      <c r="F172" t="n">
        <v>0</v>
      </c>
      <c r="H172" t="n">
        <v>0</v>
      </c>
      <c r="I172" t="n">
        <v>0</v>
      </c>
      <c r="J172" t="n">
        <v>0</v>
      </c>
      <c r="K172" t="n">
        <v>0</v>
      </c>
      <c r="L172" t="n">
        <v>0</v>
      </c>
      <c r="M172" t="n">
        <v>0</v>
      </c>
      <c r="N172" t="n">
        <v>0</v>
      </c>
    </row>
    <row r="173">
      <c r="A173" t="inlineStr">
        <is>
          <t>cost of the harvest</t>
        </is>
      </c>
      <c r="B173" t="inlineStr">
        <is>
          <t>cheese bought for the same 3 shilling wad., at 'ad. of cheese each.</t>
        </is>
      </c>
      <c r="C173" t="n">
        <v>0.15</v>
      </c>
      <c r="D173" t="n">
        <v>0</v>
      </c>
      <c r="E173" t="n">
        <v>3</v>
      </c>
      <c r="F173" t="n">
        <v>0</v>
      </c>
      <c r="H173" t="n">
        <v>0</v>
      </c>
      <c r="I173" t="n">
        <v>0</v>
      </c>
      <c r="J173" t="n">
        <v>0</v>
      </c>
      <c r="K173" t="n">
        <v>0</v>
      </c>
      <c r="L173" t="n">
        <v>0</v>
      </c>
      <c r="M173" t="n">
        <v>0</v>
      </c>
      <c r="N173" t="n">
        <v>0</v>
      </c>
    </row>
    <row r="174">
      <c r="A174" t="inlineStr">
        <is>
          <t>cost of the harvest</t>
        </is>
      </c>
      <c r="B174" t="inlineStr">
        <is>
          <t>10 acres of wheat, 50 acres of barley, 15 acres of peas, 20 acres of vetches and 40 acres of oats reaped, bound and carried by piece-work £5 1 shilling 3pence, at 9pence an acre.</t>
        </is>
      </c>
      <c r="C174" t="n">
        <v>5.06</v>
      </c>
      <c r="D174" t="n">
        <v>5</v>
      </c>
      <c r="E174" t="n">
        <v>1</v>
      </c>
      <c r="F174" t="n">
        <v>3</v>
      </c>
      <c r="G174" t="inlineStr">
        <is>
          <t>peas, oats, vetches, wheat, barley</t>
        </is>
      </c>
      <c r="H174" t="n">
        <v>0</v>
      </c>
      <c r="I174" t="n">
        <v>0</v>
      </c>
      <c r="J174" t="n">
        <v>0</v>
      </c>
      <c r="K174" t="n">
        <v>0</v>
      </c>
      <c r="L174" t="n">
        <v>0</v>
      </c>
      <c r="M174" t="n">
        <v>0</v>
      </c>
      <c r="N174" t="n">
        <v>0</v>
      </c>
    </row>
    <row r="175">
      <c r="A175" t="inlineStr">
        <is>
          <t>cost of the harvest</t>
        </is>
      </c>
      <c r="B175" t="inlineStr">
        <is>
          <t>stipend of 1 hayward for the year 6 shilling 8pence.</t>
        </is>
      </c>
      <c r="C175" t="n">
        <v>0.33</v>
      </c>
      <c r="D175" t="n">
        <v>0</v>
      </c>
      <c r="E175" t="n">
        <v>6</v>
      </c>
      <c r="F175" t="n">
        <v>8</v>
      </c>
      <c r="H175" t="n">
        <v>0</v>
      </c>
      <c r="I175" t="n">
        <v>0</v>
      </c>
      <c r="J175" t="n">
        <v>0</v>
      </c>
      <c r="K175" t="n">
        <v>0</v>
      </c>
      <c r="L175" t="n">
        <v>0</v>
      </c>
      <c r="M175" t="n">
        <v>0</v>
      </c>
      <c r="N175" t="n">
        <v>0</v>
      </c>
    </row>
    <row r="176">
      <c r="A176" t="inlineStr">
        <is>
          <t>cost of the harvest</t>
        </is>
      </c>
      <c r="B176" t="inlineStr">
        <is>
          <t>total, £6 8.25pence.</t>
        </is>
      </c>
      <c r="C176" t="n">
        <v>6.03</v>
      </c>
      <c r="D176" t="n">
        <v>6</v>
      </c>
      <c r="E176" t="n">
        <v>0</v>
      </c>
      <c r="F176" t="n">
        <v>8.25</v>
      </c>
      <c r="H176" t="n">
        <v>0</v>
      </c>
      <c r="I176" t="n">
        <v>0</v>
      </c>
      <c r="J176" t="n">
        <v>0</v>
      </c>
      <c r="K176" t="n">
        <v>0</v>
      </c>
      <c r="L176" t="n">
        <v>0</v>
      </c>
      <c r="M176" t="n">
        <v>0</v>
      </c>
      <c r="N176" t="n">
        <v>0</v>
      </c>
    </row>
    <row r="177">
      <c r="A177" t="inlineStr">
        <is>
          <t>expenses of the steward</t>
        </is>
      </c>
      <c r="B177" t="inlineStr">
        <is>
          <t>in expenses of richard wyot, steward, holding the tourns of martinmas and hockday, by 2 sealed bills, 6 shilling 4pence.</t>
        </is>
      </c>
      <c r="C177" t="n">
        <v>0.32</v>
      </c>
      <c r="D177" t="n">
        <v>0</v>
      </c>
      <c r="E177" t="n">
        <v>6</v>
      </c>
      <c r="F177" t="n">
        <v>4</v>
      </c>
      <c r="H177" t="n">
        <v>0</v>
      </c>
      <c r="I177" t="n">
        <v>0</v>
      </c>
      <c r="J177" t="n">
        <v>0</v>
      </c>
      <c r="K177" t="n">
        <v>0</v>
      </c>
      <c r="L177" t="n">
        <v>0</v>
      </c>
      <c r="M177" t="n">
        <v>0</v>
      </c>
      <c r="N177" t="n">
        <v>0</v>
      </c>
    </row>
    <row r="178">
      <c r="A178" t="inlineStr">
        <is>
          <t>expenses of the steward</t>
        </is>
      </c>
      <c r="B178" t="inlineStr">
        <is>
          <t>1 bushels of wheat bought and given to the manorial servants by bill of the steward 1 shilling.</t>
        </is>
      </c>
      <c r="C178" t="n">
        <v>0.05</v>
      </c>
      <c r="D178" t="n">
        <v>0</v>
      </c>
      <c r="E178" t="n">
        <v>1</v>
      </c>
      <c r="F178" t="n">
        <v>0</v>
      </c>
      <c r="G178" t="inlineStr">
        <is>
          <t>wheat</t>
        </is>
      </c>
      <c r="H178" t="n">
        <v>0</v>
      </c>
      <c r="I178" t="n">
        <v>1</v>
      </c>
      <c r="J178" t="n">
        <v>0.12</v>
      </c>
      <c r="K178" t="n">
        <v>0.12</v>
      </c>
      <c r="L178" t="n">
        <v>0</v>
      </c>
      <c r="M178" t="n">
        <v>0</v>
      </c>
      <c r="N178" t="n">
        <v>1</v>
      </c>
    </row>
    <row r="179">
      <c r="A179" t="inlineStr">
        <is>
          <t>expenses of the steward</t>
        </is>
      </c>
      <c r="B179" t="inlineStr">
        <is>
          <t>total, 7 shilling 4pence.</t>
        </is>
      </c>
      <c r="C179" t="n">
        <v>0.37</v>
      </c>
      <c r="D179" t="n">
        <v>0</v>
      </c>
      <c r="E179" t="n">
        <v>7</v>
      </c>
      <c r="F179" t="n">
        <v>4</v>
      </c>
      <c r="H179" t="n">
        <v>0</v>
      </c>
      <c r="I179" t="n">
        <v>0</v>
      </c>
      <c r="J179" t="n">
        <v>0</v>
      </c>
      <c r="K179" t="n">
        <v>0</v>
      </c>
      <c r="L179" t="n">
        <v>0</v>
      </c>
      <c r="M179" t="n">
        <v>0</v>
      </c>
      <c r="N179" t="n">
        <v>0</v>
      </c>
    </row>
    <row r="180">
      <c r="A180" t="inlineStr">
        <is>
          <t>wages of the bailiff</t>
        </is>
      </c>
      <c r="B180" t="inlineStr">
        <is>
          <t>in wages of thomas boson', bailiff, in part payment of his wages for the year, £2, and he takes the rest from other manors.</t>
        </is>
      </c>
      <c r="C180" t="n">
        <v>2</v>
      </c>
      <c r="D180" t="n">
        <v>2</v>
      </c>
      <c r="E180" t="n">
        <v>0</v>
      </c>
      <c r="F180" t="n">
        <v>0</v>
      </c>
      <c r="H180" t="n">
        <v>0</v>
      </c>
      <c r="I180" t="n">
        <v>0</v>
      </c>
      <c r="J180" t="n">
        <v>0</v>
      </c>
      <c r="K180" t="n">
        <v>0</v>
      </c>
      <c r="L180" t="n">
        <v>0</v>
      </c>
      <c r="M180" t="n">
        <v>0</v>
      </c>
      <c r="N180" t="n">
        <v>0</v>
      </c>
    </row>
    <row r="181">
      <c r="A181" t="inlineStr">
        <is>
          <t>wages of the bailiff</t>
        </is>
      </c>
      <c r="B181" t="inlineStr">
        <is>
          <t>total, £2..</t>
        </is>
      </c>
      <c r="C181" t="n">
        <v>2</v>
      </c>
      <c r="D181" t="n">
        <v>2</v>
      </c>
      <c r="E181" t="n">
        <v>0</v>
      </c>
      <c r="F181" t="n">
        <v>0</v>
      </c>
      <c r="H181" t="n">
        <v>0</v>
      </c>
      <c r="I181" t="n">
        <v>0</v>
      </c>
      <c r="J181" t="n">
        <v>0</v>
      </c>
      <c r="K181" t="n">
        <v>0</v>
      </c>
      <c r="L181" t="n">
        <v>0</v>
      </c>
      <c r="M181" t="n">
        <v>0</v>
      </c>
      <c r="N181" t="n">
        <v>0</v>
      </c>
    </row>
    <row r="182">
      <c r="A182" t="inlineStr">
        <is>
          <t>foreign expenses</t>
        </is>
      </c>
      <c r="B182" t="inlineStr">
        <is>
          <t>in driving 12 wethers to bishops waltham 4pence.</t>
        </is>
      </c>
      <c r="C182" t="n">
        <v>0.02</v>
      </c>
      <c r="D182" t="n">
        <v>0</v>
      </c>
      <c r="E182" t="n">
        <v>0</v>
      </c>
      <c r="F182" t="n">
        <v>4</v>
      </c>
      <c r="H182" t="n">
        <v>0</v>
      </c>
      <c r="I182" t="n">
        <v>0</v>
      </c>
      <c r="J182" t="n">
        <v>0</v>
      </c>
      <c r="K182" t="n">
        <v>0</v>
      </c>
      <c r="L182" t="n">
        <v>0</v>
      </c>
      <c r="M182" t="n">
        <v>0</v>
      </c>
      <c r="N182" t="n">
        <v>0</v>
      </c>
    </row>
    <row r="183">
      <c r="A183" t="inlineStr">
        <is>
          <t>foreign expenses</t>
        </is>
      </c>
      <c r="B183" t="inlineStr">
        <is>
          <t>total, 4pence.</t>
        </is>
      </c>
      <c r="C183" t="n">
        <v>0.02</v>
      </c>
      <c r="D183" t="n">
        <v>0</v>
      </c>
      <c r="E183" t="n">
        <v>0</v>
      </c>
      <c r="F183" t="n">
        <v>4</v>
      </c>
      <c r="H183" t="n">
        <v>0</v>
      </c>
      <c r="I183" t="n">
        <v>0</v>
      </c>
      <c r="J183" t="n">
        <v>0</v>
      </c>
      <c r="K183" t="n">
        <v>0</v>
      </c>
      <c r="L183" t="n">
        <v>0</v>
      </c>
      <c r="M183" t="n">
        <v>0</v>
      </c>
      <c r="N183" t="n">
        <v>0</v>
      </c>
    </row>
    <row r="184">
      <c r="A184" t="inlineStr">
        <is>
          <t>total of all expenses</t>
        </is>
      </c>
      <c r="B184" t="inlineStr">
        <is>
          <t>total of all expenses, £26 8 shilling 5.25pence.</t>
        </is>
      </c>
      <c r="C184" t="n">
        <v>26.42</v>
      </c>
      <c r="D184" t="n">
        <v>26</v>
      </c>
      <c r="E184" t="n">
        <v>8</v>
      </c>
      <c r="F184" t="n">
        <v>5.25</v>
      </c>
      <c r="H184" t="n">
        <v>0</v>
      </c>
      <c r="I184" t="n">
        <v>0</v>
      </c>
      <c r="J184" t="n">
        <v>0</v>
      </c>
      <c r="K184" t="n">
        <v>0</v>
      </c>
      <c r="L184" t="n">
        <v>0</v>
      </c>
      <c r="M184" t="n">
        <v>0</v>
      </c>
      <c r="N184" t="n">
        <v>0</v>
      </c>
    </row>
    <row r="185">
      <c r="A185" t="inlineStr">
        <is>
          <t>and he owes</t>
        </is>
      </c>
      <c r="B185" t="inlineStr">
        <is>
          <t>and he owes, £50 7 shilling 10.25pence.</t>
        </is>
      </c>
      <c r="C185" t="n">
        <v>50.39</v>
      </c>
      <c r="D185" t="n">
        <v>50</v>
      </c>
      <c r="E185" t="n">
        <v>7</v>
      </c>
      <c r="F185" t="n">
        <v>10.25</v>
      </c>
      <c r="H185" t="n">
        <v>0</v>
      </c>
      <c r="I185" t="n">
        <v>0</v>
      </c>
      <c r="J185" t="n">
        <v>0</v>
      </c>
      <c r="K185" t="n">
        <v>0</v>
      </c>
      <c r="L185" t="n">
        <v>0</v>
      </c>
      <c r="M185" t="n">
        <v>0</v>
      </c>
      <c r="N185" t="n">
        <v>0</v>
      </c>
    </row>
    <row r="186">
      <c r="A186" t="inlineStr">
        <is>
          <t>allowances without writ</t>
        </is>
      </c>
      <c r="B186" t="inlineStr">
        <is>
          <t>in allowance to the same for 3 shilling for the stipends of manorial servants not allowed above.</t>
        </is>
      </c>
      <c r="C186" t="n">
        <v>0.15</v>
      </c>
      <c r="D186" t="n">
        <v>0</v>
      </c>
      <c r="E186" t="n">
        <v>3</v>
      </c>
      <c r="F186" t="n">
        <v>0</v>
      </c>
      <c r="H186" t="n">
        <v>0</v>
      </c>
      <c r="I186" t="n">
        <v>0</v>
      </c>
      <c r="J186" t="n">
        <v>0</v>
      </c>
      <c r="K186" t="n">
        <v>0</v>
      </c>
      <c r="L186" t="n">
        <v>0</v>
      </c>
      <c r="M186" t="n">
        <v>0</v>
      </c>
      <c r="N186" t="n">
        <v>0</v>
      </c>
    </row>
    <row r="187">
      <c r="A187" t="inlineStr">
        <is>
          <t>allowances without writ</t>
        </is>
      </c>
      <c r="B187" t="inlineStr">
        <is>
          <t>£3 3 shilling .25pence for various surcharges and disallowances, both elsewhere and within, made against him in this present account.</t>
        </is>
      </c>
      <c r="C187" t="n">
        <v>3.15</v>
      </c>
      <c r="D187" t="n">
        <v>3</v>
      </c>
      <c r="E187" t="n">
        <v>3</v>
      </c>
      <c r="F187" t="n">
        <v>0</v>
      </c>
      <c r="H187" t="n">
        <v>0</v>
      </c>
      <c r="I187" t="n">
        <v>0</v>
      </c>
      <c r="J187" t="n">
        <v>0</v>
      </c>
      <c r="K187" t="n">
        <v>0</v>
      </c>
      <c r="L187" t="n">
        <v>0</v>
      </c>
      <c r="M187" t="n">
        <v>0</v>
      </c>
      <c r="N187" t="n">
        <v>0</v>
      </c>
    </row>
    <row r="188">
      <c r="A188" t="inlineStr">
        <is>
          <t>allowances without writ</t>
        </is>
      </c>
      <c r="B188" t="inlineStr">
        <is>
          <t>£1 for hay bought for wethers and other sheep not allowed above.</t>
        </is>
      </c>
      <c r="C188" t="n">
        <v>1</v>
      </c>
      <c r="D188" t="n">
        <v>1</v>
      </c>
      <c r="E188" t="n">
        <v>0</v>
      </c>
      <c r="F188" t="n">
        <v>0</v>
      </c>
      <c r="H188" t="n">
        <v>0</v>
      </c>
      <c r="I188" t="n">
        <v>0</v>
      </c>
      <c r="J188" t="n">
        <v>0</v>
      </c>
      <c r="K188" t="n">
        <v>0</v>
      </c>
      <c r="L188" t="n">
        <v>0</v>
      </c>
      <c r="M188" t="n">
        <v>0</v>
      </c>
      <c r="N188" t="n">
        <v>0</v>
      </c>
    </row>
    <row r="189">
      <c r="A189" t="inlineStr">
        <is>
          <t>allowances without writ</t>
        </is>
      </c>
      <c r="B189" t="inlineStr">
        <is>
          <t>total, £4 6 shilling .25pence.</t>
        </is>
      </c>
      <c r="C189" t="n">
        <v>4.3</v>
      </c>
      <c r="D189" t="n">
        <v>4</v>
      </c>
      <c r="E189" t="n">
        <v>6</v>
      </c>
      <c r="F189" t="n">
        <v>0</v>
      </c>
      <c r="H189" t="n">
        <v>0</v>
      </c>
      <c r="I189" t="n">
        <v>0</v>
      </c>
      <c r="J189" t="n">
        <v>0</v>
      </c>
      <c r="K189" t="n">
        <v>0</v>
      </c>
      <c r="L189" t="n">
        <v>0</v>
      </c>
      <c r="M189" t="n">
        <v>0</v>
      </c>
      <c r="N189" t="n">
        <v>0</v>
      </c>
    </row>
    <row r="190">
      <c r="A190" t="inlineStr">
        <is>
          <t>allowances by writ</t>
        </is>
      </c>
      <c r="B190" t="inlineStr">
        <is>
          <t>in allowance to the same for 16 shilling 8pence delivered to john reede, treasurer of the lord's household, as the price of various victuals for the provision of the said household, just as is made clear by the evidence of the same john addressed to the auditor of this account.</t>
        </is>
      </c>
      <c r="C190" t="n">
        <v>0.83</v>
      </c>
      <c r="D190" t="n">
        <v>0</v>
      </c>
      <c r="E190" t="n">
        <v>16</v>
      </c>
      <c r="F190" t="n">
        <v>8</v>
      </c>
      <c r="H190" t="n">
        <v>0</v>
      </c>
      <c r="I190" t="n">
        <v>0</v>
      </c>
      <c r="J190" t="n">
        <v>0</v>
      </c>
      <c r="K190" t="n">
        <v>0</v>
      </c>
      <c r="L190" t="n">
        <v>0</v>
      </c>
      <c r="M190" t="n">
        <v>0</v>
      </c>
      <c r="N190" t="n">
        <v>0</v>
      </c>
    </row>
    <row r="191">
      <c r="A191" t="inlineStr">
        <is>
          <t>allowances by writ</t>
        </is>
      </c>
      <c r="B191" t="inlineStr">
        <is>
          <t>total, 16 shilling 8pence.</t>
        </is>
      </c>
      <c r="C191" t="n">
        <v>0.83</v>
      </c>
      <c r="D191" t="n">
        <v>0</v>
      </c>
      <c r="E191" t="n">
        <v>16</v>
      </c>
      <c r="F191" t="n">
        <v>8</v>
      </c>
      <c r="H191" t="n">
        <v>0</v>
      </c>
      <c r="I191" t="n">
        <v>0</v>
      </c>
      <c r="J191" t="n">
        <v>0</v>
      </c>
      <c r="K191" t="n">
        <v>0</v>
      </c>
      <c r="L191" t="n">
        <v>0</v>
      </c>
      <c r="M191" t="n">
        <v>0</v>
      </c>
      <c r="N191" t="n">
        <v>0</v>
      </c>
    </row>
    <row r="192">
      <c r="A192" t="inlineStr">
        <is>
          <t>cash deliveries</t>
        </is>
      </c>
      <c r="B192" t="inlineStr">
        <is>
          <t>in cash delivered to john arnold', receiver of wolvesey, by 1 tally, £44 6 shilling 8pence.</t>
        </is>
      </c>
      <c r="C192" t="n">
        <v>44.33</v>
      </c>
      <c r="D192" t="n">
        <v>44</v>
      </c>
      <c r="E192" t="n">
        <v>6</v>
      </c>
      <c r="F192" t="n">
        <v>8</v>
      </c>
      <c r="H192" t="n">
        <v>0</v>
      </c>
      <c r="I192" t="n">
        <v>0</v>
      </c>
      <c r="J192" t="n">
        <v>0</v>
      </c>
      <c r="K192" t="n">
        <v>0</v>
      </c>
      <c r="L192" t="n">
        <v>0</v>
      </c>
      <c r="M192" t="n">
        <v>0</v>
      </c>
      <c r="N192" t="n">
        <v>0</v>
      </c>
    </row>
    <row r="193">
      <c r="A193" t="inlineStr">
        <is>
          <t>cash deliveries</t>
        </is>
      </c>
      <c r="B193" t="inlineStr">
        <is>
          <t>total, £44 6 shilling 8pence.</t>
        </is>
      </c>
      <c r="C193" t="n">
        <v>44.33</v>
      </c>
      <c r="D193" t="n">
        <v>44</v>
      </c>
      <c r="E193" t="n">
        <v>6</v>
      </c>
      <c r="F193" t="n">
        <v>8</v>
      </c>
      <c r="H193" t="n">
        <v>0</v>
      </c>
      <c r="I193" t="n">
        <v>0</v>
      </c>
      <c r="J193" t="n">
        <v>0</v>
      </c>
      <c r="K193" t="n">
        <v>0</v>
      </c>
      <c r="L193" t="n">
        <v>0</v>
      </c>
      <c r="M193" t="n">
        <v>0</v>
      </c>
      <c r="N193" t="n">
        <v>0</v>
      </c>
    </row>
    <row r="194">
      <c r="A194" t="inlineStr">
        <is>
          <t>total of all allowances and cash deliveries</t>
        </is>
      </c>
      <c r="B194" t="inlineStr">
        <is>
          <t>total of all allowances and cash deliveries, £49 9 shilling 4.25pence.</t>
        </is>
      </c>
      <c r="C194" t="n">
        <v>49.47</v>
      </c>
      <c r="D194" t="n">
        <v>49</v>
      </c>
      <c r="E194" t="n">
        <v>9</v>
      </c>
      <c r="F194" t="n">
        <v>4.25</v>
      </c>
      <c r="H194" t="n">
        <v>0</v>
      </c>
      <c r="I194" t="n">
        <v>0</v>
      </c>
      <c r="J194" t="n">
        <v>0</v>
      </c>
      <c r="K194" t="n">
        <v>0</v>
      </c>
      <c r="L194" t="n">
        <v>0</v>
      </c>
      <c r="M194" t="n">
        <v>0</v>
      </c>
      <c r="N194" t="n">
        <v>0</v>
      </c>
    </row>
    <row r="195">
      <c r="A195" t="inlineStr">
        <is>
          <t>and he owes</t>
        </is>
      </c>
      <c r="B195" t="inlineStr">
        <is>
          <t>and he owes, 18 shilling 6pence, all of which is in the hands of the escheator.</t>
        </is>
      </c>
      <c r="C195" t="n">
        <v>0.93</v>
      </c>
      <c r="D195" t="n">
        <v>0</v>
      </c>
      <c r="E195" t="n">
        <v>18</v>
      </c>
      <c r="F195" t="n">
        <v>6</v>
      </c>
      <c r="H195" t="n">
        <v>0</v>
      </c>
      <c r="I195" t="n">
        <v>0</v>
      </c>
      <c r="J195" t="n">
        <v>0</v>
      </c>
      <c r="K195" t="n">
        <v>0</v>
      </c>
      <c r="L195" t="n">
        <v>0</v>
      </c>
      <c r="M195" t="n">
        <v>0</v>
      </c>
      <c r="N195" t="n">
        <v>0</v>
      </c>
    </row>
    <row r="196">
      <c r="A196" t="inlineStr">
        <is>
          <t>wheat</t>
        </is>
      </c>
      <c r="B196"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quarters, and if it exceeds the said price of 6 shilling 8pence then he will answer for 50 quarters, and that agreement to be kept from year to year for 12 years, this year being the third.</t>
        </is>
      </c>
      <c r="C196" t="n">
        <v>0.33</v>
      </c>
      <c r="D196" t="n">
        <v>0</v>
      </c>
      <c r="E196" t="n">
        <v>6</v>
      </c>
      <c r="F196" t="n">
        <v>8</v>
      </c>
      <c r="G196" t="inlineStr">
        <is>
          <t>wheat</t>
        </is>
      </c>
      <c r="H196" t="n">
        <v>110</v>
      </c>
      <c r="I196" t="n">
        <v>0</v>
      </c>
      <c r="J196" t="n">
        <v>110</v>
      </c>
      <c r="K196" t="n">
        <v>50</v>
      </c>
      <c r="L196" t="n">
        <v>60</v>
      </c>
      <c r="M196" t="n">
        <v>50</v>
      </c>
      <c r="N196" t="n">
        <v>0</v>
      </c>
      <c r="O196" t="n">
        <v>60</v>
      </c>
      <c r="P196" t="n">
        <v>0</v>
      </c>
      <c r="Q196" t="n">
        <v>50</v>
      </c>
      <c r="R196" t="n">
        <v>0</v>
      </c>
      <c r="W196" t="n">
        <v>6</v>
      </c>
      <c r="X196" t="n">
        <v>8</v>
      </c>
    </row>
    <row r="197">
      <c r="A197" t="inlineStr">
        <is>
          <t>wheat</t>
        </is>
      </c>
      <c r="B197" t="inlineStr">
        <is>
          <t>and he will render account for the sale of the said wheat and other corn and the other issues of this manor and he will give satisfaction to the lord at the audit by pledge of thomas cuppere, john wylde, john sely and john mulward'..</t>
        </is>
      </c>
      <c r="C197" t="n">
        <v>0</v>
      </c>
      <c r="D197" t="n">
        <v>0</v>
      </c>
      <c r="E197" t="n">
        <v>0</v>
      </c>
      <c r="F197" t="n">
        <v>0</v>
      </c>
      <c r="G197" t="inlineStr">
        <is>
          <t>wheat</t>
        </is>
      </c>
      <c r="H197" t="n">
        <v>0</v>
      </c>
      <c r="I197" t="n">
        <v>0</v>
      </c>
      <c r="J197" t="n">
        <v>0</v>
      </c>
      <c r="K197" t="n">
        <v>0</v>
      </c>
      <c r="L197" t="n">
        <v>0</v>
      </c>
      <c r="M197" t="n">
        <v>0</v>
      </c>
      <c r="N197" t="n">
        <v>0</v>
      </c>
    </row>
    <row r="198">
      <c r="A198" t="inlineStr">
        <is>
          <t>wheat</t>
        </is>
      </c>
      <c r="B198" t="inlineStr">
        <is>
          <t>total, 50 quarters.</t>
        </is>
      </c>
      <c r="C198" t="n">
        <v>0</v>
      </c>
      <c r="D198" t="n">
        <v>0</v>
      </c>
      <c r="E198" t="n">
        <v>0</v>
      </c>
      <c r="F198" t="n">
        <v>0</v>
      </c>
      <c r="H198" t="n">
        <v>50</v>
      </c>
      <c r="I198" t="n">
        <v>0</v>
      </c>
      <c r="J198" t="n">
        <v>50</v>
      </c>
      <c r="K198" t="n">
        <v>50</v>
      </c>
      <c r="L198" t="n">
        <v>0</v>
      </c>
      <c r="M198" t="n">
        <v>50</v>
      </c>
      <c r="N198" t="n">
        <v>0</v>
      </c>
    </row>
    <row r="199">
      <c r="A199" t="inlineStr">
        <is>
          <t>wheat</t>
        </is>
      </c>
      <c r="B199" t="inlineStr">
        <is>
          <t>sown over 60 acres of land by the perch, 15 quarters.</t>
        </is>
      </c>
      <c r="C199" t="n">
        <v>0</v>
      </c>
      <c r="D199" t="n">
        <v>0</v>
      </c>
      <c r="E199" t="n">
        <v>0</v>
      </c>
      <c r="F199" t="n">
        <v>0</v>
      </c>
      <c r="H199" t="n">
        <v>15</v>
      </c>
      <c r="I199" t="n">
        <v>0</v>
      </c>
      <c r="J199" t="n">
        <v>15</v>
      </c>
      <c r="K199" t="n">
        <v>15</v>
      </c>
      <c r="L199" t="n">
        <v>0</v>
      </c>
      <c r="M199" t="n">
        <v>15</v>
      </c>
      <c r="N199" t="n">
        <v>0</v>
      </c>
    </row>
    <row r="200">
      <c r="A200" t="inlineStr">
        <is>
          <t>wheat</t>
        </is>
      </c>
      <c r="B200" t="inlineStr">
        <is>
          <t>that is, 2 bushels an acre.</t>
        </is>
      </c>
      <c r="C200" t="n">
        <v>0</v>
      </c>
      <c r="D200" t="n">
        <v>0</v>
      </c>
      <c r="E200" t="n">
        <v>0</v>
      </c>
      <c r="F200" t="n">
        <v>0</v>
      </c>
      <c r="H200" t="n">
        <v>0</v>
      </c>
      <c r="I200" t="n">
        <v>2</v>
      </c>
      <c r="J200" t="n">
        <v>0.25</v>
      </c>
      <c r="K200" t="n">
        <v>0.25</v>
      </c>
      <c r="L200" t="n">
        <v>0</v>
      </c>
      <c r="M200" t="n">
        <v>0</v>
      </c>
      <c r="N200" t="n">
        <v>2</v>
      </c>
    </row>
    <row r="201">
      <c r="A201" t="inlineStr">
        <is>
          <t>wheat</t>
        </is>
      </c>
      <c r="B201" t="inlineStr">
        <is>
          <t>bread baked for the provision of the steward holding the tourns of martinmas and hockday, by 2 sealed bills, 2 bushels.</t>
        </is>
      </c>
      <c r="C201" t="n">
        <v>0</v>
      </c>
      <c r="D201" t="n">
        <v>0</v>
      </c>
      <c r="E201" t="n">
        <v>0</v>
      </c>
      <c r="F201" t="n">
        <v>0</v>
      </c>
      <c r="H201" t="n">
        <v>0</v>
      </c>
      <c r="I201" t="n">
        <v>2</v>
      </c>
      <c r="J201" t="n">
        <v>0.25</v>
      </c>
      <c r="K201" t="n">
        <v>0.25</v>
      </c>
      <c r="L201" t="n">
        <v>0</v>
      </c>
      <c r="M201" t="n">
        <v>0</v>
      </c>
      <c r="N201" t="n">
        <v>2</v>
      </c>
    </row>
    <row r="202">
      <c r="A202" t="inlineStr">
        <is>
          <t>wheat</t>
        </is>
      </c>
      <c r="B202" t="inlineStr">
        <is>
          <t>sold within, 34 quarters 6 bushels.</t>
        </is>
      </c>
      <c r="C202" t="n">
        <v>0</v>
      </c>
      <c r="D202" t="n">
        <v>0</v>
      </c>
      <c r="E202" t="n">
        <v>0</v>
      </c>
      <c r="F202" t="n">
        <v>0</v>
      </c>
      <c r="H202" t="n">
        <v>34</v>
      </c>
      <c r="I202" t="n">
        <v>6</v>
      </c>
      <c r="J202" t="n">
        <v>34.75</v>
      </c>
      <c r="K202" t="n">
        <v>34.75</v>
      </c>
      <c r="L202" t="n">
        <v>0</v>
      </c>
      <c r="M202" t="n">
        <v>34</v>
      </c>
      <c r="N202" t="n">
        <v>6</v>
      </c>
    </row>
    <row r="203">
      <c r="A203" t="inlineStr">
        <is>
          <t>wheat</t>
        </is>
      </c>
      <c r="B203" t="inlineStr">
        <is>
          <t>total as before.</t>
        </is>
      </c>
      <c r="C203" t="n">
        <v>0</v>
      </c>
      <c r="D203" t="n">
        <v>0</v>
      </c>
      <c r="E203" t="n">
        <v>0</v>
      </c>
      <c r="F203" t="n">
        <v>0</v>
      </c>
      <c r="H203" t="n">
        <v>0</v>
      </c>
      <c r="I203" t="n">
        <v>0</v>
      </c>
      <c r="J203" t="n">
        <v>0</v>
      </c>
      <c r="K203" t="n">
        <v>0</v>
      </c>
      <c r="L203" t="n">
        <v>0</v>
      </c>
      <c r="M203" t="n">
        <v>0</v>
      </c>
      <c r="N203" t="n">
        <v>0</v>
      </c>
    </row>
    <row r="204">
      <c r="A204" t="inlineStr">
        <is>
          <t>wheat</t>
        </is>
      </c>
      <c r="B204" t="inlineStr">
        <is>
          <t>it balances.</t>
        </is>
      </c>
      <c r="C204" t="n">
        <v>0</v>
      </c>
      <c r="D204" t="n">
        <v>0</v>
      </c>
      <c r="E204" t="n">
        <v>0</v>
      </c>
      <c r="F204" t="n">
        <v>0</v>
      </c>
      <c r="H204" t="n">
        <v>0</v>
      </c>
      <c r="I204" t="n">
        <v>0</v>
      </c>
      <c r="J204" t="n">
        <v>0</v>
      </c>
      <c r="K204" t="n">
        <v>0</v>
      </c>
      <c r="L204" t="n">
        <v>0</v>
      </c>
      <c r="M204" t="n">
        <v>0</v>
      </c>
      <c r="N204" t="n">
        <v>0</v>
      </c>
    </row>
    <row r="205">
      <c r="A205" t="inlineStr">
        <is>
          <t>barley</t>
        </is>
      </c>
      <c r="B205"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quarters, and if it exceeds the said price of 5 shilling then he will answer for 100 quarters of barley..</t>
        </is>
      </c>
      <c r="C205" t="n">
        <v>0.25</v>
      </c>
      <c r="D205" t="n">
        <v>0</v>
      </c>
      <c r="E205" t="n">
        <v>5</v>
      </c>
      <c r="F205" t="n">
        <v>0</v>
      </c>
      <c r="G205" t="inlineStr">
        <is>
          <t>barley</t>
        </is>
      </c>
      <c r="H205" t="n">
        <v>319</v>
      </c>
      <c r="I205" t="n">
        <v>8</v>
      </c>
      <c r="J205" t="n">
        <v>320</v>
      </c>
      <c r="K205" t="n">
        <v>100</v>
      </c>
      <c r="L205" t="n">
        <v>220</v>
      </c>
      <c r="M205" t="n">
        <v>100</v>
      </c>
      <c r="N205" t="n">
        <v>0</v>
      </c>
      <c r="O205" t="n">
        <v>19</v>
      </c>
      <c r="P205" t="n">
        <v>3</v>
      </c>
      <c r="Q205" t="n">
        <v>80</v>
      </c>
      <c r="R205" t="n">
        <v>5</v>
      </c>
      <c r="S205" t="n">
        <v>120</v>
      </c>
      <c r="T205" t="n">
        <v>0</v>
      </c>
      <c r="U205" t="n">
        <v>100</v>
      </c>
      <c r="V205" t="n">
        <v>0</v>
      </c>
      <c r="W205" t="n">
        <v>5</v>
      </c>
      <c r="X205" t="n">
        <v>0</v>
      </c>
    </row>
    <row r="206">
      <c r="A206" t="inlineStr">
        <is>
          <t>barley</t>
        </is>
      </c>
      <c r="B206" t="inlineStr">
        <is>
          <t>total, 100 quarters.</t>
        </is>
      </c>
      <c r="C206" t="n">
        <v>0</v>
      </c>
      <c r="D206" t="n">
        <v>0</v>
      </c>
      <c r="E206" t="n">
        <v>0</v>
      </c>
      <c r="F206" t="n">
        <v>0</v>
      </c>
      <c r="H206" t="n">
        <v>100</v>
      </c>
      <c r="I206" t="n">
        <v>0</v>
      </c>
      <c r="J206" t="n">
        <v>100</v>
      </c>
      <c r="K206" t="n">
        <v>100</v>
      </c>
      <c r="L206" t="n">
        <v>0</v>
      </c>
      <c r="M206" t="n">
        <v>100</v>
      </c>
      <c r="N206" t="n">
        <v>0</v>
      </c>
    </row>
    <row r="207">
      <c r="A207" t="inlineStr">
        <is>
          <t>barley</t>
        </is>
      </c>
      <c r="B207" t="inlineStr">
        <is>
          <t>sown over 50 acres of land by the perch, 25 quarters.</t>
        </is>
      </c>
      <c r="C207" t="n">
        <v>0</v>
      </c>
      <c r="D207" t="n">
        <v>0</v>
      </c>
      <c r="E207" t="n">
        <v>0</v>
      </c>
      <c r="F207" t="n">
        <v>0</v>
      </c>
      <c r="H207" t="n">
        <v>25</v>
      </c>
      <c r="I207" t="n">
        <v>0</v>
      </c>
      <c r="J207" t="n">
        <v>25</v>
      </c>
      <c r="K207" t="n">
        <v>25</v>
      </c>
      <c r="L207" t="n">
        <v>0</v>
      </c>
      <c r="M207" t="n">
        <v>25</v>
      </c>
      <c r="N207" t="n">
        <v>0</v>
      </c>
    </row>
    <row r="208">
      <c r="A208" t="inlineStr">
        <is>
          <t>barley</t>
        </is>
      </c>
      <c r="B208" t="inlineStr">
        <is>
          <t>that is, 4 bushels an acre.</t>
        </is>
      </c>
      <c r="C208" t="n">
        <v>0</v>
      </c>
      <c r="D208" t="n">
        <v>0</v>
      </c>
      <c r="E208" t="n">
        <v>0</v>
      </c>
      <c r="F208" t="n">
        <v>0</v>
      </c>
      <c r="H208" t="n">
        <v>0</v>
      </c>
      <c r="I208" t="n">
        <v>4</v>
      </c>
      <c r="J208" t="n">
        <v>0.5</v>
      </c>
      <c r="K208" t="n">
        <v>0.5</v>
      </c>
      <c r="L208" t="n">
        <v>0</v>
      </c>
      <c r="M208" t="n">
        <v>0</v>
      </c>
      <c r="N208" t="n">
        <v>4</v>
      </c>
    </row>
    <row r="209">
      <c r="A209" t="inlineStr">
        <is>
          <t>barley</t>
        </is>
      </c>
      <c r="B209" t="inlineStr">
        <is>
          <t>mixed below for the liveries of the manorial servants, 25 quarters..</t>
        </is>
      </c>
      <c r="C209" t="n">
        <v>0</v>
      </c>
      <c r="D209" t="n">
        <v>0</v>
      </c>
      <c r="E209" t="n">
        <v>0</v>
      </c>
      <c r="F209" t="n">
        <v>0</v>
      </c>
      <c r="H209" t="n">
        <v>25</v>
      </c>
      <c r="I209" t="n">
        <v>0</v>
      </c>
      <c r="J209" t="n">
        <v>25</v>
      </c>
      <c r="K209" t="n">
        <v>25</v>
      </c>
      <c r="L209" t="n">
        <v>0</v>
      </c>
      <c r="M209" t="n">
        <v>25</v>
      </c>
      <c r="N209" t="n">
        <v>0</v>
      </c>
    </row>
    <row r="210">
      <c r="A210" t="inlineStr">
        <is>
          <t>barley</t>
        </is>
      </c>
      <c r="B210" t="inlineStr">
        <is>
          <t>sold within, 50 quarters..</t>
        </is>
      </c>
      <c r="C210" t="n">
        <v>0</v>
      </c>
      <c r="D210" t="n">
        <v>0</v>
      </c>
      <c r="E210" t="n">
        <v>0</v>
      </c>
      <c r="F210" t="n">
        <v>0</v>
      </c>
      <c r="H210" t="n">
        <v>50</v>
      </c>
      <c r="I210" t="n">
        <v>0</v>
      </c>
      <c r="J210" t="n">
        <v>50</v>
      </c>
      <c r="K210" t="n">
        <v>50</v>
      </c>
      <c r="L210" t="n">
        <v>0</v>
      </c>
      <c r="M210" t="n">
        <v>50</v>
      </c>
      <c r="N210" t="n">
        <v>0</v>
      </c>
    </row>
    <row r="211">
      <c r="A211" t="inlineStr">
        <is>
          <t>barley</t>
        </is>
      </c>
      <c r="B211" t="inlineStr">
        <is>
          <t>total as before.</t>
        </is>
      </c>
      <c r="C211" t="n">
        <v>0</v>
      </c>
      <c r="D211" t="n">
        <v>0</v>
      </c>
      <c r="E211" t="n">
        <v>0</v>
      </c>
      <c r="F211" t="n">
        <v>0</v>
      </c>
      <c r="H211" t="n">
        <v>0</v>
      </c>
      <c r="I211" t="n">
        <v>0</v>
      </c>
      <c r="J211" t="n">
        <v>0</v>
      </c>
      <c r="K211" t="n">
        <v>0</v>
      </c>
      <c r="L211" t="n">
        <v>0</v>
      </c>
      <c r="M211" t="n">
        <v>0</v>
      </c>
      <c r="N211" t="n">
        <v>0</v>
      </c>
    </row>
    <row r="212">
      <c r="A212" t="inlineStr">
        <is>
          <t>barley</t>
        </is>
      </c>
      <c r="B212" t="inlineStr">
        <is>
          <t>it balances.</t>
        </is>
      </c>
      <c r="C212" t="n">
        <v>0</v>
      </c>
      <c r="D212" t="n">
        <v>0</v>
      </c>
      <c r="E212" t="n">
        <v>0</v>
      </c>
      <c r="F212" t="n">
        <v>0</v>
      </c>
      <c r="H212" t="n">
        <v>0</v>
      </c>
      <c r="I212" t="n">
        <v>0</v>
      </c>
      <c r="J212" t="n">
        <v>0</v>
      </c>
      <c r="K212" t="n">
        <v>0</v>
      </c>
      <c r="L212" t="n">
        <v>0</v>
      </c>
      <c r="M212" t="n">
        <v>0</v>
      </c>
      <c r="N212" t="n">
        <v>0</v>
      </c>
    </row>
    <row r="213">
      <c r="A213" t="inlineStr">
        <is>
          <t>peas</t>
        </is>
      </c>
      <c r="B213" t="inlineStr">
        <is>
          <t>and for 3 quarters 6 bushels of peas from the issue, threshed by piece-work.</t>
        </is>
      </c>
      <c r="C213" t="n">
        <v>0</v>
      </c>
      <c r="D213" t="n">
        <v>0</v>
      </c>
      <c r="E213" t="n">
        <v>0</v>
      </c>
      <c r="F213" t="n">
        <v>0</v>
      </c>
      <c r="G213" t="inlineStr">
        <is>
          <t>peas</t>
        </is>
      </c>
      <c r="H213" t="n">
        <v>3</v>
      </c>
      <c r="I213" t="n">
        <v>6</v>
      </c>
      <c r="J213" t="n">
        <v>3.75</v>
      </c>
      <c r="K213" t="n">
        <v>3.75</v>
      </c>
      <c r="L213" t="n">
        <v>0</v>
      </c>
      <c r="M213" t="n">
        <v>3</v>
      </c>
      <c r="N213" t="n">
        <v>6</v>
      </c>
    </row>
    <row r="214">
      <c r="A214" t="inlineStr">
        <is>
          <t>peas</t>
        </is>
      </c>
      <c r="B214" t="inlineStr">
        <is>
          <t>5 quarters from the same issue by estimation in husks..</t>
        </is>
      </c>
      <c r="C214" t="n">
        <v>0</v>
      </c>
      <c r="D214" t="n">
        <v>0</v>
      </c>
      <c r="E214" t="n">
        <v>0</v>
      </c>
      <c r="F214" t="n">
        <v>0</v>
      </c>
      <c r="H214" t="n">
        <v>5</v>
      </c>
      <c r="I214" t="n">
        <v>0</v>
      </c>
      <c r="J214" t="n">
        <v>5</v>
      </c>
      <c r="K214" t="n">
        <v>5</v>
      </c>
      <c r="L214" t="n">
        <v>0</v>
      </c>
      <c r="M214" t="n">
        <v>5</v>
      </c>
      <c r="N214" t="n">
        <v>0</v>
      </c>
    </row>
    <row r="215">
      <c r="A215" t="inlineStr">
        <is>
          <t>peas</t>
        </is>
      </c>
      <c r="B215" t="inlineStr">
        <is>
          <t>total, 8 quarters 6 bushels.</t>
        </is>
      </c>
      <c r="C215" t="n">
        <v>0</v>
      </c>
      <c r="D215" t="n">
        <v>0</v>
      </c>
      <c r="E215" t="n">
        <v>0</v>
      </c>
      <c r="F215" t="n">
        <v>0</v>
      </c>
      <c r="H215" t="n">
        <v>8</v>
      </c>
      <c r="I215" t="n">
        <v>6</v>
      </c>
      <c r="J215" t="n">
        <v>8.75</v>
      </c>
      <c r="K215" t="n">
        <v>8.75</v>
      </c>
      <c r="L215" t="n">
        <v>0</v>
      </c>
      <c r="M215" t="n">
        <v>8</v>
      </c>
      <c r="N215" t="n">
        <v>6</v>
      </c>
    </row>
    <row r="216">
      <c r="A216" t="inlineStr">
        <is>
          <t>peas</t>
        </is>
      </c>
      <c r="B216" t="inlineStr">
        <is>
          <t>sown over 15 acres of land by the perch, 3 quarters 6 bushels.</t>
        </is>
      </c>
      <c r="C216" t="n">
        <v>0</v>
      </c>
      <c r="D216" t="n">
        <v>0</v>
      </c>
      <c r="E216" t="n">
        <v>0</v>
      </c>
      <c r="F216" t="n">
        <v>0</v>
      </c>
      <c r="H216" t="n">
        <v>3</v>
      </c>
      <c r="I216" t="n">
        <v>6</v>
      </c>
      <c r="J216" t="n">
        <v>3.75</v>
      </c>
      <c r="K216" t="n">
        <v>3.75</v>
      </c>
      <c r="L216" t="n">
        <v>0</v>
      </c>
      <c r="M216" t="n">
        <v>3</v>
      </c>
      <c r="N216" t="n">
        <v>6</v>
      </c>
    </row>
    <row r="217">
      <c r="A217" t="inlineStr">
        <is>
          <t>peas</t>
        </is>
      </c>
      <c r="B217" t="inlineStr">
        <is>
          <t>that is, 2 bushels an acre.</t>
        </is>
      </c>
      <c r="C217" t="n">
        <v>0</v>
      </c>
      <c r="D217" t="n">
        <v>0</v>
      </c>
      <c r="E217" t="n">
        <v>0</v>
      </c>
      <c r="F217" t="n">
        <v>0</v>
      </c>
      <c r="H217" t="n">
        <v>0</v>
      </c>
      <c r="I217" t="n">
        <v>2</v>
      </c>
      <c r="J217" t="n">
        <v>0.25</v>
      </c>
      <c r="K217" t="n">
        <v>0.25</v>
      </c>
      <c r="L217" t="n">
        <v>0</v>
      </c>
      <c r="M217" t="n">
        <v>0</v>
      </c>
      <c r="N217" t="n">
        <v>2</v>
      </c>
    </row>
    <row r="218">
      <c r="A218" t="inlineStr">
        <is>
          <t>peas</t>
        </is>
      </c>
      <c r="B218" t="inlineStr">
        <is>
          <t>supporting the ewes at lambing-time, 5 quarters by estimation in husks..</t>
        </is>
      </c>
      <c r="C218" t="n">
        <v>0</v>
      </c>
      <c r="D218" t="n">
        <v>0</v>
      </c>
      <c r="E218" t="n">
        <v>0</v>
      </c>
      <c r="F218" t="n">
        <v>0</v>
      </c>
      <c r="H218" t="n">
        <v>5</v>
      </c>
      <c r="I218" t="n">
        <v>0</v>
      </c>
      <c r="J218" t="n">
        <v>5</v>
      </c>
      <c r="K218" t="n">
        <v>5</v>
      </c>
      <c r="L218" t="n">
        <v>0</v>
      </c>
      <c r="M218" t="n">
        <v>5</v>
      </c>
      <c r="N218" t="n">
        <v>0</v>
      </c>
    </row>
    <row r="219">
      <c r="A219" t="inlineStr">
        <is>
          <t>peas</t>
        </is>
      </c>
      <c r="B219" t="inlineStr">
        <is>
          <t>total as before.</t>
        </is>
      </c>
      <c r="C219" t="n">
        <v>0</v>
      </c>
      <c r="D219" t="n">
        <v>0</v>
      </c>
      <c r="E219" t="n">
        <v>0</v>
      </c>
      <c r="F219" t="n">
        <v>0</v>
      </c>
      <c r="H219" t="n">
        <v>0</v>
      </c>
      <c r="I219" t="n">
        <v>0</v>
      </c>
      <c r="J219" t="n">
        <v>0</v>
      </c>
      <c r="K219" t="n">
        <v>0</v>
      </c>
      <c r="L219" t="n">
        <v>0</v>
      </c>
      <c r="M219" t="n">
        <v>0</v>
      </c>
      <c r="N219" t="n">
        <v>0</v>
      </c>
    </row>
    <row r="220">
      <c r="A220" t="inlineStr">
        <is>
          <t>peas</t>
        </is>
      </c>
      <c r="B220" t="inlineStr">
        <is>
          <t>it balances.</t>
        </is>
      </c>
      <c r="C220" t="n">
        <v>0</v>
      </c>
      <c r="D220" t="n">
        <v>0</v>
      </c>
      <c r="E220" t="n">
        <v>0</v>
      </c>
      <c r="F220" t="n">
        <v>0</v>
      </c>
      <c r="H220" t="n">
        <v>0</v>
      </c>
      <c r="I220" t="n">
        <v>0</v>
      </c>
      <c r="J220" t="n">
        <v>0</v>
      </c>
      <c r="K220" t="n">
        <v>0</v>
      </c>
      <c r="L220" t="n">
        <v>0</v>
      </c>
      <c r="M220" t="n">
        <v>0</v>
      </c>
      <c r="N220" t="n">
        <v>0</v>
      </c>
    </row>
    <row r="221">
      <c r="A221" t="inlineStr">
        <is>
          <t>vetches</t>
        </is>
      </c>
      <c r="B221" t="inlineStr">
        <is>
          <t>and for 5 quarters of vetches from the issue, threshed by piece-work.</t>
        </is>
      </c>
      <c r="C221" t="n">
        <v>0</v>
      </c>
      <c r="D221" t="n">
        <v>0</v>
      </c>
      <c r="E221" t="n">
        <v>0</v>
      </c>
      <c r="F221" t="n">
        <v>0</v>
      </c>
      <c r="G221" t="inlineStr">
        <is>
          <t>vetches</t>
        </is>
      </c>
      <c r="H221" t="n">
        <v>5</v>
      </c>
      <c r="I221" t="n">
        <v>0</v>
      </c>
      <c r="J221" t="n">
        <v>5</v>
      </c>
      <c r="K221" t="n">
        <v>5</v>
      </c>
      <c r="L221" t="n">
        <v>0</v>
      </c>
      <c r="M221" t="n">
        <v>5</v>
      </c>
      <c r="N221" t="n">
        <v>0</v>
      </c>
    </row>
    <row r="222">
      <c r="A222" t="inlineStr">
        <is>
          <t>vetches</t>
        </is>
      </c>
      <c r="B222" t="inlineStr">
        <is>
          <t>10 quarters from the same issue by estimation in husks..</t>
        </is>
      </c>
      <c r="C222" t="n">
        <v>0</v>
      </c>
      <c r="D222" t="n">
        <v>0</v>
      </c>
      <c r="E222" t="n">
        <v>0</v>
      </c>
      <c r="F222" t="n">
        <v>0</v>
      </c>
      <c r="H222" t="n">
        <v>10</v>
      </c>
      <c r="I222" t="n">
        <v>0</v>
      </c>
      <c r="J222" t="n">
        <v>10</v>
      </c>
      <c r="K222" t="n">
        <v>10</v>
      </c>
      <c r="L222" t="n">
        <v>0</v>
      </c>
      <c r="M222" t="n">
        <v>10</v>
      </c>
      <c r="N222" t="n">
        <v>0</v>
      </c>
    </row>
    <row r="223">
      <c r="A223" t="inlineStr">
        <is>
          <t>vetches</t>
        </is>
      </c>
      <c r="B223" t="inlineStr">
        <is>
          <t>total, 15 quarters.</t>
        </is>
      </c>
      <c r="C223" t="n">
        <v>0</v>
      </c>
      <c r="D223" t="n">
        <v>0</v>
      </c>
      <c r="E223" t="n">
        <v>0</v>
      </c>
      <c r="F223" t="n">
        <v>0</v>
      </c>
      <c r="H223" t="n">
        <v>15</v>
      </c>
      <c r="I223" t="n">
        <v>0</v>
      </c>
      <c r="J223" t="n">
        <v>15</v>
      </c>
      <c r="K223" t="n">
        <v>15</v>
      </c>
      <c r="L223" t="n">
        <v>0</v>
      </c>
      <c r="M223" t="n">
        <v>15</v>
      </c>
      <c r="N223" t="n">
        <v>0</v>
      </c>
    </row>
    <row r="224">
      <c r="A224" t="inlineStr">
        <is>
          <t>vetches</t>
        </is>
      </c>
      <c r="B224" t="inlineStr">
        <is>
          <t>sown over 20 acres of land by the perch, 5 quarters.</t>
        </is>
      </c>
      <c r="C224" t="n">
        <v>0</v>
      </c>
      <c r="D224" t="n">
        <v>0</v>
      </c>
      <c r="E224" t="n">
        <v>0</v>
      </c>
      <c r="F224" t="n">
        <v>0</v>
      </c>
      <c r="H224" t="n">
        <v>5</v>
      </c>
      <c r="I224" t="n">
        <v>0</v>
      </c>
      <c r="J224" t="n">
        <v>5</v>
      </c>
      <c r="K224" t="n">
        <v>5</v>
      </c>
      <c r="L224" t="n">
        <v>0</v>
      </c>
      <c r="M224" t="n">
        <v>5</v>
      </c>
      <c r="N224" t="n">
        <v>0</v>
      </c>
    </row>
    <row r="225">
      <c r="A225" t="inlineStr">
        <is>
          <t>vetches</t>
        </is>
      </c>
      <c r="B225" t="inlineStr">
        <is>
          <t>that is, 2 bushels an acre.</t>
        </is>
      </c>
      <c r="C225" t="n">
        <v>0</v>
      </c>
      <c r="D225" t="n">
        <v>0</v>
      </c>
      <c r="E225" t="n">
        <v>0</v>
      </c>
      <c r="F225" t="n">
        <v>0</v>
      </c>
      <c r="H225" t="n">
        <v>0</v>
      </c>
      <c r="I225" t="n">
        <v>2</v>
      </c>
      <c r="J225" t="n">
        <v>0.25</v>
      </c>
      <c r="K225" t="n">
        <v>0.25</v>
      </c>
      <c r="L225" t="n">
        <v>0</v>
      </c>
      <c r="M225" t="n">
        <v>0</v>
      </c>
      <c r="N225" t="n">
        <v>2</v>
      </c>
    </row>
    <row r="226">
      <c r="A226" t="inlineStr">
        <is>
          <t>vetches</t>
        </is>
      </c>
      <c r="B226" t="inlineStr">
        <is>
          <t>supporting sheep, horses and other cattle in winter, 10 quarters by estimation in husks..</t>
        </is>
      </c>
      <c r="C226" t="n">
        <v>0</v>
      </c>
      <c r="D226" t="n">
        <v>0</v>
      </c>
      <c r="E226" t="n">
        <v>0</v>
      </c>
      <c r="F226" t="n">
        <v>0</v>
      </c>
      <c r="H226" t="n">
        <v>10</v>
      </c>
      <c r="I226" t="n">
        <v>0</v>
      </c>
      <c r="J226" t="n">
        <v>10</v>
      </c>
      <c r="K226" t="n">
        <v>10</v>
      </c>
      <c r="L226" t="n">
        <v>0</v>
      </c>
      <c r="M226" t="n">
        <v>10</v>
      </c>
      <c r="N226" t="n">
        <v>0</v>
      </c>
    </row>
    <row r="227">
      <c r="A227" t="inlineStr">
        <is>
          <t>vetches</t>
        </is>
      </c>
      <c r="B227" t="inlineStr">
        <is>
          <t>total as before.</t>
        </is>
      </c>
      <c r="C227" t="n">
        <v>0</v>
      </c>
      <c r="D227" t="n">
        <v>0</v>
      </c>
      <c r="E227" t="n">
        <v>0</v>
      </c>
      <c r="F227" t="n">
        <v>0</v>
      </c>
      <c r="H227" t="n">
        <v>0</v>
      </c>
      <c r="I227" t="n">
        <v>0</v>
      </c>
      <c r="J227" t="n">
        <v>0</v>
      </c>
      <c r="K227" t="n">
        <v>0</v>
      </c>
      <c r="L227" t="n">
        <v>0</v>
      </c>
      <c r="M227" t="n">
        <v>0</v>
      </c>
      <c r="N227" t="n">
        <v>0</v>
      </c>
    </row>
    <row r="228">
      <c r="A228" t="inlineStr">
        <is>
          <t>vetches</t>
        </is>
      </c>
      <c r="B228" t="inlineStr">
        <is>
          <t>it balances.</t>
        </is>
      </c>
      <c r="C228" t="n">
        <v>0</v>
      </c>
      <c r="D228" t="n">
        <v>0</v>
      </c>
      <c r="E228" t="n">
        <v>0</v>
      </c>
      <c r="F228" t="n">
        <v>0</v>
      </c>
      <c r="H228" t="n">
        <v>0</v>
      </c>
      <c r="I228" t="n">
        <v>0</v>
      </c>
      <c r="J228" t="n">
        <v>0</v>
      </c>
      <c r="K228" t="n">
        <v>0</v>
      </c>
      <c r="L228" t="n">
        <v>0</v>
      </c>
      <c r="M228" t="n">
        <v>0</v>
      </c>
      <c r="N228" t="n">
        <v>0</v>
      </c>
    </row>
    <row r="229">
      <c r="A229" t="inlineStr">
        <is>
          <t>oats</t>
        </is>
      </c>
      <c r="B229" t="inlineStr">
        <is>
          <t>and for 52 quarters of oats from the issue of the grange, threshed by piece-work.</t>
        </is>
      </c>
      <c r="C229" t="n">
        <v>0</v>
      </c>
      <c r="D229" t="n">
        <v>0</v>
      </c>
      <c r="E229" t="n">
        <v>0</v>
      </c>
      <c r="F229" t="n">
        <v>0</v>
      </c>
      <c r="G229" t="inlineStr">
        <is>
          <t>oats</t>
        </is>
      </c>
      <c r="H229" t="n">
        <v>52</v>
      </c>
      <c r="I229" t="n">
        <v>0</v>
      </c>
      <c r="J229" t="n">
        <v>52</v>
      </c>
      <c r="K229" t="n">
        <v>52</v>
      </c>
      <c r="L229" t="n">
        <v>0</v>
      </c>
      <c r="M229" t="n">
        <v>52</v>
      </c>
      <c r="N229" t="n">
        <v>0</v>
      </c>
    </row>
    <row r="230">
      <c r="A230" t="inlineStr">
        <is>
          <t>oats</t>
        </is>
      </c>
      <c r="B230" t="inlineStr">
        <is>
          <t>8 quarters from the same issue by estimation in sheaves, according to the agreement made with the lord's council to render annually 80 quarters of oats unless the price of oats exceeds 2 shilling 4pence a quarters, and if it exceeds the said price of 2 shilling 4pence then he will answer for 60 quarters of oats..</t>
        </is>
      </c>
      <c r="C230" t="n">
        <v>0.12</v>
      </c>
      <c r="D230" t="n">
        <v>0</v>
      </c>
      <c r="E230" t="n">
        <v>2</v>
      </c>
      <c r="F230" t="n">
        <v>4</v>
      </c>
      <c r="G230" t="inlineStr">
        <is>
          <t>oats</t>
        </is>
      </c>
      <c r="H230" t="n">
        <v>140</v>
      </c>
      <c r="I230" t="n">
        <v>0</v>
      </c>
      <c r="J230" t="n">
        <v>140</v>
      </c>
      <c r="K230" t="n">
        <v>8</v>
      </c>
      <c r="L230" t="n">
        <v>132</v>
      </c>
      <c r="M230" t="n">
        <v>8</v>
      </c>
      <c r="N230" t="n">
        <v>0</v>
      </c>
      <c r="O230" t="n">
        <v>80</v>
      </c>
      <c r="P230" t="n">
        <v>0</v>
      </c>
      <c r="Q230" t="n">
        <v>60</v>
      </c>
      <c r="R230" t="n">
        <v>0</v>
      </c>
      <c r="W230" t="n">
        <v>2</v>
      </c>
      <c r="X230" t="n">
        <v>4</v>
      </c>
    </row>
    <row r="231">
      <c r="A231" t="inlineStr">
        <is>
          <t>oats</t>
        </is>
      </c>
      <c r="B231" t="inlineStr">
        <is>
          <t>total, 60 quarters.</t>
        </is>
      </c>
      <c r="C231" t="n">
        <v>0</v>
      </c>
      <c r="D231" t="n">
        <v>0</v>
      </c>
      <c r="E231" t="n">
        <v>0</v>
      </c>
      <c r="F231" t="n">
        <v>0</v>
      </c>
      <c r="H231" t="n">
        <v>60</v>
      </c>
      <c r="I231" t="n">
        <v>0</v>
      </c>
      <c r="J231" t="n">
        <v>60</v>
      </c>
      <c r="K231" t="n">
        <v>60</v>
      </c>
      <c r="L231" t="n">
        <v>0</v>
      </c>
      <c r="M231" t="n">
        <v>60</v>
      </c>
      <c r="N231" t="n">
        <v>0</v>
      </c>
    </row>
    <row r="232">
      <c r="A232" t="inlineStr">
        <is>
          <t>oats</t>
        </is>
      </c>
      <c r="B232" t="inlineStr">
        <is>
          <t>sown over 40 acres of land by the perch, 20 quarters.</t>
        </is>
      </c>
      <c r="C232" t="n">
        <v>0</v>
      </c>
      <c r="D232" t="n">
        <v>0</v>
      </c>
      <c r="E232" t="n">
        <v>0</v>
      </c>
      <c r="F232" t="n">
        <v>0</v>
      </c>
      <c r="H232" t="n">
        <v>20</v>
      </c>
      <c r="I232" t="n">
        <v>0</v>
      </c>
      <c r="J232" t="n">
        <v>20</v>
      </c>
      <c r="K232" t="n">
        <v>20</v>
      </c>
      <c r="L232" t="n">
        <v>0</v>
      </c>
      <c r="M232" t="n">
        <v>20</v>
      </c>
      <c r="N232" t="n">
        <v>0</v>
      </c>
    </row>
    <row r="233">
      <c r="A233" t="inlineStr">
        <is>
          <t>oats</t>
        </is>
      </c>
      <c r="B233" t="inlineStr">
        <is>
          <t>that is, 4 bushels an acre.</t>
        </is>
      </c>
      <c r="C233" t="n">
        <v>0</v>
      </c>
      <c r="D233" t="n">
        <v>0</v>
      </c>
      <c r="E233" t="n">
        <v>0</v>
      </c>
      <c r="F233" t="n">
        <v>0</v>
      </c>
      <c r="H233" t="n">
        <v>0</v>
      </c>
      <c r="I233" t="n">
        <v>4</v>
      </c>
      <c r="J233" t="n">
        <v>0.5</v>
      </c>
      <c r="K233" t="n">
        <v>0.5</v>
      </c>
      <c r="L233" t="n">
        <v>0</v>
      </c>
      <c r="M233" t="n">
        <v>0</v>
      </c>
      <c r="N233" t="n">
        <v>4</v>
      </c>
    </row>
    <row r="234">
      <c r="A234" t="inlineStr">
        <is>
          <t>oats</t>
        </is>
      </c>
      <c r="B234" t="inlineStr">
        <is>
          <t>fodder of oxen, 6 quarters by estimation in sheaves.</t>
        </is>
      </c>
      <c r="C234" t="n">
        <v>0</v>
      </c>
      <c r="D234" t="n">
        <v>0</v>
      </c>
      <c r="E234" t="n">
        <v>0</v>
      </c>
      <c r="F234" t="n">
        <v>0</v>
      </c>
      <c r="H234" t="n">
        <v>6</v>
      </c>
      <c r="I234" t="n">
        <v>0</v>
      </c>
      <c r="J234" t="n">
        <v>6</v>
      </c>
      <c r="K234" t="n">
        <v>6</v>
      </c>
      <c r="L234" t="n">
        <v>0</v>
      </c>
      <c r="M234" t="n">
        <v>6</v>
      </c>
      <c r="N234" t="n">
        <v>0</v>
      </c>
    </row>
    <row r="235">
      <c r="A235" t="inlineStr">
        <is>
          <t>oats</t>
        </is>
      </c>
      <c r="B235" t="inlineStr">
        <is>
          <t>fodder of cart-horses for the year, 4 quarters.</t>
        </is>
      </c>
      <c r="C235" t="n">
        <v>0</v>
      </c>
      <c r="D235" t="n">
        <v>0</v>
      </c>
      <c r="E235" t="n">
        <v>0</v>
      </c>
      <c r="F235" t="n">
        <v>0</v>
      </c>
      <c r="H235" t="n">
        <v>4</v>
      </c>
      <c r="I235" t="n">
        <v>0</v>
      </c>
      <c r="J235" t="n">
        <v>4</v>
      </c>
      <c r="K235" t="n">
        <v>4</v>
      </c>
      <c r="L235" t="n">
        <v>0</v>
      </c>
      <c r="M235" t="n">
        <v>4</v>
      </c>
      <c r="N235" t="n">
        <v>0</v>
      </c>
    </row>
    <row r="236">
      <c r="A236" t="inlineStr">
        <is>
          <t>oats</t>
        </is>
      </c>
      <c r="B236" t="inlineStr">
        <is>
          <t>fodder of plough-horses for the year, 2 quarters.</t>
        </is>
      </c>
      <c r="C236" t="n">
        <v>0</v>
      </c>
      <c r="D236" t="n">
        <v>0</v>
      </c>
      <c r="E236" t="n">
        <v>0</v>
      </c>
      <c r="F236" t="n">
        <v>0</v>
      </c>
      <c r="H236" t="n">
        <v>2</v>
      </c>
      <c r="I236" t="n">
        <v>0</v>
      </c>
      <c r="J236" t="n">
        <v>2</v>
      </c>
      <c r="K236" t="n">
        <v>2</v>
      </c>
      <c r="L236" t="n">
        <v>0</v>
      </c>
      <c r="M236" t="n">
        <v>2</v>
      </c>
      <c r="N236" t="n">
        <v>0</v>
      </c>
    </row>
    <row r="237">
      <c r="A237" t="inlineStr">
        <is>
          <t>oats</t>
        </is>
      </c>
      <c r="B237" t="inlineStr">
        <is>
          <t>meal made for the pottage of the manorial servants for the year, 2 quarters 4 bushels.</t>
        </is>
      </c>
      <c r="C237" t="n">
        <v>0</v>
      </c>
      <c r="D237" t="n">
        <v>0</v>
      </c>
      <c r="E237" t="n">
        <v>0</v>
      </c>
      <c r="F237" t="n">
        <v>0</v>
      </c>
      <c r="G237" t="inlineStr">
        <is>
          <t>meal</t>
        </is>
      </c>
      <c r="H237" t="n">
        <v>2</v>
      </c>
      <c r="I237" t="n">
        <v>4</v>
      </c>
      <c r="J237" t="n">
        <v>2.5</v>
      </c>
      <c r="K237" t="n">
        <v>2.5</v>
      </c>
      <c r="L237" t="n">
        <v>0</v>
      </c>
      <c r="M237" t="n">
        <v>2</v>
      </c>
      <c r="N237" t="n">
        <v>4</v>
      </c>
    </row>
    <row r="238">
      <c r="A238" t="inlineStr">
        <is>
          <t>oats</t>
        </is>
      </c>
      <c r="B238" t="inlineStr">
        <is>
          <t>fodder of the horses of the steward holding the tourns of martinmas and hockday, by 2 sealed bills, 1 quarters 3 bushels sold within, 21 quarters 1 bushels.</t>
        </is>
      </c>
      <c r="C238" t="n">
        <v>0</v>
      </c>
      <c r="D238" t="n">
        <v>0</v>
      </c>
      <c r="E238" t="n">
        <v>0</v>
      </c>
      <c r="F238" t="n">
        <v>0</v>
      </c>
      <c r="H238" t="n">
        <v>21</v>
      </c>
      <c r="I238" t="n">
        <v>1</v>
      </c>
      <c r="J238" t="n">
        <v>21.12</v>
      </c>
      <c r="K238" t="n">
        <v>1.38</v>
      </c>
      <c r="L238" t="n">
        <v>19.75</v>
      </c>
      <c r="M238" t="n">
        <v>1</v>
      </c>
      <c r="N238" t="n">
        <v>3</v>
      </c>
      <c r="O238" t="n">
        <v>21</v>
      </c>
      <c r="P238" t="n">
        <v>1</v>
      </c>
    </row>
    <row r="239">
      <c r="A239" t="inlineStr">
        <is>
          <t>oats</t>
        </is>
      </c>
      <c r="B239" t="inlineStr">
        <is>
          <t>sold at the audit, 3 quarters for 9 shilling.</t>
        </is>
      </c>
      <c r="C239" t="n">
        <v>0.45</v>
      </c>
      <c r="D239" t="n">
        <v>0</v>
      </c>
      <c r="E239" t="n">
        <v>9</v>
      </c>
      <c r="F239" t="n">
        <v>0</v>
      </c>
      <c r="H239" t="n">
        <v>3</v>
      </c>
      <c r="I239" t="n">
        <v>0</v>
      </c>
      <c r="J239" t="n">
        <v>3</v>
      </c>
      <c r="K239" t="n">
        <v>3</v>
      </c>
      <c r="L239" t="n">
        <v>0</v>
      </c>
      <c r="M239" t="n">
        <v>3</v>
      </c>
      <c r="N239" t="n">
        <v>0</v>
      </c>
    </row>
    <row r="240">
      <c r="A240" t="inlineStr">
        <is>
          <t>oats</t>
        </is>
      </c>
      <c r="B240" t="inlineStr">
        <is>
          <t>total as before.</t>
        </is>
      </c>
      <c r="C240" t="n">
        <v>0</v>
      </c>
      <c r="D240" t="n">
        <v>0</v>
      </c>
      <c r="E240" t="n">
        <v>0</v>
      </c>
      <c r="F240" t="n">
        <v>0</v>
      </c>
      <c r="H240" t="n">
        <v>0</v>
      </c>
      <c r="I240" t="n">
        <v>0</v>
      </c>
      <c r="J240" t="n">
        <v>0</v>
      </c>
      <c r="K240" t="n">
        <v>0</v>
      </c>
      <c r="L240" t="n">
        <v>0</v>
      </c>
      <c r="M240" t="n">
        <v>0</v>
      </c>
      <c r="N240" t="n">
        <v>0</v>
      </c>
    </row>
    <row r="241">
      <c r="A241" t="inlineStr">
        <is>
          <t>oats</t>
        </is>
      </c>
      <c r="B241" t="inlineStr">
        <is>
          <t>it balances.</t>
        </is>
      </c>
      <c r="C241" t="n">
        <v>0</v>
      </c>
      <c r="D241" t="n">
        <v>0</v>
      </c>
      <c r="E241" t="n">
        <v>0</v>
      </c>
      <c r="F241" t="n">
        <v>0</v>
      </c>
      <c r="H241" t="n">
        <v>0</v>
      </c>
      <c r="I241" t="n">
        <v>0</v>
      </c>
      <c r="J241" t="n">
        <v>0</v>
      </c>
      <c r="K241" t="n">
        <v>0</v>
      </c>
      <c r="L241" t="n">
        <v>0</v>
      </c>
      <c r="M241" t="n">
        <v>0</v>
      </c>
      <c r="N241" t="n">
        <v>0</v>
      </c>
    </row>
    <row r="242">
      <c r="A242" t="inlineStr">
        <is>
          <t>liveries of the manorial servants</t>
        </is>
      </c>
      <c r="B242" t="inlineStr">
        <is>
          <t>and for 25 quarters of barley received above for the liveries of the manorial servants..</t>
        </is>
      </c>
      <c r="C242" t="n">
        <v>0</v>
      </c>
      <c r="D242" t="n">
        <v>0</v>
      </c>
      <c r="E242" t="n">
        <v>0</v>
      </c>
      <c r="F242" t="n">
        <v>0</v>
      </c>
      <c r="G242" t="inlineStr">
        <is>
          <t>barley</t>
        </is>
      </c>
      <c r="H242" t="n">
        <v>25</v>
      </c>
      <c r="I242" t="n">
        <v>0</v>
      </c>
      <c r="J242" t="n">
        <v>25</v>
      </c>
      <c r="K242" t="n">
        <v>25</v>
      </c>
      <c r="L242" t="n">
        <v>0</v>
      </c>
      <c r="M242" t="n">
        <v>25</v>
      </c>
      <c r="N242" t="n">
        <v>0</v>
      </c>
    </row>
    <row r="243">
      <c r="A243" t="inlineStr">
        <is>
          <t>liveries of the manorial servants</t>
        </is>
      </c>
      <c r="B243" t="inlineStr">
        <is>
          <t>total, 25 quarters.</t>
        </is>
      </c>
      <c r="C243" t="n">
        <v>0</v>
      </c>
      <c r="D243" t="n">
        <v>0</v>
      </c>
      <c r="E243" t="n">
        <v>0</v>
      </c>
      <c r="F243" t="n">
        <v>0</v>
      </c>
      <c r="H243" t="n">
        <v>25</v>
      </c>
      <c r="I243" t="n">
        <v>0</v>
      </c>
      <c r="J243" t="n">
        <v>25</v>
      </c>
      <c r="K243" t="n">
        <v>25</v>
      </c>
      <c r="L243" t="n">
        <v>0</v>
      </c>
      <c r="M243" t="n">
        <v>25</v>
      </c>
      <c r="N243" t="n">
        <v>0</v>
      </c>
    </row>
    <row r="244">
      <c r="A244" t="inlineStr">
        <is>
          <t>liveries of the manorial servants</t>
        </is>
      </c>
      <c r="B244" t="inlineStr">
        <is>
          <t>in liveries of 1 hayward, 1 carter and 2 ploughmen for the year, 20 quarters 6 bushels, each of whom takes a quarter every 10 weeks.</t>
        </is>
      </c>
      <c r="C244" t="n">
        <v>0</v>
      </c>
      <c r="D244" t="n">
        <v>0</v>
      </c>
      <c r="E244" t="n">
        <v>0</v>
      </c>
      <c r="F244" t="n">
        <v>0</v>
      </c>
      <c r="H244" t="n">
        <v>20</v>
      </c>
      <c r="I244" t="n">
        <v>6</v>
      </c>
      <c r="J244" t="n">
        <v>20.75</v>
      </c>
      <c r="K244" t="n">
        <v>20.75</v>
      </c>
      <c r="L244" t="n">
        <v>0</v>
      </c>
      <c r="M244" t="n">
        <v>20</v>
      </c>
      <c r="N244" t="n">
        <v>6</v>
      </c>
    </row>
    <row r="245">
      <c r="A245" t="inlineStr">
        <is>
          <t>liveries of the manorial servants</t>
        </is>
      </c>
      <c r="B245" t="inlineStr">
        <is>
          <t>livery of 1 attendant helping the shepherd of ewes at lambing-time, 1 quarters.</t>
        </is>
      </c>
      <c r="C245" t="n">
        <v>0</v>
      </c>
      <c r="D245" t="n">
        <v>0</v>
      </c>
      <c r="E245" t="n">
        <v>0</v>
      </c>
      <c r="F245" t="n">
        <v>0</v>
      </c>
      <c r="H245" t="n">
        <v>1</v>
      </c>
      <c r="I245" t="n">
        <v>0</v>
      </c>
      <c r="J245" t="n">
        <v>1</v>
      </c>
      <c r="K245" t="n">
        <v>1</v>
      </c>
      <c r="L245" t="n">
        <v>0</v>
      </c>
      <c r="M245" t="n">
        <v>1</v>
      </c>
      <c r="N245" t="n">
        <v>0</v>
      </c>
    </row>
    <row r="246">
      <c r="A246" t="inlineStr">
        <is>
          <t>liveries of the manorial servants</t>
        </is>
      </c>
      <c r="B246" t="inlineStr">
        <is>
          <t>livery of 1 dairymaid for the year, 3 quarters 2 bushels, taking a quarter every 16 weeks..</t>
        </is>
      </c>
      <c r="C246" t="n">
        <v>0</v>
      </c>
      <c r="D246" t="n">
        <v>0</v>
      </c>
      <c r="E246" t="n">
        <v>0</v>
      </c>
      <c r="F246" t="n">
        <v>0</v>
      </c>
      <c r="H246" t="n">
        <v>3</v>
      </c>
      <c r="I246" t="n">
        <v>2</v>
      </c>
      <c r="J246" t="n">
        <v>3.25</v>
      </c>
      <c r="K246" t="n">
        <v>3.25</v>
      </c>
      <c r="L246" t="n">
        <v>0</v>
      </c>
      <c r="M246" t="n">
        <v>3</v>
      </c>
      <c r="N246" t="n">
        <v>2</v>
      </c>
    </row>
    <row r="247">
      <c r="A247" t="inlineStr">
        <is>
          <t>liveries of the manorial servants</t>
        </is>
      </c>
      <c r="B247" t="inlineStr">
        <is>
          <t>total as before.</t>
        </is>
      </c>
      <c r="C247" t="n">
        <v>0</v>
      </c>
      <c r="D247" t="n">
        <v>0</v>
      </c>
      <c r="E247" t="n">
        <v>0</v>
      </c>
      <c r="F247" t="n">
        <v>0</v>
      </c>
      <c r="H247" t="n">
        <v>0</v>
      </c>
      <c r="I247" t="n">
        <v>0</v>
      </c>
      <c r="J247" t="n">
        <v>0</v>
      </c>
      <c r="K247" t="n">
        <v>0</v>
      </c>
      <c r="L247" t="n">
        <v>0</v>
      </c>
      <c r="M247" t="n">
        <v>0</v>
      </c>
      <c r="N247" t="n">
        <v>0</v>
      </c>
    </row>
    <row r="248">
      <c r="A248" t="inlineStr">
        <is>
          <t>liveries of the manorial servants</t>
        </is>
      </c>
      <c r="B248" t="inlineStr">
        <is>
          <t>it balances.</t>
        </is>
      </c>
      <c r="C248" t="n">
        <v>0</v>
      </c>
      <c r="D248" t="n">
        <v>0</v>
      </c>
      <c r="E248" t="n">
        <v>0</v>
      </c>
      <c r="F248" t="n">
        <v>0</v>
      </c>
      <c r="H248" t="n">
        <v>0</v>
      </c>
      <c r="I248" t="n">
        <v>0</v>
      </c>
      <c r="J248" t="n">
        <v>0</v>
      </c>
      <c r="K248" t="n">
        <v>0</v>
      </c>
      <c r="L248" t="n">
        <v>0</v>
      </c>
      <c r="M248" t="n">
        <v>0</v>
      </c>
      <c r="N248" t="n">
        <v>0</v>
      </c>
    </row>
    <row r="249">
      <c r="A249" t="inlineStr">
        <is>
          <t>stock</t>
        </is>
      </c>
      <c r="B249" t="inlineStr">
        <is>
          <t>horses: 3 remain.</t>
        </is>
      </c>
      <c r="C249" t="n">
        <v>0</v>
      </c>
      <c r="D249" t="n">
        <v>0</v>
      </c>
      <c r="E249" t="n">
        <v>0</v>
      </c>
      <c r="F249" t="n">
        <v>0</v>
      </c>
      <c r="H249" t="n">
        <v>0</v>
      </c>
      <c r="I249" t="n">
        <v>0</v>
      </c>
      <c r="J249" t="n">
        <v>0</v>
      </c>
      <c r="K249" t="n">
        <v>0</v>
      </c>
      <c r="L249" t="n">
        <v>0</v>
      </c>
      <c r="M249" t="n">
        <v>0</v>
      </c>
      <c r="N249" t="n">
        <v>0</v>
      </c>
    </row>
    <row r="250">
      <c r="A250" t="inlineStr">
        <is>
          <t>stock</t>
        </is>
      </c>
      <c r="B250" t="inlineStr">
        <is>
          <t>2 bought, 1 of them from the lord's househo1pence.</t>
        </is>
      </c>
      <c r="C250" t="n">
        <v>0</v>
      </c>
      <c r="D250" t="n">
        <v>0</v>
      </c>
      <c r="E250" t="n">
        <v>0</v>
      </c>
      <c r="F250" t="n">
        <v>1</v>
      </c>
      <c r="H250" t="n">
        <v>0</v>
      </c>
      <c r="I250" t="n">
        <v>0</v>
      </c>
      <c r="J250" t="n">
        <v>0</v>
      </c>
      <c r="K250" t="n">
        <v>0</v>
      </c>
      <c r="L250" t="n">
        <v>0</v>
      </c>
      <c r="M250" t="n">
        <v>0</v>
      </c>
      <c r="N250" t="n">
        <v>0</v>
      </c>
    </row>
    <row r="251">
      <c r="A251" t="inlineStr">
        <is>
          <t>stock</t>
        </is>
      </c>
      <c r="B251" t="inlineStr">
        <is>
          <t>total, 5. 2 in murrain.</t>
        </is>
      </c>
      <c r="C251" t="n">
        <v>0</v>
      </c>
      <c r="D251" t="n">
        <v>0</v>
      </c>
      <c r="E251" t="n">
        <v>0</v>
      </c>
      <c r="F251" t="n">
        <v>0</v>
      </c>
      <c r="H251" t="n">
        <v>0</v>
      </c>
      <c r="I251" t="n">
        <v>0</v>
      </c>
      <c r="J251" t="n">
        <v>0</v>
      </c>
      <c r="K251" t="n">
        <v>0</v>
      </c>
      <c r="L251" t="n">
        <v>0</v>
      </c>
      <c r="M251" t="n">
        <v>0</v>
      </c>
      <c r="N251" t="n">
        <v>0</v>
      </c>
    </row>
    <row r="252">
      <c r="A252" t="inlineStr">
        <is>
          <t>stock</t>
        </is>
      </c>
      <c r="B252" t="inlineStr">
        <is>
          <t>3 remain.</t>
        </is>
      </c>
      <c r="C252" t="n">
        <v>0</v>
      </c>
      <c r="D252" t="n">
        <v>0</v>
      </c>
      <c r="E252" t="n">
        <v>0</v>
      </c>
      <c r="F252" t="n">
        <v>0</v>
      </c>
      <c r="H252" t="n">
        <v>0</v>
      </c>
      <c r="I252" t="n">
        <v>0</v>
      </c>
      <c r="J252" t="n">
        <v>0</v>
      </c>
      <c r="K252" t="n">
        <v>0</v>
      </c>
      <c r="L252" t="n">
        <v>0</v>
      </c>
      <c r="M252" t="n">
        <v>0</v>
      </c>
      <c r="N252" t="n">
        <v>0</v>
      </c>
    </row>
    <row r="253">
      <c r="A253" t="inlineStr">
        <is>
          <t>stock</t>
        </is>
      </c>
      <c r="B253" t="inlineStr">
        <is>
          <t>plough-horses: 4 remain.</t>
        </is>
      </c>
      <c r="C253" t="n">
        <v>0</v>
      </c>
      <c r="D253" t="n">
        <v>0</v>
      </c>
      <c r="E253" t="n">
        <v>0</v>
      </c>
      <c r="F253" t="n">
        <v>0</v>
      </c>
      <c r="H253" t="n">
        <v>0</v>
      </c>
      <c r="I253" t="n">
        <v>0</v>
      </c>
      <c r="J253" t="n">
        <v>0</v>
      </c>
      <c r="K253" t="n">
        <v>0</v>
      </c>
      <c r="L253" t="n">
        <v>0</v>
      </c>
      <c r="M253" t="n">
        <v>0</v>
      </c>
      <c r="N253" t="n">
        <v>0</v>
      </c>
    </row>
    <row r="254">
      <c r="A254" t="inlineStr">
        <is>
          <t>stock</t>
        </is>
      </c>
      <c r="B254" t="inlineStr">
        <is>
          <t>total, 4. 4 remain.</t>
        </is>
      </c>
      <c r="C254" t="n">
        <v>0</v>
      </c>
      <c r="D254" t="n">
        <v>0</v>
      </c>
      <c r="E254" t="n">
        <v>0</v>
      </c>
      <c r="F254" t="n">
        <v>0</v>
      </c>
      <c r="H254" t="n">
        <v>0</v>
      </c>
      <c r="I254" t="n">
        <v>0</v>
      </c>
      <c r="J254" t="n">
        <v>0</v>
      </c>
      <c r="K254" t="n">
        <v>0</v>
      </c>
      <c r="L254" t="n">
        <v>0</v>
      </c>
      <c r="M254" t="n">
        <v>0</v>
      </c>
      <c r="N254" t="n">
        <v>0</v>
      </c>
    </row>
    <row r="255">
      <c r="A255" t="inlineStr">
        <is>
          <t>stock</t>
        </is>
      </c>
      <c r="B255" t="inlineStr">
        <is>
          <t>oxen: 18 remain.</t>
        </is>
      </c>
      <c r="C255" t="n">
        <v>0</v>
      </c>
      <c r="D255" t="n">
        <v>0</v>
      </c>
      <c r="E255" t="n">
        <v>0</v>
      </c>
      <c r="F255" t="n">
        <v>0</v>
      </c>
      <c r="H255" t="n">
        <v>0</v>
      </c>
      <c r="I255" t="n">
        <v>0</v>
      </c>
      <c r="J255" t="n">
        <v>0</v>
      </c>
      <c r="K255" t="n">
        <v>0</v>
      </c>
      <c r="L255" t="n">
        <v>0</v>
      </c>
      <c r="M255" t="n">
        <v>0</v>
      </c>
      <c r="N255" t="n">
        <v>0</v>
      </c>
    </row>
    <row r="256">
      <c r="A256" t="inlineStr">
        <is>
          <t>stock</t>
        </is>
      </c>
      <c r="B256" t="inlineStr">
        <is>
          <t>3 bought.</t>
        </is>
      </c>
      <c r="C256" t="n">
        <v>0</v>
      </c>
      <c r="D256" t="n">
        <v>0</v>
      </c>
      <c r="E256" t="n">
        <v>0</v>
      </c>
      <c r="F256" t="n">
        <v>0</v>
      </c>
      <c r="H256" t="n">
        <v>0</v>
      </c>
      <c r="I256" t="n">
        <v>0</v>
      </c>
      <c r="J256" t="n">
        <v>0</v>
      </c>
      <c r="K256" t="n">
        <v>0</v>
      </c>
      <c r="L256" t="n">
        <v>0</v>
      </c>
      <c r="M256" t="n">
        <v>0</v>
      </c>
      <c r="N256" t="n">
        <v>0</v>
      </c>
    </row>
    <row r="257">
      <c r="A257" t="inlineStr">
        <is>
          <t>stock</t>
        </is>
      </c>
      <c r="B257" t="inlineStr">
        <is>
          <t>total, 21. 1 in murrain.</t>
        </is>
      </c>
      <c r="C257" t="n">
        <v>0</v>
      </c>
      <c r="D257" t="n">
        <v>0</v>
      </c>
      <c r="E257" t="n">
        <v>0</v>
      </c>
      <c r="F257" t="n">
        <v>0</v>
      </c>
      <c r="H257" t="n">
        <v>0</v>
      </c>
      <c r="I257" t="n">
        <v>0</v>
      </c>
      <c r="J257" t="n">
        <v>0</v>
      </c>
      <c r="K257" t="n">
        <v>0</v>
      </c>
      <c r="L257" t="n">
        <v>0</v>
      </c>
      <c r="M257" t="n">
        <v>0</v>
      </c>
      <c r="N257" t="n">
        <v>0</v>
      </c>
    </row>
    <row r="258">
      <c r="A258" t="inlineStr">
        <is>
          <t>stock</t>
        </is>
      </c>
      <c r="B258" t="inlineStr">
        <is>
          <t>20 remain, 2 of them kebbs..</t>
        </is>
      </c>
      <c r="C258" t="n">
        <v>0</v>
      </c>
      <c r="D258" t="n">
        <v>0</v>
      </c>
      <c r="E258" t="n">
        <v>0</v>
      </c>
      <c r="F258" t="n">
        <v>0</v>
      </c>
      <c r="H258" t="n">
        <v>0</v>
      </c>
      <c r="I258" t="n">
        <v>0</v>
      </c>
      <c r="J258" t="n">
        <v>0</v>
      </c>
      <c r="K258" t="n">
        <v>0</v>
      </c>
      <c r="L258" t="n">
        <v>0</v>
      </c>
      <c r="M258" t="n">
        <v>0</v>
      </c>
      <c r="N258" t="n">
        <v>0</v>
      </c>
    </row>
    <row r="259">
      <c r="A259" t="inlineStr">
        <is>
          <t>stock</t>
        </is>
      </c>
      <c r="B259" t="inlineStr">
        <is>
          <t>wethers: 502 remain.</t>
        </is>
      </c>
      <c r="C259" t="n">
        <v>0</v>
      </c>
      <c r="D259" t="n">
        <v>0</v>
      </c>
      <c r="E259" t="n">
        <v>0</v>
      </c>
      <c r="F259" t="n">
        <v>0</v>
      </c>
      <c r="H259" t="n">
        <v>0</v>
      </c>
      <c r="I259" t="n">
        <v>0</v>
      </c>
      <c r="J259" t="n">
        <v>0</v>
      </c>
      <c r="K259" t="n">
        <v>0</v>
      </c>
      <c r="L259" t="n">
        <v>0</v>
      </c>
      <c r="M259" t="n">
        <v>0</v>
      </c>
      <c r="N259" t="n">
        <v>0</v>
      </c>
    </row>
    <row r="260">
      <c r="A260" t="inlineStr">
        <is>
          <t>stock</t>
        </is>
      </c>
      <c r="B260" t="inlineStr">
        <is>
          <t>106 added from hoggs.</t>
        </is>
      </c>
      <c r="C260" t="n">
        <v>0</v>
      </c>
      <c r="D260" t="n">
        <v>0</v>
      </c>
      <c r="E260" t="n">
        <v>0</v>
      </c>
      <c r="F260" t="n">
        <v>0</v>
      </c>
      <c r="H260" t="n">
        <v>0</v>
      </c>
      <c r="I260" t="n">
        <v>0</v>
      </c>
      <c r="J260" t="n">
        <v>0</v>
      </c>
      <c r="K260" t="n">
        <v>0</v>
      </c>
      <c r="L260" t="n">
        <v>0</v>
      </c>
      <c r="M260" t="n">
        <v>0</v>
      </c>
      <c r="N260" t="n">
        <v>0</v>
      </c>
    </row>
    <row r="261">
      <c r="A261" t="inlineStr">
        <is>
          <t>stock</t>
        </is>
      </c>
      <c r="B261" t="inlineStr">
        <is>
          <t>1 from strays over a year o1pence.</t>
        </is>
      </c>
      <c r="C261" t="n">
        <v>0</v>
      </c>
      <c r="D261" t="n">
        <v>0</v>
      </c>
      <c r="E261" t="n">
        <v>0</v>
      </c>
      <c r="F261" t="n">
        <v>1</v>
      </c>
      <c r="H261" t="n">
        <v>0</v>
      </c>
      <c r="I261" t="n">
        <v>0</v>
      </c>
      <c r="J261" t="n">
        <v>0</v>
      </c>
      <c r="K261" t="n">
        <v>0</v>
      </c>
      <c r="L261" t="n">
        <v>0</v>
      </c>
      <c r="M261" t="n">
        <v>0</v>
      </c>
      <c r="N261" t="n">
        <v>0</v>
      </c>
    </row>
    <row r="262">
      <c r="A262" t="inlineStr">
        <is>
          <t>stock</t>
        </is>
      </c>
      <c r="B262" t="inlineStr">
        <is>
          <t>total, 609. 14 in murrain before shearing and 7 after shearing.</t>
        </is>
      </c>
      <c r="C262" t="n">
        <v>0</v>
      </c>
      <c r="D262" t="n">
        <v>0</v>
      </c>
      <c r="E262" t="n">
        <v>0</v>
      </c>
      <c r="F262" t="n">
        <v>0</v>
      </c>
      <c r="H262" t="n">
        <v>0</v>
      </c>
      <c r="I262" t="n">
        <v>0</v>
      </c>
      <c r="J262" t="n">
        <v>0</v>
      </c>
      <c r="K262" t="n">
        <v>0</v>
      </c>
      <c r="L262" t="n">
        <v>0</v>
      </c>
      <c r="M262" t="n">
        <v>0</v>
      </c>
      <c r="N262" t="n">
        <v>0</v>
      </c>
    </row>
    <row r="263">
      <c r="A263" t="inlineStr">
        <is>
          <t>stock</t>
        </is>
      </c>
      <c r="B263" t="inlineStr">
        <is>
          <t>68 sold after shearing, 12 of them to the lord's househo1pence.</t>
        </is>
      </c>
      <c r="C263" t="n">
        <v>0</v>
      </c>
      <c r="D263" t="n">
        <v>0</v>
      </c>
      <c r="E263" t="n">
        <v>0</v>
      </c>
      <c r="F263" t="n">
        <v>1</v>
      </c>
      <c r="H263" t="n">
        <v>0</v>
      </c>
      <c r="I263" t="n">
        <v>0</v>
      </c>
      <c r="J263" t="n">
        <v>0</v>
      </c>
      <c r="K263" t="n">
        <v>0</v>
      </c>
      <c r="L263" t="n">
        <v>0</v>
      </c>
      <c r="M263" t="n">
        <v>0</v>
      </c>
      <c r="N263" t="n">
        <v>0</v>
      </c>
    </row>
    <row r="264">
      <c r="A264" t="inlineStr">
        <is>
          <t>stock</t>
        </is>
      </c>
      <c r="B264" t="inlineStr">
        <is>
          <t>total, 89. 520 remain..</t>
        </is>
      </c>
      <c r="C264" t="n">
        <v>0</v>
      </c>
      <c r="D264" t="n">
        <v>0</v>
      </c>
      <c r="E264" t="n">
        <v>0</v>
      </c>
      <c r="F264" t="n">
        <v>0</v>
      </c>
      <c r="H264" t="n">
        <v>0</v>
      </c>
      <c r="I264" t="n">
        <v>0</v>
      </c>
      <c r="J264" t="n">
        <v>0</v>
      </c>
      <c r="K264" t="n">
        <v>0</v>
      </c>
      <c r="L264" t="n">
        <v>0</v>
      </c>
      <c r="M264" t="n">
        <v>0</v>
      </c>
      <c r="N264" t="n">
        <v>0</v>
      </c>
    </row>
    <row r="265">
      <c r="A265" t="inlineStr">
        <is>
          <t>stock</t>
        </is>
      </c>
      <c r="B265" t="inlineStr">
        <is>
          <t>rams: 11 remain.</t>
        </is>
      </c>
      <c r="C265" t="n">
        <v>0</v>
      </c>
      <c r="D265" t="n">
        <v>0</v>
      </c>
      <c r="E265" t="n">
        <v>0</v>
      </c>
      <c r="F265" t="n">
        <v>0</v>
      </c>
      <c r="H265" t="n">
        <v>0</v>
      </c>
      <c r="I265" t="n">
        <v>0</v>
      </c>
      <c r="J265" t="n">
        <v>0</v>
      </c>
      <c r="K265" t="n">
        <v>0</v>
      </c>
      <c r="L265" t="n">
        <v>0</v>
      </c>
      <c r="M265" t="n">
        <v>0</v>
      </c>
      <c r="N265" t="n">
        <v>0</v>
      </c>
    </row>
    <row r="266">
      <c r="A266" t="inlineStr">
        <is>
          <t>stock</t>
        </is>
      </c>
      <c r="B266" t="inlineStr">
        <is>
          <t>6 added from hoggs.</t>
        </is>
      </c>
      <c r="C266" t="n">
        <v>0</v>
      </c>
      <c r="D266" t="n">
        <v>0</v>
      </c>
      <c r="E266" t="n">
        <v>0</v>
      </c>
      <c r="F266" t="n">
        <v>0</v>
      </c>
      <c r="H266" t="n">
        <v>0</v>
      </c>
      <c r="I266" t="n">
        <v>0</v>
      </c>
      <c r="J266" t="n">
        <v>0</v>
      </c>
      <c r="K266" t="n">
        <v>0</v>
      </c>
      <c r="L266" t="n">
        <v>0</v>
      </c>
      <c r="M266" t="n">
        <v>0</v>
      </c>
      <c r="N266" t="n">
        <v>0</v>
      </c>
    </row>
    <row r="267">
      <c r="A267" t="inlineStr">
        <is>
          <t>stock</t>
        </is>
      </c>
      <c r="B267" t="inlineStr">
        <is>
          <t>total, 17. 1 sold after shearing.</t>
        </is>
      </c>
      <c r="C267" t="n">
        <v>0</v>
      </c>
      <c r="D267" t="n">
        <v>0</v>
      </c>
      <c r="E267" t="n">
        <v>0</v>
      </c>
      <c r="F267" t="n">
        <v>0</v>
      </c>
      <c r="H267" t="n">
        <v>0</v>
      </c>
      <c r="I267" t="n">
        <v>0</v>
      </c>
      <c r="J267" t="n">
        <v>0</v>
      </c>
      <c r="K267" t="n">
        <v>0</v>
      </c>
      <c r="L267" t="n">
        <v>0</v>
      </c>
      <c r="M267" t="n">
        <v>0</v>
      </c>
      <c r="N267" t="n">
        <v>0</v>
      </c>
    </row>
    <row r="268">
      <c r="A268" t="inlineStr">
        <is>
          <t>stock</t>
        </is>
      </c>
      <c r="B268" t="inlineStr">
        <is>
          <t>16 remain..</t>
        </is>
      </c>
      <c r="C268" t="n">
        <v>0</v>
      </c>
      <c r="D268" t="n">
        <v>0</v>
      </c>
      <c r="E268" t="n">
        <v>0</v>
      </c>
      <c r="F268" t="n">
        <v>0</v>
      </c>
      <c r="H268" t="n">
        <v>0</v>
      </c>
      <c r="I268" t="n">
        <v>0</v>
      </c>
      <c r="J268" t="n">
        <v>0</v>
      </c>
      <c r="K268" t="n">
        <v>0</v>
      </c>
      <c r="L268" t="n">
        <v>0</v>
      </c>
      <c r="M268" t="n">
        <v>0</v>
      </c>
      <c r="N268" t="n">
        <v>0</v>
      </c>
    </row>
    <row r="269">
      <c r="A269" t="inlineStr">
        <is>
          <t>stock</t>
        </is>
      </c>
      <c r="B269" t="inlineStr">
        <is>
          <t>ewes: 385 remain.</t>
        </is>
      </c>
      <c r="C269" t="n">
        <v>0</v>
      </c>
      <c r="D269" t="n">
        <v>0</v>
      </c>
      <c r="E269" t="n">
        <v>0</v>
      </c>
      <c r="F269" t="n">
        <v>0</v>
      </c>
      <c r="H269" t="n">
        <v>0</v>
      </c>
      <c r="I269" t="n">
        <v>0</v>
      </c>
      <c r="J269" t="n">
        <v>0</v>
      </c>
      <c r="K269" t="n">
        <v>0</v>
      </c>
      <c r="L269" t="n">
        <v>0</v>
      </c>
      <c r="M269" t="n">
        <v>0</v>
      </c>
      <c r="N269" t="n">
        <v>0</v>
      </c>
    </row>
    <row r="270">
      <c r="A270" t="inlineStr">
        <is>
          <t>stock</t>
        </is>
      </c>
      <c r="B270" t="inlineStr">
        <is>
          <t>87 added from hoggs.</t>
        </is>
      </c>
      <c r="C270" t="n">
        <v>0</v>
      </c>
      <c r="D270" t="n">
        <v>0</v>
      </c>
      <c r="E270" t="n">
        <v>0</v>
      </c>
      <c r="F270" t="n">
        <v>0</v>
      </c>
      <c r="H270" t="n">
        <v>0</v>
      </c>
      <c r="I270" t="n">
        <v>0</v>
      </c>
      <c r="J270" t="n">
        <v>0</v>
      </c>
      <c r="K270" t="n">
        <v>0</v>
      </c>
      <c r="L270" t="n">
        <v>0</v>
      </c>
      <c r="M270" t="n">
        <v>0</v>
      </c>
      <c r="N270" t="n">
        <v>0</v>
      </c>
    </row>
    <row r="271">
      <c r="A271" t="inlineStr">
        <is>
          <t>stock</t>
        </is>
      </c>
      <c r="B271" t="inlineStr">
        <is>
          <t>1 from strays over a year o1pence.</t>
        </is>
      </c>
      <c r="C271" t="n">
        <v>0</v>
      </c>
      <c r="D271" t="n">
        <v>0</v>
      </c>
      <c r="E271" t="n">
        <v>0</v>
      </c>
      <c r="F271" t="n">
        <v>1</v>
      </c>
      <c r="H271" t="n">
        <v>0</v>
      </c>
      <c r="I271" t="n">
        <v>0</v>
      </c>
      <c r="J271" t="n">
        <v>0</v>
      </c>
      <c r="K271" t="n">
        <v>0</v>
      </c>
      <c r="L271" t="n">
        <v>0</v>
      </c>
      <c r="M271" t="n">
        <v>0</v>
      </c>
      <c r="N271" t="n">
        <v>0</v>
      </c>
    </row>
    <row r="272">
      <c r="A272" t="inlineStr">
        <is>
          <t>stock</t>
        </is>
      </c>
      <c r="B272" t="inlineStr">
        <is>
          <t>total, 473. 9 in murrain, 4 of them before lambing.</t>
        </is>
      </c>
      <c r="C272" t="n">
        <v>0</v>
      </c>
      <c r="D272" t="n">
        <v>0</v>
      </c>
      <c r="E272" t="n">
        <v>0</v>
      </c>
      <c r="F272" t="n">
        <v>0</v>
      </c>
      <c r="H272" t="n">
        <v>0</v>
      </c>
      <c r="I272" t="n">
        <v>0</v>
      </c>
      <c r="J272" t="n">
        <v>0</v>
      </c>
      <c r="K272" t="n">
        <v>0</v>
      </c>
      <c r="L272" t="n">
        <v>0</v>
      </c>
      <c r="M272" t="n">
        <v>0</v>
      </c>
      <c r="N272" t="n">
        <v>0</v>
      </c>
    </row>
    <row r="273">
      <c r="A273" t="inlineStr">
        <is>
          <t>stock</t>
        </is>
      </c>
      <c r="B273" t="inlineStr">
        <is>
          <t>3 in murrain after shearing.</t>
        </is>
      </c>
      <c r="C273" t="n">
        <v>0</v>
      </c>
      <c r="D273" t="n">
        <v>0</v>
      </c>
      <c r="E273" t="n">
        <v>0</v>
      </c>
      <c r="F273" t="n">
        <v>0</v>
      </c>
      <c r="H273" t="n">
        <v>0</v>
      </c>
      <c r="I273" t="n">
        <v>0</v>
      </c>
      <c r="J273" t="n">
        <v>0</v>
      </c>
      <c r="K273" t="n">
        <v>0</v>
      </c>
      <c r="L273" t="n">
        <v>0</v>
      </c>
      <c r="M273" t="n">
        <v>0</v>
      </c>
      <c r="N273" t="n">
        <v>0</v>
      </c>
    </row>
    <row r="274">
      <c r="A274" t="inlineStr">
        <is>
          <t>stock</t>
        </is>
      </c>
      <c r="B274" t="inlineStr">
        <is>
          <t>65 sold after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77. 396 remain.</t>
        </is>
      </c>
      <c r="C275" t="n">
        <v>0</v>
      </c>
      <c r="D275" t="n">
        <v>0</v>
      </c>
      <c r="E275" t="n">
        <v>0</v>
      </c>
      <c r="F275" t="n">
        <v>0</v>
      </c>
      <c r="H275" t="n">
        <v>0</v>
      </c>
      <c r="I275" t="n">
        <v>0</v>
      </c>
      <c r="J275" t="n">
        <v>0</v>
      </c>
      <c r="K275" t="n">
        <v>0</v>
      </c>
      <c r="L275" t="n">
        <v>0</v>
      </c>
      <c r="M275" t="n">
        <v>0</v>
      </c>
      <c r="N275" t="n">
        <v>0</v>
      </c>
    </row>
    <row r="276">
      <c r="A276" t="inlineStr">
        <is>
          <t>stock</t>
        </is>
      </c>
      <c r="B276" t="inlineStr">
        <is>
          <t>hoggs: 311 remain from the lambs.</t>
        </is>
      </c>
      <c r="C276" t="n">
        <v>0</v>
      </c>
      <c r="D276" t="n">
        <v>0</v>
      </c>
      <c r="E276" t="n">
        <v>0</v>
      </c>
      <c r="F276" t="n">
        <v>0</v>
      </c>
      <c r="H276" t="n">
        <v>0</v>
      </c>
      <c r="I276" t="n">
        <v>0</v>
      </c>
      <c r="J276" t="n">
        <v>0</v>
      </c>
      <c r="K276" t="n">
        <v>0</v>
      </c>
      <c r="L276" t="n">
        <v>0</v>
      </c>
      <c r="M276" t="n">
        <v>0</v>
      </c>
      <c r="N276" t="n">
        <v>0</v>
      </c>
    </row>
    <row r="277">
      <c r="A277" t="inlineStr">
        <is>
          <t>stock</t>
        </is>
      </c>
      <c r="B277" t="inlineStr">
        <is>
          <t>total, 311. 12 in murrain before shearing.</t>
        </is>
      </c>
      <c r="C277" t="n">
        <v>0</v>
      </c>
      <c r="D277" t="n">
        <v>0</v>
      </c>
      <c r="E277" t="n">
        <v>0</v>
      </c>
      <c r="F277" t="n">
        <v>0</v>
      </c>
      <c r="H277" t="n">
        <v>0</v>
      </c>
      <c r="I277" t="n">
        <v>0</v>
      </c>
      <c r="J277" t="n">
        <v>0</v>
      </c>
      <c r="K277" t="n">
        <v>0</v>
      </c>
      <c r="L277" t="n">
        <v>0</v>
      </c>
      <c r="M277" t="n">
        <v>0</v>
      </c>
      <c r="N277" t="n">
        <v>0</v>
      </c>
    </row>
    <row r="278">
      <c r="A278" t="inlineStr">
        <is>
          <t>stock</t>
        </is>
      </c>
      <c r="B278" t="inlineStr">
        <is>
          <t>106 added above to wethers, 6 to rams and 87 to ewes.</t>
        </is>
      </c>
      <c r="C278" t="n">
        <v>0</v>
      </c>
      <c r="D278" t="n">
        <v>0</v>
      </c>
      <c r="E278" t="n">
        <v>0</v>
      </c>
      <c r="F278" t="n">
        <v>0</v>
      </c>
      <c r="H278" t="n">
        <v>0</v>
      </c>
      <c r="I278" t="n">
        <v>0</v>
      </c>
      <c r="J278" t="n">
        <v>0</v>
      </c>
      <c r="K278" t="n">
        <v>0</v>
      </c>
      <c r="L278" t="n">
        <v>0</v>
      </c>
      <c r="M278" t="n">
        <v>0</v>
      </c>
      <c r="N278" t="n">
        <v>0</v>
      </c>
    </row>
    <row r="279">
      <c r="A279" t="inlineStr">
        <is>
          <t>stock</t>
        </is>
      </c>
      <c r="B279" t="inlineStr">
        <is>
          <t>100 sold before shearing to the sergeant of waltham st lawrence.</t>
        </is>
      </c>
      <c r="C279" t="n">
        <v>0</v>
      </c>
      <c r="D279" t="n">
        <v>0</v>
      </c>
      <c r="E279" t="n">
        <v>0</v>
      </c>
      <c r="F279" t="n">
        <v>0</v>
      </c>
      <c r="H279" t="n">
        <v>0</v>
      </c>
      <c r="I279" t="n">
        <v>0</v>
      </c>
      <c r="J279" t="n">
        <v>0</v>
      </c>
      <c r="K279" t="n">
        <v>0</v>
      </c>
      <c r="L279" t="n">
        <v>0</v>
      </c>
      <c r="M279" t="n">
        <v>0</v>
      </c>
      <c r="N279" t="n">
        <v>0</v>
      </c>
    </row>
    <row r="280">
      <c r="A280" t="inlineStr">
        <is>
          <t>stock</t>
        </is>
      </c>
      <c r="B280" t="inlineStr">
        <is>
          <t>total as before.</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lambs: 351 from the offspring of the said ewes and not more because 4 ewes died before lambing and 30 were sterile this year.</t>
        </is>
      </c>
      <c r="C282" t="n">
        <v>0</v>
      </c>
      <c r="D282" t="n">
        <v>0</v>
      </c>
      <c r="E282" t="n">
        <v>0</v>
      </c>
      <c r="F282" t="n">
        <v>0</v>
      </c>
      <c r="H282" t="n">
        <v>0</v>
      </c>
      <c r="I282" t="n">
        <v>0</v>
      </c>
      <c r="J282" t="n">
        <v>0</v>
      </c>
      <c r="K282" t="n">
        <v>0</v>
      </c>
      <c r="L282" t="n">
        <v>0</v>
      </c>
      <c r="M282" t="n">
        <v>0</v>
      </c>
      <c r="N282" t="n">
        <v>0</v>
      </c>
    </row>
    <row r="283">
      <c r="A283" t="inlineStr">
        <is>
          <t>stock</t>
        </is>
      </c>
      <c r="B283" t="inlineStr">
        <is>
          <t>51 bought before shearing.</t>
        </is>
      </c>
      <c r="C283" t="n">
        <v>0</v>
      </c>
      <c r="D283" t="n">
        <v>0</v>
      </c>
      <c r="E283" t="n">
        <v>0</v>
      </c>
      <c r="F283" t="n">
        <v>0</v>
      </c>
      <c r="H283" t="n">
        <v>0</v>
      </c>
      <c r="I283" t="n">
        <v>0</v>
      </c>
      <c r="J283" t="n">
        <v>0</v>
      </c>
      <c r="K283" t="n">
        <v>0</v>
      </c>
      <c r="L283" t="n">
        <v>0</v>
      </c>
      <c r="M283" t="n">
        <v>0</v>
      </c>
      <c r="N283" t="n">
        <v>0</v>
      </c>
    </row>
    <row r="284">
      <c r="A284" t="inlineStr">
        <is>
          <t>stock</t>
        </is>
      </c>
      <c r="B284" t="inlineStr">
        <is>
          <t>total, 402. 41 in murrain before weaning.</t>
        </is>
      </c>
      <c r="C284" t="n">
        <v>0</v>
      </c>
      <c r="D284" t="n">
        <v>0</v>
      </c>
      <c r="E284" t="n">
        <v>0</v>
      </c>
      <c r="F284" t="n">
        <v>0</v>
      </c>
      <c r="H284" t="n">
        <v>0</v>
      </c>
      <c r="I284" t="n">
        <v>0</v>
      </c>
      <c r="J284" t="n">
        <v>0</v>
      </c>
      <c r="K284" t="n">
        <v>0</v>
      </c>
      <c r="L284" t="n">
        <v>0</v>
      </c>
      <c r="M284" t="n">
        <v>0</v>
      </c>
      <c r="N284" t="n">
        <v>0</v>
      </c>
    </row>
    <row r="285">
      <c r="A285" t="inlineStr">
        <is>
          <t>stock</t>
        </is>
      </c>
      <c r="B285" t="inlineStr">
        <is>
          <t>31 in tithe.</t>
        </is>
      </c>
      <c r="C285" t="n">
        <v>0</v>
      </c>
      <c r="D285" t="n">
        <v>0</v>
      </c>
      <c r="E285" t="n">
        <v>0</v>
      </c>
      <c r="F285" t="n">
        <v>0</v>
      </c>
      <c r="H285" t="n">
        <v>0</v>
      </c>
      <c r="I285" t="n">
        <v>0</v>
      </c>
      <c r="J285" t="n">
        <v>0</v>
      </c>
      <c r="K285" t="n">
        <v>0</v>
      </c>
      <c r="L285" t="n">
        <v>0</v>
      </c>
      <c r="M285" t="n">
        <v>0</v>
      </c>
      <c r="N285" t="n">
        <v>0</v>
      </c>
    </row>
    <row r="286">
      <c r="A286" t="inlineStr">
        <is>
          <t>stock</t>
        </is>
      </c>
      <c r="B286" t="inlineStr">
        <is>
          <t>4 in customary payment to the reeve, smith, shepherd of wethers and shepherd of ewes before shearing.</t>
        </is>
      </c>
      <c r="C286" t="n">
        <v>0</v>
      </c>
      <c r="D286" t="n">
        <v>0</v>
      </c>
      <c r="E286" t="n">
        <v>0</v>
      </c>
      <c r="F286" t="n">
        <v>0</v>
      </c>
      <c r="H286" t="n">
        <v>0</v>
      </c>
      <c r="I286" t="n">
        <v>0</v>
      </c>
      <c r="J286" t="n">
        <v>0</v>
      </c>
      <c r="K286" t="n">
        <v>0</v>
      </c>
      <c r="L286" t="n">
        <v>0</v>
      </c>
      <c r="M286" t="n">
        <v>0</v>
      </c>
      <c r="N286" t="n">
        <v>0</v>
      </c>
    </row>
    <row r="287">
      <c r="A287" t="inlineStr">
        <is>
          <t>stock</t>
        </is>
      </c>
      <c r="B287" t="inlineStr">
        <is>
          <t>14 removed from stock and sold before shearing.</t>
        </is>
      </c>
      <c r="C287" t="n">
        <v>0</v>
      </c>
      <c r="D287" t="n">
        <v>0</v>
      </c>
      <c r="E287" t="n">
        <v>0</v>
      </c>
      <c r="F287" t="n">
        <v>0</v>
      </c>
      <c r="H287" t="n">
        <v>0</v>
      </c>
      <c r="I287" t="n">
        <v>0</v>
      </c>
      <c r="J287" t="n">
        <v>0</v>
      </c>
      <c r="K287" t="n">
        <v>0</v>
      </c>
      <c r="L287" t="n">
        <v>0</v>
      </c>
      <c r="M287" t="n">
        <v>0</v>
      </c>
      <c r="N287" t="n">
        <v>0</v>
      </c>
    </row>
    <row r="288">
      <c r="A288" t="inlineStr">
        <is>
          <t>stock</t>
        </is>
      </c>
      <c r="B288" t="inlineStr">
        <is>
          <t>5 in murrain after weaning and before shearing and 20 after shearing.</t>
        </is>
      </c>
      <c r="C288" t="n">
        <v>0</v>
      </c>
      <c r="D288" t="n">
        <v>0</v>
      </c>
      <c r="E288" t="n">
        <v>0</v>
      </c>
      <c r="F288" t="n">
        <v>0</v>
      </c>
      <c r="H288" t="n">
        <v>0</v>
      </c>
      <c r="I288" t="n">
        <v>0</v>
      </c>
      <c r="J288" t="n">
        <v>0</v>
      </c>
      <c r="K288" t="n">
        <v>0</v>
      </c>
      <c r="L288" t="n">
        <v>0</v>
      </c>
      <c r="M288" t="n">
        <v>0</v>
      </c>
      <c r="N288" t="n">
        <v>0</v>
      </c>
    </row>
    <row r="289">
      <c r="A289" t="inlineStr">
        <is>
          <t>stock</t>
        </is>
      </c>
      <c r="B289" t="inlineStr">
        <is>
          <t>total, 115. 287 remain.</t>
        </is>
      </c>
      <c r="C289" t="n">
        <v>0</v>
      </c>
      <c r="D289" t="n">
        <v>0</v>
      </c>
      <c r="E289" t="n">
        <v>0</v>
      </c>
      <c r="F289" t="n">
        <v>0</v>
      </c>
      <c r="H289" t="n">
        <v>0</v>
      </c>
      <c r="I289" t="n">
        <v>0</v>
      </c>
      <c r="J289" t="n">
        <v>0</v>
      </c>
      <c r="K289" t="n">
        <v>0</v>
      </c>
      <c r="L289" t="n">
        <v>0</v>
      </c>
      <c r="M289" t="n">
        <v>0</v>
      </c>
      <c r="N289" t="n">
        <v>0</v>
      </c>
    </row>
    <row r="290">
      <c r="A290" t="inlineStr">
        <is>
          <t>stock</t>
        </is>
      </c>
      <c r="B290" t="inlineStr">
        <is>
          <t>sows: 1 remains.</t>
        </is>
      </c>
      <c r="C290" t="n">
        <v>0</v>
      </c>
      <c r="D290" t="n">
        <v>0</v>
      </c>
      <c r="E290" t="n">
        <v>0</v>
      </c>
      <c r="F290" t="n">
        <v>0</v>
      </c>
      <c r="H290" t="n">
        <v>0</v>
      </c>
      <c r="I290" t="n">
        <v>0</v>
      </c>
      <c r="J290" t="n">
        <v>0</v>
      </c>
      <c r="K290" t="n">
        <v>0</v>
      </c>
      <c r="L290" t="n">
        <v>0</v>
      </c>
      <c r="M290" t="n">
        <v>0</v>
      </c>
      <c r="N290" t="n">
        <v>0</v>
      </c>
    </row>
    <row r="291">
      <c r="A291" t="inlineStr">
        <is>
          <t>stock</t>
        </is>
      </c>
      <c r="B291" t="inlineStr">
        <is>
          <t>piglets: nothing of the piglets from the offspring of the same sow here because at farm in the cash account within.</t>
        </is>
      </c>
      <c r="C291" t="n">
        <v>0</v>
      </c>
      <c r="D291" t="n">
        <v>0</v>
      </c>
      <c r="E291" t="n">
        <v>0</v>
      </c>
      <c r="F291" t="n">
        <v>0</v>
      </c>
      <c r="H291" t="n">
        <v>0</v>
      </c>
      <c r="I291" t="n">
        <v>0</v>
      </c>
      <c r="J291" t="n">
        <v>0</v>
      </c>
      <c r="K291" t="n">
        <v>0</v>
      </c>
      <c r="L291" t="n">
        <v>0</v>
      </c>
      <c r="M291" t="n">
        <v>0</v>
      </c>
      <c r="N291" t="n">
        <v>0</v>
      </c>
    </row>
    <row r="292">
      <c r="A292" t="inlineStr">
        <is>
          <t>stock</t>
        </is>
      </c>
      <c r="B292" t="inlineStr">
        <is>
          <t>geese: 1 gander and 4 breeding geese remain.</t>
        </is>
      </c>
      <c r="C292" t="n">
        <v>0</v>
      </c>
      <c r="D292" t="n">
        <v>0</v>
      </c>
      <c r="E292" t="n">
        <v>0</v>
      </c>
      <c r="F292" t="n">
        <v>0</v>
      </c>
      <c r="H292" t="n">
        <v>0</v>
      </c>
      <c r="I292" t="n">
        <v>0</v>
      </c>
      <c r="J292" t="n">
        <v>0</v>
      </c>
      <c r="K292" t="n">
        <v>0</v>
      </c>
      <c r="L292" t="n">
        <v>0</v>
      </c>
      <c r="M292" t="n">
        <v>0</v>
      </c>
      <c r="N292" t="n">
        <v>0</v>
      </c>
    </row>
    <row r="293">
      <c r="A293" t="inlineStr">
        <is>
          <t>stock</t>
        </is>
      </c>
      <c r="B293" t="inlineStr">
        <is>
          <t>24 offspring.</t>
        </is>
      </c>
      <c r="C293" t="n">
        <v>0</v>
      </c>
      <c r="D293" t="n">
        <v>0</v>
      </c>
      <c r="E293" t="n">
        <v>0</v>
      </c>
      <c r="F293" t="n">
        <v>0</v>
      </c>
      <c r="H293" t="n">
        <v>0</v>
      </c>
      <c r="I293" t="n">
        <v>0</v>
      </c>
      <c r="J293" t="n">
        <v>0</v>
      </c>
      <c r="K293" t="n">
        <v>0</v>
      </c>
      <c r="L293" t="n">
        <v>0</v>
      </c>
      <c r="M293" t="n">
        <v>0</v>
      </c>
      <c r="N293" t="n">
        <v>0</v>
      </c>
    </row>
    <row r="294">
      <c r="A294" t="inlineStr">
        <is>
          <t>stock</t>
        </is>
      </c>
      <c r="B294" t="inlineStr">
        <is>
          <t>total, 29. 2 in tithe.</t>
        </is>
      </c>
      <c r="C294" t="n">
        <v>0</v>
      </c>
      <c r="D294" t="n">
        <v>0</v>
      </c>
      <c r="E294" t="n">
        <v>0</v>
      </c>
      <c r="F294" t="n">
        <v>0</v>
      </c>
      <c r="H294" t="n">
        <v>0</v>
      </c>
      <c r="I294" t="n">
        <v>0</v>
      </c>
      <c r="J294" t="n">
        <v>0</v>
      </c>
      <c r="K294" t="n">
        <v>0</v>
      </c>
      <c r="L294" t="n">
        <v>0</v>
      </c>
      <c r="M294" t="n">
        <v>0</v>
      </c>
      <c r="N294" t="n">
        <v>0</v>
      </c>
    </row>
    <row r="295">
      <c r="A295" t="inlineStr">
        <is>
          <t>stock</t>
        </is>
      </c>
      <c r="B295" t="inlineStr">
        <is>
          <t>22 sold within.</t>
        </is>
      </c>
      <c r="C295" t="n">
        <v>0</v>
      </c>
      <c r="D295" t="n">
        <v>0</v>
      </c>
      <c r="E295" t="n">
        <v>0</v>
      </c>
      <c r="F295" t="n">
        <v>0</v>
      </c>
      <c r="H295" t="n">
        <v>0</v>
      </c>
      <c r="I295" t="n">
        <v>0</v>
      </c>
      <c r="J295" t="n">
        <v>0</v>
      </c>
      <c r="K295" t="n">
        <v>0</v>
      </c>
      <c r="L295" t="n">
        <v>0</v>
      </c>
      <c r="M295" t="n">
        <v>0</v>
      </c>
      <c r="N295" t="n">
        <v>0</v>
      </c>
    </row>
    <row r="296">
      <c r="A296" t="inlineStr">
        <is>
          <t>stock</t>
        </is>
      </c>
      <c r="B296" t="inlineStr">
        <is>
          <t>1 gander and 4 breeding geese remain.</t>
        </is>
      </c>
      <c r="C296" t="n">
        <v>0</v>
      </c>
      <c r="D296" t="n">
        <v>0</v>
      </c>
      <c r="E296" t="n">
        <v>0</v>
      </c>
      <c r="F296" t="n">
        <v>0</v>
      </c>
      <c r="H296" t="n">
        <v>0</v>
      </c>
      <c r="I296" t="n">
        <v>0</v>
      </c>
      <c r="J296" t="n">
        <v>0</v>
      </c>
      <c r="K296" t="n">
        <v>0</v>
      </c>
      <c r="L296" t="n">
        <v>0</v>
      </c>
      <c r="M296" t="n">
        <v>0</v>
      </c>
      <c r="N296" t="n">
        <v>0</v>
      </c>
    </row>
    <row r="297">
      <c r="A297" t="inlineStr">
        <is>
          <t>stock</t>
        </is>
      </c>
      <c r="B297" t="inlineStr">
        <is>
          <t>capons: 24 remain.</t>
        </is>
      </c>
      <c r="C297" t="n">
        <v>0</v>
      </c>
      <c r="D297" t="n">
        <v>0</v>
      </c>
      <c r="E297" t="n">
        <v>0</v>
      </c>
      <c r="F297" t="n">
        <v>0</v>
      </c>
      <c r="H297" t="n">
        <v>0</v>
      </c>
      <c r="I297" t="n">
        <v>0</v>
      </c>
      <c r="J297" t="n">
        <v>0</v>
      </c>
      <c r="K297" t="n">
        <v>0</v>
      </c>
      <c r="L297" t="n">
        <v>0</v>
      </c>
      <c r="M297" t="n">
        <v>0</v>
      </c>
      <c r="N297" t="n">
        <v>0</v>
      </c>
    </row>
    <row r="298">
      <c r="A298" t="inlineStr">
        <is>
          <t>stock</t>
        </is>
      </c>
      <c r="B298" t="inlineStr">
        <is>
          <t>24 made from the chickens below.</t>
        </is>
      </c>
      <c r="C298" t="n">
        <v>0</v>
      </c>
      <c r="D298" t="n">
        <v>0</v>
      </c>
      <c r="E298" t="n">
        <v>0</v>
      </c>
      <c r="F298" t="n">
        <v>0</v>
      </c>
      <c r="H298" t="n">
        <v>0</v>
      </c>
      <c r="I298" t="n">
        <v>0</v>
      </c>
      <c r="J298" t="n">
        <v>0</v>
      </c>
      <c r="K298" t="n">
        <v>0</v>
      </c>
      <c r="L298" t="n">
        <v>0</v>
      </c>
      <c r="M298" t="n">
        <v>0</v>
      </c>
      <c r="N298" t="n">
        <v>0</v>
      </c>
    </row>
    <row r="299">
      <c r="A299" t="inlineStr">
        <is>
          <t>stock</t>
        </is>
      </c>
      <c r="B299" t="inlineStr">
        <is>
          <t>total, 48. 24 sold within.</t>
        </is>
      </c>
      <c r="C299" t="n">
        <v>0</v>
      </c>
      <c r="D299" t="n">
        <v>0</v>
      </c>
      <c r="E299" t="n">
        <v>0</v>
      </c>
      <c r="F299" t="n">
        <v>0</v>
      </c>
      <c r="H299" t="n">
        <v>0</v>
      </c>
      <c r="I299" t="n">
        <v>0</v>
      </c>
      <c r="J299" t="n">
        <v>0</v>
      </c>
      <c r="K299" t="n">
        <v>0</v>
      </c>
      <c r="L299" t="n">
        <v>0</v>
      </c>
      <c r="M299" t="n">
        <v>0</v>
      </c>
      <c r="N299" t="n">
        <v>0</v>
      </c>
    </row>
    <row r="300">
      <c r="A300" t="inlineStr">
        <is>
          <t>stock</t>
        </is>
      </c>
      <c r="B300" t="inlineStr">
        <is>
          <t>24 remain.</t>
        </is>
      </c>
      <c r="C300" t="n">
        <v>0</v>
      </c>
      <c r="D300" t="n">
        <v>0</v>
      </c>
      <c r="E300" t="n">
        <v>0</v>
      </c>
      <c r="F300" t="n">
        <v>0</v>
      </c>
      <c r="H300" t="n">
        <v>0</v>
      </c>
      <c r="I300" t="n">
        <v>0</v>
      </c>
      <c r="J300" t="n">
        <v>0</v>
      </c>
      <c r="K300" t="n">
        <v>0</v>
      </c>
      <c r="L300" t="n">
        <v>0</v>
      </c>
      <c r="M300" t="n">
        <v>0</v>
      </c>
      <c r="N300" t="n">
        <v>0</v>
      </c>
    </row>
    <row r="301">
      <c r="A301" t="inlineStr">
        <is>
          <t>stock</t>
        </is>
      </c>
      <c r="B301" t="inlineStr">
        <is>
          <t>cocks and hens: 1 cock and 5 hens remain.</t>
        </is>
      </c>
      <c r="C301" t="n">
        <v>0</v>
      </c>
      <c r="D301" t="n">
        <v>0</v>
      </c>
      <c r="E301" t="n">
        <v>0</v>
      </c>
      <c r="F301" t="n">
        <v>0</v>
      </c>
      <c r="H301" t="n">
        <v>0</v>
      </c>
      <c r="I301" t="n">
        <v>0</v>
      </c>
      <c r="J301" t="n">
        <v>0</v>
      </c>
      <c r="K301" t="n">
        <v>0</v>
      </c>
      <c r="L301" t="n">
        <v>0</v>
      </c>
      <c r="M301" t="n">
        <v>0</v>
      </c>
      <c r="N301" t="n">
        <v>0</v>
      </c>
    </row>
    <row r="302">
      <c r="A302" t="inlineStr">
        <is>
          <t>stock</t>
        </is>
      </c>
      <c r="B302" t="inlineStr">
        <is>
          <t>125 from churchscot at martinmas.</t>
        </is>
      </c>
      <c r="C302" t="n">
        <v>0</v>
      </c>
      <c r="D302" t="n">
        <v>0</v>
      </c>
      <c r="E302" t="n">
        <v>0</v>
      </c>
      <c r="F302" t="n">
        <v>0</v>
      </c>
      <c r="H302" t="n">
        <v>0</v>
      </c>
      <c r="I302" t="n">
        <v>0</v>
      </c>
      <c r="J302" t="n">
        <v>0</v>
      </c>
      <c r="K302" t="n">
        <v>0</v>
      </c>
      <c r="L302" t="n">
        <v>0</v>
      </c>
      <c r="M302" t="n">
        <v>0</v>
      </c>
      <c r="N302" t="n">
        <v>0</v>
      </c>
    </row>
    <row r="303">
      <c r="A303" t="inlineStr">
        <is>
          <t>stock</t>
        </is>
      </c>
      <c r="B303" t="inlineStr">
        <is>
          <t>total, 131.4 in default of the land of le strong' drawn into demesne for the year.</t>
        </is>
      </c>
      <c r="C303" t="n">
        <v>0</v>
      </c>
      <c r="D303" t="n">
        <v>0</v>
      </c>
      <c r="E303" t="n">
        <v>0</v>
      </c>
      <c r="F303" t="n">
        <v>0</v>
      </c>
      <c r="H303" t="n">
        <v>0</v>
      </c>
      <c r="I303" t="n">
        <v>0</v>
      </c>
      <c r="J303" t="n">
        <v>0</v>
      </c>
      <c r="K303" t="n">
        <v>0</v>
      </c>
      <c r="L303" t="n">
        <v>0</v>
      </c>
      <c r="M303" t="n">
        <v>0</v>
      </c>
      <c r="N303" t="n">
        <v>0</v>
      </c>
    </row>
    <row r="304">
      <c r="A304" t="inlineStr">
        <is>
          <t>stock</t>
        </is>
      </c>
      <c r="B304" t="inlineStr">
        <is>
          <t>4 for the land of william de cur' for the same.</t>
        </is>
      </c>
      <c r="C304" t="n">
        <v>0</v>
      </c>
      <c r="D304" t="n">
        <v>0</v>
      </c>
      <c r="E304" t="n">
        <v>0</v>
      </c>
      <c r="F304" t="n">
        <v>0</v>
      </c>
      <c r="H304" t="n">
        <v>0</v>
      </c>
      <c r="I304" t="n">
        <v>0</v>
      </c>
      <c r="J304" t="n">
        <v>0</v>
      </c>
      <c r="K304" t="n">
        <v>0</v>
      </c>
      <c r="L304" t="n">
        <v>0</v>
      </c>
      <c r="M304" t="n">
        <v>0</v>
      </c>
      <c r="N304" t="n">
        <v>0</v>
      </c>
    </row>
    <row r="305">
      <c r="A305" t="inlineStr">
        <is>
          <t>stock</t>
        </is>
      </c>
      <c r="B305" t="inlineStr">
        <is>
          <t>4 for the land of robert de cruce for the same.</t>
        </is>
      </c>
      <c r="C305" t="n">
        <v>0</v>
      </c>
      <c r="D305" t="n">
        <v>0</v>
      </c>
      <c r="E305" t="n">
        <v>0</v>
      </c>
      <c r="F305" t="n">
        <v>0</v>
      </c>
      <c r="H305" t="n">
        <v>0</v>
      </c>
      <c r="I305" t="n">
        <v>0</v>
      </c>
      <c r="J305" t="n">
        <v>0</v>
      </c>
      <c r="K305" t="n">
        <v>0</v>
      </c>
      <c r="L305" t="n">
        <v>0</v>
      </c>
      <c r="M305" t="n">
        <v>0</v>
      </c>
      <c r="N305" t="n">
        <v>0</v>
      </c>
    </row>
    <row r="306">
      <c r="A306" t="inlineStr">
        <is>
          <t>stock</t>
        </is>
      </c>
      <c r="B306" t="inlineStr">
        <is>
          <t>4 for the land of le swon for the same.</t>
        </is>
      </c>
      <c r="C306" t="n">
        <v>0</v>
      </c>
      <c r="D306" t="n">
        <v>0</v>
      </c>
      <c r="E306" t="n">
        <v>0</v>
      </c>
      <c r="F306" t="n">
        <v>0</v>
      </c>
      <c r="H306" t="n">
        <v>0</v>
      </c>
      <c r="I306" t="n">
        <v>0</v>
      </c>
      <c r="J306" t="n">
        <v>0</v>
      </c>
      <c r="K306" t="n">
        <v>0</v>
      </c>
      <c r="L306" t="n">
        <v>0</v>
      </c>
      <c r="M306" t="n">
        <v>0</v>
      </c>
      <c r="N306" t="n">
        <v>0</v>
      </c>
    </row>
    <row r="307">
      <c r="A307" t="inlineStr">
        <is>
          <t>stock</t>
        </is>
      </c>
      <c r="B307" t="inlineStr">
        <is>
          <t>4 for the land of richard vaccar' for the same.</t>
        </is>
      </c>
      <c r="C307" t="n">
        <v>0</v>
      </c>
      <c r="D307" t="n">
        <v>0</v>
      </c>
      <c r="E307" t="n">
        <v>0</v>
      </c>
      <c r="F307" t="n">
        <v>0</v>
      </c>
      <c r="H307" t="n">
        <v>0</v>
      </c>
      <c r="I307" t="n">
        <v>0</v>
      </c>
      <c r="J307" t="n">
        <v>0</v>
      </c>
      <c r="K307" t="n">
        <v>0</v>
      </c>
      <c r="L307" t="n">
        <v>0</v>
      </c>
      <c r="M307" t="n">
        <v>0</v>
      </c>
      <c r="N307" t="n">
        <v>0</v>
      </c>
    </row>
    <row r="308">
      <c r="A308" t="inlineStr">
        <is>
          <t>stock</t>
        </is>
      </c>
      <c r="B308" t="inlineStr">
        <is>
          <t>4 for the land of richard knave for the same.</t>
        </is>
      </c>
      <c r="C308" t="n">
        <v>0</v>
      </c>
      <c r="D308" t="n">
        <v>0</v>
      </c>
      <c r="E308" t="n">
        <v>0</v>
      </c>
      <c r="F308" t="n">
        <v>0</v>
      </c>
      <c r="H308" t="n">
        <v>0</v>
      </c>
      <c r="I308" t="n">
        <v>0</v>
      </c>
      <c r="J308" t="n">
        <v>0</v>
      </c>
      <c r="K308" t="n">
        <v>0</v>
      </c>
      <c r="L308" t="n">
        <v>0</v>
      </c>
      <c r="M308" t="n">
        <v>0</v>
      </c>
      <c r="N308" t="n">
        <v>0</v>
      </c>
    </row>
    <row r="309">
      <c r="A309" t="inlineStr">
        <is>
          <t>stock</t>
        </is>
      </c>
      <c r="B309" t="inlineStr">
        <is>
          <t>12 for the land formerly of robert wodecotte, for 3.5 virgates, because in the lord's hands.</t>
        </is>
      </c>
      <c r="C309" t="n">
        <v>0</v>
      </c>
      <c r="D309" t="n">
        <v>0</v>
      </c>
      <c r="E309" t="n">
        <v>0</v>
      </c>
      <c r="F309" t="n">
        <v>0</v>
      </c>
      <c r="H309" t="n">
        <v>0</v>
      </c>
      <c r="I309" t="n">
        <v>0</v>
      </c>
      <c r="J309" t="n">
        <v>0</v>
      </c>
      <c r="K309" t="n">
        <v>0</v>
      </c>
      <c r="L309" t="n">
        <v>0</v>
      </c>
      <c r="M309" t="n">
        <v>0</v>
      </c>
      <c r="N309" t="n">
        <v>0</v>
      </c>
    </row>
    <row r="310">
      <c r="A310" t="inlineStr">
        <is>
          <t>stock</t>
        </is>
      </c>
      <c r="B310" t="inlineStr">
        <is>
          <t>2 for the land of john davy because he has no wife.</t>
        </is>
      </c>
      <c r="C310" t="n">
        <v>0</v>
      </c>
      <c r="D310" t="n">
        <v>0</v>
      </c>
      <c r="E310" t="n">
        <v>0</v>
      </c>
      <c r="F310" t="n">
        <v>0</v>
      </c>
      <c r="H310" t="n">
        <v>0</v>
      </c>
      <c r="I310" t="n">
        <v>0</v>
      </c>
      <c r="J310" t="n">
        <v>0</v>
      </c>
      <c r="K310" t="n">
        <v>0</v>
      </c>
      <c r="L310" t="n">
        <v>0</v>
      </c>
      <c r="M310" t="n">
        <v>0</v>
      </c>
      <c r="N310" t="n">
        <v>0</v>
      </c>
    </row>
    <row r="311">
      <c r="A311" t="inlineStr">
        <is>
          <t>stock</t>
        </is>
      </c>
      <c r="B311" t="inlineStr">
        <is>
          <t>2 for the land of roger lyght' for the same.</t>
        </is>
      </c>
      <c r="C311" t="n">
        <v>0</v>
      </c>
      <c r="D311" t="n">
        <v>0</v>
      </c>
      <c r="E311" t="n">
        <v>0</v>
      </c>
      <c r="F311" t="n">
        <v>0</v>
      </c>
      <c r="H311" t="n">
        <v>0</v>
      </c>
      <c r="I311" t="n">
        <v>0</v>
      </c>
      <c r="J311" t="n">
        <v>0</v>
      </c>
      <c r="K311" t="n">
        <v>0</v>
      </c>
      <c r="L311" t="n">
        <v>0</v>
      </c>
      <c r="M311" t="n">
        <v>0</v>
      </c>
      <c r="N311" t="n">
        <v>0</v>
      </c>
    </row>
    <row r="312">
      <c r="A312" t="inlineStr">
        <is>
          <t>stock</t>
        </is>
      </c>
      <c r="B312" t="inlineStr">
        <is>
          <t>2 for the land of amice wodecote because she has no husband.</t>
        </is>
      </c>
      <c r="C312" t="n">
        <v>0</v>
      </c>
      <c r="D312" t="n">
        <v>0</v>
      </c>
      <c r="E312" t="n">
        <v>0</v>
      </c>
      <c r="F312" t="n">
        <v>0</v>
      </c>
      <c r="H312" t="n">
        <v>0</v>
      </c>
      <c r="I312" t="n">
        <v>0</v>
      </c>
      <c r="J312" t="n">
        <v>0</v>
      </c>
      <c r="K312" t="n">
        <v>0</v>
      </c>
      <c r="L312" t="n">
        <v>0</v>
      </c>
      <c r="M312" t="n">
        <v>0</v>
      </c>
      <c r="N312" t="n">
        <v>0</v>
      </c>
    </row>
    <row r="313">
      <c r="A313" t="inlineStr">
        <is>
          <t>stock</t>
        </is>
      </c>
      <c r="B313" t="inlineStr">
        <is>
          <t>83 sold within.</t>
        </is>
      </c>
      <c r="C313" t="n">
        <v>0</v>
      </c>
      <c r="D313" t="n">
        <v>0</v>
      </c>
      <c r="E313" t="n">
        <v>0</v>
      </c>
      <c r="F313" t="n">
        <v>0</v>
      </c>
      <c r="H313" t="n">
        <v>0</v>
      </c>
      <c r="I313" t="n">
        <v>0</v>
      </c>
      <c r="J313" t="n">
        <v>0</v>
      </c>
      <c r="K313" t="n">
        <v>0</v>
      </c>
      <c r="L313" t="n">
        <v>0</v>
      </c>
      <c r="M313" t="n">
        <v>0</v>
      </c>
      <c r="N313" t="n">
        <v>0</v>
      </c>
    </row>
    <row r="314">
      <c r="A314" t="inlineStr">
        <is>
          <t>stock</t>
        </is>
      </c>
      <c r="B314" t="inlineStr">
        <is>
          <t>total, 125. 1 cock and 5 hens remain.</t>
        </is>
      </c>
      <c r="C314" t="n">
        <v>0</v>
      </c>
      <c r="D314" t="n">
        <v>0</v>
      </c>
      <c r="E314" t="n">
        <v>0</v>
      </c>
      <c r="F314" t="n">
        <v>0</v>
      </c>
      <c r="H314" t="n">
        <v>0</v>
      </c>
      <c r="I314" t="n">
        <v>0</v>
      </c>
      <c r="J314" t="n">
        <v>0</v>
      </c>
      <c r="K314" t="n">
        <v>0</v>
      </c>
      <c r="L314" t="n">
        <v>0</v>
      </c>
      <c r="M314" t="n">
        <v>0</v>
      </c>
      <c r="N314" t="n">
        <v>0</v>
      </c>
    </row>
    <row r="315">
      <c r="A315" t="inlineStr">
        <is>
          <t>stock</t>
        </is>
      </c>
      <c r="B315" t="inlineStr">
        <is>
          <t>chickens: 24 offspring.</t>
        </is>
      </c>
      <c r="C315" t="n">
        <v>0</v>
      </c>
      <c r="D315" t="n">
        <v>0</v>
      </c>
      <c r="E315" t="n">
        <v>0</v>
      </c>
      <c r="F315" t="n">
        <v>0</v>
      </c>
      <c r="H315" t="n">
        <v>0</v>
      </c>
      <c r="I315" t="n">
        <v>0</v>
      </c>
      <c r="J315" t="n">
        <v>0</v>
      </c>
      <c r="K315" t="n">
        <v>0</v>
      </c>
      <c r="L315" t="n">
        <v>0</v>
      </c>
      <c r="M315" t="n">
        <v>0</v>
      </c>
      <c r="N315" t="n">
        <v>0</v>
      </c>
    </row>
    <row r="316">
      <c r="A316" t="inlineStr">
        <is>
          <t>stock</t>
        </is>
      </c>
      <c r="B316" t="inlineStr">
        <is>
          <t>all turned into capons above.</t>
        </is>
      </c>
      <c r="C316" t="n">
        <v>0</v>
      </c>
      <c r="D316" t="n">
        <v>0</v>
      </c>
      <c r="E316" t="n">
        <v>0</v>
      </c>
      <c r="F316" t="n">
        <v>0</v>
      </c>
      <c r="H316" t="n">
        <v>0</v>
      </c>
      <c r="I316" t="n">
        <v>0</v>
      </c>
      <c r="J316" t="n">
        <v>0</v>
      </c>
      <c r="K316" t="n">
        <v>0</v>
      </c>
      <c r="L316" t="n">
        <v>0</v>
      </c>
      <c r="M316" t="n">
        <v>0</v>
      </c>
      <c r="N316" t="n">
        <v>0</v>
      </c>
    </row>
    <row r="317">
      <c r="A317" t="inlineStr">
        <is>
          <t>stock</t>
        </is>
      </c>
      <c r="B317" t="inlineStr">
        <is>
          <t>none remain.</t>
        </is>
      </c>
      <c r="C317" t="n">
        <v>0</v>
      </c>
      <c r="D317" t="n">
        <v>0</v>
      </c>
      <c r="E317" t="n">
        <v>0</v>
      </c>
      <c r="F317" t="n">
        <v>0</v>
      </c>
      <c r="H317" t="n">
        <v>0</v>
      </c>
      <c r="I317" t="n">
        <v>0</v>
      </c>
      <c r="J317" t="n">
        <v>0</v>
      </c>
      <c r="K317" t="n">
        <v>0</v>
      </c>
      <c r="L317" t="n">
        <v>0</v>
      </c>
      <c r="M317" t="n">
        <v>0</v>
      </c>
      <c r="N317" t="n">
        <v>0</v>
      </c>
    </row>
    <row r="318">
      <c r="A318" t="inlineStr">
        <is>
          <t>stock</t>
        </is>
      </c>
      <c r="B318" t="inlineStr">
        <is>
          <t>eggs: 200 produced by the hens.</t>
        </is>
      </c>
      <c r="C318" t="n">
        <v>0</v>
      </c>
      <c r="D318" t="n">
        <v>0</v>
      </c>
      <c r="E318" t="n">
        <v>0</v>
      </c>
      <c r="F318" t="n">
        <v>0</v>
      </c>
      <c r="H318" t="n">
        <v>0</v>
      </c>
      <c r="I318" t="n">
        <v>0</v>
      </c>
      <c r="J318" t="n">
        <v>0</v>
      </c>
      <c r="K318" t="n">
        <v>0</v>
      </c>
      <c r="L318" t="n">
        <v>0</v>
      </c>
      <c r="M318" t="n">
        <v>0</v>
      </c>
      <c r="N318" t="n">
        <v>0</v>
      </c>
    </row>
    <row r="319">
      <c r="A319" t="inlineStr">
        <is>
          <t>stock</t>
        </is>
      </c>
      <c r="B319" t="inlineStr">
        <is>
          <t>sold within.</t>
        </is>
      </c>
      <c r="C319" t="n">
        <v>0</v>
      </c>
      <c r="D319" t="n">
        <v>0</v>
      </c>
      <c r="E319" t="n">
        <v>0</v>
      </c>
      <c r="F319" t="n">
        <v>0</v>
      </c>
      <c r="H319" t="n">
        <v>0</v>
      </c>
      <c r="I319" t="n">
        <v>0</v>
      </c>
      <c r="J319" t="n">
        <v>0</v>
      </c>
      <c r="K319" t="n">
        <v>0</v>
      </c>
      <c r="L319" t="n">
        <v>0</v>
      </c>
      <c r="M319" t="n">
        <v>0</v>
      </c>
      <c r="N319" t="n">
        <v>0</v>
      </c>
    </row>
    <row r="320">
      <c r="A320" t="inlineStr">
        <is>
          <t>stock</t>
        </is>
      </c>
      <c r="B320" t="inlineStr">
        <is>
          <t>none remain.</t>
        </is>
      </c>
      <c r="C320" t="n">
        <v>0</v>
      </c>
      <c r="D320" t="n">
        <v>0</v>
      </c>
      <c r="E320" t="n">
        <v>0</v>
      </c>
      <c r="F320" t="n">
        <v>0</v>
      </c>
      <c r="H320" t="n">
        <v>0</v>
      </c>
      <c r="I320" t="n">
        <v>0</v>
      </c>
      <c r="J320" t="n">
        <v>0</v>
      </c>
      <c r="K320" t="n">
        <v>0</v>
      </c>
      <c r="L320" t="n">
        <v>0</v>
      </c>
      <c r="M320" t="n">
        <v>0</v>
      </c>
      <c r="N320" t="n">
        <v>0</v>
      </c>
    </row>
    <row r="321">
      <c r="A321" t="inlineStr">
        <is>
          <t>stock</t>
        </is>
      </c>
      <c r="B321" t="inlineStr">
        <is>
          <t>coarse wool: 489 fleeces from wethers, 11 from rams, 377 from ewes and 199 from hoggs produced at the shearing this year.</t>
        </is>
      </c>
      <c r="C321" t="n">
        <v>0</v>
      </c>
      <c r="D321" t="n">
        <v>0</v>
      </c>
      <c r="E321" t="n">
        <v>0</v>
      </c>
      <c r="F321" t="n">
        <v>0</v>
      </c>
      <c r="H321" t="n">
        <v>0</v>
      </c>
      <c r="I321" t="n">
        <v>0</v>
      </c>
      <c r="J321" t="n">
        <v>0</v>
      </c>
      <c r="K321" t="n">
        <v>0</v>
      </c>
      <c r="L321" t="n">
        <v>0</v>
      </c>
      <c r="M321" t="n">
        <v>0</v>
      </c>
      <c r="N321" t="n">
        <v>0</v>
      </c>
    </row>
    <row r="322">
      <c r="A322" t="inlineStr">
        <is>
          <t>stock</t>
        </is>
      </c>
      <c r="B322" t="inlineStr">
        <is>
          <t>total, 1,076. 107 in tithe.</t>
        </is>
      </c>
      <c r="C322" t="n">
        <v>0</v>
      </c>
      <c r="D322" t="n">
        <v>0</v>
      </c>
      <c r="E322" t="n">
        <v>0</v>
      </c>
      <c r="F322" t="n">
        <v>0</v>
      </c>
      <c r="H322" t="n">
        <v>0</v>
      </c>
      <c r="I322" t="n">
        <v>0</v>
      </c>
      <c r="J322" t="n">
        <v>0</v>
      </c>
      <c r="K322" t="n">
        <v>0</v>
      </c>
      <c r="L322" t="n">
        <v>0</v>
      </c>
      <c r="M322" t="n">
        <v>0</v>
      </c>
      <c r="N322" t="n">
        <v>0</v>
      </c>
    </row>
    <row r="323">
      <c r="A323" t="inlineStr">
        <is>
          <t>stock</t>
        </is>
      </c>
      <c r="B323" t="inlineStr">
        <is>
          <t>969 delivered to the receiver of wolvesey, weighing 3 sacks 15 cloves.</t>
        </is>
      </c>
      <c r="C323" t="n">
        <v>0</v>
      </c>
      <c r="D323" t="n">
        <v>0</v>
      </c>
      <c r="E323" t="n">
        <v>0</v>
      </c>
      <c r="F323" t="n">
        <v>0</v>
      </c>
      <c r="H323" t="n">
        <v>0</v>
      </c>
      <c r="I323" t="n">
        <v>0</v>
      </c>
      <c r="J323" t="n">
        <v>0</v>
      </c>
      <c r="K323" t="n">
        <v>0</v>
      </c>
      <c r="L323" t="n">
        <v>0</v>
      </c>
      <c r="M323" t="n">
        <v>0</v>
      </c>
      <c r="N323" t="n">
        <v>0</v>
      </c>
    </row>
    <row r="324">
      <c r="A324" t="inlineStr">
        <is>
          <t>stock</t>
        </is>
      </c>
      <c r="B324" t="inlineStr">
        <is>
          <t>total as before.</t>
        </is>
      </c>
      <c r="C324" t="n">
        <v>0</v>
      </c>
      <c r="D324" t="n">
        <v>0</v>
      </c>
      <c r="E324" t="n">
        <v>0</v>
      </c>
      <c r="F324" t="n">
        <v>0</v>
      </c>
      <c r="H324" t="n">
        <v>0</v>
      </c>
      <c r="I324" t="n">
        <v>0</v>
      </c>
      <c r="J324" t="n">
        <v>0</v>
      </c>
      <c r="K324" t="n">
        <v>0</v>
      </c>
      <c r="L324" t="n">
        <v>0</v>
      </c>
      <c r="M324" t="n">
        <v>0</v>
      </c>
      <c r="N324" t="n">
        <v>0</v>
      </c>
    </row>
    <row r="325">
      <c r="A325" t="inlineStr">
        <is>
          <t>stock</t>
        </is>
      </c>
      <c r="B325" t="inlineStr">
        <is>
          <t>it balances..</t>
        </is>
      </c>
      <c r="C325" t="n">
        <v>0</v>
      </c>
      <c r="D325" t="n">
        <v>0</v>
      </c>
      <c r="E325" t="n">
        <v>0</v>
      </c>
      <c r="F325" t="n">
        <v>0</v>
      </c>
      <c r="H325" t="n">
        <v>0</v>
      </c>
      <c r="I325" t="n">
        <v>0</v>
      </c>
      <c r="J325" t="n">
        <v>0</v>
      </c>
      <c r="K325" t="n">
        <v>0</v>
      </c>
      <c r="L325" t="n">
        <v>0</v>
      </c>
      <c r="M325" t="n">
        <v>0</v>
      </c>
      <c r="N325" t="n">
        <v>0</v>
      </c>
    </row>
    <row r="326">
      <c r="A326" t="inlineStr">
        <is>
          <t>stock</t>
        </is>
      </c>
      <c r="B326" t="inlineStr">
        <is>
          <t>wool locks: 2 cloves gathered by the shepherds at the shearing this year.</t>
        </is>
      </c>
      <c r="C326" t="n">
        <v>0</v>
      </c>
      <c r="D326" t="n">
        <v>0</v>
      </c>
      <c r="E326" t="n">
        <v>0</v>
      </c>
      <c r="F326" t="n">
        <v>0</v>
      </c>
      <c r="H326" t="n">
        <v>0</v>
      </c>
      <c r="I326" t="n">
        <v>0</v>
      </c>
      <c r="J326" t="n">
        <v>0</v>
      </c>
      <c r="K326" t="n">
        <v>0</v>
      </c>
      <c r="L326" t="n">
        <v>0</v>
      </c>
      <c r="M326" t="n">
        <v>0</v>
      </c>
      <c r="N326" t="n">
        <v>0</v>
      </c>
    </row>
    <row r="327">
      <c r="A327" t="inlineStr">
        <is>
          <t>stock</t>
        </is>
      </c>
      <c r="B327" t="inlineStr">
        <is>
          <t>sold within.</t>
        </is>
      </c>
      <c r="C327" t="n">
        <v>0</v>
      </c>
      <c r="D327" t="n">
        <v>0</v>
      </c>
      <c r="E327" t="n">
        <v>0</v>
      </c>
      <c r="F327" t="n">
        <v>0</v>
      </c>
      <c r="H327" t="n">
        <v>0</v>
      </c>
      <c r="I327" t="n">
        <v>0</v>
      </c>
      <c r="J327" t="n">
        <v>0</v>
      </c>
      <c r="K327" t="n">
        <v>0</v>
      </c>
      <c r="L327" t="n">
        <v>0</v>
      </c>
      <c r="M327" t="n">
        <v>0</v>
      </c>
      <c r="N327" t="n">
        <v>0</v>
      </c>
    </row>
    <row r="328">
      <c r="A328" t="inlineStr">
        <is>
          <t>stock</t>
        </is>
      </c>
      <c r="B328" t="inlineStr">
        <is>
          <t>none remain.</t>
        </is>
      </c>
      <c r="C328" t="n">
        <v>0</v>
      </c>
      <c r="D328" t="n">
        <v>0</v>
      </c>
      <c r="E328" t="n">
        <v>0</v>
      </c>
      <c r="F328" t="n">
        <v>0</v>
      </c>
      <c r="H328" t="n">
        <v>0</v>
      </c>
      <c r="I328" t="n">
        <v>0</v>
      </c>
      <c r="J328" t="n">
        <v>0</v>
      </c>
      <c r="K328" t="n">
        <v>0</v>
      </c>
      <c r="L328" t="n">
        <v>0</v>
      </c>
      <c r="M328" t="n">
        <v>0</v>
      </c>
      <c r="N328" t="n">
        <v>0</v>
      </c>
    </row>
    <row r="329">
      <c r="A329" t="inlineStr">
        <is>
          <t>stock</t>
        </is>
      </c>
      <c r="B329" t="inlineStr">
        <is>
          <t>lamb's-wool: 307 fleeces from lambs produced at the shearing this year.</t>
        </is>
      </c>
      <c r="C329" t="n">
        <v>0</v>
      </c>
      <c r="D329" t="n">
        <v>0</v>
      </c>
      <c r="E329" t="n">
        <v>0</v>
      </c>
      <c r="F329" t="n">
        <v>0</v>
      </c>
      <c r="H329" t="n">
        <v>0</v>
      </c>
      <c r="I329" t="n">
        <v>0</v>
      </c>
      <c r="J329" t="n">
        <v>0</v>
      </c>
      <c r="K329" t="n">
        <v>0</v>
      </c>
      <c r="L329" t="n">
        <v>0</v>
      </c>
      <c r="M329" t="n">
        <v>0</v>
      </c>
      <c r="N329" t="n">
        <v>0</v>
      </c>
    </row>
    <row r="330">
      <c r="A330" t="inlineStr">
        <is>
          <t>stock</t>
        </is>
      </c>
      <c r="B330" t="inlineStr">
        <is>
          <t>sold within, weighing 11 cloves.</t>
        </is>
      </c>
      <c r="C330" t="n">
        <v>0</v>
      </c>
      <c r="D330" t="n">
        <v>0</v>
      </c>
      <c r="E330" t="n">
        <v>0</v>
      </c>
      <c r="F330" t="n">
        <v>0</v>
      </c>
      <c r="H330" t="n">
        <v>0</v>
      </c>
      <c r="I330" t="n">
        <v>0</v>
      </c>
      <c r="J330" t="n">
        <v>0</v>
      </c>
      <c r="K330" t="n">
        <v>0</v>
      </c>
      <c r="L330" t="n">
        <v>0</v>
      </c>
      <c r="M330" t="n">
        <v>0</v>
      </c>
      <c r="N330" t="n">
        <v>0</v>
      </c>
    </row>
    <row r="331">
      <c r="A331" t="inlineStr">
        <is>
          <t>stock</t>
        </is>
      </c>
      <c r="B331" t="inlineStr">
        <is>
          <t>none remains.</t>
        </is>
      </c>
      <c r="C331" t="n">
        <v>0</v>
      </c>
      <c r="D331" t="n">
        <v>0</v>
      </c>
      <c r="E331" t="n">
        <v>0</v>
      </c>
      <c r="F331" t="n">
        <v>0</v>
      </c>
      <c r="H331" t="n">
        <v>0</v>
      </c>
      <c r="I331" t="n">
        <v>0</v>
      </c>
      <c r="J331" t="n">
        <v>0</v>
      </c>
      <c r="K331" t="n">
        <v>0</v>
      </c>
      <c r="L331" t="n">
        <v>0</v>
      </c>
      <c r="M331" t="n">
        <v>0</v>
      </c>
      <c r="N331" t="n">
        <v>0</v>
      </c>
    </row>
    <row r="332">
      <c r="A332" t="inlineStr">
        <is>
          <t>stock</t>
        </is>
      </c>
      <c r="B332" t="inlineStr">
        <is>
          <t>hides: 2 from horses and 1 from an ox in murrain as made clear above.</t>
        </is>
      </c>
      <c r="C332" t="n">
        <v>0</v>
      </c>
      <c r="D332" t="n">
        <v>0</v>
      </c>
      <c r="E332" t="n">
        <v>0</v>
      </c>
      <c r="F332" t="n">
        <v>0</v>
      </c>
      <c r="H332" t="n">
        <v>0</v>
      </c>
      <c r="I332" t="n">
        <v>0</v>
      </c>
      <c r="J332" t="n">
        <v>0</v>
      </c>
      <c r="K332" t="n">
        <v>0</v>
      </c>
      <c r="L332" t="n">
        <v>0</v>
      </c>
      <c r="M332" t="n">
        <v>0</v>
      </c>
      <c r="N332" t="n">
        <v>0</v>
      </c>
    </row>
    <row r="333">
      <c r="A333" t="inlineStr">
        <is>
          <t>stock</t>
        </is>
      </c>
      <c r="B333" t="inlineStr">
        <is>
          <t>sold within.</t>
        </is>
      </c>
      <c r="C333" t="n">
        <v>0</v>
      </c>
      <c r="D333" t="n">
        <v>0</v>
      </c>
      <c r="E333" t="n">
        <v>0</v>
      </c>
      <c r="F333" t="n">
        <v>0</v>
      </c>
      <c r="H333" t="n">
        <v>0</v>
      </c>
      <c r="I333" t="n">
        <v>0</v>
      </c>
      <c r="J333" t="n">
        <v>0</v>
      </c>
      <c r="K333" t="n">
        <v>0</v>
      </c>
      <c r="L333" t="n">
        <v>0</v>
      </c>
      <c r="M333" t="n">
        <v>0</v>
      </c>
      <c r="N333" t="n">
        <v>0</v>
      </c>
    </row>
    <row r="334">
      <c r="A334" t="inlineStr">
        <is>
          <t>stock</t>
        </is>
      </c>
      <c r="B334" t="inlineStr">
        <is>
          <t>none remain.</t>
        </is>
      </c>
      <c r="C334" t="n">
        <v>0</v>
      </c>
      <c r="D334" t="n">
        <v>0</v>
      </c>
      <c r="E334" t="n">
        <v>0</v>
      </c>
      <c r="F334" t="n">
        <v>0</v>
      </c>
      <c r="H334" t="n">
        <v>0</v>
      </c>
      <c r="I334" t="n">
        <v>0</v>
      </c>
      <c r="J334" t="n">
        <v>0</v>
      </c>
      <c r="K334" t="n">
        <v>0</v>
      </c>
      <c r="L334" t="n">
        <v>0</v>
      </c>
      <c r="M334" t="n">
        <v>0</v>
      </c>
      <c r="N334" t="n">
        <v>0</v>
      </c>
    </row>
    <row r="335">
      <c r="A335" t="inlineStr">
        <is>
          <t>stock</t>
        </is>
      </c>
      <c r="B335" t="inlineStr">
        <is>
          <t>woolskins: 14 from wethers, 9 from ewes and 12 from hoggs in murrain before shearing.</t>
        </is>
      </c>
      <c r="C335" t="n">
        <v>0</v>
      </c>
      <c r="D335" t="n">
        <v>0</v>
      </c>
      <c r="E335" t="n">
        <v>0</v>
      </c>
      <c r="F335" t="n">
        <v>0</v>
      </c>
      <c r="H335" t="n">
        <v>0</v>
      </c>
      <c r="I335" t="n">
        <v>0</v>
      </c>
      <c r="J335" t="n">
        <v>0</v>
      </c>
      <c r="K335" t="n">
        <v>0</v>
      </c>
      <c r="L335" t="n">
        <v>0</v>
      </c>
      <c r="M335" t="n">
        <v>0</v>
      </c>
      <c r="N335" t="n">
        <v>0</v>
      </c>
    </row>
    <row r="336">
      <c r="A336" t="inlineStr">
        <is>
          <t>stock</t>
        </is>
      </c>
      <c r="B336" t="inlineStr">
        <is>
          <t>sold within.</t>
        </is>
      </c>
      <c r="C336" t="n">
        <v>0</v>
      </c>
      <c r="D336" t="n">
        <v>0</v>
      </c>
      <c r="E336" t="n">
        <v>0</v>
      </c>
      <c r="F336" t="n">
        <v>0</v>
      </c>
      <c r="H336" t="n">
        <v>0</v>
      </c>
      <c r="I336" t="n">
        <v>0</v>
      </c>
      <c r="J336" t="n">
        <v>0</v>
      </c>
      <c r="K336" t="n">
        <v>0</v>
      </c>
      <c r="L336" t="n">
        <v>0</v>
      </c>
      <c r="M336" t="n">
        <v>0</v>
      </c>
      <c r="N336" t="n">
        <v>0</v>
      </c>
    </row>
    <row r="337">
      <c r="A337" t="inlineStr">
        <is>
          <t>stock</t>
        </is>
      </c>
      <c r="B337" t="inlineStr">
        <is>
          <t>none remain.</t>
        </is>
      </c>
      <c r="C337" t="n">
        <v>0</v>
      </c>
      <c r="D337" t="n">
        <v>0</v>
      </c>
      <c r="E337" t="n">
        <v>0</v>
      </c>
      <c r="F337" t="n">
        <v>0</v>
      </c>
      <c r="H337" t="n">
        <v>0</v>
      </c>
      <c r="I337" t="n">
        <v>0</v>
      </c>
      <c r="J337" t="n">
        <v>0</v>
      </c>
      <c r="K337" t="n">
        <v>0</v>
      </c>
      <c r="L337" t="n">
        <v>0</v>
      </c>
      <c r="M337" t="n">
        <v>0</v>
      </c>
      <c r="N337" t="n">
        <v>0</v>
      </c>
    </row>
    <row r="338">
      <c r="A338" t="inlineStr">
        <is>
          <t>stock</t>
        </is>
      </c>
      <c r="B338" t="inlineStr">
        <is>
          <t>bare skins: 7 from wethers and 3 from ewes in murrain after shearing.</t>
        </is>
      </c>
      <c r="C338" t="n">
        <v>0</v>
      </c>
      <c r="D338" t="n">
        <v>0</v>
      </c>
      <c r="E338" t="n">
        <v>0</v>
      </c>
      <c r="F338" t="n">
        <v>0</v>
      </c>
      <c r="H338" t="n">
        <v>0</v>
      </c>
      <c r="I338" t="n">
        <v>0</v>
      </c>
      <c r="J338" t="n">
        <v>0</v>
      </c>
      <c r="K338" t="n">
        <v>0</v>
      </c>
      <c r="L338" t="n">
        <v>0</v>
      </c>
      <c r="M338" t="n">
        <v>0</v>
      </c>
      <c r="N338" t="n">
        <v>0</v>
      </c>
    </row>
    <row r="339">
      <c r="A339" t="inlineStr">
        <is>
          <t>stock</t>
        </is>
      </c>
      <c r="B339" t="inlineStr">
        <is>
          <t>sold within.</t>
        </is>
      </c>
      <c r="C339" t="n">
        <v>0</v>
      </c>
      <c r="D339" t="n">
        <v>0</v>
      </c>
      <c r="E339" t="n">
        <v>0</v>
      </c>
      <c r="F339" t="n">
        <v>0</v>
      </c>
      <c r="H339" t="n">
        <v>0</v>
      </c>
      <c r="I339" t="n">
        <v>0</v>
      </c>
      <c r="J339" t="n">
        <v>0</v>
      </c>
      <c r="K339" t="n">
        <v>0</v>
      </c>
      <c r="L339" t="n">
        <v>0</v>
      </c>
      <c r="M339" t="n">
        <v>0</v>
      </c>
      <c r="N339" t="n">
        <v>0</v>
      </c>
    </row>
    <row r="340">
      <c r="A340" t="inlineStr">
        <is>
          <t>stock</t>
        </is>
      </c>
      <c r="B340" t="inlineStr">
        <is>
          <t>none remain.</t>
        </is>
      </c>
      <c r="C340" t="n">
        <v>0</v>
      </c>
      <c r="D340" t="n">
        <v>0</v>
      </c>
      <c r="E340" t="n">
        <v>0</v>
      </c>
      <c r="F340" t="n">
        <v>0</v>
      </c>
      <c r="H340" t="n">
        <v>0</v>
      </c>
      <c r="I340" t="n">
        <v>0</v>
      </c>
      <c r="J340" t="n">
        <v>0</v>
      </c>
      <c r="K340" t="n">
        <v>0</v>
      </c>
      <c r="L340" t="n">
        <v>0</v>
      </c>
      <c r="M340" t="n">
        <v>0</v>
      </c>
      <c r="N340" t="n">
        <v>0</v>
      </c>
    </row>
    <row r="341">
      <c r="A341" t="inlineStr">
        <is>
          <t>stock</t>
        </is>
      </c>
      <c r="B341" t="inlineStr">
        <is>
          <t>lambskins: 41 from lambs in murrain before weaning.</t>
        </is>
      </c>
      <c r="C341" t="n">
        <v>0</v>
      </c>
      <c r="D341" t="n">
        <v>0</v>
      </c>
      <c r="E341" t="n">
        <v>0</v>
      </c>
      <c r="F341" t="n">
        <v>0</v>
      </c>
      <c r="H341" t="n">
        <v>0</v>
      </c>
      <c r="I341" t="n">
        <v>0</v>
      </c>
      <c r="J341" t="n">
        <v>0</v>
      </c>
      <c r="K341" t="n">
        <v>0</v>
      </c>
      <c r="L341" t="n">
        <v>0</v>
      </c>
      <c r="M341" t="n">
        <v>0</v>
      </c>
      <c r="N341" t="n">
        <v>0</v>
      </c>
    </row>
    <row r="342">
      <c r="A342" t="inlineStr">
        <is>
          <t>stock</t>
        </is>
      </c>
      <c r="B342" t="inlineStr">
        <is>
          <t>sold within.</t>
        </is>
      </c>
      <c r="C342" t="n">
        <v>0</v>
      </c>
      <c r="D342" t="n">
        <v>0</v>
      </c>
      <c r="E342" t="n">
        <v>0</v>
      </c>
      <c r="F342" t="n">
        <v>0</v>
      </c>
      <c r="H342" t="n">
        <v>0</v>
      </c>
      <c r="I342" t="n">
        <v>0</v>
      </c>
      <c r="J342" t="n">
        <v>0</v>
      </c>
      <c r="K342" t="n">
        <v>0</v>
      </c>
      <c r="L342" t="n">
        <v>0</v>
      </c>
      <c r="M342" t="n">
        <v>0</v>
      </c>
      <c r="N342" t="n">
        <v>0</v>
      </c>
    </row>
    <row r="343">
      <c r="A343" t="inlineStr">
        <is>
          <t>stock</t>
        </is>
      </c>
      <c r="B343" t="inlineStr">
        <is>
          <t>none remain.</t>
        </is>
      </c>
      <c r="C343" t="n">
        <v>0</v>
      </c>
      <c r="D343" t="n">
        <v>0</v>
      </c>
      <c r="E343" t="n">
        <v>0</v>
      </c>
      <c r="F343" t="n">
        <v>0</v>
      </c>
      <c r="H343" t="n">
        <v>0</v>
      </c>
      <c r="I343" t="n">
        <v>0</v>
      </c>
      <c r="J343" t="n">
        <v>0</v>
      </c>
      <c r="K343" t="n">
        <v>0</v>
      </c>
      <c r="L343" t="n">
        <v>0</v>
      </c>
      <c r="M343" t="n">
        <v>0</v>
      </c>
      <c r="N343" t="n">
        <v>0</v>
      </c>
    </row>
    <row r="344">
      <c r="A344" t="inlineStr">
        <is>
          <t>stock</t>
        </is>
      </c>
      <c r="B344" t="inlineStr">
        <is>
          <t>rotted skins: 5 from lambs in murrain after weaning and before shearing.</t>
        </is>
      </c>
      <c r="C344" t="n">
        <v>0</v>
      </c>
      <c r="D344" t="n">
        <v>0</v>
      </c>
      <c r="E344" t="n">
        <v>0</v>
      </c>
      <c r="F344" t="n">
        <v>0</v>
      </c>
      <c r="H344" t="n">
        <v>0</v>
      </c>
      <c r="I344" t="n">
        <v>0</v>
      </c>
      <c r="J344" t="n">
        <v>0</v>
      </c>
      <c r="K344" t="n">
        <v>0</v>
      </c>
      <c r="L344" t="n">
        <v>0</v>
      </c>
      <c r="M344" t="n">
        <v>0</v>
      </c>
      <c r="N344" t="n">
        <v>0</v>
      </c>
    </row>
    <row r="345">
      <c r="A345" t="inlineStr">
        <is>
          <t>stock</t>
        </is>
      </c>
      <c r="B345" t="inlineStr">
        <is>
          <t>sold within.</t>
        </is>
      </c>
      <c r="C345" t="n">
        <v>0</v>
      </c>
      <c r="D345" t="n">
        <v>0</v>
      </c>
      <c r="E345" t="n">
        <v>0</v>
      </c>
      <c r="F345" t="n">
        <v>0</v>
      </c>
      <c r="H345" t="n">
        <v>0</v>
      </c>
      <c r="I345" t="n">
        <v>0</v>
      </c>
      <c r="J345" t="n">
        <v>0</v>
      </c>
      <c r="K345" t="n">
        <v>0</v>
      </c>
      <c r="L345" t="n">
        <v>0</v>
      </c>
      <c r="M345" t="n">
        <v>0</v>
      </c>
      <c r="N345" t="n">
        <v>0</v>
      </c>
    </row>
    <row r="346">
      <c r="A346" t="inlineStr">
        <is>
          <t>stock</t>
        </is>
      </c>
      <c r="B346" t="inlineStr">
        <is>
          <t>none remain.</t>
        </is>
      </c>
      <c r="C346" t="n">
        <v>0</v>
      </c>
      <c r="D346" t="n">
        <v>0</v>
      </c>
      <c r="E346" t="n">
        <v>0</v>
      </c>
      <c r="F346" t="n">
        <v>0</v>
      </c>
      <c r="H346" t="n">
        <v>0</v>
      </c>
      <c r="I346" t="n">
        <v>0</v>
      </c>
      <c r="J346" t="n">
        <v>0</v>
      </c>
      <c r="K346" t="n">
        <v>0</v>
      </c>
      <c r="L346" t="n">
        <v>0</v>
      </c>
      <c r="M346" t="n">
        <v>0</v>
      </c>
      <c r="N346" t="n">
        <v>0</v>
      </c>
    </row>
    <row r="347">
      <c r="A347" t="inlineStr">
        <is>
          <t>stock</t>
        </is>
      </c>
      <c r="B347" t="inlineStr">
        <is>
          <t>shorn skins: 20 from lambs in murrain after shearing.</t>
        </is>
      </c>
      <c r="C347" t="n">
        <v>0</v>
      </c>
      <c r="D347" t="n">
        <v>0</v>
      </c>
      <c r="E347" t="n">
        <v>0</v>
      </c>
      <c r="F347" t="n">
        <v>0</v>
      </c>
      <c r="H347" t="n">
        <v>0</v>
      </c>
      <c r="I347" t="n">
        <v>0</v>
      </c>
      <c r="J347" t="n">
        <v>0</v>
      </c>
      <c r="K347" t="n">
        <v>0</v>
      </c>
      <c r="L347" t="n">
        <v>0</v>
      </c>
      <c r="M347" t="n">
        <v>0</v>
      </c>
      <c r="N347" t="n">
        <v>0</v>
      </c>
    </row>
    <row r="348">
      <c r="A348" t="inlineStr">
        <is>
          <t>stock</t>
        </is>
      </c>
      <c r="B348" t="inlineStr">
        <is>
          <t>sold within.</t>
        </is>
      </c>
      <c r="C348" t="n">
        <v>0</v>
      </c>
      <c r="D348" t="n">
        <v>0</v>
      </c>
      <c r="E348" t="n">
        <v>0</v>
      </c>
      <c r="F348" t="n">
        <v>0</v>
      </c>
      <c r="H348" t="n">
        <v>0</v>
      </c>
      <c r="I348" t="n">
        <v>0</v>
      </c>
      <c r="J348" t="n">
        <v>0</v>
      </c>
      <c r="K348" t="n">
        <v>0</v>
      </c>
      <c r="L348" t="n">
        <v>0</v>
      </c>
      <c r="M348" t="n">
        <v>0</v>
      </c>
      <c r="N348" t="n">
        <v>0</v>
      </c>
    </row>
    <row r="349">
      <c r="A349" t="inlineStr">
        <is>
          <t>stock</t>
        </is>
      </c>
      <c r="B349" t="inlineStr">
        <is>
          <t>none remain..</t>
        </is>
      </c>
      <c r="C349" t="n">
        <v>0</v>
      </c>
      <c r="D349" t="n">
        <v>0</v>
      </c>
      <c r="E349" t="n">
        <v>0</v>
      </c>
      <c r="F349" t="n">
        <v>0</v>
      </c>
      <c r="H349" t="n">
        <v>0</v>
      </c>
      <c r="I349" t="n">
        <v>0</v>
      </c>
      <c r="J349" t="n">
        <v>0</v>
      </c>
      <c r="K349" t="n">
        <v>0</v>
      </c>
      <c r="L349" t="n">
        <v>0</v>
      </c>
      <c r="M349" t="n">
        <v>0</v>
      </c>
      <c r="N349" t="n">
        <v>0</v>
      </c>
    </row>
    <row r="350">
      <c r="A350" t="inlineStr">
        <is>
          <t>stock</t>
        </is>
      </c>
      <c r="B350" t="inlineStr">
        <is>
          <t>utensils: 3 ploughs with 3 pairs of iron-shod wheels and all iron equipment for 16 oxen, 5 wooden harrows, 1 seed-basket, 1 iron bushel measure, 1 peck measure, 2 sacks, 1 winnowing-fan and 1 basket for carrying corn remain.</t>
        </is>
      </c>
      <c r="C350" t="n">
        <v>0</v>
      </c>
      <c r="D350" t="n">
        <v>0</v>
      </c>
      <c r="E350" t="n">
        <v>0</v>
      </c>
      <c r="F350" t="n">
        <v>0</v>
      </c>
      <c r="H350" t="n">
        <v>0</v>
      </c>
      <c r="I350" t="n">
        <v>0</v>
      </c>
      <c r="J350" t="n">
        <v>0</v>
      </c>
      <c r="K350" t="n">
        <v>0</v>
      </c>
      <c r="L350" t="n">
        <v>0</v>
      </c>
      <c r="M350" t="n">
        <v>0</v>
      </c>
      <c r="N350" t="n">
        <v>0</v>
      </c>
    </row>
    <row r="351">
      <c r="A351" t="inlineStr">
        <is>
          <t>stock</t>
        </is>
      </c>
      <c r="B351" t="inlineStr">
        <is>
          <t>1 cart with iron tyres with a rope and cart-rail, 1 cart saddle, 5 collars, 4 pairs of traces and 5 halters remain.</t>
        </is>
      </c>
      <c r="C351" t="n">
        <v>0</v>
      </c>
      <c r="D351" t="n">
        <v>0</v>
      </c>
      <c r="E351" t="n">
        <v>0</v>
      </c>
      <c r="F351" t="n">
        <v>0</v>
      </c>
      <c r="H351" t="n">
        <v>0</v>
      </c>
      <c r="I351" t="n">
        <v>0</v>
      </c>
      <c r="J351" t="n">
        <v>0</v>
      </c>
      <c r="K351" t="n">
        <v>0</v>
      </c>
      <c r="L351" t="n">
        <v>0</v>
      </c>
      <c r="M351" t="n">
        <v>0</v>
      </c>
      <c r="N351" t="n">
        <v>0</v>
      </c>
    </row>
    <row r="352">
      <c r="A352" t="inlineStr">
        <is>
          <t>stock</t>
        </is>
      </c>
      <c r="B352" t="inlineStr">
        <is>
          <t>1 brass pot of 5 gallons, 1 posnet, 1 pan of 5 gallons, 1 pan of 12 gallons, 1 lath-work, 1 vat for the dairy, 1 tine, 1 tripod, 2 cheese moulds and 1 wheelbarrow remain.</t>
        </is>
      </c>
      <c r="C352" t="n">
        <v>0</v>
      </c>
      <c r="D352" t="n">
        <v>0</v>
      </c>
      <c r="E352" t="n">
        <v>0</v>
      </c>
      <c r="F352" t="n">
        <v>0</v>
      </c>
      <c r="H352" t="n">
        <v>0</v>
      </c>
      <c r="I352" t="n">
        <v>0</v>
      </c>
      <c r="J352" t="n">
        <v>0</v>
      </c>
      <c r="K352" t="n">
        <v>0</v>
      </c>
      <c r="L352" t="n">
        <v>0</v>
      </c>
      <c r="M352" t="n">
        <v>0</v>
      </c>
      <c r="N352" t="n">
        <v>0</v>
      </c>
    </row>
    <row r="353">
      <c r="A353" t="inlineStr">
        <is>
          <t>stock</t>
        </is>
      </c>
      <c r="B353" t="inlineStr">
        <is>
          <t>11 cratches for the sheep remain.</t>
        </is>
      </c>
      <c r="C353" t="n">
        <v>0</v>
      </c>
      <c r="D353" t="n">
        <v>0</v>
      </c>
      <c r="E353" t="n">
        <v>0</v>
      </c>
      <c r="F353" t="n">
        <v>0</v>
      </c>
      <c r="H353" t="n">
        <v>0</v>
      </c>
      <c r="I353" t="n">
        <v>0</v>
      </c>
      <c r="J353" t="n">
        <v>0</v>
      </c>
      <c r="K353" t="n">
        <v>0</v>
      </c>
      <c r="L353" t="n">
        <v>0</v>
      </c>
      <c r="M353" t="n">
        <v>0</v>
      </c>
      <c r="N353" t="n">
        <v>0</v>
      </c>
    </row>
    <row r="354">
      <c r="A354" t="inlineStr">
        <is>
          <t>stock</t>
        </is>
      </c>
      <c r="B354" t="inlineStr">
        <is>
          <t>they remain.</t>
        </is>
      </c>
      <c r="C354" t="n">
        <v>0</v>
      </c>
      <c r="D354" t="n">
        <v>0</v>
      </c>
      <c r="E354" t="n">
        <v>0</v>
      </c>
      <c r="F354" t="n">
        <v>0</v>
      </c>
      <c r="H354" t="n">
        <v>0</v>
      </c>
      <c r="I354" t="n">
        <v>0</v>
      </c>
      <c r="J354" t="n">
        <v>0</v>
      </c>
      <c r="K354" t="n">
        <v>0</v>
      </c>
      <c r="L354" t="n">
        <v>0</v>
      </c>
      <c r="M354" t="n">
        <v>0</v>
      </c>
      <c r="N354"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9"/>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t>
        </is>
      </c>
      <c r="C3" t="n">
        <v>0</v>
      </c>
      <c r="D3" t="n">
        <v>0</v>
      </c>
      <c r="F3" t="inlineStr">
        <is>
          <t>3</t>
        </is>
      </c>
    </row>
    <row r="4">
      <c r="A4" t="inlineStr">
        <is>
          <t>Stock</t>
        </is>
      </c>
      <c r="B4" t="inlineStr">
        <is>
          <t>2 bought, 1 of them from the lord's househo1pence.</t>
        </is>
      </c>
      <c r="C4" t="n">
        <v>0</v>
      </c>
      <c r="D4" t="n">
        <v>0</v>
      </c>
      <c r="G4" t="inlineStr">
        <is>
          <t>2</t>
        </is>
      </c>
    </row>
    <row r="5">
      <c r="A5" t="inlineStr">
        <is>
          <t>Stock</t>
        </is>
      </c>
      <c r="B5" t="inlineStr">
        <is>
          <t>Total, 5. 2 in murrain.</t>
        </is>
      </c>
      <c r="C5" t="n">
        <v>0</v>
      </c>
      <c r="D5" t="n">
        <v>0</v>
      </c>
      <c r="H5" t="inlineStr">
        <is>
          <t>2</t>
        </is>
      </c>
    </row>
    <row r="6">
      <c r="A6" t="inlineStr">
        <is>
          <t>Stock</t>
        </is>
      </c>
      <c r="B6" t="inlineStr">
        <is>
          <t>3 remain.</t>
        </is>
      </c>
      <c r="C6" t="n">
        <v>0</v>
      </c>
      <c r="D6" t="n">
        <v>0</v>
      </c>
    </row>
    <row r="7">
      <c r="A7" t="inlineStr">
        <is>
          <t>Stock</t>
        </is>
      </c>
      <c r="B7" t="inlineStr">
        <is>
          <t>Plough-horses: 4 remain.</t>
        </is>
      </c>
      <c r="C7" t="n">
        <v>0</v>
      </c>
      <c r="D7" t="n">
        <v>0</v>
      </c>
      <c r="E7" t="inlineStr">
        <is>
          <t>Plough-horses</t>
        </is>
      </c>
      <c r="F7" t="inlineStr">
        <is>
          <t>4</t>
        </is>
      </c>
    </row>
    <row r="8">
      <c r="A8" t="inlineStr">
        <is>
          <t>Stock</t>
        </is>
      </c>
      <c r="B8" t="inlineStr">
        <is>
          <t>Total, 4. 4 remain.</t>
        </is>
      </c>
      <c r="C8" t="n">
        <v>0</v>
      </c>
      <c r="D8" t="n">
        <v>0</v>
      </c>
      <c r="E8" t="inlineStr">
        <is>
          <t>Plough-horses</t>
        </is>
      </c>
    </row>
    <row r="9">
      <c r="A9" t="inlineStr">
        <is>
          <t>Stock</t>
        </is>
      </c>
      <c r="B9" t="inlineStr">
        <is>
          <t>Oxen: 18 remain.</t>
        </is>
      </c>
      <c r="C9" t="n">
        <v>0</v>
      </c>
      <c r="D9" t="n">
        <v>0</v>
      </c>
      <c r="E9" t="inlineStr">
        <is>
          <t>Oxen</t>
        </is>
      </c>
      <c r="F9" t="inlineStr">
        <is>
          <t>18</t>
        </is>
      </c>
    </row>
    <row r="10">
      <c r="A10" t="inlineStr">
        <is>
          <t>Stock</t>
        </is>
      </c>
      <c r="B10" t="inlineStr">
        <is>
          <t>3 bought.</t>
        </is>
      </c>
      <c r="C10" t="n">
        <v>0</v>
      </c>
      <c r="D10" t="n">
        <v>0</v>
      </c>
      <c r="E10" t="inlineStr">
        <is>
          <t>Oxen</t>
        </is>
      </c>
      <c r="G10" t="inlineStr">
        <is>
          <t>3</t>
        </is>
      </c>
    </row>
    <row r="11">
      <c r="A11" t="inlineStr">
        <is>
          <t>Stock</t>
        </is>
      </c>
      <c r="B11" t="inlineStr">
        <is>
          <t>Total, 21. 1 in murrain.</t>
        </is>
      </c>
      <c r="C11" t="n">
        <v>0</v>
      </c>
      <c r="D11" t="n">
        <v>0</v>
      </c>
      <c r="E11" t="inlineStr">
        <is>
          <t>Oxen</t>
        </is>
      </c>
      <c r="H11" t="inlineStr">
        <is>
          <t>1</t>
        </is>
      </c>
    </row>
    <row r="12">
      <c r="A12" t="inlineStr">
        <is>
          <t>Stock</t>
        </is>
      </c>
      <c r="B12" t="inlineStr">
        <is>
          <t>20 remain, 2 of them kebbs..</t>
        </is>
      </c>
      <c r="C12" t="n">
        <v>0</v>
      </c>
      <c r="D12" t="n">
        <v>0</v>
      </c>
      <c r="E12" t="inlineStr">
        <is>
          <t>Oxen</t>
        </is>
      </c>
    </row>
    <row r="13">
      <c r="A13" t="inlineStr">
        <is>
          <t>Stock</t>
        </is>
      </c>
      <c r="B13" t="inlineStr">
        <is>
          <t>Wethers: 502 remain.</t>
        </is>
      </c>
      <c r="C13" t="n">
        <v>0</v>
      </c>
      <c r="D13" t="n">
        <v>0</v>
      </c>
      <c r="E13" t="inlineStr">
        <is>
          <t>Wethers</t>
        </is>
      </c>
      <c r="F13" t="inlineStr">
        <is>
          <t>502</t>
        </is>
      </c>
    </row>
    <row r="14">
      <c r="A14" t="inlineStr">
        <is>
          <t>Stock</t>
        </is>
      </c>
      <c r="B14" t="inlineStr">
        <is>
          <t>106 added from hoggs.</t>
        </is>
      </c>
      <c r="C14" t="n">
        <v>0</v>
      </c>
      <c r="D14" t="n">
        <v>0</v>
      </c>
      <c r="E14" t="inlineStr">
        <is>
          <t>Wethers</t>
        </is>
      </c>
    </row>
    <row r="15">
      <c r="A15" t="inlineStr">
        <is>
          <t>Stock</t>
        </is>
      </c>
      <c r="B15" t="inlineStr">
        <is>
          <t>1 from strays over a year o1pence.</t>
        </is>
      </c>
      <c r="C15" t="n">
        <v>0</v>
      </c>
      <c r="D15" t="n">
        <v>0</v>
      </c>
      <c r="E15" t="inlineStr">
        <is>
          <t>Wethers</t>
        </is>
      </c>
    </row>
    <row r="16">
      <c r="A16" t="inlineStr">
        <is>
          <t>Stock</t>
        </is>
      </c>
      <c r="B16" t="inlineStr">
        <is>
          <t>Total, 609. 14 in murrain before shearing and 7 after shearing.</t>
        </is>
      </c>
      <c r="C16" t="n">
        <v>0</v>
      </c>
      <c r="D16" t="n">
        <v>0</v>
      </c>
      <c r="E16" t="inlineStr">
        <is>
          <t>Wethers</t>
        </is>
      </c>
      <c r="H16" t="inlineStr">
        <is>
          <t>14</t>
        </is>
      </c>
    </row>
    <row r="17">
      <c r="A17" t="inlineStr">
        <is>
          <t>Stock</t>
        </is>
      </c>
      <c r="B17" t="inlineStr">
        <is>
          <t>68 sold after shearing, 12 of them to the lord's househo1pence.</t>
        </is>
      </c>
      <c r="C17" t="n">
        <v>0</v>
      </c>
      <c r="D17" t="n">
        <v>0</v>
      </c>
      <c r="E17" t="inlineStr">
        <is>
          <t>Wethers</t>
        </is>
      </c>
      <c r="I17" t="inlineStr">
        <is>
          <t>68</t>
        </is>
      </c>
    </row>
    <row r="18">
      <c r="A18" t="inlineStr">
        <is>
          <t>Stock</t>
        </is>
      </c>
      <c r="B18" t="inlineStr">
        <is>
          <t>Total, 89. 520 remain..</t>
        </is>
      </c>
      <c r="C18" t="n">
        <v>0</v>
      </c>
      <c r="D18" t="n">
        <v>0</v>
      </c>
      <c r="E18" t="inlineStr">
        <is>
          <t>Wethers</t>
        </is>
      </c>
    </row>
    <row r="19">
      <c r="A19" t="inlineStr">
        <is>
          <t>Stock</t>
        </is>
      </c>
      <c r="B19" t="inlineStr">
        <is>
          <t>Rams: 11 remain.</t>
        </is>
      </c>
      <c r="C19" t="n">
        <v>0</v>
      </c>
      <c r="D19" t="n">
        <v>0</v>
      </c>
      <c r="E19" t="inlineStr">
        <is>
          <t>Rams</t>
        </is>
      </c>
      <c r="F19" t="inlineStr">
        <is>
          <t>11</t>
        </is>
      </c>
    </row>
    <row r="20">
      <c r="A20" t="inlineStr">
        <is>
          <t>Stock</t>
        </is>
      </c>
      <c r="B20" t="inlineStr">
        <is>
          <t>6 added from hoggs.</t>
        </is>
      </c>
      <c r="C20" t="n">
        <v>0</v>
      </c>
      <c r="D20" t="n">
        <v>0</v>
      </c>
      <c r="E20" t="inlineStr">
        <is>
          <t>Rams</t>
        </is>
      </c>
    </row>
    <row r="21">
      <c r="A21" t="inlineStr">
        <is>
          <t>Stock</t>
        </is>
      </c>
      <c r="B21" t="inlineStr">
        <is>
          <t>Total, 17. 1 sold after shearing.</t>
        </is>
      </c>
      <c r="C21" t="n">
        <v>0</v>
      </c>
      <c r="D21" t="n">
        <v>0</v>
      </c>
      <c r="E21" t="inlineStr">
        <is>
          <t>Rams</t>
        </is>
      </c>
      <c r="I21" t="inlineStr">
        <is>
          <t>1</t>
        </is>
      </c>
    </row>
    <row r="22">
      <c r="A22" t="inlineStr">
        <is>
          <t>Stock</t>
        </is>
      </c>
      <c r="B22" t="inlineStr">
        <is>
          <t>16 remain..</t>
        </is>
      </c>
      <c r="C22" t="n">
        <v>0</v>
      </c>
      <c r="D22" t="n">
        <v>0</v>
      </c>
      <c r="E22" t="inlineStr">
        <is>
          <t>Rams</t>
        </is>
      </c>
    </row>
    <row r="23">
      <c r="A23" t="inlineStr">
        <is>
          <t>Stock</t>
        </is>
      </c>
      <c r="B23" t="inlineStr">
        <is>
          <t>Ewes: 385 remain.</t>
        </is>
      </c>
      <c r="C23" t="n">
        <v>0</v>
      </c>
      <c r="D23" t="n">
        <v>0</v>
      </c>
      <c r="E23" t="inlineStr">
        <is>
          <t>Ewes</t>
        </is>
      </c>
      <c r="F23" t="inlineStr">
        <is>
          <t>385</t>
        </is>
      </c>
    </row>
    <row r="24">
      <c r="A24" t="inlineStr">
        <is>
          <t>Stock</t>
        </is>
      </c>
      <c r="B24" t="inlineStr">
        <is>
          <t>87 added from hoggs.</t>
        </is>
      </c>
      <c r="C24" t="n">
        <v>0</v>
      </c>
      <c r="D24" t="n">
        <v>0</v>
      </c>
      <c r="E24" t="inlineStr">
        <is>
          <t>Ewes</t>
        </is>
      </c>
    </row>
    <row r="25">
      <c r="A25" t="inlineStr">
        <is>
          <t>Stock</t>
        </is>
      </c>
      <c r="B25" t="inlineStr">
        <is>
          <t>1 from strays over a year o1pence.</t>
        </is>
      </c>
      <c r="C25" t="n">
        <v>0</v>
      </c>
      <c r="D25" t="n">
        <v>0</v>
      </c>
      <c r="E25" t="inlineStr">
        <is>
          <t>Ewes</t>
        </is>
      </c>
    </row>
    <row r="26">
      <c r="A26" t="inlineStr">
        <is>
          <t>Stock</t>
        </is>
      </c>
      <c r="B26" t="inlineStr">
        <is>
          <t>Total, 473. 9 in murrain, 4 of them before lambing.</t>
        </is>
      </c>
      <c r="C26" t="n">
        <v>0</v>
      </c>
      <c r="D26" t="n">
        <v>0</v>
      </c>
      <c r="E26" t="inlineStr">
        <is>
          <t>Ewes</t>
        </is>
      </c>
      <c r="H26" t="inlineStr">
        <is>
          <t>9</t>
        </is>
      </c>
    </row>
    <row r="27">
      <c r="A27" t="inlineStr">
        <is>
          <t>Stock</t>
        </is>
      </c>
      <c r="B27" t="inlineStr">
        <is>
          <t>3 in murrain after shearing.</t>
        </is>
      </c>
      <c r="C27" t="n">
        <v>0</v>
      </c>
      <c r="D27" t="n">
        <v>0</v>
      </c>
      <c r="E27" t="inlineStr">
        <is>
          <t>Ewes</t>
        </is>
      </c>
      <c r="H27" t="inlineStr">
        <is>
          <t>3</t>
        </is>
      </c>
    </row>
    <row r="28">
      <c r="A28" t="inlineStr">
        <is>
          <t>Stock</t>
        </is>
      </c>
      <c r="B28" t="inlineStr">
        <is>
          <t>65 sold after shearing.</t>
        </is>
      </c>
      <c r="C28" t="n">
        <v>0</v>
      </c>
      <c r="D28" t="n">
        <v>0</v>
      </c>
      <c r="E28" t="inlineStr">
        <is>
          <t>Ewes</t>
        </is>
      </c>
      <c r="I28" t="inlineStr">
        <is>
          <t>65</t>
        </is>
      </c>
    </row>
    <row r="29">
      <c r="A29" t="inlineStr">
        <is>
          <t>Stock</t>
        </is>
      </c>
      <c r="B29" t="inlineStr">
        <is>
          <t>Total, 77. 396 remain.</t>
        </is>
      </c>
      <c r="C29" t="n">
        <v>0</v>
      </c>
      <c r="D29" t="n">
        <v>0</v>
      </c>
      <c r="E29" t="inlineStr">
        <is>
          <t>Ewes</t>
        </is>
      </c>
    </row>
    <row r="30">
      <c r="A30" t="inlineStr">
        <is>
          <t>Stock</t>
        </is>
      </c>
      <c r="B30" t="inlineStr">
        <is>
          <t>Hoggs: 311 remain from the lambs.</t>
        </is>
      </c>
      <c r="C30" t="n">
        <v>0</v>
      </c>
      <c r="D30" t="n">
        <v>0</v>
      </c>
      <c r="E30" t="inlineStr">
        <is>
          <t>Hoggs</t>
        </is>
      </c>
      <c r="F30" t="inlineStr">
        <is>
          <t>311</t>
        </is>
      </c>
    </row>
    <row r="31">
      <c r="A31" t="inlineStr">
        <is>
          <t>Stock</t>
        </is>
      </c>
      <c r="B31" t="inlineStr">
        <is>
          <t>Total, 311. 12 in murrain before shearing.</t>
        </is>
      </c>
      <c r="C31" t="n">
        <v>0</v>
      </c>
      <c r="D31" t="n">
        <v>0</v>
      </c>
      <c r="E31" t="inlineStr">
        <is>
          <t>Hoggs</t>
        </is>
      </c>
      <c r="H31" t="inlineStr">
        <is>
          <t>12</t>
        </is>
      </c>
    </row>
    <row r="32">
      <c r="A32" t="inlineStr">
        <is>
          <t>Stock</t>
        </is>
      </c>
      <c r="B32" t="inlineStr">
        <is>
          <t>106 added above to wethers, 6 to rams and 87 to ewes.</t>
        </is>
      </c>
      <c r="C32" t="n">
        <v>0</v>
      </c>
      <c r="D32" t="n">
        <v>0</v>
      </c>
      <c r="E32" t="inlineStr">
        <is>
          <t>Hoggs</t>
        </is>
      </c>
    </row>
    <row r="33">
      <c r="A33" t="inlineStr">
        <is>
          <t>Stock</t>
        </is>
      </c>
      <c r="B33" t="inlineStr">
        <is>
          <t>100 sold before shearing to the sergeant of Waltham St Lawrence.</t>
        </is>
      </c>
      <c r="C33" t="n">
        <v>0</v>
      </c>
      <c r="D33" t="n">
        <v>0</v>
      </c>
      <c r="E33" t="inlineStr">
        <is>
          <t>Hoggs</t>
        </is>
      </c>
      <c r="I33" t="inlineStr">
        <is>
          <t>100</t>
        </is>
      </c>
    </row>
    <row r="34">
      <c r="A34" t="inlineStr">
        <is>
          <t>Stock</t>
        </is>
      </c>
      <c r="B34" t="inlineStr">
        <is>
          <t>Total as before.</t>
        </is>
      </c>
      <c r="C34" t="n">
        <v>0</v>
      </c>
      <c r="D34" t="n">
        <v>0</v>
      </c>
      <c r="E34" t="inlineStr">
        <is>
          <t>Hoggs</t>
        </is>
      </c>
    </row>
    <row r="35">
      <c r="A35" t="inlineStr">
        <is>
          <t>Stock</t>
        </is>
      </c>
      <c r="B35" t="inlineStr">
        <is>
          <t>None remain.</t>
        </is>
      </c>
      <c r="C35" t="n">
        <v>0</v>
      </c>
      <c r="D35" t="n">
        <v>0</v>
      </c>
      <c r="E35" t="inlineStr">
        <is>
          <t>Hoggs</t>
        </is>
      </c>
    </row>
    <row r="36">
      <c r="A36" t="inlineStr">
        <is>
          <t>Stock</t>
        </is>
      </c>
      <c r="B36" t="inlineStr">
        <is>
          <t>Lambs: 351 from the offspring of the said ewes and not more because 4 ewes died before lambing and 30 were sterile this year.</t>
        </is>
      </c>
      <c r="C36" t="n">
        <v>0</v>
      </c>
      <c r="D36" t="n">
        <v>0</v>
      </c>
      <c r="E36" t="inlineStr">
        <is>
          <t>Lambs</t>
        </is>
      </c>
      <c r="G36" t="inlineStr">
        <is>
          <t>351</t>
        </is>
      </c>
    </row>
    <row r="37">
      <c r="A37" t="inlineStr">
        <is>
          <t>Stock</t>
        </is>
      </c>
      <c r="B37" t="inlineStr">
        <is>
          <t>51 bought before shearing.</t>
        </is>
      </c>
      <c r="C37" t="n">
        <v>0</v>
      </c>
      <c r="D37" t="n">
        <v>0</v>
      </c>
      <c r="E37" t="inlineStr">
        <is>
          <t>Lambs</t>
        </is>
      </c>
      <c r="G37" t="inlineStr">
        <is>
          <t>51</t>
        </is>
      </c>
    </row>
    <row r="38">
      <c r="A38" t="inlineStr">
        <is>
          <t>Stock</t>
        </is>
      </c>
      <c r="B38" t="inlineStr">
        <is>
          <t>Total, 402. 41 in murrain before weaning.</t>
        </is>
      </c>
      <c r="C38" t="n">
        <v>0</v>
      </c>
      <c r="D38" t="n">
        <v>0</v>
      </c>
      <c r="E38" t="inlineStr">
        <is>
          <t>Lambs</t>
        </is>
      </c>
      <c r="H38" t="inlineStr">
        <is>
          <t>41</t>
        </is>
      </c>
    </row>
    <row r="39">
      <c r="A39" t="inlineStr">
        <is>
          <t>Stock</t>
        </is>
      </c>
      <c r="B39" t="inlineStr">
        <is>
          <t>31 in tithe.</t>
        </is>
      </c>
      <c r="C39" t="n">
        <v>0</v>
      </c>
      <c r="D39" t="n">
        <v>0</v>
      </c>
      <c r="E39" t="inlineStr">
        <is>
          <t>Lambs</t>
        </is>
      </c>
    </row>
    <row r="40">
      <c r="A40" t="inlineStr">
        <is>
          <t>Stock</t>
        </is>
      </c>
      <c r="B40" t="inlineStr">
        <is>
          <t>4 in customary payment to the reeve, smith, shepherd of wethers and shepherd of ewes before shearing.</t>
        </is>
      </c>
      <c r="C40" t="n">
        <v>0</v>
      </c>
      <c r="D40" t="n">
        <v>0</v>
      </c>
      <c r="E40" t="inlineStr">
        <is>
          <t>Lambs</t>
        </is>
      </c>
    </row>
    <row r="41">
      <c r="A41" t="inlineStr">
        <is>
          <t>Stock</t>
        </is>
      </c>
      <c r="B41" t="inlineStr">
        <is>
          <t>14 removed from stock and sold before shearing.</t>
        </is>
      </c>
      <c r="C41" t="n">
        <v>0</v>
      </c>
      <c r="D41" t="n">
        <v>0</v>
      </c>
      <c r="E41" t="inlineStr">
        <is>
          <t>Lambs</t>
        </is>
      </c>
      <c r="I41" t="inlineStr">
        <is>
          <t>14</t>
        </is>
      </c>
    </row>
    <row r="42">
      <c r="A42" t="inlineStr">
        <is>
          <t>Stock</t>
        </is>
      </c>
      <c r="B42" t="inlineStr">
        <is>
          <t>5 in murrain after weaning and before shearing and 20 after shearing.</t>
        </is>
      </c>
      <c r="C42" t="n">
        <v>0</v>
      </c>
      <c r="D42" t="n">
        <v>0</v>
      </c>
      <c r="E42" t="inlineStr">
        <is>
          <t>Lambs</t>
        </is>
      </c>
      <c r="H42" t="inlineStr">
        <is>
          <t>5</t>
        </is>
      </c>
    </row>
    <row r="43">
      <c r="A43" t="inlineStr">
        <is>
          <t>Stock</t>
        </is>
      </c>
      <c r="B43" t="inlineStr">
        <is>
          <t>Total, 115. 287 remain.</t>
        </is>
      </c>
      <c r="C43" t="n">
        <v>0</v>
      </c>
      <c r="D43" t="n">
        <v>0</v>
      </c>
      <c r="E43" t="inlineStr">
        <is>
          <t>Lambs</t>
        </is>
      </c>
      <c r="F43" t="inlineStr">
        <is>
          <t>287</t>
        </is>
      </c>
    </row>
    <row r="44">
      <c r="A44" t="inlineStr">
        <is>
          <t>Stock</t>
        </is>
      </c>
      <c r="B44" t="inlineStr">
        <is>
          <t>Sows: 1 remains.</t>
        </is>
      </c>
      <c r="C44" t="n">
        <v>0</v>
      </c>
      <c r="D44" t="n">
        <v>0</v>
      </c>
      <c r="E44" t="inlineStr">
        <is>
          <t>Sows</t>
        </is>
      </c>
    </row>
    <row r="45">
      <c r="A45" t="inlineStr">
        <is>
          <t>Stock</t>
        </is>
      </c>
      <c r="B45" t="inlineStr">
        <is>
          <t>Piglets: Nothing of the piglets from the offspring of the same sow here because at farm in the cash account within.</t>
        </is>
      </c>
      <c r="C45" t="n">
        <v>0</v>
      </c>
      <c r="D45" t="n">
        <v>0</v>
      </c>
      <c r="E45" t="inlineStr">
        <is>
          <t>Piglets</t>
        </is>
      </c>
    </row>
    <row r="46">
      <c r="A46" t="inlineStr">
        <is>
          <t>Stock</t>
        </is>
      </c>
      <c r="B46" t="inlineStr">
        <is>
          <t>Geese: 1 gander and 4 breeding geese remain.</t>
        </is>
      </c>
      <c r="C46" t="n">
        <v>0</v>
      </c>
      <c r="D46" t="n">
        <v>0</v>
      </c>
      <c r="E46" t="inlineStr">
        <is>
          <t>Poultry stock</t>
        </is>
      </c>
      <c r="F46" t="inlineStr">
        <is>
          <t>1</t>
        </is>
      </c>
    </row>
    <row r="47">
      <c r="A47" t="inlineStr">
        <is>
          <t>Stock</t>
        </is>
      </c>
      <c r="B47" t="inlineStr">
        <is>
          <t>24 offspring.</t>
        </is>
      </c>
      <c r="C47" t="n">
        <v>0</v>
      </c>
      <c r="D47" t="n">
        <v>0</v>
      </c>
      <c r="E47" t="inlineStr">
        <is>
          <t>Poultry stock</t>
        </is>
      </c>
      <c r="G47" t="inlineStr">
        <is>
          <t>24</t>
        </is>
      </c>
    </row>
    <row r="48">
      <c r="A48" t="inlineStr">
        <is>
          <t>Stock</t>
        </is>
      </c>
      <c r="B48" t="inlineStr">
        <is>
          <t>Total, 29. 2 in tithe.</t>
        </is>
      </c>
      <c r="C48" t="n">
        <v>0</v>
      </c>
      <c r="D48" t="n">
        <v>0</v>
      </c>
      <c r="E48" t="inlineStr">
        <is>
          <t>Poultry stock</t>
        </is>
      </c>
    </row>
    <row r="49">
      <c r="A49" t="inlineStr">
        <is>
          <t>Stock</t>
        </is>
      </c>
      <c r="B49" t="inlineStr">
        <is>
          <t>22 sold within.</t>
        </is>
      </c>
      <c r="C49" t="n">
        <v>0</v>
      </c>
      <c r="D49" t="n">
        <v>0</v>
      </c>
      <c r="E49" t="inlineStr">
        <is>
          <t>Poultry stock</t>
        </is>
      </c>
      <c r="I49" t="inlineStr">
        <is>
          <t>22</t>
        </is>
      </c>
    </row>
    <row r="50">
      <c r="A50" t="inlineStr">
        <is>
          <t>Stock</t>
        </is>
      </c>
      <c r="B50" t="inlineStr">
        <is>
          <t>1 gander and 4 breeding geese remain.</t>
        </is>
      </c>
      <c r="C50" t="n">
        <v>0</v>
      </c>
      <c r="D50" t="n">
        <v>0</v>
      </c>
      <c r="E50" t="inlineStr">
        <is>
          <t>Poultry stock</t>
        </is>
      </c>
    </row>
    <row r="51">
      <c r="A51" t="inlineStr">
        <is>
          <t>Stock</t>
        </is>
      </c>
      <c r="B51" t="inlineStr">
        <is>
          <t>Capons: 24 remain.</t>
        </is>
      </c>
      <c r="C51" t="n">
        <v>0</v>
      </c>
      <c r="D51" t="n">
        <v>0</v>
      </c>
      <c r="E51" t="inlineStr">
        <is>
          <t>Poultry stock</t>
        </is>
      </c>
    </row>
    <row r="52">
      <c r="A52" t="inlineStr">
        <is>
          <t>Stock</t>
        </is>
      </c>
      <c r="B52" t="inlineStr">
        <is>
          <t>24 made from the chickens below.</t>
        </is>
      </c>
      <c r="C52" t="n">
        <v>0</v>
      </c>
      <c r="D52" t="n">
        <v>0</v>
      </c>
      <c r="E52" t="inlineStr">
        <is>
          <t>Poultry stock</t>
        </is>
      </c>
    </row>
    <row r="53">
      <c r="A53" t="inlineStr">
        <is>
          <t>Stock</t>
        </is>
      </c>
      <c r="B53" t="inlineStr">
        <is>
          <t>Total, 48. 24 sold within.</t>
        </is>
      </c>
      <c r="C53" t="n">
        <v>0</v>
      </c>
      <c r="D53" t="n">
        <v>0</v>
      </c>
      <c r="E53" t="inlineStr">
        <is>
          <t>Poultry stock</t>
        </is>
      </c>
      <c r="I53" t="inlineStr">
        <is>
          <t>24</t>
        </is>
      </c>
    </row>
    <row r="54">
      <c r="A54" t="inlineStr">
        <is>
          <t>Stock</t>
        </is>
      </c>
      <c r="B54" t="inlineStr">
        <is>
          <t>24 remain.</t>
        </is>
      </c>
      <c r="C54" t="n">
        <v>0</v>
      </c>
      <c r="D54" t="n">
        <v>0</v>
      </c>
      <c r="E54" t="inlineStr">
        <is>
          <t>Poultry stock</t>
        </is>
      </c>
    </row>
    <row r="55">
      <c r="A55" t="inlineStr">
        <is>
          <t>Stock</t>
        </is>
      </c>
      <c r="B55" t="inlineStr">
        <is>
          <t>Cocks and hens: 1 cock and 5 hens remain.</t>
        </is>
      </c>
      <c r="C55" t="n">
        <v>0</v>
      </c>
      <c r="D55" t="n">
        <v>0</v>
      </c>
      <c r="E55" t="inlineStr">
        <is>
          <t>Poultry stock</t>
        </is>
      </c>
    </row>
    <row r="56">
      <c r="A56" t="inlineStr">
        <is>
          <t>Stock</t>
        </is>
      </c>
      <c r="B56" t="inlineStr">
        <is>
          <t>125 from churchscot at Martinmas.</t>
        </is>
      </c>
      <c r="C56" t="n">
        <v>0</v>
      </c>
      <c r="D56" t="n">
        <v>0</v>
      </c>
      <c r="E56" t="inlineStr">
        <is>
          <t>Poultry stock</t>
        </is>
      </c>
    </row>
    <row r="57">
      <c r="A57" t="inlineStr">
        <is>
          <t>Stock</t>
        </is>
      </c>
      <c r="B57" t="inlineStr">
        <is>
          <t>Total, 131.4 in default of the land of le Strong' drawn into demesne for the year.</t>
        </is>
      </c>
      <c r="C57" t="n">
        <v>0</v>
      </c>
      <c r="D57" t="n">
        <v>0</v>
      </c>
      <c r="E57" t="inlineStr">
        <is>
          <t>Poultry stock</t>
        </is>
      </c>
    </row>
    <row r="58">
      <c r="A58" t="inlineStr">
        <is>
          <t>Stock</t>
        </is>
      </c>
      <c r="B58" t="inlineStr">
        <is>
          <t>4 for the land of William de Cur' for the same.</t>
        </is>
      </c>
      <c r="C58" t="n">
        <v>0</v>
      </c>
      <c r="D58" t="n">
        <v>0</v>
      </c>
      <c r="E58" t="inlineStr">
        <is>
          <t>Poultry stock</t>
        </is>
      </c>
    </row>
    <row r="59">
      <c r="A59" t="inlineStr">
        <is>
          <t>Stock</t>
        </is>
      </c>
      <c r="B59" t="inlineStr">
        <is>
          <t>4 for the land of Robert de Cruce for the same.</t>
        </is>
      </c>
      <c r="C59" t="n">
        <v>0</v>
      </c>
      <c r="D59" t="n">
        <v>0</v>
      </c>
      <c r="E59" t="inlineStr">
        <is>
          <t>Poultry stock</t>
        </is>
      </c>
    </row>
    <row r="60">
      <c r="A60" t="inlineStr">
        <is>
          <t>Stock</t>
        </is>
      </c>
      <c r="B60" t="inlineStr">
        <is>
          <t>4 for the land of le Swon for the same.</t>
        </is>
      </c>
      <c r="C60" t="n">
        <v>0</v>
      </c>
      <c r="D60" t="n">
        <v>0</v>
      </c>
      <c r="E60" t="inlineStr">
        <is>
          <t>Poultry stock</t>
        </is>
      </c>
    </row>
    <row r="61">
      <c r="A61" t="inlineStr">
        <is>
          <t>Stock</t>
        </is>
      </c>
      <c r="B61" t="inlineStr">
        <is>
          <t>4 for the land of Richard Vaccar' for the same.</t>
        </is>
      </c>
      <c r="C61" t="n">
        <v>0</v>
      </c>
      <c r="D61" t="n">
        <v>0</v>
      </c>
      <c r="E61" t="inlineStr">
        <is>
          <t>Poultry stock</t>
        </is>
      </c>
    </row>
    <row r="62">
      <c r="A62" t="inlineStr">
        <is>
          <t>Stock</t>
        </is>
      </c>
      <c r="B62" t="inlineStr">
        <is>
          <t>4 for the land of Richard Knave for the same.</t>
        </is>
      </c>
      <c r="C62" t="n">
        <v>0</v>
      </c>
      <c r="D62" t="n">
        <v>0</v>
      </c>
      <c r="E62" t="inlineStr">
        <is>
          <t>Poultry stock</t>
        </is>
      </c>
    </row>
    <row r="63">
      <c r="A63" t="inlineStr">
        <is>
          <t>Stock</t>
        </is>
      </c>
      <c r="B63" t="inlineStr">
        <is>
          <t>12 for the land formerly of Robert Wodecotte, for 3.5 virgates, because in the lord's hands.</t>
        </is>
      </c>
      <c r="C63" t="n">
        <v>0</v>
      </c>
      <c r="D63" t="n">
        <v>0</v>
      </c>
      <c r="E63" t="inlineStr">
        <is>
          <t>Poultry stock</t>
        </is>
      </c>
    </row>
    <row r="64">
      <c r="A64" t="inlineStr">
        <is>
          <t>Stock</t>
        </is>
      </c>
      <c r="B64" t="inlineStr">
        <is>
          <t>2 for the land of John Davy because he has no wife.</t>
        </is>
      </c>
      <c r="C64" t="n">
        <v>0</v>
      </c>
      <c r="D64" t="n">
        <v>0</v>
      </c>
      <c r="E64" t="inlineStr">
        <is>
          <t>Poultry stock</t>
        </is>
      </c>
    </row>
    <row r="65">
      <c r="A65" t="inlineStr">
        <is>
          <t>Stock</t>
        </is>
      </c>
      <c r="B65" t="inlineStr">
        <is>
          <t>2 for the land of Roger Lyght' for the same.</t>
        </is>
      </c>
      <c r="C65" t="n">
        <v>0</v>
      </c>
      <c r="D65" t="n">
        <v>0</v>
      </c>
      <c r="E65" t="inlineStr">
        <is>
          <t>Poultry stock</t>
        </is>
      </c>
    </row>
    <row r="66">
      <c r="A66" t="inlineStr">
        <is>
          <t>Stock</t>
        </is>
      </c>
      <c r="B66" t="inlineStr">
        <is>
          <t>2 for the land of Amice Wodecote because she has no husband.</t>
        </is>
      </c>
      <c r="C66" t="n">
        <v>0</v>
      </c>
      <c r="D66" t="n">
        <v>0</v>
      </c>
      <c r="E66" t="inlineStr">
        <is>
          <t>Poultry stock</t>
        </is>
      </c>
    </row>
    <row r="67">
      <c r="A67" t="inlineStr">
        <is>
          <t>Stock</t>
        </is>
      </c>
      <c r="B67" t="inlineStr">
        <is>
          <t>83 sold within.</t>
        </is>
      </c>
      <c r="C67" t="n">
        <v>0</v>
      </c>
      <c r="D67" t="n">
        <v>0</v>
      </c>
      <c r="E67" t="inlineStr">
        <is>
          <t>Poultry stock</t>
        </is>
      </c>
      <c r="I67" t="inlineStr">
        <is>
          <t>83</t>
        </is>
      </c>
    </row>
    <row r="68">
      <c r="A68" t="inlineStr">
        <is>
          <t>Stock</t>
        </is>
      </c>
      <c r="B68" t="inlineStr">
        <is>
          <t>Total, 125. 1 cock and 5 hens remain.</t>
        </is>
      </c>
      <c r="C68" t="n">
        <v>0</v>
      </c>
      <c r="D68" t="n">
        <v>0</v>
      </c>
      <c r="E68" t="inlineStr">
        <is>
          <t>Poultry stock</t>
        </is>
      </c>
    </row>
    <row r="69">
      <c r="A69" t="inlineStr">
        <is>
          <t>Stock</t>
        </is>
      </c>
      <c r="B69" t="inlineStr">
        <is>
          <t>Chickens: 24 offspring.</t>
        </is>
      </c>
      <c r="C69" t="n">
        <v>0</v>
      </c>
      <c r="D69" t="n">
        <v>0</v>
      </c>
      <c r="E69" t="inlineStr">
        <is>
          <t>Poultry stock</t>
        </is>
      </c>
      <c r="G69" t="inlineStr">
        <is>
          <t>24</t>
        </is>
      </c>
    </row>
    <row r="70">
      <c r="A70" t="inlineStr">
        <is>
          <t>Stock</t>
        </is>
      </c>
      <c r="B70" t="inlineStr">
        <is>
          <t>all turned into capons above.</t>
        </is>
      </c>
      <c r="C70" t="n">
        <v>0</v>
      </c>
      <c r="D70" t="n">
        <v>0</v>
      </c>
      <c r="E70" t="inlineStr">
        <is>
          <t>Poultry stock</t>
        </is>
      </c>
    </row>
    <row r="71">
      <c r="A71" t="inlineStr">
        <is>
          <t>Stock</t>
        </is>
      </c>
      <c r="B71" t="inlineStr">
        <is>
          <t>none remain.</t>
        </is>
      </c>
      <c r="C71" t="n">
        <v>0</v>
      </c>
      <c r="D71" t="n">
        <v>0</v>
      </c>
      <c r="E71" t="inlineStr">
        <is>
          <t>Poultry stock</t>
        </is>
      </c>
    </row>
    <row r="72">
      <c r="A72" t="inlineStr">
        <is>
          <t>Stock</t>
        </is>
      </c>
      <c r="B72" t="inlineStr">
        <is>
          <t>Eggs: 200 produced by the hens.</t>
        </is>
      </c>
      <c r="C72" t="n">
        <v>0</v>
      </c>
      <c r="D72" t="n">
        <v>0</v>
      </c>
      <c r="E72" t="inlineStr">
        <is>
          <t>Poultry production</t>
        </is>
      </c>
    </row>
    <row r="73">
      <c r="A73" t="inlineStr">
        <is>
          <t>Stock</t>
        </is>
      </c>
      <c r="B73" t="inlineStr">
        <is>
          <t>sold within.</t>
        </is>
      </c>
      <c r="C73" t="n">
        <v>0</v>
      </c>
      <c r="D73" t="n">
        <v>0</v>
      </c>
      <c r="E73" t="inlineStr">
        <is>
          <t>Poultry production</t>
        </is>
      </c>
    </row>
    <row r="74">
      <c r="A74" t="inlineStr">
        <is>
          <t>Stock</t>
        </is>
      </c>
      <c r="B74" t="inlineStr">
        <is>
          <t>none remain.</t>
        </is>
      </c>
      <c r="C74" t="n">
        <v>0</v>
      </c>
      <c r="D74" t="n">
        <v>0</v>
      </c>
      <c r="E74" t="inlineStr">
        <is>
          <t>Poultry production</t>
        </is>
      </c>
    </row>
    <row r="75">
      <c r="A75" t="inlineStr">
        <is>
          <t>Stock</t>
        </is>
      </c>
      <c r="B75" t="inlineStr">
        <is>
          <t>Coarse wool: 489 fleeces from wethers, 11 from rams, 377 from ewes and 199 from hoggs produced at the shearing this year.</t>
        </is>
      </c>
      <c r="C75" t="n">
        <v>0</v>
      </c>
      <c r="D75" t="n">
        <v>0</v>
      </c>
      <c r="E75" t="inlineStr">
        <is>
          <t>Coarse wool</t>
        </is>
      </c>
    </row>
    <row r="76">
      <c r="A76" t="inlineStr">
        <is>
          <t>Stock</t>
        </is>
      </c>
      <c r="B76" t="inlineStr">
        <is>
          <t>Total, 1,076. 107 in tithe.</t>
        </is>
      </c>
      <c r="C76" t="n">
        <v>0</v>
      </c>
      <c r="D76" t="n">
        <v>0</v>
      </c>
      <c r="E76" t="inlineStr">
        <is>
          <t>Coarse wool</t>
        </is>
      </c>
    </row>
    <row r="77">
      <c r="A77" t="inlineStr">
        <is>
          <t>Stock</t>
        </is>
      </c>
      <c r="B77" t="inlineStr">
        <is>
          <t>969 delivered to the receiver of Wolvesey, weighing 3 sacks 15 cloves.</t>
        </is>
      </c>
      <c r="C77" t="n">
        <v>0</v>
      </c>
      <c r="D77" t="n">
        <v>0</v>
      </c>
      <c r="E77" t="inlineStr">
        <is>
          <t>Coarse wool</t>
        </is>
      </c>
    </row>
    <row r="78">
      <c r="A78" t="inlineStr">
        <is>
          <t>Stock</t>
        </is>
      </c>
      <c r="B78" t="inlineStr">
        <is>
          <t>Total as before.</t>
        </is>
      </c>
      <c r="C78" t="n">
        <v>0</v>
      </c>
      <c r="D78" t="n">
        <v>0</v>
      </c>
      <c r="E78" t="inlineStr">
        <is>
          <t>Coarse wool</t>
        </is>
      </c>
    </row>
    <row r="79">
      <c r="A79" t="inlineStr">
        <is>
          <t>Stock</t>
        </is>
      </c>
      <c r="B79" t="inlineStr">
        <is>
          <t>It balances..</t>
        </is>
      </c>
      <c r="C79" t="n">
        <v>0</v>
      </c>
      <c r="D79" t="n">
        <v>0</v>
      </c>
      <c r="E79" t="inlineStr">
        <is>
          <t>Coarse wool</t>
        </is>
      </c>
    </row>
    <row r="80">
      <c r="A80" t="inlineStr">
        <is>
          <t>Stock</t>
        </is>
      </c>
      <c r="B80" t="inlineStr">
        <is>
          <t>Wool locks: 2 cloves gathered by the shepherds at the shearing this year.</t>
        </is>
      </c>
      <c r="C80" t="n">
        <v>0</v>
      </c>
      <c r="D80" t="n">
        <v>0</v>
      </c>
      <c r="E80" t="inlineStr">
        <is>
          <t>Wool locks</t>
        </is>
      </c>
    </row>
    <row r="81">
      <c r="A81" t="inlineStr">
        <is>
          <t>Stock</t>
        </is>
      </c>
      <c r="B81" t="inlineStr">
        <is>
          <t>sold within.</t>
        </is>
      </c>
      <c r="C81" t="n">
        <v>0</v>
      </c>
      <c r="D81" t="n">
        <v>0</v>
      </c>
      <c r="E81" t="inlineStr">
        <is>
          <t>Wool locks</t>
        </is>
      </c>
    </row>
    <row r="82">
      <c r="A82" t="inlineStr">
        <is>
          <t>Stock</t>
        </is>
      </c>
      <c r="B82" t="inlineStr">
        <is>
          <t>none remain.</t>
        </is>
      </c>
      <c r="C82" t="n">
        <v>0</v>
      </c>
      <c r="D82" t="n">
        <v>0</v>
      </c>
      <c r="E82" t="inlineStr">
        <is>
          <t>Wool locks</t>
        </is>
      </c>
    </row>
    <row r="83">
      <c r="A83" t="inlineStr">
        <is>
          <t>Stock</t>
        </is>
      </c>
      <c r="B83" t="inlineStr">
        <is>
          <t>Lamb's-wool: 307 fleeces from lambs produced at the shearing this year.</t>
        </is>
      </c>
      <c r="C83" t="n">
        <v>0</v>
      </c>
      <c r="D83" t="n">
        <v>0</v>
      </c>
      <c r="E83" t="inlineStr">
        <is>
          <t>Wool locks</t>
        </is>
      </c>
    </row>
    <row r="84">
      <c r="A84" t="inlineStr">
        <is>
          <t>Stock</t>
        </is>
      </c>
      <c r="B84" t="inlineStr">
        <is>
          <t>sold within, weighing 11 cloves.</t>
        </is>
      </c>
      <c r="C84" t="n">
        <v>0</v>
      </c>
      <c r="D84" t="n">
        <v>0</v>
      </c>
      <c r="E84" t="inlineStr">
        <is>
          <t>Wool locks</t>
        </is>
      </c>
    </row>
    <row r="85">
      <c r="A85" t="inlineStr">
        <is>
          <t>Stock</t>
        </is>
      </c>
      <c r="B85" t="inlineStr">
        <is>
          <t>none remains.</t>
        </is>
      </c>
      <c r="C85" t="n">
        <v>0</v>
      </c>
      <c r="D85" t="n">
        <v>0</v>
      </c>
      <c r="E85" t="inlineStr">
        <is>
          <t>Wool locks</t>
        </is>
      </c>
    </row>
    <row r="86">
      <c r="A86" t="inlineStr">
        <is>
          <t>Stock</t>
        </is>
      </c>
      <c r="B86" t="inlineStr">
        <is>
          <t>Hides: 2 from horses and 1 from an ox in murrain as made clear above.</t>
        </is>
      </c>
      <c r="C86" t="n">
        <v>0</v>
      </c>
      <c r="D86" t="n">
        <v>0</v>
      </c>
      <c r="E86" t="inlineStr">
        <is>
          <t>Wool locks</t>
        </is>
      </c>
      <c r="H86" t="inlineStr">
        <is>
          <t>2</t>
        </is>
      </c>
    </row>
    <row r="87">
      <c r="A87" t="inlineStr">
        <is>
          <t>Stock</t>
        </is>
      </c>
      <c r="B87" t="inlineStr">
        <is>
          <t>sold within.</t>
        </is>
      </c>
      <c r="C87" t="n">
        <v>0</v>
      </c>
      <c r="D87" t="n">
        <v>0</v>
      </c>
      <c r="E87" t="inlineStr">
        <is>
          <t>Wool locks</t>
        </is>
      </c>
    </row>
    <row r="88">
      <c r="A88" t="inlineStr">
        <is>
          <t>Stock</t>
        </is>
      </c>
      <c r="B88" t="inlineStr">
        <is>
          <t>none remain.</t>
        </is>
      </c>
      <c r="C88" t="n">
        <v>0</v>
      </c>
      <c r="D88" t="n">
        <v>0</v>
      </c>
      <c r="E88" t="inlineStr">
        <is>
          <t>Wool locks</t>
        </is>
      </c>
    </row>
    <row r="89">
      <c r="A89" t="inlineStr">
        <is>
          <t>Stock</t>
        </is>
      </c>
      <c r="B89" t="inlineStr">
        <is>
          <t>Woolskins: 14 from wethers, 9 from ewes and 12 from hoggs in murrain before shearing.</t>
        </is>
      </c>
      <c r="C89" t="n">
        <v>0</v>
      </c>
      <c r="D89" t="n">
        <v>0</v>
      </c>
      <c r="E89" t="inlineStr">
        <is>
          <t>Woolskins</t>
        </is>
      </c>
      <c r="H89" t="inlineStr">
        <is>
          <t>9</t>
        </is>
      </c>
    </row>
    <row r="90">
      <c r="A90" t="inlineStr">
        <is>
          <t>Stock</t>
        </is>
      </c>
      <c r="B90" t="inlineStr">
        <is>
          <t>sold within.</t>
        </is>
      </c>
      <c r="C90" t="n">
        <v>0</v>
      </c>
      <c r="D90" t="n">
        <v>0</v>
      </c>
      <c r="E90" t="inlineStr">
        <is>
          <t>Woolskins</t>
        </is>
      </c>
    </row>
    <row r="91">
      <c r="A91" t="inlineStr">
        <is>
          <t>Stock</t>
        </is>
      </c>
      <c r="B91" t="inlineStr">
        <is>
          <t>none remain.</t>
        </is>
      </c>
      <c r="C91" t="n">
        <v>0</v>
      </c>
      <c r="D91" t="n">
        <v>0</v>
      </c>
      <c r="E91" t="inlineStr">
        <is>
          <t>Woolskins</t>
        </is>
      </c>
    </row>
    <row r="92">
      <c r="A92" t="inlineStr">
        <is>
          <t>Stock</t>
        </is>
      </c>
      <c r="B92" t="inlineStr">
        <is>
          <t>Bare skins: 7 from wethers and 3 from ewes in murrain after shearing.</t>
        </is>
      </c>
      <c r="C92" t="n">
        <v>0</v>
      </c>
      <c r="D92" t="n">
        <v>0</v>
      </c>
      <c r="E92" t="inlineStr">
        <is>
          <t>Bareskins</t>
        </is>
      </c>
      <c r="H92" t="inlineStr">
        <is>
          <t>7</t>
        </is>
      </c>
    </row>
    <row r="93">
      <c r="A93" t="inlineStr">
        <is>
          <t>Stock</t>
        </is>
      </c>
      <c r="B93" t="inlineStr">
        <is>
          <t>sold within.</t>
        </is>
      </c>
      <c r="C93" t="n">
        <v>0</v>
      </c>
      <c r="D93" t="n">
        <v>0</v>
      </c>
      <c r="E93" t="inlineStr">
        <is>
          <t>Bareskins</t>
        </is>
      </c>
    </row>
    <row r="94">
      <c r="A94" t="inlineStr">
        <is>
          <t>Stock</t>
        </is>
      </c>
      <c r="B94" t="inlineStr">
        <is>
          <t>none remain.</t>
        </is>
      </c>
      <c r="C94" t="n">
        <v>0</v>
      </c>
      <c r="D94" t="n">
        <v>0</v>
      </c>
      <c r="E94" t="inlineStr">
        <is>
          <t>Bareskins</t>
        </is>
      </c>
    </row>
    <row r="95">
      <c r="A95" t="inlineStr">
        <is>
          <t>Stock</t>
        </is>
      </c>
      <c r="B95" t="inlineStr">
        <is>
          <t>Lambskins: 41 from lambs in murrain before weaning.</t>
        </is>
      </c>
      <c r="C95" t="n">
        <v>0</v>
      </c>
      <c r="D95" t="n">
        <v>0</v>
      </c>
      <c r="E95" t="inlineStr">
        <is>
          <t>Lambskins</t>
        </is>
      </c>
      <c r="H95" t="inlineStr">
        <is>
          <t>41</t>
        </is>
      </c>
    </row>
    <row r="96">
      <c r="A96" t="inlineStr">
        <is>
          <t>Stock</t>
        </is>
      </c>
      <c r="B96" t="inlineStr">
        <is>
          <t>sold within.</t>
        </is>
      </c>
      <c r="C96" t="n">
        <v>0</v>
      </c>
      <c r="D96" t="n">
        <v>0</v>
      </c>
      <c r="E96" t="inlineStr">
        <is>
          <t>Lambskins</t>
        </is>
      </c>
    </row>
    <row r="97">
      <c r="A97" t="inlineStr">
        <is>
          <t>Stock</t>
        </is>
      </c>
      <c r="B97" t="inlineStr">
        <is>
          <t>none remain.</t>
        </is>
      </c>
      <c r="C97" t="n">
        <v>0</v>
      </c>
      <c r="D97" t="n">
        <v>0</v>
      </c>
      <c r="E97" t="inlineStr">
        <is>
          <t>Lambskins</t>
        </is>
      </c>
    </row>
    <row r="98">
      <c r="A98" t="inlineStr">
        <is>
          <t>Stock</t>
        </is>
      </c>
      <c r="B98" t="inlineStr">
        <is>
          <t>Rotted skins: 5 from lambs in murrain after weaning and before shearing.</t>
        </is>
      </c>
      <c r="C98" t="n">
        <v>0</v>
      </c>
      <c r="D98" t="n">
        <v>0</v>
      </c>
      <c r="E98" t="inlineStr">
        <is>
          <t>Rotted skins</t>
        </is>
      </c>
      <c r="H98" t="inlineStr">
        <is>
          <t>5</t>
        </is>
      </c>
    </row>
    <row r="99">
      <c r="A99" t="inlineStr">
        <is>
          <t>Stock</t>
        </is>
      </c>
      <c r="B99" t="inlineStr">
        <is>
          <t>sold within.</t>
        </is>
      </c>
      <c r="C99" t="n">
        <v>0</v>
      </c>
      <c r="D99" t="n">
        <v>0</v>
      </c>
      <c r="E99" t="inlineStr">
        <is>
          <t>Rotted skins</t>
        </is>
      </c>
    </row>
    <row r="100">
      <c r="A100" t="inlineStr">
        <is>
          <t>Stock</t>
        </is>
      </c>
      <c r="B100" t="inlineStr">
        <is>
          <t>none remain.</t>
        </is>
      </c>
      <c r="C100" t="n">
        <v>0</v>
      </c>
      <c r="D100" t="n">
        <v>0</v>
      </c>
      <c r="E100" t="inlineStr">
        <is>
          <t>Rotted skins</t>
        </is>
      </c>
    </row>
    <row r="101">
      <c r="A101" t="inlineStr">
        <is>
          <t>Stock</t>
        </is>
      </c>
      <c r="B101" t="inlineStr">
        <is>
          <t>Shorn skins: 20 from lambs in murrain after shearing.</t>
        </is>
      </c>
      <c r="C101" t="n">
        <v>0</v>
      </c>
      <c r="D101" t="n">
        <v>0</v>
      </c>
      <c r="E101" t="inlineStr">
        <is>
          <t>Shorn skins</t>
        </is>
      </c>
      <c r="H101" t="inlineStr">
        <is>
          <t>20</t>
        </is>
      </c>
    </row>
    <row r="102">
      <c r="A102" t="inlineStr">
        <is>
          <t>Stock</t>
        </is>
      </c>
      <c r="B102" t="inlineStr">
        <is>
          <t>sold within.</t>
        </is>
      </c>
      <c r="C102" t="n">
        <v>0</v>
      </c>
      <c r="D102" t="n">
        <v>0</v>
      </c>
      <c r="E102" t="inlineStr">
        <is>
          <t>Shorn skins</t>
        </is>
      </c>
    </row>
    <row r="103">
      <c r="A103" t="inlineStr">
        <is>
          <t>Stock</t>
        </is>
      </c>
      <c r="B103" t="inlineStr">
        <is>
          <t>none remain..</t>
        </is>
      </c>
      <c r="C103" t="n">
        <v>0</v>
      </c>
      <c r="D103" t="n">
        <v>0</v>
      </c>
      <c r="E103" t="inlineStr">
        <is>
          <t>Shorn skins</t>
        </is>
      </c>
    </row>
    <row r="104">
      <c r="A104" t="inlineStr">
        <is>
          <t>Stock</t>
        </is>
      </c>
      <c r="B104" t="inlineStr">
        <is>
          <t>Utensils: 3 ploughs with 3 pairs of iron-shod wheels and all iron equipment for 16 oxen, 5 wooden harrows, 1 seed-basket, 1 iron bushel measure, 1 peck measure, 2 sacks, 1 winnowing-fan and 1 basket for carrying corn remain.</t>
        </is>
      </c>
      <c r="C104" t="n">
        <v>0</v>
      </c>
      <c r="D104" t="n">
        <v>0</v>
      </c>
      <c r="E104" t="inlineStr">
        <is>
          <t>Utensils</t>
        </is>
      </c>
      <c r="F104" t="inlineStr">
        <is>
          <t>1</t>
        </is>
      </c>
    </row>
    <row r="105">
      <c r="A105" t="inlineStr">
        <is>
          <t>Stock</t>
        </is>
      </c>
      <c r="B105" t="inlineStr">
        <is>
          <t>1 cart with iron tyres with a rope and cart-rail, 1 cart saddle, 5 collars, 4 pairs of traces and 5 halters remain.</t>
        </is>
      </c>
      <c r="C105" t="n">
        <v>0</v>
      </c>
      <c r="D105" t="n">
        <v>0</v>
      </c>
      <c r="E105" t="inlineStr">
        <is>
          <t>Utensils</t>
        </is>
      </c>
    </row>
    <row r="106">
      <c r="A106" t="inlineStr">
        <is>
          <t>Stock</t>
        </is>
      </c>
      <c r="B106" t="inlineStr">
        <is>
          <t>1 brass pot of 5 gallons, 1 posnet, 1 pan of 5 gallons, 1 pan of 12 gallons, 1 lath-work, 1 vat for the dairy, 1 tine, 1 tripod, 2 cheese moulds and 1 wheelbarrow remain.</t>
        </is>
      </c>
      <c r="C106" t="n">
        <v>0</v>
      </c>
      <c r="D106" t="n">
        <v>0</v>
      </c>
      <c r="E106" t="inlineStr">
        <is>
          <t>Utensils</t>
        </is>
      </c>
    </row>
    <row r="107">
      <c r="A107" t="inlineStr">
        <is>
          <t>Stock</t>
        </is>
      </c>
      <c r="B107" t="inlineStr">
        <is>
          <t>11 cratches for the sheep remain.</t>
        </is>
      </c>
      <c r="C107" t="n">
        <v>0</v>
      </c>
      <c r="D107" t="n">
        <v>0</v>
      </c>
      <c r="E107" t="inlineStr">
        <is>
          <t>Utensils</t>
        </is>
      </c>
    </row>
    <row r="108">
      <c r="A108" t="inlineStr">
        <is>
          <t>Stock</t>
        </is>
      </c>
      <c r="B108" t="inlineStr">
        <is>
          <t>They remain.</t>
        </is>
      </c>
      <c r="C108" t="n">
        <v>0</v>
      </c>
      <c r="D108" t="n">
        <v>0</v>
      </c>
      <c r="E108" t="inlineStr">
        <is>
          <t>Utensils</t>
        </is>
      </c>
    </row>
    <row r="109">
      <c r="A109" t="inlineStr">
        <is>
          <t>Stock</t>
        </is>
      </c>
      <c r="B109" t="inlineStr">
        <is>
          <t>Total</t>
        </is>
      </c>
      <c r="C109" t="n">
        <v>0</v>
      </c>
      <c r="D109" t="n">
        <v>0</v>
      </c>
      <c r="E109"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2"/>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william cuppere, reeve there, has charged himself for 50 quarters of wheat from the issue of the grange by struck measure, threshed by labour service, according to the agreement made with the lord's council to render annually 60 quarters of wheat unless the price of wheat exceeds 6 shilling 8pence a qr, and if it exceeds the said price of 6 shilling 8pence then he will answer for 50 quarters, and that agreement to be kept from year to year for 12 years, this year being the third.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AM3" t="n">
        <v>0</v>
      </c>
    </row>
    <row r="4">
      <c r="A4" t="inlineStr">
        <is>
          <t>wheat</t>
        </is>
      </c>
      <c r="B4" t="inlineStr">
        <is>
          <t>and he will render account for the sale of the said wheat and other corn and the other issues of this manor and he will give satisfaction to the lord at the audit by pledge of thomas cuppere, john wylde, john sely and john mulward'..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M4" t="n">
        <v>0</v>
      </c>
    </row>
    <row r="5">
      <c r="A5" t="inlineStr">
        <is>
          <t>wheat</t>
        </is>
      </c>
      <c r="B5" t="inlineStr">
        <is>
          <t>total, 50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50</v>
      </c>
      <c r="Y5" t="n">
        <v>0</v>
      </c>
      <c r="Z5" t="n">
        <v>50</v>
      </c>
      <c r="AA5" t="n">
        <v>50</v>
      </c>
      <c r="AB5" t="n">
        <v>0</v>
      </c>
      <c r="AC5" t="n">
        <v>50</v>
      </c>
      <c r="AD5" t="n">
        <v>0</v>
      </c>
      <c r="AM5" t="n">
        <v>0</v>
      </c>
    </row>
    <row r="6">
      <c r="A6" t="inlineStr">
        <is>
          <t>wheat</t>
        </is>
      </c>
      <c r="B6" t="inlineStr">
        <is>
          <t>sown over 60 acres of land by the perch, 15 quarters.</t>
        </is>
      </c>
      <c r="C6" t="n">
        <v>0</v>
      </c>
      <c r="D6" t="n">
        <v>0</v>
      </c>
      <c r="E6" t="n">
        <v>15</v>
      </c>
      <c r="F6" t="n">
        <v>0</v>
      </c>
      <c r="G6" t="n">
        <v>15</v>
      </c>
      <c r="H6" t="n">
        <v>0</v>
      </c>
      <c r="I6" t="n">
        <v>0</v>
      </c>
      <c r="J6" t="n">
        <v>0</v>
      </c>
      <c r="K6" t="n">
        <v>0</v>
      </c>
      <c r="L6" t="n">
        <v>0</v>
      </c>
      <c r="M6" t="n">
        <v>0</v>
      </c>
      <c r="N6" t="n">
        <v>0</v>
      </c>
      <c r="O6" t="n">
        <v>0</v>
      </c>
      <c r="P6" t="n">
        <v>0</v>
      </c>
      <c r="Q6" t="n">
        <v>0</v>
      </c>
      <c r="R6" t="n">
        <v>0</v>
      </c>
      <c r="S6" t="n">
        <v>0</v>
      </c>
      <c r="T6" t="n">
        <v>0</v>
      </c>
      <c r="U6" t="n">
        <v>0</v>
      </c>
      <c r="V6" t="n">
        <v>0</v>
      </c>
      <c r="W6" t="n">
        <v>0</v>
      </c>
      <c r="X6" t="n">
        <v>15</v>
      </c>
      <c r="Y6" t="n">
        <v>0</v>
      </c>
      <c r="Z6" t="n">
        <v>15</v>
      </c>
      <c r="AA6" t="n">
        <v>15</v>
      </c>
      <c r="AB6" t="n">
        <v>0</v>
      </c>
      <c r="AC6" t="n">
        <v>15</v>
      </c>
      <c r="AD6" t="n">
        <v>0</v>
      </c>
      <c r="AM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M7" t="n">
        <v>0</v>
      </c>
    </row>
    <row r="8">
      <c r="A8" t="inlineStr">
        <is>
          <t>wheat</t>
        </is>
      </c>
      <c r="B8" t="inlineStr">
        <is>
          <t>bread baked for the provision of the steward holding the tourns of martinmas and hockday, by 2 sealed bills,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0.25</v>
      </c>
      <c r="AB8" t="n">
        <v>0</v>
      </c>
      <c r="AC8" t="n">
        <v>0</v>
      </c>
      <c r="AD8" t="n">
        <v>2</v>
      </c>
      <c r="AM8" t="n">
        <v>0</v>
      </c>
    </row>
    <row r="9">
      <c r="A9" t="inlineStr">
        <is>
          <t>wheat</t>
        </is>
      </c>
      <c r="B9" t="inlineStr">
        <is>
          <t>sold within, 34 quarters 6 bushels.</t>
        </is>
      </c>
      <c r="C9" t="n">
        <v>0</v>
      </c>
      <c r="D9" t="n">
        <v>0</v>
      </c>
      <c r="E9" t="n">
        <v>0</v>
      </c>
      <c r="F9" t="n">
        <v>0</v>
      </c>
      <c r="G9" t="n">
        <v>0</v>
      </c>
      <c r="H9" t="n">
        <v>0</v>
      </c>
      <c r="I9" t="n">
        <v>0</v>
      </c>
      <c r="J9" t="n">
        <v>0</v>
      </c>
      <c r="K9" t="n">
        <v>0</v>
      </c>
      <c r="L9" t="n">
        <v>0</v>
      </c>
      <c r="M9" t="n">
        <v>0</v>
      </c>
      <c r="N9" t="n">
        <v>0</v>
      </c>
      <c r="O9" t="n">
        <v>0</v>
      </c>
      <c r="P9" t="n">
        <v>0</v>
      </c>
      <c r="Q9" t="n">
        <v>34</v>
      </c>
      <c r="R9" t="n">
        <v>6</v>
      </c>
      <c r="S9" t="n">
        <v>34.75</v>
      </c>
      <c r="T9" t="n">
        <v>0</v>
      </c>
      <c r="U9" t="n">
        <v>0</v>
      </c>
      <c r="V9" t="n">
        <v>0</v>
      </c>
      <c r="W9" t="n">
        <v>0</v>
      </c>
      <c r="X9" t="n">
        <v>34</v>
      </c>
      <c r="Y9" t="n">
        <v>6</v>
      </c>
      <c r="Z9" t="n">
        <v>34.75</v>
      </c>
      <c r="AA9" t="n">
        <v>34.75</v>
      </c>
      <c r="AB9" t="n">
        <v>0</v>
      </c>
      <c r="AC9" t="n">
        <v>34</v>
      </c>
      <c r="AD9" t="n">
        <v>6</v>
      </c>
      <c r="AM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barley</t>
        </is>
      </c>
      <c r="B13" t="inlineStr">
        <is>
          <t>and for 100 quarters of barley from the issue of the grange by struck measure, of which 19 quarters 3 bushels threshed by labour service and 80 quarters 5 bushels by piece-work, according to the agreement made with the lord's council to render annually 120 quarters of barley unless the price of barley exceeds 5 shilling a qr, and if it exceeds the said price of 5 shilling then he will answer for 100 quarters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M13" t="n">
        <v>0</v>
      </c>
    </row>
    <row r="14">
      <c r="A14" t="inlineStr">
        <is>
          <t>barley</t>
        </is>
      </c>
      <c r="B14" t="inlineStr">
        <is>
          <t>total, 100 quarters.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100</v>
      </c>
      <c r="Y14" t="n">
        <v>0</v>
      </c>
      <c r="Z14" t="n">
        <v>100</v>
      </c>
      <c r="AA14" t="n">
        <v>100</v>
      </c>
      <c r="AB14" t="n">
        <v>0</v>
      </c>
      <c r="AC14" t="n">
        <v>100</v>
      </c>
      <c r="AD14" t="n">
        <v>0</v>
      </c>
      <c r="AM14" t="n">
        <v>0</v>
      </c>
    </row>
    <row r="15">
      <c r="A15" t="inlineStr">
        <is>
          <t>barley</t>
        </is>
      </c>
      <c r="B15" t="inlineStr">
        <is>
          <t>sown over 50 acres of land by the perch, 25 quarters.</t>
        </is>
      </c>
      <c r="C15" t="n">
        <v>0</v>
      </c>
      <c r="D15" t="n">
        <v>0</v>
      </c>
      <c r="E15" t="n">
        <v>25</v>
      </c>
      <c r="F15" t="n">
        <v>0</v>
      </c>
      <c r="G15" t="n">
        <v>25</v>
      </c>
      <c r="H15" t="n">
        <v>0</v>
      </c>
      <c r="I15" t="n">
        <v>0</v>
      </c>
      <c r="J15" t="n">
        <v>0</v>
      </c>
      <c r="K15" t="n">
        <v>0</v>
      </c>
      <c r="L15" t="n">
        <v>0</v>
      </c>
      <c r="M15" t="n">
        <v>0</v>
      </c>
      <c r="N15" t="n">
        <v>0</v>
      </c>
      <c r="O15" t="n">
        <v>0</v>
      </c>
      <c r="P15" t="n">
        <v>0</v>
      </c>
      <c r="Q15" t="n">
        <v>0</v>
      </c>
      <c r="R15" t="n">
        <v>0</v>
      </c>
      <c r="S15" t="n">
        <v>0</v>
      </c>
      <c r="T15" t="n">
        <v>0</v>
      </c>
      <c r="U15" t="n">
        <v>0</v>
      </c>
      <c r="V15" t="n">
        <v>0</v>
      </c>
      <c r="W15" t="n">
        <v>0</v>
      </c>
      <c r="X15" t="n">
        <v>25</v>
      </c>
      <c r="Y15" t="n">
        <v>0</v>
      </c>
      <c r="Z15" t="n">
        <v>25</v>
      </c>
      <c r="AA15" t="n">
        <v>25</v>
      </c>
      <c r="AB15" t="n">
        <v>0</v>
      </c>
      <c r="AC15" t="n">
        <v>25</v>
      </c>
      <c r="AD15" t="n">
        <v>0</v>
      </c>
      <c r="AM15" t="n">
        <v>0</v>
      </c>
    </row>
    <row r="16">
      <c r="A16" t="inlineStr">
        <is>
          <t>barley</t>
        </is>
      </c>
      <c r="B16" t="inlineStr">
        <is>
          <t>that is, 4 bushels an acre.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4</v>
      </c>
      <c r="Z16" t="n">
        <v>0.5</v>
      </c>
      <c r="AA16" t="n">
        <v>0.5</v>
      </c>
      <c r="AB16" t="n">
        <v>0</v>
      </c>
      <c r="AC16" t="n">
        <v>0</v>
      </c>
      <c r="AD16" t="n">
        <v>4</v>
      </c>
      <c r="AM16" t="n">
        <v>0</v>
      </c>
    </row>
    <row r="17">
      <c r="A17" t="inlineStr">
        <is>
          <t>barley</t>
        </is>
      </c>
      <c r="B17" t="inlineStr">
        <is>
          <t>mixed below for the liveries of the manorial servants, 25 quarters..</t>
        </is>
      </c>
      <c r="C17" t="n">
        <v>0</v>
      </c>
      <c r="D17" t="n">
        <v>0</v>
      </c>
      <c r="E17" t="n">
        <v>0</v>
      </c>
      <c r="F17" t="n">
        <v>0</v>
      </c>
      <c r="G17" t="n">
        <v>0</v>
      </c>
      <c r="H17" t="n">
        <v>0</v>
      </c>
      <c r="I17" t="n">
        <v>0</v>
      </c>
      <c r="J17" t="n">
        <v>0</v>
      </c>
      <c r="K17" t="n">
        <v>0</v>
      </c>
      <c r="L17" t="n">
        <v>0</v>
      </c>
      <c r="M17" t="n">
        <v>0</v>
      </c>
      <c r="N17" t="n">
        <v>25</v>
      </c>
      <c r="O17" t="n">
        <v>0</v>
      </c>
      <c r="P17" t="n">
        <v>25</v>
      </c>
      <c r="Q17" t="n">
        <v>0</v>
      </c>
      <c r="R17" t="n">
        <v>0</v>
      </c>
      <c r="S17" t="n">
        <v>0</v>
      </c>
      <c r="T17" t="n">
        <v>0</v>
      </c>
      <c r="U17" t="n">
        <v>0</v>
      </c>
      <c r="V17" t="n">
        <v>0</v>
      </c>
      <c r="W17" t="n">
        <v>0</v>
      </c>
      <c r="X17" t="n">
        <v>25</v>
      </c>
      <c r="Y17" t="n">
        <v>0</v>
      </c>
      <c r="Z17" t="n">
        <v>25</v>
      </c>
      <c r="AA17" t="n">
        <v>25</v>
      </c>
      <c r="AB17" t="n">
        <v>0</v>
      </c>
      <c r="AC17" t="n">
        <v>25</v>
      </c>
      <c r="AD17" t="n">
        <v>0</v>
      </c>
      <c r="AM17" t="n">
        <v>0</v>
      </c>
    </row>
    <row r="18">
      <c r="A18" t="inlineStr">
        <is>
          <t>barley</t>
        </is>
      </c>
      <c r="B18" t="inlineStr">
        <is>
          <t>sold within, 50 quarters..</t>
        </is>
      </c>
      <c r="C18" t="n">
        <v>0</v>
      </c>
      <c r="D18" t="n">
        <v>0</v>
      </c>
      <c r="E18" t="n">
        <v>0</v>
      </c>
      <c r="F18" t="n">
        <v>0</v>
      </c>
      <c r="G18" t="n">
        <v>0</v>
      </c>
      <c r="H18" t="n">
        <v>0</v>
      </c>
      <c r="I18" t="n">
        <v>0</v>
      </c>
      <c r="J18" t="n">
        <v>0</v>
      </c>
      <c r="K18" t="n">
        <v>0</v>
      </c>
      <c r="L18" t="n">
        <v>0</v>
      </c>
      <c r="M18" t="n">
        <v>0</v>
      </c>
      <c r="N18" t="n">
        <v>0</v>
      </c>
      <c r="O18" t="n">
        <v>0</v>
      </c>
      <c r="P18" t="n">
        <v>0</v>
      </c>
      <c r="Q18" t="n">
        <v>50</v>
      </c>
      <c r="R18" t="n">
        <v>0</v>
      </c>
      <c r="S18" t="n">
        <v>50</v>
      </c>
      <c r="T18" t="n">
        <v>0</v>
      </c>
      <c r="U18" t="n">
        <v>0</v>
      </c>
      <c r="V18" t="n">
        <v>0</v>
      </c>
      <c r="W18" t="n">
        <v>0</v>
      </c>
      <c r="X18" t="n">
        <v>50</v>
      </c>
      <c r="Y18" t="n">
        <v>0</v>
      </c>
      <c r="Z18" t="n">
        <v>50</v>
      </c>
      <c r="AA18" t="n">
        <v>50</v>
      </c>
      <c r="AB18" t="n">
        <v>0</v>
      </c>
      <c r="AC18" t="n">
        <v>50</v>
      </c>
      <c r="AD18" t="n">
        <v>0</v>
      </c>
      <c r="AM18" t="n">
        <v>0</v>
      </c>
    </row>
    <row r="19">
      <c r="A19" t="inlineStr">
        <is>
          <t>barley</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barley</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barley</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peas</t>
        </is>
      </c>
      <c r="B22" t="inlineStr">
        <is>
          <t>and for 3 quarters 6 bushels of peas from the issue,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6</v>
      </c>
      <c r="Z22" t="n">
        <v>3.75</v>
      </c>
      <c r="AA22" t="n">
        <v>3.75</v>
      </c>
      <c r="AB22" t="n">
        <v>0</v>
      </c>
      <c r="AC22" t="n">
        <v>3</v>
      </c>
      <c r="AD22" t="n">
        <v>6</v>
      </c>
      <c r="AM22" t="n">
        <v>0</v>
      </c>
    </row>
    <row r="23">
      <c r="A23" t="inlineStr">
        <is>
          <t>peas</t>
        </is>
      </c>
      <c r="B23" t="inlineStr">
        <is>
          <t>5 quarters from the same issue by estimation in husks..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5</v>
      </c>
      <c r="Y23" t="n">
        <v>0</v>
      </c>
      <c r="Z23" t="n">
        <v>5</v>
      </c>
      <c r="AA23" t="n">
        <v>5</v>
      </c>
      <c r="AB23" t="n">
        <v>0</v>
      </c>
      <c r="AC23" t="n">
        <v>5</v>
      </c>
      <c r="AD23" t="n">
        <v>0</v>
      </c>
      <c r="AM23" t="n">
        <v>0</v>
      </c>
    </row>
    <row r="24">
      <c r="A24" t="inlineStr">
        <is>
          <t>peas</t>
        </is>
      </c>
      <c r="B24" t="inlineStr">
        <is>
          <t>total, 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8</v>
      </c>
      <c r="Y24" t="n">
        <v>6</v>
      </c>
      <c r="Z24" t="n">
        <v>8.75</v>
      </c>
      <c r="AA24" t="n">
        <v>8.75</v>
      </c>
      <c r="AB24" t="n">
        <v>0</v>
      </c>
      <c r="AC24" t="n">
        <v>8</v>
      </c>
      <c r="AD24" t="n">
        <v>6</v>
      </c>
      <c r="AM24" t="n">
        <v>0</v>
      </c>
    </row>
    <row r="25">
      <c r="A25" t="inlineStr">
        <is>
          <t>peas</t>
        </is>
      </c>
      <c r="B25" t="inlineStr">
        <is>
          <t>sown over 15 acres of land by the perch, 3 quarters 6 bushels.</t>
        </is>
      </c>
      <c r="C25" t="n">
        <v>0</v>
      </c>
      <c r="D25" t="n">
        <v>0</v>
      </c>
      <c r="E25" t="n">
        <v>3</v>
      </c>
      <c r="F25" t="n">
        <v>6</v>
      </c>
      <c r="G25" t="n">
        <v>3.75</v>
      </c>
      <c r="H25" t="n">
        <v>0</v>
      </c>
      <c r="I25" t="n">
        <v>0</v>
      </c>
      <c r="J25" t="n">
        <v>0</v>
      </c>
      <c r="K25" t="n">
        <v>0</v>
      </c>
      <c r="L25" t="n">
        <v>0</v>
      </c>
      <c r="M25" t="n">
        <v>0</v>
      </c>
      <c r="N25" t="n">
        <v>0</v>
      </c>
      <c r="O25" t="n">
        <v>0</v>
      </c>
      <c r="P25" t="n">
        <v>0</v>
      </c>
      <c r="Q25" t="n">
        <v>0</v>
      </c>
      <c r="R25" t="n">
        <v>0</v>
      </c>
      <c r="S25" t="n">
        <v>0</v>
      </c>
      <c r="T25" t="n">
        <v>0</v>
      </c>
      <c r="U25" t="n">
        <v>0</v>
      </c>
      <c r="V25" t="n">
        <v>0</v>
      </c>
      <c r="W25" t="n">
        <v>0</v>
      </c>
      <c r="X25" t="n">
        <v>3</v>
      </c>
      <c r="Y25" t="n">
        <v>6</v>
      </c>
      <c r="Z25" t="n">
        <v>3.75</v>
      </c>
      <c r="AA25" t="n">
        <v>3.75</v>
      </c>
      <c r="AB25" t="n">
        <v>0</v>
      </c>
      <c r="AC25" t="n">
        <v>3</v>
      </c>
      <c r="AD25" t="n">
        <v>6</v>
      </c>
      <c r="AM25" t="n">
        <v>0</v>
      </c>
    </row>
    <row r="26">
      <c r="A26" t="inlineStr">
        <is>
          <t>peas</t>
        </is>
      </c>
      <c r="B26" t="inlineStr">
        <is>
          <t>that is, 2 bushels an acre.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2</v>
      </c>
      <c r="Z26" t="n">
        <v>0.25</v>
      </c>
      <c r="AA26" t="n">
        <v>0.25</v>
      </c>
      <c r="AB26" t="n">
        <v>0</v>
      </c>
      <c r="AC26" t="n">
        <v>0</v>
      </c>
      <c r="AD26" t="n">
        <v>2</v>
      </c>
      <c r="AM26" t="n">
        <v>0</v>
      </c>
    </row>
    <row r="27">
      <c r="A27" t="inlineStr">
        <is>
          <t>peas</t>
        </is>
      </c>
      <c r="B27" t="inlineStr">
        <is>
          <t>supporting the ewes at lambing-time, 5 quarters by estimation in husks..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5</v>
      </c>
      <c r="Y27" t="n">
        <v>0</v>
      </c>
      <c r="Z27" t="n">
        <v>5</v>
      </c>
      <c r="AA27" t="n">
        <v>5</v>
      </c>
      <c r="AB27" t="n">
        <v>0</v>
      </c>
      <c r="AC27" t="n">
        <v>5</v>
      </c>
      <c r="AD27" t="n">
        <v>0</v>
      </c>
      <c r="AM27" t="n">
        <v>0</v>
      </c>
    </row>
    <row r="28">
      <c r="A28" t="inlineStr">
        <is>
          <t>peas</t>
        </is>
      </c>
      <c r="B28" t="inlineStr">
        <is>
          <t>total as before.</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M28" t="n">
        <v>0</v>
      </c>
    </row>
    <row r="29">
      <c r="A29" t="inlineStr">
        <is>
          <t>peas</t>
        </is>
      </c>
      <c r="B29" t="inlineStr">
        <is>
          <t>it balances.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M29" t="n">
        <v>0</v>
      </c>
    </row>
    <row r="30">
      <c r="A30" t="inlineStr">
        <is>
          <t>peas</t>
        </is>
      </c>
      <c r="B30" t="inlineStr">
        <is>
          <t>total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AM30" t="n">
        <v>0</v>
      </c>
    </row>
    <row r="31">
      <c r="A31" t="inlineStr">
        <is>
          <t>vetches</t>
        </is>
      </c>
      <c r="B31" t="inlineStr">
        <is>
          <t>and for 5 quarters of vetches from the issue, threshed by piece-work.</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5</v>
      </c>
      <c r="Y31" t="n">
        <v>0</v>
      </c>
      <c r="Z31" t="n">
        <v>5</v>
      </c>
      <c r="AA31" t="n">
        <v>5</v>
      </c>
      <c r="AB31" t="n">
        <v>0</v>
      </c>
      <c r="AC31" t="n">
        <v>5</v>
      </c>
      <c r="AD31" t="n">
        <v>0</v>
      </c>
      <c r="AM31" t="n">
        <v>0</v>
      </c>
    </row>
    <row r="32">
      <c r="A32" t="inlineStr">
        <is>
          <t>vetches</t>
        </is>
      </c>
      <c r="B32" t="inlineStr">
        <is>
          <t>10 quarters from the same issue by estimation in husks..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v>
      </c>
      <c r="Y32" t="n">
        <v>0</v>
      </c>
      <c r="Z32" t="n">
        <v>10</v>
      </c>
      <c r="AA32" t="n">
        <v>10</v>
      </c>
      <c r="AB32" t="n">
        <v>0</v>
      </c>
      <c r="AC32" t="n">
        <v>10</v>
      </c>
      <c r="AD32" t="n">
        <v>0</v>
      </c>
      <c r="AM32" t="n">
        <v>0</v>
      </c>
    </row>
    <row r="33">
      <c r="A33" t="inlineStr">
        <is>
          <t>vetches</t>
        </is>
      </c>
      <c r="B33" t="inlineStr">
        <is>
          <t>total, 15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15</v>
      </c>
      <c r="Y33" t="n">
        <v>0</v>
      </c>
      <c r="Z33" t="n">
        <v>15</v>
      </c>
      <c r="AA33" t="n">
        <v>15</v>
      </c>
      <c r="AB33" t="n">
        <v>0</v>
      </c>
      <c r="AC33" t="n">
        <v>15</v>
      </c>
      <c r="AD33" t="n">
        <v>0</v>
      </c>
      <c r="AM33" t="n">
        <v>0</v>
      </c>
    </row>
    <row r="34">
      <c r="A34" t="inlineStr">
        <is>
          <t>vetches</t>
        </is>
      </c>
      <c r="B34" t="inlineStr">
        <is>
          <t>sown over 20 acres of land by the perch, 5 quarters.</t>
        </is>
      </c>
      <c r="C34" t="n">
        <v>0</v>
      </c>
      <c r="D34" t="n">
        <v>0</v>
      </c>
      <c r="E34" t="n">
        <v>5</v>
      </c>
      <c r="F34" t="n">
        <v>0</v>
      </c>
      <c r="G34" t="n">
        <v>5</v>
      </c>
      <c r="H34" t="n">
        <v>0</v>
      </c>
      <c r="I34" t="n">
        <v>0</v>
      </c>
      <c r="J34" t="n">
        <v>0</v>
      </c>
      <c r="K34" t="n">
        <v>0</v>
      </c>
      <c r="L34" t="n">
        <v>0</v>
      </c>
      <c r="M34" t="n">
        <v>0</v>
      </c>
      <c r="N34" t="n">
        <v>0</v>
      </c>
      <c r="O34" t="n">
        <v>0</v>
      </c>
      <c r="P34" t="n">
        <v>0</v>
      </c>
      <c r="Q34" t="n">
        <v>0</v>
      </c>
      <c r="R34" t="n">
        <v>0</v>
      </c>
      <c r="S34" t="n">
        <v>0</v>
      </c>
      <c r="T34" t="n">
        <v>0</v>
      </c>
      <c r="U34" t="n">
        <v>0</v>
      </c>
      <c r="V34" t="n">
        <v>0</v>
      </c>
      <c r="W34" t="n">
        <v>0</v>
      </c>
      <c r="X34" t="n">
        <v>5</v>
      </c>
      <c r="Y34" t="n">
        <v>0</v>
      </c>
      <c r="Z34" t="n">
        <v>5</v>
      </c>
      <c r="AA34" t="n">
        <v>5</v>
      </c>
      <c r="AB34" t="n">
        <v>0</v>
      </c>
      <c r="AC34" t="n">
        <v>5</v>
      </c>
      <c r="AD34" t="n">
        <v>0</v>
      </c>
      <c r="AM34" t="n">
        <v>0</v>
      </c>
    </row>
    <row r="35">
      <c r="A35" t="inlineStr">
        <is>
          <t>vetches</t>
        </is>
      </c>
      <c r="B35" t="inlineStr">
        <is>
          <t>that is, 2 bushels an acre.</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2</v>
      </c>
      <c r="Z35" t="n">
        <v>0.25</v>
      </c>
      <c r="AA35" t="n">
        <v>0.25</v>
      </c>
      <c r="AB35" t="n">
        <v>0</v>
      </c>
      <c r="AC35" t="n">
        <v>0</v>
      </c>
      <c r="AD35" t="n">
        <v>2</v>
      </c>
      <c r="AM35" t="n">
        <v>0</v>
      </c>
    </row>
    <row r="36">
      <c r="A36" t="inlineStr">
        <is>
          <t>vetches</t>
        </is>
      </c>
      <c r="B36" t="inlineStr">
        <is>
          <t>supporting sheep, horses and other cattle in winter, 10 quarters by estimation in husks..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10</v>
      </c>
      <c r="Y36" t="n">
        <v>0</v>
      </c>
      <c r="Z36" t="n">
        <v>10</v>
      </c>
      <c r="AA36" t="n">
        <v>10</v>
      </c>
      <c r="AB36" t="n">
        <v>0</v>
      </c>
      <c r="AC36" t="n">
        <v>10</v>
      </c>
      <c r="AD36" t="n">
        <v>0</v>
      </c>
      <c r="AM36" t="n">
        <v>0</v>
      </c>
    </row>
    <row r="37">
      <c r="A37" t="inlineStr">
        <is>
          <t>vetches</t>
        </is>
      </c>
      <c r="B37" t="inlineStr">
        <is>
          <t>total as before.</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M37" t="n">
        <v>0</v>
      </c>
    </row>
    <row r="38">
      <c r="A38" t="inlineStr">
        <is>
          <t>vetches</t>
        </is>
      </c>
      <c r="B38" t="inlineStr">
        <is>
          <t>it balances.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M38" t="n">
        <v>0</v>
      </c>
    </row>
    <row r="39">
      <c r="A39" t="inlineStr">
        <is>
          <t>vetches</t>
        </is>
      </c>
      <c r="B39" t="inlineStr">
        <is>
          <t>total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M39" t="n">
        <v>0</v>
      </c>
    </row>
    <row r="40">
      <c r="A40" t="inlineStr">
        <is>
          <t>oats</t>
        </is>
      </c>
      <c r="B40" t="inlineStr">
        <is>
          <t>and for 52 quarters of oats from the issue of the grange, threshed by piece-work.</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52</v>
      </c>
      <c r="Y40" t="n">
        <v>0</v>
      </c>
      <c r="Z40" t="n">
        <v>52</v>
      </c>
      <c r="AA40" t="n">
        <v>52</v>
      </c>
      <c r="AB40" t="n">
        <v>0</v>
      </c>
      <c r="AC40" t="n">
        <v>52</v>
      </c>
      <c r="AD40" t="n">
        <v>0</v>
      </c>
      <c r="AM40" t="n">
        <v>0</v>
      </c>
    </row>
    <row r="41">
      <c r="A41" t="inlineStr">
        <is>
          <t>oats</t>
        </is>
      </c>
      <c r="B41" t="inlineStr">
        <is>
          <t>8 quarters from the same issue by estimation in sheaves, according to the agreement made with the lord's council to render annually 80 quarters of oats unless the price of oats exceeds 2 shilling 4pence a qr, and if it exceeds the said price of 2 shilling 4pence then he will answer for 60 quarters of oats..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M41" t="n">
        <v>0</v>
      </c>
    </row>
    <row r="42">
      <c r="A42" t="inlineStr">
        <is>
          <t>oats</t>
        </is>
      </c>
      <c r="B42" t="inlineStr">
        <is>
          <t>total, 60 quarters.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60</v>
      </c>
      <c r="Y42" t="n">
        <v>0</v>
      </c>
      <c r="Z42" t="n">
        <v>60</v>
      </c>
      <c r="AA42" t="n">
        <v>60</v>
      </c>
      <c r="AB42" t="n">
        <v>0</v>
      </c>
      <c r="AC42" t="n">
        <v>60</v>
      </c>
      <c r="AD42" t="n">
        <v>0</v>
      </c>
      <c r="AM42" t="n">
        <v>0</v>
      </c>
    </row>
    <row r="43">
      <c r="A43" t="inlineStr">
        <is>
          <t>oats</t>
        </is>
      </c>
      <c r="B43" t="inlineStr">
        <is>
          <t>sown over 40 acres of land by the perch, 20 quarters.</t>
        </is>
      </c>
      <c r="C43" t="n">
        <v>0</v>
      </c>
      <c r="D43" t="n">
        <v>0</v>
      </c>
      <c r="E43" t="n">
        <v>20</v>
      </c>
      <c r="F43" t="n">
        <v>0</v>
      </c>
      <c r="G43" t="n">
        <v>20</v>
      </c>
      <c r="H43" t="n">
        <v>0</v>
      </c>
      <c r="I43" t="n">
        <v>0</v>
      </c>
      <c r="J43" t="n">
        <v>0</v>
      </c>
      <c r="K43" t="n">
        <v>0</v>
      </c>
      <c r="L43" t="n">
        <v>0</v>
      </c>
      <c r="M43" t="n">
        <v>0</v>
      </c>
      <c r="N43" t="n">
        <v>0</v>
      </c>
      <c r="O43" t="n">
        <v>0</v>
      </c>
      <c r="P43" t="n">
        <v>0</v>
      </c>
      <c r="Q43" t="n">
        <v>0</v>
      </c>
      <c r="R43" t="n">
        <v>0</v>
      </c>
      <c r="S43" t="n">
        <v>0</v>
      </c>
      <c r="T43" t="n">
        <v>0</v>
      </c>
      <c r="U43" t="n">
        <v>0</v>
      </c>
      <c r="V43" t="n">
        <v>0</v>
      </c>
      <c r="W43" t="n">
        <v>0</v>
      </c>
      <c r="X43" t="n">
        <v>20</v>
      </c>
      <c r="Y43" t="n">
        <v>0</v>
      </c>
      <c r="Z43" t="n">
        <v>20</v>
      </c>
      <c r="AA43" t="n">
        <v>20</v>
      </c>
      <c r="AB43" t="n">
        <v>0</v>
      </c>
      <c r="AC43" t="n">
        <v>20</v>
      </c>
      <c r="AD43" t="n">
        <v>0</v>
      </c>
      <c r="AM43" t="n">
        <v>0</v>
      </c>
    </row>
    <row r="44">
      <c r="A44" t="inlineStr">
        <is>
          <t>oats</t>
        </is>
      </c>
      <c r="B44" t="inlineStr">
        <is>
          <t>that is, 4 bushels an acre.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4</v>
      </c>
      <c r="Z44" t="n">
        <v>0.5</v>
      </c>
      <c r="AA44" t="n">
        <v>0.5</v>
      </c>
      <c r="AB44" t="n">
        <v>0</v>
      </c>
      <c r="AC44" t="n">
        <v>0</v>
      </c>
      <c r="AD44" t="n">
        <v>4</v>
      </c>
      <c r="AM44" t="n">
        <v>0</v>
      </c>
    </row>
    <row r="45">
      <c r="A45" t="inlineStr">
        <is>
          <t>oats</t>
        </is>
      </c>
      <c r="B45" t="inlineStr">
        <is>
          <t>fodder of oxen, 6 quarters by estimation in sheaves.</t>
        </is>
      </c>
      <c r="C45" t="n">
        <v>0</v>
      </c>
      <c r="D45" t="n">
        <v>0</v>
      </c>
      <c r="E45" t="n">
        <v>0</v>
      </c>
      <c r="F45" t="n">
        <v>0</v>
      </c>
      <c r="G45" t="n">
        <v>0</v>
      </c>
      <c r="H45" t="n">
        <v>0</v>
      </c>
      <c r="I45" t="n">
        <v>0</v>
      </c>
      <c r="J45" t="n">
        <v>0</v>
      </c>
      <c r="K45" t="n">
        <v>0</v>
      </c>
      <c r="L45" t="n">
        <v>0</v>
      </c>
      <c r="M45" t="n">
        <v>0</v>
      </c>
      <c r="N45" t="n">
        <v>6</v>
      </c>
      <c r="O45" t="n">
        <v>0</v>
      </c>
      <c r="P45" t="n">
        <v>6</v>
      </c>
      <c r="Q45" t="n">
        <v>0</v>
      </c>
      <c r="R45" t="n">
        <v>0</v>
      </c>
      <c r="S45" t="n">
        <v>0</v>
      </c>
      <c r="T45" t="n">
        <v>0</v>
      </c>
      <c r="U45" t="n">
        <v>0</v>
      </c>
      <c r="V45" t="n">
        <v>0</v>
      </c>
      <c r="W45" t="n">
        <v>0</v>
      </c>
      <c r="X45" t="n">
        <v>6</v>
      </c>
      <c r="Y45" t="n">
        <v>0</v>
      </c>
      <c r="Z45" t="n">
        <v>6</v>
      </c>
      <c r="AA45" t="n">
        <v>6</v>
      </c>
      <c r="AB45" t="n">
        <v>0</v>
      </c>
      <c r="AC45" t="n">
        <v>6</v>
      </c>
      <c r="AD45" t="n">
        <v>0</v>
      </c>
      <c r="AM45" t="n">
        <v>0</v>
      </c>
    </row>
    <row r="46">
      <c r="A46" t="inlineStr">
        <is>
          <t>oats</t>
        </is>
      </c>
      <c r="B46" t="inlineStr">
        <is>
          <t>fodder of cart-horses for the year, 4 quarters.</t>
        </is>
      </c>
      <c r="C46" t="n">
        <v>0</v>
      </c>
      <c r="D46" t="n">
        <v>0</v>
      </c>
      <c r="E46" t="n">
        <v>0</v>
      </c>
      <c r="F46" t="n">
        <v>0</v>
      </c>
      <c r="G46" t="n">
        <v>0</v>
      </c>
      <c r="H46" t="n">
        <v>0</v>
      </c>
      <c r="I46" t="n">
        <v>0</v>
      </c>
      <c r="J46" t="n">
        <v>0</v>
      </c>
      <c r="K46" t="n">
        <v>0</v>
      </c>
      <c r="L46" t="n">
        <v>0</v>
      </c>
      <c r="M46" t="n">
        <v>0</v>
      </c>
      <c r="N46" t="n">
        <v>4</v>
      </c>
      <c r="O46" t="n">
        <v>0</v>
      </c>
      <c r="P46" t="n">
        <v>4</v>
      </c>
      <c r="Q46" t="n">
        <v>0</v>
      </c>
      <c r="R46" t="n">
        <v>0</v>
      </c>
      <c r="S46" t="n">
        <v>0</v>
      </c>
      <c r="T46" t="n">
        <v>0</v>
      </c>
      <c r="U46" t="n">
        <v>0</v>
      </c>
      <c r="V46" t="n">
        <v>0</v>
      </c>
      <c r="W46" t="n">
        <v>0</v>
      </c>
      <c r="X46" t="n">
        <v>4</v>
      </c>
      <c r="Y46" t="n">
        <v>0</v>
      </c>
      <c r="Z46" t="n">
        <v>4</v>
      </c>
      <c r="AA46" t="n">
        <v>4</v>
      </c>
      <c r="AB46" t="n">
        <v>0</v>
      </c>
      <c r="AC46" t="n">
        <v>4</v>
      </c>
      <c r="AD46" t="n">
        <v>0</v>
      </c>
      <c r="AM46" t="n">
        <v>0</v>
      </c>
    </row>
    <row r="47">
      <c r="A47" t="inlineStr">
        <is>
          <t>oats</t>
        </is>
      </c>
      <c r="B47" t="inlineStr">
        <is>
          <t>fodder of plough-horses for the year, 2 quarters.</t>
        </is>
      </c>
      <c r="C47" t="n">
        <v>0</v>
      </c>
      <c r="D47" t="n">
        <v>0</v>
      </c>
      <c r="E47" t="n">
        <v>0</v>
      </c>
      <c r="F47" t="n">
        <v>0</v>
      </c>
      <c r="G47" t="n">
        <v>0</v>
      </c>
      <c r="H47" t="n">
        <v>0</v>
      </c>
      <c r="I47" t="n">
        <v>0</v>
      </c>
      <c r="J47" t="n">
        <v>0</v>
      </c>
      <c r="K47" t="n">
        <v>0</v>
      </c>
      <c r="L47" t="n">
        <v>0</v>
      </c>
      <c r="M47" t="n">
        <v>0</v>
      </c>
      <c r="N47" t="n">
        <v>2</v>
      </c>
      <c r="O47" t="n">
        <v>0</v>
      </c>
      <c r="P47" t="n">
        <v>2</v>
      </c>
      <c r="Q47" t="n">
        <v>0</v>
      </c>
      <c r="R47" t="n">
        <v>0</v>
      </c>
      <c r="S47" t="n">
        <v>0</v>
      </c>
      <c r="T47" t="n">
        <v>0</v>
      </c>
      <c r="U47" t="n">
        <v>0</v>
      </c>
      <c r="V47" t="n">
        <v>0</v>
      </c>
      <c r="W47" t="n">
        <v>0</v>
      </c>
      <c r="X47" t="n">
        <v>2</v>
      </c>
      <c r="Y47" t="n">
        <v>0</v>
      </c>
      <c r="Z47" t="n">
        <v>2</v>
      </c>
      <c r="AA47" t="n">
        <v>2</v>
      </c>
      <c r="AB47" t="n">
        <v>0</v>
      </c>
      <c r="AC47" t="n">
        <v>2</v>
      </c>
      <c r="AD47" t="n">
        <v>0</v>
      </c>
      <c r="AM47" t="n">
        <v>0</v>
      </c>
    </row>
    <row r="48">
      <c r="A48" t="inlineStr">
        <is>
          <t>oats</t>
        </is>
      </c>
      <c r="B48" t="inlineStr">
        <is>
          <t>meal made for the pottage of the manorial servants for the year, 2 quarters 4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2</v>
      </c>
      <c r="Y48" t="n">
        <v>4</v>
      </c>
      <c r="Z48" t="n">
        <v>2.5</v>
      </c>
      <c r="AA48" t="n">
        <v>2.5</v>
      </c>
      <c r="AB48" t="n">
        <v>0</v>
      </c>
      <c r="AC48" t="n">
        <v>2</v>
      </c>
      <c r="AD48" t="n">
        <v>4</v>
      </c>
      <c r="AM48" t="n">
        <v>0</v>
      </c>
    </row>
    <row r="49">
      <c r="A49" t="inlineStr">
        <is>
          <t>oats</t>
        </is>
      </c>
      <c r="B49" t="inlineStr">
        <is>
          <t>fodder of the horses of the steward holding the tourns of martinmas and hockday, by 2 sealed bills, 1 qr 3 bushels sold within, 21 quarters 1 bushels.</t>
        </is>
      </c>
      <c r="C49" t="n">
        <v>0</v>
      </c>
      <c r="D49" t="n">
        <v>0</v>
      </c>
      <c r="E49" t="n">
        <v>0</v>
      </c>
      <c r="F49" t="n">
        <v>0</v>
      </c>
      <c r="G49" t="n">
        <v>0</v>
      </c>
      <c r="H49" t="n">
        <v>0</v>
      </c>
      <c r="I49" t="n">
        <v>0</v>
      </c>
      <c r="J49" t="n">
        <v>0</v>
      </c>
      <c r="K49" t="n">
        <v>0</v>
      </c>
      <c r="L49" t="n">
        <v>0</v>
      </c>
      <c r="M49" t="n">
        <v>0</v>
      </c>
      <c r="N49" t="n">
        <v>21</v>
      </c>
      <c r="O49" t="n">
        <v>1</v>
      </c>
      <c r="P49" t="n">
        <v>21.12</v>
      </c>
      <c r="Q49" t="n">
        <v>21</v>
      </c>
      <c r="R49" t="n">
        <v>1</v>
      </c>
      <c r="S49" t="n">
        <v>21.12</v>
      </c>
      <c r="T49" t="n">
        <v>0</v>
      </c>
      <c r="U49" t="n">
        <v>0</v>
      </c>
      <c r="V49" t="n">
        <v>0</v>
      </c>
      <c r="W49" t="n">
        <v>0</v>
      </c>
      <c r="AM49" t="n">
        <v>0</v>
      </c>
    </row>
    <row r="50">
      <c r="A50" t="inlineStr">
        <is>
          <t>oats</t>
        </is>
      </c>
      <c r="B50" t="inlineStr">
        <is>
          <t>sold at the audit, 3 quarters for 9 shilling.</t>
        </is>
      </c>
      <c r="C50" t="n">
        <v>0</v>
      </c>
      <c r="D50" t="n">
        <v>0</v>
      </c>
      <c r="E50" t="n">
        <v>0</v>
      </c>
      <c r="F50" t="n">
        <v>0</v>
      </c>
      <c r="G50" t="n">
        <v>0</v>
      </c>
      <c r="H50" t="n">
        <v>0</v>
      </c>
      <c r="I50" t="n">
        <v>0</v>
      </c>
      <c r="J50" t="n">
        <v>0</v>
      </c>
      <c r="K50" t="n">
        <v>0</v>
      </c>
      <c r="L50" t="n">
        <v>0</v>
      </c>
      <c r="M50" t="n">
        <v>0</v>
      </c>
      <c r="N50" t="n">
        <v>0</v>
      </c>
      <c r="O50" t="n">
        <v>0</v>
      </c>
      <c r="P50" t="n">
        <v>0</v>
      </c>
      <c r="Q50" t="n">
        <v>3</v>
      </c>
      <c r="R50" t="n">
        <v>0</v>
      </c>
      <c r="S50" t="n">
        <v>3</v>
      </c>
      <c r="T50" t="n">
        <v>0</v>
      </c>
      <c r="U50" t="n">
        <v>0</v>
      </c>
      <c r="V50" t="n">
        <v>0</v>
      </c>
      <c r="W50" t="n">
        <v>0</v>
      </c>
      <c r="X50" t="n">
        <v>3</v>
      </c>
      <c r="Y50" t="n">
        <v>0</v>
      </c>
      <c r="Z50" t="n">
        <v>3</v>
      </c>
      <c r="AA50" t="n">
        <v>3</v>
      </c>
      <c r="AB50" t="n">
        <v>0</v>
      </c>
      <c r="AC50" t="n">
        <v>3</v>
      </c>
      <c r="AD50" t="n">
        <v>0</v>
      </c>
      <c r="AM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M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M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34</v>
      </c>
      <c r="J3" t="n">
        <v>6</v>
      </c>
      <c r="K3" t="n">
        <v>34.75</v>
      </c>
      <c r="L3" t="n">
        <v>0</v>
      </c>
      <c r="M3" t="n">
        <v>-34.75</v>
      </c>
      <c r="N3" t="n">
        <v>0.44</v>
      </c>
      <c r="O3" t="n">
        <v>0.44</v>
      </c>
      <c r="P3" t="n">
        <v>0</v>
      </c>
      <c r="Q3" t="n">
        <v>0</v>
      </c>
    </row>
    <row r="4">
      <c r="A4" t="inlineStr">
        <is>
          <t>barley</t>
        </is>
      </c>
      <c r="B4" t="n">
        <v>0</v>
      </c>
      <c r="C4" t="n">
        <v>0</v>
      </c>
      <c r="D4" t="n">
        <v>0</v>
      </c>
      <c r="E4" t="n">
        <v>0</v>
      </c>
      <c r="F4" t="n">
        <v>0</v>
      </c>
      <c r="G4" t="n">
        <v>0</v>
      </c>
      <c r="H4" t="n">
        <v>0</v>
      </c>
      <c r="I4" t="n">
        <v>50</v>
      </c>
      <c r="J4" t="n">
        <v>0</v>
      </c>
      <c r="K4" t="n">
        <v>50</v>
      </c>
      <c r="L4" t="n">
        <v>0</v>
      </c>
      <c r="M4" t="n">
        <v>-50</v>
      </c>
      <c r="N4" t="n">
        <v>0.3</v>
      </c>
      <c r="O4" t="n">
        <v>0.3</v>
      </c>
      <c r="P4" t="n">
        <v>0</v>
      </c>
      <c r="Q4" t="n">
        <v>0</v>
      </c>
    </row>
    <row r="5">
      <c r="A5" t="inlineStr">
        <is>
          <t>peas</t>
        </is>
      </c>
      <c r="B5" t="n">
        <v>0</v>
      </c>
      <c r="C5" t="n">
        <v>0</v>
      </c>
      <c r="D5" t="n">
        <v>0</v>
      </c>
      <c r="E5" t="n">
        <v>0</v>
      </c>
      <c r="F5" t="n">
        <v>0</v>
      </c>
      <c r="G5" t="n">
        <v>0</v>
      </c>
      <c r="H5" t="n">
        <v>0</v>
      </c>
      <c r="I5" t="n">
        <v>0</v>
      </c>
      <c r="J5" t="n">
        <v>0</v>
      </c>
      <c r="K5" t="n">
        <v>0</v>
      </c>
      <c r="L5" t="n">
        <v>0</v>
      </c>
      <c r="M5" t="n">
        <v>0</v>
      </c>
    </row>
    <row r="6">
      <c r="A6" t="inlineStr">
        <is>
          <t>vetches</t>
        </is>
      </c>
      <c r="B6" t="n">
        <v>0</v>
      </c>
      <c r="C6" t="n">
        <v>0</v>
      </c>
      <c r="D6" t="n">
        <v>0</v>
      </c>
      <c r="E6" t="n">
        <v>0</v>
      </c>
      <c r="F6" t="n">
        <v>0</v>
      </c>
      <c r="G6" t="n">
        <v>0</v>
      </c>
      <c r="H6" t="n">
        <v>0</v>
      </c>
      <c r="I6" t="n">
        <v>0</v>
      </c>
      <c r="J6" t="n">
        <v>0</v>
      </c>
      <c r="K6" t="n">
        <v>0</v>
      </c>
      <c r="L6" t="n">
        <v>0</v>
      </c>
      <c r="M6" t="n">
        <v>0</v>
      </c>
    </row>
    <row r="7">
      <c r="A7" t="inlineStr">
        <is>
          <t>oats</t>
        </is>
      </c>
      <c r="B7" t="n">
        <v>0</v>
      </c>
      <c r="C7" t="n">
        <v>0</v>
      </c>
      <c r="D7" t="n">
        <v>0</v>
      </c>
      <c r="E7" t="n">
        <v>0</v>
      </c>
      <c r="F7" t="n">
        <v>0</v>
      </c>
      <c r="G7" t="n">
        <v>0</v>
      </c>
      <c r="H7" t="n">
        <v>0</v>
      </c>
      <c r="I7" t="n">
        <v>21</v>
      </c>
      <c r="J7" t="n">
        <v>1</v>
      </c>
      <c r="K7" t="n">
        <v>21.12</v>
      </c>
      <c r="L7" t="n">
        <v>0</v>
      </c>
      <c r="M7" t="n">
        <v>-21.12</v>
      </c>
      <c r="N7" t="n">
        <v>0.15</v>
      </c>
      <c r="O7" t="n">
        <v>0.15</v>
      </c>
      <c r="P7" t="n">
        <v>0</v>
      </c>
      <c r="Q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£15 8pence from 34 quarters 6 bushels of wheat sold, of which 8 quarters sold per mutuum, at 10 shilling a quarters, and 26 quarters 6 bushels in the market, at 8 shilling 8pence a quarters for 10 quarters, and 8 shilling a quarters for 152 quarters 6 bushels.</t>
        </is>
      </c>
      <c r="C2" t="n">
        <v>15.03</v>
      </c>
      <c r="D2" t="n">
        <v>15</v>
      </c>
      <c r="E2" t="n">
        <v>0</v>
      </c>
      <c r="F2" t="n">
        <v>8</v>
      </c>
      <c r="G2" t="inlineStr">
        <is>
          <t>wheat</t>
        </is>
      </c>
      <c r="H2" t="n">
        <v>196</v>
      </c>
      <c r="I2" t="n">
        <v>12</v>
      </c>
      <c r="J2" t="n">
        <v>197.5</v>
      </c>
      <c r="K2" t="n">
        <v>34.75</v>
      </c>
      <c r="L2" t="n">
        <v>162.75</v>
      </c>
      <c r="M2" t="n">
        <v>34</v>
      </c>
      <c r="N2" t="n">
        <v>6</v>
      </c>
      <c r="O2" t="n">
        <v>10</v>
      </c>
      <c r="P2" t="n">
        <v>0</v>
      </c>
      <c r="Q2" t="n">
        <v>8</v>
      </c>
      <c r="R2" t="n">
        <v>0</v>
      </c>
      <c r="S2" t="n">
        <v>8</v>
      </c>
      <c r="T2" t="n">
        <v>8</v>
      </c>
      <c r="U2" t="n">
        <v>26</v>
      </c>
      <c r="V2" t="n">
        <v>6</v>
      </c>
      <c r="W2" t="n">
        <v>8</v>
      </c>
      <c r="X2" t="n">
        <v>0</v>
      </c>
      <c r="Y2" t="n">
        <v>10</v>
      </c>
      <c r="Z2" t="n">
        <v>0</v>
      </c>
      <c r="AC2" t="n">
        <v>152</v>
      </c>
      <c r="AD2" t="n">
        <v>6</v>
      </c>
      <c r="AE2" t="n">
        <v>0.5</v>
      </c>
      <c r="AF2" t="n">
        <v>0.43</v>
      </c>
      <c r="AG2" t="n">
        <v>0.4</v>
      </c>
      <c r="AI2" t="n">
        <v>34.75</v>
      </c>
      <c r="AJ2" t="n">
        <v>0.44</v>
      </c>
      <c r="AK2" t="n">
        <v>0.44</v>
      </c>
      <c r="AL2" t="inlineStr">
        <is>
          <t>wheat</t>
        </is>
      </c>
    </row>
    <row r="3">
      <c r="A3" t="inlineStr">
        <is>
          <t>sale of corn</t>
        </is>
      </c>
      <c r="B3" t="inlineStr">
        <is>
          <t>£15 from 50 quarters of barley sold, at 6 shilling a quarters.</t>
        </is>
      </c>
      <c r="C3" t="n">
        <v>15</v>
      </c>
      <c r="D3" t="n">
        <v>15</v>
      </c>
      <c r="E3" t="n">
        <v>0</v>
      </c>
      <c r="F3" t="n">
        <v>0</v>
      </c>
      <c r="G3" t="inlineStr">
        <is>
          <t>barley</t>
        </is>
      </c>
      <c r="H3" t="n">
        <v>50</v>
      </c>
      <c r="I3" t="n">
        <v>0</v>
      </c>
      <c r="J3" t="n">
        <v>50</v>
      </c>
      <c r="K3" t="n">
        <v>50</v>
      </c>
      <c r="L3" t="n">
        <v>0</v>
      </c>
      <c r="M3" t="n">
        <v>50</v>
      </c>
      <c r="N3" t="n">
        <v>0</v>
      </c>
      <c r="O3" t="n">
        <v>6</v>
      </c>
      <c r="P3" t="n">
        <v>0</v>
      </c>
      <c r="AE3" t="n">
        <v>0.3</v>
      </c>
      <c r="AI3" t="n">
        <v>50</v>
      </c>
      <c r="AJ3" t="n">
        <v>0.3</v>
      </c>
      <c r="AK3" t="n">
        <v>0.3</v>
      </c>
      <c r="AL3" t="inlineStr">
        <is>
          <t>barley</t>
        </is>
      </c>
    </row>
    <row r="4">
      <c r="A4" t="inlineStr">
        <is>
          <t>sale of corn</t>
        </is>
      </c>
      <c r="B4" t="inlineStr">
        <is>
          <t>£3 3 shilling 4.5pence from 21 quarters 1 bushels of oats sold, at 3 shilling a quarters.</t>
        </is>
      </c>
      <c r="C4" t="n">
        <v>3.17</v>
      </c>
      <c r="D4" t="n">
        <v>3</v>
      </c>
      <c r="E4" t="n">
        <v>3</v>
      </c>
      <c r="F4" t="n">
        <v>4.5</v>
      </c>
      <c r="G4" t="inlineStr">
        <is>
          <t>oats</t>
        </is>
      </c>
      <c r="H4" t="n">
        <v>21</v>
      </c>
      <c r="I4" t="n">
        <v>1</v>
      </c>
      <c r="J4" t="n">
        <v>21.12</v>
      </c>
      <c r="K4" t="n">
        <v>21.12</v>
      </c>
      <c r="L4" t="n">
        <v>0</v>
      </c>
      <c r="M4" t="n">
        <v>21</v>
      </c>
      <c r="N4" t="n">
        <v>1</v>
      </c>
      <c r="O4" t="n">
        <v>3</v>
      </c>
      <c r="P4" t="n">
        <v>0</v>
      </c>
      <c r="AE4" t="n">
        <v>0.15</v>
      </c>
      <c r="AI4" t="n">
        <v>21.12</v>
      </c>
      <c r="AJ4" t="n">
        <v>0.15</v>
      </c>
      <c r="AK4" t="n">
        <v>0.15</v>
      </c>
      <c r="AL4" t="inlineStr">
        <is>
          <t>oats</t>
        </is>
      </c>
    </row>
    <row r="5">
      <c r="A5" t="inlineStr">
        <is>
          <t>sale of corn</t>
        </is>
      </c>
      <c r="B5" t="inlineStr">
        <is>
          <t>total, £33 4 shilling .5pence.</t>
        </is>
      </c>
      <c r="C5" t="n">
        <v>33.2</v>
      </c>
      <c r="D5" t="n">
        <v>33</v>
      </c>
      <c r="E5" t="n">
        <v>4</v>
      </c>
      <c r="F5" t="n">
        <v>0</v>
      </c>
      <c r="H5" t="n">
        <v>0</v>
      </c>
      <c r="I5" t="n">
        <v>0</v>
      </c>
      <c r="J5" t="n">
        <v>0</v>
      </c>
      <c r="K5" t="n">
        <v>0</v>
      </c>
      <c r="L5" t="n">
        <v>0</v>
      </c>
      <c r="M5" t="n">
        <v>0</v>
      </c>
      <c r="N5" t="n">
        <v>0</v>
      </c>
      <c r="AE5" t="inlineStr">
        <is>
          <t>inf</t>
        </is>
      </c>
      <c r="AI5" t="n">
        <v>0</v>
      </c>
      <c r="AJ5" t="inlineStr">
        <is>
          <t>inf</t>
        </is>
      </c>
      <c r="AK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2026-02-04T20:29:32Z</dcterms:modified>
  <cp:lastModifiedBy>Kowalski, Kuba</cp:lastModifiedBy>
</cp:coreProperties>
</file>
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BITTERNE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18.67</v>
      </c>
      <c r="D4" s="13" t="n"/>
      <c r="E4" s="13" t="n"/>
    </row>
    <row r="5">
      <c r="A5" s="15" t="inlineStr">
        <is>
          <t>Rents of assize total</t>
        </is>
      </c>
      <c r="B5" s="76" t="n">
        <v>5.15</v>
      </c>
    </row>
    <row r="6">
      <c r="A6" s="15" t="inlineStr">
        <is>
          <t>Quittances total</t>
        </is>
      </c>
      <c r="B6" s="76" t="n"/>
    </row>
    <row r="7">
      <c r="A7" s="15" t="inlineStr">
        <is>
          <t>Defaults of rent total</t>
        </is>
      </c>
      <c r="B7" s="76" t="n">
        <v>0.35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0.55</v>
      </c>
    </row>
    <row r="12">
      <c r="A12" s="76" t="inlineStr">
        <is>
          <t>Total of rents remaining clear total</t>
        </is>
      </c>
      <c r="B12" s="76" t="n">
        <v>9.029999999999999</v>
      </c>
    </row>
    <row r="13">
      <c r="A13" s="76" t="inlineStr">
        <is>
          <t>Farms total</t>
        </is>
      </c>
      <c r="B13" s="76" t="n"/>
    </row>
    <row r="14">
      <c r="A14" s="15" t="inlineStr">
        <is>
          <t>Annual recognizances total</t>
        </is>
      </c>
      <c r="B14" s="76" t="n"/>
    </row>
    <row r="15">
      <c r="A15" s="15" t="inlineStr">
        <is>
          <t>Issues of the Manor total</t>
        </is>
      </c>
      <c r="B15" s="76" t="n">
        <v>11.55</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2.96</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'Receipts'!F82</f>
        <v/>
      </c>
      <c r="C25" s="10">
        <f>B23-B25</f>
        <v/>
      </c>
    </row>
    <row r="26">
      <c r="A26" s="83" t="inlineStr">
        <is>
          <t>Total recorded in the accounts incl. arrears</t>
        </is>
      </c>
      <c r="B26">
        <f>'Receipts'!F83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0.24</v>
      </c>
    </row>
    <row r="43">
      <c r="A43" s="85" t="inlineStr">
        <is>
          <t>Annual fees</t>
        </is>
      </c>
      <c r="B43" s="86" t="n"/>
      <c r="C43" s="87" t="n"/>
      <c r="D43" s="88" t="n"/>
    </row>
    <row r="44">
      <c r="A44" s="82" t="inlineStr">
        <is>
          <t>Total of all expenses per account</t>
        </is>
      </c>
      <c r="B44" s="84">
        <f>'Expenses'!F50</f>
        <v/>
      </c>
    </row>
    <row r="45">
      <c r="A45" s="82" t="inlineStr">
        <is>
          <t>Total of all expenses (calculated here)</t>
        </is>
      </c>
      <c r="B45" s="84">
        <f>'Expenses'!F51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59.77</v>
      </c>
    </row>
    <row r="51">
      <c r="A51" s="15" t="n"/>
    </row>
    <row r="52">
      <c r="A52" s="18" t="inlineStr">
        <is>
          <t>Allowances</t>
        </is>
      </c>
      <c r="B52" s="84" t="n"/>
    </row>
    <row r="53">
      <c r="A53" s="18" t="inlineStr">
        <is>
          <t>Cash deliveries</t>
        </is>
      </c>
      <c r="B53" s="84" t="n">
        <v>37.33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4</v>
      </c>
      <c r="C95" s="76">
        <f>'Stock'!L13</f>
        <v/>
      </c>
      <c r="D95" s="76">
        <f>C95-B95</f>
        <v/>
      </c>
      <c r="F95" s="84">
        <f>'Stock'!L13*'Stock'!O13</f>
        <v/>
      </c>
      <c r="G95" s="84">
        <f>D95*'Stock'!O13</f>
        <v/>
      </c>
    </row>
    <row r="96">
      <c r="A96" s="15" t="inlineStr">
        <is>
          <t>Cows</t>
        </is>
      </c>
      <c r="B96" s="76" t="n">
        <v>45</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7</v>
      </c>
      <c r="C98" s="76">
        <f>'Stock'!L16</f>
        <v/>
      </c>
      <c r="D98" s="76">
        <f>C98-B98</f>
        <v/>
      </c>
      <c r="F98" s="84">
        <f>'Stock'!L16*'Stock'!O16</f>
        <v/>
      </c>
      <c r="G98" s="84">
        <f>D98*'Stock'!O16</f>
        <v/>
      </c>
    </row>
    <row r="99">
      <c r="A99" s="15" t="inlineStr">
        <is>
          <t>Yearlings</t>
        </is>
      </c>
      <c r="B99" s="76" t="n">
        <v>12</v>
      </c>
      <c r="C99" s="76">
        <f>'Stock'!L17</f>
        <v/>
      </c>
      <c r="D99" s="76">
        <f>C99-B99</f>
        <v/>
      </c>
      <c r="F99" s="84">
        <f>'Stock'!L17*'Stock'!O17</f>
        <v/>
      </c>
      <c r="G99" s="84">
        <f>D99*'Stock'!O17</f>
        <v/>
      </c>
    </row>
    <row r="100">
      <c r="A100" s="15" t="inlineStr">
        <is>
          <t>Calves</t>
        </is>
      </c>
      <c r="B100" s="76" t="n">
        <v>12</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BITTERNE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18</v>
      </c>
      <c r="C3" s="128" t="n">
        <v>13</v>
      </c>
      <c r="D3" s="128" t="n">
        <v>4</v>
      </c>
      <c r="E3" s="128" t="n"/>
      <c r="F3" s="128" t="n">
        <v>18.67</v>
      </c>
      <c r="G3" s="128" t="n"/>
      <c r="H3" s="128" t="inlineStr">
        <is>
          <t>The same answers for £18 13 shilling 4pence of arrears from his last account of the preceding year.</t>
        </is>
      </c>
      <c r="I3" s="128" t="n"/>
    </row>
    <row r="4">
      <c r="A4" s="137" t="inlineStr">
        <is>
          <t>Arrears</t>
        </is>
      </c>
      <c r="B4" s="128" t="n">
        <v>18</v>
      </c>
      <c r="C4" s="128" t="n">
        <v>13</v>
      </c>
      <c r="D4" s="128" t="n">
        <v>4</v>
      </c>
      <c r="E4" s="128" t="n"/>
      <c r="F4" s="128" t="n">
        <v>18.67</v>
      </c>
      <c r="G4" s="128" t="n"/>
      <c r="H4" s="128" t="inlineStr">
        <is>
          <t>Total, £18 13 shilling 4pence.</t>
        </is>
      </c>
      <c r="I4" s="128" t="n"/>
    </row>
    <row r="5">
      <c r="A5" s="138" t="inlineStr">
        <is>
          <t>Arrears total</t>
        </is>
      </c>
      <c r="B5" s="139" t="n"/>
      <c r="C5" s="139" t="n"/>
      <c r="D5" s="139" t="n"/>
      <c r="E5" s="139" t="n"/>
      <c r="F5" s="139" t="n">
        <v>18.67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1</v>
      </c>
      <c r="D7" s="128" t="n">
        <v>31.25</v>
      </c>
      <c r="E7" s="128" t="n"/>
      <c r="F7" s="128" t="n">
        <v>2.18</v>
      </c>
      <c r="G7" s="128" t="n"/>
      <c r="H7" s="128" t="inlineStr">
        <is>
          <t>And for £2 1 shilling 31.25pence for all rents of assize at Christmas.</t>
        </is>
      </c>
      <c r="I7" s="128" t="n"/>
    </row>
    <row r="8">
      <c r="A8" s="137" t="inlineStr">
        <is>
          <t>Rents of assize</t>
        </is>
      </c>
      <c r="B8" s="128" t="n">
        <v>2</v>
      </c>
      <c r="C8" s="128" t="n">
        <v>1</v>
      </c>
      <c r="D8" s="128" t="n">
        <v>5.25</v>
      </c>
      <c r="E8" s="128" t="n"/>
      <c r="F8" s="128" t="n">
        <v>2.07</v>
      </c>
      <c r="G8" s="128" t="n"/>
      <c r="H8" s="128" t="inlineStr">
        <is>
          <t>£2 1 shilling 5.25pence at Easter (23 March).</t>
        </is>
      </c>
      <c r="I8" s="128" t="n"/>
    </row>
    <row r="9">
      <c r="A9" s="137" t="inlineStr">
        <is>
          <t>Rents of assize</t>
        </is>
      </c>
      <c r="B9" s="128" t="n">
        <v>2</v>
      </c>
      <c r="C9" s="128" t="n">
        <v>1</v>
      </c>
      <c r="D9" s="128" t="n">
        <v>3.25</v>
      </c>
      <c r="E9" s="128" t="n"/>
      <c r="F9" s="128" t="n">
        <v>2.06</v>
      </c>
      <c r="G9" s="128" t="n"/>
      <c r="H9" s="128" t="inlineStr">
        <is>
          <t>£2 1 shilling 3.25pence at the Nativity of St John the Baptist (24 June).</t>
        </is>
      </c>
      <c r="I9" s="128" t="n"/>
    </row>
    <row r="10">
      <c r="A10" s="137" t="inlineStr">
        <is>
          <t>Rents of assize</t>
        </is>
      </c>
      <c r="B10" s="128" t="n">
        <v>2</v>
      </c>
      <c r="C10" s="128" t="n">
        <v>7</v>
      </c>
      <c r="D10" s="128" t="n">
        <v>6.5</v>
      </c>
      <c r="E10" s="128" t="n"/>
      <c r="F10" s="128" t="n">
        <v>2.38</v>
      </c>
      <c r="G10" s="128" t="n"/>
      <c r="H10" s="128" t="inlineStr">
        <is>
          <t>£2 7 shilling 6.5pence at Michaelmas (29 September).</t>
        </is>
      </c>
      <c r="I10" s="128" t="n"/>
    </row>
    <row r="11">
      <c r="A11" s="137" t="inlineStr">
        <is>
          <t>Rents of assize</t>
        </is>
      </c>
      <c r="B11" s="128" t="n">
        <v>9</v>
      </c>
      <c r="C11" s="128" t="n">
        <v>11</v>
      </c>
      <c r="D11" s="128" t="n">
        <v>0</v>
      </c>
      <c r="E11" s="128" t="n"/>
      <c r="F11" s="128" t="n">
        <v>9.550000000000001</v>
      </c>
      <c r="G11" s="128" t="n"/>
      <c r="H11" s="128" t="inlineStr">
        <is>
          <t>Total, £9 11 shilling 61/ad.</t>
        </is>
      </c>
      <c r="I11" s="128" t="n"/>
    </row>
    <row r="12">
      <c r="A12" s="138" t="inlineStr">
        <is>
          <t>Rents of assize total</t>
        </is>
      </c>
      <c r="B12" s="139" t="n"/>
      <c r="C12" s="139" t="n"/>
      <c r="D12" s="139" t="n"/>
      <c r="E12" s="139" t="n"/>
      <c r="F12" s="139" t="n">
        <v>8.69</v>
      </c>
      <c r="G12" s="139" t="n">
        <v>-0.86</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2</v>
      </c>
      <c r="D14" s="128" t="n">
        <v>1</v>
      </c>
      <c r="E14" s="128" t="n"/>
      <c r="F14" s="128" t="n">
        <v>0.1</v>
      </c>
      <c r="G14" s="128" t="n"/>
      <c r="H14" s="128" t="inlineStr">
        <is>
          <t>In default of the land of Vyel drawn into demesne, 2 shilling 1pence for the year.</t>
        </is>
      </c>
      <c r="I14" s="128" t="n"/>
    </row>
    <row r="15">
      <c r="A15" s="137" t="inlineStr">
        <is>
          <t>Defaults of rent</t>
        </is>
      </c>
      <c r="B15" s="128" t="n">
        <v>0</v>
      </c>
      <c r="C15" s="128" t="n">
        <v>3</v>
      </c>
      <c r="D15" s="128" t="n">
        <v>4</v>
      </c>
      <c r="E15" s="128" t="n"/>
      <c r="F15" s="128" t="n">
        <v>0.17</v>
      </c>
      <c r="G15" s="128" t="n"/>
      <c r="H15" s="128" t="inlineStr">
        <is>
          <t>the land of Quabbemore which Thomas Byndon' held and is now in the lord's hands, 3 shilling 4pence for the year.</t>
        </is>
      </c>
      <c r="I15" s="128" t="n"/>
    </row>
    <row r="16">
      <c r="A16" s="137" t="inlineStr">
        <is>
          <t>Defaults of rent</t>
        </is>
      </c>
      <c r="B16" s="128" t="n">
        <v>0</v>
      </c>
      <c r="C16" s="128" t="n">
        <v>1</v>
      </c>
      <c r="D16" s="128" t="n">
        <v>0</v>
      </c>
      <c r="E16" s="128" t="n"/>
      <c r="F16" s="128" t="n">
        <v>0.05</v>
      </c>
      <c r="G16" s="128" t="n"/>
      <c r="H16" s="128" t="inlineStr">
        <is>
          <t>1 cottage with a curtilage recently of William Saltere because it is in the lord's hands, 1 shilling for the year.</t>
        </is>
      </c>
      <c r="I16" s="128" t="n"/>
    </row>
    <row r="17">
      <c r="A17" s="137" t="inlineStr">
        <is>
          <t>Defaults of rent</t>
        </is>
      </c>
      <c r="B17" s="128" t="n">
        <v>0</v>
      </c>
      <c r="C17" s="128" t="n">
        <v>0</v>
      </c>
      <c r="D17" s="128" t="n">
        <v>6</v>
      </c>
      <c r="E17" s="128" t="n"/>
      <c r="F17" s="128" t="n">
        <v>0.03</v>
      </c>
      <c r="G17" s="128" t="n"/>
      <c r="H17" s="128" t="inlineStr">
        <is>
          <t>1 cottage recently of William Norton' because it is in the lord's hands, 6pence for the year.</t>
        </is>
      </c>
      <c r="I17" s="128" t="n"/>
    </row>
    <row r="18">
      <c r="A18" s="137" t="inlineStr">
        <is>
          <t>Defaults of rent</t>
        </is>
      </c>
      <c r="B18" s="128" t="n">
        <v>0</v>
      </c>
      <c r="C18" s="128" t="n">
        <v>6</v>
      </c>
      <c r="D18" s="128" t="n">
        <v>11</v>
      </c>
      <c r="E18" s="128" t="n"/>
      <c r="F18" s="128" t="n">
        <v>0.35</v>
      </c>
      <c r="G18" s="128" t="n"/>
      <c r="H18" s="128" t="inlineStr">
        <is>
          <t>Total, 6 shilling 11pence.</t>
        </is>
      </c>
      <c r="I18" s="128" t="n"/>
    </row>
    <row r="19">
      <c r="A19" s="138" t="inlineStr">
        <is>
          <t>Defaults of rent total</t>
        </is>
      </c>
      <c r="B19" s="139" t="n"/>
      <c r="C19" s="139" t="n"/>
      <c r="D19" s="139" t="n"/>
      <c r="E19" s="139" t="n"/>
      <c r="F19" s="139" t="n">
        <v>0.35</v>
      </c>
      <c r="G19" s="139" t="n">
        <v>0</v>
      </c>
      <c r="H19" s="139" t="inlineStr">
        <is>
          <t>Total</t>
        </is>
      </c>
      <c r="I19" s="139" t="n"/>
    </row>
    <row r="20">
      <c r="A20" s="137" t="n"/>
      <c r="B20" s="128" t="n"/>
      <c r="C20" s="128" t="n"/>
      <c r="D20" s="128" t="n"/>
      <c r="E20" s="128" t="n"/>
      <c r="F20" s="128" t="n"/>
      <c r="G20" s="128" t="n"/>
      <c r="H20" s="128" t="n"/>
      <c r="I20" s="128" t="n"/>
    </row>
    <row r="21">
      <c r="A21" s="136" t="inlineStr">
        <is>
          <t>Total of quittances and defaults of rent</t>
        </is>
      </c>
      <c r="B21" s="128" t="n">
        <v>0</v>
      </c>
      <c r="C21" s="128" t="n">
        <v>10</v>
      </c>
      <c r="D21" s="128" t="n">
        <v>11</v>
      </c>
      <c r="E21" s="128" t="n"/>
      <c r="F21" s="128" t="n">
        <v>0.55</v>
      </c>
      <c r="G21" s="128" t="n"/>
      <c r="H21" s="128" t="inlineStr">
        <is>
          <t>Total of quittances and defaults of rent, 10 shilling 11pence.</t>
        </is>
      </c>
      <c r="I21" s="128" t="n"/>
    </row>
    <row r="22">
      <c r="A22" s="138" t="inlineStr">
        <is>
          <t>Total of quittances and defaults of rent total</t>
        </is>
      </c>
      <c r="B22" s="139" t="n"/>
      <c r="C22" s="139" t="n"/>
      <c r="D22" s="139" t="n"/>
      <c r="E22" s="139" t="n"/>
      <c r="F22" s="139" t="n">
        <v>0.55</v>
      </c>
      <c r="G22" s="139" t="n">
        <v>0</v>
      </c>
      <c r="H22" s="139" t="inlineStr">
        <is>
          <t>Total</t>
        </is>
      </c>
      <c r="I22" s="139" t="n"/>
    </row>
    <row r="23">
      <c r="A23" s="137" t="n"/>
      <c r="B23" s="128" t="n"/>
      <c r="C23" s="128" t="n"/>
      <c r="D23" s="128" t="n"/>
      <c r="E23" s="128" t="n"/>
      <c r="F23" s="128" t="n"/>
      <c r="G23" s="128" t="n"/>
      <c r="H23" s="128" t="n"/>
      <c r="I23" s="128" t="n"/>
    </row>
    <row r="24">
      <c r="A24" s="136" t="inlineStr">
        <is>
          <t>Total of rents remaining clear</t>
        </is>
      </c>
      <c r="B24" s="128" t="n">
        <v>9</v>
      </c>
      <c r="C24" s="128" t="n">
        <v>0</v>
      </c>
      <c r="D24" s="128" t="n">
        <v>7.25</v>
      </c>
      <c r="E24" s="128" t="n"/>
      <c r="F24" s="128" t="n">
        <v>9.029999999999999</v>
      </c>
      <c r="G24" s="128" t="n"/>
      <c r="H24" s="128" t="inlineStr">
        <is>
          <t>Total of rents remaining clear, £9 7.25pence.</t>
        </is>
      </c>
      <c r="I24" s="128" t="n"/>
    </row>
    <row r="25">
      <c r="A25" s="138" t="inlineStr">
        <is>
          <t>Total of rents remaining clear total</t>
        </is>
      </c>
      <c r="B25" s="139" t="n"/>
      <c r="C25" s="139" t="n"/>
      <c r="D25" s="139" t="n"/>
      <c r="E25" s="139" t="n"/>
      <c r="F25" s="139" t="n">
        <v>9.029999999999999</v>
      </c>
      <c r="G25" s="139" t="n">
        <v>0</v>
      </c>
      <c r="H25" s="139" t="inlineStr">
        <is>
          <t>Total</t>
        </is>
      </c>
      <c r="I25" s="139" t="n"/>
    </row>
    <row r="26">
      <c r="A26" s="137" t="n"/>
      <c r="B26" s="128" t="n"/>
      <c r="C26" s="128" t="n"/>
      <c r="D26" s="128" t="n"/>
      <c r="E26" s="128" t="n"/>
      <c r="F26" s="128" t="n"/>
      <c r="G26" s="128" t="n"/>
      <c r="H26" s="128" t="n"/>
      <c r="I26" s="128" t="n"/>
    </row>
    <row r="27">
      <c r="A27" s="136" t="inlineStr">
        <is>
          <t>Rents</t>
        </is>
      </c>
      <c r="B27" s="128" t="n">
        <v>3</v>
      </c>
      <c r="C27" s="128" t="n">
        <v>13</v>
      </c>
      <c r="D27" s="128" t="n">
        <v>0</v>
      </c>
      <c r="E27" s="128" t="n"/>
      <c r="F27" s="128" t="n">
        <v>3.65</v>
      </c>
      <c r="G27" s="128" t="n"/>
      <c r="H27" s="128" t="inlineStr">
        <is>
          <t>Rents of Fawley and South Stoneham And for £3 13 shilling for the rents of all the tenants of Fawley and Ower for the year.</t>
        </is>
      </c>
      <c r="I27" s="128" t="n"/>
    </row>
    <row r="28">
      <c r="A28" s="137" t="inlineStr">
        <is>
          <t>Rents</t>
        </is>
      </c>
      <c r="B28" s="128" t="n">
        <v>1</v>
      </c>
      <c r="C28" s="128" t="n">
        <v>10</v>
      </c>
      <c r="D28" s="128" t="n">
        <v>0</v>
      </c>
      <c r="E28" s="128" t="n"/>
      <c r="F28" s="128" t="n">
        <v>1.5</v>
      </c>
      <c r="G28" s="128" t="n"/>
      <c r="H28" s="128" t="inlineStr">
        <is>
          <t>£1 10 shilling for the rent of the land and tenement recently of Guy de Stonham for the year, to be paid at the 4 principal terms of the year.</t>
        </is>
      </c>
      <c r="I28" s="128" t="n"/>
    </row>
    <row r="29">
      <c r="A29" s="137" t="inlineStr">
        <is>
          <t>Rents</t>
        </is>
      </c>
      <c r="B29" s="128" t="n">
        <v>5</v>
      </c>
      <c r="C29" s="128" t="n">
        <v>3</v>
      </c>
      <c r="D29" s="128" t="n">
        <v>0</v>
      </c>
      <c r="E29" s="128" t="n"/>
      <c r="F29" s="128" t="n">
        <v>5.15</v>
      </c>
      <c r="G29" s="128" t="n"/>
      <c r="H29" s="128" t="inlineStr">
        <is>
          <t>Total, £5 3 shilling.</t>
        </is>
      </c>
      <c r="I29" s="128" t="n"/>
    </row>
    <row r="30">
      <c r="A30" s="138" t="inlineStr">
        <is>
          <t>Rents total</t>
        </is>
      </c>
      <c r="B30" s="139" t="n"/>
      <c r="C30" s="139" t="n"/>
      <c r="D30" s="139" t="n"/>
      <c r="E30" s="139" t="n"/>
      <c r="F30" s="139" t="n">
        <v>5.15</v>
      </c>
      <c r="G30" s="139" t="n">
        <v>0</v>
      </c>
      <c r="H30" s="139" t="inlineStr">
        <is>
          <t>Total</t>
        </is>
      </c>
      <c r="I30" s="139" t="n"/>
    </row>
    <row r="31">
      <c r="A31" s="137" t="n"/>
      <c r="B31" s="128" t="n"/>
      <c r="C31" s="128" t="n"/>
      <c r="D31" s="128" t="n"/>
      <c r="E31" s="128" t="n"/>
      <c r="F31" s="128" t="n"/>
      <c r="G31" s="128" t="n"/>
      <c r="H31" s="128" t="n"/>
      <c r="I31" s="128" t="n"/>
    </row>
    <row r="32">
      <c r="A32" s="136" t="inlineStr">
        <is>
          <t>Farm of the mill</t>
        </is>
      </c>
      <c r="B32" s="128" t="n">
        <v>18</v>
      </c>
      <c r="C32" s="128" t="n">
        <v>0</v>
      </c>
      <c r="D32" s="128" t="n">
        <v>0</v>
      </c>
      <c r="E32" s="128" t="n"/>
      <c r="F32" s="128" t="n">
        <v>18</v>
      </c>
      <c r="G32" s="128" t="n"/>
      <c r="H32" s="128" t="inlineStr">
        <is>
          <t>And for £18 for the farm of the mill this year, demised to Richard Beyr for 7 years, this year being the third.</t>
        </is>
      </c>
      <c r="I32" s="128" t="n"/>
    </row>
    <row r="33">
      <c r="A33" s="137" t="inlineStr">
        <is>
          <t>Farm of the mill</t>
        </is>
      </c>
      <c r="B33" s="128" t="n">
        <v>18</v>
      </c>
      <c r="C33" s="128" t="n">
        <v>0</v>
      </c>
      <c r="D33" s="128" t="n">
        <v>0</v>
      </c>
      <c r="E33" s="128" t="n"/>
      <c r="F33" s="128" t="n">
        <v>18</v>
      </c>
      <c r="G33" s="128" t="n"/>
      <c r="H33" s="128" t="inlineStr">
        <is>
          <t>Total, £18..</t>
        </is>
      </c>
      <c r="I33" s="128" t="n"/>
    </row>
    <row r="34">
      <c r="A34" s="138" t="inlineStr">
        <is>
          <t>Farm of the mill total</t>
        </is>
      </c>
      <c r="B34" s="139" t="n"/>
      <c r="C34" s="139" t="n"/>
      <c r="D34" s="139" t="n"/>
      <c r="E34" s="139" t="n"/>
      <c r="F34" s="139" t="n">
        <v>18</v>
      </c>
      <c r="G34" s="139" t="n">
        <v>0</v>
      </c>
      <c r="H34" s="139" t="inlineStr">
        <is>
          <t>Total</t>
        </is>
      </c>
      <c r="I34" s="139" t="n"/>
    </row>
    <row r="35">
      <c r="A35" s="137" t="n"/>
      <c r="B35" s="128" t="n"/>
      <c r="C35" s="128" t="n"/>
      <c r="D35" s="128" t="n"/>
      <c r="E35" s="128" t="n"/>
      <c r="F35" s="128" t="n"/>
      <c r="G35" s="128" t="n"/>
      <c r="H35" s="128" t="n"/>
      <c r="I35" s="128" t="n"/>
    </row>
    <row r="36">
      <c r="A36" s="136" t="inlineStr">
        <is>
          <t>Issues of the manor</t>
        </is>
      </c>
      <c r="B36" s="128" t="n">
        <v>0</v>
      </c>
      <c r="C36" s="128" t="n">
        <v>15</v>
      </c>
      <c r="D36" s="128" t="n">
        <v>11</v>
      </c>
      <c r="E36" s="128" t="n"/>
      <c r="F36" s="128" t="n">
        <v>0.8</v>
      </c>
      <c r="G36" s="128" t="n"/>
      <c r="H36" s="128" t="inlineStr">
        <is>
          <t>And for 15 shilling 11 pence from the pannage of the pigs of the customary tenants at Martinmas.</t>
        </is>
      </c>
      <c r="I36" s="128" t="n"/>
    </row>
    <row r="37">
      <c r="A37" s="137" t="inlineStr">
        <is>
          <t>Issues of the manor</t>
        </is>
      </c>
      <c r="B37" s="128" t="n">
        <v>0</v>
      </c>
      <c r="C37" s="128" t="n">
        <v>0</v>
      </c>
      <c r="D37" s="128" t="n">
        <v>0</v>
      </c>
      <c r="E37" s="128" t="n"/>
      <c r="F37" s="128" t="n">
        <v>0</v>
      </c>
      <c r="G37" s="128" t="n"/>
      <c r="H37" s="128" t="inlineStr">
        <is>
          <t>nothing from the pannage of foreign pigs agisted in the park this year because there was no mast.</t>
        </is>
      </c>
      <c r="I37" s="128" t="n"/>
    </row>
    <row r="38">
      <c r="A38" s="137" t="inlineStr">
        <is>
          <t>Issues of the manor</t>
        </is>
      </c>
      <c r="B38" s="128" t="n">
        <v>0</v>
      </c>
      <c r="C38" s="128" t="n">
        <v>8</v>
      </c>
      <c r="D38" s="128" t="n">
        <v>2</v>
      </c>
      <c r="E38" s="128" t="n"/>
      <c r="F38" s="128" t="n">
        <v>0.41</v>
      </c>
      <c r="G38" s="128" t="n"/>
      <c r="H38" s="128" t="inlineStr">
        <is>
          <t>8 shilling 2pence from the agistment of cattle in the park in the winter.</t>
        </is>
      </c>
      <c r="I38" s="128" t="n"/>
    </row>
    <row r="39">
      <c r="A39" s="137" t="inlineStr">
        <is>
          <t>Issues of the manor</t>
        </is>
      </c>
      <c r="B39" s="128" t="n">
        <v>1</v>
      </c>
      <c r="C39" s="128" t="n">
        <v>2</v>
      </c>
      <c r="D39" s="128" t="n">
        <v>4</v>
      </c>
      <c r="E39" s="128" t="n"/>
      <c r="F39" s="128" t="n">
        <v>1.12</v>
      </c>
      <c r="G39" s="128" t="n"/>
      <c r="H39" s="128" t="inlineStr">
        <is>
          <t>£1 2 shilling 4pence from the agistment of cattle in the park in the summer.</t>
        </is>
      </c>
      <c r="I39" s="128" t="n"/>
    </row>
    <row r="40">
      <c r="A40" s="137" t="inlineStr">
        <is>
          <t>Issues of the manor</t>
        </is>
      </c>
      <c r="B40" s="128" t="n">
        <v>0</v>
      </c>
      <c r="C40" s="128" t="n">
        <v>0</v>
      </c>
      <c r="D40" s="128" t="n">
        <v>0</v>
      </c>
      <c r="E40" s="128" t="n"/>
      <c r="F40" s="128" t="n">
        <v>0</v>
      </c>
      <c r="G40" s="128" t="n"/>
      <c r="H40" s="128" t="inlineStr">
        <is>
          <t>nothing from the sale of old pollards this year.</t>
        </is>
      </c>
      <c r="I40" s="128" t="n"/>
    </row>
    <row r="41">
      <c r="A41" s="137" t="inlineStr">
        <is>
          <t>Issues of the manor</t>
        </is>
      </c>
      <c r="B41" s="128" t="n">
        <v>0</v>
      </c>
      <c r="C41" s="128" t="n">
        <v>0</v>
      </c>
      <c r="D41" s="128" t="n">
        <v>0</v>
      </c>
      <c r="E41" s="128" t="n"/>
      <c r="F41" s="128" t="n">
        <v>0</v>
      </c>
      <c r="G41" s="128" t="n"/>
      <c r="H41" s="128" t="inlineStr">
        <is>
          <t>nothing from the turbary sold this year from a want of buyers.</t>
        </is>
      </c>
      <c r="I41" s="128" t="n"/>
    </row>
    <row r="42">
      <c r="A42" s="137" t="inlineStr">
        <is>
          <t>Issues of the manor</t>
        </is>
      </c>
      <c r="B42" s="128" t="n">
        <v>0</v>
      </c>
      <c r="C42" s="128" t="n">
        <v>0</v>
      </c>
      <c r="D42" s="128" t="n">
        <v>0</v>
      </c>
      <c r="E42" s="128" t="n"/>
      <c r="F42" s="128" t="n">
        <v>0</v>
      </c>
      <c r="G42" s="128" t="n"/>
      <c r="H42" s="128" t="inlineStr">
        <is>
          <t>nothing from the sale of pasturage in Quabbemore this year because of the lord's cows.</t>
        </is>
      </c>
      <c r="I42" s="128" t="n"/>
    </row>
    <row r="43">
      <c r="A43" s="137" t="inlineStr">
        <is>
          <t>Issues of the manor</t>
        </is>
      </c>
      <c r="B43" s="128" t="n">
        <v>0</v>
      </c>
      <c r="C43" s="128" t="n">
        <v>0</v>
      </c>
      <c r="D43" s="128" t="n">
        <v>0</v>
      </c>
      <c r="E43" s="128" t="n"/>
      <c r="F43" s="128" t="n">
        <v>0</v>
      </c>
      <c r="G43" s="128" t="n"/>
      <c r="H43" s="128" t="inlineStr">
        <is>
          <t>nothing from the sale of heath in the common of Bitterne this year from a want of buyers.</t>
        </is>
      </c>
      <c r="I43" s="128" t="n"/>
    </row>
    <row r="44">
      <c r="A44" s="137" t="inlineStr">
        <is>
          <t>Issues of the manor</t>
        </is>
      </c>
      <c r="B44" s="128" t="n">
        <v>0</v>
      </c>
      <c r="C44" s="128" t="n">
        <v>0</v>
      </c>
      <c r="D44" s="128" t="n">
        <v>0</v>
      </c>
      <c r="E44" s="128" t="n"/>
      <c r="F44" s="128" t="n">
        <v>0</v>
      </c>
      <c r="G44" s="128" t="n"/>
      <c r="H44" s="128" t="inlineStr">
        <is>
          <t>nothing from the sale of talwood in the park this year.</t>
        </is>
      </c>
      <c r="I44" s="128" t="n"/>
    </row>
    <row r="45">
      <c r="A45" s="137" t="inlineStr">
        <is>
          <t>Issues of the manor</t>
        </is>
      </c>
      <c r="B45" s="128" t="n">
        <v>0</v>
      </c>
      <c r="C45" s="128" t="n">
        <v>0</v>
      </c>
      <c r="D45" s="128" t="n">
        <v>0</v>
      </c>
      <c r="E45" s="128" t="n"/>
      <c r="F45" s="128" t="n">
        <v>0</v>
      </c>
      <c r="G45" s="128" t="n"/>
      <c r="H45" s="128" t="inlineStr">
        <is>
          <t>nothing from the sale of old alders in the park this year.</t>
        </is>
      </c>
      <c r="I45" s="128" t="n"/>
    </row>
    <row r="46">
      <c r="A46" s="137" t="inlineStr">
        <is>
          <t>Issues of the manor</t>
        </is>
      </c>
      <c r="B46" s="128" t="n">
        <v>0</v>
      </c>
      <c r="C46" s="128" t="n">
        <v>0</v>
      </c>
      <c r="D46" s="128" t="n">
        <v>0</v>
      </c>
      <c r="E46" s="128" t="n"/>
      <c r="F46" s="128" t="n">
        <v>0</v>
      </c>
      <c r="G46" s="128" t="n"/>
      <c r="H46" s="128" t="inlineStr">
        <is>
          <t>nothing from the sale of loppings in Rademore this year.</t>
        </is>
      </c>
      <c r="I46" s="128" t="n"/>
    </row>
    <row r="47">
      <c r="A47" s="137" t="inlineStr">
        <is>
          <t>Issues of the manor</t>
        </is>
      </c>
      <c r="B47" s="128" t="n">
        <v>0</v>
      </c>
      <c r="C47" s="128" t="n">
        <v>0</v>
      </c>
      <c r="D47" s="128" t="n">
        <v>0</v>
      </c>
      <c r="E47" s="128" t="n"/>
      <c r="F47" s="128" t="n">
        <v>0</v>
      </c>
      <c r="G47" s="128" t="n"/>
      <c r="H47" s="128" t="inlineStr">
        <is>
          <t>nothing from the sale of loppings in Elmore this year.</t>
        </is>
      </c>
      <c r="I47" s="128" t="n"/>
    </row>
    <row r="48">
      <c r="A48" s="137" t="inlineStr">
        <is>
          <t>Issues of the manor</t>
        </is>
      </c>
      <c r="B48" s="128" t="n">
        <v>0</v>
      </c>
      <c r="C48" s="128" t="n">
        <v>6</v>
      </c>
      <c r="D48" s="128" t="n">
        <v>8</v>
      </c>
      <c r="E48" s="128" t="n"/>
      <c r="F48" s="128" t="n">
        <v>0.33</v>
      </c>
      <c r="G48" s="128" t="n"/>
      <c r="H48" s="128" t="inlineStr">
        <is>
          <t>6 shilling 8pence from the hides sold wholesale of 6 cows, 2 bullocks and 2 yearlings in murrain.</t>
        </is>
      </c>
      <c r="I48" s="128" t="n"/>
    </row>
    <row r="49">
      <c r="A49" s="137" t="inlineStr">
        <is>
          <t>Issues of the manor</t>
        </is>
      </c>
      <c r="B49" s="128" t="n">
        <v>1</v>
      </c>
      <c r="C49" s="128" t="n">
        <v>10</v>
      </c>
      <c r="D49" s="128" t="n">
        <v>4</v>
      </c>
      <c r="E49" s="128" t="n"/>
      <c r="F49" s="128" t="n">
        <v>1.52</v>
      </c>
      <c r="G49" s="128" t="n"/>
      <c r="H49" s="128" t="inlineStr">
        <is>
          <t>£1 10 shilling 4pence from 181 cocks and hens sold, at 2pence each.</t>
        </is>
      </c>
      <c r="I49" s="128" t="n"/>
    </row>
    <row r="50">
      <c r="A50" s="137" t="inlineStr">
        <is>
          <t>Issues of the manor</t>
        </is>
      </c>
      <c r="B50" s="128" t="n">
        <v>7</v>
      </c>
      <c r="C50" s="128" t="n">
        <v>7</v>
      </c>
      <c r="D50" s="128" t="n">
        <v>0</v>
      </c>
      <c r="E50" s="128" t="n"/>
      <c r="F50" s="128" t="n">
        <v>7.35</v>
      </c>
      <c r="G50" s="128" t="n"/>
      <c r="H50" s="128" t="inlineStr">
        <is>
          <t>£7 7 shilling from the milking of 38 cows by the stoup this year and thus a cow answers for 3 shilling.</t>
        </is>
      </c>
      <c r="I50" s="128" t="n"/>
    </row>
    <row r="51">
      <c r="A51" s="137" t="inlineStr">
        <is>
          <t>Issues of the manor</t>
        </is>
      </c>
      <c r="B51" s="128" t="n">
        <v>0</v>
      </c>
      <c r="C51" s="128" t="n">
        <v>0</v>
      </c>
      <c r="D51" s="128" t="n">
        <v>0</v>
      </c>
      <c r="E51" s="128" t="n"/>
      <c r="F51" s="128" t="n">
        <v>0</v>
      </c>
      <c r="G51" s="128" t="n"/>
      <c r="H51" s="128" t="inlineStr">
        <is>
          <t>nothing from the sale of salmon or lampems this year because at farm.</t>
        </is>
      </c>
      <c r="I51" s="128" t="n"/>
    </row>
    <row r="52">
      <c r="A52" s="137" t="inlineStr">
        <is>
          <t>Issues of the manor</t>
        </is>
      </c>
      <c r="B52" s="128" t="n">
        <v>0</v>
      </c>
      <c r="C52" s="128" t="n">
        <v>0</v>
      </c>
      <c r="D52" s="128" t="n">
        <v>4</v>
      </c>
      <c r="E52" s="128" t="n"/>
      <c r="F52" s="128" t="n">
        <v>0.02</v>
      </c>
      <c r="G52" s="128" t="n"/>
      <c r="H52" s="128" t="inlineStr">
        <is>
          <t>4pence from the loppings of 1 oak felled in the park this year.</t>
        </is>
      </c>
      <c r="I52" s="128" t="n"/>
    </row>
    <row r="53">
      <c r="A53" s="137" t="inlineStr">
        <is>
          <t>Issues of the manor</t>
        </is>
      </c>
      <c r="B53" s="128" t="n">
        <v>11</v>
      </c>
      <c r="C53" s="128" t="n">
        <v>9</v>
      </c>
      <c r="D53" s="128" t="n">
        <v>11.5</v>
      </c>
      <c r="E53" s="128" t="n"/>
      <c r="F53" s="128" t="n">
        <v>11.5</v>
      </c>
      <c r="G53" s="128" t="n"/>
      <c r="H53" s="128" t="inlineStr">
        <is>
          <t>Total, £11 9 shilling 11.5pence.</t>
        </is>
      </c>
      <c r="I53" s="128" t="n"/>
    </row>
    <row r="54">
      <c r="A54" s="138" t="inlineStr">
        <is>
          <t>Issues of the manor total</t>
        </is>
      </c>
      <c r="B54" s="139" t="n"/>
      <c r="C54" s="139" t="n"/>
      <c r="D54" s="139" t="n"/>
      <c r="E54" s="139" t="n"/>
      <c r="F54" s="139" t="n">
        <v>11.55</v>
      </c>
      <c r="G54" s="139" t="n">
        <v>0.05</v>
      </c>
      <c r="H54" s="139" t="inlineStr">
        <is>
          <t>Total</t>
        </is>
      </c>
      <c r="I54" s="139" t="n"/>
    </row>
    <row r="55">
      <c r="A55" s="137" t="n"/>
      <c r="B55" s="128" t="n"/>
      <c r="C55" s="128" t="n"/>
      <c r="D55" s="128" t="n"/>
      <c r="E55" s="128" t="n"/>
      <c r="F55" s="128" t="n"/>
      <c r="G55" s="128" t="n"/>
      <c r="H55" s="128" t="n"/>
      <c r="I55" s="128" t="n"/>
    </row>
    <row r="56">
      <c r="A56" s="136" t="inlineStr">
        <is>
          <t>Sale of stock</t>
        </is>
      </c>
      <c r="B56" s="128" t="n">
        <v>0</v>
      </c>
      <c r="C56" s="128" t="n">
        <v>18</v>
      </c>
      <c r="D56" s="128" t="n">
        <v>0</v>
      </c>
      <c r="E56" s="128" t="n"/>
      <c r="F56" s="128" t="n">
        <v>0.9</v>
      </c>
      <c r="G56" s="128" t="n"/>
      <c r="H56" s="128" t="inlineStr">
        <is>
          <t>And for 18 shilling from 2 oxen from the heriot of John Scryveyn' sold.</t>
        </is>
      </c>
      <c r="I56" s="128" t="n"/>
    </row>
    <row r="57">
      <c r="A57" s="137" t="inlineStr">
        <is>
          <t>Sale of stock</t>
        </is>
      </c>
      <c r="B57" s="128" t="n">
        <v>0</v>
      </c>
      <c r="C57" s="128" t="n">
        <v>6</v>
      </c>
      <c r="D57" s="128" t="n">
        <v>8</v>
      </c>
      <c r="E57" s="128" t="n"/>
      <c r="F57" s="128" t="n">
        <v>0.33</v>
      </c>
      <c r="G57" s="128" t="n"/>
      <c r="H57" s="128" t="inlineStr">
        <is>
          <t>6 shilling 8pence from 1 bull sold.</t>
        </is>
      </c>
      <c r="I57" s="128" t="n"/>
    </row>
    <row r="58">
      <c r="A58" s="137" t="inlineStr">
        <is>
          <t>Sale of stock</t>
        </is>
      </c>
      <c r="B58" s="128" t="n">
        <v>2</v>
      </c>
      <c r="C58" s="128" t="n">
        <v>2</v>
      </c>
      <c r="D58" s="128" t="n">
        <v>0</v>
      </c>
      <c r="E58" s="128" t="n"/>
      <c r="F58" s="128" t="n">
        <v>2.1</v>
      </c>
      <c r="G58" s="128" t="n"/>
      <c r="H58" s="128" t="inlineStr">
        <is>
          <t>£2 2 shilling from 7 kebb cows sold, at 6 shilling each.</t>
        </is>
      </c>
      <c r="I58" s="128" t="n"/>
    </row>
    <row r="59">
      <c r="A59" s="137" t="inlineStr">
        <is>
          <t>Sale of stock</t>
        </is>
      </c>
      <c r="B59" s="128" t="n">
        <v>0</v>
      </c>
      <c r="C59" s="128" t="n">
        <v>4</v>
      </c>
      <c r="D59" s="128" t="n">
        <v>0</v>
      </c>
      <c r="E59" s="128" t="n"/>
      <c r="F59" s="128" t="n">
        <v>0.2</v>
      </c>
      <c r="G59" s="128" t="n"/>
      <c r="H59" s="128" t="inlineStr">
        <is>
          <t>4 shilling from 1 bullock sold.</t>
        </is>
      </c>
      <c r="I59" s="128" t="n"/>
    </row>
    <row r="60">
      <c r="A60" s="137" t="inlineStr">
        <is>
          <t>Sale of stock</t>
        </is>
      </c>
      <c r="B60" s="128" t="n">
        <v>2</v>
      </c>
      <c r="C60" s="128" t="n">
        <v>4</v>
      </c>
      <c r="D60" s="128" t="n">
        <v>0</v>
      </c>
      <c r="E60" s="128" t="n"/>
      <c r="F60" s="128" t="n">
        <v>2.2</v>
      </c>
      <c r="G60" s="128" t="n"/>
      <c r="H60" s="128" t="inlineStr">
        <is>
          <t>£2 4 shilling from 22 calves sold, at 2 shilling each.</t>
        </is>
      </c>
      <c r="I60" s="128" t="n"/>
    </row>
    <row r="61">
      <c r="A61" s="137" t="inlineStr">
        <is>
          <t>Sale of stock</t>
        </is>
      </c>
      <c r="B61" s="128" t="n">
        <v>0</v>
      </c>
      <c r="C61" s="128" t="n">
        <v>2</v>
      </c>
      <c r="D61" s="128" t="n">
        <v>0</v>
      </c>
      <c r="E61" s="128" t="n"/>
      <c r="F61" s="128" t="n">
        <v>0.1</v>
      </c>
      <c r="G61" s="128" t="n"/>
      <c r="H61" s="128" t="inlineStr">
        <is>
          <t>2 shilling from 1 hogget sold.</t>
        </is>
      </c>
      <c r="I61" s="128" t="n"/>
    </row>
    <row r="62">
      <c r="A62" s="137" t="inlineStr">
        <is>
          <t>Sale of stock</t>
        </is>
      </c>
      <c r="B62" s="128" t="n">
        <v>5</v>
      </c>
      <c r="C62" s="128" t="n">
        <v>16</v>
      </c>
      <c r="D62" s="128" t="n">
        <v>8</v>
      </c>
      <c r="E62" s="128" t="n"/>
      <c r="F62" s="128" t="n">
        <v>5.83</v>
      </c>
      <c r="G62" s="128" t="n"/>
      <c r="H62" s="128" t="inlineStr">
        <is>
          <t>Total, £5 16 shilling 8pence.</t>
        </is>
      </c>
      <c r="I62" s="128" t="n"/>
    </row>
    <row r="63">
      <c r="A63" s="138" t="inlineStr">
        <is>
          <t>Sale of stock total</t>
        </is>
      </c>
      <c r="B63" s="139" t="n"/>
      <c r="C63" s="139" t="n"/>
      <c r="D63" s="139" t="n"/>
      <c r="E63" s="139" t="n"/>
      <c r="F63" s="139" t="n">
        <v>5.83</v>
      </c>
      <c r="G63" s="139" t="n">
        <v>0</v>
      </c>
      <c r="H63" s="139" t="inlineStr">
        <is>
          <t>Total</t>
        </is>
      </c>
      <c r="I63" s="139" t="n"/>
    </row>
    <row r="64">
      <c r="A64" s="137" t="n"/>
      <c r="B64" s="128" t="n"/>
      <c r="C64" s="128" t="n"/>
      <c r="D64" s="128" t="n"/>
      <c r="E64" s="128" t="n"/>
      <c r="F64" s="128" t="n"/>
      <c r="G64" s="128" t="n"/>
      <c r="H64" s="128" t="n"/>
      <c r="I64" s="128" t="n"/>
    </row>
    <row r="65">
      <c r="A65" s="136" t="inlineStr">
        <is>
          <t>Entry and marriage fines</t>
        </is>
      </c>
      <c r="B65" s="128" t="n">
        <v>0</v>
      </c>
      <c r="C65" s="128" t="n">
        <v>13</v>
      </c>
      <c r="D65" s="128" t="n">
        <v>4</v>
      </c>
      <c r="E65" s="128" t="n"/>
      <c r="F65" s="128" t="n">
        <v>0.67</v>
      </c>
      <c r="G65" s="128" t="n"/>
      <c r="H65" s="128" t="inlineStr">
        <is>
          <t>And for 13 shilling 4pence from tithingpenny at the tourn of Martinmas.</t>
        </is>
      </c>
      <c r="I65" s="128" t="n"/>
    </row>
    <row r="66">
      <c r="A66" s="137" t="inlineStr">
        <is>
          <t>Entry and marriage fines</t>
        </is>
      </c>
      <c r="B66" s="128" t="n">
        <v>0</v>
      </c>
      <c r="C66" s="128" t="n">
        <v>13</v>
      </c>
      <c r="D66" s="128" t="n">
        <v>4</v>
      </c>
      <c r="E66" s="128" t="n"/>
      <c r="F66" s="128" t="n">
        <v>0.67</v>
      </c>
      <c r="G66" s="128" t="n"/>
      <c r="H66" s="128" t="inlineStr">
        <is>
          <t>13 shilling 4pence from tithingpenny at the tourn of Hockday.</t>
        </is>
      </c>
      <c r="I66" s="128" t="n"/>
    </row>
    <row r="67">
      <c r="A67" s="137" t="inlineStr">
        <is>
          <t>Entry and marriage fines</t>
        </is>
      </c>
      <c r="B67" s="128" t="n">
        <v>0</v>
      </c>
      <c r="C67" s="128" t="n">
        <v>3</v>
      </c>
      <c r="D67" s="128" t="n">
        <v>4</v>
      </c>
      <c r="E67" s="128" t="n"/>
      <c r="F67" s="128" t="n">
        <v>0.17</v>
      </c>
      <c r="G67" s="128" t="n"/>
      <c r="H67" s="128" t="inlineStr">
        <is>
          <t>3 shilling 4pence from Edith Pyn for marrying herself outside.</t>
        </is>
      </c>
      <c r="I67" s="128" t="n"/>
    </row>
    <row r="68">
      <c r="A68" s="137" t="inlineStr">
        <is>
          <t>Entry and marriage fines</t>
        </is>
      </c>
      <c r="B68" s="128" t="n">
        <v>0</v>
      </c>
      <c r="C68" s="128" t="n">
        <v>2</v>
      </c>
      <c r="D68" s="128" t="n">
        <v>0</v>
      </c>
      <c r="E68" s="128" t="n"/>
      <c r="F68" s="128" t="n">
        <v>0.1</v>
      </c>
      <c r="G68" s="128" t="n"/>
      <c r="H68" s="128" t="inlineStr">
        <is>
          <t>2 shilling from Henry Lyghtefot to have 1 cottage with a curtilage and 3 acres of villein land in the tithing of Bitterne by surrender of Martin Hykedon'.</t>
        </is>
      </c>
      <c r="I68" s="128" t="n"/>
    </row>
    <row r="69">
      <c r="A69" s="137" t="inlineStr">
        <is>
          <t>Entry and marriage fines</t>
        </is>
      </c>
      <c r="B69" s="128" t="n">
        <v>0</v>
      </c>
      <c r="C69" s="128" t="n">
        <v>1</v>
      </c>
      <c r="D69" s="128" t="n">
        <v>8</v>
      </c>
      <c r="E69" s="128" t="n"/>
      <c r="F69" s="128" t="n">
        <v>0.08</v>
      </c>
      <c r="G69" s="128" t="n"/>
      <c r="H69" s="128" t="inlineStr">
        <is>
          <t>1 shilling 8pence from Sibyl, daughter of Margery Shellyng', to have 1 messuage and 8 acres of villein land and 2 acres 1 rood of purpresture in the tithing of Weston which belonged to the aforesaid Margery her mother.</t>
        </is>
      </c>
      <c r="I69" s="128" t="n"/>
    </row>
    <row r="70">
      <c r="A70" s="137" t="inlineStr">
        <is>
          <t>Entry and marriage fines</t>
        </is>
      </c>
      <c r="B70" s="128" t="n">
        <v>0</v>
      </c>
      <c r="C70" s="128" t="n">
        <v>3</v>
      </c>
      <c r="D70" s="128" t="n">
        <v>4</v>
      </c>
      <c r="E70" s="128" t="n"/>
      <c r="F70" s="128" t="n">
        <v>0.17</v>
      </c>
      <c r="G70" s="128" t="n"/>
      <c r="H70" s="128" t="inlineStr">
        <is>
          <t>3 shilling 4pence from Henry Baudewyn' to have Sibyl, who was daughter of Margery Shellyng', with her land, that is, 1 messuage and 8 acres of viiiejn land=and 2 acres 1 rood of purpresture in the tithing of Weston.</t>
        </is>
      </c>
      <c r="I70" s="128" t="n"/>
    </row>
    <row r="71">
      <c r="A71" s="137" t="inlineStr">
        <is>
          <t>Entry and marriage fines</t>
        </is>
      </c>
      <c r="B71" s="128" t="n">
        <v>0</v>
      </c>
      <c r="C71" s="128" t="n">
        <v>2</v>
      </c>
      <c r="D71" s="128" t="n">
        <v>0</v>
      </c>
      <c r="E71" s="128" t="n"/>
      <c r="F71" s="128" t="n">
        <v>0.1</v>
      </c>
      <c r="G71" s="128" t="n"/>
      <c r="H71" s="128"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I71" s="128" t="n"/>
    </row>
    <row r="72">
      <c r="A72" s="137" t="inlineStr">
        <is>
          <t>Entry and marriage fines</t>
        </is>
      </c>
      <c r="B72" s="128" t="n">
        <v>0</v>
      </c>
      <c r="C72" s="128" t="n">
        <v>6</v>
      </c>
      <c r="D72" s="128" t="n">
        <v>8</v>
      </c>
      <c r="E72" s="128" t="n"/>
      <c r="F72" s="128" t="n">
        <v>0.33</v>
      </c>
      <c r="G72" s="128" t="n"/>
      <c r="H72" s="128" t="inlineStr">
        <is>
          <t>6 shilling 8pence from Thomas Frylond' to have 1 messuage and 23 acres of villein land in Ower in the tithing of Fawley by surrender of Joan, who was wife of Henry Russell'.</t>
        </is>
      </c>
      <c r="I72" s="128" t="n"/>
    </row>
    <row r="73">
      <c r="A73" s="137" t="inlineStr">
        <is>
          <t>Entry and marriage fines</t>
        </is>
      </c>
      <c r="B73" s="128" t="n">
        <v>0</v>
      </c>
      <c r="C73" s="128" t="n">
        <v>13</v>
      </c>
      <c r="D73" s="128" t="n">
        <v>4</v>
      </c>
      <c r="E73" s="128" t="n"/>
      <c r="F73" s="128" t="n">
        <v>0.67</v>
      </c>
      <c r="G73" s="128" t="n"/>
      <c r="H73" s="128"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I73" s="128" t="n"/>
    </row>
    <row r="74">
      <c r="A74" s="137" t="inlineStr">
        <is>
          <t>Entry and marriage fines</t>
        </is>
      </c>
      <c r="B74" s="128" t="n">
        <v>3</v>
      </c>
      <c r="C74" s="128" t="n">
        <v>0</v>
      </c>
      <c r="D74" s="128" t="n">
        <v>0</v>
      </c>
      <c r="E74" s="128" t="n"/>
      <c r="F74" s="128" t="n">
        <v>3</v>
      </c>
      <c r="G74" s="128" t="n"/>
      <c r="H74" s="128" t="inlineStr">
        <is>
          <t>Total, £3..</t>
        </is>
      </c>
      <c r="I74" s="128" t="n"/>
    </row>
    <row r="75">
      <c r="A75" s="138" t="inlineStr">
        <is>
          <t>Entry and marriage fines total</t>
        </is>
      </c>
      <c r="B75" s="139" t="n"/>
      <c r="C75" s="139" t="n"/>
      <c r="D75" s="139" t="n"/>
      <c r="E75" s="139" t="n"/>
      <c r="F75" s="139" t="n">
        <v>2.96</v>
      </c>
      <c r="G75" s="139" t="n">
        <v>-0.04</v>
      </c>
      <c r="H75" s="139" t="inlineStr">
        <is>
          <t>Total</t>
        </is>
      </c>
      <c r="I75" s="139" t="n"/>
    </row>
    <row r="76">
      <c r="A76" s="137" t="n"/>
      <c r="B76" s="128" t="n"/>
      <c r="C76" s="128" t="n"/>
      <c r="D76" s="128" t="n"/>
      <c r="E76" s="128" t="n"/>
      <c r="F76" s="128" t="n"/>
      <c r="G76" s="128" t="n"/>
      <c r="H76" s="128" t="n"/>
      <c r="I76" s="128" t="n"/>
    </row>
    <row r="77">
      <c r="A77" s="136" t="inlineStr">
        <is>
          <t>Perquisites</t>
        </is>
      </c>
      <c r="B77" s="128" t="n">
        <v>0</v>
      </c>
      <c r="C77" s="128" t="n">
        <v>17</v>
      </c>
      <c r="D77" s="128" t="n">
        <v>7</v>
      </c>
      <c r="E77" s="128" t="n"/>
      <c r="F77" s="128" t="n">
        <v>0.88</v>
      </c>
      <c r="G77" s="128" t="n"/>
      <c r="H77" s="128" t="inlineStr">
        <is>
          <t>And for 17 shilling 7pence from the perquisites of the tourn of Martinmas (11 November).</t>
        </is>
      </c>
      <c r="I77" s="128" t="n"/>
    </row>
    <row r="78">
      <c r="A78" s="137" t="inlineStr">
        <is>
          <t>Perquisites</t>
        </is>
      </c>
      <c r="B78" s="128" t="n">
        <v>0</v>
      </c>
      <c r="C78" s="128" t="n">
        <v>9</v>
      </c>
      <c r="D78" s="128" t="n">
        <v>4</v>
      </c>
      <c r="E78" s="128" t="n"/>
      <c r="F78" s="128" t="n">
        <v>0.47</v>
      </c>
      <c r="G78" s="128" t="n"/>
      <c r="H78" s="128" t="inlineStr">
        <is>
          <t>9 shilling 4pence from the perquisites of the courts held after the said tourn.</t>
        </is>
      </c>
      <c r="I78" s="128" t="n"/>
    </row>
    <row r="79">
      <c r="A79" s="137" t="inlineStr">
        <is>
          <t>Perquisites</t>
        </is>
      </c>
      <c r="B79" s="128" t="n">
        <v>0</v>
      </c>
      <c r="C79" s="128" t="n">
        <v>16</v>
      </c>
      <c r="D79" s="128" t="n">
        <v>0</v>
      </c>
      <c r="E79" s="128" t="n"/>
      <c r="F79" s="128" t="n">
        <v>0.8</v>
      </c>
      <c r="G79" s="128" t="n"/>
      <c r="H79" s="128" t="inlineStr">
        <is>
          <t>16 shilling Id. from the perquisites of the tourn of Hockday (1 April).</t>
        </is>
      </c>
      <c r="I79" s="128" t="n"/>
    </row>
    <row r="80">
      <c r="A80" s="137" t="inlineStr">
        <is>
          <t>Perquisites</t>
        </is>
      </c>
      <c r="B80" s="128" t="n">
        <v>0</v>
      </c>
      <c r="C80" s="128" t="n">
        <v>14</v>
      </c>
      <c r="D80" s="128" t="n">
        <v>1</v>
      </c>
      <c r="E80" s="128" t="n"/>
      <c r="F80" s="128" t="n">
        <v>0.7</v>
      </c>
      <c r="G80" s="128" t="n"/>
      <c r="H80" s="128" t="inlineStr">
        <is>
          <t>14 shilling 1pence from the perquisites of the courts held after the said tourn.</t>
        </is>
      </c>
      <c r="I80" s="128" t="n"/>
    </row>
    <row r="81">
      <c r="A81" s="138" t="inlineStr">
        <is>
          <t>Perquisites total</t>
        </is>
      </c>
      <c r="B81" s="139" t="n">
        <v>2</v>
      </c>
      <c r="C81" s="139" t="n">
        <v>16</v>
      </c>
      <c r="D81" s="139" t="n">
        <v>1</v>
      </c>
      <c r="E81" s="139" t="n"/>
      <c r="F81" s="139" t="n">
        <v>2.8</v>
      </c>
      <c r="G81" s="139" t="n">
        <v>2.1</v>
      </c>
      <c r="H81" s="139" t="inlineStr">
        <is>
          <t>Total, £2 16 shilling 1pence.</t>
        </is>
      </c>
      <c r="I81" s="139" t="n"/>
    </row>
    <row r="82">
      <c r="A82" s="38" t="inlineStr">
        <is>
          <t>Total of all receipts recorded in accounts (calculated here)</t>
        </is>
      </c>
      <c r="F82">
        <f>SUMIF(A1:A81,"* total",F1:F81)-SUMIF(A1:A81,"Arrears total",F1:F81)</f>
        <v/>
      </c>
    </row>
    <row r="83">
      <c r="A83" s="38" t="inlineStr">
        <is>
          <t>Total of all receipts (calculated here) incl arrears</t>
        </is>
      </c>
      <c r="F83">
        <f>F82+SUMIF(A1:A81,"Arrears total",F1:F81)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BITTERNE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the dairy</t>
        </is>
      </c>
      <c r="B4" s="128" t="n">
        <v>0</v>
      </c>
      <c r="C4" s="128" t="n">
        <v>1</v>
      </c>
      <c r="D4" s="128" t="n">
        <v>0</v>
      </c>
      <c r="E4" s="128" t="n"/>
      <c r="F4" s="128" t="n">
        <v>0.05</v>
      </c>
      <c r="G4" s="128" t="n"/>
      <c r="H4" s="128" t="inlineStr">
        <is>
          <t>In woollen and linen cloth bought for the dairy 1 shilling.</t>
        </is>
      </c>
    </row>
    <row r="5">
      <c r="A5" s="137" t="inlineStr">
        <is>
          <t>Cost of the dairy</t>
        </is>
      </c>
      <c r="B5" s="128" t="n">
        <v>0</v>
      </c>
      <c r="C5" s="128" t="n">
        <v>0</v>
      </c>
      <c r="D5" s="128" t="n">
        <v>10</v>
      </c>
      <c r="E5" s="128" t="n"/>
      <c r="F5" s="128" t="n">
        <v>0.04</v>
      </c>
      <c r="G5" s="128" t="n"/>
      <c r="H5" s="128" t="inlineStr">
        <is>
          <t>clay pots and pans bought for the dairy 10pence.</t>
        </is>
      </c>
    </row>
    <row r="6">
      <c r="A6" s="137" t="inlineStr">
        <is>
          <t>Cost of the dairy</t>
        </is>
      </c>
      <c r="B6" s="128" t="n">
        <v>0</v>
      </c>
      <c r="C6" s="128" t="n">
        <v>1</v>
      </c>
      <c r="D6" s="128" t="n">
        <v>0</v>
      </c>
      <c r="E6" s="128" t="n"/>
      <c r="F6" s="128" t="n">
        <v>0.05</v>
      </c>
      <c r="G6" s="128" t="n"/>
      <c r="H6" s="128" t="inlineStr">
        <is>
          <t>rennet bought 1 shilling.</t>
        </is>
      </c>
    </row>
    <row r="7">
      <c r="A7" s="137" t="inlineStr">
        <is>
          <t>Cost of the dairy</t>
        </is>
      </c>
      <c r="B7" s="128" t="n">
        <v>0</v>
      </c>
      <c r="C7" s="128" t="n">
        <v>1</v>
      </c>
      <c r="D7" s="128" t="n">
        <v>6</v>
      </c>
      <c r="E7" s="128" t="n"/>
      <c r="F7" s="128" t="n">
        <v>0.08</v>
      </c>
      <c r="G7" s="128" t="n"/>
      <c r="H7" s="128" t="inlineStr">
        <is>
          <t>3 bushels of salt bought, both for the dairy and for the pottage of the manorial servants, 1 shilling 6pence.</t>
        </is>
      </c>
    </row>
    <row r="8">
      <c r="A8" s="137" t="inlineStr">
        <is>
          <t>Cost of the dairy</t>
        </is>
      </c>
      <c r="B8" s="128" t="n">
        <v>0</v>
      </c>
      <c r="C8" s="128" t="n">
        <v>0</v>
      </c>
      <c r="D8" s="128" t="n">
        <v>2</v>
      </c>
      <c r="E8" s="128" t="n"/>
      <c r="F8" s="128" t="n">
        <v>0.01</v>
      </c>
      <c r="G8" s="128" t="n"/>
      <c r="H8" s="128" t="inlineStr">
        <is>
          <t>hooping 2 pails with wooden hoops 2pence.</t>
        </is>
      </c>
    </row>
    <row r="9">
      <c r="A9" s="137" t="inlineStr">
        <is>
          <t>Cost of the dairy</t>
        </is>
      </c>
      <c r="B9" s="128" t="n">
        <v>0</v>
      </c>
      <c r="C9" s="128" t="n">
        <v>5</v>
      </c>
      <c r="D9" s="128" t="n">
        <v>0</v>
      </c>
      <c r="E9" s="128" t="n"/>
      <c r="F9" s="128" t="n">
        <v>0.25</v>
      </c>
      <c r="G9" s="128" t="n"/>
      <c r="H9" s="128" t="inlineStr">
        <is>
          <t>stipend of 1 cowherd for the year 5 shilling.</t>
        </is>
      </c>
    </row>
    <row r="10">
      <c r="A10" s="137" t="inlineStr">
        <is>
          <t>Cost of the dairy</t>
        </is>
      </c>
      <c r="B10" s="128" t="n">
        <v>0</v>
      </c>
      <c r="C10" s="128" t="n">
        <v>5</v>
      </c>
      <c r="D10" s="128" t="n">
        <v>0</v>
      </c>
      <c r="E10" s="128" t="n"/>
      <c r="F10" s="128" t="n">
        <v>0.25</v>
      </c>
      <c r="G10" s="128" t="n"/>
      <c r="H10" s="128" t="inlineStr">
        <is>
          <t>stipend of 1 dairymaid for the year 5 shilling.</t>
        </is>
      </c>
    </row>
    <row r="11">
      <c r="A11" s="137" t="inlineStr">
        <is>
          <t>Cost of the dairy</t>
        </is>
      </c>
      <c r="B11" s="128" t="n">
        <v>0</v>
      </c>
      <c r="C11" s="128" t="n">
        <v>14</v>
      </c>
      <c r="D11" s="128" t="n">
        <v>6</v>
      </c>
      <c r="E11" s="128" t="n"/>
      <c r="F11" s="128" t="n">
        <v>0.72</v>
      </c>
      <c r="G11" s="128" t="n"/>
      <c r="H11" s="128" t="inlineStr">
        <is>
          <t>Total, 14 shilling 6pence.</t>
        </is>
      </c>
    </row>
    <row r="12">
      <c r="A12" s="138" t="inlineStr">
        <is>
          <t>Cost of the dairy total</t>
        </is>
      </c>
      <c r="B12" s="139" t="n"/>
      <c r="C12" s="139" t="n"/>
      <c r="D12" s="139" t="n"/>
      <c r="E12" s="139" t="n"/>
      <c r="F12" s="139" t="n">
        <v>0.73</v>
      </c>
      <c r="G12" s="139" t="n">
        <v>0.01</v>
      </c>
      <c r="H12" s="139" t="inlineStr">
        <is>
          <t>Total</t>
        </is>
      </c>
    </row>
    <row r="13">
      <c r="A13" s="137" t="n"/>
      <c r="B13" s="128" t="n"/>
      <c r="C13" s="128" t="n"/>
      <c r="D13" s="128" t="n"/>
      <c r="E13" s="128" t="n"/>
      <c r="F13" s="128" t="n"/>
      <c r="G13" s="128" t="n"/>
      <c r="H13" s="128" t="n"/>
    </row>
    <row r="14">
      <c r="A14" s="136" t="inlineStr">
        <is>
          <t>Cost of the park</t>
        </is>
      </c>
      <c r="B14" s="128" t="n">
        <v>3</v>
      </c>
      <c r="C14" s="128" t="n">
        <v>0</v>
      </c>
      <c r="D14" s="128" t="n">
        <v>10</v>
      </c>
      <c r="E14" s="128" t="n"/>
      <c r="F14" s="128" t="n">
        <v>3.04</v>
      </c>
      <c r="G14" s="128" t="n"/>
      <c r="H14" s="128" t="inlineStr">
        <is>
          <t>In wages of William Halle, park-keeper, £3 10pence for the year, taking 2pence a day.</t>
        </is>
      </c>
    </row>
    <row r="15">
      <c r="A15" s="137" t="inlineStr">
        <is>
          <t>Cost of the park</t>
        </is>
      </c>
      <c r="B15" s="128" t="n">
        <v>1</v>
      </c>
      <c r="C15" s="128" t="n">
        <v>1</v>
      </c>
      <c r="D15" s="128" t="n">
        <v>0</v>
      </c>
      <c r="E15" s="128" t="n"/>
      <c r="F15" s="128" t="n">
        <v>1.05</v>
      </c>
      <c r="G15" s="128" t="n"/>
      <c r="H15" s="128" t="inlineStr">
        <is>
          <t>laying 4 furlongs and 8 perches of new hedge around the park £1 1 shilling, at 1.5pence a perch.</t>
        </is>
      </c>
    </row>
    <row r="16">
      <c r="A16" s="137" t="inlineStr">
        <is>
          <t>Cost of the park</t>
        </is>
      </c>
      <c r="B16" s="128" t="n">
        <v>0</v>
      </c>
      <c r="C16" s="128" t="n">
        <v>0</v>
      </c>
      <c r="D16" s="128" t="n">
        <v>8</v>
      </c>
      <c r="E16" s="128" t="n"/>
      <c r="F16" s="128" t="n">
        <v>0.03</v>
      </c>
      <c r="G16" s="128" t="n"/>
      <c r="H16" s="128" t="inlineStr">
        <is>
          <t>I lock and 2 keys bought for fastening the park-gates 8pence.</t>
        </is>
      </c>
    </row>
    <row r="17">
      <c r="A17" s="137" t="inlineStr">
        <is>
          <t>Cost of the park</t>
        </is>
      </c>
      <c r="B17" s="128" t="n">
        <v>0</v>
      </c>
      <c r="C17" s="128" t="n">
        <v>0</v>
      </c>
      <c r="D17" s="128" t="n">
        <v>3.5</v>
      </c>
      <c r="E17" s="128" t="n"/>
      <c r="F17" s="128" t="n">
        <v>0.01</v>
      </c>
      <c r="G17" s="128" t="n"/>
      <c r="H17" s="128" t="inlineStr">
        <is>
          <t>1 iron goose-foot (gosefot) bought with nails bought for the same 3.5pence.</t>
        </is>
      </c>
    </row>
    <row r="18">
      <c r="A18" s="137" t="inlineStr">
        <is>
          <t>Cost of the park</t>
        </is>
      </c>
      <c r="B18" s="128" t="n">
        <v>0</v>
      </c>
      <c r="C18" s="128" t="n">
        <v>1</v>
      </c>
      <c r="D18" s="128" t="n">
        <v>3</v>
      </c>
      <c r="E18" s="128" t="n"/>
      <c r="F18" s="128" t="n">
        <v>0.06</v>
      </c>
      <c r="G18" s="128" t="n"/>
      <c r="H18" s="128" t="inlineStr">
        <is>
          <t>hiring 1 carpenter for 3 days to make and put 1 gate-staple (gatestapul) on the north gate of the park 1 shilling 3pence.</t>
        </is>
      </c>
    </row>
    <row r="19">
      <c r="A19" s="137" t="inlineStr">
        <is>
          <t>Cost of the park</t>
        </is>
      </c>
      <c r="B19" s="128" t="n">
        <v>0</v>
      </c>
      <c r="C19" s="128" t="n">
        <v>0</v>
      </c>
      <c r="D19" s="128" t="n">
        <v>4</v>
      </c>
      <c r="E19" s="128" t="n"/>
      <c r="F19" s="128" t="n">
        <v>0.02</v>
      </c>
      <c r="G19" s="128" t="n"/>
      <c r="H19" s="128" t="inlineStr">
        <is>
          <t>hiring 1 man to saw with the said carpenter for 1 day 4pence.</t>
        </is>
      </c>
    </row>
    <row r="20">
      <c r="A20" s="137" t="inlineStr">
        <is>
          <t>Cost of the park</t>
        </is>
      </c>
      <c r="B20" s="128" t="n">
        <v>4</v>
      </c>
      <c r="C20" s="128" t="n">
        <v>4</v>
      </c>
      <c r="D20" s="128" t="n">
        <v>4.5</v>
      </c>
      <c r="E20" s="128" t="n"/>
      <c r="F20" s="128" t="n">
        <v>4.22</v>
      </c>
      <c r="G20" s="128" t="n"/>
      <c r="H20" s="128" t="inlineStr">
        <is>
          <t>Total, £4 4 shilling 4.5pence.</t>
        </is>
      </c>
    </row>
    <row r="21">
      <c r="A21" s="138" t="inlineStr">
        <is>
          <t>Cost of the park total</t>
        </is>
      </c>
      <c r="B21" s="139" t="n"/>
      <c r="C21" s="139" t="n"/>
      <c r="D21" s="139" t="n"/>
      <c r="E21" s="139" t="n"/>
      <c r="F21" s="139" t="n">
        <v>4.21</v>
      </c>
      <c r="G21" s="139" t="n">
        <v>-0.01</v>
      </c>
      <c r="H21" s="139" t="inlineStr">
        <is>
          <t>Total</t>
        </is>
      </c>
    </row>
    <row r="22">
      <c r="A22" s="137" t="n"/>
      <c r="B22" s="128" t="n"/>
      <c r="C22" s="128" t="n"/>
      <c r="D22" s="128" t="n"/>
      <c r="E22" s="128" t="n"/>
      <c r="F22" s="128" t="n"/>
      <c r="G22" s="128" t="n"/>
      <c r="H22" s="128" t="n"/>
    </row>
    <row r="23">
      <c r="A23" s="136" t="inlineStr">
        <is>
          <t>Cost of the mill</t>
        </is>
      </c>
      <c r="B23" s="128" t="n">
        <v>0</v>
      </c>
      <c r="C23" s="128" t="n">
        <v>18</v>
      </c>
      <c r="D23" s="128" t="n">
        <v>0</v>
      </c>
      <c r="E23" s="128" t="n"/>
      <c r="F23" s="128" t="n">
        <v>0.9</v>
      </c>
      <c r="G23" s="128" t="n"/>
      <c r="H23" s="128" t="inlineStr">
        <is>
          <t>In hiring 3 carters to carry gravel from the park to the mill for 6 days 18 shilling, each of them taking 1 shilling a day.</t>
        </is>
      </c>
    </row>
    <row r="24">
      <c r="A24" s="137" t="inlineStr">
        <is>
          <t>Cost of the mill</t>
        </is>
      </c>
      <c r="B24" s="128" t="n">
        <v>0</v>
      </c>
      <c r="C24" s="128" t="n">
        <v>4</v>
      </c>
      <c r="D24" s="128" t="n">
        <v>6</v>
      </c>
      <c r="E24" s="128" t="n"/>
      <c r="F24" s="128" t="n">
        <v>0.23</v>
      </c>
      <c r="G24" s="128" t="n"/>
      <c r="H24" s="128" t="inlineStr">
        <is>
          <t>stipend of 3 labourers quarrying the said gravel for 6 days 4 shilling 6pence, each of them taking 3pence a day.</t>
        </is>
      </c>
    </row>
    <row r="25">
      <c r="A25" s="137" t="inlineStr">
        <is>
          <t>Cost of the mill</t>
        </is>
      </c>
      <c r="B25" s="128" t="n">
        <v>0</v>
      </c>
      <c r="C25" s="128" t="n">
        <v>3</v>
      </c>
      <c r="D25" s="128" t="n">
        <v>3</v>
      </c>
      <c r="E25" s="128" t="n"/>
      <c r="F25" s="128" t="n">
        <v>0.16</v>
      </c>
      <c r="G25" s="128" t="n"/>
      <c r="H25" s="128" t="inlineStr">
        <is>
          <t>stipend of 2 labourers hired to ram the said gravel around the broken floodgates (floudgates) and weirs (wares) for 6 days 3 shilling, both of them taking 3pence a day.</t>
        </is>
      </c>
    </row>
    <row r="26">
      <c r="A26" s="137" t="inlineStr">
        <is>
          <t>Cost of the mill</t>
        </is>
      </c>
      <c r="B26" s="128" t="n">
        <v>0</v>
      </c>
      <c r="C26" s="128" t="n">
        <v>6</v>
      </c>
      <c r="D26" s="128" t="n">
        <v>0</v>
      </c>
      <c r="E26" s="128" t="n"/>
      <c r="F26" s="128" t="n">
        <v>0.3</v>
      </c>
      <c r="G26" s="128" t="n"/>
      <c r="H26" s="128" t="inlineStr">
        <is>
          <t>hiring 1 carter to carry turves and gravel to the same for 6 days 6 shilling.</t>
        </is>
      </c>
    </row>
    <row r="27">
      <c r="A27" s="137" t="inlineStr">
        <is>
          <t>Cost of the mill</t>
        </is>
      </c>
      <c r="B27" s="128" t="n">
        <v>0</v>
      </c>
      <c r="C27" s="128" t="n">
        <v>1</v>
      </c>
      <c r="D27" s="128" t="n">
        <v>6</v>
      </c>
      <c r="E27" s="128" t="n"/>
      <c r="F27" s="128" t="n">
        <v>0.08</v>
      </c>
      <c r="G27" s="128" t="n"/>
      <c r="H27" s="128" t="inlineStr">
        <is>
          <t>stipend of 1 labourer hired to lay the said turves for 6 days 1 shilling 6pence.</t>
        </is>
      </c>
    </row>
    <row r="28">
      <c r="A28" s="137" t="inlineStr">
        <is>
          <t>Cost of the mill</t>
        </is>
      </c>
      <c r="B28" s="128" t="n">
        <v>1</v>
      </c>
      <c r="C28" s="128" t="n">
        <v>13</v>
      </c>
      <c r="D28" s="128" t="n">
        <v>0</v>
      </c>
      <c r="E28" s="128" t="n"/>
      <c r="F28" s="128" t="n">
        <v>1.65</v>
      </c>
      <c r="G28" s="128" t="n"/>
      <c r="H28" s="128" t="inlineStr">
        <is>
          <t>Total, £1 13 shilling.</t>
        </is>
      </c>
    </row>
    <row r="29">
      <c r="A29" s="138" t="inlineStr">
        <is>
          <t>Cost of the mill total</t>
        </is>
      </c>
      <c r="B29" s="139" t="n"/>
      <c r="C29" s="139" t="n"/>
      <c r="D29" s="139" t="n"/>
      <c r="E29" s="139" t="n"/>
      <c r="F29" s="139" t="n">
        <v>1.67</v>
      </c>
      <c r="G29" s="139" t="n">
        <v>0.02</v>
      </c>
      <c r="H29" s="139" t="inlineStr">
        <is>
          <t>Total</t>
        </is>
      </c>
    </row>
    <row r="30">
      <c r="A30" s="137" t="n"/>
      <c r="B30" s="128" t="n"/>
      <c r="C30" s="128" t="n"/>
      <c r="D30" s="128" t="n"/>
      <c r="E30" s="128" t="n"/>
      <c r="F30" s="128" t="n"/>
      <c r="G30" s="128" t="n"/>
      <c r="H30" s="128" t="n"/>
    </row>
    <row r="31">
      <c r="A31" s="136" t="inlineStr">
        <is>
          <t>Expenses of the steward</t>
        </is>
      </c>
      <c r="B31" s="128" t="n">
        <v>0</v>
      </c>
      <c r="C31" s="128" t="n">
        <v>0</v>
      </c>
      <c r="D31" s="128" t="n">
        <v>0</v>
      </c>
      <c r="E31" s="128" t="n"/>
      <c r="F31" s="128" t="n">
        <v>0</v>
      </c>
      <c r="G31" s="128" t="n"/>
      <c r="H31" s="128" t="inlineStr">
        <is>
          <t>In expenses of Richard Wyot', steward, holding the tourns of Martinmas and Hockday,.</t>
        </is>
      </c>
    </row>
    <row r="32">
      <c r="A32" s="137" t="inlineStr">
        <is>
          <t>Expenses of the steward</t>
        </is>
      </c>
      <c r="B32" s="128" t="n">
        <v>0</v>
      </c>
      <c r="C32" s="128" t="n">
        <v>4</v>
      </c>
      <c r="D32" s="128" t="n">
        <v>10.5</v>
      </c>
      <c r="E32" s="128" t="n"/>
      <c r="F32" s="128" t="n">
        <v>0.24</v>
      </c>
      <c r="G32" s="128" t="n"/>
      <c r="H32" s="128" t="inlineStr">
        <is>
          <t>by 2 bills, 4 shilling 10.5pence.</t>
        </is>
      </c>
    </row>
    <row r="33">
      <c r="A33" s="137" t="inlineStr">
        <is>
          <t>Expenses of the steward</t>
        </is>
      </c>
      <c r="B33" s="128" t="n">
        <v>0</v>
      </c>
      <c r="C33" s="128" t="n">
        <v>4</v>
      </c>
      <c r="D33" s="128" t="n">
        <v>10.5</v>
      </c>
      <c r="E33" s="128" t="n"/>
      <c r="F33" s="128" t="n">
        <v>0.24</v>
      </c>
      <c r="G33" s="128" t="n"/>
      <c r="H33" s="128" t="inlineStr">
        <is>
          <t>Total, 4 shilling 10.5pence.</t>
        </is>
      </c>
    </row>
    <row r="34">
      <c r="A34" s="138" t="inlineStr">
        <is>
          <t>Expenses of the steward total</t>
        </is>
      </c>
      <c r="B34" s="139" t="n"/>
      <c r="C34" s="139" t="n"/>
      <c r="D34" s="139" t="n"/>
      <c r="E34" s="139" t="n"/>
      <c r="F34" s="139" t="n">
        <v>0.24</v>
      </c>
      <c r="G34" s="139" t="n">
        <v>0</v>
      </c>
      <c r="H34" s="139" t="inlineStr">
        <is>
          <t>Total</t>
        </is>
      </c>
    </row>
    <row r="35">
      <c r="A35" s="137" t="n"/>
      <c r="B35" s="128" t="n"/>
      <c r="C35" s="128" t="n"/>
      <c r="D35" s="128" t="n"/>
      <c r="E35" s="128" t="n"/>
      <c r="F35" s="128" t="n"/>
      <c r="G35" s="128" t="n"/>
      <c r="H35" s="128" t="n"/>
    </row>
    <row r="36">
      <c r="A36" s="137" t="inlineStr">
        <is>
          <t>Total of all expenses</t>
        </is>
      </c>
      <c r="B36" s="128" t="n">
        <v>31</v>
      </c>
      <c r="C36" s="128" t="n">
        <v>16</v>
      </c>
      <c r="D36" s="128" t="n">
        <v>11</v>
      </c>
      <c r="E36" s="128" t="n"/>
      <c r="F36" s="128" t="n">
        <v>31.85</v>
      </c>
      <c r="G36" s="128" t="n"/>
      <c r="H36" s="128" t="inlineStr">
        <is>
          <t>Total of all expenses, £31 16 shilling 11pence.</t>
        </is>
      </c>
    </row>
    <row r="37">
      <c r="A37" s="137" t="inlineStr">
        <is>
          <t>Total of all expenses</t>
        </is>
      </c>
      <c r="B37" s="128" t="n"/>
      <c r="C37" s="128" t="n"/>
      <c r="D37" s="128" t="n"/>
      <c r="E37" s="128" t="n"/>
      <c r="F37" s="128" t="n">
        <v>0</v>
      </c>
      <c r="G37" s="128" t="n">
        <v>-31.85</v>
      </c>
      <c r="H37" s="128" t="inlineStr">
        <is>
          <t>Total</t>
        </is>
      </c>
    </row>
    <row r="38">
      <c r="A38" s="137" t="n"/>
      <c r="B38" s="128" t="n"/>
      <c r="C38" s="128" t="n"/>
      <c r="D38" s="128" t="n"/>
      <c r="E38" s="128" t="n"/>
      <c r="F38" s="128" t="n"/>
      <c r="G38" s="128" t="n"/>
      <c r="H38" s="128" t="n"/>
    </row>
    <row r="39">
      <c r="A39" s="136" t="inlineStr">
        <is>
          <t>And he owes</t>
        </is>
      </c>
      <c r="B39" s="128" t="n">
        <v>59</v>
      </c>
      <c r="C39" s="128" t="n">
        <v>15</v>
      </c>
      <c r="D39" s="128" t="n">
        <v>5.5</v>
      </c>
      <c r="E39" s="128" t="n"/>
      <c r="F39" s="128" t="n">
        <v>59.77</v>
      </c>
      <c r="G39" s="128" t="n"/>
      <c r="H39" s="128" t="inlineStr">
        <is>
          <t>And he owes, £59 15 shilling 5.5pence.</t>
        </is>
      </c>
    </row>
    <row r="40">
      <c r="A40" s="137" t="inlineStr">
        <is>
          <t>And he owes</t>
        </is>
      </c>
      <c r="B40" s="128" t="n"/>
      <c r="C40" s="128" t="n"/>
      <c r="D40" s="128" t="n"/>
      <c r="E40" s="128" t="n"/>
      <c r="F40" s="128" t="n">
        <v>59.77</v>
      </c>
      <c r="G40" s="128" t="n"/>
      <c r="H40" s="128" t="inlineStr">
        <is>
          <t>Total</t>
        </is>
      </c>
    </row>
    <row r="41">
      <c r="A41" s="138" t="inlineStr">
        <is>
          <t>And he owes total</t>
        </is>
      </c>
      <c r="B41" s="139" t="n">
        <v>10</v>
      </c>
      <c r="C41" s="139" t="n">
        <v>19</v>
      </c>
      <c r="D41" s="139" t="n">
        <v>4</v>
      </c>
      <c r="E41" s="139" t="n"/>
      <c r="F41" s="139" t="n">
        <v>10.97</v>
      </c>
      <c r="G41" s="139" t="n">
        <v>-48.8</v>
      </c>
      <c r="H41" s="139" t="inlineStr">
        <is>
          <t>And he owes clear, £10 19 shilling 4pence, of which £1 19 shilling 4pence is in the hands of the escheator.</t>
        </is>
      </c>
    </row>
    <row r="42">
      <c r="A42" s="137" t="n"/>
      <c r="B42" s="128" t="n"/>
      <c r="C42" s="128" t="n"/>
      <c r="D42" s="128" t="n"/>
      <c r="E42" s="128" t="n"/>
      <c r="F42" s="128" t="n"/>
      <c r="G42" s="128" t="n"/>
      <c r="H42" s="128" t="n"/>
    </row>
    <row r="43">
      <c r="A43" s="136" t="inlineStr">
        <is>
          <t>Cash deliveries</t>
        </is>
      </c>
      <c r="B43" s="128" t="n">
        <v>37</v>
      </c>
      <c r="C43" s="128" t="n">
        <v>6</v>
      </c>
      <c r="D43" s="128" t="n">
        <v>8</v>
      </c>
      <c r="E43" s="128" t="n"/>
      <c r="F43" s="128" t="n">
        <v>37.33</v>
      </c>
      <c r="G43" s="128" t="n"/>
      <c r="H43" s="128" t="inlineStr">
        <is>
          <t>Delivered to John Arnald', receiver of Wolvesey, by 1 tally, £37 6 shilling 8pence.</t>
        </is>
      </c>
    </row>
    <row r="44">
      <c r="A44" s="137" t="inlineStr">
        <is>
          <t>Cash deliveries</t>
        </is>
      </c>
      <c r="B44" s="128" t="n">
        <v>37</v>
      </c>
      <c r="C44" s="128" t="n">
        <v>6</v>
      </c>
      <c r="D44" s="128" t="n">
        <v>8</v>
      </c>
      <c r="E44" s="128" t="n"/>
      <c r="F44" s="128" t="n">
        <v>37.33</v>
      </c>
      <c r="G44" s="128" t="n"/>
      <c r="H44" s="128" t="inlineStr">
        <is>
          <t>Total, £37 6 shilling 8pence.</t>
        </is>
      </c>
    </row>
    <row r="45">
      <c r="A45" s="138" t="inlineStr">
        <is>
          <t>Cash deliveries total</t>
        </is>
      </c>
      <c r="B45" s="139" t="n"/>
      <c r="C45" s="139" t="n"/>
      <c r="D45" s="139" t="n"/>
      <c r="E45" s="139" t="n"/>
      <c r="F45" s="139" t="n">
        <v>37.33</v>
      </c>
      <c r="G45" s="139" t="n">
        <v>0</v>
      </c>
      <c r="H45" s="139" t="inlineStr">
        <is>
          <t>Total</t>
        </is>
      </c>
    </row>
    <row r="46">
      <c r="A46" s="137" t="n"/>
      <c r="B46" s="128" t="n"/>
      <c r="C46" s="128" t="n"/>
      <c r="D46" s="128" t="n"/>
      <c r="E46" s="128" t="n"/>
      <c r="F46" s="128" t="n"/>
      <c r="G46" s="128" t="n"/>
      <c r="H46" s="128" t="n"/>
    </row>
    <row r="47">
      <c r="A47" s="136" t="inlineStr">
        <is>
          <t>Total of all allowances and cash deliveries</t>
        </is>
      </c>
      <c r="B47" s="128" t="n">
        <v>48</v>
      </c>
      <c r="C47" s="128" t="n">
        <v>16</v>
      </c>
      <c r="D47" s="128" t="n">
        <v>1.5</v>
      </c>
      <c r="E47" s="128" t="n"/>
      <c r="F47" s="128" t="n">
        <v>48.81</v>
      </c>
      <c r="G47" s="128" t="n"/>
      <c r="H47" s="128" t="inlineStr">
        <is>
          <t>Total of all allowances and cash deliveries, £48 16 shilling 1.5pence.</t>
        </is>
      </c>
    </row>
    <row r="48">
      <c r="A48" s="138" t="inlineStr">
        <is>
          <t>Total of all allowances and cash deliveries total</t>
        </is>
      </c>
      <c r="B48" s="139" t="n"/>
      <c r="C48" s="139" t="n"/>
      <c r="D48" s="139" t="n"/>
      <c r="E48" s="139" t="n"/>
      <c r="F48" s="139" t="n">
        <v>0</v>
      </c>
      <c r="G48" s="139" t="n">
        <v>-48.81</v>
      </c>
      <c r="H48" s="139" t="inlineStr">
        <is>
          <t>Total</t>
        </is>
      </c>
    </row>
    <row r="50">
      <c r="A50" s="38" t="inlineStr">
        <is>
          <t>Total of all expenses per account</t>
        </is>
      </c>
      <c r="B50" t="n">
        <v>31</v>
      </c>
      <c r="C50" t="n">
        <v>16</v>
      </c>
      <c r="D50" t="n">
        <v>11</v>
      </c>
      <c r="F50">
        <f>F36</f>
        <v/>
      </c>
    </row>
    <row r="51">
      <c r="A51" s="38" t="inlineStr">
        <is>
          <t>Total of all expenses (calculated here)</t>
        </is>
      </c>
      <c r="F51">
        <f>SUMIF(A1:A35,"* total",F1:F35)</f>
        <v/>
      </c>
    </row>
    <row r="52">
      <c r="A52" s="38" t="inlineStr">
        <is>
          <t>Total fixed investment</t>
        </is>
      </c>
    </row>
    <row r="53">
      <c r="A5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BITTERNE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0.9</v>
      </c>
      <c r="S12">
        <f>O12*M12</f>
        <v/>
      </c>
      <c r="T12">
        <f>O12*N12</f>
        <v/>
      </c>
    </row>
    <row r="13">
      <c r="A13" t="inlineStr">
        <is>
          <t>Bulls</t>
        </is>
      </c>
      <c r="B13" t="n">
        <v>4</v>
      </c>
      <c r="C13" t="n">
        <v>1</v>
      </c>
      <c r="H13" t="n">
        <v>1</v>
      </c>
      <c r="I13" t="n">
        <v>0</v>
      </c>
      <c r="K13">
        <f>B13+C13-H13-I13</f>
        <v/>
      </c>
      <c r="L13">
        <f>B13+C13-H13</f>
        <v/>
      </c>
      <c r="M13">
        <f>L13-B13</f>
        <v/>
      </c>
      <c r="N13">
        <f>C13</f>
        <v/>
      </c>
      <c r="O13" t="n">
        <v>0</v>
      </c>
      <c r="P13" s="72">
        <f>O13*K13</f>
        <v/>
      </c>
      <c r="R13" t="n">
        <v>0</v>
      </c>
      <c r="S13">
        <f>O13*M13</f>
        <v/>
      </c>
      <c r="T13">
        <f>O13*N13</f>
        <v/>
      </c>
    </row>
    <row r="14">
      <c r="A14" t="inlineStr">
        <is>
          <t>Cows</t>
        </is>
      </c>
      <c r="B14" t="n">
        <v>45</v>
      </c>
      <c r="C14" t="n">
        <v>7</v>
      </c>
      <c r="H14" t="n">
        <v>7</v>
      </c>
      <c r="I14" t="n">
        <v>3</v>
      </c>
      <c r="K14">
        <f>B14+C14-H14-I14</f>
        <v/>
      </c>
      <c r="L14">
        <f>B14+C14-H14</f>
        <v/>
      </c>
      <c r="M14">
        <f>L14-B14</f>
        <v/>
      </c>
      <c r="N14">
        <f>C14</f>
        <v/>
      </c>
      <c r="O14" t="n">
        <v>0.3</v>
      </c>
      <c r="P14" s="72">
        <f>O14*K14</f>
        <v/>
      </c>
      <c r="R14" t="n">
        <v>2.1</v>
      </c>
      <c r="S14">
        <f>O14*M14</f>
        <v/>
      </c>
      <c r="T14">
        <f>O14*N14</f>
        <v/>
      </c>
    </row>
    <row r="15">
      <c r="A15" t="inlineStr">
        <is>
          <t>Steers</t>
        </is>
      </c>
      <c r="B15" t="n">
        <v>7</v>
      </c>
      <c r="C15" t="n">
        <v>0</v>
      </c>
      <c r="H15" t="n">
        <v>1</v>
      </c>
      <c r="I15" t="n">
        <v>0</v>
      </c>
      <c r="K15">
        <f>B15+C15-H15-I15</f>
        <v/>
      </c>
      <c r="L15">
        <f>B15+C15-H15</f>
        <v/>
      </c>
      <c r="M15">
        <f>L15-B15</f>
        <v/>
      </c>
      <c r="N15">
        <f>C15</f>
        <v/>
      </c>
      <c r="O15" t="n">
        <v>0</v>
      </c>
      <c r="P15" s="72">
        <f>O15*K15</f>
        <v/>
      </c>
      <c r="R15" t="n">
        <v>0</v>
      </c>
      <c r="S15">
        <f>O15*M15</f>
        <v/>
      </c>
      <c r="T15">
        <f>O15*N15</f>
        <v/>
      </c>
    </row>
    <row r="16">
      <c r="A16" t="inlineStr">
        <is>
          <t>Bullocks</t>
        </is>
      </c>
      <c r="B16" t="n">
        <v>7</v>
      </c>
      <c r="C16" t="n">
        <v>0</v>
      </c>
      <c r="H16" t="n">
        <v>1</v>
      </c>
      <c r="I16" t="n">
        <v>2</v>
      </c>
      <c r="K16">
        <f>B16+C16-H16-I16</f>
        <v/>
      </c>
      <c r="L16">
        <f>B16+C16-H16</f>
        <v/>
      </c>
      <c r="M16">
        <f>L16-B16</f>
        <v/>
      </c>
      <c r="N16">
        <f>C16</f>
        <v/>
      </c>
      <c r="O16" t="n">
        <v>0</v>
      </c>
      <c r="P16" s="72">
        <f>O16*K16</f>
        <v/>
      </c>
      <c r="R16" t="n">
        <v>0</v>
      </c>
      <c r="S16">
        <f>O16*M16</f>
        <v/>
      </c>
      <c r="T16">
        <f>O16*N16</f>
        <v/>
      </c>
    </row>
    <row r="17">
      <c r="A17" t="inlineStr">
        <is>
          <t>Yearlings</t>
        </is>
      </c>
      <c r="B17" t="n">
        <v>12</v>
      </c>
      <c r="C17" t="n">
        <v>0</v>
      </c>
      <c r="H17" t="n">
        <v>0</v>
      </c>
      <c r="I17" t="n">
        <v>2</v>
      </c>
      <c r="K17">
        <f>B17+C17-H17-I17</f>
        <v/>
      </c>
      <c r="L17">
        <f>B17+C17-H17</f>
        <v/>
      </c>
      <c r="M17">
        <f>L17-B17</f>
        <v/>
      </c>
      <c r="N17">
        <f>C17</f>
        <v/>
      </c>
      <c r="O17" t="n">
        <v>0</v>
      </c>
      <c r="P17" s="72">
        <f>O17*K17</f>
        <v/>
      </c>
      <c r="R17" t="n">
        <v>0</v>
      </c>
      <c r="S17">
        <f>O17*M17</f>
        <v/>
      </c>
      <c r="T17">
        <f>O17*N17</f>
        <v/>
      </c>
    </row>
    <row r="18">
      <c r="A18" t="inlineStr">
        <is>
          <t>Calves</t>
        </is>
      </c>
      <c r="B18" t="n">
        <v>12</v>
      </c>
      <c r="C18" t="n">
        <v>49</v>
      </c>
      <c r="H18" t="n">
        <v>32</v>
      </c>
      <c r="I18" t="n">
        <v>0</v>
      </c>
      <c r="K18">
        <f>B18+C18-H18-I18</f>
        <v/>
      </c>
      <c r="L18">
        <f>B18+C18-H18</f>
        <v/>
      </c>
      <c r="M18">
        <f>L18-B18</f>
        <v/>
      </c>
      <c r="N18">
        <f>C18</f>
        <v/>
      </c>
      <c r="O18" t="n">
        <v>0.06875000000000001</v>
      </c>
      <c r="P18" s="72">
        <f>O18*K18</f>
        <v/>
      </c>
      <c r="R18" t="n">
        <v>2.2</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12</v>
      </c>
      <c r="C46" t="n">
        <v>49</v>
      </c>
      <c r="H46" t="n">
        <v>32</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1.52</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2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£18 13 shilling 4pence of arrears from his last account of the preceding year.</t>
        </is>
      </c>
      <c r="C3" t="n">
        <v>18.67</v>
      </c>
      <c r="D3" t="n">
        <v>18</v>
      </c>
      <c r="E3" t="n">
        <v>13</v>
      </c>
      <c r="F3" t="n">
        <v>4</v>
      </c>
      <c r="H3" t="n">
        <v>0</v>
      </c>
      <c r="I3" t="n">
        <v>0</v>
      </c>
      <c r="J3" t="n">
        <v>0</v>
      </c>
      <c r="K3" t="n">
        <v>0</v>
      </c>
      <c r="L3" t="n">
        <v>0</v>
      </c>
      <c r="M3" t="n">
        <v>0</v>
      </c>
      <c r="N3" t="n">
        <v>0</v>
      </c>
    </row>
    <row r="4">
      <c r="A4" t="inlineStr">
        <is>
          <t>arrears</t>
        </is>
      </c>
      <c r="B4" t="inlineStr">
        <is>
          <t>total, £18 13 shilling 4pence.</t>
        </is>
      </c>
      <c r="C4" t="n">
        <v>18.67</v>
      </c>
      <c r="D4" t="n">
        <v>18</v>
      </c>
      <c r="E4" t="n">
        <v>13</v>
      </c>
      <c r="F4" t="n">
        <v>4</v>
      </c>
      <c r="H4" t="n">
        <v>0</v>
      </c>
      <c r="I4" t="n">
        <v>0</v>
      </c>
      <c r="J4" t="n">
        <v>0</v>
      </c>
      <c r="K4" t="n">
        <v>0</v>
      </c>
      <c r="L4" t="n">
        <v>0</v>
      </c>
      <c r="M4" t="n">
        <v>0</v>
      </c>
      <c r="N4" t="n">
        <v>0</v>
      </c>
    </row>
    <row r="5">
      <c r="A5" t="inlineStr">
        <is>
          <t>rents of assize</t>
        </is>
      </c>
      <c r="B5" t="inlineStr">
        <is>
          <t>and for £2 1 shilling 31.25pence for all rents of assize at christmas.</t>
        </is>
      </c>
      <c r="C5" t="n">
        <v>2.18</v>
      </c>
      <c r="D5" t="n">
        <v>2</v>
      </c>
      <c r="E5" t="n">
        <v>1</v>
      </c>
      <c r="F5" t="n">
        <v>31.25</v>
      </c>
      <c r="H5" t="n">
        <v>0</v>
      </c>
      <c r="I5" t="n">
        <v>0</v>
      </c>
      <c r="J5" t="n">
        <v>0</v>
      </c>
      <c r="K5" t="n">
        <v>0</v>
      </c>
      <c r="L5" t="n">
        <v>0</v>
      </c>
      <c r="M5" t="n">
        <v>0</v>
      </c>
      <c r="N5" t="n">
        <v>0</v>
      </c>
    </row>
    <row r="6">
      <c r="A6" t="inlineStr">
        <is>
          <t>rents of assize</t>
        </is>
      </c>
      <c r="B6" t="inlineStr">
        <is>
          <t>£2 1 shilling 5.25pence at easter (23 march).</t>
        </is>
      </c>
      <c r="C6" t="n">
        <v>2.07</v>
      </c>
      <c r="D6" t="n">
        <v>2</v>
      </c>
      <c r="E6" t="n">
        <v>1</v>
      </c>
      <c r="F6" t="n">
        <v>5.25</v>
      </c>
      <c r="H6" t="n">
        <v>0</v>
      </c>
      <c r="I6" t="n">
        <v>0</v>
      </c>
      <c r="J6" t="n">
        <v>0</v>
      </c>
      <c r="K6" t="n">
        <v>0</v>
      </c>
      <c r="L6" t="n">
        <v>0</v>
      </c>
      <c r="M6" t="n">
        <v>0</v>
      </c>
      <c r="N6" t="n">
        <v>0</v>
      </c>
    </row>
    <row r="7">
      <c r="A7" t="inlineStr">
        <is>
          <t>rents of assize</t>
        </is>
      </c>
      <c r="B7" t="inlineStr">
        <is>
          <t>£2 1 shilling 3.25pence at the nativity of st john the baptist (24 june).</t>
        </is>
      </c>
      <c r="C7" t="n">
        <v>2.06</v>
      </c>
      <c r="D7" t="n">
        <v>2</v>
      </c>
      <c r="E7" t="n">
        <v>1</v>
      </c>
      <c r="F7" t="n">
        <v>3.25</v>
      </c>
      <c r="H7" t="n">
        <v>0</v>
      </c>
      <c r="I7" t="n">
        <v>0</v>
      </c>
      <c r="J7" t="n">
        <v>0</v>
      </c>
      <c r="K7" t="n">
        <v>0</v>
      </c>
      <c r="L7" t="n">
        <v>0</v>
      </c>
      <c r="M7" t="n">
        <v>0</v>
      </c>
      <c r="N7" t="n">
        <v>0</v>
      </c>
    </row>
    <row r="8">
      <c r="A8" t="inlineStr">
        <is>
          <t>rents of assize</t>
        </is>
      </c>
      <c r="B8" t="inlineStr">
        <is>
          <t>£2 7 shilling 6.5pence at michaelmas (29 september).</t>
        </is>
      </c>
      <c r="C8" t="n">
        <v>2.38</v>
      </c>
      <c r="D8" t="n">
        <v>2</v>
      </c>
      <c r="E8" t="n">
        <v>7</v>
      </c>
      <c r="F8" t="n">
        <v>6.5</v>
      </c>
      <c r="H8" t="n">
        <v>0</v>
      </c>
      <c r="I8" t="n">
        <v>0</v>
      </c>
      <c r="J8" t="n">
        <v>0</v>
      </c>
      <c r="K8" t="n">
        <v>0</v>
      </c>
      <c r="L8" t="n">
        <v>0</v>
      </c>
      <c r="M8" t="n">
        <v>0</v>
      </c>
      <c r="N8" t="n">
        <v>0</v>
      </c>
    </row>
    <row r="9">
      <c r="A9" t="inlineStr">
        <is>
          <t>rents of assize</t>
        </is>
      </c>
      <c r="B9" t="inlineStr">
        <is>
          <t>total, £9 11 shilling 61/ad.</t>
        </is>
      </c>
      <c r="C9" t="n">
        <v>9.550000000000001</v>
      </c>
      <c r="D9" t="n">
        <v>9</v>
      </c>
      <c r="E9" t="n">
        <v>11</v>
      </c>
      <c r="F9" t="n">
        <v>0</v>
      </c>
      <c r="H9" t="n">
        <v>0</v>
      </c>
      <c r="I9" t="n">
        <v>0</v>
      </c>
      <c r="J9" t="n">
        <v>0</v>
      </c>
      <c r="K9" t="n">
        <v>0</v>
      </c>
      <c r="L9" t="n">
        <v>0</v>
      </c>
      <c r="M9" t="n">
        <v>0</v>
      </c>
      <c r="N9" t="n">
        <v>0</v>
      </c>
    </row>
    <row r="10">
      <c r="A10" t="inlineStr">
        <is>
          <t>quittances of rent</t>
        </is>
      </c>
      <c r="B10" t="inlineStr">
        <is>
          <t>in quittance of rent of 1 reeve for the year 4 shilling.</t>
        </is>
      </c>
      <c r="C10" t="n">
        <v>0.2</v>
      </c>
      <c r="D10" t="n">
        <v>0</v>
      </c>
      <c r="E10" t="n">
        <v>4</v>
      </c>
      <c r="F10" t="n">
        <v>0</v>
      </c>
      <c r="H10" t="n">
        <v>0</v>
      </c>
      <c r="I10" t="n">
        <v>0</v>
      </c>
      <c r="J10" t="n">
        <v>0</v>
      </c>
      <c r="K10" t="n">
        <v>0</v>
      </c>
      <c r="L10" t="n">
        <v>0</v>
      </c>
      <c r="M10" t="n">
        <v>0</v>
      </c>
      <c r="N10" t="n">
        <v>0</v>
      </c>
    </row>
    <row r="11">
      <c r="A11" t="inlineStr">
        <is>
          <t>quittances of rent</t>
        </is>
      </c>
      <c r="B11" t="inlineStr">
        <is>
          <t>1 ploughman, nothing, because there is.</t>
        </is>
      </c>
      <c r="C11" t="n">
        <v>0</v>
      </c>
      <c r="D11" t="n">
        <v>0</v>
      </c>
      <c r="E11" t="n">
        <v>0</v>
      </c>
      <c r="F11" t="n">
        <v>0</v>
      </c>
      <c r="H11" t="n">
        <v>0</v>
      </c>
      <c r="I11" t="n">
        <v>0</v>
      </c>
      <c r="J11" t="n">
        <v>0</v>
      </c>
      <c r="K11" t="n">
        <v>0</v>
      </c>
      <c r="L11" t="n">
        <v>0</v>
      </c>
      <c r="M11" t="n">
        <v>0</v>
      </c>
      <c r="N11" t="n">
        <v>0</v>
      </c>
    </row>
    <row r="12">
      <c r="A12" t="inlineStr">
        <is>
          <t>quittances of rent</t>
        </is>
      </c>
      <c r="B12" t="inlineStr">
        <is>
          <t>none there.</t>
        </is>
      </c>
      <c r="C12" t="n">
        <v>0</v>
      </c>
      <c r="D12" t="n">
        <v>0</v>
      </c>
      <c r="E12" t="n">
        <v>0</v>
      </c>
      <c r="F12" t="n">
        <v>0</v>
      </c>
      <c r="H12" t="n">
        <v>0</v>
      </c>
      <c r="I12" t="n">
        <v>0</v>
      </c>
      <c r="J12" t="n">
        <v>0</v>
      </c>
      <c r="K12" t="n">
        <v>0</v>
      </c>
      <c r="L12" t="n">
        <v>0</v>
      </c>
      <c r="M12" t="n">
        <v>0</v>
      </c>
      <c r="N12" t="n">
        <v>0</v>
      </c>
    </row>
    <row r="13">
      <c r="A13" t="inlineStr">
        <is>
          <t>quittances of rent</t>
        </is>
      </c>
      <c r="B13" t="inlineStr">
        <is>
          <t>total, 4 shilling.</t>
        </is>
      </c>
      <c r="C13" t="n">
        <v>0.2</v>
      </c>
      <c r="D13" t="n">
        <v>0</v>
      </c>
      <c r="E13" t="n">
        <v>4</v>
      </c>
      <c r="F13" t="n">
        <v>0</v>
      </c>
      <c r="H13" t="n">
        <v>0</v>
      </c>
      <c r="I13" t="n">
        <v>0</v>
      </c>
      <c r="J13" t="n">
        <v>0</v>
      </c>
      <c r="K13" t="n">
        <v>0</v>
      </c>
      <c r="L13" t="n">
        <v>0</v>
      </c>
      <c r="M13" t="n">
        <v>0</v>
      </c>
      <c r="N13" t="n">
        <v>0</v>
      </c>
    </row>
    <row r="14">
      <c r="A14" t="inlineStr">
        <is>
          <t>defaults of rent</t>
        </is>
      </c>
      <c r="B14" t="inlineStr">
        <is>
          <t>in default of the land of vyel drawn into demesne, 2 shilling 1pence for the year.</t>
        </is>
      </c>
      <c r="C14" t="n">
        <v>0.1</v>
      </c>
      <c r="D14" t="n">
        <v>0</v>
      </c>
      <c r="E14" t="n">
        <v>2</v>
      </c>
      <c r="F14" t="n">
        <v>1</v>
      </c>
      <c r="H14" t="n">
        <v>0</v>
      </c>
      <c r="I14" t="n">
        <v>0</v>
      </c>
      <c r="J14" t="n">
        <v>0</v>
      </c>
      <c r="K14" t="n">
        <v>0</v>
      </c>
      <c r="L14" t="n">
        <v>0</v>
      </c>
      <c r="M14" t="n">
        <v>0</v>
      </c>
      <c r="N14" t="n">
        <v>0</v>
      </c>
    </row>
    <row r="15">
      <c r="A15" t="inlineStr">
        <is>
          <t>defaults of rent</t>
        </is>
      </c>
      <c r="B15" t="inlineStr">
        <is>
          <t>the land of quabbemore which thomas byndon' held and is now in the lord's hands, 3 shilling 4pence for the year.</t>
        </is>
      </c>
      <c r="C15" t="n">
        <v>0.17</v>
      </c>
      <c r="D15" t="n">
        <v>0</v>
      </c>
      <c r="E15" t="n">
        <v>3</v>
      </c>
      <c r="F15" t="n">
        <v>4</v>
      </c>
      <c r="H15" t="n">
        <v>0</v>
      </c>
      <c r="I15" t="n">
        <v>0</v>
      </c>
      <c r="J15" t="n">
        <v>0</v>
      </c>
      <c r="K15" t="n">
        <v>0</v>
      </c>
      <c r="L15" t="n">
        <v>0</v>
      </c>
      <c r="M15" t="n">
        <v>0</v>
      </c>
      <c r="N15" t="n">
        <v>0</v>
      </c>
    </row>
    <row r="16">
      <c r="A16" t="inlineStr">
        <is>
          <t>defaults of rent</t>
        </is>
      </c>
      <c r="B16" t="inlineStr">
        <is>
          <t>1 cottage with a curtilage recently of william saltere because it is in the lord's hands, 1 shilling for the year.</t>
        </is>
      </c>
      <c r="C16" t="n">
        <v>0.05</v>
      </c>
      <c r="D16" t="n">
        <v>0</v>
      </c>
      <c r="E16" t="n">
        <v>1</v>
      </c>
      <c r="F16" t="n">
        <v>0</v>
      </c>
      <c r="H16" t="n">
        <v>0</v>
      </c>
      <c r="I16" t="n">
        <v>0</v>
      </c>
      <c r="J16" t="n">
        <v>0</v>
      </c>
      <c r="K16" t="n">
        <v>0</v>
      </c>
      <c r="L16" t="n">
        <v>0</v>
      </c>
      <c r="M16" t="n">
        <v>0</v>
      </c>
      <c r="N16" t="n">
        <v>0</v>
      </c>
    </row>
    <row r="17">
      <c r="A17" t="inlineStr">
        <is>
          <t>defaults of rent</t>
        </is>
      </c>
      <c r="B17" t="inlineStr">
        <is>
          <t>1 cottage recently of william norton' because it is in the lord's hands, 6pence for the year.</t>
        </is>
      </c>
      <c r="C17" t="n">
        <v>0.03</v>
      </c>
      <c r="D17" t="n">
        <v>0</v>
      </c>
      <c r="E17" t="n">
        <v>0</v>
      </c>
      <c r="F17" t="n">
        <v>6</v>
      </c>
      <c r="H17" t="n">
        <v>0</v>
      </c>
      <c r="I17" t="n">
        <v>0</v>
      </c>
      <c r="J17" t="n">
        <v>0</v>
      </c>
      <c r="K17" t="n">
        <v>0</v>
      </c>
      <c r="L17" t="n">
        <v>0</v>
      </c>
      <c r="M17" t="n">
        <v>0</v>
      </c>
      <c r="N17" t="n">
        <v>0</v>
      </c>
    </row>
    <row r="18">
      <c r="A18" t="inlineStr">
        <is>
          <t>defaults of rent</t>
        </is>
      </c>
      <c r="B18" t="inlineStr">
        <is>
          <t>total, 6 shilling 11pence.</t>
        </is>
      </c>
      <c r="C18" t="n">
        <v>0.35</v>
      </c>
      <c r="D18" t="n">
        <v>0</v>
      </c>
      <c r="E18" t="n">
        <v>6</v>
      </c>
      <c r="F18" t="n">
        <v>11</v>
      </c>
      <c r="H18" t="n">
        <v>0</v>
      </c>
      <c r="I18" t="n">
        <v>0</v>
      </c>
      <c r="J18" t="n">
        <v>0</v>
      </c>
      <c r="K18" t="n">
        <v>0</v>
      </c>
      <c r="L18" t="n">
        <v>0</v>
      </c>
      <c r="M18" t="n">
        <v>0</v>
      </c>
      <c r="N18" t="n">
        <v>0</v>
      </c>
    </row>
    <row r="19">
      <c r="A19" t="inlineStr">
        <is>
          <t>total of quittances and defaults of rent</t>
        </is>
      </c>
      <c r="B19" t="inlineStr">
        <is>
          <t>total of quittances and defaults of rent, 10 shilling 11pence.</t>
        </is>
      </c>
      <c r="C19" t="n">
        <v>0.55</v>
      </c>
      <c r="D19" t="n">
        <v>0</v>
      </c>
      <c r="E19" t="n">
        <v>10</v>
      </c>
      <c r="F19" t="n">
        <v>11</v>
      </c>
      <c r="H19" t="n">
        <v>0</v>
      </c>
      <c r="I19" t="n">
        <v>0</v>
      </c>
      <c r="J19" t="n">
        <v>0</v>
      </c>
      <c r="K19" t="n">
        <v>0</v>
      </c>
      <c r="L19" t="n">
        <v>0</v>
      </c>
      <c r="M19" t="n">
        <v>0</v>
      </c>
      <c r="N19" t="n">
        <v>0</v>
      </c>
    </row>
    <row r="20">
      <c r="A20" t="inlineStr">
        <is>
          <t>total of rents remaining clear</t>
        </is>
      </c>
      <c r="B20" t="inlineStr">
        <is>
          <t>total of rents remaining clear, £9 7.25pence.</t>
        </is>
      </c>
      <c r="C20" t="n">
        <v>9.029999999999999</v>
      </c>
      <c r="D20" t="n">
        <v>9</v>
      </c>
      <c r="E20" t="n">
        <v>0</v>
      </c>
      <c r="F20" t="n">
        <v>7.25</v>
      </c>
      <c r="H20" t="n">
        <v>0</v>
      </c>
      <c r="I20" t="n">
        <v>0</v>
      </c>
      <c r="J20" t="n">
        <v>0</v>
      </c>
      <c r="K20" t="n">
        <v>0</v>
      </c>
      <c r="L20" t="n">
        <v>0</v>
      </c>
      <c r="M20" t="n">
        <v>0</v>
      </c>
      <c r="N20" t="n">
        <v>0</v>
      </c>
    </row>
    <row r="21">
      <c r="A21" t="inlineStr">
        <is>
          <t>rents</t>
        </is>
      </c>
      <c r="B21" t="inlineStr">
        <is>
          <t>rents of fawley and south stoneham and for £3 13 shilling for the rents of all the tenants of fawley and ower for the year.</t>
        </is>
      </c>
      <c r="C21" t="n">
        <v>3.65</v>
      </c>
      <c r="D21" t="n">
        <v>3</v>
      </c>
      <c r="E21" t="n">
        <v>13</v>
      </c>
      <c r="F21" t="n">
        <v>0</v>
      </c>
      <c r="H21" t="n">
        <v>0</v>
      </c>
      <c r="I21" t="n">
        <v>0</v>
      </c>
      <c r="J21" t="n">
        <v>0</v>
      </c>
      <c r="K21" t="n">
        <v>0</v>
      </c>
      <c r="L21" t="n">
        <v>0</v>
      </c>
      <c r="M21" t="n">
        <v>0</v>
      </c>
      <c r="N21" t="n">
        <v>0</v>
      </c>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c r="H22" t="n">
        <v>0</v>
      </c>
      <c r="I22" t="n">
        <v>0</v>
      </c>
      <c r="J22" t="n">
        <v>0</v>
      </c>
      <c r="K22" t="n">
        <v>0</v>
      </c>
      <c r="L22" t="n">
        <v>0</v>
      </c>
      <c r="M22" t="n">
        <v>0</v>
      </c>
      <c r="N22" t="n">
        <v>0</v>
      </c>
    </row>
    <row r="23">
      <c r="A23" t="inlineStr">
        <is>
          <t>rents</t>
        </is>
      </c>
      <c r="B23" t="inlineStr">
        <is>
          <t>total, £5 3 shilling.</t>
        </is>
      </c>
      <c r="C23" t="n">
        <v>5.15</v>
      </c>
      <c r="D23" t="n">
        <v>5</v>
      </c>
      <c r="E23" t="n">
        <v>3</v>
      </c>
      <c r="F23" t="n">
        <v>0</v>
      </c>
      <c r="H23" t="n">
        <v>0</v>
      </c>
      <c r="I23" t="n">
        <v>0</v>
      </c>
      <c r="J23" t="n">
        <v>0</v>
      </c>
      <c r="K23" t="n">
        <v>0</v>
      </c>
      <c r="L23" t="n">
        <v>0</v>
      </c>
      <c r="M23" t="n">
        <v>0</v>
      </c>
      <c r="N23" t="n">
        <v>0</v>
      </c>
    </row>
    <row r="24">
      <c r="A24" t="inlineStr">
        <is>
          <t>farm of the mill</t>
        </is>
      </c>
      <c r="B24" t="inlineStr">
        <is>
          <t>and for £18 for the farm of the mill this year, demised to richard beyr for 7 years, this year being the third.</t>
        </is>
      </c>
      <c r="C24" t="n">
        <v>18</v>
      </c>
      <c r="D24" t="n">
        <v>18</v>
      </c>
      <c r="E24" t="n">
        <v>0</v>
      </c>
      <c r="F24" t="n">
        <v>0</v>
      </c>
      <c r="H24" t="n">
        <v>0</v>
      </c>
      <c r="I24" t="n">
        <v>0</v>
      </c>
      <c r="J24" t="n">
        <v>0</v>
      </c>
      <c r="K24" t="n">
        <v>0</v>
      </c>
      <c r="L24" t="n">
        <v>0</v>
      </c>
      <c r="M24" t="n">
        <v>0</v>
      </c>
      <c r="N24" t="n">
        <v>0</v>
      </c>
    </row>
    <row r="25">
      <c r="A25" t="inlineStr">
        <is>
          <t>farm of the mill</t>
        </is>
      </c>
      <c r="B25" t="inlineStr">
        <is>
          <t>total, £18..</t>
        </is>
      </c>
      <c r="C25" t="n">
        <v>18</v>
      </c>
      <c r="D25" t="n">
        <v>18</v>
      </c>
      <c r="E25" t="n">
        <v>0</v>
      </c>
      <c r="F25" t="n">
        <v>0</v>
      </c>
      <c r="H25" t="n">
        <v>0</v>
      </c>
      <c r="I25" t="n">
        <v>0</v>
      </c>
      <c r="J25" t="n">
        <v>0</v>
      </c>
      <c r="K25" t="n">
        <v>0</v>
      </c>
      <c r="L25" t="n">
        <v>0</v>
      </c>
      <c r="M25" t="n">
        <v>0</v>
      </c>
      <c r="N25" t="n">
        <v>0</v>
      </c>
    </row>
    <row r="26">
      <c r="A26" t="inlineStr">
        <is>
          <t>farm of the fish-trap</t>
        </is>
      </c>
      <c r="B26" t="inlineStr">
        <is>
          <t>and for £12 for the farm of the fish-trap, demised to john atte nasshe this year.</t>
        </is>
      </c>
      <c r="C26" t="n">
        <v>12</v>
      </c>
      <c r="D26" t="n">
        <v>12</v>
      </c>
      <c r="E26" t="n">
        <v>0</v>
      </c>
      <c r="F26" t="n">
        <v>0</v>
      </c>
      <c r="H26" t="n">
        <v>0</v>
      </c>
      <c r="I26" t="n">
        <v>0</v>
      </c>
      <c r="J26" t="n">
        <v>0</v>
      </c>
      <c r="K26" t="n">
        <v>0</v>
      </c>
      <c r="L26" t="n">
        <v>0</v>
      </c>
      <c r="M26" t="n">
        <v>0</v>
      </c>
      <c r="N26" t="n">
        <v>0</v>
      </c>
    </row>
    <row r="27">
      <c r="A27" t="inlineStr">
        <is>
          <t>farm of the fish-trap</t>
        </is>
      </c>
      <c r="B27" t="inlineStr">
        <is>
          <t>total, £12..</t>
        </is>
      </c>
      <c r="C27" t="n">
        <v>12</v>
      </c>
      <c r="D27" t="n">
        <v>12</v>
      </c>
      <c r="E27" t="n">
        <v>0</v>
      </c>
      <c r="F27" t="n">
        <v>0</v>
      </c>
      <c r="H27" t="n">
        <v>0</v>
      </c>
      <c r="I27" t="n">
        <v>0</v>
      </c>
      <c r="J27" t="n">
        <v>0</v>
      </c>
      <c r="K27" t="n">
        <v>0</v>
      </c>
      <c r="L27" t="n">
        <v>0</v>
      </c>
      <c r="M27" t="n">
        <v>0</v>
      </c>
      <c r="N27" t="n">
        <v>0</v>
      </c>
    </row>
    <row r="28">
      <c r="A28" t="inlineStr">
        <is>
          <t>issues of the manor</t>
        </is>
      </c>
      <c r="B28" t="inlineStr">
        <is>
          <t>and for 15 shilling 11 pence from the pannage of the pigs of the customary tenants at martinmas.</t>
        </is>
      </c>
      <c r="C28" t="n">
        <v>0.8</v>
      </c>
      <c r="D28" t="n">
        <v>0</v>
      </c>
      <c r="E28" t="n">
        <v>15</v>
      </c>
      <c r="F28" t="n">
        <v>11</v>
      </c>
      <c r="H28" t="n">
        <v>0</v>
      </c>
      <c r="I28" t="n">
        <v>0</v>
      </c>
      <c r="J28" t="n">
        <v>0</v>
      </c>
      <c r="K28" t="n">
        <v>0</v>
      </c>
      <c r="L28" t="n">
        <v>0</v>
      </c>
      <c r="M28" t="n">
        <v>0</v>
      </c>
      <c r="N28" t="n">
        <v>0</v>
      </c>
    </row>
    <row r="29">
      <c r="A29" t="inlineStr">
        <is>
          <t>issues of the manor</t>
        </is>
      </c>
      <c r="B29" t="inlineStr">
        <is>
          <t>nothing from the pannage of foreign pigs agisted in the park this year because there was no mast.</t>
        </is>
      </c>
      <c r="C29" t="n">
        <v>0</v>
      </c>
      <c r="D29" t="n">
        <v>0</v>
      </c>
      <c r="E29" t="n">
        <v>0</v>
      </c>
      <c r="F29" t="n">
        <v>0</v>
      </c>
      <c r="H29" t="n">
        <v>0</v>
      </c>
      <c r="I29" t="n">
        <v>0</v>
      </c>
      <c r="J29" t="n">
        <v>0</v>
      </c>
      <c r="K29" t="n">
        <v>0</v>
      </c>
      <c r="L29" t="n">
        <v>0</v>
      </c>
      <c r="M29" t="n">
        <v>0</v>
      </c>
      <c r="N29" t="n">
        <v>0</v>
      </c>
    </row>
    <row r="30">
      <c r="A30" t="inlineStr">
        <is>
          <t>issues of the manor</t>
        </is>
      </c>
      <c r="B30" t="inlineStr">
        <is>
          <t>8 shilling 2pence from the agistment of cattle in the park in the winter.</t>
        </is>
      </c>
      <c r="C30" t="n">
        <v>0.41</v>
      </c>
      <c r="D30" t="n">
        <v>0</v>
      </c>
      <c r="E30" t="n">
        <v>8</v>
      </c>
      <c r="F30" t="n">
        <v>2</v>
      </c>
      <c r="H30" t="n">
        <v>0</v>
      </c>
      <c r="I30" t="n">
        <v>0</v>
      </c>
      <c r="J30" t="n">
        <v>0</v>
      </c>
      <c r="K30" t="n">
        <v>0</v>
      </c>
      <c r="L30" t="n">
        <v>0</v>
      </c>
      <c r="M30" t="n">
        <v>0</v>
      </c>
      <c r="N30" t="n">
        <v>0</v>
      </c>
    </row>
    <row r="31">
      <c r="A31" t="inlineStr">
        <is>
          <t>issues of the manor</t>
        </is>
      </c>
      <c r="B31" t="inlineStr">
        <is>
          <t>£1 2 shilling 4pence from the agistment of cattle in the park in the summer.</t>
        </is>
      </c>
      <c r="C31" t="n">
        <v>1.12</v>
      </c>
      <c r="D31" t="n">
        <v>1</v>
      </c>
      <c r="E31" t="n">
        <v>2</v>
      </c>
      <c r="F31" t="n">
        <v>4</v>
      </c>
      <c r="H31" t="n">
        <v>0</v>
      </c>
      <c r="I31" t="n">
        <v>0</v>
      </c>
      <c r="J31" t="n">
        <v>0</v>
      </c>
      <c r="K31" t="n">
        <v>0</v>
      </c>
      <c r="L31" t="n">
        <v>0</v>
      </c>
      <c r="M31" t="n">
        <v>0</v>
      </c>
      <c r="N31" t="n">
        <v>0</v>
      </c>
    </row>
    <row r="32">
      <c r="A32" t="inlineStr">
        <is>
          <t>issues of the manor</t>
        </is>
      </c>
      <c r="B32" t="inlineStr">
        <is>
          <t>nothing from the sale of old pollards this year.</t>
        </is>
      </c>
      <c r="C32" t="n">
        <v>0</v>
      </c>
      <c r="D32" t="n">
        <v>0</v>
      </c>
      <c r="E32" t="n">
        <v>0</v>
      </c>
      <c r="F32" t="n">
        <v>0</v>
      </c>
      <c r="H32" t="n">
        <v>0</v>
      </c>
      <c r="I32" t="n">
        <v>0</v>
      </c>
      <c r="J32" t="n">
        <v>0</v>
      </c>
      <c r="K32" t="n">
        <v>0</v>
      </c>
      <c r="L32" t="n">
        <v>0</v>
      </c>
      <c r="M32" t="n">
        <v>0</v>
      </c>
      <c r="N32" t="n">
        <v>0</v>
      </c>
    </row>
    <row r="33">
      <c r="A33" t="inlineStr">
        <is>
          <t>issues of the manor</t>
        </is>
      </c>
      <c r="B33" t="inlineStr">
        <is>
          <t>nothing from the turbary sold this year from a want of buyers.</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pasturage in quabbemore this year because of the lord's cows.</t>
        </is>
      </c>
      <c r="C34" t="n">
        <v>0</v>
      </c>
      <c r="D34" t="n">
        <v>0</v>
      </c>
      <c r="E34" t="n">
        <v>0</v>
      </c>
      <c r="F34" t="n">
        <v>0</v>
      </c>
      <c r="H34" t="n">
        <v>0</v>
      </c>
      <c r="I34" t="n">
        <v>0</v>
      </c>
      <c r="J34" t="n">
        <v>0</v>
      </c>
      <c r="K34" t="n">
        <v>0</v>
      </c>
      <c r="L34" t="n">
        <v>0</v>
      </c>
      <c r="M34" t="n">
        <v>0</v>
      </c>
      <c r="N34" t="n">
        <v>0</v>
      </c>
    </row>
    <row r="35">
      <c r="A35" t="inlineStr">
        <is>
          <t>issues of the manor</t>
        </is>
      </c>
      <c r="B35" t="inlineStr">
        <is>
          <t>nothing from the sale of heath in the common of bitterne this year from a want of buyers.</t>
        </is>
      </c>
      <c r="C35" t="n">
        <v>0</v>
      </c>
      <c r="D35" t="n">
        <v>0</v>
      </c>
      <c r="E35" t="n">
        <v>0</v>
      </c>
      <c r="F35" t="n">
        <v>0</v>
      </c>
      <c r="H35" t="n">
        <v>0</v>
      </c>
      <c r="I35" t="n">
        <v>0</v>
      </c>
      <c r="J35" t="n">
        <v>0</v>
      </c>
      <c r="K35" t="n">
        <v>0</v>
      </c>
      <c r="L35" t="n">
        <v>0</v>
      </c>
      <c r="M35" t="n">
        <v>0</v>
      </c>
      <c r="N35" t="n">
        <v>0</v>
      </c>
    </row>
    <row r="36">
      <c r="A36" t="inlineStr">
        <is>
          <t>issues of the manor</t>
        </is>
      </c>
      <c r="B36" t="inlineStr">
        <is>
          <t>nothing from the sale of talwood in the park this year.</t>
        </is>
      </c>
      <c r="C36" t="n">
        <v>0</v>
      </c>
      <c r="D36" t="n">
        <v>0</v>
      </c>
      <c r="E36" t="n">
        <v>0</v>
      </c>
      <c r="F36" t="n">
        <v>0</v>
      </c>
      <c r="H36" t="n">
        <v>0</v>
      </c>
      <c r="I36" t="n">
        <v>0</v>
      </c>
      <c r="J36" t="n">
        <v>0</v>
      </c>
      <c r="K36" t="n">
        <v>0</v>
      </c>
      <c r="L36" t="n">
        <v>0</v>
      </c>
      <c r="M36" t="n">
        <v>0</v>
      </c>
      <c r="N36" t="n">
        <v>0</v>
      </c>
    </row>
    <row r="37">
      <c r="A37" t="inlineStr">
        <is>
          <t>issues of the manor</t>
        </is>
      </c>
      <c r="B37" t="inlineStr">
        <is>
          <t>nothing from the sale of old alders in the park this year.</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loppings in rademore this year.</t>
        </is>
      </c>
      <c r="C38" t="n">
        <v>0</v>
      </c>
      <c r="D38" t="n">
        <v>0</v>
      </c>
      <c r="E38" t="n">
        <v>0</v>
      </c>
      <c r="F38" t="n">
        <v>0</v>
      </c>
      <c r="H38" t="n">
        <v>0</v>
      </c>
      <c r="I38" t="n">
        <v>0</v>
      </c>
      <c r="J38" t="n">
        <v>0</v>
      </c>
      <c r="K38" t="n">
        <v>0</v>
      </c>
      <c r="L38" t="n">
        <v>0</v>
      </c>
      <c r="M38" t="n">
        <v>0</v>
      </c>
      <c r="N38" t="n">
        <v>0</v>
      </c>
    </row>
    <row r="39">
      <c r="A39" t="inlineStr">
        <is>
          <t>issues of the manor</t>
        </is>
      </c>
      <c r="B39" t="inlineStr">
        <is>
          <t>nothing from the sale of loppings in elmore this year.</t>
        </is>
      </c>
      <c r="C39" t="n">
        <v>0</v>
      </c>
      <c r="D39" t="n">
        <v>0</v>
      </c>
      <c r="E39" t="n">
        <v>0</v>
      </c>
      <c r="F39" t="n">
        <v>0</v>
      </c>
      <c r="H39" t="n">
        <v>0</v>
      </c>
      <c r="I39" t="n">
        <v>0</v>
      </c>
      <c r="J39" t="n">
        <v>0</v>
      </c>
      <c r="K39" t="n">
        <v>0</v>
      </c>
      <c r="L39" t="n">
        <v>0</v>
      </c>
      <c r="M39" t="n">
        <v>0</v>
      </c>
      <c r="N39" t="n">
        <v>0</v>
      </c>
    </row>
    <row r="40">
      <c r="A40" t="inlineStr">
        <is>
          <t>issues of the manor</t>
        </is>
      </c>
      <c r="B40" t="inlineStr">
        <is>
          <t>6 shilling 8pence from the hides sold wholesale of 6 cows, 2 bullocks and 2 yearlings in murrain.</t>
        </is>
      </c>
      <c r="C40" t="n">
        <v>0.33</v>
      </c>
      <c r="D40" t="n">
        <v>0</v>
      </c>
      <c r="E40" t="n">
        <v>6</v>
      </c>
      <c r="F40" t="n">
        <v>8</v>
      </c>
      <c r="H40" t="n">
        <v>0</v>
      </c>
      <c r="I40" t="n">
        <v>0</v>
      </c>
      <c r="J40" t="n">
        <v>0</v>
      </c>
      <c r="K40" t="n">
        <v>0</v>
      </c>
      <c r="L40" t="n">
        <v>0</v>
      </c>
      <c r="M40" t="n">
        <v>0</v>
      </c>
      <c r="N40" t="n">
        <v>0</v>
      </c>
    </row>
    <row r="41">
      <c r="A41" t="inlineStr">
        <is>
          <t>issues of the manor</t>
        </is>
      </c>
      <c r="B41" t="inlineStr">
        <is>
          <t>£1 10 shilling 4pence from 181 cocks and hens sold, at 2pence each.</t>
        </is>
      </c>
      <c r="C41" t="n">
        <v>1.52</v>
      </c>
      <c r="D41" t="n">
        <v>1</v>
      </c>
      <c r="E41" t="n">
        <v>10</v>
      </c>
      <c r="F41" t="n">
        <v>4</v>
      </c>
      <c r="H41" t="n">
        <v>0</v>
      </c>
      <c r="I41" t="n">
        <v>0</v>
      </c>
      <c r="J41" t="n">
        <v>0</v>
      </c>
      <c r="K41" t="n">
        <v>0</v>
      </c>
      <c r="L41" t="n">
        <v>0</v>
      </c>
      <c r="M41" t="n">
        <v>0</v>
      </c>
      <c r="N41" t="n">
        <v>0</v>
      </c>
    </row>
    <row r="42">
      <c r="A42" t="inlineStr">
        <is>
          <t>issues of the manor</t>
        </is>
      </c>
      <c r="B42" t="inlineStr">
        <is>
          <t>£7 7 shilling from the milking of 38 cows by the stoup this year and thus a cow answers for 3 shilling.</t>
        </is>
      </c>
      <c r="C42" t="n">
        <v>7.35</v>
      </c>
      <c r="D42" t="n">
        <v>7</v>
      </c>
      <c r="E42" t="n">
        <v>7</v>
      </c>
      <c r="F42" t="n">
        <v>0</v>
      </c>
      <c r="H42" t="n">
        <v>0</v>
      </c>
      <c r="I42" t="n">
        <v>0</v>
      </c>
      <c r="J42" t="n">
        <v>0</v>
      </c>
      <c r="K42" t="n">
        <v>0</v>
      </c>
      <c r="L42" t="n">
        <v>0</v>
      </c>
      <c r="M42" t="n">
        <v>0</v>
      </c>
      <c r="N42" t="n">
        <v>0</v>
      </c>
    </row>
    <row r="43">
      <c r="A43" t="inlineStr">
        <is>
          <t>issues of the manor</t>
        </is>
      </c>
      <c r="B43" t="inlineStr">
        <is>
          <t>nothing from the sale of salmon or lampems this year because at farm.</t>
        </is>
      </c>
      <c r="C43" t="n">
        <v>0</v>
      </c>
      <c r="D43" t="n">
        <v>0</v>
      </c>
      <c r="E43" t="n">
        <v>0</v>
      </c>
      <c r="F43" t="n">
        <v>0</v>
      </c>
      <c r="H43" t="n">
        <v>0</v>
      </c>
      <c r="I43" t="n">
        <v>0</v>
      </c>
      <c r="J43" t="n">
        <v>0</v>
      </c>
      <c r="K43" t="n">
        <v>0</v>
      </c>
      <c r="L43" t="n">
        <v>0</v>
      </c>
      <c r="M43" t="n">
        <v>0</v>
      </c>
      <c r="N43" t="n">
        <v>0</v>
      </c>
    </row>
    <row r="44">
      <c r="A44" t="inlineStr">
        <is>
          <t>issues of the manor</t>
        </is>
      </c>
      <c r="B44" t="inlineStr">
        <is>
          <t>4pence from the loppings of 1 oak felled in the park this year.</t>
        </is>
      </c>
      <c r="C44" t="n">
        <v>0.02</v>
      </c>
      <c r="D44" t="n">
        <v>0</v>
      </c>
      <c r="E44" t="n">
        <v>0</v>
      </c>
      <c r="F44" t="n">
        <v>4</v>
      </c>
      <c r="H44" t="n">
        <v>0</v>
      </c>
      <c r="I44" t="n">
        <v>0</v>
      </c>
      <c r="J44" t="n">
        <v>0</v>
      </c>
      <c r="K44" t="n">
        <v>0</v>
      </c>
      <c r="L44" t="n">
        <v>0</v>
      </c>
      <c r="M44" t="n">
        <v>0</v>
      </c>
      <c r="N44" t="n">
        <v>0</v>
      </c>
    </row>
    <row r="45">
      <c r="A45" t="inlineStr">
        <is>
          <t>issues of the manor</t>
        </is>
      </c>
      <c r="B45" t="inlineStr">
        <is>
          <t>total, £11 9 shilling 11.5pence.</t>
        </is>
      </c>
      <c r="C45" t="n">
        <v>11.5</v>
      </c>
      <c r="D45" t="n">
        <v>11</v>
      </c>
      <c r="E45" t="n">
        <v>9</v>
      </c>
      <c r="F45" t="n">
        <v>11.5</v>
      </c>
      <c r="H45" t="n">
        <v>0</v>
      </c>
      <c r="I45" t="n">
        <v>0</v>
      </c>
      <c r="J45" t="n">
        <v>0</v>
      </c>
      <c r="K45" t="n">
        <v>0</v>
      </c>
      <c r="L45" t="n">
        <v>0</v>
      </c>
      <c r="M45" t="n">
        <v>0</v>
      </c>
      <c r="N45" t="n">
        <v>0</v>
      </c>
    </row>
    <row r="46">
      <c r="A46" t="inlineStr">
        <is>
          <t>sale of stock</t>
        </is>
      </c>
      <c r="B46" t="inlineStr">
        <is>
          <t>and for 18 shilling from 2 oxen from the heriot of john scryveyn' sold.</t>
        </is>
      </c>
      <c r="C46" t="n">
        <v>0.9</v>
      </c>
      <c r="D46" t="n">
        <v>0</v>
      </c>
      <c r="E46" t="n">
        <v>18</v>
      </c>
      <c r="F46" t="n">
        <v>0</v>
      </c>
      <c r="H46" t="n">
        <v>0</v>
      </c>
      <c r="I46" t="n">
        <v>0</v>
      </c>
      <c r="J46" t="n">
        <v>0</v>
      </c>
      <c r="K46" t="n">
        <v>0</v>
      </c>
      <c r="L46" t="n">
        <v>0</v>
      </c>
      <c r="M46" t="n">
        <v>0</v>
      </c>
      <c r="N46" t="n">
        <v>0</v>
      </c>
    </row>
    <row r="47">
      <c r="A47" t="inlineStr">
        <is>
          <t>sale of stock</t>
        </is>
      </c>
      <c r="B47" t="inlineStr">
        <is>
          <t>6 shilling 8pence from 1 bull sold.</t>
        </is>
      </c>
      <c r="C47" t="n">
        <v>0.33</v>
      </c>
      <c r="D47" t="n">
        <v>0</v>
      </c>
      <c r="E47" t="n">
        <v>6</v>
      </c>
      <c r="F47" t="n">
        <v>8</v>
      </c>
      <c r="H47" t="n">
        <v>0</v>
      </c>
      <c r="I47" t="n">
        <v>0</v>
      </c>
      <c r="J47" t="n">
        <v>0</v>
      </c>
      <c r="K47" t="n">
        <v>0</v>
      </c>
      <c r="L47" t="n">
        <v>0</v>
      </c>
      <c r="M47" t="n">
        <v>0</v>
      </c>
      <c r="N47" t="n">
        <v>0</v>
      </c>
    </row>
    <row r="48">
      <c r="A48" t="inlineStr">
        <is>
          <t>sale of stock</t>
        </is>
      </c>
      <c r="B48" t="inlineStr">
        <is>
          <t>£2 2 shilling from 7 kebb cows sold, at 6 shilling each.</t>
        </is>
      </c>
      <c r="C48" t="n">
        <v>2.1</v>
      </c>
      <c r="D48" t="n">
        <v>2</v>
      </c>
      <c r="E48" t="n">
        <v>2</v>
      </c>
      <c r="F48" t="n">
        <v>0</v>
      </c>
      <c r="H48" t="n">
        <v>0</v>
      </c>
      <c r="I48" t="n">
        <v>0</v>
      </c>
      <c r="J48" t="n">
        <v>0</v>
      </c>
      <c r="K48" t="n">
        <v>0</v>
      </c>
      <c r="L48" t="n">
        <v>0</v>
      </c>
      <c r="M48" t="n">
        <v>0</v>
      </c>
      <c r="N48" t="n">
        <v>0</v>
      </c>
    </row>
    <row r="49">
      <c r="A49" t="inlineStr">
        <is>
          <t>sale of stock</t>
        </is>
      </c>
      <c r="B49" t="inlineStr">
        <is>
          <t>4 shilling from 1 bullock sold.</t>
        </is>
      </c>
      <c r="C49" t="n">
        <v>0.2</v>
      </c>
      <c r="D49" t="n">
        <v>0</v>
      </c>
      <c r="E49" t="n">
        <v>4</v>
      </c>
      <c r="F49" t="n">
        <v>0</v>
      </c>
      <c r="H49" t="n">
        <v>0</v>
      </c>
      <c r="I49" t="n">
        <v>0</v>
      </c>
      <c r="J49" t="n">
        <v>0</v>
      </c>
      <c r="K49" t="n">
        <v>0</v>
      </c>
      <c r="L49" t="n">
        <v>0</v>
      </c>
      <c r="M49" t="n">
        <v>0</v>
      </c>
      <c r="N49" t="n">
        <v>0</v>
      </c>
    </row>
    <row r="50">
      <c r="A50" t="inlineStr">
        <is>
          <t>sale of stock</t>
        </is>
      </c>
      <c r="B50" t="inlineStr">
        <is>
          <t>£2 4 shilling from 22 calves sold, at 2 shilling each.</t>
        </is>
      </c>
      <c r="C50" t="n">
        <v>2.2</v>
      </c>
      <c r="D50" t="n">
        <v>2</v>
      </c>
      <c r="E50" t="n">
        <v>4</v>
      </c>
      <c r="F50" t="n">
        <v>0</v>
      </c>
      <c r="H50" t="n">
        <v>0</v>
      </c>
      <c r="I50" t="n">
        <v>0</v>
      </c>
      <c r="J50" t="n">
        <v>0</v>
      </c>
      <c r="K50" t="n">
        <v>0</v>
      </c>
      <c r="L50" t="n">
        <v>0</v>
      </c>
      <c r="M50" t="n">
        <v>0</v>
      </c>
      <c r="N50" t="n">
        <v>0</v>
      </c>
    </row>
    <row r="51">
      <c r="A51" t="inlineStr">
        <is>
          <t>sale of stock</t>
        </is>
      </c>
      <c r="B51" t="inlineStr">
        <is>
          <t>2 shilling from 1 hogget sold.</t>
        </is>
      </c>
      <c r="C51" t="n">
        <v>0.1</v>
      </c>
      <c r="D51" t="n">
        <v>0</v>
      </c>
      <c r="E51" t="n">
        <v>2</v>
      </c>
      <c r="F51" t="n">
        <v>0</v>
      </c>
      <c r="H51" t="n">
        <v>0</v>
      </c>
      <c r="I51" t="n">
        <v>0</v>
      </c>
      <c r="J51" t="n">
        <v>0</v>
      </c>
      <c r="K51" t="n">
        <v>0</v>
      </c>
      <c r="L51" t="n">
        <v>0</v>
      </c>
      <c r="M51" t="n">
        <v>0</v>
      </c>
      <c r="N51" t="n">
        <v>0</v>
      </c>
    </row>
    <row r="52">
      <c r="A52" t="inlineStr">
        <is>
          <t>sale of stock</t>
        </is>
      </c>
      <c r="B52" t="inlineStr">
        <is>
          <t>total, £5 16 shilling 8pence.</t>
        </is>
      </c>
      <c r="C52" t="n">
        <v>5.83</v>
      </c>
      <c r="D52" t="n">
        <v>5</v>
      </c>
      <c r="E52" t="n">
        <v>16</v>
      </c>
      <c r="F52" t="n">
        <v>8</v>
      </c>
      <c r="H52" t="n">
        <v>0</v>
      </c>
      <c r="I52" t="n">
        <v>0</v>
      </c>
      <c r="J52" t="n">
        <v>0</v>
      </c>
      <c r="K52" t="n">
        <v>0</v>
      </c>
      <c r="L52" t="n">
        <v>0</v>
      </c>
      <c r="M52" t="n">
        <v>0</v>
      </c>
      <c r="N52" t="n">
        <v>0</v>
      </c>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c r="H53" t="n">
        <v>0</v>
      </c>
      <c r="I53" t="n">
        <v>0</v>
      </c>
      <c r="J53" t="n">
        <v>0</v>
      </c>
      <c r="K53" t="n">
        <v>0</v>
      </c>
      <c r="L53" t="n">
        <v>0</v>
      </c>
      <c r="M53" t="n">
        <v>0</v>
      </c>
      <c r="N53" t="n">
        <v>0</v>
      </c>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c r="H54" t="n">
        <v>0</v>
      </c>
      <c r="I54" t="n">
        <v>0</v>
      </c>
      <c r="J54" t="n">
        <v>0</v>
      </c>
      <c r="K54" t="n">
        <v>0</v>
      </c>
      <c r="L54" t="n">
        <v>0</v>
      </c>
      <c r="M54" t="n">
        <v>0</v>
      </c>
      <c r="N54" t="n">
        <v>0</v>
      </c>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c r="H55" t="n">
        <v>0</v>
      </c>
      <c r="I55" t="n">
        <v>0</v>
      </c>
      <c r="J55" t="n">
        <v>0</v>
      </c>
      <c r="K55" t="n">
        <v>0</v>
      </c>
      <c r="L55" t="n">
        <v>0</v>
      </c>
      <c r="M55" t="n">
        <v>0</v>
      </c>
      <c r="N55" t="n">
        <v>0</v>
      </c>
    </row>
    <row r="56">
      <c r="A56" t="inlineStr">
        <is>
          <t>sale of labour services</t>
        </is>
      </c>
      <c r="B56" t="inlineStr">
        <is>
          <t>£1 7.5pence for 82.5 boon-works, shared out and sold this year, at 3pence a labour service.</t>
        </is>
      </c>
      <c r="C56" t="n">
        <v>1.03</v>
      </c>
      <c r="D56" t="n">
        <v>1</v>
      </c>
      <c r="E56" t="n">
        <v>0</v>
      </c>
      <c r="F56" t="n">
        <v>7.5</v>
      </c>
      <c r="H56" t="n">
        <v>0</v>
      </c>
      <c r="I56" t="n">
        <v>0</v>
      </c>
      <c r="J56" t="n">
        <v>0</v>
      </c>
      <c r="K56" t="n">
        <v>0</v>
      </c>
      <c r="L56" t="n">
        <v>0</v>
      </c>
      <c r="M56" t="n">
        <v>0</v>
      </c>
      <c r="N56" t="n">
        <v>0</v>
      </c>
    </row>
    <row r="57">
      <c r="A57" t="inlineStr">
        <is>
          <t>sale of labour services</t>
        </is>
      </c>
      <c r="B57" t="inlineStr">
        <is>
          <t>£2 18 shilling 6.5pence for 925 harvest labour services, shared out and sold this year, at .5pence a labour service.</t>
        </is>
      </c>
      <c r="C57" t="n">
        <v>2.93</v>
      </c>
      <c r="D57" t="n">
        <v>2</v>
      </c>
      <c r="E57" t="n">
        <v>18</v>
      </c>
      <c r="F57" t="n">
        <v>6.5</v>
      </c>
      <c r="H57" t="n">
        <v>0</v>
      </c>
      <c r="I57" t="n">
        <v>0</v>
      </c>
      <c r="J57" t="n">
        <v>0</v>
      </c>
      <c r="K57" t="n">
        <v>0</v>
      </c>
      <c r="L57" t="n">
        <v>0</v>
      </c>
      <c r="M57" t="n">
        <v>0</v>
      </c>
      <c r="N57" t="n">
        <v>0</v>
      </c>
    </row>
    <row r="58">
      <c r="A58" t="inlineStr">
        <is>
          <t>sale of labour services</t>
        </is>
      </c>
      <c r="B58" t="inlineStr">
        <is>
          <t>5 shilling for 20 labour services stacking corn, shared out and sold this year, at 3pence a labour service.</t>
        </is>
      </c>
      <c r="C58" t="n">
        <v>0.26</v>
      </c>
      <c r="D58" t="n">
        <v>0</v>
      </c>
      <c r="E58" t="n">
        <v>5</v>
      </c>
      <c r="F58" t="n">
        <v>3</v>
      </c>
      <c r="H58" t="n">
        <v>0</v>
      </c>
      <c r="I58" t="n">
        <v>0</v>
      </c>
      <c r="J58" t="n">
        <v>0</v>
      </c>
      <c r="K58" t="n">
        <v>0</v>
      </c>
      <c r="L58" t="n">
        <v>0</v>
      </c>
      <c r="M58" t="n">
        <v>0</v>
      </c>
      <c r="N58" t="n">
        <v>0</v>
      </c>
    </row>
    <row r="59">
      <c r="A59" t="inlineStr">
        <is>
          <t>sale of labour services</t>
        </is>
      </c>
      <c r="B59" t="inlineStr">
        <is>
          <t>8 shilling 1pence for 97 labour services weeding corn, shared out and sold this year, at 1pence a labour service.</t>
        </is>
      </c>
      <c r="C59" t="n">
        <v>0.4</v>
      </c>
      <c r="D59" t="n">
        <v>0</v>
      </c>
      <c r="E59" t="n">
        <v>8</v>
      </c>
      <c r="F59" t="n">
        <v>1</v>
      </c>
      <c r="H59" t="n">
        <v>0</v>
      </c>
      <c r="I59" t="n">
        <v>0</v>
      </c>
      <c r="J59" t="n">
        <v>0</v>
      </c>
      <c r="K59" t="n">
        <v>0</v>
      </c>
      <c r="L59" t="n">
        <v>0</v>
      </c>
      <c r="M59" t="n">
        <v>0</v>
      </c>
      <c r="N59" t="n">
        <v>0</v>
      </c>
    </row>
    <row r="60">
      <c r="A60" t="inlineStr">
        <is>
          <t>sale of labour services</t>
        </is>
      </c>
      <c r="B60" t="inlineStr">
        <is>
          <t>total, £4 11 shilling .75pence.</t>
        </is>
      </c>
      <c r="C60" t="n">
        <v>4.55</v>
      </c>
      <c r="D60" t="n">
        <v>4</v>
      </c>
      <c r="E60" t="n">
        <v>11</v>
      </c>
      <c r="F60" t="n">
        <v>0</v>
      </c>
      <c r="H60" t="n">
        <v>0</v>
      </c>
      <c r="I60" t="n">
        <v>0</v>
      </c>
      <c r="J60" t="n">
        <v>0</v>
      </c>
      <c r="K60" t="n">
        <v>0</v>
      </c>
      <c r="L60" t="n">
        <v>0</v>
      </c>
      <c r="M60" t="n">
        <v>0</v>
      </c>
      <c r="N60" t="n">
        <v>0</v>
      </c>
    </row>
    <row r="61">
      <c r="A61" t="inlineStr">
        <is>
          <t>entry and marriage fines</t>
        </is>
      </c>
      <c r="B61" t="inlineStr">
        <is>
          <t>and for 13 shilling 4pence from tithingpenny at the tourn of martinmas.</t>
        </is>
      </c>
      <c r="C61" t="n">
        <v>0.67</v>
      </c>
      <c r="D61" t="n">
        <v>0</v>
      </c>
      <c r="E61" t="n">
        <v>13</v>
      </c>
      <c r="F61" t="n">
        <v>4</v>
      </c>
      <c r="H61" t="n">
        <v>0</v>
      </c>
      <c r="I61" t="n">
        <v>0</v>
      </c>
      <c r="J61" t="n">
        <v>0</v>
      </c>
      <c r="K61" t="n">
        <v>0</v>
      </c>
      <c r="L61" t="n">
        <v>0</v>
      </c>
      <c r="M61" t="n">
        <v>0</v>
      </c>
      <c r="N61" t="n">
        <v>0</v>
      </c>
    </row>
    <row r="62">
      <c r="A62" t="inlineStr">
        <is>
          <t>entry and marriage fines</t>
        </is>
      </c>
      <c r="B62" t="inlineStr">
        <is>
          <t>13 shilling 4pence from tithingpenny at the tourn of hockday.</t>
        </is>
      </c>
      <c r="C62" t="n">
        <v>0.67</v>
      </c>
      <c r="D62" t="n">
        <v>0</v>
      </c>
      <c r="E62" t="n">
        <v>13</v>
      </c>
      <c r="F62" t="n">
        <v>4</v>
      </c>
      <c r="H62" t="n">
        <v>0</v>
      </c>
      <c r="I62" t="n">
        <v>0</v>
      </c>
      <c r="J62" t="n">
        <v>0</v>
      </c>
      <c r="K62" t="n">
        <v>0</v>
      </c>
      <c r="L62" t="n">
        <v>0</v>
      </c>
      <c r="M62" t="n">
        <v>0</v>
      </c>
      <c r="N62" t="n">
        <v>0</v>
      </c>
    </row>
    <row r="63">
      <c r="A63" t="inlineStr">
        <is>
          <t>entry and marriage fines</t>
        </is>
      </c>
      <c r="B63" t="inlineStr">
        <is>
          <t>3 shilling 4pence from edith pyn for marrying herself outside.</t>
        </is>
      </c>
      <c r="C63" t="n">
        <v>0.17</v>
      </c>
      <c r="D63" t="n">
        <v>0</v>
      </c>
      <c r="E63" t="n">
        <v>3</v>
      </c>
      <c r="F63" t="n">
        <v>4</v>
      </c>
      <c r="H63" t="n">
        <v>0</v>
      </c>
      <c r="I63" t="n">
        <v>0</v>
      </c>
      <c r="J63" t="n">
        <v>0</v>
      </c>
      <c r="K63" t="n">
        <v>0</v>
      </c>
      <c r="L63" t="n">
        <v>0</v>
      </c>
      <c r="M63" t="n">
        <v>0</v>
      </c>
      <c r="N63" t="n">
        <v>0</v>
      </c>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c r="H64" t="n">
        <v>0</v>
      </c>
      <c r="I64" t="n">
        <v>0</v>
      </c>
      <c r="J64" t="n">
        <v>0</v>
      </c>
      <c r="K64" t="n">
        <v>0</v>
      </c>
      <c r="L64" t="n">
        <v>0</v>
      </c>
      <c r="M64" t="n">
        <v>0</v>
      </c>
      <c r="N64" t="n">
        <v>0</v>
      </c>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c r="H65" t="n">
        <v>0</v>
      </c>
      <c r="I65" t="n">
        <v>0</v>
      </c>
      <c r="J65" t="n">
        <v>0</v>
      </c>
      <c r="K65" t="n">
        <v>0</v>
      </c>
      <c r="L65" t="n">
        <v>0</v>
      </c>
      <c r="M65" t="n">
        <v>0</v>
      </c>
      <c r="N65" t="n">
        <v>0</v>
      </c>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c r="H66" t="n">
        <v>0</v>
      </c>
      <c r="I66" t="n">
        <v>0</v>
      </c>
      <c r="J66" t="n">
        <v>0</v>
      </c>
      <c r="K66" t="n">
        <v>0</v>
      </c>
      <c r="L66" t="n">
        <v>0</v>
      </c>
      <c r="M66" t="n">
        <v>0</v>
      </c>
      <c r="N66" t="n">
        <v>0</v>
      </c>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c r="G67" t="inlineStr">
        <is>
          <t>rye</t>
        </is>
      </c>
      <c r="H67" t="n">
        <v>0</v>
      </c>
      <c r="I67" t="n">
        <v>0</v>
      </c>
      <c r="J67" t="n">
        <v>0</v>
      </c>
      <c r="K67" t="n">
        <v>0</v>
      </c>
      <c r="L67" t="n">
        <v>0</v>
      </c>
      <c r="M67" t="n">
        <v>0</v>
      </c>
      <c r="N67" t="n">
        <v>0</v>
      </c>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c r="H68" t="n">
        <v>0</v>
      </c>
      <c r="I68" t="n">
        <v>0</v>
      </c>
      <c r="J68" t="n">
        <v>0</v>
      </c>
      <c r="K68" t="n">
        <v>0</v>
      </c>
      <c r="L68" t="n">
        <v>0</v>
      </c>
      <c r="M68" t="n">
        <v>0</v>
      </c>
      <c r="N68" t="n">
        <v>0</v>
      </c>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c r="H69" t="n">
        <v>0</v>
      </c>
      <c r="I69" t="n">
        <v>0</v>
      </c>
      <c r="J69" t="n">
        <v>0</v>
      </c>
      <c r="K69" t="n">
        <v>0</v>
      </c>
      <c r="L69" t="n">
        <v>0</v>
      </c>
      <c r="M69" t="n">
        <v>0</v>
      </c>
      <c r="N69" t="n">
        <v>0</v>
      </c>
    </row>
    <row r="70">
      <c r="A70" t="inlineStr">
        <is>
          <t>entry and marriage fines</t>
        </is>
      </c>
      <c r="B70" t="inlineStr">
        <is>
          <t>total, £3..</t>
        </is>
      </c>
      <c r="C70" t="n">
        <v>3</v>
      </c>
      <c r="D70" t="n">
        <v>3</v>
      </c>
      <c r="E70" t="n">
        <v>0</v>
      </c>
      <c r="F70" t="n">
        <v>0</v>
      </c>
      <c r="H70" t="n">
        <v>0</v>
      </c>
      <c r="I70" t="n">
        <v>0</v>
      </c>
      <c r="J70" t="n">
        <v>0</v>
      </c>
      <c r="K70" t="n">
        <v>0</v>
      </c>
      <c r="L70" t="n">
        <v>0</v>
      </c>
      <c r="M70" t="n">
        <v>0</v>
      </c>
      <c r="N70" t="n">
        <v>0</v>
      </c>
    </row>
    <row r="71">
      <c r="A71" t="inlineStr">
        <is>
          <t>perquisites</t>
        </is>
      </c>
      <c r="B71" t="inlineStr">
        <is>
          <t>and for 17 shilling 7pence from the perquisites of the tourn of martinmas (11 november).</t>
        </is>
      </c>
      <c r="C71" t="n">
        <v>0.88</v>
      </c>
      <c r="D71" t="n">
        <v>0</v>
      </c>
      <c r="E71" t="n">
        <v>17</v>
      </c>
      <c r="F71" t="n">
        <v>7</v>
      </c>
      <c r="H71" t="n">
        <v>0</v>
      </c>
      <c r="I71" t="n">
        <v>0</v>
      </c>
      <c r="J71" t="n">
        <v>0</v>
      </c>
      <c r="K71" t="n">
        <v>0</v>
      </c>
      <c r="L71" t="n">
        <v>0</v>
      </c>
      <c r="M71" t="n">
        <v>0</v>
      </c>
      <c r="N71" t="n">
        <v>0</v>
      </c>
    </row>
    <row r="72">
      <c r="A72" t="inlineStr">
        <is>
          <t>perquisites</t>
        </is>
      </c>
      <c r="B72" t="inlineStr">
        <is>
          <t>9 shilling 4pence from the perquisites of the courts held after the said tourn.</t>
        </is>
      </c>
      <c r="C72" t="n">
        <v>0.47</v>
      </c>
      <c r="D72" t="n">
        <v>0</v>
      </c>
      <c r="E72" t="n">
        <v>9</v>
      </c>
      <c r="F72" t="n">
        <v>4</v>
      </c>
      <c r="H72" t="n">
        <v>0</v>
      </c>
      <c r="I72" t="n">
        <v>0</v>
      </c>
      <c r="J72" t="n">
        <v>0</v>
      </c>
      <c r="K72" t="n">
        <v>0</v>
      </c>
      <c r="L72" t="n">
        <v>0</v>
      </c>
      <c r="M72" t="n">
        <v>0</v>
      </c>
      <c r="N72" t="n">
        <v>0</v>
      </c>
    </row>
    <row r="73">
      <c r="A73" t="inlineStr">
        <is>
          <t>perquisites</t>
        </is>
      </c>
      <c r="B73" t="inlineStr">
        <is>
          <t>16 shilling id. from the perquisites of the tourn of hockday (1 april).</t>
        </is>
      </c>
      <c r="C73" t="n">
        <v>0.8</v>
      </c>
      <c r="D73" t="n">
        <v>0</v>
      </c>
      <c r="E73" t="n">
        <v>16</v>
      </c>
      <c r="F73" t="n">
        <v>0</v>
      </c>
      <c r="H73" t="n">
        <v>0</v>
      </c>
      <c r="I73" t="n">
        <v>0</v>
      </c>
      <c r="J73" t="n">
        <v>0</v>
      </c>
      <c r="K73" t="n">
        <v>0</v>
      </c>
      <c r="L73" t="n">
        <v>0</v>
      </c>
      <c r="M73" t="n">
        <v>0</v>
      </c>
      <c r="N73" t="n">
        <v>0</v>
      </c>
    </row>
    <row r="74">
      <c r="A74" t="inlineStr">
        <is>
          <t>perquisites</t>
        </is>
      </c>
      <c r="B74" t="inlineStr">
        <is>
          <t>14 shilling 1pence from the perquisites of the courts held after the said tourn.</t>
        </is>
      </c>
      <c r="C74" t="n">
        <v>0.7</v>
      </c>
      <c r="D74" t="n">
        <v>0</v>
      </c>
      <c r="E74" t="n">
        <v>14</v>
      </c>
      <c r="F74" t="n">
        <v>1</v>
      </c>
      <c r="H74" t="n">
        <v>0</v>
      </c>
      <c r="I74" t="n">
        <v>0</v>
      </c>
      <c r="J74" t="n">
        <v>0</v>
      </c>
      <c r="K74" t="n">
        <v>0</v>
      </c>
      <c r="L74" t="n">
        <v>0</v>
      </c>
      <c r="M74" t="n">
        <v>0</v>
      </c>
      <c r="N74" t="n">
        <v>0</v>
      </c>
    </row>
    <row r="75">
      <c r="A75" t="inlineStr">
        <is>
          <t>perquisites</t>
        </is>
      </c>
      <c r="B75" t="inlineStr">
        <is>
          <t>total, £2 16 shilling 1pence.</t>
        </is>
      </c>
      <c r="C75" t="n">
        <v>2.8</v>
      </c>
      <c r="D75" t="n">
        <v>2</v>
      </c>
      <c r="E75" t="n">
        <v>16</v>
      </c>
      <c r="F75" t="n">
        <v>1</v>
      </c>
      <c r="H75" t="n">
        <v>0</v>
      </c>
      <c r="I75" t="n">
        <v>0</v>
      </c>
      <c r="J75" t="n">
        <v>0</v>
      </c>
      <c r="K75" t="n">
        <v>0</v>
      </c>
      <c r="L75" t="n">
        <v>0</v>
      </c>
      <c r="M75" t="n">
        <v>0</v>
      </c>
      <c r="N75" t="n">
        <v>0</v>
      </c>
    </row>
    <row r="76">
      <c r="A76" t="inlineStr">
        <is>
          <t>sales at the audit</t>
        </is>
      </c>
      <c r="B76" t="inlineStr">
        <is>
          <t>and for £1 1 shilling 8pence from various sales at the audit as made clear elsewhere.</t>
        </is>
      </c>
      <c r="C76" t="n">
        <v>1.08</v>
      </c>
      <c r="D76" t="n">
        <v>1</v>
      </c>
      <c r="E76" t="n">
        <v>1</v>
      </c>
      <c r="F76" t="n">
        <v>8</v>
      </c>
      <c r="H76" t="n">
        <v>0</v>
      </c>
      <c r="I76" t="n">
        <v>0</v>
      </c>
      <c r="J76" t="n">
        <v>0</v>
      </c>
      <c r="K76" t="n">
        <v>0</v>
      </c>
      <c r="L76" t="n">
        <v>0</v>
      </c>
      <c r="M76" t="n">
        <v>0</v>
      </c>
      <c r="N76" t="n">
        <v>0</v>
      </c>
    </row>
    <row r="77">
      <c r="A77" t="inlineStr">
        <is>
          <t>sales at the audit</t>
        </is>
      </c>
      <c r="B77" t="inlineStr">
        <is>
          <t>total, £1 1 shilling 8pence.</t>
        </is>
      </c>
      <c r="C77" t="n">
        <v>1.08</v>
      </c>
      <c r="D77" t="n">
        <v>1</v>
      </c>
      <c r="E77" t="n">
        <v>1</v>
      </c>
      <c r="F77" t="n">
        <v>8</v>
      </c>
      <c r="H77" t="n">
        <v>0</v>
      </c>
      <c r="I77" t="n">
        <v>0</v>
      </c>
      <c r="J77" t="n">
        <v>0</v>
      </c>
      <c r="K77" t="n">
        <v>0</v>
      </c>
      <c r="L77" t="n">
        <v>0</v>
      </c>
      <c r="M77" t="n">
        <v>0</v>
      </c>
      <c r="N77" t="n">
        <v>0</v>
      </c>
    </row>
    <row r="78">
      <c r="A78" t="inlineStr">
        <is>
          <t>total of all receipts with arrears</t>
        </is>
      </c>
      <c r="B78" t="inlineStr">
        <is>
          <t>total of all receipts with arrears, £91 12 shilling 4.5pence.</t>
        </is>
      </c>
      <c r="C78" t="n">
        <v>91.62</v>
      </c>
      <c r="D78" t="n">
        <v>91</v>
      </c>
      <c r="E78" t="n">
        <v>12</v>
      </c>
      <c r="F78" t="n">
        <v>4.5</v>
      </c>
      <c r="H78" t="n">
        <v>0</v>
      </c>
      <c r="I78" t="n">
        <v>0</v>
      </c>
      <c r="J78" t="n">
        <v>0</v>
      </c>
      <c r="K78" t="n">
        <v>0</v>
      </c>
      <c r="L78" t="n">
        <v>0</v>
      </c>
      <c r="M78" t="n">
        <v>0</v>
      </c>
      <c r="N78" t="n">
        <v>0</v>
      </c>
    </row>
    <row r="79">
      <c r="A79" t="inlineStr">
        <is>
          <t>purchase of corn and stock</t>
        </is>
      </c>
      <c r="B79" t="inlineStr">
        <is>
          <t>in 1 bushels of wheat bought 1 shilling.</t>
        </is>
      </c>
      <c r="C79" t="n">
        <v>0.05</v>
      </c>
      <c r="D79" t="n">
        <v>0</v>
      </c>
      <c r="E79" t="n">
        <v>1</v>
      </c>
      <c r="F79" t="n">
        <v>0</v>
      </c>
      <c r="G79" t="inlineStr">
        <is>
          <t>wheat</t>
        </is>
      </c>
      <c r="H79" t="n">
        <v>0</v>
      </c>
      <c r="I79" t="n">
        <v>1</v>
      </c>
      <c r="J79" t="n">
        <v>0.12</v>
      </c>
      <c r="K79" t="n">
        <v>0.12</v>
      </c>
      <c r="L79" t="n">
        <v>0</v>
      </c>
      <c r="M79" t="n">
        <v>0</v>
      </c>
      <c r="N79" t="n">
        <v>1</v>
      </c>
    </row>
    <row r="80">
      <c r="A80" t="inlineStr">
        <is>
          <t>purchase of corn and stock</t>
        </is>
      </c>
      <c r="B80" t="inlineStr">
        <is>
          <t>10 quarters 3 bushels of barley bought £3 2 shilling 3pence, at 6 shilling a quarters.</t>
        </is>
      </c>
      <c r="C80" t="n">
        <v>3.11</v>
      </c>
      <c r="D80" t="n">
        <v>3</v>
      </c>
      <c r="E80" t="n">
        <v>2</v>
      </c>
      <c r="F80" t="n">
        <v>3</v>
      </c>
      <c r="G80" t="inlineStr">
        <is>
          <t>barley</t>
        </is>
      </c>
      <c r="H80" t="n">
        <v>10</v>
      </c>
      <c r="I80" t="n">
        <v>3</v>
      </c>
      <c r="J80" t="n">
        <v>10.38</v>
      </c>
      <c r="K80" t="n">
        <v>10.38</v>
      </c>
      <c r="L80" t="n">
        <v>0</v>
      </c>
      <c r="M80" t="n">
        <v>10</v>
      </c>
      <c r="N80" t="n">
        <v>3</v>
      </c>
      <c r="O80" t="n">
        <v>6</v>
      </c>
      <c r="P80" t="n">
        <v>0</v>
      </c>
    </row>
    <row r="81">
      <c r="A81" t="inlineStr">
        <is>
          <t>purchase of corn and stock</t>
        </is>
      </c>
      <c r="B81" t="inlineStr">
        <is>
          <t>2 quarters of oats bought 5 shilling.</t>
        </is>
      </c>
      <c r="C81" t="n">
        <v>0.25</v>
      </c>
      <c r="D81" t="n">
        <v>0</v>
      </c>
      <c r="E81" t="n">
        <v>5</v>
      </c>
      <c r="F81" t="n">
        <v>0</v>
      </c>
      <c r="G81" t="inlineStr">
        <is>
          <t>oats</t>
        </is>
      </c>
      <c r="H81" t="n">
        <v>2</v>
      </c>
      <c r="I81" t="n">
        <v>0</v>
      </c>
      <c r="J81" t="n">
        <v>2</v>
      </c>
      <c r="K81" t="n">
        <v>2</v>
      </c>
      <c r="L81" t="n">
        <v>0</v>
      </c>
      <c r="M81" t="n">
        <v>2</v>
      </c>
      <c r="N81" t="n">
        <v>0</v>
      </c>
    </row>
    <row r="82">
      <c r="A82" t="inlineStr">
        <is>
          <t>purchase of corn and stock</t>
        </is>
      </c>
      <c r="B82" t="inlineStr">
        <is>
          <t>7 cows bought before calving £2 6 shilling 8pence, at 6 shilling 8pence each.</t>
        </is>
      </c>
      <c r="C82" t="n">
        <v>2.33</v>
      </c>
      <c r="D82" t="n">
        <v>2</v>
      </c>
      <c r="E82" t="n">
        <v>6</v>
      </c>
      <c r="F82" t="n">
        <v>8</v>
      </c>
      <c r="H82" t="n">
        <v>0</v>
      </c>
      <c r="I82" t="n">
        <v>0</v>
      </c>
      <c r="J82" t="n">
        <v>0</v>
      </c>
      <c r="K82" t="n">
        <v>0</v>
      </c>
      <c r="L82" t="n">
        <v>0</v>
      </c>
      <c r="M82" t="n">
        <v>0</v>
      </c>
      <c r="N82" t="n">
        <v>0</v>
      </c>
    </row>
    <row r="83">
      <c r="A83" t="inlineStr">
        <is>
          <t>purchase of corn and stock</t>
        </is>
      </c>
      <c r="B83" t="inlineStr">
        <is>
          <t>1 bull bought 6 shilling 8pence.</t>
        </is>
      </c>
      <c r="C83" t="n">
        <v>0.33</v>
      </c>
      <c r="D83" t="n">
        <v>0</v>
      </c>
      <c r="E83" t="n">
        <v>6</v>
      </c>
      <c r="F83" t="n">
        <v>8</v>
      </c>
      <c r="H83" t="n">
        <v>0</v>
      </c>
      <c r="I83" t="n">
        <v>0</v>
      </c>
      <c r="J83" t="n">
        <v>0</v>
      </c>
      <c r="K83" t="n">
        <v>0</v>
      </c>
      <c r="L83" t="n">
        <v>0</v>
      </c>
      <c r="M83" t="n">
        <v>0</v>
      </c>
      <c r="N83" t="n">
        <v>0</v>
      </c>
    </row>
    <row r="84">
      <c r="A84" t="inlineStr">
        <is>
          <t>purchase of corn and stock</t>
        </is>
      </c>
      <c r="B84" t="inlineStr">
        <is>
          <t>total, £6 1 shilling 7pence.</t>
        </is>
      </c>
      <c r="C84" t="n">
        <v>6.08</v>
      </c>
      <c r="D84" t="n">
        <v>6</v>
      </c>
      <c r="E84" t="n">
        <v>1</v>
      </c>
      <c r="F84" t="n">
        <v>7</v>
      </c>
      <c r="H84" t="n">
        <v>0</v>
      </c>
      <c r="I84" t="n">
        <v>0</v>
      </c>
      <c r="J84" t="n">
        <v>0</v>
      </c>
      <c r="K84" t="n">
        <v>0</v>
      </c>
      <c r="L84" t="n">
        <v>0</v>
      </c>
      <c r="M84" t="n">
        <v>0</v>
      </c>
      <c r="N84" t="n">
        <v>0</v>
      </c>
    </row>
    <row r="85">
      <c r="A85" t="inlineStr">
        <is>
          <t>cost of the dairy</t>
        </is>
      </c>
      <c r="B85" t="inlineStr">
        <is>
          <t>in woollen and linen cloth bought for the dairy 1 shilling.</t>
        </is>
      </c>
      <c r="C85" t="n">
        <v>0.05</v>
      </c>
      <c r="D85" t="n">
        <v>0</v>
      </c>
      <c r="E85" t="n">
        <v>1</v>
      </c>
      <c r="F85" t="n">
        <v>0</v>
      </c>
      <c r="H85" t="n">
        <v>0</v>
      </c>
      <c r="I85" t="n">
        <v>0</v>
      </c>
      <c r="J85" t="n">
        <v>0</v>
      </c>
      <c r="K85" t="n">
        <v>0</v>
      </c>
      <c r="L85" t="n">
        <v>0</v>
      </c>
      <c r="M85" t="n">
        <v>0</v>
      </c>
      <c r="N85" t="n">
        <v>0</v>
      </c>
    </row>
    <row r="86">
      <c r="A86" t="inlineStr">
        <is>
          <t>cost of the dairy</t>
        </is>
      </c>
      <c r="B86" t="inlineStr">
        <is>
          <t>clay pots and pans bought for the dairy 10pence.</t>
        </is>
      </c>
      <c r="C86" t="n">
        <v>0.04</v>
      </c>
      <c r="D86" t="n">
        <v>0</v>
      </c>
      <c r="E86" t="n">
        <v>0</v>
      </c>
      <c r="F86" t="n">
        <v>10</v>
      </c>
      <c r="H86" t="n">
        <v>0</v>
      </c>
      <c r="I86" t="n">
        <v>0</v>
      </c>
      <c r="J86" t="n">
        <v>0</v>
      </c>
      <c r="K86" t="n">
        <v>0</v>
      </c>
      <c r="L86" t="n">
        <v>0</v>
      </c>
      <c r="M86" t="n">
        <v>0</v>
      </c>
      <c r="N86" t="n">
        <v>0</v>
      </c>
    </row>
    <row r="87">
      <c r="A87" t="inlineStr">
        <is>
          <t>cost of the dairy</t>
        </is>
      </c>
      <c r="B87" t="inlineStr">
        <is>
          <t>rennet bought 1 shilling.</t>
        </is>
      </c>
      <c r="C87" t="n">
        <v>0.05</v>
      </c>
      <c r="D87" t="n">
        <v>0</v>
      </c>
      <c r="E87" t="n">
        <v>1</v>
      </c>
      <c r="F87" t="n">
        <v>0</v>
      </c>
      <c r="H87" t="n">
        <v>0</v>
      </c>
      <c r="I87" t="n">
        <v>0</v>
      </c>
      <c r="J87" t="n">
        <v>0</v>
      </c>
      <c r="K87" t="n">
        <v>0</v>
      </c>
      <c r="L87" t="n">
        <v>0</v>
      </c>
      <c r="M87" t="n">
        <v>0</v>
      </c>
      <c r="N87" t="n">
        <v>0</v>
      </c>
    </row>
    <row r="88">
      <c r="A88" t="inlineStr">
        <is>
          <t>cost of the dairy</t>
        </is>
      </c>
      <c r="B88" t="inlineStr">
        <is>
          <t>3 bushels of salt bought, both for the dairy and for the pottage of the manorial servants, 1 shilling 6pence.</t>
        </is>
      </c>
      <c r="C88" t="n">
        <v>0.08</v>
      </c>
      <c r="D88" t="n">
        <v>0</v>
      </c>
      <c r="E88" t="n">
        <v>1</v>
      </c>
      <c r="F88" t="n">
        <v>6</v>
      </c>
      <c r="H88" t="n">
        <v>0</v>
      </c>
      <c r="I88" t="n">
        <v>3</v>
      </c>
      <c r="J88" t="n">
        <v>0.38</v>
      </c>
      <c r="K88" t="n">
        <v>0.38</v>
      </c>
      <c r="L88" t="n">
        <v>0</v>
      </c>
      <c r="M88" t="n">
        <v>0</v>
      </c>
      <c r="N88" t="n">
        <v>3</v>
      </c>
    </row>
    <row r="89">
      <c r="A89" t="inlineStr">
        <is>
          <t>cost of the dairy</t>
        </is>
      </c>
      <c r="B89" t="inlineStr">
        <is>
          <t>hooping 2 pails with wooden hoops 2pence.</t>
        </is>
      </c>
      <c r="C89" t="n">
        <v>0.01</v>
      </c>
      <c r="D89" t="n">
        <v>0</v>
      </c>
      <c r="E89" t="n">
        <v>0</v>
      </c>
      <c r="F89" t="n">
        <v>2</v>
      </c>
      <c r="H89" t="n">
        <v>0</v>
      </c>
      <c r="I89" t="n">
        <v>0</v>
      </c>
      <c r="J89" t="n">
        <v>0</v>
      </c>
      <c r="K89" t="n">
        <v>0</v>
      </c>
      <c r="L89" t="n">
        <v>0</v>
      </c>
      <c r="M89" t="n">
        <v>0</v>
      </c>
      <c r="N89" t="n">
        <v>0</v>
      </c>
    </row>
    <row r="90">
      <c r="A90" t="inlineStr">
        <is>
          <t>cost of the dairy</t>
        </is>
      </c>
      <c r="B90" t="inlineStr">
        <is>
          <t>stipend of 1 cowherd for the year 5 shilling.</t>
        </is>
      </c>
      <c r="C90" t="n">
        <v>0.25</v>
      </c>
      <c r="D90" t="n">
        <v>0</v>
      </c>
      <c r="E90" t="n">
        <v>5</v>
      </c>
      <c r="F90" t="n">
        <v>0</v>
      </c>
      <c r="H90" t="n">
        <v>0</v>
      </c>
      <c r="I90" t="n">
        <v>0</v>
      </c>
      <c r="J90" t="n">
        <v>0</v>
      </c>
      <c r="K90" t="n">
        <v>0</v>
      </c>
      <c r="L90" t="n">
        <v>0</v>
      </c>
      <c r="M90" t="n">
        <v>0</v>
      </c>
      <c r="N90" t="n">
        <v>0</v>
      </c>
    </row>
    <row r="91">
      <c r="A91" t="inlineStr">
        <is>
          <t>cost of the dairy</t>
        </is>
      </c>
      <c r="B91" t="inlineStr">
        <is>
          <t>stipend of 1 dairymaid for the year 5 shilling.</t>
        </is>
      </c>
      <c r="C91" t="n">
        <v>0.25</v>
      </c>
      <c r="D91" t="n">
        <v>0</v>
      </c>
      <c r="E91" t="n">
        <v>5</v>
      </c>
      <c r="F91" t="n">
        <v>0</v>
      </c>
      <c r="H91" t="n">
        <v>0</v>
      </c>
      <c r="I91" t="n">
        <v>0</v>
      </c>
      <c r="J91" t="n">
        <v>0</v>
      </c>
      <c r="K91" t="n">
        <v>0</v>
      </c>
      <c r="L91" t="n">
        <v>0</v>
      </c>
      <c r="M91" t="n">
        <v>0</v>
      </c>
      <c r="N91" t="n">
        <v>0</v>
      </c>
    </row>
    <row r="92">
      <c r="A92" t="inlineStr">
        <is>
          <t>cost of the dairy</t>
        </is>
      </c>
      <c r="B92" t="inlineStr">
        <is>
          <t>total, 14 shilling 6pence.</t>
        </is>
      </c>
      <c r="C92" t="n">
        <v>0.72</v>
      </c>
      <c r="D92" t="n">
        <v>0</v>
      </c>
      <c r="E92" t="n">
        <v>14</v>
      </c>
      <c r="F92" t="n">
        <v>6</v>
      </c>
      <c r="H92" t="n">
        <v>0</v>
      </c>
      <c r="I92" t="n">
        <v>0</v>
      </c>
      <c r="J92" t="n">
        <v>0</v>
      </c>
      <c r="K92" t="n">
        <v>0</v>
      </c>
      <c r="L92" t="n">
        <v>0</v>
      </c>
      <c r="M92" t="n">
        <v>0</v>
      </c>
      <c r="N92" t="n">
        <v>0</v>
      </c>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c r="H93" t="n">
        <v>0</v>
      </c>
      <c r="I93" t="n">
        <v>0</v>
      </c>
      <c r="J93" t="n">
        <v>0</v>
      </c>
      <c r="K93" t="n">
        <v>0</v>
      </c>
      <c r="L93" t="n">
        <v>0</v>
      </c>
      <c r="M93" t="n">
        <v>0</v>
      </c>
      <c r="N93" t="n">
        <v>0</v>
      </c>
    </row>
    <row r="94">
      <c r="A94" t="inlineStr">
        <is>
          <t>cost of buildings with necessaries</t>
        </is>
      </c>
      <c r="B94" t="inlineStr">
        <is>
          <t>hiring 3 carters for 3 days to carry timber from the park to the manor for the same 3 shilling.</t>
        </is>
      </c>
      <c r="C94" t="n">
        <v>0.15</v>
      </c>
      <c r="D94" t="n">
        <v>0</v>
      </c>
      <c r="E94" t="n">
        <v>3</v>
      </c>
      <c r="F94" t="n">
        <v>0</v>
      </c>
      <c r="H94" t="n">
        <v>0</v>
      </c>
      <c r="I94" t="n">
        <v>0</v>
      </c>
      <c r="J94" t="n">
        <v>0</v>
      </c>
      <c r="K94" t="n">
        <v>0</v>
      </c>
      <c r="L94" t="n">
        <v>0</v>
      </c>
      <c r="M94" t="n">
        <v>0</v>
      </c>
      <c r="N94" t="n">
        <v>0</v>
      </c>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c r="H95" t="n">
        <v>0</v>
      </c>
      <c r="I95" t="n">
        <v>0</v>
      </c>
      <c r="J95" t="n">
        <v>0</v>
      </c>
      <c r="K95" t="n">
        <v>0</v>
      </c>
      <c r="L95" t="n">
        <v>0</v>
      </c>
      <c r="M95" t="n">
        <v>0</v>
      </c>
      <c r="N95" t="n">
        <v>0</v>
      </c>
    </row>
    <row r="96">
      <c r="A96" t="inlineStr">
        <is>
          <t>cost of buildings with necessaries</t>
        </is>
      </c>
      <c r="B96" t="inlineStr">
        <is>
          <t>nails bought to fasten the beams of the same building 10pence.</t>
        </is>
      </c>
      <c r="C96" t="n">
        <v>0.04</v>
      </c>
      <c r="D96" t="n">
        <v>0</v>
      </c>
      <c r="E96" t="n">
        <v>0</v>
      </c>
      <c r="F96" t="n">
        <v>10</v>
      </c>
      <c r="H96" t="n">
        <v>0</v>
      </c>
      <c r="I96" t="n">
        <v>0</v>
      </c>
      <c r="J96" t="n">
        <v>0</v>
      </c>
      <c r="K96" t="n">
        <v>0</v>
      </c>
      <c r="L96" t="n">
        <v>0</v>
      </c>
      <c r="M96" t="n">
        <v>0</v>
      </c>
      <c r="N96" t="n">
        <v>0</v>
      </c>
    </row>
    <row r="97">
      <c r="A97" t="inlineStr">
        <is>
          <t>cost of buildings with necessaries</t>
        </is>
      </c>
      <c r="B97" t="inlineStr">
        <is>
          <t>stipend of 2 roofers roofing the said building throughout by piece-work £2 10 shilling.</t>
        </is>
      </c>
      <c r="C97" t="n">
        <v>2.5</v>
      </c>
      <c r="D97" t="n">
        <v>2</v>
      </c>
      <c r="E97" t="n">
        <v>10</v>
      </c>
      <c r="F97" t="n">
        <v>0</v>
      </c>
      <c r="H97" t="n">
        <v>0</v>
      </c>
      <c r="I97" t="n">
        <v>0</v>
      </c>
      <c r="J97" t="n">
        <v>0</v>
      </c>
      <c r="K97" t="n">
        <v>0</v>
      </c>
      <c r="L97" t="n">
        <v>0</v>
      </c>
      <c r="M97" t="n">
        <v>0</v>
      </c>
      <c r="N97" t="n">
        <v>0</v>
      </c>
    </row>
    <row r="98">
      <c r="A98" t="inlineStr">
        <is>
          <t>cost of buildings with necessaries</t>
        </is>
      </c>
      <c r="B98" t="inlineStr">
        <is>
          <t>6,000 laths bought £1 10 shilling, at 5 shilling a 1,000..</t>
        </is>
      </c>
      <c r="C98" t="n">
        <v>1.5</v>
      </c>
      <c r="D98" t="n">
        <v>1</v>
      </c>
      <c r="E98" t="n">
        <v>10</v>
      </c>
      <c r="F98" t="n">
        <v>0</v>
      </c>
      <c r="H98" t="n">
        <v>0</v>
      </c>
      <c r="I98" t="n">
        <v>0</v>
      </c>
      <c r="J98" t="n">
        <v>0</v>
      </c>
      <c r="K98" t="n">
        <v>0</v>
      </c>
      <c r="L98" t="n">
        <v>0</v>
      </c>
      <c r="M98" t="n">
        <v>0</v>
      </c>
      <c r="N98" t="n">
        <v>0</v>
      </c>
    </row>
    <row r="99">
      <c r="A99" t="inlineStr">
        <is>
          <t>cost of buildings with necessaries</t>
        </is>
      </c>
      <c r="B99" t="inlineStr">
        <is>
          <t>carrying the same from southampton to the manor 3 shilling.</t>
        </is>
      </c>
      <c r="C99" t="n">
        <v>0.15</v>
      </c>
      <c r="D99" t="n">
        <v>0</v>
      </c>
      <c r="E99" t="n">
        <v>3</v>
      </c>
      <c r="F99" t="n">
        <v>0</v>
      </c>
      <c r="H99" t="n">
        <v>0</v>
      </c>
      <c r="I99" t="n">
        <v>0</v>
      </c>
      <c r="J99" t="n">
        <v>0</v>
      </c>
      <c r="K99" t="n">
        <v>0</v>
      </c>
      <c r="L99" t="n">
        <v>0</v>
      </c>
      <c r="M99" t="n">
        <v>0</v>
      </c>
      <c r="N99" t="n">
        <v>0</v>
      </c>
    </row>
    <row r="100">
      <c r="A100" t="inlineStr">
        <is>
          <t>cost of buildings with necessaries</t>
        </is>
      </c>
      <c r="B100" t="inlineStr">
        <is>
          <t>22,000 lath-nails bought for the same £12 shilling, at 1 shilling a 1,000..</t>
        </is>
      </c>
      <c r="C100" t="n">
        <v>12</v>
      </c>
      <c r="D100" t="n">
        <v>12</v>
      </c>
      <c r="E100" t="n">
        <v>0</v>
      </c>
      <c r="F100" t="n">
        <v>0</v>
      </c>
      <c r="H100" t="n">
        <v>0</v>
      </c>
      <c r="I100" t="n">
        <v>0</v>
      </c>
      <c r="J100" t="n">
        <v>0</v>
      </c>
      <c r="K100" t="n">
        <v>0</v>
      </c>
      <c r="L100" t="n">
        <v>0</v>
      </c>
      <c r="M100" t="n">
        <v>0</v>
      </c>
      <c r="N100" t="n">
        <v>0</v>
      </c>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c r="H101" t="n">
        <v>0</v>
      </c>
      <c r="I101" t="n">
        <v>0</v>
      </c>
      <c r="J101" t="n">
        <v>0</v>
      </c>
      <c r="K101" t="n">
        <v>0</v>
      </c>
      <c r="L101" t="n">
        <v>0</v>
      </c>
      <c r="M101" t="n">
        <v>0</v>
      </c>
      <c r="N101" t="n">
        <v>0</v>
      </c>
    </row>
    <row r="102">
      <c r="A102" t="inlineStr">
        <is>
          <t>cost of buildings with necessaries</t>
        </is>
      </c>
      <c r="B102" t="inlineStr">
        <is>
          <t>28,000 slates bought £4 13 shilling 4pence, at 3 shilling 4pence a 1,000..</t>
        </is>
      </c>
      <c r="C102" t="n">
        <v>4.67</v>
      </c>
      <c r="D102" t="n">
        <v>4</v>
      </c>
      <c r="E102" t="n">
        <v>13</v>
      </c>
      <c r="F102" t="n">
        <v>4</v>
      </c>
      <c r="H102" t="n">
        <v>0</v>
      </c>
      <c r="I102" t="n">
        <v>0</v>
      </c>
      <c r="J102" t="n">
        <v>0</v>
      </c>
      <c r="K102" t="n">
        <v>0</v>
      </c>
      <c r="L102" t="n">
        <v>0</v>
      </c>
      <c r="M102" t="n">
        <v>0</v>
      </c>
      <c r="N102" t="n">
        <v>0</v>
      </c>
    </row>
    <row r="103">
      <c r="A103" t="inlineStr">
        <is>
          <t>cost of buildings with necessaries</t>
        </is>
      </c>
      <c r="B103" t="inlineStr">
        <is>
          <t>carrying the same from southampton to the manor by sea 12 shilling.</t>
        </is>
      </c>
      <c r="C103" t="n">
        <v>0.6</v>
      </c>
      <c r="D103" t="n">
        <v>0</v>
      </c>
      <c r="E103" t="n">
        <v>12</v>
      </c>
      <c r="F103" t="n">
        <v>0</v>
      </c>
      <c r="H103" t="n">
        <v>0</v>
      </c>
      <c r="I103" t="n">
        <v>0</v>
      </c>
      <c r="J103" t="n">
        <v>0</v>
      </c>
      <c r="K103" t="n">
        <v>0</v>
      </c>
      <c r="L103" t="n">
        <v>0</v>
      </c>
      <c r="M103" t="n">
        <v>0</v>
      </c>
      <c r="N103" t="n">
        <v>0</v>
      </c>
    </row>
    <row r="104">
      <c r="A104" t="inlineStr">
        <is>
          <t>cost of buildings with necessaries</t>
        </is>
      </c>
      <c r="B104" t="inlineStr">
        <is>
          <t>carrying the same from the sea to the manor 3 shilling 4pence.</t>
        </is>
      </c>
      <c r="C104" t="n">
        <v>0.17</v>
      </c>
      <c r="D104" t="n">
        <v>0</v>
      </c>
      <c r="E104" t="n">
        <v>3</v>
      </c>
      <c r="F104" t="n">
        <v>4</v>
      </c>
      <c r="H104" t="n">
        <v>0</v>
      </c>
      <c r="I104" t="n">
        <v>0</v>
      </c>
      <c r="J104" t="n">
        <v>0</v>
      </c>
      <c r="K104" t="n">
        <v>0</v>
      </c>
      <c r="L104" t="n">
        <v>0</v>
      </c>
      <c r="M104" t="n">
        <v>0</v>
      </c>
      <c r="N104" t="n">
        <v>0</v>
      </c>
    </row>
    <row r="105">
      <c r="A105" t="inlineStr">
        <is>
          <t>cost of buildings with necessaries</t>
        </is>
      </c>
      <c r="B105" t="inlineStr">
        <is>
          <t>7 quarters of limestone bought 14 shilling.</t>
        </is>
      </c>
      <c r="C105" t="n">
        <v>0.7</v>
      </c>
      <c r="D105" t="n">
        <v>0</v>
      </c>
      <c r="E105" t="n">
        <v>14</v>
      </c>
      <c r="F105" t="n">
        <v>0</v>
      </c>
      <c r="H105" t="n">
        <v>7</v>
      </c>
      <c r="I105" t="n">
        <v>0</v>
      </c>
      <c r="J105" t="n">
        <v>7</v>
      </c>
      <c r="K105" t="n">
        <v>7</v>
      </c>
      <c r="L105" t="n">
        <v>0</v>
      </c>
      <c r="M105" t="n">
        <v>7</v>
      </c>
      <c r="N105" t="n">
        <v>0</v>
      </c>
    </row>
    <row r="106">
      <c r="A106" t="inlineStr">
        <is>
          <t>cost of buildings with necessaries</t>
        </is>
      </c>
      <c r="B106" t="inlineStr">
        <is>
          <t>carrying the same from southampton to the manor 1 shilling.</t>
        </is>
      </c>
      <c r="C106" t="n">
        <v>0.05</v>
      </c>
      <c r="D106" t="n">
        <v>0</v>
      </c>
      <c r="E106" t="n">
        <v>1</v>
      </c>
      <c r="F106" t="n">
        <v>0</v>
      </c>
      <c r="H106" t="n">
        <v>0</v>
      </c>
      <c r="I106" t="n">
        <v>0</v>
      </c>
      <c r="J106" t="n">
        <v>0</v>
      </c>
      <c r="K106" t="n">
        <v>0</v>
      </c>
      <c r="L106" t="n">
        <v>0</v>
      </c>
      <c r="M106" t="n">
        <v>0</v>
      </c>
      <c r="N106" t="n">
        <v>0</v>
      </c>
    </row>
    <row r="107">
      <c r="A107" t="inlineStr">
        <is>
          <t>cost of buildings with necessaries</t>
        </is>
      </c>
      <c r="B107" t="inlineStr">
        <is>
          <t>5 wattled hurdles (flakes) bought for making scaffolding 10pence.</t>
        </is>
      </c>
      <c r="C107" t="n">
        <v>0.04</v>
      </c>
      <c r="D107" t="n">
        <v>0</v>
      </c>
      <c r="E107" t="n">
        <v>0</v>
      </c>
      <c r="F107" t="n">
        <v>10</v>
      </c>
      <c r="H107" t="n">
        <v>0</v>
      </c>
      <c r="I107" t="n">
        <v>0</v>
      </c>
      <c r="J107" t="n">
        <v>0</v>
      </c>
      <c r="K107" t="n">
        <v>0</v>
      </c>
      <c r="L107" t="n">
        <v>0</v>
      </c>
      <c r="M107" t="n">
        <v>0</v>
      </c>
      <c r="N107" t="n">
        <v>0</v>
      </c>
    </row>
    <row r="108">
      <c r="A108" t="inlineStr">
        <is>
          <t>cost of buildings with necessaries</t>
        </is>
      </c>
      <c r="B108" t="inlineStr">
        <is>
          <t>18 ridge-tiles bought 1 shilling 6pence.</t>
        </is>
      </c>
      <c r="C108" t="n">
        <v>0.08</v>
      </c>
      <c r="D108" t="n">
        <v>0</v>
      </c>
      <c r="E108" t="n">
        <v>1</v>
      </c>
      <c r="F108" t="n">
        <v>6</v>
      </c>
      <c r="H108" t="n">
        <v>0</v>
      </c>
      <c r="I108" t="n">
        <v>0</v>
      </c>
      <c r="J108" t="n">
        <v>0</v>
      </c>
      <c r="K108" t="n">
        <v>0</v>
      </c>
      <c r="L108" t="n">
        <v>0</v>
      </c>
      <c r="M108" t="n">
        <v>0</v>
      </c>
      <c r="N108" t="n">
        <v>0</v>
      </c>
    </row>
    <row r="109">
      <c r="A109" t="inlineStr">
        <is>
          <t>cost of buildings with necessaries</t>
        </is>
      </c>
      <c r="B109" t="inlineStr">
        <is>
          <t>carrying the same from southampton to the manor for 1 day 6pence.</t>
        </is>
      </c>
      <c r="C109" t="n">
        <v>0.03</v>
      </c>
      <c r="D109" t="n">
        <v>0</v>
      </c>
      <c r="E109" t="n">
        <v>0</v>
      </c>
      <c r="F109" t="n">
        <v>6</v>
      </c>
      <c r="H109" t="n">
        <v>0</v>
      </c>
      <c r="I109" t="n">
        <v>0</v>
      </c>
      <c r="J109" t="n">
        <v>0</v>
      </c>
      <c r="K109" t="n">
        <v>0</v>
      </c>
      <c r="L109" t="n">
        <v>0</v>
      </c>
      <c r="M109" t="n">
        <v>0</v>
      </c>
      <c r="N109" t="n">
        <v>0</v>
      </c>
    </row>
    <row r="110">
      <c r="A110" t="inlineStr">
        <is>
          <t>cost of buildings with necessaries</t>
        </is>
      </c>
      <c r="B110" t="inlineStr">
        <is>
          <t>hiring 1 roofer to roof the barn and kitchen for 24 days 8 shilling, taking 4pence a day.</t>
        </is>
      </c>
      <c r="C110" t="n">
        <v>0.42</v>
      </c>
      <c r="D110" t="n">
        <v>0</v>
      </c>
      <c r="E110" t="n">
        <v>8</v>
      </c>
      <c r="F110" t="n">
        <v>4</v>
      </c>
      <c r="H110" t="n">
        <v>0</v>
      </c>
      <c r="I110" t="n">
        <v>0</v>
      </c>
      <c r="J110" t="n">
        <v>0</v>
      </c>
      <c r="K110" t="n">
        <v>0</v>
      </c>
      <c r="L110" t="n">
        <v>0</v>
      </c>
      <c r="M110" t="n">
        <v>0</v>
      </c>
      <c r="N110" t="n">
        <v>0</v>
      </c>
    </row>
    <row r="111">
      <c r="A111" t="inlineStr">
        <is>
          <t>cost of buildings with necessaries</t>
        </is>
      </c>
      <c r="B111" t="inlineStr">
        <is>
          <t>1 of his mates for the same time 6 shilling, taking 3pence a day.</t>
        </is>
      </c>
      <c r="C111" t="n">
        <v>0.31</v>
      </c>
      <c r="D111" t="n">
        <v>0</v>
      </c>
      <c r="E111" t="n">
        <v>6</v>
      </c>
      <c r="F111" t="n">
        <v>3</v>
      </c>
      <c r="H111" t="n">
        <v>0</v>
      </c>
      <c r="I111" t="n">
        <v>0</v>
      </c>
      <c r="J111" t="n">
        <v>0</v>
      </c>
      <c r="K111" t="n">
        <v>0</v>
      </c>
      <c r="L111" t="n">
        <v>0</v>
      </c>
      <c r="M111" t="n">
        <v>0</v>
      </c>
      <c r="N111" t="n">
        <v>0</v>
      </c>
    </row>
    <row r="112">
      <c r="A112" t="inlineStr">
        <is>
          <t>cost of buildings with necessaries</t>
        </is>
      </c>
      <c r="B112" t="inlineStr">
        <is>
          <t>total, £14 11 shilling 9pence.</t>
        </is>
      </c>
      <c r="C112" t="n">
        <v>14.59</v>
      </c>
      <c r="D112" t="n">
        <v>14</v>
      </c>
      <c r="E112" t="n">
        <v>11</v>
      </c>
      <c r="F112" t="n">
        <v>9</v>
      </c>
      <c r="H112" t="n">
        <v>0</v>
      </c>
      <c r="I112" t="n">
        <v>0</v>
      </c>
      <c r="J112" t="n">
        <v>0</v>
      </c>
      <c r="K112" t="n">
        <v>0</v>
      </c>
      <c r="L112" t="n">
        <v>0</v>
      </c>
      <c r="M112" t="n">
        <v>0</v>
      </c>
      <c r="N112" t="n">
        <v>0</v>
      </c>
    </row>
    <row r="113">
      <c r="A113" t="inlineStr">
        <is>
          <t>cost of the park</t>
        </is>
      </c>
      <c r="B113" t="inlineStr">
        <is>
          <t>in wages of william halle, park-keeper, £3 10pence for the year, taking 2pence a day.</t>
        </is>
      </c>
      <c r="C113" t="n">
        <v>3.04</v>
      </c>
      <c r="D113" t="n">
        <v>3</v>
      </c>
      <c r="E113" t="n">
        <v>0</v>
      </c>
      <c r="F113" t="n">
        <v>10</v>
      </c>
      <c r="H113" t="n">
        <v>0</v>
      </c>
      <c r="I113" t="n">
        <v>0</v>
      </c>
      <c r="J113" t="n">
        <v>0</v>
      </c>
      <c r="K113" t="n">
        <v>0</v>
      </c>
      <c r="L113" t="n">
        <v>0</v>
      </c>
      <c r="M113" t="n">
        <v>0</v>
      </c>
      <c r="N113" t="n">
        <v>0</v>
      </c>
    </row>
    <row r="114">
      <c r="A114" t="inlineStr">
        <is>
          <t>cost of the park</t>
        </is>
      </c>
      <c r="B114" t="inlineStr">
        <is>
          <t>laying 4 furlongs and 8 perches of new hedge around the park £1 1 shilling, at 1.5pence a perch.</t>
        </is>
      </c>
      <c r="C114" t="n">
        <v>1.05</v>
      </c>
      <c r="D114" t="n">
        <v>1</v>
      </c>
      <c r="E114" t="n">
        <v>1</v>
      </c>
      <c r="F114" t="n">
        <v>0</v>
      </c>
      <c r="H114" t="n">
        <v>0</v>
      </c>
      <c r="I114" t="n">
        <v>0</v>
      </c>
      <c r="J114" t="n">
        <v>0</v>
      </c>
      <c r="K114" t="n">
        <v>0</v>
      </c>
      <c r="L114" t="n">
        <v>0</v>
      </c>
      <c r="M114" t="n">
        <v>0</v>
      </c>
      <c r="N114" t="n">
        <v>0</v>
      </c>
    </row>
    <row r="115">
      <c r="A115" t="inlineStr">
        <is>
          <t>cost of the park</t>
        </is>
      </c>
      <c r="B115" t="inlineStr">
        <is>
          <t>i lock and 2 keys bought for fastening the park-gates 8pence.</t>
        </is>
      </c>
      <c r="C115" t="n">
        <v>0.03</v>
      </c>
      <c r="D115" t="n">
        <v>0</v>
      </c>
      <c r="E115" t="n">
        <v>0</v>
      </c>
      <c r="F115" t="n">
        <v>8</v>
      </c>
      <c r="H115" t="n">
        <v>0</v>
      </c>
      <c r="I115" t="n">
        <v>0</v>
      </c>
      <c r="J115" t="n">
        <v>0</v>
      </c>
      <c r="K115" t="n">
        <v>0</v>
      </c>
      <c r="L115" t="n">
        <v>0</v>
      </c>
      <c r="M115" t="n">
        <v>0</v>
      </c>
      <c r="N115" t="n">
        <v>0</v>
      </c>
    </row>
    <row r="116">
      <c r="A116" t="inlineStr">
        <is>
          <t>cost of the park</t>
        </is>
      </c>
      <c r="B116" t="inlineStr">
        <is>
          <t>1 iron goose-foot (gosefot) bought with nails bought for the same 3.5pence.</t>
        </is>
      </c>
      <c r="C116" t="n">
        <v>0.01</v>
      </c>
      <c r="D116" t="n">
        <v>0</v>
      </c>
      <c r="E116" t="n">
        <v>0</v>
      </c>
      <c r="F116" t="n">
        <v>3.5</v>
      </c>
      <c r="H116" t="n">
        <v>0</v>
      </c>
      <c r="I116" t="n">
        <v>0</v>
      </c>
      <c r="J116" t="n">
        <v>0</v>
      </c>
      <c r="K116" t="n">
        <v>0</v>
      </c>
      <c r="L116" t="n">
        <v>0</v>
      </c>
      <c r="M116" t="n">
        <v>0</v>
      </c>
      <c r="N116" t="n">
        <v>0</v>
      </c>
    </row>
    <row r="117">
      <c r="A117" t="inlineStr">
        <is>
          <t>cost of the park</t>
        </is>
      </c>
      <c r="B117" t="inlineStr">
        <is>
          <t>hiring 1 carpenter for 3 days to make and put 1 gate-staple (gatestapul) on the north gate of the park 1 shilling 3pence.</t>
        </is>
      </c>
      <c r="C117" t="n">
        <v>0.06</v>
      </c>
      <c r="D117" t="n">
        <v>0</v>
      </c>
      <c r="E117" t="n">
        <v>1</v>
      </c>
      <c r="F117" t="n">
        <v>3</v>
      </c>
      <c r="H117" t="n">
        <v>0</v>
      </c>
      <c r="I117" t="n">
        <v>0</v>
      </c>
      <c r="J117" t="n">
        <v>0</v>
      </c>
      <c r="K117" t="n">
        <v>0</v>
      </c>
      <c r="L117" t="n">
        <v>0</v>
      </c>
      <c r="M117" t="n">
        <v>0</v>
      </c>
      <c r="N117" t="n">
        <v>0</v>
      </c>
    </row>
    <row r="118">
      <c r="A118" t="inlineStr">
        <is>
          <t>cost of the park</t>
        </is>
      </c>
      <c r="B118" t="inlineStr">
        <is>
          <t>hiring 1 man to saw with the said carpenter for 1 day 4pence.</t>
        </is>
      </c>
      <c r="C118" t="n">
        <v>0.02</v>
      </c>
      <c r="D118" t="n">
        <v>0</v>
      </c>
      <c r="E118" t="n">
        <v>0</v>
      </c>
      <c r="F118" t="n">
        <v>4</v>
      </c>
      <c r="H118" t="n">
        <v>0</v>
      </c>
      <c r="I118" t="n">
        <v>0</v>
      </c>
      <c r="J118" t="n">
        <v>0</v>
      </c>
      <c r="K118" t="n">
        <v>0</v>
      </c>
      <c r="L118" t="n">
        <v>0</v>
      </c>
      <c r="M118" t="n">
        <v>0</v>
      </c>
      <c r="N118" t="n">
        <v>0</v>
      </c>
    </row>
    <row r="119">
      <c r="A119" t="inlineStr">
        <is>
          <t>cost of the park</t>
        </is>
      </c>
      <c r="B119" t="inlineStr">
        <is>
          <t>total, £4 4 shilling 4.5pence.</t>
        </is>
      </c>
      <c r="C119" t="n">
        <v>4.22</v>
      </c>
      <c r="D119" t="n">
        <v>4</v>
      </c>
      <c r="E119" t="n">
        <v>4</v>
      </c>
      <c r="F119" t="n">
        <v>4.5</v>
      </c>
      <c r="H119" t="n">
        <v>0</v>
      </c>
      <c r="I119" t="n">
        <v>0</v>
      </c>
      <c r="J119" t="n">
        <v>0</v>
      </c>
      <c r="K119" t="n">
        <v>0</v>
      </c>
      <c r="L119" t="n">
        <v>0</v>
      </c>
      <c r="M119" t="n">
        <v>0</v>
      </c>
      <c r="N119" t="n">
        <v>0</v>
      </c>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c r="H120" t="n">
        <v>0</v>
      </c>
      <c r="I120" t="n">
        <v>0</v>
      </c>
      <c r="J120" t="n">
        <v>0</v>
      </c>
      <c r="K120" t="n">
        <v>0</v>
      </c>
      <c r="L120" t="n">
        <v>0</v>
      </c>
      <c r="M120" t="n">
        <v>0</v>
      </c>
      <c r="N120" t="n">
        <v>0</v>
      </c>
    </row>
    <row r="121">
      <c r="A121" t="inlineStr">
        <is>
          <t>cost of the mill</t>
        </is>
      </c>
      <c r="B121" t="inlineStr">
        <is>
          <t>stipend of 3 labourers quarrying the said gravel for 6 days 4 shilling 6pence, each of them taking 3pence a day.</t>
        </is>
      </c>
      <c r="C121" t="n">
        <v>0.23</v>
      </c>
      <c r="D121" t="n">
        <v>0</v>
      </c>
      <c r="E121" t="n">
        <v>4</v>
      </c>
      <c r="F121" t="n">
        <v>6</v>
      </c>
      <c r="H121" t="n">
        <v>0</v>
      </c>
      <c r="I121" t="n">
        <v>0</v>
      </c>
      <c r="J121" t="n">
        <v>0</v>
      </c>
      <c r="K121" t="n">
        <v>0</v>
      </c>
      <c r="L121" t="n">
        <v>0</v>
      </c>
      <c r="M121" t="n">
        <v>0</v>
      </c>
      <c r="N121" t="n">
        <v>0</v>
      </c>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c r="H122" t="n">
        <v>0</v>
      </c>
      <c r="I122" t="n">
        <v>0</v>
      </c>
      <c r="J122" t="n">
        <v>0</v>
      </c>
      <c r="K122" t="n">
        <v>0</v>
      </c>
      <c r="L122" t="n">
        <v>0</v>
      </c>
      <c r="M122" t="n">
        <v>0</v>
      </c>
      <c r="N122" t="n">
        <v>0</v>
      </c>
    </row>
    <row r="123">
      <c r="A123" t="inlineStr">
        <is>
          <t>cost of the mill</t>
        </is>
      </c>
      <c r="B123" t="inlineStr">
        <is>
          <t>hiring 1 carter to carry turves and gravel to the same for 6 days 6 shilling.</t>
        </is>
      </c>
      <c r="C123" t="n">
        <v>0.3</v>
      </c>
      <c r="D123" t="n">
        <v>0</v>
      </c>
      <c r="E123" t="n">
        <v>6</v>
      </c>
      <c r="F123" t="n">
        <v>0</v>
      </c>
      <c r="H123" t="n">
        <v>0</v>
      </c>
      <c r="I123" t="n">
        <v>0</v>
      </c>
      <c r="J123" t="n">
        <v>0</v>
      </c>
      <c r="K123" t="n">
        <v>0</v>
      </c>
      <c r="L123" t="n">
        <v>0</v>
      </c>
      <c r="M123" t="n">
        <v>0</v>
      </c>
      <c r="N123" t="n">
        <v>0</v>
      </c>
    </row>
    <row r="124">
      <c r="A124" t="inlineStr">
        <is>
          <t>cost of the mill</t>
        </is>
      </c>
      <c r="B124" t="inlineStr">
        <is>
          <t>stipend of 1 labourer hired to lay the said turves for 6 days 1 shilling 6pence.</t>
        </is>
      </c>
      <c r="C124" t="n">
        <v>0.08</v>
      </c>
      <c r="D124" t="n">
        <v>0</v>
      </c>
      <c r="E124" t="n">
        <v>1</v>
      </c>
      <c r="F124" t="n">
        <v>6</v>
      </c>
      <c r="H124" t="n">
        <v>0</v>
      </c>
      <c r="I124" t="n">
        <v>0</v>
      </c>
      <c r="J124" t="n">
        <v>0</v>
      </c>
      <c r="K124" t="n">
        <v>0</v>
      </c>
      <c r="L124" t="n">
        <v>0</v>
      </c>
      <c r="M124" t="n">
        <v>0</v>
      </c>
      <c r="N124" t="n">
        <v>0</v>
      </c>
    </row>
    <row r="125">
      <c r="A125" t="inlineStr">
        <is>
          <t>cost of the mill</t>
        </is>
      </c>
      <c r="B125" t="inlineStr">
        <is>
          <t>total, £1 13 shilling.</t>
        </is>
      </c>
      <c r="C125" t="n">
        <v>1.65</v>
      </c>
      <c r="D125" t="n">
        <v>1</v>
      </c>
      <c r="E125" t="n">
        <v>13</v>
      </c>
      <c r="F125" t="n">
        <v>0</v>
      </c>
      <c r="H125" t="n">
        <v>0</v>
      </c>
      <c r="I125" t="n">
        <v>0</v>
      </c>
      <c r="J125" t="n">
        <v>0</v>
      </c>
      <c r="K125" t="n">
        <v>0</v>
      </c>
      <c r="L125" t="n">
        <v>0</v>
      </c>
      <c r="M125" t="n">
        <v>0</v>
      </c>
      <c r="N125" t="n">
        <v>0</v>
      </c>
    </row>
    <row r="126">
      <c r="A126" t="inlineStr">
        <is>
          <t>cost of the fish-trap</t>
        </is>
      </c>
      <c r="B126" t="inlineStr">
        <is>
          <t>in hiring 1 carpenter to mend and strengthen the fish-trap for 20 days 8 shilling 4pence, taking 5pence a day.</t>
        </is>
      </c>
      <c r="C126" t="n">
        <v>0.42</v>
      </c>
      <c r="D126" t="n">
        <v>0</v>
      </c>
      <c r="E126" t="n">
        <v>8</v>
      </c>
      <c r="F126" t="n">
        <v>4</v>
      </c>
      <c r="H126" t="n">
        <v>0</v>
      </c>
      <c r="I126" t="n">
        <v>0</v>
      </c>
      <c r="J126" t="n">
        <v>0</v>
      </c>
      <c r="K126" t="n">
        <v>0</v>
      </c>
      <c r="L126" t="n">
        <v>0</v>
      </c>
      <c r="M126" t="n">
        <v>0</v>
      </c>
      <c r="N126" t="n">
        <v>0</v>
      </c>
    </row>
    <row r="127">
      <c r="A127" t="inlineStr">
        <is>
          <t>cost of the fish-trap</t>
        </is>
      </c>
      <c r="B127" t="inlineStr">
        <is>
          <t>stipend of 1 of his mates for the same time 6 shilling 8pence, taking 4pence a day.</t>
        </is>
      </c>
      <c r="C127" t="n">
        <v>0.33</v>
      </c>
      <c r="D127" t="n">
        <v>0</v>
      </c>
      <c r="E127" t="n">
        <v>6</v>
      </c>
      <c r="F127" t="n">
        <v>8</v>
      </c>
      <c r="H127" t="n">
        <v>0</v>
      </c>
      <c r="I127" t="n">
        <v>0</v>
      </c>
      <c r="J127" t="n">
        <v>0</v>
      </c>
      <c r="K127" t="n">
        <v>0</v>
      </c>
      <c r="L127" t="n">
        <v>0</v>
      </c>
      <c r="M127" t="n">
        <v>0</v>
      </c>
      <c r="N127" t="n">
        <v>0</v>
      </c>
    </row>
    <row r="128">
      <c r="A128" t="inlineStr">
        <is>
          <t>cost of the fish-trap</t>
        </is>
      </c>
      <c r="B128" t="inlineStr">
        <is>
          <t>stipend of 2 sawyers sawing boards for the same for 7 days 5 shilling 10pence, both of them taking 5pence a day.</t>
        </is>
      </c>
      <c r="C128" t="n">
        <v>0.29</v>
      </c>
      <c r="D128" t="n">
        <v>0</v>
      </c>
      <c r="E128" t="n">
        <v>5</v>
      </c>
      <c r="F128" t="n">
        <v>10</v>
      </c>
      <c r="H128" t="n">
        <v>0</v>
      </c>
      <c r="I128" t="n">
        <v>0</v>
      </c>
      <c r="J128" t="n">
        <v>0</v>
      </c>
      <c r="K128" t="n">
        <v>0</v>
      </c>
      <c r="L128" t="n">
        <v>0</v>
      </c>
      <c r="M128" t="n">
        <v>0</v>
      </c>
      <c r="N128" t="n">
        <v>0</v>
      </c>
    </row>
    <row r="129">
      <c r="A129" t="inlineStr">
        <is>
          <t>cost of the fish-trap</t>
        </is>
      </c>
      <c r="B129" t="inlineStr">
        <is>
          <t>4 hooks and 4 hinges with large and small nails bought, weighing 84 lb in all, 12 shilling 3pence, at 134pence a lb.</t>
        </is>
      </c>
      <c r="C129" t="n">
        <v>0.61</v>
      </c>
      <c r="D129" t="n">
        <v>0</v>
      </c>
      <c r="E129" t="n">
        <v>12</v>
      </c>
      <c r="F129" t="n">
        <v>3</v>
      </c>
      <c r="H129" t="n">
        <v>0</v>
      </c>
      <c r="I129" t="n">
        <v>0</v>
      </c>
      <c r="J129" t="n">
        <v>0</v>
      </c>
      <c r="K129" t="n">
        <v>0</v>
      </c>
      <c r="L129" t="n">
        <v>0</v>
      </c>
      <c r="M129" t="n">
        <v>0</v>
      </c>
      <c r="N129" t="n">
        <v>0</v>
      </c>
    </row>
    <row r="130">
      <c r="A130" t="inlineStr">
        <is>
          <t>cost of the fish-trap</t>
        </is>
      </c>
      <c r="B130" t="inlineStr">
        <is>
          <t>4 locks bought for the same with keys 1 shilling 6pence.</t>
        </is>
      </c>
      <c r="C130" t="n">
        <v>0.08</v>
      </c>
      <c r="D130" t="n">
        <v>0</v>
      </c>
      <c r="E130" t="n">
        <v>1</v>
      </c>
      <c r="F130" t="n">
        <v>6</v>
      </c>
      <c r="H130" t="n">
        <v>0</v>
      </c>
      <c r="I130" t="n">
        <v>0</v>
      </c>
      <c r="J130" t="n">
        <v>0</v>
      </c>
      <c r="K130" t="n">
        <v>0</v>
      </c>
      <c r="L130" t="n">
        <v>0</v>
      </c>
      <c r="M130" t="n">
        <v>0</v>
      </c>
      <c r="N130" t="n">
        <v>0</v>
      </c>
    </row>
    <row r="131">
      <c r="A131" t="inlineStr">
        <is>
          <t>cost of the fish-trap</t>
        </is>
      </c>
      <c r="B131" t="inlineStr">
        <is>
          <t>carrying timber to the same 2 shilling.</t>
        </is>
      </c>
      <c r="C131" t="n">
        <v>0.1</v>
      </c>
      <c r="D131" t="n">
        <v>0</v>
      </c>
      <c r="E131" t="n">
        <v>2</v>
      </c>
      <c r="F131" t="n">
        <v>0</v>
      </c>
      <c r="H131" t="n">
        <v>0</v>
      </c>
      <c r="I131" t="n">
        <v>0</v>
      </c>
      <c r="J131" t="n">
        <v>0</v>
      </c>
      <c r="K131" t="n">
        <v>0</v>
      </c>
      <c r="L131" t="n">
        <v>0</v>
      </c>
      <c r="M131" t="n">
        <v>0</v>
      </c>
      <c r="N131" t="n">
        <v>0</v>
      </c>
    </row>
    <row r="132">
      <c r="A132" t="inlineStr">
        <is>
          <t>cost of the fish-trap</t>
        </is>
      </c>
      <c r="B132" t="inlineStr">
        <is>
          <t>stipend of 1 man hired to load the carts with the said timber fdr 2 days 6pence.</t>
        </is>
      </c>
      <c r="C132" t="n">
        <v>0.03</v>
      </c>
      <c r="D132" t="n">
        <v>0</v>
      </c>
      <c r="E132" t="n">
        <v>0</v>
      </c>
      <c r="F132" t="n">
        <v>6</v>
      </c>
      <c r="H132" t="n">
        <v>0</v>
      </c>
      <c r="I132" t="n">
        <v>0</v>
      </c>
      <c r="J132" t="n">
        <v>0</v>
      </c>
      <c r="K132" t="n">
        <v>0</v>
      </c>
      <c r="L132" t="n">
        <v>0</v>
      </c>
      <c r="M132" t="n">
        <v>0</v>
      </c>
      <c r="N132" t="n">
        <v>0</v>
      </c>
    </row>
    <row r="133">
      <c r="A133" t="inlineStr">
        <is>
          <t>cost of the fish-trap</t>
        </is>
      </c>
      <c r="B133" t="inlineStr">
        <is>
          <t>hiring 1 man for 3 days to quarry gravel for ramming the said fish-trap 9pence.</t>
        </is>
      </c>
      <c r="C133" t="n">
        <v>0.04</v>
      </c>
      <c r="D133" t="n">
        <v>0</v>
      </c>
      <c r="E133" t="n">
        <v>0</v>
      </c>
      <c r="F133" t="n">
        <v>9</v>
      </c>
      <c r="H133" t="n">
        <v>0</v>
      </c>
      <c r="I133" t="n">
        <v>0</v>
      </c>
      <c r="J133" t="n">
        <v>0</v>
      </c>
      <c r="K133" t="n">
        <v>0</v>
      </c>
      <c r="L133" t="n">
        <v>0</v>
      </c>
      <c r="M133" t="n">
        <v>0</v>
      </c>
      <c r="N133" t="n">
        <v>0</v>
      </c>
    </row>
    <row r="134">
      <c r="A134" t="inlineStr">
        <is>
          <t>cost of the fish-trap</t>
        </is>
      </c>
      <c r="B134" t="inlineStr">
        <is>
          <t>hiring 1 carter to carry the said gravel for 3 days 3 shilling.</t>
        </is>
      </c>
      <c r="C134" t="n">
        <v>0.15</v>
      </c>
      <c r="D134" t="n">
        <v>0</v>
      </c>
      <c r="E134" t="n">
        <v>3</v>
      </c>
      <c r="F134" t="n">
        <v>0</v>
      </c>
      <c r="H134" t="n">
        <v>0</v>
      </c>
      <c r="I134" t="n">
        <v>0</v>
      </c>
      <c r="J134" t="n">
        <v>0</v>
      </c>
      <c r="K134" t="n">
        <v>0</v>
      </c>
      <c r="L134" t="n">
        <v>0</v>
      </c>
      <c r="M134" t="n">
        <v>0</v>
      </c>
      <c r="N134" t="n">
        <v>0</v>
      </c>
    </row>
    <row r="135">
      <c r="A135" t="inlineStr">
        <is>
          <t>cost of the fish-trap</t>
        </is>
      </c>
      <c r="B135" t="inlineStr">
        <is>
          <t>hiring 2 labourers to carry stones called rags (ragge3) to the fish-trap 1 shilling.</t>
        </is>
      </c>
      <c r="C135" t="n">
        <v>0.05</v>
      </c>
      <c r="D135" t="n">
        <v>0</v>
      </c>
      <c r="E135" t="n">
        <v>1</v>
      </c>
      <c r="F135" t="n">
        <v>0</v>
      </c>
      <c r="H135" t="n">
        <v>0</v>
      </c>
      <c r="I135" t="n">
        <v>0</v>
      </c>
      <c r="J135" t="n">
        <v>0</v>
      </c>
      <c r="K135" t="n">
        <v>0</v>
      </c>
      <c r="L135" t="n">
        <v>0</v>
      </c>
      <c r="M135" t="n">
        <v>0</v>
      </c>
      <c r="N135" t="n">
        <v>0</v>
      </c>
    </row>
    <row r="136">
      <c r="A136" t="inlineStr">
        <is>
          <t>cost of the fish-trap</t>
        </is>
      </c>
      <c r="B136" t="inlineStr">
        <is>
          <t>total, £2 4 shilling 10pence.</t>
        </is>
      </c>
      <c r="C136" t="n">
        <v>2.24</v>
      </c>
      <c r="D136" t="n">
        <v>2</v>
      </c>
      <c r="E136" t="n">
        <v>4</v>
      </c>
      <c r="F136" t="n">
        <v>10</v>
      </c>
      <c r="H136" t="n">
        <v>0</v>
      </c>
      <c r="I136" t="n">
        <v>0</v>
      </c>
      <c r="J136" t="n">
        <v>0</v>
      </c>
      <c r="K136" t="n">
        <v>0</v>
      </c>
      <c r="L136" t="n">
        <v>0</v>
      </c>
      <c r="M136" t="n">
        <v>0</v>
      </c>
      <c r="N136" t="n">
        <v>0</v>
      </c>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c r="H137" t="n">
        <v>0</v>
      </c>
      <c r="I137" t="n">
        <v>0</v>
      </c>
      <c r="J137" t="n">
        <v>0</v>
      </c>
      <c r="K137" t="n">
        <v>0</v>
      </c>
      <c r="L137" t="n">
        <v>0</v>
      </c>
      <c r="M137" t="n">
        <v>0</v>
      </c>
      <c r="N137" t="n">
        <v>0</v>
      </c>
    </row>
    <row r="138">
      <c r="A138" t="inlineStr">
        <is>
          <t>mowing the meadows</t>
        </is>
      </c>
      <c r="B138" t="inlineStr">
        <is>
          <t>making the hay of the same, nothing, because it was done by the customary tenants.</t>
        </is>
      </c>
      <c r="C138" t="n">
        <v>0</v>
      </c>
      <c r="D138" t="n">
        <v>0</v>
      </c>
      <c r="E138" t="n">
        <v>0</v>
      </c>
      <c r="F138" t="n">
        <v>0</v>
      </c>
      <c r="H138" t="n">
        <v>0</v>
      </c>
      <c r="I138" t="n">
        <v>0</v>
      </c>
      <c r="J138" t="n">
        <v>0</v>
      </c>
      <c r="K138" t="n">
        <v>0</v>
      </c>
      <c r="L138" t="n">
        <v>0</v>
      </c>
      <c r="M138" t="n">
        <v>0</v>
      </c>
      <c r="N138" t="n">
        <v>0</v>
      </c>
    </row>
    <row r="139">
      <c r="A139" t="inlineStr">
        <is>
          <t>mowing the meadows</t>
        </is>
      </c>
      <c r="B139" t="inlineStr">
        <is>
          <t>carrying the said hay to the manor by hiring 1 carter 1 shilling.</t>
        </is>
      </c>
      <c r="C139" t="n">
        <v>0.05</v>
      </c>
      <c r="D139" t="n">
        <v>0</v>
      </c>
      <c r="E139" t="n">
        <v>1</v>
      </c>
      <c r="F139" t="n">
        <v>0</v>
      </c>
      <c r="H139" t="n">
        <v>0</v>
      </c>
      <c r="I139" t="n">
        <v>0</v>
      </c>
      <c r="J139" t="n">
        <v>0</v>
      </c>
      <c r="K139" t="n">
        <v>0</v>
      </c>
      <c r="L139" t="n">
        <v>0</v>
      </c>
      <c r="M139" t="n">
        <v>0</v>
      </c>
      <c r="N139" t="n">
        <v>0</v>
      </c>
    </row>
    <row r="140">
      <c r="A140" t="inlineStr">
        <is>
          <t>mowing the meadows</t>
        </is>
      </c>
      <c r="B140" t="inlineStr">
        <is>
          <t>total, 2 shilling.</t>
        </is>
      </c>
      <c r="C140" t="n">
        <v>0.1</v>
      </c>
      <c r="D140" t="n">
        <v>0</v>
      </c>
      <c r="E140" t="n">
        <v>2</v>
      </c>
      <c r="F140" t="n">
        <v>0</v>
      </c>
      <c r="H140" t="n">
        <v>0</v>
      </c>
      <c r="I140" t="n">
        <v>0</v>
      </c>
      <c r="J140" t="n">
        <v>0</v>
      </c>
      <c r="K140" t="n">
        <v>0</v>
      </c>
      <c r="L140" t="n">
        <v>0</v>
      </c>
      <c r="M140" t="n">
        <v>0</v>
      </c>
      <c r="N140" t="n">
        <v>0</v>
      </c>
    </row>
    <row r="141">
      <c r="A141" t="inlineStr">
        <is>
          <t>expenses of the steward</t>
        </is>
      </c>
      <c r="B141" t="inlineStr">
        <is>
          <t>in expenses of richard wyot', steward, holding the tourns of martinmas and hockday,.</t>
        </is>
      </c>
      <c r="C141" t="n">
        <v>0</v>
      </c>
      <c r="D141" t="n">
        <v>0</v>
      </c>
      <c r="E141" t="n">
        <v>0</v>
      </c>
      <c r="F141" t="n">
        <v>0</v>
      </c>
      <c r="H141" t="n">
        <v>0</v>
      </c>
      <c r="I141" t="n">
        <v>0</v>
      </c>
      <c r="J141" t="n">
        <v>0</v>
      </c>
      <c r="K141" t="n">
        <v>0</v>
      </c>
      <c r="L141" t="n">
        <v>0</v>
      </c>
      <c r="M141" t="n">
        <v>0</v>
      </c>
      <c r="N141" t="n">
        <v>0</v>
      </c>
    </row>
    <row r="142">
      <c r="A142" t="inlineStr">
        <is>
          <t>expenses of the steward</t>
        </is>
      </c>
      <c r="B142" t="inlineStr">
        <is>
          <t>by 2 bills, 4 shilling 10.5pence.</t>
        </is>
      </c>
      <c r="C142" t="n">
        <v>0.24</v>
      </c>
      <c r="D142" t="n">
        <v>0</v>
      </c>
      <c r="E142" t="n">
        <v>4</v>
      </c>
      <c r="F142" t="n">
        <v>10.5</v>
      </c>
      <c r="H142" t="n">
        <v>0</v>
      </c>
      <c r="I142" t="n">
        <v>0</v>
      </c>
      <c r="J142" t="n">
        <v>0</v>
      </c>
      <c r="K142" t="n">
        <v>0</v>
      </c>
      <c r="L142" t="n">
        <v>0</v>
      </c>
      <c r="M142" t="n">
        <v>0</v>
      </c>
      <c r="N142" t="n">
        <v>0</v>
      </c>
    </row>
    <row r="143">
      <c r="A143" t="inlineStr">
        <is>
          <t>expenses of the steward</t>
        </is>
      </c>
      <c r="B143" t="inlineStr">
        <is>
          <t>total, 4 shilling 10.5pence.</t>
        </is>
      </c>
      <c r="C143" t="n">
        <v>0.24</v>
      </c>
      <c r="D143" t="n">
        <v>0</v>
      </c>
      <c r="E143" t="n">
        <v>4</v>
      </c>
      <c r="F143" t="n">
        <v>10.5</v>
      </c>
      <c r="H143" t="n">
        <v>0</v>
      </c>
      <c r="I143" t="n">
        <v>0</v>
      </c>
      <c r="J143" t="n">
        <v>0</v>
      </c>
      <c r="K143" t="n">
        <v>0</v>
      </c>
      <c r="L143" t="n">
        <v>0</v>
      </c>
      <c r="M143" t="n">
        <v>0</v>
      </c>
      <c r="N143" t="n">
        <v>0</v>
      </c>
    </row>
    <row r="144">
      <c r="A144" t="inlineStr">
        <is>
          <t>wages of the bailiff</t>
        </is>
      </c>
      <c r="B144" t="inlineStr">
        <is>
          <t>in wages of john fromond', bailiff there, in part payment of his wages, £2, and he takes.</t>
        </is>
      </c>
      <c r="C144" t="n">
        <v>2</v>
      </c>
      <c r="D144" t="n">
        <v>2</v>
      </c>
      <c r="E144" t="n">
        <v>0</v>
      </c>
      <c r="F144" t="n">
        <v>0</v>
      </c>
      <c r="H144" t="n">
        <v>0</v>
      </c>
      <c r="I144" t="n">
        <v>0</v>
      </c>
      <c r="J144" t="n">
        <v>0</v>
      </c>
      <c r="K144" t="n">
        <v>0</v>
      </c>
      <c r="L144" t="n">
        <v>0</v>
      </c>
      <c r="M144" t="n">
        <v>0</v>
      </c>
      <c r="N144" t="n">
        <v>0</v>
      </c>
    </row>
    <row r="145">
      <c r="A145" t="inlineStr">
        <is>
          <t>wages of the bailiff</t>
        </is>
      </c>
      <c r="B145" t="inlineStr">
        <is>
          <t>the rest elsewhere.</t>
        </is>
      </c>
      <c r="C145" t="n">
        <v>0</v>
      </c>
      <c r="D145" t="n">
        <v>0</v>
      </c>
      <c r="E145" t="n">
        <v>0</v>
      </c>
      <c r="F145" t="n">
        <v>0</v>
      </c>
      <c r="H145" t="n">
        <v>0</v>
      </c>
      <c r="I145" t="n">
        <v>0</v>
      </c>
      <c r="J145" t="n">
        <v>0</v>
      </c>
      <c r="K145" t="n">
        <v>0</v>
      </c>
      <c r="L145" t="n">
        <v>0</v>
      </c>
      <c r="M145" t="n">
        <v>0</v>
      </c>
      <c r="N145" t="n">
        <v>0</v>
      </c>
    </row>
    <row r="146">
      <c r="A146" t="inlineStr">
        <is>
          <t>wages of the bailiff</t>
        </is>
      </c>
      <c r="B146" t="inlineStr">
        <is>
          <t>total, £2..</t>
        </is>
      </c>
      <c r="C146" t="n">
        <v>2</v>
      </c>
      <c r="D146" t="n">
        <v>2</v>
      </c>
      <c r="E146" t="n">
        <v>0</v>
      </c>
      <c r="F146" t="n">
        <v>0</v>
      </c>
      <c r="H146" t="n">
        <v>0</v>
      </c>
      <c r="I146" t="n">
        <v>0</v>
      </c>
      <c r="J146" t="n">
        <v>0</v>
      </c>
      <c r="K146" t="n">
        <v>0</v>
      </c>
      <c r="L146" t="n">
        <v>0</v>
      </c>
      <c r="M146" t="n">
        <v>0</v>
      </c>
      <c r="N146" t="n">
        <v>0</v>
      </c>
    </row>
    <row r="147">
      <c r="A147" t="inlineStr">
        <is>
          <t>total of all expenses</t>
        </is>
      </c>
      <c r="B147" t="inlineStr">
        <is>
          <t>total of all expenses, £31 16 shilling 11pence.</t>
        </is>
      </c>
      <c r="C147" t="n">
        <v>31.85</v>
      </c>
      <c r="D147" t="n">
        <v>31</v>
      </c>
      <c r="E147" t="n">
        <v>16</v>
      </c>
      <c r="F147" t="n">
        <v>11</v>
      </c>
      <c r="H147" t="n">
        <v>0</v>
      </c>
      <c r="I147" t="n">
        <v>0</v>
      </c>
      <c r="J147" t="n">
        <v>0</v>
      </c>
      <c r="K147" t="n">
        <v>0</v>
      </c>
      <c r="L147" t="n">
        <v>0</v>
      </c>
      <c r="M147" t="n">
        <v>0</v>
      </c>
      <c r="N147" t="n">
        <v>0</v>
      </c>
    </row>
    <row r="148">
      <c r="A148" t="inlineStr">
        <is>
          <t>and he owes</t>
        </is>
      </c>
      <c r="B148" t="inlineStr">
        <is>
          <t>and he owes, £59 15 shilling 5.5pence.</t>
        </is>
      </c>
      <c r="C148" t="n">
        <v>59.77</v>
      </c>
      <c r="D148" t="n">
        <v>59</v>
      </c>
      <c r="E148" t="n">
        <v>15</v>
      </c>
      <c r="F148" t="n">
        <v>5.5</v>
      </c>
      <c r="H148" t="n">
        <v>0</v>
      </c>
      <c r="I148" t="n">
        <v>0</v>
      </c>
      <c r="J148" t="n">
        <v>0</v>
      </c>
      <c r="K148" t="n">
        <v>0</v>
      </c>
      <c r="L148" t="n">
        <v>0</v>
      </c>
      <c r="M148" t="n">
        <v>0</v>
      </c>
      <c r="N148" t="n">
        <v>0</v>
      </c>
    </row>
    <row r="149">
      <c r="A149" t="inlineStr">
        <is>
          <t>allowances without writ</t>
        </is>
      </c>
      <c r="B149" t="inlineStr">
        <is>
          <t>in allowance to the same for £1 9 shilling 4pence for the foreign expenses of the fishery for the lord's household.</t>
        </is>
      </c>
      <c r="C149" t="n">
        <v>1.47</v>
      </c>
      <c r="D149" t="n">
        <v>1</v>
      </c>
      <c r="E149" t="n">
        <v>9</v>
      </c>
      <c r="F149" t="n">
        <v>4</v>
      </c>
      <c r="H149" t="n">
        <v>0</v>
      </c>
      <c r="I149" t="n">
        <v>0</v>
      </c>
      <c r="J149" t="n">
        <v>0</v>
      </c>
      <c r="K149" t="n">
        <v>0</v>
      </c>
      <c r="L149" t="n">
        <v>0</v>
      </c>
      <c r="M149" t="n">
        <v>0</v>
      </c>
      <c r="N149" t="n">
        <v>0</v>
      </c>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c r="H150" t="n">
        <v>0</v>
      </c>
      <c r="I150" t="n">
        <v>0</v>
      </c>
      <c r="J150" t="n">
        <v>0</v>
      </c>
      <c r="K150" t="n">
        <v>0</v>
      </c>
      <c r="L150" t="n">
        <v>0</v>
      </c>
      <c r="M150" t="n">
        <v>0</v>
      </c>
      <c r="N150" t="n">
        <v>0</v>
      </c>
    </row>
    <row r="151">
      <c r="A151" t="inlineStr">
        <is>
          <t>allowances without writ</t>
        </is>
      </c>
      <c r="B151" t="inlineStr">
        <is>
          <t>total, £4 9 shilling 5.5pence.</t>
        </is>
      </c>
      <c r="C151" t="n">
        <v>4.47</v>
      </c>
      <c r="D151" t="n">
        <v>4</v>
      </c>
      <c r="E151" t="n">
        <v>9</v>
      </c>
      <c r="F151" t="n">
        <v>5.5</v>
      </c>
      <c r="H151" t="n">
        <v>0</v>
      </c>
      <c r="I151" t="n">
        <v>0</v>
      </c>
      <c r="J151" t="n">
        <v>0</v>
      </c>
      <c r="K151" t="n">
        <v>0</v>
      </c>
      <c r="L151" t="n">
        <v>0</v>
      </c>
      <c r="M151" t="n">
        <v>0</v>
      </c>
      <c r="N151" t="n">
        <v>0</v>
      </c>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c r="H152" t="n">
        <v>0</v>
      </c>
      <c r="I152" t="n">
        <v>0</v>
      </c>
      <c r="J152" t="n">
        <v>0</v>
      </c>
      <c r="K152" t="n">
        <v>0</v>
      </c>
      <c r="L152" t="n">
        <v>0</v>
      </c>
      <c r="M152" t="n">
        <v>0</v>
      </c>
      <c r="N152" t="n">
        <v>0</v>
      </c>
    </row>
    <row r="153">
      <c r="A153" t="inlineStr">
        <is>
          <t>allowances by writ</t>
        </is>
      </c>
      <c r="B153" t="inlineStr">
        <is>
          <t>total, £7..</t>
        </is>
      </c>
      <c r="C153" t="n">
        <v>7</v>
      </c>
      <c r="D153" t="n">
        <v>7</v>
      </c>
      <c r="E153" t="n">
        <v>0</v>
      </c>
      <c r="F153" t="n">
        <v>0</v>
      </c>
      <c r="H153" t="n">
        <v>0</v>
      </c>
      <c r="I153" t="n">
        <v>0</v>
      </c>
      <c r="J153" t="n">
        <v>0</v>
      </c>
      <c r="K153" t="n">
        <v>0</v>
      </c>
      <c r="L153" t="n">
        <v>0</v>
      </c>
      <c r="M153" t="n">
        <v>0</v>
      </c>
      <c r="N153" t="n">
        <v>0</v>
      </c>
    </row>
    <row r="154">
      <c r="A154" t="inlineStr">
        <is>
          <t>cash deliveries</t>
        </is>
      </c>
      <c r="B154" t="inlineStr">
        <is>
          <t>delivered to john arnald', receiver of wolvesey, by 1 tally, £37 6 shilling 8pence.</t>
        </is>
      </c>
      <c r="C154" t="n">
        <v>37.33</v>
      </c>
      <c r="D154" t="n">
        <v>37</v>
      </c>
      <c r="E154" t="n">
        <v>6</v>
      </c>
      <c r="F154" t="n">
        <v>8</v>
      </c>
      <c r="H154" t="n">
        <v>0</v>
      </c>
      <c r="I154" t="n">
        <v>0</v>
      </c>
      <c r="J154" t="n">
        <v>0</v>
      </c>
      <c r="K154" t="n">
        <v>0</v>
      </c>
      <c r="L154" t="n">
        <v>0</v>
      </c>
      <c r="M154" t="n">
        <v>0</v>
      </c>
      <c r="N154" t="n">
        <v>0</v>
      </c>
    </row>
    <row r="155">
      <c r="A155" t="inlineStr">
        <is>
          <t>cash deliveries</t>
        </is>
      </c>
      <c r="B155" t="inlineStr">
        <is>
          <t>total, £37 6 shilling 8pence.</t>
        </is>
      </c>
      <c r="C155" t="n">
        <v>37.33</v>
      </c>
      <c r="D155" t="n">
        <v>37</v>
      </c>
      <c r="E155" t="n">
        <v>6</v>
      </c>
      <c r="F155" t="n">
        <v>8</v>
      </c>
      <c r="H155" t="n">
        <v>0</v>
      </c>
      <c r="I155" t="n">
        <v>0</v>
      </c>
      <c r="J155" t="n">
        <v>0</v>
      </c>
      <c r="K155" t="n">
        <v>0</v>
      </c>
      <c r="L155" t="n">
        <v>0</v>
      </c>
      <c r="M155" t="n">
        <v>0</v>
      </c>
      <c r="N155" t="n">
        <v>0</v>
      </c>
    </row>
    <row r="156">
      <c r="A156" t="inlineStr">
        <is>
          <t>total of all allowances and cash deliveries</t>
        </is>
      </c>
      <c r="B156" t="inlineStr">
        <is>
          <t>total of all allowances and cash deliveries, £48 16 shilling 1.5pence.</t>
        </is>
      </c>
      <c r="C156" t="n">
        <v>48.81</v>
      </c>
      <c r="D156" t="n">
        <v>48</v>
      </c>
      <c r="E156" t="n">
        <v>16</v>
      </c>
      <c r="F156" t="n">
        <v>1.5</v>
      </c>
      <c r="H156" t="n">
        <v>0</v>
      </c>
      <c r="I156" t="n">
        <v>0</v>
      </c>
      <c r="J156" t="n">
        <v>0</v>
      </c>
      <c r="K156" t="n">
        <v>0</v>
      </c>
      <c r="L156" t="n">
        <v>0</v>
      </c>
      <c r="M156" t="n">
        <v>0</v>
      </c>
      <c r="N156" t="n">
        <v>0</v>
      </c>
    </row>
    <row r="157">
      <c r="A157" t="inlineStr">
        <is>
          <t>and he owes</t>
        </is>
      </c>
      <c r="B157" t="inlineStr">
        <is>
          <t>and he owes clear, £10 19 shilling 4pence, of which £1 19 shilling 4pence is in the hands of the escheator.</t>
        </is>
      </c>
      <c r="C157" t="n">
        <v>10.97</v>
      </c>
      <c r="D157" t="n">
        <v>10</v>
      </c>
      <c r="E157" t="n">
        <v>19</v>
      </c>
      <c r="F157" t="n">
        <v>4</v>
      </c>
      <c r="H157" t="n">
        <v>0</v>
      </c>
      <c r="I157" t="n">
        <v>0</v>
      </c>
      <c r="J157" t="n">
        <v>0</v>
      </c>
      <c r="K157" t="n">
        <v>0</v>
      </c>
      <c r="L157" t="n">
        <v>0</v>
      </c>
      <c r="M157" t="n">
        <v>0</v>
      </c>
      <c r="N157" t="n">
        <v>0</v>
      </c>
    </row>
    <row r="158">
      <c r="A158" t="inlineStr">
        <is>
          <t>wheat</t>
        </is>
      </c>
      <c r="B158" t="inlineStr">
        <is>
          <t>richard palmer', reeve there, answers for 1 bushels of wheat bought..</t>
        </is>
      </c>
      <c r="C158" t="n">
        <v>0</v>
      </c>
      <c r="D158" t="n">
        <v>0</v>
      </c>
      <c r="E158" t="n">
        <v>0</v>
      </c>
      <c r="F158" t="n">
        <v>0</v>
      </c>
      <c r="G158" t="inlineStr">
        <is>
          <t>wheat</t>
        </is>
      </c>
      <c r="H158" t="n">
        <v>0</v>
      </c>
      <c r="I158" t="n">
        <v>1</v>
      </c>
      <c r="J158" t="n">
        <v>0.12</v>
      </c>
      <c r="K158" t="n">
        <v>0.12</v>
      </c>
      <c r="L158" t="n">
        <v>0</v>
      </c>
      <c r="M158" t="n">
        <v>0</v>
      </c>
      <c r="N158" t="n">
        <v>1</v>
      </c>
    </row>
    <row r="159">
      <c r="A159" t="inlineStr">
        <is>
          <t>wheat</t>
        </is>
      </c>
      <c r="B159" t="inlineStr">
        <is>
          <t>total, 1 bushels.</t>
        </is>
      </c>
      <c r="C159" t="n">
        <v>0</v>
      </c>
      <c r="D159" t="n">
        <v>0</v>
      </c>
      <c r="E159" t="n">
        <v>0</v>
      </c>
      <c r="F159" t="n">
        <v>0</v>
      </c>
      <c r="H159" t="n">
        <v>0</v>
      </c>
      <c r="I159" t="n">
        <v>1</v>
      </c>
      <c r="J159" t="n">
        <v>0.12</v>
      </c>
      <c r="K159" t="n">
        <v>0.12</v>
      </c>
      <c r="L159" t="n">
        <v>0</v>
      </c>
      <c r="M159" t="n">
        <v>0</v>
      </c>
      <c r="N159" t="n">
        <v>1</v>
      </c>
    </row>
    <row r="160">
      <c r="A160" t="inlineStr">
        <is>
          <t>wheat</t>
        </is>
      </c>
      <c r="B160" t="inlineStr">
        <is>
          <t>accounted for in provision of the steward holding the tourns of martinmas and hockday by 2 bills.</t>
        </is>
      </c>
      <c r="C160" t="n">
        <v>0</v>
      </c>
      <c r="D160" t="n">
        <v>0</v>
      </c>
      <c r="E160" t="n">
        <v>0</v>
      </c>
      <c r="F160" t="n">
        <v>0</v>
      </c>
      <c r="H160" t="n">
        <v>0</v>
      </c>
      <c r="I160" t="n">
        <v>0</v>
      </c>
      <c r="J160" t="n">
        <v>0</v>
      </c>
      <c r="K160" t="n">
        <v>0</v>
      </c>
      <c r="L160" t="n">
        <v>0</v>
      </c>
      <c r="M160" t="n">
        <v>0</v>
      </c>
      <c r="N160" t="n">
        <v>0</v>
      </c>
    </row>
    <row r="161">
      <c r="A161" t="inlineStr">
        <is>
          <t>wheat</t>
        </is>
      </c>
      <c r="B161" t="inlineStr">
        <is>
          <t>none remains.</t>
        </is>
      </c>
      <c r="C161" t="n">
        <v>0</v>
      </c>
      <c r="D161" t="n">
        <v>0</v>
      </c>
      <c r="E161" t="n">
        <v>0</v>
      </c>
      <c r="F161" t="n">
        <v>0</v>
      </c>
      <c r="H161" t="n">
        <v>0</v>
      </c>
      <c r="I161" t="n">
        <v>0</v>
      </c>
      <c r="J161" t="n">
        <v>0</v>
      </c>
      <c r="K161" t="n">
        <v>0</v>
      </c>
      <c r="L161" t="n">
        <v>0</v>
      </c>
      <c r="M161" t="n">
        <v>0</v>
      </c>
      <c r="N161" t="n">
        <v>0</v>
      </c>
    </row>
    <row r="162">
      <c r="A162" t="inlineStr">
        <is>
          <t>barley</t>
        </is>
      </c>
      <c r="B162" t="inlineStr">
        <is>
          <t>and for 10 quarters 3 bushels of barley bought..</t>
        </is>
      </c>
      <c r="C162" t="n">
        <v>0</v>
      </c>
      <c r="D162" t="n">
        <v>0</v>
      </c>
      <c r="E162" t="n">
        <v>0</v>
      </c>
      <c r="F162" t="n">
        <v>0</v>
      </c>
      <c r="G162" t="inlineStr">
        <is>
          <t>barley</t>
        </is>
      </c>
      <c r="H162" t="n">
        <v>10</v>
      </c>
      <c r="I162" t="n">
        <v>3</v>
      </c>
      <c r="J162" t="n">
        <v>10.38</v>
      </c>
      <c r="K162" t="n">
        <v>10.38</v>
      </c>
      <c r="L162" t="n">
        <v>0</v>
      </c>
      <c r="M162" t="n">
        <v>10</v>
      </c>
      <c r="N162" t="n">
        <v>3</v>
      </c>
    </row>
    <row r="163">
      <c r="A163" t="inlineStr">
        <is>
          <t>barley</t>
        </is>
      </c>
      <c r="B163" t="inlineStr">
        <is>
          <t>total, 10 quarters 22 bushels.</t>
        </is>
      </c>
      <c r="C163" t="n">
        <v>0</v>
      </c>
      <c r="D163" t="n">
        <v>0</v>
      </c>
      <c r="E163" t="n">
        <v>0</v>
      </c>
      <c r="F163" t="n">
        <v>0</v>
      </c>
      <c r="H163" t="n">
        <v>10</v>
      </c>
      <c r="I163" t="n">
        <v>22</v>
      </c>
      <c r="J163" t="n">
        <v>12.75</v>
      </c>
      <c r="K163" t="n">
        <v>12.75</v>
      </c>
      <c r="L163" t="n">
        <v>0</v>
      </c>
      <c r="M163" t="n">
        <v>10</v>
      </c>
      <c r="N163" t="n">
        <v>22</v>
      </c>
    </row>
    <row r="164">
      <c r="A164" t="inlineStr">
        <is>
          <t>barley</t>
        </is>
      </c>
      <c r="B164" t="inlineStr">
        <is>
          <t>all accounted for in liveries of 1 cowherd and 1 dairymaid for the year, both of whom take a quarter every 10 weeks.</t>
        </is>
      </c>
      <c r="C164" t="n">
        <v>0</v>
      </c>
      <c r="D164" t="n">
        <v>0</v>
      </c>
      <c r="E164" t="n">
        <v>0</v>
      </c>
      <c r="F164" t="n">
        <v>0</v>
      </c>
      <c r="H164" t="n">
        <v>0</v>
      </c>
      <c r="I164" t="n">
        <v>0</v>
      </c>
      <c r="J164" t="n">
        <v>0</v>
      </c>
      <c r="K164" t="n">
        <v>0</v>
      </c>
      <c r="L164" t="n">
        <v>0</v>
      </c>
      <c r="M164" t="n">
        <v>0</v>
      </c>
      <c r="N164" t="n">
        <v>0</v>
      </c>
    </row>
    <row r="165">
      <c r="A165" t="inlineStr">
        <is>
          <t>barley</t>
        </is>
      </c>
      <c r="B165" t="inlineStr">
        <is>
          <t>none remains.</t>
        </is>
      </c>
      <c r="C165" t="n">
        <v>0</v>
      </c>
      <c r="D165" t="n">
        <v>0</v>
      </c>
      <c r="E165" t="n">
        <v>0</v>
      </c>
      <c r="F165" t="n">
        <v>0</v>
      </c>
      <c r="H165" t="n">
        <v>0</v>
      </c>
      <c r="I165" t="n">
        <v>0</v>
      </c>
      <c r="J165" t="n">
        <v>0</v>
      </c>
      <c r="K165" t="n">
        <v>0</v>
      </c>
      <c r="L165" t="n">
        <v>0</v>
      </c>
      <c r="M165" t="n">
        <v>0</v>
      </c>
      <c r="N165" t="n">
        <v>0</v>
      </c>
    </row>
    <row r="166">
      <c r="A166" t="inlineStr">
        <is>
          <t>oats</t>
        </is>
      </c>
      <c r="B166" t="inlineStr">
        <is>
          <t>and for 2 quarters of oats bought..</t>
        </is>
      </c>
      <c r="C166" t="n">
        <v>0</v>
      </c>
      <c r="D166" t="n">
        <v>0</v>
      </c>
      <c r="E166" t="n">
        <v>0</v>
      </c>
      <c r="F166" t="n">
        <v>0</v>
      </c>
      <c r="G166" t="inlineStr">
        <is>
          <t>oats</t>
        </is>
      </c>
      <c r="H166" t="n">
        <v>2</v>
      </c>
      <c r="I166" t="n">
        <v>0</v>
      </c>
      <c r="J166" t="n">
        <v>2</v>
      </c>
      <c r="K166" t="n">
        <v>2</v>
      </c>
      <c r="L166" t="n">
        <v>0</v>
      </c>
      <c r="M166" t="n">
        <v>2</v>
      </c>
      <c r="N166" t="n">
        <v>0</v>
      </c>
    </row>
    <row r="167">
      <c r="A167" t="inlineStr">
        <is>
          <t>oats</t>
        </is>
      </c>
      <c r="B167" t="inlineStr">
        <is>
          <t>total, 2 quarters..</t>
        </is>
      </c>
      <c r="C167" t="n">
        <v>0</v>
      </c>
      <c r="D167" t="n">
        <v>0</v>
      </c>
      <c r="E167" t="n">
        <v>0</v>
      </c>
      <c r="F167" t="n">
        <v>0</v>
      </c>
      <c r="H167" t="n">
        <v>2</v>
      </c>
      <c r="I167" t="n">
        <v>0</v>
      </c>
      <c r="J167" t="n">
        <v>2</v>
      </c>
      <c r="K167" t="n">
        <v>2</v>
      </c>
      <c r="L167" t="n">
        <v>0</v>
      </c>
      <c r="M167" t="n">
        <v>2</v>
      </c>
      <c r="N167" t="n">
        <v>0</v>
      </c>
    </row>
    <row r="168">
      <c r="A168" t="inlineStr">
        <is>
          <t>oats</t>
        </is>
      </c>
      <c r="B168" t="inlineStr">
        <is>
          <t>in fodder of the horses of richard wyot, steward, holding the tourns of martinmas and hockday, 1 quarters by 2 bills.</t>
        </is>
      </c>
      <c r="C168" t="n">
        <v>0</v>
      </c>
      <c r="D168" t="n">
        <v>0</v>
      </c>
      <c r="E168" t="n">
        <v>0</v>
      </c>
      <c r="F168" t="n">
        <v>0</v>
      </c>
      <c r="H168" t="n">
        <v>1</v>
      </c>
      <c r="I168" t="n">
        <v>0</v>
      </c>
      <c r="J168" t="n">
        <v>1</v>
      </c>
      <c r="K168" t="n">
        <v>1</v>
      </c>
      <c r="L168" t="n">
        <v>0</v>
      </c>
      <c r="M168" t="n">
        <v>1</v>
      </c>
      <c r="N168" t="n">
        <v>0</v>
      </c>
    </row>
    <row r="169">
      <c r="A169" t="inlineStr">
        <is>
          <t>oats</t>
        </is>
      </c>
      <c r="B169" t="inlineStr">
        <is>
          <t>meal made for the pottage of the manorial servants, 1 quarters.</t>
        </is>
      </c>
      <c r="C169" t="n">
        <v>0</v>
      </c>
      <c r="D169" t="n">
        <v>0</v>
      </c>
      <c r="E169" t="n">
        <v>0</v>
      </c>
      <c r="F169" t="n">
        <v>0</v>
      </c>
      <c r="G169" t="inlineStr">
        <is>
          <t>meal</t>
        </is>
      </c>
      <c r="H169" t="n">
        <v>1</v>
      </c>
      <c r="I169" t="n">
        <v>0</v>
      </c>
      <c r="J169" t="n">
        <v>1</v>
      </c>
      <c r="K169" t="n">
        <v>1</v>
      </c>
      <c r="L169" t="n">
        <v>0</v>
      </c>
      <c r="M169" t="n">
        <v>1</v>
      </c>
      <c r="N169" t="n">
        <v>0</v>
      </c>
    </row>
    <row r="170">
      <c r="A170" t="inlineStr">
        <is>
          <t>oats</t>
        </is>
      </c>
      <c r="B170" t="inlineStr">
        <is>
          <t>total as before.</t>
        </is>
      </c>
      <c r="C170" t="n">
        <v>0</v>
      </c>
      <c r="D170" t="n">
        <v>0</v>
      </c>
      <c r="E170" t="n">
        <v>0</v>
      </c>
      <c r="F170" t="n">
        <v>0</v>
      </c>
      <c r="H170" t="n">
        <v>0</v>
      </c>
      <c r="I170" t="n">
        <v>0</v>
      </c>
      <c r="J170" t="n">
        <v>0</v>
      </c>
      <c r="K170" t="n">
        <v>0</v>
      </c>
      <c r="L170" t="n">
        <v>0</v>
      </c>
      <c r="M170" t="n">
        <v>0</v>
      </c>
      <c r="N170" t="n">
        <v>0</v>
      </c>
    </row>
    <row r="171">
      <c r="A171" t="inlineStr">
        <is>
          <t>oats</t>
        </is>
      </c>
      <c r="B171" t="inlineStr">
        <is>
          <t>it balances.</t>
        </is>
      </c>
      <c r="C171" t="n">
        <v>0</v>
      </c>
      <c r="D171" t="n">
        <v>0</v>
      </c>
      <c r="E171" t="n">
        <v>0</v>
      </c>
      <c r="F171" t="n">
        <v>0</v>
      </c>
      <c r="H171" t="n">
        <v>0</v>
      </c>
      <c r="I171" t="n">
        <v>0</v>
      </c>
      <c r="J171" t="n">
        <v>0</v>
      </c>
      <c r="K171" t="n">
        <v>0</v>
      </c>
      <c r="L171" t="n">
        <v>0</v>
      </c>
      <c r="M171" t="n">
        <v>0</v>
      </c>
      <c r="N171" t="n">
        <v>0</v>
      </c>
    </row>
    <row r="172">
      <c r="A172" t="inlineStr">
        <is>
          <t>issues of the mill</t>
        </is>
      </c>
      <c r="B172" t="inlineStr">
        <is>
          <t>nothing of the issue of the mill here because it is in the cash account.</t>
        </is>
      </c>
      <c r="C172" t="n">
        <v>0</v>
      </c>
      <c r="D172" t="n">
        <v>0</v>
      </c>
      <c r="E172" t="n">
        <v>0</v>
      </c>
      <c r="F172" t="n">
        <v>0</v>
      </c>
      <c r="H172" t="n">
        <v>0</v>
      </c>
      <c r="I172" t="n">
        <v>0</v>
      </c>
      <c r="J172" t="n">
        <v>0</v>
      </c>
      <c r="K172" t="n">
        <v>0</v>
      </c>
      <c r="L172" t="n">
        <v>0</v>
      </c>
      <c r="M172" t="n">
        <v>0</v>
      </c>
      <c r="N172" t="n">
        <v>0</v>
      </c>
    </row>
    <row r="173">
      <c r="A173" t="inlineStr">
        <is>
          <t>stock</t>
        </is>
      </c>
      <c r="B173" t="inlineStr">
        <is>
          <t>oxen: 2 from the heriot of john scryveyn'.</t>
        </is>
      </c>
      <c r="C173" t="n">
        <v>0</v>
      </c>
      <c r="D173" t="n">
        <v>0</v>
      </c>
      <c r="E173" t="n">
        <v>0</v>
      </c>
      <c r="F173" t="n">
        <v>0</v>
      </c>
      <c r="H173" t="n">
        <v>0</v>
      </c>
      <c r="I173" t="n">
        <v>0</v>
      </c>
      <c r="J173" t="n">
        <v>0</v>
      </c>
      <c r="K173" t="n">
        <v>0</v>
      </c>
      <c r="L173" t="n">
        <v>0</v>
      </c>
      <c r="M173" t="n">
        <v>0</v>
      </c>
      <c r="N173" t="n">
        <v>0</v>
      </c>
    </row>
    <row r="174">
      <c r="A174" t="inlineStr">
        <is>
          <t>stock</t>
        </is>
      </c>
      <c r="B174" t="inlineStr">
        <is>
          <t>sold within.</t>
        </is>
      </c>
      <c r="C174" t="n">
        <v>0</v>
      </c>
      <c r="D174" t="n">
        <v>0</v>
      </c>
      <c r="E174" t="n">
        <v>0</v>
      </c>
      <c r="F174" t="n">
        <v>0</v>
      </c>
      <c r="H174" t="n">
        <v>0</v>
      </c>
      <c r="I174" t="n">
        <v>0</v>
      </c>
      <c r="J174" t="n">
        <v>0</v>
      </c>
      <c r="K174" t="n">
        <v>0</v>
      </c>
      <c r="L174" t="n">
        <v>0</v>
      </c>
      <c r="M174" t="n">
        <v>0</v>
      </c>
      <c r="N174" t="n">
        <v>0</v>
      </c>
    </row>
    <row r="175">
      <c r="A175" t="inlineStr">
        <is>
          <t>stock</t>
        </is>
      </c>
      <c r="B175" t="inlineStr">
        <is>
          <t>none remain.</t>
        </is>
      </c>
      <c r="C175" t="n">
        <v>0</v>
      </c>
      <c r="D175" t="n">
        <v>0</v>
      </c>
      <c r="E175" t="n">
        <v>0</v>
      </c>
      <c r="F175" t="n">
        <v>0</v>
      </c>
      <c r="H175" t="n">
        <v>0</v>
      </c>
      <c r="I175" t="n">
        <v>0</v>
      </c>
      <c r="J175" t="n">
        <v>0</v>
      </c>
      <c r="K175" t="n">
        <v>0</v>
      </c>
      <c r="L175" t="n">
        <v>0</v>
      </c>
      <c r="M175" t="n">
        <v>0</v>
      </c>
      <c r="N175" t="n">
        <v>0</v>
      </c>
    </row>
    <row r="176">
      <c r="A176" t="inlineStr">
        <is>
          <t>stock</t>
        </is>
      </c>
      <c r="B176" t="inlineStr">
        <is>
          <t>bulls: 4 remain.</t>
        </is>
      </c>
      <c r="C176" t="n">
        <v>0</v>
      </c>
      <c r="D176" t="n">
        <v>0</v>
      </c>
      <c r="E176" t="n">
        <v>0</v>
      </c>
      <c r="F176" t="n">
        <v>0</v>
      </c>
      <c r="H176" t="n">
        <v>0</v>
      </c>
      <c r="I176" t="n">
        <v>0</v>
      </c>
      <c r="J176" t="n">
        <v>0</v>
      </c>
      <c r="K176" t="n">
        <v>0</v>
      </c>
      <c r="L176" t="n">
        <v>0</v>
      </c>
      <c r="M176" t="n">
        <v>0</v>
      </c>
      <c r="N176" t="n">
        <v>0</v>
      </c>
    </row>
    <row r="177">
      <c r="A177" t="inlineStr">
        <is>
          <t>stock</t>
        </is>
      </c>
      <c r="B177" t="inlineStr">
        <is>
          <t>1 bought.</t>
        </is>
      </c>
      <c r="C177" t="n">
        <v>0</v>
      </c>
      <c r="D177" t="n">
        <v>0</v>
      </c>
      <c r="E177" t="n">
        <v>0</v>
      </c>
      <c r="F177" t="n">
        <v>0</v>
      </c>
      <c r="H177" t="n">
        <v>0</v>
      </c>
      <c r="I177" t="n">
        <v>0</v>
      </c>
      <c r="J177" t="n">
        <v>0</v>
      </c>
      <c r="K177" t="n">
        <v>0</v>
      </c>
      <c r="L177" t="n">
        <v>0</v>
      </c>
      <c r="M177" t="n">
        <v>0</v>
      </c>
      <c r="N177" t="n">
        <v>0</v>
      </c>
    </row>
    <row r="178">
      <c r="A178" t="inlineStr">
        <is>
          <t>stock</t>
        </is>
      </c>
      <c r="B178" t="inlineStr">
        <is>
          <t>total, 5. 1 sold within.</t>
        </is>
      </c>
      <c r="C178" t="n">
        <v>0</v>
      </c>
      <c r="D178" t="n">
        <v>0</v>
      </c>
      <c r="E178" t="n">
        <v>0</v>
      </c>
      <c r="F178" t="n">
        <v>0</v>
      </c>
      <c r="H178" t="n">
        <v>0</v>
      </c>
      <c r="I178" t="n">
        <v>0</v>
      </c>
      <c r="J178" t="n">
        <v>0</v>
      </c>
      <c r="K178" t="n">
        <v>0</v>
      </c>
      <c r="L178" t="n">
        <v>0</v>
      </c>
      <c r="M178" t="n">
        <v>0</v>
      </c>
      <c r="N178" t="n">
        <v>0</v>
      </c>
    </row>
    <row r="179">
      <c r="A179" t="inlineStr">
        <is>
          <t>stock</t>
        </is>
      </c>
      <c r="B179" t="inlineStr">
        <is>
          <t>4 remain.</t>
        </is>
      </c>
      <c r="C179" t="n">
        <v>0</v>
      </c>
      <c r="D179" t="n">
        <v>0</v>
      </c>
      <c r="E179" t="n">
        <v>0</v>
      </c>
      <c r="F179" t="n">
        <v>0</v>
      </c>
      <c r="H179" t="n">
        <v>0</v>
      </c>
      <c r="I179" t="n">
        <v>0</v>
      </c>
      <c r="J179" t="n">
        <v>0</v>
      </c>
      <c r="K179" t="n">
        <v>0</v>
      </c>
      <c r="L179" t="n">
        <v>0</v>
      </c>
      <c r="M179" t="n">
        <v>0</v>
      </c>
      <c r="N179" t="n">
        <v>0</v>
      </c>
    </row>
    <row r="180">
      <c r="A180" t="inlineStr">
        <is>
          <t>stock</t>
        </is>
      </c>
      <c r="B180" t="inlineStr">
        <is>
          <t>cows: 45 remain.</t>
        </is>
      </c>
      <c r="C180" t="n">
        <v>0</v>
      </c>
      <c r="D180" t="n">
        <v>0</v>
      </c>
      <c r="E180" t="n">
        <v>0</v>
      </c>
      <c r="F180" t="n">
        <v>0</v>
      </c>
      <c r="H180" t="n">
        <v>0</v>
      </c>
      <c r="I180" t="n">
        <v>0</v>
      </c>
      <c r="J180" t="n">
        <v>0</v>
      </c>
      <c r="K180" t="n">
        <v>0</v>
      </c>
      <c r="L180" t="n">
        <v>0</v>
      </c>
      <c r="M180" t="n">
        <v>0</v>
      </c>
      <c r="N180" t="n">
        <v>0</v>
      </c>
    </row>
    <row r="181">
      <c r="A181" t="inlineStr">
        <is>
          <t>stock</t>
        </is>
      </c>
      <c r="B181" t="inlineStr">
        <is>
          <t>6 added from steers below.</t>
        </is>
      </c>
      <c r="C181" t="n">
        <v>0</v>
      </c>
      <c r="D181" t="n">
        <v>0</v>
      </c>
      <c r="E181" t="n">
        <v>0</v>
      </c>
      <c r="F181" t="n">
        <v>0</v>
      </c>
      <c r="H181" t="n">
        <v>0</v>
      </c>
      <c r="I181" t="n">
        <v>0</v>
      </c>
      <c r="J181" t="n">
        <v>0</v>
      </c>
      <c r="K181" t="n">
        <v>0</v>
      </c>
      <c r="L181" t="n">
        <v>0</v>
      </c>
      <c r="M181" t="n">
        <v>0</v>
      </c>
      <c r="N181" t="n">
        <v>0</v>
      </c>
    </row>
    <row r="182">
      <c r="A182" t="inlineStr">
        <is>
          <t>stock</t>
        </is>
      </c>
      <c r="B182" t="inlineStr">
        <is>
          <t>7 bought before calving.</t>
        </is>
      </c>
      <c r="C182" t="n">
        <v>0</v>
      </c>
      <c r="D182" t="n">
        <v>0</v>
      </c>
      <c r="E182" t="n">
        <v>0</v>
      </c>
      <c r="F182" t="n">
        <v>0</v>
      </c>
      <c r="H182" t="n">
        <v>0</v>
      </c>
      <c r="I182" t="n">
        <v>0</v>
      </c>
      <c r="J182" t="n">
        <v>0</v>
      </c>
      <c r="K182" t="n">
        <v>0</v>
      </c>
      <c r="L182" t="n">
        <v>0</v>
      </c>
      <c r="M182" t="n">
        <v>0</v>
      </c>
      <c r="N182" t="n">
        <v>0</v>
      </c>
    </row>
    <row r="183">
      <c r="A183" t="inlineStr">
        <is>
          <t>stock</t>
        </is>
      </c>
      <c r="B183" t="inlineStr">
        <is>
          <t>total, 58. 3 in murrain before calving and 3 after calving.</t>
        </is>
      </c>
      <c r="C183" t="n">
        <v>0</v>
      </c>
      <c r="D183" t="n">
        <v>0</v>
      </c>
      <c r="E183" t="n">
        <v>0</v>
      </c>
      <c r="F183" t="n">
        <v>0</v>
      </c>
      <c r="H183" t="n">
        <v>0</v>
      </c>
      <c r="I183" t="n">
        <v>0</v>
      </c>
      <c r="J183" t="n">
        <v>0</v>
      </c>
      <c r="K183" t="n">
        <v>0</v>
      </c>
      <c r="L183" t="n">
        <v>0</v>
      </c>
      <c r="M183" t="n">
        <v>0</v>
      </c>
      <c r="N183" t="n">
        <v>0</v>
      </c>
    </row>
    <row r="184">
      <c r="A184" t="inlineStr">
        <is>
          <t>stock</t>
        </is>
      </c>
      <c r="B184" t="inlineStr">
        <is>
          <t>7 sold within.</t>
        </is>
      </c>
      <c r="C184" t="n">
        <v>0</v>
      </c>
      <c r="D184" t="n">
        <v>0</v>
      </c>
      <c r="E184" t="n">
        <v>0</v>
      </c>
      <c r="F184" t="n">
        <v>0</v>
      </c>
      <c r="H184" t="n">
        <v>0</v>
      </c>
      <c r="I184" t="n">
        <v>0</v>
      </c>
      <c r="J184" t="n">
        <v>0</v>
      </c>
      <c r="K184" t="n">
        <v>0</v>
      </c>
      <c r="L184" t="n">
        <v>0</v>
      </c>
      <c r="M184" t="n">
        <v>0</v>
      </c>
      <c r="N184" t="n">
        <v>0</v>
      </c>
    </row>
    <row r="185">
      <c r="A185" t="inlineStr">
        <is>
          <t>stock</t>
        </is>
      </c>
      <c r="B185" t="inlineStr">
        <is>
          <t>total, 13. 45 remain.</t>
        </is>
      </c>
      <c r="C185" t="n">
        <v>0</v>
      </c>
      <c r="D185" t="n">
        <v>0</v>
      </c>
      <c r="E185" t="n">
        <v>0</v>
      </c>
      <c r="F185" t="n">
        <v>0</v>
      </c>
      <c r="H185" t="n">
        <v>0</v>
      </c>
      <c r="I185" t="n">
        <v>0</v>
      </c>
      <c r="J185" t="n">
        <v>0</v>
      </c>
      <c r="K185" t="n">
        <v>0</v>
      </c>
      <c r="L185" t="n">
        <v>0</v>
      </c>
      <c r="M185" t="n">
        <v>0</v>
      </c>
      <c r="N185" t="n">
        <v>0</v>
      </c>
    </row>
    <row r="186">
      <c r="A186" t="inlineStr">
        <is>
          <t>stock</t>
        </is>
      </c>
      <c r="B186" t="inlineStr">
        <is>
          <t>steers: 7 remain from the bullocks.</t>
        </is>
      </c>
      <c r="C186" t="n">
        <v>0</v>
      </c>
      <c r="D186" t="n">
        <v>0</v>
      </c>
      <c r="E186" t="n">
        <v>0</v>
      </c>
      <c r="F186" t="n">
        <v>0</v>
      </c>
      <c r="H186" t="n">
        <v>0</v>
      </c>
      <c r="I186" t="n">
        <v>0</v>
      </c>
      <c r="J186" t="n">
        <v>0</v>
      </c>
      <c r="K186" t="n">
        <v>0</v>
      </c>
      <c r="L186" t="n">
        <v>0</v>
      </c>
      <c r="M186" t="n">
        <v>0</v>
      </c>
      <c r="N186" t="n">
        <v>0</v>
      </c>
    </row>
    <row r="187">
      <c r="A187" t="inlineStr">
        <is>
          <t>stock</t>
        </is>
      </c>
      <c r="B187" t="inlineStr">
        <is>
          <t>6 added above to cows.</t>
        </is>
      </c>
      <c r="C187" t="n">
        <v>0</v>
      </c>
      <c r="D187" t="n">
        <v>0</v>
      </c>
      <c r="E187" t="n">
        <v>0</v>
      </c>
      <c r="F187" t="n">
        <v>0</v>
      </c>
      <c r="H187" t="n">
        <v>0</v>
      </c>
      <c r="I187" t="n">
        <v>0</v>
      </c>
      <c r="J187" t="n">
        <v>0</v>
      </c>
      <c r="K187" t="n">
        <v>0</v>
      </c>
      <c r="L187" t="n">
        <v>0</v>
      </c>
      <c r="M187" t="n">
        <v>0</v>
      </c>
      <c r="N187" t="n">
        <v>0</v>
      </c>
    </row>
    <row r="188">
      <c r="A188" t="inlineStr">
        <is>
          <t>stock</t>
        </is>
      </c>
      <c r="B188" t="inlineStr">
        <is>
          <t>1 sold at the audit for 6 shilling 8pence.</t>
        </is>
      </c>
      <c r="C188" t="n">
        <v>0.33</v>
      </c>
      <c r="D188" t="n">
        <v>0</v>
      </c>
      <c r="E188" t="n">
        <v>6</v>
      </c>
      <c r="F188" t="n">
        <v>8</v>
      </c>
      <c r="H188" t="n">
        <v>0</v>
      </c>
      <c r="I188" t="n">
        <v>0</v>
      </c>
      <c r="J188" t="n">
        <v>0</v>
      </c>
      <c r="K188" t="n">
        <v>0</v>
      </c>
      <c r="L188" t="n">
        <v>0</v>
      </c>
      <c r="M188" t="n">
        <v>0</v>
      </c>
      <c r="N188" t="n">
        <v>0</v>
      </c>
    </row>
    <row r="189">
      <c r="A189" t="inlineStr">
        <is>
          <t>stock</t>
        </is>
      </c>
      <c r="B189" t="inlineStr">
        <is>
          <t>none remain.</t>
        </is>
      </c>
      <c r="C189" t="n">
        <v>0</v>
      </c>
      <c r="D189" t="n">
        <v>0</v>
      </c>
      <c r="E189" t="n">
        <v>0</v>
      </c>
      <c r="F189" t="n">
        <v>0</v>
      </c>
      <c r="H189" t="n">
        <v>0</v>
      </c>
      <c r="I189" t="n">
        <v>0</v>
      </c>
      <c r="J189" t="n">
        <v>0</v>
      </c>
      <c r="K189" t="n">
        <v>0</v>
      </c>
      <c r="L189" t="n">
        <v>0</v>
      </c>
      <c r="M189" t="n">
        <v>0</v>
      </c>
      <c r="N189" t="n">
        <v>0</v>
      </c>
    </row>
    <row r="190">
      <c r="A190" t="inlineStr">
        <is>
          <t>stock</t>
        </is>
      </c>
      <c r="B190" t="inlineStr">
        <is>
          <t>bullocks: 7 remain from the yearlings.</t>
        </is>
      </c>
      <c r="C190" t="n">
        <v>0</v>
      </c>
      <c r="D190" t="n">
        <v>0</v>
      </c>
      <c r="E190" t="n">
        <v>0</v>
      </c>
      <c r="F190" t="n">
        <v>0</v>
      </c>
      <c r="H190" t="n">
        <v>0</v>
      </c>
      <c r="I190" t="n">
        <v>0</v>
      </c>
      <c r="J190" t="n">
        <v>0</v>
      </c>
      <c r="K190" t="n">
        <v>0</v>
      </c>
      <c r="L190" t="n">
        <v>0</v>
      </c>
      <c r="M190" t="n">
        <v>0</v>
      </c>
      <c r="N190" t="n">
        <v>0</v>
      </c>
    </row>
    <row r="191">
      <c r="A191" t="inlineStr">
        <is>
          <t>stock</t>
        </is>
      </c>
      <c r="B191" t="inlineStr">
        <is>
          <t>1 from the heriot of richard beaule.</t>
        </is>
      </c>
      <c r="C191" t="n">
        <v>0</v>
      </c>
      <c r="D191" t="n">
        <v>0</v>
      </c>
      <c r="E191" t="n">
        <v>0</v>
      </c>
      <c r="F191" t="n">
        <v>0</v>
      </c>
      <c r="H191" t="n">
        <v>0</v>
      </c>
      <c r="I191" t="n">
        <v>0</v>
      </c>
      <c r="J191" t="n">
        <v>0</v>
      </c>
      <c r="K191" t="n">
        <v>0</v>
      </c>
      <c r="L191" t="n">
        <v>0</v>
      </c>
      <c r="M191" t="n">
        <v>0</v>
      </c>
      <c r="N191" t="n">
        <v>0</v>
      </c>
    </row>
    <row r="192">
      <c r="A192" t="inlineStr">
        <is>
          <t>stock</t>
        </is>
      </c>
      <c r="B192" t="inlineStr">
        <is>
          <t>total, 8. 2 in murrain.</t>
        </is>
      </c>
      <c r="C192" t="n">
        <v>0</v>
      </c>
      <c r="D192" t="n">
        <v>0</v>
      </c>
      <c r="E192" t="n">
        <v>0</v>
      </c>
      <c r="F192" t="n">
        <v>0</v>
      </c>
      <c r="H192" t="n">
        <v>0</v>
      </c>
      <c r="I192" t="n">
        <v>0</v>
      </c>
      <c r="J192" t="n">
        <v>0</v>
      </c>
      <c r="K192" t="n">
        <v>0</v>
      </c>
      <c r="L192" t="n">
        <v>0</v>
      </c>
      <c r="M192" t="n">
        <v>0</v>
      </c>
      <c r="N192" t="n">
        <v>0</v>
      </c>
    </row>
    <row r="193">
      <c r="A193" t="inlineStr">
        <is>
          <t>stock</t>
        </is>
      </c>
      <c r="B193" t="inlineStr">
        <is>
          <t>1 sold within.</t>
        </is>
      </c>
      <c r="C193" t="n">
        <v>0</v>
      </c>
      <c r="D193" t="n">
        <v>0</v>
      </c>
      <c r="E193" t="n">
        <v>0</v>
      </c>
      <c r="F193" t="n">
        <v>0</v>
      </c>
      <c r="H193" t="n">
        <v>0</v>
      </c>
      <c r="I193" t="n">
        <v>0</v>
      </c>
      <c r="J193" t="n">
        <v>0</v>
      </c>
      <c r="K193" t="n">
        <v>0</v>
      </c>
      <c r="L193" t="n">
        <v>0</v>
      </c>
      <c r="M193" t="n">
        <v>0</v>
      </c>
      <c r="N193" t="n">
        <v>0</v>
      </c>
    </row>
    <row r="194">
      <c r="A194" t="inlineStr">
        <is>
          <t>stock</t>
        </is>
      </c>
      <c r="B194" t="inlineStr">
        <is>
          <t>total, 3. 5 remain.</t>
        </is>
      </c>
      <c r="C194" t="n">
        <v>0</v>
      </c>
      <c r="D194" t="n">
        <v>0</v>
      </c>
      <c r="E194" t="n">
        <v>0</v>
      </c>
      <c r="F194" t="n">
        <v>0</v>
      </c>
      <c r="H194" t="n">
        <v>0</v>
      </c>
      <c r="I194" t="n">
        <v>0</v>
      </c>
      <c r="J194" t="n">
        <v>0</v>
      </c>
      <c r="K194" t="n">
        <v>0</v>
      </c>
      <c r="L194" t="n">
        <v>0</v>
      </c>
      <c r="M194" t="n">
        <v>0</v>
      </c>
      <c r="N194" t="n">
        <v>0</v>
      </c>
    </row>
    <row r="195">
      <c r="A195" t="inlineStr">
        <is>
          <t>stock</t>
        </is>
      </c>
      <c r="B195" t="inlineStr">
        <is>
          <t>yearlings: 12 remain from the calves.</t>
        </is>
      </c>
      <c r="C195" t="n">
        <v>0</v>
      </c>
      <c r="D195" t="n">
        <v>0</v>
      </c>
      <c r="E195" t="n">
        <v>0</v>
      </c>
      <c r="F195" t="n">
        <v>0</v>
      </c>
      <c r="H195" t="n">
        <v>0</v>
      </c>
      <c r="I195" t="n">
        <v>0</v>
      </c>
      <c r="J195" t="n">
        <v>0</v>
      </c>
      <c r="K195" t="n">
        <v>0</v>
      </c>
      <c r="L195" t="n">
        <v>0</v>
      </c>
      <c r="M195" t="n">
        <v>0</v>
      </c>
      <c r="N195" t="n">
        <v>0</v>
      </c>
    </row>
    <row r="196">
      <c r="A196" t="inlineStr">
        <is>
          <t>stock</t>
        </is>
      </c>
      <c r="B196" t="inlineStr">
        <is>
          <t>2 in murrain.</t>
        </is>
      </c>
      <c r="C196" t="n">
        <v>0</v>
      </c>
      <c r="D196" t="n">
        <v>0</v>
      </c>
      <c r="E196" t="n">
        <v>0</v>
      </c>
      <c r="F196" t="n">
        <v>0</v>
      </c>
      <c r="H196" t="n">
        <v>0</v>
      </c>
      <c r="I196" t="n">
        <v>0</v>
      </c>
      <c r="J196" t="n">
        <v>0</v>
      </c>
      <c r="K196" t="n">
        <v>0</v>
      </c>
      <c r="L196" t="n">
        <v>0</v>
      </c>
      <c r="M196" t="n">
        <v>0</v>
      </c>
      <c r="N196" t="n">
        <v>0</v>
      </c>
    </row>
    <row r="197">
      <c r="A197" t="inlineStr">
        <is>
          <t>stock</t>
        </is>
      </c>
      <c r="B197" t="inlineStr">
        <is>
          <t>10 remain.</t>
        </is>
      </c>
      <c r="C197" t="n">
        <v>0</v>
      </c>
      <c r="D197" t="n">
        <v>0</v>
      </c>
      <c r="E197" t="n">
        <v>0</v>
      </c>
      <c r="F197" t="n">
        <v>0</v>
      </c>
      <c r="H197" t="n">
        <v>0</v>
      </c>
      <c r="I197" t="n">
        <v>0</v>
      </c>
      <c r="J197" t="n">
        <v>0</v>
      </c>
      <c r="K197" t="n">
        <v>0</v>
      </c>
      <c r="L197" t="n">
        <v>0</v>
      </c>
      <c r="M197" t="n">
        <v>0</v>
      </c>
      <c r="N197" t="n">
        <v>0</v>
      </c>
    </row>
    <row r="198">
      <c r="A198" t="inlineStr">
        <is>
          <t>stock</t>
        </is>
      </c>
      <c r="B198" t="inlineStr">
        <is>
          <t>calves: 49 offspring and not more because 3 cows died before calving.</t>
        </is>
      </c>
      <c r="C198" t="n">
        <v>0</v>
      </c>
      <c r="D198" t="n">
        <v>0</v>
      </c>
      <c r="E198" t="n">
        <v>0</v>
      </c>
      <c r="F198" t="n">
        <v>0</v>
      </c>
      <c r="H198" t="n">
        <v>0</v>
      </c>
      <c r="I198" t="n">
        <v>0</v>
      </c>
      <c r="J198" t="n">
        <v>0</v>
      </c>
      <c r="K198" t="n">
        <v>0</v>
      </c>
      <c r="L198" t="n">
        <v>0</v>
      </c>
      <c r="M198" t="n">
        <v>0</v>
      </c>
      <c r="N198" t="n">
        <v>0</v>
      </c>
    </row>
    <row r="199">
      <c r="A199" t="inlineStr">
        <is>
          <t>stock</t>
        </is>
      </c>
      <c r="B199" t="inlineStr">
        <is>
          <t>total, 49. 5 in tithe.</t>
        </is>
      </c>
      <c r="C199" t="n">
        <v>0</v>
      </c>
      <c r="D199" t="n">
        <v>0</v>
      </c>
      <c r="E199" t="n">
        <v>0</v>
      </c>
      <c r="F199" t="n">
        <v>0</v>
      </c>
      <c r="H199" t="n">
        <v>0</v>
      </c>
      <c r="I199" t="n">
        <v>0</v>
      </c>
      <c r="J199" t="n">
        <v>0</v>
      </c>
      <c r="K199" t="n">
        <v>0</v>
      </c>
      <c r="L199" t="n">
        <v>0</v>
      </c>
      <c r="M199" t="n">
        <v>0</v>
      </c>
      <c r="N199" t="n">
        <v>0</v>
      </c>
    </row>
    <row r="200">
      <c r="A200" t="inlineStr">
        <is>
          <t>stock</t>
        </is>
      </c>
      <c r="B200" t="inlineStr">
        <is>
          <t>22 sold within.</t>
        </is>
      </c>
      <c r="C200" t="n">
        <v>0</v>
      </c>
      <c r="D200" t="n">
        <v>0</v>
      </c>
      <c r="E200" t="n">
        <v>0</v>
      </c>
      <c r="F200" t="n">
        <v>0</v>
      </c>
      <c r="H200" t="n">
        <v>0</v>
      </c>
      <c r="I200" t="n">
        <v>0</v>
      </c>
      <c r="J200" t="n">
        <v>0</v>
      </c>
      <c r="K200" t="n">
        <v>0</v>
      </c>
      <c r="L200" t="n">
        <v>0</v>
      </c>
      <c r="M200" t="n">
        <v>0</v>
      </c>
      <c r="N200" t="n">
        <v>0</v>
      </c>
    </row>
    <row r="201">
      <c r="A201" t="inlineStr">
        <is>
          <t>stock</t>
        </is>
      </c>
      <c r="B201" t="inlineStr">
        <is>
          <t>10 sold at the audit for 15 shilling.</t>
        </is>
      </c>
      <c r="C201" t="n">
        <v>0.75</v>
      </c>
      <c r="D201" t="n">
        <v>0</v>
      </c>
      <c r="E201" t="n">
        <v>15</v>
      </c>
      <c r="F201" t="n">
        <v>0</v>
      </c>
      <c r="H201" t="n">
        <v>0</v>
      </c>
      <c r="I201" t="n">
        <v>0</v>
      </c>
      <c r="J201" t="n">
        <v>0</v>
      </c>
      <c r="K201" t="n">
        <v>0</v>
      </c>
      <c r="L201" t="n">
        <v>0</v>
      </c>
      <c r="M201" t="n">
        <v>0</v>
      </c>
      <c r="N201" t="n">
        <v>0</v>
      </c>
    </row>
    <row r="202">
      <c r="A202" t="inlineStr">
        <is>
          <t>stock</t>
        </is>
      </c>
      <c r="B202" t="inlineStr">
        <is>
          <t>12 remain.</t>
        </is>
      </c>
      <c r="C202" t="n">
        <v>0</v>
      </c>
      <c r="D202" t="n">
        <v>0</v>
      </c>
      <c r="E202" t="n">
        <v>0</v>
      </c>
      <c r="F202" t="n">
        <v>0</v>
      </c>
      <c r="H202" t="n">
        <v>0</v>
      </c>
      <c r="I202" t="n">
        <v>0</v>
      </c>
      <c r="J202" t="n">
        <v>0</v>
      </c>
      <c r="K202" t="n">
        <v>0</v>
      </c>
      <c r="L202" t="n">
        <v>0</v>
      </c>
      <c r="M202" t="n">
        <v>0</v>
      </c>
      <c r="N202" t="n">
        <v>0</v>
      </c>
    </row>
    <row r="203">
      <c r="A203" t="inlineStr">
        <is>
          <t>stock</t>
        </is>
      </c>
      <c r="B203" t="inlineStr">
        <is>
          <t>hoggets: 1 from the heriot of alice fryk'.</t>
        </is>
      </c>
      <c r="C203" t="n">
        <v>0</v>
      </c>
      <c r="D203" t="n">
        <v>0</v>
      </c>
      <c r="E203" t="n">
        <v>0</v>
      </c>
      <c r="F203" t="n">
        <v>0</v>
      </c>
      <c r="H203" t="n">
        <v>0</v>
      </c>
      <c r="I203" t="n">
        <v>0</v>
      </c>
      <c r="J203" t="n">
        <v>0</v>
      </c>
      <c r="K203" t="n">
        <v>0</v>
      </c>
      <c r="L203" t="n">
        <v>0</v>
      </c>
      <c r="M203" t="n">
        <v>0</v>
      </c>
      <c r="N203" t="n">
        <v>0</v>
      </c>
    </row>
    <row r="204">
      <c r="A204" t="inlineStr">
        <is>
          <t>stock</t>
        </is>
      </c>
      <c r="B204" t="inlineStr">
        <is>
          <t>sold within.</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cocks and hens: 195 from the churchscot of the customary tenants at martinmas.</t>
        </is>
      </c>
      <c r="C206" t="n">
        <v>0</v>
      </c>
      <c r="D206" t="n">
        <v>0</v>
      </c>
      <c r="E206" t="n">
        <v>0</v>
      </c>
      <c r="F206" t="n">
        <v>0</v>
      </c>
      <c r="H206" t="n">
        <v>0</v>
      </c>
      <c r="I206" t="n">
        <v>0</v>
      </c>
      <c r="J206" t="n">
        <v>0</v>
      </c>
      <c r="K206" t="n">
        <v>0</v>
      </c>
      <c r="L206" t="n">
        <v>0</v>
      </c>
      <c r="M206" t="n">
        <v>0</v>
      </c>
      <c r="N206" t="n">
        <v>0</v>
      </c>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c r="H207" t="n">
        <v>0</v>
      </c>
      <c r="I207" t="n">
        <v>0</v>
      </c>
      <c r="J207" t="n">
        <v>0</v>
      </c>
      <c r="K207" t="n">
        <v>0</v>
      </c>
      <c r="L207" t="n">
        <v>0</v>
      </c>
      <c r="M207" t="n">
        <v>0</v>
      </c>
      <c r="N207" t="n">
        <v>0</v>
      </c>
    </row>
    <row r="208">
      <c r="A208" t="inlineStr">
        <is>
          <t>stock</t>
        </is>
      </c>
      <c r="B208" t="inlineStr">
        <is>
          <t>2 in quittance of the churchscot of john durdausse because he does not have a wife.</t>
        </is>
      </c>
      <c r="C208" t="n">
        <v>0</v>
      </c>
      <c r="D208" t="n">
        <v>0</v>
      </c>
      <c r="E208" t="n">
        <v>0</v>
      </c>
      <c r="F208" t="n">
        <v>0</v>
      </c>
      <c r="H208" t="n">
        <v>0</v>
      </c>
      <c r="I208" t="n">
        <v>0</v>
      </c>
      <c r="J208" t="n">
        <v>0</v>
      </c>
      <c r="K208" t="n">
        <v>0</v>
      </c>
      <c r="L208" t="n">
        <v>0</v>
      </c>
      <c r="M208" t="n">
        <v>0</v>
      </c>
      <c r="N208" t="n">
        <v>0</v>
      </c>
    </row>
    <row r="209">
      <c r="A209" t="inlineStr">
        <is>
          <t>stock</t>
        </is>
      </c>
      <c r="B209" t="inlineStr">
        <is>
          <t>181 sold within.</t>
        </is>
      </c>
      <c r="C209" t="n">
        <v>0</v>
      </c>
      <c r="D209" t="n">
        <v>0</v>
      </c>
      <c r="E209" t="n">
        <v>0</v>
      </c>
      <c r="F209" t="n">
        <v>0</v>
      </c>
      <c r="H209" t="n">
        <v>0</v>
      </c>
      <c r="I209" t="n">
        <v>0</v>
      </c>
      <c r="J209" t="n">
        <v>0</v>
      </c>
      <c r="K209" t="n">
        <v>0</v>
      </c>
      <c r="L209" t="n">
        <v>0</v>
      </c>
      <c r="M209" t="n">
        <v>0</v>
      </c>
      <c r="N209" t="n">
        <v>0</v>
      </c>
    </row>
    <row r="210">
      <c r="A210" t="inlineStr">
        <is>
          <t>stock</t>
        </is>
      </c>
      <c r="B210" t="inlineStr">
        <is>
          <t>total as before.</t>
        </is>
      </c>
      <c r="C210" t="n">
        <v>0</v>
      </c>
      <c r="D210" t="n">
        <v>0</v>
      </c>
      <c r="E210" t="n">
        <v>0</v>
      </c>
      <c r="F210" t="n">
        <v>0</v>
      </c>
      <c r="H210" t="n">
        <v>0</v>
      </c>
      <c r="I210" t="n">
        <v>0</v>
      </c>
      <c r="J210" t="n">
        <v>0</v>
      </c>
      <c r="K210" t="n">
        <v>0</v>
      </c>
      <c r="L210" t="n">
        <v>0</v>
      </c>
      <c r="M210" t="n">
        <v>0</v>
      </c>
      <c r="N210" t="n">
        <v>0</v>
      </c>
    </row>
    <row r="211">
      <c r="A211" t="inlineStr">
        <is>
          <t>stock</t>
        </is>
      </c>
      <c r="B211" t="inlineStr">
        <is>
          <t>it balances.</t>
        </is>
      </c>
      <c r="C211" t="n">
        <v>0</v>
      </c>
      <c r="D211" t="n">
        <v>0</v>
      </c>
      <c r="E211" t="n">
        <v>0</v>
      </c>
      <c r="F211" t="n">
        <v>0</v>
      </c>
      <c r="H211" t="n">
        <v>0</v>
      </c>
      <c r="I211" t="n">
        <v>0</v>
      </c>
      <c r="J211" t="n">
        <v>0</v>
      </c>
      <c r="K211" t="n">
        <v>0</v>
      </c>
      <c r="L211" t="n">
        <v>0</v>
      </c>
      <c r="M211" t="n">
        <v>0</v>
      </c>
      <c r="N211" t="n">
        <v>0</v>
      </c>
    </row>
    <row r="212">
      <c r="A212" t="inlineStr">
        <is>
          <t>stock</t>
        </is>
      </c>
      <c r="B212" t="inlineStr">
        <is>
          <t>hides: 6 from cows, 2 from bullocks and 2 from yearlings in murrain as made clear above.</t>
        </is>
      </c>
      <c r="C212" t="n">
        <v>0</v>
      </c>
      <c r="D212" t="n">
        <v>0</v>
      </c>
      <c r="E212" t="n">
        <v>0</v>
      </c>
      <c r="F212" t="n">
        <v>0</v>
      </c>
      <c r="H212" t="n">
        <v>0</v>
      </c>
      <c r="I212" t="n">
        <v>0</v>
      </c>
      <c r="J212" t="n">
        <v>0</v>
      </c>
      <c r="K212" t="n">
        <v>0</v>
      </c>
      <c r="L212" t="n">
        <v>0</v>
      </c>
      <c r="M212" t="n">
        <v>0</v>
      </c>
      <c r="N212" t="n">
        <v>0</v>
      </c>
    </row>
    <row r="213">
      <c r="A213" t="inlineStr">
        <is>
          <t>stock</t>
        </is>
      </c>
      <c r="B213" t="inlineStr">
        <is>
          <t>sold within.</t>
        </is>
      </c>
      <c r="C213" t="n">
        <v>0</v>
      </c>
      <c r="D213" t="n">
        <v>0</v>
      </c>
      <c r="E213" t="n">
        <v>0</v>
      </c>
      <c r="F213" t="n">
        <v>0</v>
      </c>
      <c r="H213" t="n">
        <v>0</v>
      </c>
      <c r="I213" t="n">
        <v>0</v>
      </c>
      <c r="J213" t="n">
        <v>0</v>
      </c>
      <c r="K213" t="n">
        <v>0</v>
      </c>
      <c r="L213" t="n">
        <v>0</v>
      </c>
      <c r="M213" t="n">
        <v>0</v>
      </c>
      <c r="N213" t="n">
        <v>0</v>
      </c>
    </row>
    <row r="214">
      <c r="A214" t="inlineStr">
        <is>
          <t>stock</t>
        </is>
      </c>
      <c r="B214" t="inlineStr">
        <is>
          <t>none remain.</t>
        </is>
      </c>
      <c r="C214" t="n">
        <v>0</v>
      </c>
      <c r="D214" t="n">
        <v>0</v>
      </c>
      <c r="E214" t="n">
        <v>0</v>
      </c>
      <c r="F214" t="n">
        <v>0</v>
      </c>
      <c r="H214" t="n">
        <v>0</v>
      </c>
      <c r="I214" t="n">
        <v>0</v>
      </c>
      <c r="J214" t="n">
        <v>0</v>
      </c>
      <c r="K214" t="n">
        <v>0</v>
      </c>
      <c r="L214" t="n">
        <v>0</v>
      </c>
      <c r="M214" t="n">
        <v>0</v>
      </c>
      <c r="N214" t="n">
        <v>0</v>
      </c>
    </row>
    <row r="215">
      <c r="A215" t="inlineStr">
        <is>
          <t>stock</t>
        </is>
      </c>
      <c r="B215" t="inlineStr">
        <is>
          <t>fish: nothing of the issue of the fish-trap here because in the cash account within.</t>
        </is>
      </c>
      <c r="C215" t="n">
        <v>0</v>
      </c>
      <c r="D215" t="n">
        <v>0</v>
      </c>
      <c r="E215" t="n">
        <v>0</v>
      </c>
      <c r="F215" t="n">
        <v>0</v>
      </c>
      <c r="H215" t="n">
        <v>0</v>
      </c>
      <c r="I215" t="n">
        <v>0</v>
      </c>
      <c r="J215" t="n">
        <v>0</v>
      </c>
      <c r="K215" t="n">
        <v>0</v>
      </c>
      <c r="L215" t="n">
        <v>0</v>
      </c>
      <c r="M215" t="n">
        <v>0</v>
      </c>
      <c r="N215" t="n">
        <v>0</v>
      </c>
    </row>
    <row r="216">
      <c r="A216" t="inlineStr">
        <is>
          <t>stock</t>
        </is>
      </c>
      <c r="B216" t="inlineStr">
        <is>
          <t>lead: 9 cloves of lead remain.</t>
        </is>
      </c>
      <c r="C216" t="n">
        <v>0</v>
      </c>
      <c r="D216" t="n">
        <v>0</v>
      </c>
      <c r="E216" t="n">
        <v>0</v>
      </c>
      <c r="F216" t="n">
        <v>0</v>
      </c>
      <c r="H216" t="n">
        <v>0</v>
      </c>
      <c r="I216" t="n">
        <v>0</v>
      </c>
      <c r="J216" t="n">
        <v>0</v>
      </c>
      <c r="K216" t="n">
        <v>0</v>
      </c>
      <c r="L216" t="n">
        <v>0</v>
      </c>
      <c r="M216" t="n">
        <v>0</v>
      </c>
      <c r="N216" t="n">
        <v>0</v>
      </c>
    </row>
    <row r="217">
      <c r="A217" t="inlineStr">
        <is>
          <t>stock</t>
        </is>
      </c>
      <c r="B217" t="inlineStr">
        <is>
          <t>total, 9 cloves. 9 cloves remain.</t>
        </is>
      </c>
      <c r="C217" t="n">
        <v>0</v>
      </c>
      <c r="D217" t="n">
        <v>0</v>
      </c>
      <c r="E217" t="n">
        <v>0</v>
      </c>
      <c r="F217" t="n">
        <v>0</v>
      </c>
      <c r="H217" t="n">
        <v>0</v>
      </c>
      <c r="I217" t="n">
        <v>0</v>
      </c>
      <c r="J217" t="n">
        <v>0</v>
      </c>
      <c r="K217" t="n">
        <v>0</v>
      </c>
      <c r="L217" t="n">
        <v>0</v>
      </c>
      <c r="M217" t="n">
        <v>0</v>
      </c>
      <c r="N217" t="n">
        <v>0</v>
      </c>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c r="H218" t="n">
        <v>0</v>
      </c>
      <c r="I218" t="n">
        <v>0</v>
      </c>
      <c r="J218" t="n">
        <v>0</v>
      </c>
      <c r="K218" t="n">
        <v>0</v>
      </c>
      <c r="L218" t="n">
        <v>0</v>
      </c>
      <c r="M218" t="n">
        <v>0</v>
      </c>
      <c r="N218" t="n">
        <v>0</v>
      </c>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c r="H219" t="n">
        <v>0</v>
      </c>
      <c r="I219" t="n">
        <v>0</v>
      </c>
      <c r="J219" t="n">
        <v>0</v>
      </c>
      <c r="K219" t="n">
        <v>0</v>
      </c>
      <c r="L219" t="n">
        <v>0</v>
      </c>
      <c r="M219" t="n">
        <v>0</v>
      </c>
      <c r="N219" t="n">
        <v>0</v>
      </c>
    </row>
    <row r="220">
      <c r="A220" t="inlineStr">
        <is>
          <t>stock</t>
        </is>
      </c>
      <c r="B220" t="inlineStr">
        <is>
          <t>1 rennet-vat and 1 pail remain.</t>
        </is>
      </c>
      <c r="C220" t="n">
        <v>0</v>
      </c>
      <c r="D220" t="n">
        <v>0</v>
      </c>
      <c r="E220" t="n">
        <v>0</v>
      </c>
      <c r="F220" t="n">
        <v>0</v>
      </c>
      <c r="H220" t="n">
        <v>0</v>
      </c>
      <c r="I220" t="n">
        <v>0</v>
      </c>
      <c r="J220" t="n">
        <v>0</v>
      </c>
      <c r="K220" t="n">
        <v>0</v>
      </c>
      <c r="L220" t="n">
        <v>0</v>
      </c>
      <c r="M220" t="n">
        <v>0</v>
      </c>
      <c r="N220" t="n">
        <v>0</v>
      </c>
    </row>
    <row r="221">
      <c r="A221" t="inlineStr">
        <is>
          <t>stock</t>
        </is>
      </c>
      <c r="B221" t="inlineStr">
        <is>
          <t>all this remains.</t>
        </is>
      </c>
      <c r="C221" t="n">
        <v>0</v>
      </c>
      <c r="D221" t="n">
        <v>0</v>
      </c>
      <c r="E221" t="n">
        <v>0</v>
      </c>
      <c r="F221" t="n">
        <v>0</v>
      </c>
      <c r="H221" t="n">
        <v>0</v>
      </c>
      <c r="I221" t="n">
        <v>0</v>
      </c>
      <c r="J221" t="n">
        <v>0</v>
      </c>
      <c r="K221" t="n">
        <v>0</v>
      </c>
      <c r="L221" t="n">
        <v>0</v>
      </c>
      <c r="M221" t="n">
        <v>0</v>
      </c>
      <c r="N221" t="n">
        <v>0</v>
      </c>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c r="H222" t="n">
        <v>0</v>
      </c>
      <c r="I222" t="n">
        <v>0</v>
      </c>
      <c r="J222" t="n">
        <v>0</v>
      </c>
      <c r="K222" t="n">
        <v>0</v>
      </c>
      <c r="L222" t="n">
        <v>0</v>
      </c>
      <c r="M222" t="n">
        <v>0</v>
      </c>
      <c r="N222" t="n">
        <v>0</v>
      </c>
    </row>
    <row r="223">
      <c r="A223" t="inlineStr">
        <is>
          <t>stock</t>
        </is>
      </c>
      <c r="B223" t="inlineStr">
        <is>
          <t>all this remains.</t>
        </is>
      </c>
      <c r="C223" t="n">
        <v>0</v>
      </c>
      <c r="D223" t="n">
        <v>0</v>
      </c>
      <c r="E223" t="n">
        <v>0</v>
      </c>
      <c r="F223" t="n">
        <v>0</v>
      </c>
      <c r="H223" t="n">
        <v>0</v>
      </c>
      <c r="I223" t="n">
        <v>0</v>
      </c>
      <c r="J223" t="n">
        <v>0</v>
      </c>
      <c r="K223" t="n">
        <v>0</v>
      </c>
      <c r="L223" t="n">
        <v>0</v>
      </c>
      <c r="M223" t="n">
        <v>0</v>
      </c>
      <c r="N223" t="n">
        <v>0</v>
      </c>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c r="H224" t="n">
        <v>0</v>
      </c>
      <c r="I224" t="n">
        <v>0</v>
      </c>
      <c r="J224" t="n">
        <v>0</v>
      </c>
      <c r="K224" t="n">
        <v>0</v>
      </c>
      <c r="L224" t="n">
        <v>0</v>
      </c>
      <c r="M224" t="n">
        <v>0</v>
      </c>
      <c r="N224" t="n">
        <v>0</v>
      </c>
    </row>
    <row r="225">
      <c r="A225" t="inlineStr">
        <is>
          <t>stock</t>
        </is>
      </c>
      <c r="B225" t="inlineStr">
        <is>
          <t>all this remains.</t>
        </is>
      </c>
      <c r="C225" t="n">
        <v>0</v>
      </c>
      <c r="D225" t="n">
        <v>0</v>
      </c>
      <c r="E225" t="n">
        <v>0</v>
      </c>
      <c r="F225" t="n">
        <v>0</v>
      </c>
      <c r="H225" t="n">
        <v>0</v>
      </c>
      <c r="I225" t="n">
        <v>0</v>
      </c>
      <c r="J225" t="n">
        <v>0</v>
      </c>
      <c r="K225" t="n">
        <v>0</v>
      </c>
      <c r="L225" t="n">
        <v>0</v>
      </c>
      <c r="M225" t="n">
        <v>0</v>
      </c>
      <c r="N22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Oxen: 2 from the heriot of John Scryveyn'.</t>
        </is>
      </c>
      <c r="C3" t="n">
        <v>0</v>
      </c>
      <c r="D3" t="n">
        <v>0</v>
      </c>
      <c r="E3" t="inlineStr">
        <is>
          <t>Oxen</t>
        </is>
      </c>
    </row>
    <row r="4">
      <c r="A4" t="inlineStr">
        <is>
          <t>Stock</t>
        </is>
      </c>
      <c r="B4" t="inlineStr">
        <is>
          <t>sold within.</t>
        </is>
      </c>
      <c r="C4" t="n">
        <v>0</v>
      </c>
      <c r="D4" t="n">
        <v>0</v>
      </c>
      <c r="E4" t="inlineStr">
        <is>
          <t>Oxen</t>
        </is>
      </c>
    </row>
    <row r="5">
      <c r="A5" t="inlineStr">
        <is>
          <t>Stock</t>
        </is>
      </c>
      <c r="B5" t="inlineStr">
        <is>
          <t>none remain.</t>
        </is>
      </c>
      <c r="C5" t="n">
        <v>0</v>
      </c>
      <c r="D5" t="n">
        <v>0</v>
      </c>
      <c r="E5" t="inlineStr">
        <is>
          <t>Oxen</t>
        </is>
      </c>
    </row>
    <row r="6">
      <c r="A6" t="inlineStr">
        <is>
          <t>Stock</t>
        </is>
      </c>
      <c r="B6" t="inlineStr">
        <is>
          <t>Bulls: 4 remain.</t>
        </is>
      </c>
      <c r="C6" t="n">
        <v>0</v>
      </c>
      <c r="D6" t="n">
        <v>0</v>
      </c>
      <c r="E6" t="inlineStr">
        <is>
          <t>Bulls</t>
        </is>
      </c>
      <c r="F6" t="inlineStr">
        <is>
          <t>4</t>
        </is>
      </c>
    </row>
    <row r="7">
      <c r="A7" t="inlineStr">
        <is>
          <t>Stock</t>
        </is>
      </c>
      <c r="B7" t="inlineStr">
        <is>
          <t>1 bought.</t>
        </is>
      </c>
      <c r="C7" t="n">
        <v>0</v>
      </c>
      <c r="D7" t="n">
        <v>0</v>
      </c>
      <c r="E7" t="inlineStr">
        <is>
          <t>Bulls</t>
        </is>
      </c>
      <c r="G7" t="inlineStr">
        <is>
          <t>1</t>
        </is>
      </c>
    </row>
    <row r="8">
      <c r="A8" t="inlineStr">
        <is>
          <t>Stock</t>
        </is>
      </c>
      <c r="B8" t="inlineStr">
        <is>
          <t>Total, 5. 1 sold within.</t>
        </is>
      </c>
      <c r="C8" t="n">
        <v>0</v>
      </c>
      <c r="D8" t="n">
        <v>0</v>
      </c>
      <c r="E8" t="inlineStr">
        <is>
          <t>Bulls</t>
        </is>
      </c>
      <c r="I8" t="inlineStr">
        <is>
          <t>1</t>
        </is>
      </c>
    </row>
    <row r="9">
      <c r="A9" t="inlineStr">
        <is>
          <t>Stock</t>
        </is>
      </c>
      <c r="B9" t="inlineStr">
        <is>
          <t>4 remain.</t>
        </is>
      </c>
      <c r="C9" t="n">
        <v>0</v>
      </c>
      <c r="D9" t="n">
        <v>0</v>
      </c>
      <c r="E9" t="inlineStr">
        <is>
          <t>Bulls</t>
        </is>
      </c>
    </row>
    <row r="10">
      <c r="A10" t="inlineStr">
        <is>
          <t>Stock</t>
        </is>
      </c>
      <c r="B10" t="inlineStr">
        <is>
          <t>Cows: 45 remain.</t>
        </is>
      </c>
      <c r="C10" t="n">
        <v>0</v>
      </c>
      <c r="D10" t="n">
        <v>0</v>
      </c>
      <c r="E10" t="inlineStr">
        <is>
          <t>Cows</t>
        </is>
      </c>
      <c r="F10" t="inlineStr">
        <is>
          <t>45</t>
        </is>
      </c>
    </row>
    <row r="11">
      <c r="A11" t="inlineStr">
        <is>
          <t>Stock</t>
        </is>
      </c>
      <c r="B11" t="inlineStr">
        <is>
          <t>6 added from steers below.</t>
        </is>
      </c>
      <c r="C11" t="n">
        <v>0</v>
      </c>
      <c r="D11" t="n">
        <v>0</v>
      </c>
      <c r="E11" t="inlineStr">
        <is>
          <t>Cows</t>
        </is>
      </c>
    </row>
    <row r="12">
      <c r="A12" t="inlineStr">
        <is>
          <t>Stock</t>
        </is>
      </c>
      <c r="B12" t="inlineStr">
        <is>
          <t>7 bought before calving.</t>
        </is>
      </c>
      <c r="C12" t="n">
        <v>0</v>
      </c>
      <c r="D12" t="n">
        <v>0</v>
      </c>
      <c r="E12" t="inlineStr">
        <is>
          <t>Cows</t>
        </is>
      </c>
      <c r="G12" t="inlineStr">
        <is>
          <t>7</t>
        </is>
      </c>
    </row>
    <row r="13">
      <c r="A13" t="inlineStr">
        <is>
          <t>Stock</t>
        </is>
      </c>
      <c r="B13" t="inlineStr">
        <is>
          <t>Total, 58. 3 in murrain before calving and 3 after calving.</t>
        </is>
      </c>
      <c r="C13" t="n">
        <v>0</v>
      </c>
      <c r="D13" t="n">
        <v>0</v>
      </c>
      <c r="E13" t="inlineStr">
        <is>
          <t>Cows</t>
        </is>
      </c>
      <c r="H13" t="inlineStr">
        <is>
          <t>3</t>
        </is>
      </c>
    </row>
    <row r="14">
      <c r="A14" t="inlineStr">
        <is>
          <t>Stock</t>
        </is>
      </c>
      <c r="B14" t="inlineStr">
        <is>
          <t>7 sold within.</t>
        </is>
      </c>
      <c r="C14" t="n">
        <v>0</v>
      </c>
      <c r="D14" t="n">
        <v>0</v>
      </c>
      <c r="E14" t="inlineStr">
        <is>
          <t>Cows</t>
        </is>
      </c>
      <c r="I14" t="inlineStr">
        <is>
          <t>7</t>
        </is>
      </c>
    </row>
    <row r="15">
      <c r="A15" t="inlineStr">
        <is>
          <t>Stock</t>
        </is>
      </c>
      <c r="B15" t="inlineStr">
        <is>
          <t>Total, 13. 45 remain.</t>
        </is>
      </c>
      <c r="C15" t="n">
        <v>0</v>
      </c>
      <c r="D15" t="n">
        <v>0</v>
      </c>
      <c r="E15" t="inlineStr">
        <is>
          <t>Cows</t>
        </is>
      </c>
    </row>
    <row r="16">
      <c r="A16" t="inlineStr">
        <is>
          <t>Stock</t>
        </is>
      </c>
      <c r="B16" t="inlineStr">
        <is>
          <t>Steers: 7 remain from the bullocks.</t>
        </is>
      </c>
      <c r="C16" t="n">
        <v>0</v>
      </c>
      <c r="D16" t="n">
        <v>0</v>
      </c>
      <c r="E16" t="inlineStr">
        <is>
          <t>Steers</t>
        </is>
      </c>
      <c r="F16" t="inlineStr">
        <is>
          <t>7</t>
        </is>
      </c>
    </row>
    <row r="17">
      <c r="A17" t="inlineStr">
        <is>
          <t>Stock</t>
        </is>
      </c>
      <c r="B17" t="inlineStr">
        <is>
          <t>6 added above to cows.</t>
        </is>
      </c>
      <c r="C17" t="n">
        <v>0</v>
      </c>
      <c r="D17" t="n">
        <v>0</v>
      </c>
      <c r="E17" t="inlineStr">
        <is>
          <t>Steers</t>
        </is>
      </c>
    </row>
    <row r="18">
      <c r="A18" t="inlineStr">
        <is>
          <t>Stock</t>
        </is>
      </c>
      <c r="B18" t="inlineStr">
        <is>
          <t>1 sold at the audit for 6 shilling 8pence.</t>
        </is>
      </c>
      <c r="C18" t="n">
        <v>0</v>
      </c>
      <c r="D18" t="n">
        <v>0</v>
      </c>
      <c r="E18" t="inlineStr">
        <is>
          <t>Steers</t>
        </is>
      </c>
      <c r="I18" t="inlineStr">
        <is>
          <t>1</t>
        </is>
      </c>
    </row>
    <row r="19">
      <c r="A19" t="inlineStr">
        <is>
          <t>Stock</t>
        </is>
      </c>
      <c r="B19" t="inlineStr">
        <is>
          <t>none remain.</t>
        </is>
      </c>
      <c r="C19" t="n">
        <v>0</v>
      </c>
      <c r="D19" t="n">
        <v>0</v>
      </c>
      <c r="E19" t="inlineStr">
        <is>
          <t>Steers</t>
        </is>
      </c>
    </row>
    <row r="20">
      <c r="A20" t="inlineStr">
        <is>
          <t>Stock</t>
        </is>
      </c>
      <c r="B20" t="inlineStr">
        <is>
          <t>Bullocks: 7 remain from the yearlings.</t>
        </is>
      </c>
      <c r="C20" t="n">
        <v>0</v>
      </c>
      <c r="D20" t="n">
        <v>0</v>
      </c>
      <c r="E20" t="inlineStr">
        <is>
          <t>Bullocks</t>
        </is>
      </c>
      <c r="F20" t="inlineStr">
        <is>
          <t>7</t>
        </is>
      </c>
    </row>
    <row r="21">
      <c r="A21" t="inlineStr">
        <is>
          <t>Stock</t>
        </is>
      </c>
      <c r="B21" t="inlineStr">
        <is>
          <t>1 from the heriot of Richard Beaule.</t>
        </is>
      </c>
      <c r="C21" t="n">
        <v>0</v>
      </c>
      <c r="D21" t="n">
        <v>0</v>
      </c>
      <c r="E21" t="inlineStr">
        <is>
          <t>Bullocks</t>
        </is>
      </c>
    </row>
    <row r="22">
      <c r="A22" t="inlineStr">
        <is>
          <t>Stock</t>
        </is>
      </c>
      <c r="B22" t="inlineStr">
        <is>
          <t>Total, 8. 2 in murrain.</t>
        </is>
      </c>
      <c r="C22" t="n">
        <v>0</v>
      </c>
      <c r="D22" t="n">
        <v>0</v>
      </c>
      <c r="E22" t="inlineStr">
        <is>
          <t>Bullocks</t>
        </is>
      </c>
      <c r="H22" t="inlineStr">
        <is>
          <t>2</t>
        </is>
      </c>
    </row>
    <row r="23">
      <c r="A23" t="inlineStr">
        <is>
          <t>Stock</t>
        </is>
      </c>
      <c r="B23" t="inlineStr">
        <is>
          <t>1 sold within.</t>
        </is>
      </c>
      <c r="C23" t="n">
        <v>0</v>
      </c>
      <c r="D23" t="n">
        <v>0</v>
      </c>
      <c r="E23" t="inlineStr">
        <is>
          <t>Bullocks</t>
        </is>
      </c>
      <c r="I23" t="inlineStr">
        <is>
          <t>1</t>
        </is>
      </c>
    </row>
    <row r="24">
      <c r="A24" t="inlineStr">
        <is>
          <t>Stock</t>
        </is>
      </c>
      <c r="B24" t="inlineStr">
        <is>
          <t>Total, 3. 5 remain.</t>
        </is>
      </c>
      <c r="C24" t="n">
        <v>0</v>
      </c>
      <c r="D24" t="n">
        <v>0</v>
      </c>
      <c r="E24" t="inlineStr">
        <is>
          <t>Bullocks</t>
        </is>
      </c>
    </row>
    <row r="25">
      <c r="A25" t="inlineStr">
        <is>
          <t>Stock</t>
        </is>
      </c>
      <c r="B25" t="inlineStr">
        <is>
          <t>Yearlings: 12 remain from the calves.</t>
        </is>
      </c>
      <c r="C25" t="n">
        <v>0</v>
      </c>
      <c r="D25" t="n">
        <v>0</v>
      </c>
      <c r="E25" t="inlineStr">
        <is>
          <t>Yearlings</t>
        </is>
      </c>
      <c r="F25" t="inlineStr">
        <is>
          <t>12</t>
        </is>
      </c>
    </row>
    <row r="26">
      <c r="A26" t="inlineStr">
        <is>
          <t>Stock</t>
        </is>
      </c>
      <c r="B26" t="inlineStr">
        <is>
          <t>2 in murrain.</t>
        </is>
      </c>
      <c r="C26" t="n">
        <v>0</v>
      </c>
      <c r="D26" t="n">
        <v>0</v>
      </c>
      <c r="E26" t="inlineStr">
        <is>
          <t>Yearlings</t>
        </is>
      </c>
      <c r="H26" t="inlineStr">
        <is>
          <t>2</t>
        </is>
      </c>
    </row>
    <row r="27">
      <c r="A27" t="inlineStr">
        <is>
          <t>Stock</t>
        </is>
      </c>
      <c r="B27" t="inlineStr">
        <is>
          <t>10 remain.</t>
        </is>
      </c>
      <c r="C27" t="n">
        <v>0</v>
      </c>
      <c r="D27" t="n">
        <v>0</v>
      </c>
      <c r="E27" t="inlineStr">
        <is>
          <t>Yearlings</t>
        </is>
      </c>
    </row>
    <row r="28">
      <c r="A28" t="inlineStr">
        <is>
          <t>Stock</t>
        </is>
      </c>
      <c r="B28" t="inlineStr">
        <is>
          <t>Calves: 49 offspring and not more because 3 cows died before calving.</t>
        </is>
      </c>
      <c r="C28" t="n">
        <v>0</v>
      </c>
      <c r="D28" t="n">
        <v>0</v>
      </c>
      <c r="E28" t="inlineStr">
        <is>
          <t>Calves</t>
        </is>
      </c>
      <c r="G28" t="inlineStr">
        <is>
          <t>49</t>
        </is>
      </c>
    </row>
    <row r="29">
      <c r="A29" t="inlineStr">
        <is>
          <t>Stock</t>
        </is>
      </c>
      <c r="B29" t="inlineStr">
        <is>
          <t>Total, 49. 5 in tithe.</t>
        </is>
      </c>
      <c r="C29" t="n">
        <v>0</v>
      </c>
      <c r="D29" t="n">
        <v>0</v>
      </c>
      <c r="E29" t="inlineStr">
        <is>
          <t>Calves</t>
        </is>
      </c>
    </row>
    <row r="30">
      <c r="A30" t="inlineStr">
        <is>
          <t>Stock</t>
        </is>
      </c>
      <c r="B30" t="inlineStr">
        <is>
          <t>22 sold within.</t>
        </is>
      </c>
      <c r="C30" t="n">
        <v>0</v>
      </c>
      <c r="D30" t="n">
        <v>0</v>
      </c>
      <c r="E30" t="inlineStr">
        <is>
          <t>Calves</t>
        </is>
      </c>
      <c r="I30" t="inlineStr">
        <is>
          <t>22</t>
        </is>
      </c>
    </row>
    <row r="31">
      <c r="A31" t="inlineStr">
        <is>
          <t>Stock</t>
        </is>
      </c>
      <c r="B31" t="inlineStr">
        <is>
          <t>10 sold at the audit for 15 shilling.</t>
        </is>
      </c>
      <c r="C31" t="n">
        <v>0</v>
      </c>
      <c r="D31" t="n">
        <v>0</v>
      </c>
      <c r="E31" t="inlineStr">
        <is>
          <t>Calves</t>
        </is>
      </c>
      <c r="I31" t="inlineStr">
        <is>
          <t>10</t>
        </is>
      </c>
    </row>
    <row r="32">
      <c r="A32" t="inlineStr">
        <is>
          <t>Stock</t>
        </is>
      </c>
      <c r="B32" t="inlineStr">
        <is>
          <t>12 remain.</t>
        </is>
      </c>
      <c r="C32" t="n">
        <v>0</v>
      </c>
      <c r="D32" t="n">
        <v>0</v>
      </c>
      <c r="E32" t="inlineStr">
        <is>
          <t>Calves</t>
        </is>
      </c>
      <c r="F32" t="inlineStr">
        <is>
          <t>12</t>
        </is>
      </c>
    </row>
    <row r="33">
      <c r="A33" t="inlineStr">
        <is>
          <t>Stock</t>
        </is>
      </c>
      <c r="B33" t="inlineStr">
        <is>
          <t>Hoggets: 1 from the heriot of Alice Fryk'.</t>
        </is>
      </c>
      <c r="C33" t="n">
        <v>0</v>
      </c>
      <c r="D33" t="n">
        <v>0</v>
      </c>
      <c r="E33" t="inlineStr">
        <is>
          <t>Hoggets</t>
        </is>
      </c>
    </row>
    <row r="34">
      <c r="A34" t="inlineStr">
        <is>
          <t>Stock</t>
        </is>
      </c>
      <c r="B34" t="inlineStr">
        <is>
          <t>sold within.</t>
        </is>
      </c>
      <c r="C34" t="n">
        <v>0</v>
      </c>
      <c r="D34" t="n">
        <v>0</v>
      </c>
      <c r="E34" t="inlineStr">
        <is>
          <t>Hoggets</t>
        </is>
      </c>
    </row>
    <row r="35">
      <c r="A35" t="inlineStr">
        <is>
          <t>Stock</t>
        </is>
      </c>
      <c r="B35" t="inlineStr">
        <is>
          <t>none remain.</t>
        </is>
      </c>
      <c r="C35" t="n">
        <v>0</v>
      </c>
      <c r="D35" t="n">
        <v>0</v>
      </c>
      <c r="E35" t="inlineStr">
        <is>
          <t>Hoggets</t>
        </is>
      </c>
    </row>
    <row r="36">
      <c r="A36" t="inlineStr">
        <is>
          <t>Stock</t>
        </is>
      </c>
      <c r="B36" t="inlineStr">
        <is>
          <t>Cocks and hens: 195 from the churchscot of the customary tenants at Martinmas.</t>
        </is>
      </c>
      <c r="C36" t="n">
        <v>0</v>
      </c>
      <c r="D36" t="n">
        <v>0</v>
      </c>
      <c r="E36" t="inlineStr">
        <is>
          <t>Poultry stock</t>
        </is>
      </c>
    </row>
    <row r="37">
      <c r="A37" t="inlineStr">
        <is>
          <t>Stock</t>
        </is>
      </c>
      <c r="B37" t="inlineStr">
        <is>
          <t>Total, 195. 12 in quittance of Margery Shellyng', Peter Baldewyne, John Pyn', John Saltere, Richard Pyn and William Bernesey because widowers and widows.</t>
        </is>
      </c>
      <c r="C37" t="n">
        <v>0</v>
      </c>
      <c r="D37" t="n">
        <v>0</v>
      </c>
      <c r="E37" t="inlineStr">
        <is>
          <t>Poultry stock</t>
        </is>
      </c>
    </row>
    <row r="38">
      <c r="A38" t="inlineStr">
        <is>
          <t>Stock</t>
        </is>
      </c>
      <c r="B38" t="inlineStr">
        <is>
          <t>2 in quittance of the churchscot of John Durdausse because he does not have a wife.</t>
        </is>
      </c>
      <c r="C38" t="n">
        <v>0</v>
      </c>
      <c r="D38" t="n">
        <v>0</v>
      </c>
      <c r="E38" t="inlineStr">
        <is>
          <t>Poultry stock</t>
        </is>
      </c>
    </row>
    <row r="39">
      <c r="A39" t="inlineStr">
        <is>
          <t>Stock</t>
        </is>
      </c>
      <c r="B39" t="inlineStr">
        <is>
          <t>181 sold within.</t>
        </is>
      </c>
      <c r="C39" t="n">
        <v>0</v>
      </c>
      <c r="D39" t="n">
        <v>0</v>
      </c>
      <c r="E39" t="inlineStr">
        <is>
          <t>Poultry stock</t>
        </is>
      </c>
      <c r="I39" t="inlineStr">
        <is>
          <t>181</t>
        </is>
      </c>
    </row>
    <row r="40">
      <c r="A40" t="inlineStr">
        <is>
          <t>Stock</t>
        </is>
      </c>
      <c r="B40" t="inlineStr">
        <is>
          <t>Total as before.</t>
        </is>
      </c>
      <c r="C40" t="n">
        <v>0</v>
      </c>
      <c r="D40" t="n">
        <v>0</v>
      </c>
      <c r="E40" t="inlineStr">
        <is>
          <t>Poultry stock</t>
        </is>
      </c>
    </row>
    <row r="41">
      <c r="A41" t="inlineStr">
        <is>
          <t>Stock</t>
        </is>
      </c>
      <c r="B41" t="inlineStr">
        <is>
          <t>It balances.</t>
        </is>
      </c>
      <c r="C41" t="n">
        <v>0</v>
      </c>
      <c r="D41" t="n">
        <v>0</v>
      </c>
      <c r="E41" t="inlineStr">
        <is>
          <t>Poultry stock</t>
        </is>
      </c>
    </row>
    <row r="42">
      <c r="A42" t="inlineStr">
        <is>
          <t>Stock</t>
        </is>
      </c>
      <c r="B42" t="inlineStr">
        <is>
          <t>Hides: 6 from cows, 2 from bullocks and 2 from yearlings in murrain as made clear above.</t>
        </is>
      </c>
      <c r="C42" t="n">
        <v>0</v>
      </c>
      <c r="D42" t="n">
        <v>0</v>
      </c>
      <c r="E42" t="inlineStr">
        <is>
          <t>Poultry stock</t>
        </is>
      </c>
      <c r="H42" t="inlineStr">
        <is>
          <t>2</t>
        </is>
      </c>
    </row>
    <row r="43">
      <c r="A43" t="inlineStr">
        <is>
          <t>Stock</t>
        </is>
      </c>
      <c r="B43" t="inlineStr">
        <is>
          <t>sold within.</t>
        </is>
      </c>
      <c r="C43" t="n">
        <v>0</v>
      </c>
      <c r="D43" t="n">
        <v>0</v>
      </c>
      <c r="E43" t="inlineStr">
        <is>
          <t>Poultry stock</t>
        </is>
      </c>
    </row>
    <row r="44">
      <c r="A44" t="inlineStr">
        <is>
          <t>Stock</t>
        </is>
      </c>
      <c r="B44" t="inlineStr">
        <is>
          <t>none remain.</t>
        </is>
      </c>
      <c r="C44" t="n">
        <v>0</v>
      </c>
      <c r="D44" t="n">
        <v>0</v>
      </c>
      <c r="E44" t="inlineStr">
        <is>
          <t>Poultry stock</t>
        </is>
      </c>
    </row>
    <row r="45">
      <c r="A45" t="inlineStr">
        <is>
          <t>Stock</t>
        </is>
      </c>
      <c r="B45" t="inlineStr">
        <is>
          <t>Fish: Nothing of the issue of the fish-trap here because in the cash account within.</t>
        </is>
      </c>
      <c r="C45" t="n">
        <v>0</v>
      </c>
      <c r="D45" t="n">
        <v>0</v>
      </c>
      <c r="E45" t="inlineStr">
        <is>
          <t>Poultry stock</t>
        </is>
      </c>
    </row>
    <row r="46">
      <c r="A46" t="inlineStr">
        <is>
          <t>Stock</t>
        </is>
      </c>
      <c r="B46" t="inlineStr">
        <is>
          <t>Lead: 9 cloves of lead remain.</t>
        </is>
      </c>
      <c r="C46" t="n">
        <v>0</v>
      </c>
      <c r="D46" t="n">
        <v>0</v>
      </c>
      <c r="E46" t="inlineStr">
        <is>
          <t>Poultry stock</t>
        </is>
      </c>
      <c r="F46" t="inlineStr">
        <is>
          <t>9</t>
        </is>
      </c>
    </row>
    <row r="47">
      <c r="A47" t="inlineStr">
        <is>
          <t>Stock</t>
        </is>
      </c>
      <c r="B47" t="inlineStr">
        <is>
          <t>Total, 9 cloves. 9 cloves remain.</t>
        </is>
      </c>
      <c r="C47" t="n">
        <v>0</v>
      </c>
      <c r="D47" t="n">
        <v>0</v>
      </c>
      <c r="E47" t="inlineStr">
        <is>
          <t>Poultry stock</t>
        </is>
      </c>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inlineStr">
        <is>
          <t>Poultry stock</t>
        </is>
      </c>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inlineStr">
        <is>
          <t>Utensils</t>
        </is>
      </c>
      <c r="F49" t="inlineStr">
        <is>
          <t>2</t>
        </is>
      </c>
    </row>
    <row r="50">
      <c r="A50" t="inlineStr">
        <is>
          <t>Stock</t>
        </is>
      </c>
      <c r="B50" t="inlineStr">
        <is>
          <t>1 rennet-vat and 1 pail remain.</t>
        </is>
      </c>
      <c r="C50" t="n">
        <v>0</v>
      </c>
      <c r="D50" t="n">
        <v>0</v>
      </c>
      <c r="E50" t="inlineStr">
        <is>
          <t>Utensils</t>
        </is>
      </c>
    </row>
    <row r="51">
      <c r="A51" t="inlineStr">
        <is>
          <t>Stock</t>
        </is>
      </c>
      <c r="B51" t="inlineStr">
        <is>
          <t>all this remains.</t>
        </is>
      </c>
      <c r="C51" t="n">
        <v>0</v>
      </c>
      <c r="D51" t="n">
        <v>0</v>
      </c>
      <c r="E51" t="inlineStr">
        <is>
          <t>Utensils</t>
        </is>
      </c>
    </row>
    <row r="52">
      <c r="A52" t="inlineStr">
        <is>
          <t>Stock</t>
        </is>
      </c>
      <c r="B52" t="inlineStr">
        <is>
          <t>At the fish-trap, 2 salmon-pots with 2 locks, 2 lampern-pots, 14 hatches, 1 net with 2 strings, 1 hawser, 2 windlasses, 1 small ladder and 2 small tables remain.</t>
        </is>
      </c>
      <c r="C52" t="n">
        <v>0</v>
      </c>
      <c r="D52" t="n">
        <v>0</v>
      </c>
      <c r="E52" t="inlineStr">
        <is>
          <t>Utensils</t>
        </is>
      </c>
    </row>
    <row r="53">
      <c r="A53" t="inlineStr">
        <is>
          <t>Stock</t>
        </is>
      </c>
      <c r="B53" t="inlineStr">
        <is>
          <t>all this remains.</t>
        </is>
      </c>
      <c r="C53" t="n">
        <v>0</v>
      </c>
      <c r="D53" t="n">
        <v>0</v>
      </c>
      <c r="E53" t="inlineStr">
        <is>
          <t>Utensils</t>
        </is>
      </c>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inlineStr">
        <is>
          <t>Utensils</t>
        </is>
      </c>
    </row>
    <row r="55">
      <c r="A55" t="inlineStr">
        <is>
          <t>Stock</t>
        </is>
      </c>
      <c r="B55" t="inlineStr">
        <is>
          <t>all this remains.</t>
        </is>
      </c>
      <c r="C55" t="n">
        <v>0</v>
      </c>
      <c r="D55" t="n">
        <v>0</v>
      </c>
      <c r="E55" t="inlineStr">
        <is>
          <t>Utensils</t>
        </is>
      </c>
    </row>
    <row r="56">
      <c r="A56" t="inlineStr">
        <is>
          <t>Stock</t>
        </is>
      </c>
      <c r="B56" t="inlineStr">
        <is>
          <t>Total</t>
        </is>
      </c>
      <c r="C56" t="n">
        <v>0</v>
      </c>
      <c r="D56" t="n">
        <v>0</v>
      </c>
      <c r="E56"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richard palmer', reeve there, answers for 1 bushels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1</v>
      </c>
      <c r="Z3" t="n">
        <v>0.12</v>
      </c>
      <c r="AA3" t="n">
        <v>0.12</v>
      </c>
      <c r="AB3" t="n">
        <v>0</v>
      </c>
      <c r="AC3" t="n">
        <v>0</v>
      </c>
      <c r="AD3" t="n">
        <v>1</v>
      </c>
      <c r="AE3" t="n">
        <v>0</v>
      </c>
    </row>
    <row r="4">
      <c r="A4" t="inlineStr">
        <is>
          <t>wheat</t>
        </is>
      </c>
      <c r="B4" t="inlineStr">
        <is>
          <t>total, 1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1</v>
      </c>
      <c r="Z4" t="n">
        <v>0.12</v>
      </c>
      <c r="AA4" t="n">
        <v>0.12</v>
      </c>
      <c r="AB4" t="n">
        <v>0</v>
      </c>
      <c r="AC4" t="n">
        <v>0</v>
      </c>
      <c r="AD4" t="n">
        <v>1</v>
      </c>
      <c r="AE4" t="n">
        <v>0</v>
      </c>
    </row>
    <row r="5">
      <c r="A5" t="inlineStr">
        <is>
          <t>wheat</t>
        </is>
      </c>
      <c r="B5" t="inlineStr">
        <is>
          <t>accounted for in provision of the steward holding the tourns of martinmas and hockday by 2 bills.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row r="6">
      <c r="A6" t="inlineStr">
        <is>
          <t>wheat</t>
        </is>
      </c>
      <c r="B6" t="inlineStr">
        <is>
          <t>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E7" t="n">
        <v>0</v>
      </c>
    </row>
    <row r="8">
      <c r="A8" t="inlineStr">
        <is>
          <t>barley</t>
        </is>
      </c>
      <c r="B8" t="inlineStr">
        <is>
          <t>and for 10 quarters 3 bushels of barley bought..</t>
        </is>
      </c>
      <c r="C8" t="n">
        <v>0</v>
      </c>
      <c r="D8" t="n">
        <v>0</v>
      </c>
      <c r="E8" t="n">
        <v>0</v>
      </c>
      <c r="F8" t="n">
        <v>0</v>
      </c>
      <c r="G8" t="n">
        <v>0</v>
      </c>
      <c r="H8" t="n">
        <v>10</v>
      </c>
      <c r="I8" t="n">
        <v>3</v>
      </c>
      <c r="J8" t="n">
        <v>10.38</v>
      </c>
      <c r="K8" t="n">
        <v>0</v>
      </c>
      <c r="L8" t="n">
        <v>0</v>
      </c>
      <c r="M8" t="n">
        <v>0</v>
      </c>
      <c r="N8" t="n">
        <v>0</v>
      </c>
      <c r="O8" t="n">
        <v>0</v>
      </c>
      <c r="P8" t="n">
        <v>0</v>
      </c>
      <c r="Q8" t="n">
        <v>0</v>
      </c>
      <c r="R8" t="n">
        <v>0</v>
      </c>
      <c r="S8" t="n">
        <v>0</v>
      </c>
      <c r="T8" t="n">
        <v>0</v>
      </c>
      <c r="U8" t="n">
        <v>0</v>
      </c>
      <c r="V8" t="n">
        <v>0</v>
      </c>
      <c r="W8" t="n">
        <v>0</v>
      </c>
      <c r="X8" t="n">
        <v>10</v>
      </c>
      <c r="Y8" t="n">
        <v>3</v>
      </c>
      <c r="Z8" t="n">
        <v>10.38</v>
      </c>
      <c r="AA8" t="n">
        <v>10.38</v>
      </c>
      <c r="AB8" t="n">
        <v>0</v>
      </c>
      <c r="AC8" t="n">
        <v>10</v>
      </c>
      <c r="AD8" t="n">
        <v>3</v>
      </c>
      <c r="AE8" t="n">
        <v>0</v>
      </c>
    </row>
    <row r="9">
      <c r="A9" t="inlineStr">
        <is>
          <t>barley</t>
        </is>
      </c>
      <c r="B9" t="inlineStr">
        <is>
          <t>total, 10 quarters 22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22</v>
      </c>
      <c r="Z9" t="n">
        <v>12.75</v>
      </c>
      <c r="AA9" t="n">
        <v>12.75</v>
      </c>
      <c r="AB9" t="n">
        <v>0</v>
      </c>
      <c r="AC9" t="n">
        <v>10</v>
      </c>
      <c r="AD9" t="n">
        <v>22</v>
      </c>
      <c r="AE9" t="n">
        <v>0</v>
      </c>
    </row>
    <row r="10">
      <c r="A10" t="inlineStr">
        <is>
          <t>barley</t>
        </is>
      </c>
      <c r="B10" t="inlineStr">
        <is>
          <t>all accounted for in liveries of 1 cowherd and 1 dairymaid for the year, both of whom take a quarter every 10 weeks.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row>
    <row r="11">
      <c r="A11" t="inlineStr">
        <is>
          <t>barley</t>
        </is>
      </c>
      <c r="B11" t="inlineStr">
        <is>
          <t>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oats</t>
        </is>
      </c>
      <c r="B13" t="inlineStr">
        <is>
          <t>and for 2 quarters of oats bought..</t>
        </is>
      </c>
      <c r="C13" t="n">
        <v>0</v>
      </c>
      <c r="D13" t="n">
        <v>0</v>
      </c>
      <c r="E13" t="n">
        <v>0</v>
      </c>
      <c r="F13" t="n">
        <v>0</v>
      </c>
      <c r="G13" t="n">
        <v>0</v>
      </c>
      <c r="H13" t="n">
        <v>2</v>
      </c>
      <c r="I13" t="n">
        <v>0</v>
      </c>
      <c r="J13" t="n">
        <v>2</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n">
        <v>0</v>
      </c>
    </row>
    <row r="14">
      <c r="A14" t="inlineStr">
        <is>
          <t>oats</t>
        </is>
      </c>
      <c r="B14" t="inlineStr">
        <is>
          <t>total, 2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n">
        <v>0</v>
      </c>
    </row>
    <row r="15">
      <c r="A15" t="inlineStr">
        <is>
          <t>oats</t>
        </is>
      </c>
      <c r="B15" t="inlineStr">
        <is>
          <t>in fodder of the horses of richard wyot, steward, holding the tourns of martinmas and hockday, 1 qr by 2 bills.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E15" t="n">
        <v>0</v>
      </c>
    </row>
    <row r="16">
      <c r="A16" t="inlineStr">
        <is>
          <t>oats</t>
        </is>
      </c>
      <c r="B16" t="inlineStr">
        <is>
          <t>meal made for the pottage of the manorial servants,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E16" t="n">
        <v>0</v>
      </c>
    </row>
    <row r="17">
      <c r="A17" t="inlineStr">
        <is>
          <t>oats</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row>
    <row r="18">
      <c r="A18" t="inlineStr">
        <is>
          <t>oats</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3</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2026-02-04T20:29:31Z</dcterms:modified>
  <cp:lastModifiedBy>Kowalski, Kuba</cp:lastModifiedBy>
</cp:coreProperties>
</file>